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4" sheetId="14" r:id="rId18"/>
    <sheet state="visible" name="15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  <sheet state="visible" name="20" sheetId="20" r:id="rId24"/>
    <sheet state="visible" name="21" sheetId="21" r:id="rId25"/>
    <sheet state="visible" name="22" sheetId="22" r:id="rId26"/>
    <sheet state="visible" name="23" sheetId="23" r:id="rId27"/>
    <sheet state="visible" name="24" sheetId="24" r:id="rId28"/>
    <sheet state="visible" name="25" sheetId="25" r:id="rId29"/>
    <sheet state="visible" name="26" sheetId="26" r:id="rId30"/>
    <sheet state="visible" name="27" sheetId="27" r:id="rId31"/>
    <sheet state="visible" name="28" sheetId="28" r:id="rId32"/>
    <sheet state="visible" name="29" sheetId="29" r:id="rId33"/>
    <sheet state="visible" name="30" sheetId="30" r:id="rId34"/>
    <sheet state="visible" name="31" sheetId="31" r:id="rId35"/>
    <sheet state="visible" name="Draft" sheetId="32" r:id="rId36"/>
  </sheets>
  <definedNames/>
  <calcPr/>
</workbook>
</file>

<file path=xl/sharedStrings.xml><?xml version="1.0" encoding="utf-8"?>
<sst xmlns="http://schemas.openxmlformats.org/spreadsheetml/2006/main" count="2485" uniqueCount="308">
  <si>
    <t>No</t>
  </si>
  <si>
    <t>Nama</t>
  </si>
  <si>
    <t>Paket</t>
  </si>
  <si>
    <t>Q</t>
  </si>
  <si>
    <t>Tanggal Foto</t>
  </si>
  <si>
    <t>Pemasukan</t>
  </si>
  <si>
    <t>Keterangan</t>
  </si>
  <si>
    <t>Admin</t>
  </si>
  <si>
    <t>Fotogarfer</t>
  </si>
  <si>
    <t>Post Prod</t>
  </si>
  <si>
    <t>Cash</t>
  </si>
  <si>
    <t>Transfer</t>
  </si>
  <si>
    <t>Pembayaran</t>
  </si>
  <si>
    <t>All File</t>
  </si>
  <si>
    <t xml:space="preserve">File Edit </t>
  </si>
  <si>
    <t>Editan/FG</t>
  </si>
  <si>
    <t>Cetakan/Fame</t>
  </si>
  <si>
    <t>Diambil/Date</t>
  </si>
  <si>
    <t>Ani Oktafiama</t>
  </si>
  <si>
    <t>Aphelios</t>
  </si>
  <si>
    <t>adhibara</t>
  </si>
  <si>
    <t>Tunjung</t>
  </si>
  <si>
    <t>Large Group</t>
  </si>
  <si>
    <t>2 januari</t>
  </si>
  <si>
    <t>5 januari</t>
  </si>
  <si>
    <t>11 januari</t>
  </si>
  <si>
    <t>DP</t>
  </si>
  <si>
    <t>Lunas</t>
  </si>
  <si>
    <t>Uploaded</t>
  </si>
  <si>
    <t xml:space="preserve">ADDEL </t>
  </si>
  <si>
    <t>INDAH</t>
  </si>
  <si>
    <t>-</t>
  </si>
  <si>
    <t>ADIF</t>
  </si>
  <si>
    <t>Eka wulansari</t>
  </si>
  <si>
    <t>Single</t>
  </si>
  <si>
    <t>1 januari</t>
  </si>
  <si>
    <t>Alfred</t>
  </si>
  <si>
    <t>Arum Mutiara</t>
  </si>
  <si>
    <t xml:space="preserve">Add Cetak </t>
  </si>
  <si>
    <t>3 januari</t>
  </si>
  <si>
    <t>5R</t>
  </si>
  <si>
    <t>Nita</t>
  </si>
  <si>
    <t>Family A</t>
  </si>
  <si>
    <t>Mumet</t>
  </si>
  <si>
    <t>Pending</t>
  </si>
  <si>
    <t>ADDEL</t>
  </si>
  <si>
    <t>In Pikako</t>
  </si>
  <si>
    <t>Helmi</t>
  </si>
  <si>
    <t xml:space="preserve">Ira </t>
  </si>
  <si>
    <t>24 januari</t>
  </si>
  <si>
    <t>Rexy</t>
  </si>
  <si>
    <t>Isnaeni fts ump</t>
  </si>
  <si>
    <t>9 januari</t>
  </si>
  <si>
    <t>Ani Oktafiana</t>
  </si>
  <si>
    <t>1 januarai</t>
  </si>
  <si>
    <t>Nate</t>
  </si>
  <si>
    <t>Kei</t>
  </si>
  <si>
    <t>4 januari</t>
  </si>
  <si>
    <t>HANIF</t>
  </si>
  <si>
    <t>R. Bangun Gunarto</t>
  </si>
  <si>
    <t>Family B</t>
  </si>
  <si>
    <t>Sandra</t>
  </si>
  <si>
    <t xml:space="preserve">HANIF </t>
  </si>
  <si>
    <t>Packing</t>
  </si>
  <si>
    <t>13 desember</t>
  </si>
  <si>
    <t>Refsy</t>
  </si>
  <si>
    <t>Couple A</t>
  </si>
  <si>
    <t xml:space="preserve">Candra </t>
  </si>
  <si>
    <t>Lia</t>
  </si>
  <si>
    <t>Nominal</t>
  </si>
  <si>
    <t>Shift</t>
  </si>
  <si>
    <t>Pendapatan Tunai</t>
  </si>
  <si>
    <t>Admin 1</t>
  </si>
  <si>
    <t>Fadel</t>
  </si>
  <si>
    <t>Admin 2</t>
  </si>
  <si>
    <t xml:space="preserve">Indah </t>
  </si>
  <si>
    <t>Fotografer 1</t>
  </si>
  <si>
    <t>Fotografer 2</t>
  </si>
  <si>
    <t>Adif</t>
  </si>
  <si>
    <t>Penthil</t>
  </si>
  <si>
    <t>Hanif</t>
  </si>
  <si>
    <t>Galon</t>
  </si>
  <si>
    <t>Indah</t>
  </si>
  <si>
    <t>Paralon dop</t>
  </si>
  <si>
    <t xml:space="preserve">Addel </t>
  </si>
  <si>
    <t>Addel</t>
  </si>
  <si>
    <t>Sofia</t>
  </si>
  <si>
    <t>13 des</t>
  </si>
  <si>
    <t>Regina</t>
  </si>
  <si>
    <t>5 des</t>
  </si>
  <si>
    <t xml:space="preserve">ADIF </t>
  </si>
  <si>
    <t>Febi</t>
  </si>
  <si>
    <t>Hakim</t>
  </si>
  <si>
    <t>10 januari</t>
  </si>
  <si>
    <t>ots</t>
  </si>
  <si>
    <t>6 januari</t>
  </si>
  <si>
    <t xml:space="preserve">INDAH </t>
  </si>
  <si>
    <t>Fahmi</t>
  </si>
  <si>
    <t>Add 16R</t>
  </si>
  <si>
    <t>add frame</t>
  </si>
  <si>
    <t>Tim PPK Ormawa HMPSIK 2025</t>
  </si>
  <si>
    <t>Aga (Hyndia Music)</t>
  </si>
  <si>
    <t>Studio Rent</t>
  </si>
  <si>
    <t>4 maret</t>
  </si>
  <si>
    <t>Keke</t>
  </si>
  <si>
    <t>Cinta</t>
  </si>
  <si>
    <t>Shafira</t>
  </si>
  <si>
    <t>Desta</t>
  </si>
  <si>
    <t>Pas Foto</t>
  </si>
  <si>
    <t>7 januari</t>
  </si>
  <si>
    <t>Arinta</t>
  </si>
  <si>
    <t>9 des</t>
  </si>
  <si>
    <t>Citra</t>
  </si>
  <si>
    <t>DPM FEB Unwiku</t>
  </si>
  <si>
    <t>16 januari</t>
  </si>
  <si>
    <t>Tevia Ari</t>
  </si>
  <si>
    <t>Add Cetak 16R</t>
  </si>
  <si>
    <t>Frame</t>
  </si>
  <si>
    <t>27 desember</t>
  </si>
  <si>
    <t>Lily</t>
  </si>
  <si>
    <t>Ahmad Fahreza</t>
  </si>
  <si>
    <t>13 desember 2025</t>
  </si>
  <si>
    <t xml:space="preserve">Fahme </t>
  </si>
  <si>
    <t xml:space="preserve">Adi Pratama </t>
  </si>
  <si>
    <t>Wahid R.</t>
  </si>
  <si>
    <t>Graduation</t>
  </si>
  <si>
    <t>Ulya</t>
  </si>
  <si>
    <t xml:space="preserve">Lily </t>
  </si>
  <si>
    <t>Cici</t>
  </si>
  <si>
    <t>Enissya</t>
  </si>
  <si>
    <t>10 februari</t>
  </si>
  <si>
    <t>PPK Ormawa</t>
  </si>
  <si>
    <t>Eva</t>
  </si>
  <si>
    <t>Maternity</t>
  </si>
  <si>
    <t>Azrie</t>
  </si>
  <si>
    <t>Amel</t>
  </si>
  <si>
    <t>Fatih Rezka</t>
  </si>
  <si>
    <t>PPK ORMAWA</t>
  </si>
  <si>
    <t>Rahma</t>
  </si>
  <si>
    <t>tsaabita</t>
  </si>
  <si>
    <t>Rendy</t>
  </si>
  <si>
    <t xml:space="preserve">Febi </t>
  </si>
  <si>
    <t xml:space="preserve">Rahma </t>
  </si>
  <si>
    <t xml:space="preserve">Eva </t>
  </si>
  <si>
    <t>Tsabita</t>
  </si>
  <si>
    <t>Mughaz</t>
  </si>
  <si>
    <t>Aris</t>
  </si>
  <si>
    <t>Thania</t>
  </si>
  <si>
    <t>Add Cetak</t>
  </si>
  <si>
    <t>16Rs Canvas, 12R, 10R + addedit 4</t>
  </si>
  <si>
    <t>Fany</t>
  </si>
  <si>
    <t>Windi Dewi</t>
  </si>
  <si>
    <t>add 5R</t>
  </si>
  <si>
    <t>Adel</t>
  </si>
  <si>
    <t>Pasmaraja</t>
  </si>
  <si>
    <t>Desty Nurohmah</t>
  </si>
  <si>
    <t>Fahme</t>
  </si>
  <si>
    <t>Umi dan miko</t>
  </si>
  <si>
    <t>Guntur</t>
  </si>
  <si>
    <t>Nasiha</t>
  </si>
  <si>
    <t>Zumairoh Mh</t>
  </si>
  <si>
    <t>Tia Safitri</t>
  </si>
  <si>
    <t>Syafiq Aimansyah</t>
  </si>
  <si>
    <t>Add Frame</t>
  </si>
  <si>
    <t>Yuni Mindarsih</t>
  </si>
  <si>
    <t>Devi Juliarti</t>
  </si>
  <si>
    <t>ulia</t>
  </si>
  <si>
    <t>Arzu Rohmatarrobi</t>
  </si>
  <si>
    <t>Ita</t>
  </si>
  <si>
    <t xml:space="preserve">Desty Nurohmah </t>
  </si>
  <si>
    <t>DPM FEB UNWIKU</t>
  </si>
  <si>
    <t>disc 20%</t>
  </si>
  <si>
    <t>Firza Agung</t>
  </si>
  <si>
    <t>bima</t>
  </si>
  <si>
    <t>mita rolani</t>
  </si>
  <si>
    <t>Shabrina</t>
  </si>
  <si>
    <t>Natania</t>
  </si>
  <si>
    <t>nayla</t>
  </si>
  <si>
    <t xml:space="preserve">Bima </t>
  </si>
  <si>
    <t>standupphotography</t>
  </si>
  <si>
    <t>Tari</t>
  </si>
  <si>
    <t>ots adif</t>
  </si>
  <si>
    <t>Ulia</t>
  </si>
  <si>
    <t>Tia Savitri</t>
  </si>
  <si>
    <t>Tiara</t>
  </si>
  <si>
    <t>IIs</t>
  </si>
  <si>
    <t>nadiah</t>
  </si>
  <si>
    <t>Yanuar</t>
  </si>
  <si>
    <t>Elsa</t>
  </si>
  <si>
    <t>Vera</t>
  </si>
  <si>
    <t>Iis</t>
  </si>
  <si>
    <t>Demas</t>
  </si>
  <si>
    <t>all file</t>
  </si>
  <si>
    <t>Prisca</t>
  </si>
  <si>
    <t>Pentil</t>
  </si>
  <si>
    <t>Hatika</t>
  </si>
  <si>
    <t>Alldho Dharma</t>
  </si>
  <si>
    <t>Nadiah</t>
  </si>
  <si>
    <t>Salma</t>
  </si>
  <si>
    <t>Photofox</t>
  </si>
  <si>
    <t>Akhira</t>
  </si>
  <si>
    <t>Farah Faradhila</t>
  </si>
  <si>
    <t>Annissyafa</t>
  </si>
  <si>
    <t xml:space="preserve">  Dikref Kualism</t>
  </si>
  <si>
    <t>Afnan</t>
  </si>
  <si>
    <t>Puput Sekar</t>
  </si>
  <si>
    <t>Putri</t>
  </si>
  <si>
    <t>Jevon</t>
  </si>
  <si>
    <t>Fitria Budi</t>
  </si>
  <si>
    <t>putu ines</t>
  </si>
  <si>
    <t>Nanda Afif</t>
  </si>
  <si>
    <t>Graduation Premium</t>
  </si>
  <si>
    <t>Aldi Putra Hamalsyah</t>
  </si>
  <si>
    <t>Yuni</t>
  </si>
  <si>
    <t>add theme</t>
  </si>
  <si>
    <t>radit</t>
  </si>
  <si>
    <t>Mawar</t>
  </si>
  <si>
    <t>indah</t>
  </si>
  <si>
    <t>fahme</t>
  </si>
  <si>
    <t>penthil</t>
  </si>
  <si>
    <t>oca</t>
  </si>
  <si>
    <t>dikref kualism</t>
  </si>
  <si>
    <t>Asfi</t>
  </si>
  <si>
    <t>Natali</t>
  </si>
  <si>
    <t>Olivia Nur F</t>
  </si>
  <si>
    <t>Gita</t>
  </si>
  <si>
    <t>Oca</t>
  </si>
  <si>
    <t>Sunnyrose Florist</t>
  </si>
  <si>
    <t>Photo Product</t>
  </si>
  <si>
    <t xml:space="preserve"> </t>
  </si>
  <si>
    <t>Intan</t>
  </si>
  <si>
    <t>HIMA SANLING 2025</t>
  </si>
  <si>
    <t>Satria Rizky</t>
  </si>
  <si>
    <t>Aldi</t>
  </si>
  <si>
    <t>fenny</t>
  </si>
  <si>
    <t>add 10R</t>
  </si>
  <si>
    <t>Nia N</t>
  </si>
  <si>
    <t>Maryam Sari</t>
  </si>
  <si>
    <t>aksioma smaga</t>
  </si>
  <si>
    <t>eriza</t>
  </si>
  <si>
    <t>29 feb</t>
  </si>
  <si>
    <t>Ilham</t>
  </si>
  <si>
    <t>Gina Pertiwi</t>
  </si>
  <si>
    <t>31 maret</t>
  </si>
  <si>
    <t>Fenny</t>
  </si>
  <si>
    <t>Add Edit</t>
  </si>
  <si>
    <t>Naya</t>
  </si>
  <si>
    <t>PENTIL</t>
  </si>
  <si>
    <t>Aksioma Smaga</t>
  </si>
  <si>
    <t>Novelin</t>
  </si>
  <si>
    <t>karin</t>
  </si>
  <si>
    <t xml:space="preserve"> Chesta</t>
  </si>
  <si>
    <t>Team Buaya alas</t>
  </si>
  <si>
    <t>Elda</t>
  </si>
  <si>
    <t>Samsul</t>
  </si>
  <si>
    <t>SunnyFlorist</t>
  </si>
  <si>
    <t>Concept</t>
  </si>
  <si>
    <t xml:space="preserve">Riko </t>
  </si>
  <si>
    <t>7 desember</t>
  </si>
  <si>
    <t>Nabilla</t>
  </si>
  <si>
    <t>hanif</t>
  </si>
  <si>
    <t xml:space="preserve"> Gabe Gain</t>
  </si>
  <si>
    <t>Gabe Gain</t>
  </si>
  <si>
    <t>Zahrin Julia Paryoga</t>
  </si>
  <si>
    <t>Rifa</t>
  </si>
  <si>
    <t>Septi</t>
  </si>
  <si>
    <t>Steven Dinata</t>
  </si>
  <si>
    <t>Bima</t>
  </si>
  <si>
    <t>Add Canvas</t>
  </si>
  <si>
    <t>16RS</t>
  </si>
  <si>
    <t xml:space="preserve">Yuni </t>
  </si>
  <si>
    <t>add 16Rs canvas</t>
  </si>
  <si>
    <t>Chesta</t>
  </si>
  <si>
    <t xml:space="preserve">Team Buaya </t>
  </si>
  <si>
    <t>add 5r</t>
  </si>
  <si>
    <t>add edit 3</t>
  </si>
  <si>
    <t>Cardrider</t>
  </si>
  <si>
    <t>Leni Oktapiani</t>
  </si>
  <si>
    <t>galon</t>
  </si>
  <si>
    <t>Ade Ulya</t>
  </si>
  <si>
    <t>Dinda</t>
  </si>
  <si>
    <t>Rini</t>
  </si>
  <si>
    <t>konstruksi UPT pwt</t>
  </si>
  <si>
    <t>Eriza</t>
  </si>
  <si>
    <t>Najwa</t>
  </si>
  <si>
    <t>Dhiva Lefrysa</t>
  </si>
  <si>
    <t>Jeannery Cesare</t>
  </si>
  <si>
    <t>Azzahra Farelika</t>
  </si>
  <si>
    <t>Putri Maesaroh</t>
  </si>
  <si>
    <t>Yunita</t>
  </si>
  <si>
    <t>KKN DESA KARANGBAWANG</t>
  </si>
  <si>
    <t>Couple B</t>
  </si>
  <si>
    <t>Ainur</t>
  </si>
  <si>
    <t>BCPSukses</t>
  </si>
  <si>
    <t>Iza</t>
  </si>
  <si>
    <t>Fidela Marshallwa</t>
  </si>
  <si>
    <t>Rafi</t>
  </si>
  <si>
    <t>Yori</t>
  </si>
  <si>
    <t>Prewedding 1,6 jt</t>
  </si>
  <si>
    <t>Gojek</t>
  </si>
  <si>
    <t>ADIF HANIF</t>
  </si>
  <si>
    <t>BCP SUKSES</t>
  </si>
  <si>
    <t>20% (Repeat Order)</t>
  </si>
  <si>
    <t>Sunny Flosrist</t>
  </si>
  <si>
    <t>Pustakawan spaal</t>
  </si>
  <si>
    <t>Rosita</t>
  </si>
  <si>
    <t>Fidela</t>
  </si>
  <si>
    <t>Dewi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</si>
</sst>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 mmmm yyyy"/>
    <numFmt numFmtId="166" formatCode="d mmm"/>
    <numFmt numFmtId="167" formatCode="d mmm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/>
    <font>
      <b/>
      <i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i/>
      <color theme="1"/>
      <name val="Arial"/>
    </font>
    <font>
      <b/>
      <color theme="1"/>
      <name val="Helvetica Neue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4A86E8"/>
        <bgColor rgb="FF4A86E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6" fillId="2" fontId="3" numFmtId="0" xfId="0" applyAlignment="1" applyBorder="1" applyFill="1" applyFont="1">
      <alignment horizontal="center" readingOrder="0" vertical="center"/>
    </xf>
    <xf borderId="6" fillId="3" fontId="3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right" readingOrder="0" vertical="center"/>
    </xf>
    <xf borderId="6" fillId="0" fontId="5" numFmtId="164" xfId="0" applyAlignment="1" applyBorder="1" applyFont="1" applyNumberFormat="1">
      <alignment horizontal="right" readingOrder="0" vertical="center"/>
    </xf>
    <xf borderId="6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7" fillId="0" fontId="6" numFmtId="0" xfId="0" applyAlignment="1" applyBorder="1" applyFont="1">
      <alignment horizontal="center" readingOrder="0" vertical="bottom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right" vertical="center"/>
    </xf>
    <xf borderId="6" fillId="0" fontId="1" numFmtId="0" xfId="0" applyAlignment="1" applyBorder="1" applyFont="1">
      <alignment horizontal="center" vertical="center"/>
    </xf>
    <xf borderId="6" fillId="0" fontId="5" numFmtId="164" xfId="0" applyAlignment="1" applyBorder="1" applyFont="1" applyNumberFormat="1">
      <alignment horizontal="right" vertical="center"/>
    </xf>
    <xf borderId="6" fillId="0" fontId="1" numFmtId="166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4" fontId="2" numFmtId="164" xfId="0" applyAlignment="1" applyBorder="1" applyFill="1" applyFont="1" applyNumberFormat="1">
      <alignment horizontal="center" vertical="center"/>
    </xf>
    <xf borderId="5" fillId="5" fontId="5" numFmtId="164" xfId="0" applyAlignment="1" applyBorder="1" applyFill="1" applyFont="1" applyNumberFormat="1">
      <alignment horizontal="center" vertical="center"/>
    </xf>
    <xf borderId="6" fillId="2" fontId="1" numFmtId="0" xfId="0" applyAlignment="1" applyBorder="1" applyFill="1" applyFont="1">
      <alignment horizontal="center" readingOrder="0" vertical="center"/>
    </xf>
    <xf borderId="6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left" readingOrder="0" vertical="center"/>
    </xf>
    <xf borderId="8" fillId="0" fontId="2" numFmtId="164" xfId="0" applyAlignment="1" applyBorder="1" applyFont="1" applyNumberFormat="1">
      <alignment horizontal="right" vertical="center"/>
    </xf>
    <xf borderId="0" fillId="0" fontId="1" numFmtId="164" xfId="0" applyAlignment="1" applyFont="1" applyNumberFormat="1">
      <alignment horizontal="right" vertical="center"/>
    </xf>
    <xf borderId="1" fillId="6" fontId="1" numFmtId="0" xfId="0" applyAlignment="1" applyBorder="1" applyFill="1" applyFont="1">
      <alignment horizontal="left" readingOrder="0" vertical="center"/>
    </xf>
    <xf borderId="8" fillId="7" fontId="2" numFmtId="0" xfId="0" applyAlignment="1" applyBorder="1" applyFill="1" applyFont="1">
      <alignment horizontal="center" readingOrder="0" vertical="center"/>
    </xf>
    <xf borderId="8" fillId="7" fontId="2" numFmtId="0" xfId="0" applyAlignment="1" applyBorder="1" applyFill="1" applyFont="1">
      <alignment horizontal="left" readingOrder="0" vertical="center"/>
    </xf>
    <xf borderId="8" fillId="7" fontId="2" numFmtId="164" xfId="0" applyAlignment="1" applyBorder="1" applyFill="1" applyFont="1" applyNumberForma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5" fillId="6" fontId="1" numFmtId="0" xfId="0" applyAlignment="1" applyBorder="1" applyFill="1" applyFont="1">
      <alignment horizontal="left" readingOrder="0" vertical="center"/>
    </xf>
    <xf borderId="5" fillId="0" fontId="1" numFmtId="0" xfId="0" applyAlignment="1" applyBorder="1" applyFont="1">
      <alignment horizontal="center" readingOrder="0" vertical="center"/>
    </xf>
    <xf borderId="8" fillId="0" fontId="2" numFmtId="164" xfId="0" applyAlignment="1" applyBorder="1" applyFont="1" applyNumberFormat="1">
      <alignment horizontal="right" readingOrder="0" vertical="center"/>
    </xf>
    <xf borderId="8" fillId="4" fontId="1" numFmtId="0" xfId="0" applyAlignment="1" applyBorder="1" applyFill="1" applyFont="1">
      <alignment horizontal="left" readingOrder="0" vertical="center"/>
    </xf>
    <xf borderId="5" fillId="4" fontId="1" numFmtId="0" xfId="0" applyAlignment="1" applyBorder="1" applyFill="1" applyFont="1">
      <alignment horizontal="left" readingOrder="0" vertical="center"/>
    </xf>
    <xf borderId="8" fillId="0" fontId="2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8" fillId="7" fontId="2" numFmtId="0" xfId="0" applyAlignment="1" applyBorder="1" applyFill="1" applyFont="1">
      <alignment horizontal="left" vertical="center"/>
    </xf>
    <xf borderId="8" fillId="7" fontId="2" numFmtId="164" xfId="0" applyAlignment="1" applyBorder="1" applyFill="1" applyFont="1" applyNumberFormat="1">
      <alignment horizontal="right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vertical="center"/>
    </xf>
    <xf borderId="5" fillId="0" fontId="2" numFmtId="164" xfId="0" applyAlignment="1" applyBorder="1" applyFont="1" applyNumberFormat="1">
      <alignment horizontal="right" vertical="center"/>
    </xf>
    <xf borderId="6" fillId="8" fontId="2" numFmtId="164" xfId="0" applyAlignment="1" applyBorder="1" applyFill="1" applyFont="1" applyNumberFormat="1">
      <alignment horizontal="center" vertical="center"/>
    </xf>
    <xf borderId="6" fillId="0" fontId="1" numFmtId="165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6" fillId="0" fontId="1" numFmtId="167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6" fillId="0" fontId="7" numFmtId="0" xfId="0" applyAlignment="1" applyBorder="1" applyFont="1">
      <alignment horizontal="center"/>
    </xf>
    <xf borderId="6" fillId="9" fontId="1" numFmtId="0" xfId="0" applyAlignment="1" applyBorder="1" applyFill="1" applyFont="1">
      <alignment horizontal="center" readingOrder="0"/>
    </xf>
    <xf borderId="6" fillId="0" fontId="7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6" fillId="0" fontId="6" numFmtId="166" xfId="0" applyAlignment="1" applyBorder="1" applyFont="1" applyNumberFormat="1">
      <alignment horizontal="center"/>
    </xf>
    <xf borderId="2" fillId="0" fontId="6" numFmtId="164" xfId="0" applyBorder="1" applyFont="1" applyNumberFormat="1"/>
    <xf borderId="6" fillId="0" fontId="8" numFmtId="164" xfId="0" applyAlignment="1" applyBorder="1" applyFont="1" applyNumberFormat="1">
      <alignment horizontal="right"/>
    </xf>
    <xf borderId="6" fillId="0" fontId="6" numFmtId="0" xfId="0" applyAlignment="1" applyBorder="1" applyFont="1">
      <alignment horizontal="center"/>
    </xf>
    <xf borderId="6" fillId="0" fontId="6" numFmtId="0" xfId="0" applyBorder="1" applyFont="1"/>
    <xf borderId="6" fillId="0" fontId="1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/>
    </xf>
    <xf borderId="9" fillId="0" fontId="9" numFmtId="0" xfId="0" applyAlignment="1" applyBorder="1" applyFont="1">
      <alignment horizontal="center" readingOrder="0" vertical="bottom"/>
    </xf>
    <xf borderId="8" fillId="7" fontId="7" numFmtId="0" xfId="0" applyBorder="1" applyFill="1" applyFont="1"/>
    <xf borderId="8" fillId="7" fontId="7" numFmtId="164" xfId="0" applyAlignment="1" applyBorder="1" applyFill="1" applyFont="1" applyNumberFormat="1">
      <alignment horizontal="right"/>
    </xf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</v>
      </c>
      <c r="D4" s="16" t="s">
        <v>22</v>
      </c>
      <c r="E4" s="17"/>
      <c r="F4" s="14" t="s">
        <v>23</v>
      </c>
      <c r="G4" s="18"/>
      <c r="H4" s="19">
        <v>100000.0</v>
      </c>
      <c r="I4" s="20" t="s">
        <v>26</v>
      </c>
      <c r="J4" s="20"/>
      <c r="K4" s="20"/>
      <c r="L4" s="20" t="s">
        <v>29</v>
      </c>
      <c r="M4" s="20"/>
      <c r="N4" s="21" t="s">
        <v>31</v>
      </c>
      <c r="O4" s="21" t="s">
        <v>31</v>
      </c>
      <c r="P4" s="22">
        <v>45231.0</v>
      </c>
      <c r="Q4" s="1"/>
      <c r="R4" s="1"/>
    </row>
    <row r="5">
      <c r="A5" s="1"/>
      <c r="B5" s="14">
        <v>2.0</v>
      </c>
      <c r="C5" s="23" t="s">
        <v>33</v>
      </c>
      <c r="D5" s="16" t="s">
        <v>34</v>
      </c>
      <c r="E5" s="17"/>
      <c r="F5" s="14" t="s">
        <v>35</v>
      </c>
      <c r="G5" s="18">
        <v>100000.0</v>
      </c>
      <c r="H5" s="19"/>
      <c r="I5" s="20" t="s">
        <v>27</v>
      </c>
      <c r="J5" s="20" t="s">
        <v>28</v>
      </c>
      <c r="K5" s="20" t="s">
        <v>28</v>
      </c>
      <c r="L5" s="20" t="s">
        <v>29</v>
      </c>
      <c r="M5" s="20"/>
      <c r="N5" s="24" t="s">
        <v>28</v>
      </c>
      <c r="O5" s="24"/>
      <c r="P5" s="25"/>
      <c r="Q5" s="1"/>
      <c r="R5" s="1"/>
    </row>
    <row r="6">
      <c r="A6" s="1"/>
      <c r="B6" s="14">
        <v>3.0</v>
      </c>
      <c r="C6" s="15" t="s">
        <v>41</v>
      </c>
      <c r="D6" s="16" t="s">
        <v>42</v>
      </c>
      <c r="E6" s="17"/>
      <c r="F6" s="14" t="s">
        <v>35</v>
      </c>
      <c r="G6" s="26"/>
      <c r="H6" s="19">
        <v>100000.0</v>
      </c>
      <c r="I6" s="20" t="s">
        <v>26</v>
      </c>
      <c r="J6" s="20"/>
      <c r="K6" s="20"/>
      <c r="L6" s="20" t="s">
        <v>29</v>
      </c>
      <c r="M6" s="27"/>
      <c r="N6" s="24" t="s">
        <v>28</v>
      </c>
      <c r="O6" s="24"/>
      <c r="P6" s="25"/>
      <c r="Q6" s="1"/>
      <c r="R6" s="1"/>
    </row>
    <row r="7">
      <c r="A7" s="1"/>
      <c r="B7" s="14">
        <v>4.0</v>
      </c>
      <c r="C7" s="15" t="s">
        <v>19</v>
      </c>
      <c r="D7" s="16" t="s">
        <v>22</v>
      </c>
      <c r="E7" s="17"/>
      <c r="F7" s="14" t="s">
        <v>23</v>
      </c>
      <c r="G7" s="18"/>
      <c r="H7" s="19">
        <v>100000.0</v>
      </c>
      <c r="I7" s="20" t="s">
        <v>26</v>
      </c>
      <c r="J7" s="20"/>
      <c r="K7" s="20"/>
      <c r="L7" s="20" t="s">
        <v>29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48</v>
      </c>
      <c r="D8" s="16" t="s">
        <v>42</v>
      </c>
      <c r="E8" s="17"/>
      <c r="F8" s="14" t="s">
        <v>35</v>
      </c>
      <c r="G8" s="18"/>
      <c r="H8" s="19">
        <v>100000.0</v>
      </c>
      <c r="I8" s="20" t="s">
        <v>26</v>
      </c>
      <c r="J8" s="20"/>
      <c r="K8" s="20"/>
      <c r="L8" s="20" t="s">
        <v>29</v>
      </c>
      <c r="M8" s="27"/>
      <c r="N8" s="24"/>
      <c r="O8" s="25"/>
      <c r="P8" s="25"/>
      <c r="Q8" s="1"/>
      <c r="R8" s="1"/>
    </row>
    <row r="9">
      <c r="A9" s="1"/>
      <c r="B9" s="14">
        <v>6.0</v>
      </c>
      <c r="C9" s="15" t="s">
        <v>48</v>
      </c>
      <c r="D9" s="16" t="s">
        <v>42</v>
      </c>
      <c r="E9" s="17"/>
      <c r="F9" s="14" t="s">
        <v>35</v>
      </c>
      <c r="G9" s="18"/>
      <c r="H9" s="19">
        <v>250000.0</v>
      </c>
      <c r="I9" s="20" t="s">
        <v>27</v>
      </c>
      <c r="J9" s="20" t="s">
        <v>28</v>
      </c>
      <c r="K9" s="20" t="s">
        <v>28</v>
      </c>
      <c r="L9" s="20" t="s">
        <v>29</v>
      </c>
      <c r="M9" s="27"/>
      <c r="N9" s="24" t="s">
        <v>28</v>
      </c>
      <c r="O9" s="24" t="s">
        <v>46</v>
      </c>
      <c r="P9" s="25"/>
      <c r="Q9" s="1"/>
      <c r="R9" s="1"/>
    </row>
    <row r="10">
      <c r="A10" s="1"/>
      <c r="B10" s="14">
        <v>7.0</v>
      </c>
      <c r="C10" s="15" t="s">
        <v>41</v>
      </c>
      <c r="D10" s="16" t="s">
        <v>42</v>
      </c>
      <c r="E10" s="17"/>
      <c r="F10" s="14" t="s">
        <v>54</v>
      </c>
      <c r="G10" s="18">
        <v>250000.0</v>
      </c>
      <c r="H10" s="28"/>
      <c r="I10" s="20" t="s">
        <v>27</v>
      </c>
      <c r="J10" s="20" t="s">
        <v>28</v>
      </c>
      <c r="K10" s="20" t="s">
        <v>28</v>
      </c>
      <c r="L10" s="20" t="s">
        <v>30</v>
      </c>
      <c r="M10" s="20" t="s">
        <v>58</v>
      </c>
      <c r="N10" s="24" t="s">
        <v>28</v>
      </c>
      <c r="O10" s="24" t="s">
        <v>46</v>
      </c>
      <c r="P10" s="25"/>
      <c r="Q10" s="1"/>
      <c r="R10" s="1"/>
    </row>
    <row r="11">
      <c r="A11" s="1"/>
      <c r="B11" s="14">
        <v>8.0</v>
      </c>
      <c r="C11" s="15" t="s">
        <v>59</v>
      </c>
      <c r="D11" s="16" t="s">
        <v>60</v>
      </c>
      <c r="E11" s="17"/>
      <c r="F11" s="14" t="s">
        <v>35</v>
      </c>
      <c r="G11" s="18"/>
      <c r="H11" s="19">
        <v>340000.0</v>
      </c>
      <c r="I11" s="20" t="s">
        <v>27</v>
      </c>
      <c r="J11" s="20" t="s">
        <v>28</v>
      </c>
      <c r="K11" s="20" t="s">
        <v>44</v>
      </c>
      <c r="L11" s="20" t="s">
        <v>30</v>
      </c>
      <c r="M11" s="20" t="s">
        <v>58</v>
      </c>
      <c r="N11" s="24" t="s">
        <v>28</v>
      </c>
      <c r="O11" s="24" t="s">
        <v>46</v>
      </c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350000</v>
      </c>
      <c r="H19" s="34">
        <f t="shared" si="1"/>
        <v>990000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350000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29</v>
      </c>
      <c r="P23" s="1"/>
      <c r="Q23" s="1"/>
      <c r="R23" s="1"/>
    </row>
    <row r="24">
      <c r="A24" s="1"/>
      <c r="B24" s="43">
        <v>2.0</v>
      </c>
      <c r="C24" s="44" t="s">
        <v>73</v>
      </c>
      <c r="D24" s="45">
        <v>-100000.0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 t="s">
        <v>75</v>
      </c>
      <c r="D25" s="49">
        <v>-100000.0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32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150000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19</v>
      </c>
      <c r="D4" s="16" t="s">
        <v>22</v>
      </c>
      <c r="E4" s="17"/>
      <c r="F4" s="14" t="s">
        <v>23</v>
      </c>
      <c r="G4" s="18">
        <v>375000.0</v>
      </c>
      <c r="H4" s="19"/>
      <c r="I4" s="20" t="s">
        <v>27</v>
      </c>
      <c r="J4" s="20" t="s">
        <v>28</v>
      </c>
      <c r="K4" s="20" t="s">
        <v>28</v>
      </c>
      <c r="L4" s="20" t="s">
        <v>30</v>
      </c>
      <c r="M4" s="20" t="s">
        <v>32</v>
      </c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37</v>
      </c>
      <c r="D5" s="16" t="s">
        <v>22</v>
      </c>
      <c r="E5" s="17"/>
      <c r="F5" s="14" t="s">
        <v>23</v>
      </c>
      <c r="G5" s="18"/>
      <c r="H5" s="19">
        <v>1150000.0</v>
      </c>
      <c r="I5" s="20" t="s">
        <v>27</v>
      </c>
      <c r="J5" s="20" t="s">
        <v>28</v>
      </c>
      <c r="K5" s="20" t="s">
        <v>44</v>
      </c>
      <c r="L5" s="20" t="s">
        <v>45</v>
      </c>
      <c r="M5" s="20" t="s">
        <v>32</v>
      </c>
      <c r="N5" s="24" t="s">
        <v>28</v>
      </c>
      <c r="O5" s="24" t="s">
        <v>46</v>
      </c>
      <c r="P5" s="25"/>
      <c r="Q5" s="1"/>
      <c r="R5" s="1"/>
    </row>
    <row r="6">
      <c r="A6" s="1"/>
      <c r="B6" s="14">
        <v>3.0</v>
      </c>
      <c r="C6" s="15" t="s">
        <v>47</v>
      </c>
      <c r="D6" s="16" t="s">
        <v>22</v>
      </c>
      <c r="E6" s="17"/>
      <c r="F6" s="14" t="s">
        <v>49</v>
      </c>
      <c r="G6" s="18">
        <v>100000.0</v>
      </c>
      <c r="H6" s="19"/>
      <c r="I6" s="20" t="s">
        <v>26</v>
      </c>
      <c r="J6" s="20"/>
      <c r="K6" s="20"/>
      <c r="L6" s="20" t="s">
        <v>30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53</v>
      </c>
      <c r="D7" s="16" t="s">
        <v>22</v>
      </c>
      <c r="E7" s="17"/>
      <c r="F7" s="29">
        <v>46024.0</v>
      </c>
      <c r="G7" s="18"/>
      <c r="H7" s="19">
        <v>225000.0</v>
      </c>
      <c r="I7" s="20" t="s">
        <v>27</v>
      </c>
      <c r="J7" s="20" t="s">
        <v>28</v>
      </c>
      <c r="K7" s="20"/>
      <c r="L7" s="20" t="s">
        <v>45</v>
      </c>
      <c r="M7" s="20" t="s">
        <v>58</v>
      </c>
      <c r="N7" s="24" t="s">
        <v>28</v>
      </c>
      <c r="O7" s="24" t="s">
        <v>46</v>
      </c>
      <c r="P7" s="25"/>
      <c r="Q7" s="1"/>
      <c r="R7" s="1"/>
    </row>
    <row r="8">
      <c r="A8" s="1"/>
      <c r="B8" s="14">
        <v>5.0</v>
      </c>
      <c r="C8" s="15" t="s">
        <v>43</v>
      </c>
      <c r="D8" s="16" t="s">
        <v>22</v>
      </c>
      <c r="E8" s="17"/>
      <c r="F8" s="29">
        <v>46025.0</v>
      </c>
      <c r="G8" s="18"/>
      <c r="H8" s="19">
        <v>100000.0</v>
      </c>
      <c r="I8" s="20" t="s">
        <v>26</v>
      </c>
      <c r="J8" s="20"/>
      <c r="K8" s="20"/>
      <c r="L8" s="20" t="s">
        <v>45</v>
      </c>
      <c r="M8" s="27"/>
      <c r="N8" s="24"/>
      <c r="O8" s="25"/>
      <c r="P8" s="25"/>
      <c r="Q8" s="1"/>
      <c r="R8" s="1"/>
    </row>
    <row r="9">
      <c r="A9" s="1"/>
      <c r="B9" s="14">
        <v>6.0</v>
      </c>
      <c r="C9" s="15"/>
      <c r="D9" s="16"/>
      <c r="E9" s="17"/>
      <c r="F9" s="30"/>
      <c r="G9" s="18"/>
      <c r="H9" s="28"/>
      <c r="I9" s="20"/>
      <c r="J9" s="20"/>
      <c r="K9" s="20"/>
      <c r="L9" s="27"/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8"/>
      <c r="H10" s="28"/>
      <c r="I10" s="20"/>
      <c r="J10" s="20"/>
      <c r="K10" s="20"/>
      <c r="L10" s="27"/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475000</v>
      </c>
      <c r="H19" s="34">
        <f t="shared" si="1"/>
        <v>1475000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475000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30</v>
      </c>
      <c r="P23" s="1"/>
      <c r="Q23" s="1"/>
      <c r="R23" s="1"/>
    </row>
    <row r="24">
      <c r="A24" s="1"/>
      <c r="B24" s="43">
        <v>2.0</v>
      </c>
      <c r="C24" s="44" t="s">
        <v>81</v>
      </c>
      <c r="D24" s="45">
        <v>-16000.0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45</v>
      </c>
      <c r="P24" s="1"/>
      <c r="Q24" s="1"/>
      <c r="R24" s="1"/>
    </row>
    <row r="25">
      <c r="A25" s="1"/>
      <c r="B25" s="38">
        <v>3.0</v>
      </c>
      <c r="C25" s="39" t="s">
        <v>82</v>
      </c>
      <c r="D25" s="49">
        <v>-50000.0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32</v>
      </c>
      <c r="P25" s="1"/>
      <c r="Q25" s="1"/>
      <c r="R25" s="1"/>
    </row>
    <row r="26">
      <c r="A26" s="1"/>
      <c r="B26" s="43">
        <v>4.0</v>
      </c>
      <c r="C26" s="44" t="s">
        <v>84</v>
      </c>
      <c r="D26" s="45">
        <v>-22000.0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39" t="s">
        <v>73</v>
      </c>
      <c r="D27" s="49">
        <v>-45000.0</v>
      </c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342000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18 O23:O24">
      <formula1>"-,JIJANG,AXEL,PENTIL,FAHME,INDAH,ADDEL"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21</v>
      </c>
      <c r="D4" s="16" t="s">
        <v>22</v>
      </c>
      <c r="E4" s="17"/>
      <c r="F4" s="14" t="s">
        <v>24</v>
      </c>
      <c r="G4" s="18"/>
      <c r="H4" s="19">
        <v>100000.0</v>
      </c>
      <c r="I4" s="20" t="s">
        <v>26</v>
      </c>
      <c r="J4" s="20"/>
      <c r="K4" s="20"/>
      <c r="L4" s="20" t="s">
        <v>30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36</v>
      </c>
      <c r="D5" s="16" t="s">
        <v>22</v>
      </c>
      <c r="E5" s="17"/>
      <c r="F5" s="14" t="s">
        <v>39</v>
      </c>
      <c r="G5" s="18">
        <v>175000.0</v>
      </c>
      <c r="H5" s="19"/>
      <c r="I5" s="20" t="s">
        <v>27</v>
      </c>
      <c r="J5" s="20" t="s">
        <v>28</v>
      </c>
      <c r="K5" s="20" t="s">
        <v>28</v>
      </c>
      <c r="L5" s="20" t="s">
        <v>30</v>
      </c>
      <c r="M5" s="20" t="s">
        <v>32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43</v>
      </c>
      <c r="D6" s="16" t="s">
        <v>22</v>
      </c>
      <c r="E6" s="17"/>
      <c r="F6" s="14" t="s">
        <v>39</v>
      </c>
      <c r="G6" s="26"/>
      <c r="H6" s="19">
        <v>100000.0</v>
      </c>
      <c r="I6" s="20" t="s">
        <v>27</v>
      </c>
      <c r="J6" s="20" t="s">
        <v>28</v>
      </c>
      <c r="K6" s="20" t="s">
        <v>28</v>
      </c>
      <c r="L6" s="20" t="s">
        <v>30</v>
      </c>
      <c r="M6" s="20" t="s">
        <v>32</v>
      </c>
      <c r="N6" s="24" t="s">
        <v>28</v>
      </c>
      <c r="O6" s="24" t="s">
        <v>46</v>
      </c>
      <c r="P6" s="25"/>
      <c r="Q6" s="1"/>
      <c r="R6" s="1"/>
    </row>
    <row r="7">
      <c r="A7" s="1"/>
      <c r="B7" s="14">
        <v>4.0</v>
      </c>
      <c r="C7" s="15" t="s">
        <v>50</v>
      </c>
      <c r="D7" s="16" t="s">
        <v>22</v>
      </c>
      <c r="E7" s="17"/>
      <c r="F7" s="14" t="s">
        <v>39</v>
      </c>
      <c r="G7" s="18"/>
      <c r="H7" s="19">
        <v>100000.0</v>
      </c>
      <c r="I7" s="20" t="s">
        <v>26</v>
      </c>
      <c r="J7" s="20"/>
      <c r="K7" s="20"/>
      <c r="L7" s="20" t="s">
        <v>30</v>
      </c>
      <c r="M7" s="27"/>
      <c r="N7" s="24" t="s">
        <v>31</v>
      </c>
      <c r="O7" s="24" t="s">
        <v>31</v>
      </c>
      <c r="P7" s="25"/>
      <c r="Q7" s="1"/>
      <c r="R7" s="1"/>
    </row>
    <row r="8">
      <c r="A8" s="1"/>
      <c r="B8" s="14">
        <v>5.0</v>
      </c>
      <c r="C8" s="15" t="s">
        <v>55</v>
      </c>
      <c r="D8" s="16" t="s">
        <v>22</v>
      </c>
      <c r="E8" s="17"/>
      <c r="F8" s="14" t="s">
        <v>24</v>
      </c>
      <c r="G8" s="18"/>
      <c r="H8" s="19">
        <v>100000.0</v>
      </c>
      <c r="I8" s="20" t="s">
        <v>26</v>
      </c>
      <c r="J8" s="20"/>
      <c r="K8" s="20"/>
      <c r="L8" s="20" t="s">
        <v>30</v>
      </c>
      <c r="M8" s="27"/>
      <c r="N8" s="24"/>
      <c r="O8" s="25"/>
      <c r="P8" s="25"/>
      <c r="Q8" s="1"/>
      <c r="R8" s="1"/>
    </row>
    <row r="9">
      <c r="A9" s="1"/>
      <c r="B9" s="14">
        <v>6.0</v>
      </c>
      <c r="C9" s="15" t="s">
        <v>61</v>
      </c>
      <c r="D9" s="16" t="s">
        <v>63</v>
      </c>
      <c r="E9" s="17"/>
      <c r="F9" s="14" t="s">
        <v>64</v>
      </c>
      <c r="G9" s="18"/>
      <c r="H9" s="19">
        <v>20000.0</v>
      </c>
      <c r="I9" s="20" t="s">
        <v>27</v>
      </c>
      <c r="J9" s="20"/>
      <c r="K9" s="20"/>
      <c r="L9" s="20" t="s">
        <v>30</v>
      </c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 t="s">
        <v>50</v>
      </c>
      <c r="D10" s="16" t="s">
        <v>22</v>
      </c>
      <c r="E10" s="17"/>
      <c r="F10" s="14" t="s">
        <v>39</v>
      </c>
      <c r="G10" s="18">
        <v>100000.0</v>
      </c>
      <c r="H10" s="28"/>
      <c r="I10" s="20" t="s">
        <v>27</v>
      </c>
      <c r="J10" s="20" t="s">
        <v>28</v>
      </c>
      <c r="K10" s="20" t="s">
        <v>28</v>
      </c>
      <c r="L10" s="20" t="s">
        <v>30</v>
      </c>
      <c r="M10" s="20" t="s">
        <v>58</v>
      </c>
      <c r="N10" s="24" t="s">
        <v>28</v>
      </c>
      <c r="O10" s="24" t="s">
        <v>46</v>
      </c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275000</v>
      </c>
      <c r="H19" s="34">
        <f t="shared" si="1"/>
        <v>420000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275000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30</v>
      </c>
      <c r="P23" s="1"/>
      <c r="Q23" s="1"/>
      <c r="R23" s="1"/>
    </row>
    <row r="24">
      <c r="A24" s="1"/>
      <c r="B24" s="43">
        <v>2.0</v>
      </c>
      <c r="C24" s="44" t="s">
        <v>73</v>
      </c>
      <c r="D24" s="45">
        <v>-60000.0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 t="s">
        <v>78</v>
      </c>
      <c r="D25" s="49">
        <v>-65000.0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32</v>
      </c>
      <c r="P25" s="1"/>
      <c r="Q25" s="1"/>
      <c r="R25" s="1"/>
    </row>
    <row r="26">
      <c r="A26" s="1"/>
      <c r="B26" s="43">
        <v>4.0</v>
      </c>
      <c r="C26" s="44" t="s">
        <v>79</v>
      </c>
      <c r="D26" s="45">
        <v>-50000.0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39" t="s">
        <v>80</v>
      </c>
      <c r="D27" s="49">
        <v>-50000.0</v>
      </c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Edit,Packing"</formula1>
    </dataValidation>
    <dataValidation type="list" allowBlank="1" showDropDown="1" showErrorMessage="1" sqref="L4:L18 O23:O24">
      <formula1>"-,JIJANG,INDAH,PENTIL,FAHME"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20</v>
      </c>
      <c r="D4" s="16" t="s">
        <v>22</v>
      </c>
      <c r="E4" s="17"/>
      <c r="F4" s="14" t="s">
        <v>25</v>
      </c>
      <c r="G4" s="18"/>
      <c r="H4" s="19">
        <v>100000.0</v>
      </c>
      <c r="I4" s="20" t="s">
        <v>26</v>
      </c>
      <c r="J4" s="20"/>
      <c r="K4" s="20"/>
      <c r="L4" s="20" t="s">
        <v>29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37</v>
      </c>
      <c r="D5" s="16" t="s">
        <v>38</v>
      </c>
      <c r="E5" s="17" t="s">
        <v>40</v>
      </c>
      <c r="F5" s="14" t="s">
        <v>23</v>
      </c>
      <c r="G5" s="18"/>
      <c r="H5" s="19">
        <v>10000.0</v>
      </c>
      <c r="I5" s="20" t="s">
        <v>27</v>
      </c>
      <c r="J5" s="20"/>
      <c r="K5" s="20"/>
      <c r="L5" s="20" t="s">
        <v>29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51</v>
      </c>
      <c r="D6" s="16" t="s">
        <v>22</v>
      </c>
      <c r="E6" s="17"/>
      <c r="F6" s="14" t="s">
        <v>52</v>
      </c>
      <c r="G6" s="26"/>
      <c r="H6" s="19">
        <v>100000.0</v>
      </c>
      <c r="I6" s="20" t="s">
        <v>26</v>
      </c>
      <c r="J6" s="20"/>
      <c r="K6" s="20"/>
      <c r="L6" s="20" t="s">
        <v>29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56</v>
      </c>
      <c r="D7" s="16" t="s">
        <v>22</v>
      </c>
      <c r="E7" s="17"/>
      <c r="F7" s="14" t="s">
        <v>57</v>
      </c>
      <c r="G7" s="18">
        <v>175000.0</v>
      </c>
      <c r="H7" s="28"/>
      <c r="I7" s="20" t="s">
        <v>27</v>
      </c>
      <c r="J7" s="20" t="s">
        <v>28</v>
      </c>
      <c r="K7" s="20" t="s">
        <v>28</v>
      </c>
      <c r="L7" s="20" t="s">
        <v>29</v>
      </c>
      <c r="M7" s="20" t="s">
        <v>62</v>
      </c>
      <c r="N7" s="24" t="s">
        <v>28</v>
      </c>
      <c r="O7" s="24" t="s">
        <v>46</v>
      </c>
      <c r="P7" s="25"/>
      <c r="Q7" s="1"/>
      <c r="R7" s="1"/>
    </row>
    <row r="8">
      <c r="A8" s="1"/>
      <c r="B8" s="14">
        <v>5.0</v>
      </c>
      <c r="C8" s="15" t="s">
        <v>65</v>
      </c>
      <c r="D8" s="16" t="s">
        <v>66</v>
      </c>
      <c r="E8" s="17"/>
      <c r="F8" s="14" t="s">
        <v>57</v>
      </c>
      <c r="G8" s="18">
        <v>50000.0</v>
      </c>
      <c r="H8" s="19">
        <v>100000.0</v>
      </c>
      <c r="I8" s="20" t="s">
        <v>27</v>
      </c>
      <c r="J8" s="20" t="s">
        <v>28</v>
      </c>
      <c r="K8" s="20" t="s">
        <v>28</v>
      </c>
      <c r="L8" s="20" t="s">
        <v>29</v>
      </c>
      <c r="M8" s="20" t="s">
        <v>62</v>
      </c>
      <c r="N8" s="24" t="s">
        <v>28</v>
      </c>
      <c r="O8" s="24" t="s">
        <v>46</v>
      </c>
      <c r="P8" s="25"/>
      <c r="Q8" s="1"/>
      <c r="R8" s="1"/>
    </row>
    <row r="9">
      <c r="A9" s="1"/>
      <c r="B9" s="14">
        <v>6.0</v>
      </c>
      <c r="C9" s="15" t="s">
        <v>67</v>
      </c>
      <c r="D9" s="16" t="s">
        <v>34</v>
      </c>
      <c r="E9" s="17"/>
      <c r="F9" s="14" t="s">
        <v>57</v>
      </c>
      <c r="G9" s="18"/>
      <c r="H9" s="19">
        <v>225000.0</v>
      </c>
      <c r="I9" s="20" t="s">
        <v>27</v>
      </c>
      <c r="J9" s="20" t="s">
        <v>28</v>
      </c>
      <c r="K9" s="20" t="s">
        <v>28</v>
      </c>
      <c r="L9" s="20" t="s">
        <v>29</v>
      </c>
      <c r="M9" s="20" t="s">
        <v>62</v>
      </c>
      <c r="N9" s="24" t="s">
        <v>28</v>
      </c>
      <c r="O9" s="25"/>
      <c r="P9" s="25"/>
      <c r="Q9" s="1"/>
      <c r="R9" s="1"/>
    </row>
    <row r="10">
      <c r="A10" s="1"/>
      <c r="B10" s="14">
        <v>7.0</v>
      </c>
      <c r="C10" s="15" t="s">
        <v>68</v>
      </c>
      <c r="D10" s="16" t="s">
        <v>34</v>
      </c>
      <c r="E10" s="17"/>
      <c r="F10" s="14" t="s">
        <v>57</v>
      </c>
      <c r="G10" s="18"/>
      <c r="H10" s="19">
        <v>100000.0</v>
      </c>
      <c r="I10" s="20" t="s">
        <v>27</v>
      </c>
      <c r="J10" s="20" t="s">
        <v>28</v>
      </c>
      <c r="K10" s="20" t="s">
        <v>28</v>
      </c>
      <c r="L10" s="20" t="s">
        <v>29</v>
      </c>
      <c r="M10" s="20" t="s">
        <v>62</v>
      </c>
      <c r="N10" s="24" t="s">
        <v>28</v>
      </c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225000</v>
      </c>
      <c r="H19" s="34">
        <f t="shared" si="1"/>
        <v>635000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225000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29</v>
      </c>
      <c r="P23" s="1"/>
      <c r="Q23" s="1"/>
      <c r="R23" s="1"/>
    </row>
    <row r="24">
      <c r="A24" s="1"/>
      <c r="B24" s="43">
        <v>2.0</v>
      </c>
      <c r="C24" s="44" t="s">
        <v>78</v>
      </c>
      <c r="D24" s="45">
        <v>-25000.0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29</v>
      </c>
      <c r="P24" s="1"/>
      <c r="Q24" s="1"/>
      <c r="R24" s="1"/>
    </row>
    <row r="25">
      <c r="A25" s="1"/>
      <c r="B25" s="38">
        <v>3.0</v>
      </c>
      <c r="C25" s="39" t="s">
        <v>73</v>
      </c>
      <c r="D25" s="49">
        <v>-100000.0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62</v>
      </c>
      <c r="P25" s="1"/>
      <c r="Q25" s="1"/>
      <c r="R25" s="1"/>
    </row>
    <row r="26">
      <c r="A26" s="1"/>
      <c r="B26" s="43">
        <v>4.0</v>
      </c>
      <c r="C26" s="44" t="s">
        <v>83</v>
      </c>
      <c r="D26" s="45">
        <v>-50000.0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62</v>
      </c>
      <c r="P26" s="1"/>
      <c r="Q26" s="1"/>
      <c r="R26" s="1"/>
    </row>
    <row r="27">
      <c r="A27" s="1"/>
      <c r="B27" s="38"/>
      <c r="C27" s="39" t="s">
        <v>85</v>
      </c>
      <c r="D27" s="49">
        <v>-50000.0</v>
      </c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Edit,Add Cetak "</formula1>
    </dataValidation>
    <dataValidation type="list" allowBlank="1" showDropDown="1" showErrorMessage="1" sqref="M4:M18 O25:O26">
      <formula1>"-,VERO,FADEL,PENTIL,FAHME,HANIF "</formula1>
    </dataValidation>
    <dataValidation type="list" allowBlank="1" showDropDown="1" showErrorMessage="1" sqref="L4:L18 O23:O24">
      <formula1>"-,JIJANG,AXEL,ADDEL ,FAHME"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25.88"/>
    <col customWidth="1" min="4" max="4" width="16.0"/>
    <col customWidth="1" min="5" max="5" width="12.5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86</v>
      </c>
      <c r="D4" s="16" t="s">
        <v>63</v>
      </c>
      <c r="E4" s="17"/>
      <c r="F4" s="14" t="s">
        <v>87</v>
      </c>
      <c r="G4" s="18"/>
      <c r="H4" s="19">
        <v>20000.0</v>
      </c>
      <c r="I4" s="20" t="s">
        <v>27</v>
      </c>
      <c r="J4" s="20"/>
      <c r="K4" s="20"/>
      <c r="L4" s="20" t="s">
        <v>45</v>
      </c>
      <c r="M4" s="20"/>
      <c r="N4" s="21" t="s">
        <v>31</v>
      </c>
      <c r="O4" s="21"/>
      <c r="P4" s="22">
        <v>45231.0</v>
      </c>
      <c r="Q4" s="1"/>
      <c r="R4" s="1"/>
    </row>
    <row r="5">
      <c r="A5" s="1"/>
      <c r="B5" s="14">
        <v>2.0</v>
      </c>
      <c r="C5" s="15" t="s">
        <v>88</v>
      </c>
      <c r="D5" s="16" t="s">
        <v>22</v>
      </c>
      <c r="E5" s="17"/>
      <c r="F5" s="14" t="s">
        <v>89</v>
      </c>
      <c r="G5" s="18">
        <v>75000.0</v>
      </c>
      <c r="H5" s="19"/>
      <c r="I5" s="20" t="s">
        <v>27</v>
      </c>
      <c r="J5" s="20" t="s">
        <v>28</v>
      </c>
      <c r="K5" s="20" t="s">
        <v>28</v>
      </c>
      <c r="L5" s="20" t="s">
        <v>45</v>
      </c>
      <c r="M5" s="20" t="s">
        <v>90</v>
      </c>
      <c r="N5" s="24" t="s">
        <v>28</v>
      </c>
      <c r="O5" s="24" t="s">
        <v>46</v>
      </c>
      <c r="P5" s="25"/>
      <c r="Q5" s="1"/>
      <c r="R5" s="1"/>
    </row>
    <row r="6">
      <c r="A6" s="1"/>
      <c r="B6" s="14">
        <v>3.0</v>
      </c>
      <c r="C6" s="15" t="s">
        <v>55</v>
      </c>
      <c r="D6" s="16" t="s">
        <v>22</v>
      </c>
      <c r="E6" s="17"/>
      <c r="F6" s="14" t="s">
        <v>89</v>
      </c>
      <c r="G6" s="18">
        <v>950000.0</v>
      </c>
      <c r="H6" s="19"/>
      <c r="I6" s="20" t="s">
        <v>27</v>
      </c>
      <c r="J6" s="20" t="s">
        <v>28</v>
      </c>
      <c r="K6" s="20" t="s">
        <v>28</v>
      </c>
      <c r="L6" s="20" t="s">
        <v>45</v>
      </c>
      <c r="M6" s="20" t="s">
        <v>90</v>
      </c>
      <c r="N6" s="24" t="s">
        <v>28</v>
      </c>
      <c r="O6" s="24" t="s">
        <v>46</v>
      </c>
      <c r="P6" s="25"/>
      <c r="Q6" s="1"/>
      <c r="R6" s="1"/>
    </row>
    <row r="7">
      <c r="A7" s="1"/>
      <c r="B7" s="14">
        <v>4.0</v>
      </c>
      <c r="C7" s="15" t="s">
        <v>92</v>
      </c>
      <c r="D7" s="16" t="s">
        <v>42</v>
      </c>
      <c r="E7" s="17"/>
      <c r="F7" s="14" t="s">
        <v>93</v>
      </c>
      <c r="G7" s="18"/>
      <c r="H7" s="19">
        <v>100000.0</v>
      </c>
      <c r="I7" s="20" t="s">
        <v>26</v>
      </c>
      <c r="J7" s="20"/>
      <c r="K7" s="20"/>
      <c r="L7" s="20" t="s">
        <v>96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21</v>
      </c>
      <c r="D8" s="16" t="s">
        <v>22</v>
      </c>
      <c r="E8" s="17"/>
      <c r="F8" s="14" t="s">
        <v>24</v>
      </c>
      <c r="G8" s="18">
        <v>1025000.0</v>
      </c>
      <c r="H8" s="28"/>
      <c r="I8" s="20" t="s">
        <v>27</v>
      </c>
      <c r="J8" s="20" t="s">
        <v>28</v>
      </c>
      <c r="K8" s="20" t="s">
        <v>28</v>
      </c>
      <c r="L8" s="20" t="s">
        <v>96</v>
      </c>
      <c r="M8" s="20" t="s">
        <v>90</v>
      </c>
      <c r="N8" s="24" t="s">
        <v>28</v>
      </c>
      <c r="O8" s="24" t="s">
        <v>46</v>
      </c>
      <c r="P8" s="25"/>
      <c r="Q8" s="1"/>
      <c r="R8" s="1"/>
    </row>
    <row r="9">
      <c r="A9" s="1"/>
      <c r="B9" s="14">
        <v>6.0</v>
      </c>
      <c r="C9" s="15" t="s">
        <v>97</v>
      </c>
      <c r="D9" s="16" t="s">
        <v>22</v>
      </c>
      <c r="E9" s="17"/>
      <c r="F9" s="14" t="s">
        <v>24</v>
      </c>
      <c r="G9" s="18"/>
      <c r="H9" s="19">
        <v>275000.0</v>
      </c>
      <c r="I9" s="20" t="s">
        <v>27</v>
      </c>
      <c r="J9" s="20" t="s">
        <v>28</v>
      </c>
      <c r="K9" s="20" t="s">
        <v>28</v>
      </c>
      <c r="L9" s="20" t="s">
        <v>96</v>
      </c>
      <c r="M9" s="20" t="s">
        <v>90</v>
      </c>
      <c r="N9" s="24" t="s">
        <v>28</v>
      </c>
      <c r="O9" s="24" t="s">
        <v>46</v>
      </c>
      <c r="P9" s="25"/>
      <c r="Q9" s="1"/>
      <c r="R9" s="1"/>
    </row>
    <row r="10">
      <c r="A10" s="1"/>
      <c r="B10" s="14">
        <v>7.0</v>
      </c>
      <c r="C10" s="15" t="s">
        <v>97</v>
      </c>
      <c r="D10" s="16" t="s">
        <v>98</v>
      </c>
      <c r="E10" s="17" t="s">
        <v>99</v>
      </c>
      <c r="F10" s="14" t="s">
        <v>24</v>
      </c>
      <c r="G10" s="18"/>
      <c r="H10" s="19">
        <v>250000.0</v>
      </c>
      <c r="I10" s="20" t="s">
        <v>27</v>
      </c>
      <c r="J10" s="20"/>
      <c r="K10" s="20"/>
      <c r="L10" s="20" t="s">
        <v>96</v>
      </c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100</v>
      </c>
      <c r="D11" s="16" t="s">
        <v>22</v>
      </c>
      <c r="E11" s="17"/>
      <c r="F11" s="14" t="s">
        <v>93</v>
      </c>
      <c r="G11" s="18"/>
      <c r="H11" s="19">
        <v>100000.0</v>
      </c>
      <c r="I11" s="20" t="s">
        <v>26</v>
      </c>
      <c r="J11" s="20"/>
      <c r="K11" s="20"/>
      <c r="L11" s="20" t="s">
        <v>96</v>
      </c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104</v>
      </c>
      <c r="D12" s="16" t="s">
        <v>22</v>
      </c>
      <c r="E12" s="17"/>
      <c r="F12" s="14" t="s">
        <v>24</v>
      </c>
      <c r="G12" s="18"/>
      <c r="H12" s="18">
        <v>850000.0</v>
      </c>
      <c r="I12" s="20" t="s">
        <v>27</v>
      </c>
      <c r="J12" s="20" t="s">
        <v>28</v>
      </c>
      <c r="K12" s="20" t="s">
        <v>44</v>
      </c>
      <c r="L12" s="20" t="s">
        <v>96</v>
      </c>
      <c r="M12" s="20" t="s">
        <v>90</v>
      </c>
      <c r="N12" s="24" t="s">
        <v>28</v>
      </c>
      <c r="O12" s="24" t="s">
        <v>46</v>
      </c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2050000</v>
      </c>
      <c r="H19" s="34">
        <f t="shared" si="1"/>
        <v>1595000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2050000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 t="s">
        <v>80</v>
      </c>
      <c r="D24" s="45">
        <v>-25000.0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96</v>
      </c>
      <c r="P24" s="1"/>
      <c r="Q24" s="1"/>
      <c r="R24" s="1"/>
    </row>
    <row r="25">
      <c r="A25" s="1"/>
      <c r="B25" s="38">
        <v>3.0</v>
      </c>
      <c r="C25" s="39" t="s">
        <v>73</v>
      </c>
      <c r="D25" s="49">
        <v>-75000.0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90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90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1950000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Edit,Packing,Add 16R"</formula1>
    </dataValidation>
    <dataValidation type="list" allowBlank="1" showDropDown="1" showErrorMessage="1" sqref="M4:M6 M8:M18 O25:O26">
      <formula1>"-,VERO,FADEL,PENTIL,FAHME,ADIF "</formula1>
    </dataValidation>
    <dataValidation type="list" allowBlank="1" showDropDown="1" showErrorMessage="1" sqref="L4:L18 O23:O24">
      <formula1>"-,JIJANG,ADDEL,PENTIL,FAHME,INDAH 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7">
      <formula1>"-,VERO,FADEL,PENTIL,FAHME,ADIF ,INDAH"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91</v>
      </c>
      <c r="D4" s="16" t="s">
        <v>22</v>
      </c>
      <c r="E4" s="17" t="s">
        <v>94</v>
      </c>
      <c r="F4" s="14" t="s">
        <v>95</v>
      </c>
      <c r="G4" s="18">
        <v>250000.0</v>
      </c>
      <c r="H4" s="19"/>
      <c r="I4" s="20" t="s">
        <v>27</v>
      </c>
      <c r="J4" s="20" t="s">
        <v>28</v>
      </c>
      <c r="K4" s="20" t="s">
        <v>28</v>
      </c>
      <c r="L4" s="20" t="s">
        <v>30</v>
      </c>
      <c r="M4" s="20" t="s">
        <v>32</v>
      </c>
      <c r="N4" s="21" t="s">
        <v>28</v>
      </c>
      <c r="O4" s="21" t="s">
        <v>46</v>
      </c>
      <c r="P4" s="22">
        <v>45231.0</v>
      </c>
      <c r="Q4" s="1"/>
      <c r="R4" s="1"/>
    </row>
    <row r="5">
      <c r="A5" s="1"/>
      <c r="B5" s="14">
        <v>2.0</v>
      </c>
      <c r="C5" s="23" t="s">
        <v>101</v>
      </c>
      <c r="D5" s="16" t="s">
        <v>102</v>
      </c>
      <c r="E5" s="17"/>
      <c r="F5" s="14" t="s">
        <v>103</v>
      </c>
      <c r="G5" s="18"/>
      <c r="H5" s="19">
        <v>100000.0</v>
      </c>
      <c r="I5" s="20" t="s">
        <v>26</v>
      </c>
      <c r="J5" s="20"/>
      <c r="K5" s="20"/>
      <c r="L5" s="20" t="s">
        <v>30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105</v>
      </c>
      <c r="D6" s="16" t="s">
        <v>22</v>
      </c>
      <c r="E6" s="17"/>
      <c r="F6" s="14" t="s">
        <v>95</v>
      </c>
      <c r="G6" s="26"/>
      <c r="H6" s="19">
        <v>250000.0</v>
      </c>
      <c r="I6" s="20" t="s">
        <v>27</v>
      </c>
      <c r="J6" s="20" t="s">
        <v>28</v>
      </c>
      <c r="K6" s="20" t="s">
        <v>28</v>
      </c>
      <c r="L6" s="20" t="s">
        <v>45</v>
      </c>
      <c r="M6" s="20" t="s">
        <v>58</v>
      </c>
      <c r="N6" s="24" t="s">
        <v>28</v>
      </c>
      <c r="O6" s="24" t="s">
        <v>46</v>
      </c>
      <c r="P6" s="25"/>
      <c r="Q6" s="1"/>
      <c r="R6" s="1"/>
    </row>
    <row r="7">
      <c r="A7" s="1"/>
      <c r="B7" s="14">
        <v>4.0</v>
      </c>
      <c r="C7" s="15" t="s">
        <v>107</v>
      </c>
      <c r="D7" s="16" t="s">
        <v>108</v>
      </c>
      <c r="E7" s="17"/>
      <c r="F7" s="14" t="s">
        <v>95</v>
      </c>
      <c r="G7" s="18"/>
      <c r="H7" s="19">
        <v>50000.0</v>
      </c>
      <c r="I7" s="20" t="s">
        <v>27</v>
      </c>
      <c r="J7" s="20" t="s">
        <v>28</v>
      </c>
      <c r="K7" s="20" t="s">
        <v>44</v>
      </c>
      <c r="L7" s="20" t="s">
        <v>45</v>
      </c>
      <c r="M7" s="20" t="s">
        <v>58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110</v>
      </c>
      <c r="D8" s="16" t="s">
        <v>63</v>
      </c>
      <c r="E8" s="17"/>
      <c r="F8" s="14" t="s">
        <v>111</v>
      </c>
      <c r="G8" s="18"/>
      <c r="H8" s="19">
        <v>20000.0</v>
      </c>
      <c r="I8" s="20" t="s">
        <v>27</v>
      </c>
      <c r="J8" s="20"/>
      <c r="K8" s="20"/>
      <c r="L8" s="20" t="s">
        <v>45</v>
      </c>
      <c r="M8" s="27"/>
      <c r="N8" s="24"/>
      <c r="O8" s="25"/>
      <c r="P8" s="25"/>
      <c r="Q8" s="1"/>
      <c r="R8" s="1"/>
    </row>
    <row r="9">
      <c r="A9" s="1"/>
      <c r="B9" s="14">
        <v>6.0</v>
      </c>
      <c r="C9" s="15" t="s">
        <v>113</v>
      </c>
      <c r="D9" s="16" t="s">
        <v>22</v>
      </c>
      <c r="E9" s="17"/>
      <c r="F9" s="14" t="s">
        <v>114</v>
      </c>
      <c r="G9" s="18"/>
      <c r="H9" s="19">
        <v>100000.0</v>
      </c>
      <c r="I9" s="20" t="s">
        <v>26</v>
      </c>
      <c r="J9" s="20"/>
      <c r="K9" s="20"/>
      <c r="L9" s="20" t="s">
        <v>45</v>
      </c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8"/>
      <c r="H10" s="28"/>
      <c r="I10" s="20"/>
      <c r="J10" s="20"/>
      <c r="K10" s="20"/>
      <c r="L10" s="27"/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250000</v>
      </c>
      <c r="H19" s="34">
        <f t="shared" si="1"/>
        <v>520000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250000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30</v>
      </c>
      <c r="P23" s="1"/>
      <c r="Q23" s="1"/>
      <c r="R23" s="1"/>
    </row>
    <row r="24">
      <c r="A24" s="1"/>
      <c r="B24" s="43">
        <v>2.0</v>
      </c>
      <c r="C24" s="44" t="s">
        <v>79</v>
      </c>
      <c r="D24" s="45">
        <v>-50000.0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45</v>
      </c>
      <c r="P24" s="1"/>
      <c r="Q24" s="1"/>
      <c r="R24" s="1"/>
    </row>
    <row r="25">
      <c r="A25" s="1"/>
      <c r="B25" s="38">
        <v>3.0</v>
      </c>
      <c r="C25" s="39" t="s">
        <v>122</v>
      </c>
      <c r="D25" s="49">
        <v>-100000.0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32</v>
      </c>
      <c r="P25" s="1"/>
      <c r="Q25" s="1"/>
      <c r="R25" s="1"/>
    </row>
    <row r="26">
      <c r="A26" s="1"/>
      <c r="B26" s="43">
        <v>4.0</v>
      </c>
      <c r="C26" s="44" t="s">
        <v>85</v>
      </c>
      <c r="D26" s="45">
        <v>-50000.0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Edit,Packing"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18 O23:O24">
      <formula1>"-,JIJANG,AXEL,PENTIL,FAHME,INDAH,ADDEL"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106</v>
      </c>
      <c r="D4" s="16" t="s">
        <v>108</v>
      </c>
      <c r="E4" s="17"/>
      <c r="F4" s="14" t="s">
        <v>109</v>
      </c>
      <c r="G4" s="18"/>
      <c r="H4" s="19">
        <v>50000.0</v>
      </c>
      <c r="I4" s="20" t="s">
        <v>27</v>
      </c>
      <c r="J4" s="20" t="s">
        <v>28</v>
      </c>
      <c r="K4" s="20" t="s">
        <v>28</v>
      </c>
      <c r="L4" s="20" t="s">
        <v>30</v>
      </c>
      <c r="M4" s="20" t="s">
        <v>58</v>
      </c>
      <c r="N4" s="21" t="s">
        <v>28</v>
      </c>
      <c r="O4" s="21"/>
      <c r="P4" s="22">
        <v>45231.0</v>
      </c>
      <c r="Q4" s="1"/>
      <c r="R4" s="1"/>
    </row>
    <row r="5">
      <c r="A5" s="1"/>
      <c r="B5" s="14">
        <v>2.0</v>
      </c>
      <c r="C5" s="15"/>
      <c r="D5" s="16"/>
      <c r="E5" s="17"/>
      <c r="F5" s="60"/>
      <c r="G5" s="18"/>
      <c r="H5" s="19"/>
      <c r="I5" s="20"/>
      <c r="J5" s="20"/>
      <c r="K5" s="20"/>
      <c r="L5" s="20"/>
      <c r="M5" s="20"/>
      <c r="N5" s="24"/>
      <c r="O5" s="24"/>
      <c r="P5" s="25"/>
      <c r="Q5" s="1"/>
      <c r="R5" s="1"/>
    </row>
    <row r="6">
      <c r="A6" s="1"/>
      <c r="B6" s="14">
        <v>3.0</v>
      </c>
      <c r="C6" s="15"/>
      <c r="D6" s="16"/>
      <c r="E6" s="17"/>
      <c r="F6" s="30"/>
      <c r="G6" s="26"/>
      <c r="H6" s="19"/>
      <c r="I6" s="20"/>
      <c r="J6" s="20"/>
      <c r="K6" s="20"/>
      <c r="L6" s="27"/>
      <c r="M6" s="27"/>
      <c r="N6" s="24"/>
      <c r="O6" s="24"/>
      <c r="P6" s="25"/>
      <c r="Q6" s="1"/>
      <c r="R6" s="1"/>
    </row>
    <row r="7">
      <c r="A7" s="1"/>
      <c r="B7" s="14">
        <v>4.0</v>
      </c>
      <c r="C7" s="15"/>
      <c r="D7" s="16"/>
      <c r="E7" s="17"/>
      <c r="F7" s="30"/>
      <c r="G7" s="18"/>
      <c r="H7" s="28"/>
      <c r="I7" s="20"/>
      <c r="J7" s="20"/>
      <c r="K7" s="20"/>
      <c r="L7" s="27"/>
      <c r="M7" s="27"/>
      <c r="N7" s="24"/>
      <c r="O7" s="24"/>
      <c r="P7" s="25"/>
      <c r="Q7" s="1"/>
      <c r="R7" s="1"/>
    </row>
    <row r="8">
      <c r="A8" s="1"/>
      <c r="B8" s="14">
        <v>5.0</v>
      </c>
      <c r="C8" s="15"/>
      <c r="D8" s="16"/>
      <c r="E8" s="17"/>
      <c r="F8" s="30"/>
      <c r="G8" s="18"/>
      <c r="H8" s="28"/>
      <c r="I8" s="20"/>
      <c r="J8" s="20"/>
      <c r="K8" s="20"/>
      <c r="L8" s="27"/>
      <c r="M8" s="27"/>
      <c r="N8" s="24"/>
      <c r="O8" s="25"/>
      <c r="P8" s="25"/>
      <c r="Q8" s="1"/>
      <c r="R8" s="1"/>
    </row>
    <row r="9">
      <c r="A9" s="1"/>
      <c r="B9" s="14">
        <v>6.0</v>
      </c>
      <c r="C9" s="15"/>
      <c r="D9" s="16"/>
      <c r="E9" s="17"/>
      <c r="F9" s="30"/>
      <c r="G9" s="18"/>
      <c r="H9" s="28"/>
      <c r="I9" s="20"/>
      <c r="J9" s="20"/>
      <c r="K9" s="20"/>
      <c r="L9" s="27"/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8"/>
      <c r="H10" s="28"/>
      <c r="I10" s="20"/>
      <c r="J10" s="20"/>
      <c r="K10" s="20"/>
      <c r="L10" s="27"/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30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45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58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"-,VERO,FADEL,PENTIL,FAHME,HANIF"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8.63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112</v>
      </c>
      <c r="D4" s="16" t="s">
        <v>42</v>
      </c>
      <c r="E4" s="17"/>
      <c r="F4" s="60">
        <v>46031.0</v>
      </c>
      <c r="G4" s="18"/>
      <c r="H4" s="19">
        <v>100000.0</v>
      </c>
      <c r="I4" s="20" t="s">
        <v>26</v>
      </c>
      <c r="J4" s="20"/>
      <c r="K4" s="20"/>
      <c r="L4" s="20" t="s">
        <v>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112</v>
      </c>
      <c r="D5" s="16" t="s">
        <v>42</v>
      </c>
      <c r="E5" s="17"/>
      <c r="F5" s="14" t="s">
        <v>52</v>
      </c>
      <c r="G5" s="18"/>
      <c r="H5" s="19">
        <v>100000.0</v>
      </c>
      <c r="I5" s="20" t="s">
        <v>26</v>
      </c>
      <c r="J5" s="20"/>
      <c r="K5" s="20"/>
      <c r="L5" s="20" t="s">
        <v>45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115</v>
      </c>
      <c r="D6" s="16" t="s">
        <v>116</v>
      </c>
      <c r="E6" s="17" t="s">
        <v>117</v>
      </c>
      <c r="F6" s="14" t="s">
        <v>118</v>
      </c>
      <c r="G6" s="26"/>
      <c r="H6" s="19">
        <v>750000.0</v>
      </c>
      <c r="I6" s="20" t="s">
        <v>27</v>
      </c>
      <c r="J6" s="20"/>
      <c r="K6" s="20"/>
      <c r="L6" s="20" t="s">
        <v>30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119</v>
      </c>
      <c r="D7" s="16" t="s">
        <v>22</v>
      </c>
      <c r="E7" s="17"/>
      <c r="F7" s="14" t="s">
        <v>52</v>
      </c>
      <c r="G7" s="18"/>
      <c r="H7" s="19">
        <v>100000.0</v>
      </c>
      <c r="I7" s="20" t="s">
        <v>26</v>
      </c>
      <c r="J7" s="20"/>
      <c r="K7" s="20"/>
      <c r="L7" s="20" t="s">
        <v>30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120</v>
      </c>
      <c r="D8" s="16" t="s">
        <v>63</v>
      </c>
      <c r="E8" s="17"/>
      <c r="F8" s="14" t="s">
        <v>121</v>
      </c>
      <c r="G8" s="18"/>
      <c r="H8" s="19">
        <v>20000.0</v>
      </c>
      <c r="I8" s="20" t="s">
        <v>27</v>
      </c>
      <c r="J8" s="20"/>
      <c r="K8" s="20"/>
      <c r="L8" s="20" t="s">
        <v>30</v>
      </c>
      <c r="M8" s="27"/>
      <c r="N8" s="24"/>
      <c r="O8" s="25"/>
      <c r="P8" s="25"/>
      <c r="Q8" s="1"/>
      <c r="R8" s="1"/>
    </row>
    <row r="9">
      <c r="A9" s="1"/>
      <c r="B9" s="14">
        <v>6.0</v>
      </c>
      <c r="C9" s="15"/>
      <c r="D9" s="16"/>
      <c r="E9" s="17"/>
      <c r="F9" s="30"/>
      <c r="G9" s="18"/>
      <c r="H9" s="28"/>
      <c r="I9" s="20"/>
      <c r="J9" s="20"/>
      <c r="K9" s="20"/>
      <c r="L9" s="27"/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8"/>
      <c r="H10" s="28"/>
      <c r="I10" s="20"/>
      <c r="J10" s="20"/>
      <c r="K10" s="20"/>
      <c r="L10" s="27"/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1070000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32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Edit,Add Cetak 16R,Packing"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M4:M18 O25:O26">
      <formula1>"-,VERO,FADEL,PENTIL,ADIF,HANIF"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123</v>
      </c>
      <c r="D4" s="16" t="s">
        <v>63</v>
      </c>
      <c r="E4" s="17"/>
      <c r="F4" s="14" t="s">
        <v>87</v>
      </c>
      <c r="G4" s="18"/>
      <c r="H4" s="19">
        <v>20000.0</v>
      </c>
      <c r="I4" s="20" t="s">
        <v>27</v>
      </c>
      <c r="J4" s="20"/>
      <c r="K4" s="20"/>
      <c r="L4" s="20" t="s">
        <v>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124</v>
      </c>
      <c r="D5" s="16" t="s">
        <v>125</v>
      </c>
      <c r="E5" s="17"/>
      <c r="F5" s="60">
        <v>46067.0</v>
      </c>
      <c r="G5" s="18"/>
      <c r="H5" s="19">
        <v>150000.0</v>
      </c>
      <c r="I5" s="20" t="s">
        <v>26</v>
      </c>
      <c r="J5" s="20"/>
      <c r="K5" s="20"/>
      <c r="L5" s="20" t="s">
        <v>45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126</v>
      </c>
      <c r="D6" s="16" t="s">
        <v>22</v>
      </c>
      <c r="E6" s="17"/>
      <c r="F6" s="29">
        <v>46032.0</v>
      </c>
      <c r="G6" s="26"/>
      <c r="H6" s="19">
        <v>100000.0</v>
      </c>
      <c r="I6" s="20" t="s">
        <v>26</v>
      </c>
      <c r="J6" s="20"/>
      <c r="K6" s="20"/>
      <c r="L6" s="20" t="s">
        <v>45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127</v>
      </c>
      <c r="D7" s="16" t="s">
        <v>22</v>
      </c>
      <c r="E7" s="17"/>
      <c r="F7" s="29">
        <v>46031.0</v>
      </c>
      <c r="G7" s="18"/>
      <c r="H7" s="19">
        <v>125000.0</v>
      </c>
      <c r="I7" s="20" t="s">
        <v>27</v>
      </c>
      <c r="J7" s="20" t="s">
        <v>28</v>
      </c>
      <c r="K7" s="20" t="s">
        <v>28</v>
      </c>
      <c r="L7" s="20" t="s">
        <v>45</v>
      </c>
      <c r="M7" s="20" t="s">
        <v>90</v>
      </c>
      <c r="N7" s="24" t="s">
        <v>28</v>
      </c>
      <c r="O7" s="24" t="s">
        <v>46</v>
      </c>
      <c r="P7" s="25"/>
      <c r="Q7" s="1"/>
      <c r="R7" s="1"/>
    </row>
    <row r="8">
      <c r="A8" s="1"/>
      <c r="B8" s="14">
        <v>5.0</v>
      </c>
      <c r="C8" s="15" t="s">
        <v>128</v>
      </c>
      <c r="D8" s="16" t="s">
        <v>22</v>
      </c>
      <c r="E8" s="17"/>
      <c r="F8" s="14" t="s">
        <v>93</v>
      </c>
      <c r="G8" s="18"/>
      <c r="H8" s="19">
        <v>100000.0</v>
      </c>
      <c r="I8" s="20" t="s">
        <v>26</v>
      </c>
      <c r="J8" s="20"/>
      <c r="K8" s="20"/>
      <c r="L8" s="20" t="s">
        <v>30</v>
      </c>
      <c r="M8" s="27"/>
      <c r="N8" s="24"/>
      <c r="O8" s="25"/>
      <c r="P8" s="25"/>
      <c r="Q8" s="1"/>
      <c r="R8" s="1"/>
    </row>
    <row r="9">
      <c r="A9" s="1"/>
      <c r="B9" s="14">
        <v>6.0</v>
      </c>
      <c r="C9" s="15" t="s">
        <v>129</v>
      </c>
      <c r="D9" s="16" t="s">
        <v>125</v>
      </c>
      <c r="E9" s="17"/>
      <c r="F9" s="14" t="s">
        <v>130</v>
      </c>
      <c r="G9" s="18"/>
      <c r="H9" s="19">
        <v>100000.0</v>
      </c>
      <c r="I9" s="20" t="s">
        <v>26</v>
      </c>
      <c r="J9" s="20"/>
      <c r="K9" s="20"/>
      <c r="L9" s="20" t="s">
        <v>30</v>
      </c>
      <c r="M9" s="27"/>
      <c r="N9" s="24"/>
      <c r="O9" s="25"/>
      <c r="P9" s="25"/>
      <c r="Q9" s="1"/>
      <c r="R9" s="1"/>
    </row>
    <row r="10">
      <c r="A10" s="1"/>
      <c r="B10" s="14">
        <v>7.0</v>
      </c>
      <c r="C10" s="61" t="s">
        <v>100</v>
      </c>
      <c r="D10" s="16" t="s">
        <v>22</v>
      </c>
      <c r="E10" s="17"/>
      <c r="F10" s="14" t="s">
        <v>52</v>
      </c>
      <c r="G10" s="18">
        <v>300000.0</v>
      </c>
      <c r="H10" s="28"/>
      <c r="I10" s="20" t="s">
        <v>27</v>
      </c>
      <c r="J10" s="20" t="s">
        <v>28</v>
      </c>
      <c r="K10" s="20" t="s">
        <v>28</v>
      </c>
      <c r="L10" s="20" t="s">
        <v>30</v>
      </c>
      <c r="M10" s="20" t="s">
        <v>58</v>
      </c>
      <c r="N10" s="24" t="s">
        <v>28</v>
      </c>
      <c r="O10" s="24" t="s">
        <v>46</v>
      </c>
      <c r="P10" s="25"/>
      <c r="Q10" s="1"/>
      <c r="R10" s="1"/>
    </row>
    <row r="11">
      <c r="A11" s="1"/>
      <c r="B11" s="14">
        <v>8.0</v>
      </c>
      <c r="C11" s="15" t="s">
        <v>112</v>
      </c>
      <c r="D11" s="16" t="s">
        <v>42</v>
      </c>
      <c r="E11" s="17"/>
      <c r="F11" s="14" t="s">
        <v>52</v>
      </c>
      <c r="G11" s="18"/>
      <c r="H11" s="19">
        <v>350000.0</v>
      </c>
      <c r="I11" s="20" t="s">
        <v>27</v>
      </c>
      <c r="J11" s="20" t="s">
        <v>28</v>
      </c>
      <c r="K11" s="20" t="s">
        <v>44</v>
      </c>
      <c r="L11" s="20" t="s">
        <v>30</v>
      </c>
      <c r="M11" s="20" t="s">
        <v>58</v>
      </c>
      <c r="N11" s="24" t="s">
        <v>28</v>
      </c>
      <c r="O11" s="24" t="s">
        <v>46</v>
      </c>
      <c r="P11" s="25"/>
      <c r="Q11" s="1"/>
      <c r="R11" s="1"/>
    </row>
    <row r="12">
      <c r="A12" s="1"/>
      <c r="B12" s="14">
        <v>9.0</v>
      </c>
      <c r="C12" s="15" t="s">
        <v>51</v>
      </c>
      <c r="D12" s="16" t="s">
        <v>22</v>
      </c>
      <c r="E12" s="17"/>
      <c r="F12" s="14" t="s">
        <v>52</v>
      </c>
      <c r="G12" s="18"/>
      <c r="H12" s="19">
        <v>475000.0</v>
      </c>
      <c r="I12" s="20" t="s">
        <v>27</v>
      </c>
      <c r="J12" s="20" t="s">
        <v>28</v>
      </c>
      <c r="K12" s="20" t="s">
        <v>28</v>
      </c>
      <c r="L12" s="20" t="s">
        <v>30</v>
      </c>
      <c r="M12" s="20" t="s">
        <v>58</v>
      </c>
      <c r="N12" s="24" t="s">
        <v>28</v>
      </c>
      <c r="O12" s="24" t="s">
        <v>46</v>
      </c>
      <c r="P12" s="25"/>
      <c r="Q12" s="1"/>
      <c r="R12" s="1"/>
    </row>
    <row r="13">
      <c r="A13" s="1"/>
      <c r="B13" s="14">
        <v>10.0</v>
      </c>
      <c r="C13" s="15" t="s">
        <v>131</v>
      </c>
      <c r="D13" s="16" t="s">
        <v>22</v>
      </c>
      <c r="E13" s="17"/>
      <c r="F13" s="14" t="s">
        <v>93</v>
      </c>
      <c r="G13" s="18"/>
      <c r="H13" s="19">
        <v>100000.0</v>
      </c>
      <c r="I13" s="20" t="s">
        <v>26</v>
      </c>
      <c r="J13" s="20"/>
      <c r="K13" s="20"/>
      <c r="L13" s="20" t="s">
        <v>30</v>
      </c>
      <c r="M13" s="27"/>
      <c r="N13" s="24"/>
      <c r="O13" s="25"/>
      <c r="P13" s="25"/>
      <c r="Q13" s="1"/>
      <c r="R13" s="1"/>
    </row>
    <row r="14">
      <c r="A14" s="1"/>
      <c r="B14" s="30"/>
      <c r="C14" s="15" t="s">
        <v>132</v>
      </c>
      <c r="D14" s="16" t="s">
        <v>133</v>
      </c>
      <c r="E14" s="17"/>
      <c r="F14" s="14" t="s">
        <v>25</v>
      </c>
      <c r="G14" s="18"/>
      <c r="H14" s="19">
        <v>100000.0</v>
      </c>
      <c r="I14" s="20" t="s">
        <v>26</v>
      </c>
      <c r="J14" s="20"/>
      <c r="K14" s="20"/>
      <c r="L14" s="20" t="s">
        <v>30</v>
      </c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300000</v>
      </c>
      <c r="H19" s="34">
        <f t="shared" si="1"/>
        <v>1620000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300000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 t="s">
        <v>82</v>
      </c>
      <c r="D24" s="45">
        <v>-100000.0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 t="s">
        <v>79</v>
      </c>
      <c r="D25" s="49">
        <v>-100000.0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90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100000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"-,JIJANG,AXEL,PENTIL,FAHME,ADDEL,INDAH"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Edit,Packing"</formula1>
    </dataValidation>
    <dataValidation type="list" allowBlank="1" showDropDown="1" showErrorMessage="1" sqref="M4:M18 O25:O26">
      <formula1>"-,VERO,FADEL,PENTIL,FAHME,ADIF ,HANIF"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126</v>
      </c>
      <c r="D4" s="16" t="s">
        <v>22</v>
      </c>
      <c r="E4" s="17"/>
      <c r="F4" s="14" t="s">
        <v>93</v>
      </c>
      <c r="G4" s="18">
        <v>375000.0</v>
      </c>
      <c r="H4" s="19"/>
      <c r="I4" s="20" t="s">
        <v>27</v>
      </c>
      <c r="J4" s="20" t="s">
        <v>28</v>
      </c>
      <c r="K4" s="20" t="s">
        <v>28</v>
      </c>
      <c r="L4" s="20" t="s">
        <v>30</v>
      </c>
      <c r="M4" s="20" t="s">
        <v>32</v>
      </c>
      <c r="N4" s="21" t="s">
        <v>28</v>
      </c>
      <c r="O4" s="21" t="s">
        <v>46</v>
      </c>
      <c r="P4" s="22">
        <v>45231.0</v>
      </c>
      <c r="Q4" s="1"/>
      <c r="R4" s="1"/>
    </row>
    <row r="5">
      <c r="A5" s="1"/>
      <c r="B5" s="14">
        <v>2.0</v>
      </c>
      <c r="C5" s="15" t="s">
        <v>134</v>
      </c>
      <c r="D5" s="16" t="s">
        <v>22</v>
      </c>
      <c r="E5" s="17"/>
      <c r="F5" s="14" t="s">
        <v>93</v>
      </c>
      <c r="G5" s="18">
        <v>1150000.0</v>
      </c>
      <c r="H5" s="19"/>
      <c r="I5" s="20" t="s">
        <v>27</v>
      </c>
      <c r="J5" s="20" t="s">
        <v>28</v>
      </c>
      <c r="K5" s="20" t="s">
        <v>44</v>
      </c>
      <c r="L5" s="20" t="s">
        <v>30</v>
      </c>
      <c r="M5" s="20" t="s">
        <v>32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135</v>
      </c>
      <c r="D6" s="16" t="s">
        <v>22</v>
      </c>
      <c r="E6" s="17"/>
      <c r="F6" s="14" t="s">
        <v>93</v>
      </c>
      <c r="G6" s="18">
        <v>1150000.0</v>
      </c>
      <c r="H6" s="19"/>
      <c r="I6" s="20" t="s">
        <v>27</v>
      </c>
      <c r="J6" s="20" t="s">
        <v>28</v>
      </c>
      <c r="K6" s="20" t="s">
        <v>28</v>
      </c>
      <c r="L6" s="20" t="s">
        <v>30</v>
      </c>
      <c r="M6" s="20" t="s">
        <v>32</v>
      </c>
      <c r="N6" s="24" t="s">
        <v>28</v>
      </c>
      <c r="O6" s="24" t="s">
        <v>46</v>
      </c>
      <c r="P6" s="25"/>
      <c r="Q6" s="1"/>
      <c r="R6" s="1"/>
    </row>
    <row r="7">
      <c r="A7" s="1"/>
      <c r="B7" s="14">
        <v>4.0</v>
      </c>
      <c r="C7" s="15" t="s">
        <v>136</v>
      </c>
      <c r="D7" s="16" t="s">
        <v>22</v>
      </c>
      <c r="E7" s="17"/>
      <c r="F7" s="14" t="s">
        <v>93</v>
      </c>
      <c r="G7" s="18">
        <v>1475000.0</v>
      </c>
      <c r="H7" s="28"/>
      <c r="I7" s="20" t="s">
        <v>27</v>
      </c>
      <c r="J7" s="20" t="s">
        <v>28</v>
      </c>
      <c r="K7" s="20" t="s">
        <v>28</v>
      </c>
      <c r="L7" s="20" t="s">
        <v>30</v>
      </c>
      <c r="M7" s="20" t="s">
        <v>32</v>
      </c>
      <c r="N7" s="24" t="s">
        <v>28</v>
      </c>
      <c r="O7" s="24" t="s">
        <v>46</v>
      </c>
      <c r="P7" s="25"/>
      <c r="Q7" s="1"/>
      <c r="R7" s="1"/>
    </row>
    <row r="8">
      <c r="A8" s="1"/>
      <c r="B8" s="14">
        <v>5.0</v>
      </c>
      <c r="C8" s="15" t="s">
        <v>128</v>
      </c>
      <c r="D8" s="16" t="s">
        <v>22</v>
      </c>
      <c r="E8" s="17"/>
      <c r="F8" s="14" t="s">
        <v>93</v>
      </c>
      <c r="G8" s="18"/>
      <c r="H8" s="19">
        <v>675000.0</v>
      </c>
      <c r="I8" s="20" t="s">
        <v>27</v>
      </c>
      <c r="J8" s="20" t="s">
        <v>28</v>
      </c>
      <c r="K8" s="20" t="s">
        <v>28</v>
      </c>
      <c r="L8" s="20" t="s">
        <v>30</v>
      </c>
      <c r="M8" s="20" t="s">
        <v>32</v>
      </c>
      <c r="N8" s="24" t="s">
        <v>28</v>
      </c>
      <c r="O8" s="24" t="s">
        <v>46</v>
      </c>
      <c r="P8" s="25"/>
      <c r="Q8" s="1"/>
      <c r="R8" s="1"/>
    </row>
    <row r="9">
      <c r="A9" s="1"/>
      <c r="B9" s="14">
        <v>6.0</v>
      </c>
      <c r="C9" s="15" t="s">
        <v>137</v>
      </c>
      <c r="D9" s="16" t="s">
        <v>22</v>
      </c>
      <c r="E9" s="17"/>
      <c r="F9" s="14" t="s">
        <v>93</v>
      </c>
      <c r="G9" s="18"/>
      <c r="H9" s="19">
        <v>425000.0</v>
      </c>
      <c r="I9" s="20" t="s">
        <v>27</v>
      </c>
      <c r="J9" s="20" t="s">
        <v>28</v>
      </c>
      <c r="K9" s="20" t="s">
        <v>44</v>
      </c>
      <c r="L9" s="20" t="s">
        <v>30</v>
      </c>
      <c r="M9" s="20" t="s">
        <v>32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138</v>
      </c>
      <c r="D10" s="16" t="s">
        <v>34</v>
      </c>
      <c r="E10" s="17"/>
      <c r="F10" s="14" t="s">
        <v>25</v>
      </c>
      <c r="G10" s="18"/>
      <c r="H10" s="19">
        <v>100000.0</v>
      </c>
      <c r="I10" s="20" t="s">
        <v>27</v>
      </c>
      <c r="J10" s="20"/>
      <c r="K10" s="20"/>
      <c r="L10" s="20" t="s">
        <v>30</v>
      </c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140</v>
      </c>
      <c r="D11" s="16" t="s">
        <v>108</v>
      </c>
      <c r="E11" s="17"/>
      <c r="F11" s="14" t="s">
        <v>93</v>
      </c>
      <c r="G11" s="18"/>
      <c r="H11" s="19">
        <v>100000.0</v>
      </c>
      <c r="I11" s="20" t="s">
        <v>27</v>
      </c>
      <c r="J11" s="20" t="s">
        <v>28</v>
      </c>
      <c r="K11" s="20" t="s">
        <v>28</v>
      </c>
      <c r="L11" s="20" t="s">
        <v>30</v>
      </c>
      <c r="M11" s="20" t="s">
        <v>32</v>
      </c>
      <c r="N11" s="24" t="s">
        <v>28</v>
      </c>
      <c r="O11" s="25"/>
      <c r="P11" s="25"/>
      <c r="Q11" s="1"/>
      <c r="R11" s="1"/>
    </row>
    <row r="12">
      <c r="A12" s="1"/>
      <c r="B12" s="14">
        <v>9.0</v>
      </c>
      <c r="C12" s="15" t="s">
        <v>92</v>
      </c>
      <c r="D12" s="16" t="s">
        <v>60</v>
      </c>
      <c r="E12" s="17"/>
      <c r="F12" s="14" t="s">
        <v>93</v>
      </c>
      <c r="G12" s="18"/>
      <c r="H12" s="19">
        <v>350000.0</v>
      </c>
      <c r="I12" s="20" t="s">
        <v>27</v>
      </c>
      <c r="J12" s="20" t="s">
        <v>28</v>
      </c>
      <c r="K12" s="20" t="s">
        <v>44</v>
      </c>
      <c r="L12" s="20" t="s">
        <v>30</v>
      </c>
      <c r="M12" s="20" t="s">
        <v>32</v>
      </c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4150000</v>
      </c>
      <c r="H19" s="34">
        <f t="shared" si="1"/>
        <v>1650000</v>
      </c>
      <c r="I19" s="1"/>
      <c r="J19" s="1" t="str">
        <f>'11'!I32</f>
        <v/>
      </c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4150000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30</v>
      </c>
      <c r="P23" s="1"/>
      <c r="Q23" s="1"/>
      <c r="R23" s="1"/>
    </row>
    <row r="24">
      <c r="A24" s="1"/>
      <c r="B24" s="43">
        <v>2.0</v>
      </c>
      <c r="C24" s="44" t="s">
        <v>73</v>
      </c>
      <c r="D24" s="45">
        <v>-150000.0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32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32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4000000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DropDown="1" showErrorMessage="1" sqref="M4:M18 O25:O26">
      <formula1>"-,VERO,FADEL,PENTIL,FAHME,HANIF,ADIF"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139</v>
      </c>
      <c r="D4" s="16" t="s">
        <v>60</v>
      </c>
      <c r="E4" s="17"/>
      <c r="F4" s="60">
        <v>46033.0</v>
      </c>
      <c r="G4" s="18"/>
      <c r="H4" s="19">
        <v>100000.0</v>
      </c>
      <c r="I4" s="20" t="s">
        <v>26</v>
      </c>
      <c r="J4" s="20"/>
      <c r="K4" s="20"/>
      <c r="L4" s="20" t="s">
        <v>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142</v>
      </c>
      <c r="D5" s="16" t="s">
        <v>34</v>
      </c>
      <c r="E5" s="17"/>
      <c r="F5" s="60">
        <v>46033.0</v>
      </c>
      <c r="G5" s="18">
        <v>0.0</v>
      </c>
      <c r="H5" s="19">
        <v>0.0</v>
      </c>
      <c r="I5" s="20" t="s">
        <v>27</v>
      </c>
      <c r="J5" s="20" t="s">
        <v>28</v>
      </c>
      <c r="K5" s="20" t="s">
        <v>28</v>
      </c>
      <c r="L5" s="20" t="s">
        <v>45</v>
      </c>
      <c r="M5" s="20" t="s">
        <v>62</v>
      </c>
      <c r="N5" s="24" t="s">
        <v>28</v>
      </c>
      <c r="O5" s="24"/>
      <c r="P5" s="25"/>
      <c r="Q5" s="1"/>
      <c r="R5" s="1"/>
    </row>
    <row r="6">
      <c r="A6" s="1"/>
      <c r="B6" s="14">
        <v>3.0</v>
      </c>
      <c r="C6" s="15" t="s">
        <v>143</v>
      </c>
      <c r="D6" s="16" t="s">
        <v>133</v>
      </c>
      <c r="E6" s="17"/>
      <c r="F6" s="29">
        <v>46033.0</v>
      </c>
      <c r="G6" s="26"/>
      <c r="H6" s="19">
        <v>350000.0</v>
      </c>
      <c r="I6" s="20" t="s">
        <v>27</v>
      </c>
      <c r="J6" s="20" t="s">
        <v>28</v>
      </c>
      <c r="K6" s="20" t="s">
        <v>44</v>
      </c>
      <c r="L6" s="20" t="s">
        <v>45</v>
      </c>
      <c r="M6" s="20" t="s">
        <v>62</v>
      </c>
      <c r="N6" s="24" t="s">
        <v>31</v>
      </c>
      <c r="O6" s="24"/>
      <c r="P6" s="25"/>
      <c r="Q6" s="1"/>
      <c r="R6" s="1"/>
    </row>
    <row r="7">
      <c r="A7" s="1"/>
      <c r="B7" s="14">
        <v>4.0</v>
      </c>
      <c r="C7" s="15" t="s">
        <v>112</v>
      </c>
      <c r="D7" s="16" t="s">
        <v>42</v>
      </c>
      <c r="E7" s="17"/>
      <c r="F7" s="29">
        <v>46033.0</v>
      </c>
      <c r="G7" s="18"/>
      <c r="H7" s="19">
        <v>470000.0</v>
      </c>
      <c r="I7" s="20" t="s">
        <v>27</v>
      </c>
      <c r="J7" s="20" t="s">
        <v>28</v>
      </c>
      <c r="K7" s="20" t="s">
        <v>44</v>
      </c>
      <c r="L7" s="20" t="s">
        <v>45</v>
      </c>
      <c r="M7" s="20" t="s">
        <v>62</v>
      </c>
      <c r="N7" s="24" t="s">
        <v>28</v>
      </c>
      <c r="O7" s="24" t="s">
        <v>46</v>
      </c>
      <c r="P7" s="25"/>
      <c r="Q7" s="1"/>
      <c r="R7" s="1"/>
    </row>
    <row r="8">
      <c r="A8" s="1"/>
      <c r="B8" s="14">
        <v>5.0</v>
      </c>
      <c r="C8" s="15" t="s">
        <v>144</v>
      </c>
      <c r="D8" s="16" t="s">
        <v>60</v>
      </c>
      <c r="E8" s="17"/>
      <c r="F8" s="29">
        <v>46033.0</v>
      </c>
      <c r="G8" s="18"/>
      <c r="H8" s="19">
        <v>450000.0</v>
      </c>
      <c r="I8" s="20" t="s">
        <v>27</v>
      </c>
      <c r="J8" s="20" t="s">
        <v>28</v>
      </c>
      <c r="K8" s="20" t="s">
        <v>28</v>
      </c>
      <c r="L8" s="20" t="s">
        <v>45</v>
      </c>
      <c r="M8" s="20" t="s">
        <v>32</v>
      </c>
      <c r="N8" s="24" t="s">
        <v>28</v>
      </c>
      <c r="O8" s="24" t="s">
        <v>46</v>
      </c>
      <c r="P8" s="25"/>
      <c r="Q8" s="1"/>
      <c r="R8" s="1"/>
    </row>
    <row r="9">
      <c r="A9" s="1"/>
      <c r="B9" s="14">
        <v>6.0</v>
      </c>
      <c r="C9" s="15" t="s">
        <v>147</v>
      </c>
      <c r="D9" s="16" t="s">
        <v>22</v>
      </c>
      <c r="E9" s="17"/>
      <c r="F9" s="29">
        <v>46033.0</v>
      </c>
      <c r="G9" s="18"/>
      <c r="H9" s="19">
        <v>100000.0</v>
      </c>
      <c r="I9" s="20" t="s">
        <v>26</v>
      </c>
      <c r="J9" s="20"/>
      <c r="K9" s="20"/>
      <c r="L9" s="20" t="s">
        <v>45</v>
      </c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8"/>
      <c r="H10" s="28"/>
      <c r="I10" s="20"/>
      <c r="J10" s="20"/>
      <c r="K10" s="20"/>
      <c r="L10" s="27"/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1470000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45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62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32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27.5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141</v>
      </c>
      <c r="D4" s="16" t="s">
        <v>116</v>
      </c>
      <c r="E4" s="17"/>
      <c r="F4" s="60">
        <v>46028.0</v>
      </c>
      <c r="G4" s="18"/>
      <c r="H4" s="19">
        <v>125000.0</v>
      </c>
      <c r="I4" s="20" t="s">
        <v>27</v>
      </c>
      <c r="J4" s="20"/>
      <c r="K4" s="20"/>
      <c r="L4" s="20" t="s">
        <v>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146</v>
      </c>
      <c r="D5" s="16" t="s">
        <v>22</v>
      </c>
      <c r="E5" s="17"/>
      <c r="F5" s="60">
        <v>46040.0</v>
      </c>
      <c r="G5" s="18">
        <v>100000.0</v>
      </c>
      <c r="H5" s="19"/>
      <c r="I5" s="20" t="s">
        <v>26</v>
      </c>
      <c r="J5" s="20"/>
      <c r="K5" s="20"/>
      <c r="L5" s="20" t="s">
        <v>45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112</v>
      </c>
      <c r="D6" s="16" t="s">
        <v>148</v>
      </c>
      <c r="E6" s="17" t="s">
        <v>149</v>
      </c>
      <c r="F6" s="62">
        <v>46031.0</v>
      </c>
      <c r="G6" s="26"/>
      <c r="H6" s="19">
        <v>410000.0</v>
      </c>
      <c r="I6" s="20" t="s">
        <v>27</v>
      </c>
      <c r="J6" s="20"/>
      <c r="K6" s="20"/>
      <c r="L6" s="20" t="s">
        <v>30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150</v>
      </c>
      <c r="D7" s="16" t="s">
        <v>22</v>
      </c>
      <c r="E7" s="17"/>
      <c r="F7" s="62">
        <v>46054.0</v>
      </c>
      <c r="G7" s="18"/>
      <c r="H7" s="19">
        <v>100000.0</v>
      </c>
      <c r="I7" s="20" t="s">
        <v>26</v>
      </c>
      <c r="J7" s="20"/>
      <c r="K7" s="20"/>
      <c r="L7" s="20" t="s">
        <v>30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151</v>
      </c>
      <c r="D8" s="16" t="s">
        <v>22</v>
      </c>
      <c r="E8" s="17"/>
      <c r="F8" s="62">
        <v>46035.0</v>
      </c>
      <c r="G8" s="18"/>
      <c r="H8" s="19">
        <v>100000.0</v>
      </c>
      <c r="I8" s="20" t="s">
        <v>26</v>
      </c>
      <c r="J8" s="20"/>
      <c r="K8" s="20"/>
      <c r="L8" s="20" t="s">
        <v>30</v>
      </c>
      <c r="M8" s="27"/>
      <c r="N8" s="24"/>
      <c r="O8" s="25"/>
      <c r="P8" s="25"/>
      <c r="Q8" s="1"/>
      <c r="R8" s="1"/>
    </row>
    <row r="9">
      <c r="A9" s="1"/>
      <c r="B9" s="14">
        <v>6.0</v>
      </c>
      <c r="C9" s="15"/>
      <c r="D9" s="16"/>
      <c r="E9" s="17"/>
      <c r="F9" s="30"/>
      <c r="G9" s="18"/>
      <c r="H9" s="28"/>
      <c r="I9" s="20"/>
      <c r="J9" s="20"/>
      <c r="K9" s="20"/>
      <c r="L9" s="27"/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8"/>
      <c r="H10" s="28"/>
      <c r="I10" s="20"/>
      <c r="J10" s="20"/>
      <c r="K10" s="20"/>
      <c r="L10" s="27"/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100000</v>
      </c>
      <c r="H19" s="34">
        <f t="shared" si="1"/>
        <v>735000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100000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 t="s">
        <v>85</v>
      </c>
      <c r="D24" s="45">
        <v>-50000.0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 t="s">
        <v>156</v>
      </c>
      <c r="D25" s="49">
        <v>-50000.0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90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Edit,Add Cetak 16R,Add Cetak 16Rs Canvas,Add Cetak,Add Cetak 12R,Add Edit"</formula1>
    </dataValidation>
    <dataValidation type="list" allowBlank="1" showDropDown="1" showErrorMessage="1" sqref="M4:M18 O25:O26">
      <formula1>"-,VERO,FADEL,PENTIL,FAHME,ADIF ,HANIF"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145</v>
      </c>
      <c r="D4" s="16" t="s">
        <v>34</v>
      </c>
      <c r="E4" s="17"/>
      <c r="F4" s="29">
        <v>46035.0</v>
      </c>
      <c r="G4" s="18"/>
      <c r="H4" s="19">
        <v>150000.0</v>
      </c>
      <c r="I4" s="20" t="s">
        <v>27</v>
      </c>
      <c r="J4" s="20" t="s">
        <v>28</v>
      </c>
      <c r="K4" s="20" t="s">
        <v>44</v>
      </c>
      <c r="L4" s="20" t="s">
        <v>45</v>
      </c>
      <c r="M4" s="20" t="s">
        <v>58</v>
      </c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151</v>
      </c>
      <c r="D5" s="16" t="s">
        <v>22</v>
      </c>
      <c r="E5" s="17" t="s">
        <v>152</v>
      </c>
      <c r="F5" s="60">
        <v>46035.0</v>
      </c>
      <c r="G5" s="18"/>
      <c r="H5" s="19">
        <v>85000.0</v>
      </c>
      <c r="I5" s="20" t="s">
        <v>27</v>
      </c>
      <c r="J5" s="20" t="s">
        <v>28</v>
      </c>
      <c r="K5" s="20" t="s">
        <v>28</v>
      </c>
      <c r="L5" s="20" t="s">
        <v>30</v>
      </c>
      <c r="M5" s="20" t="s">
        <v>32</v>
      </c>
      <c r="N5" s="24" t="s">
        <v>28</v>
      </c>
      <c r="O5" s="24"/>
      <c r="P5" s="25"/>
      <c r="Q5" s="1"/>
      <c r="R5" s="1"/>
    </row>
    <row r="6">
      <c r="A6" s="1"/>
      <c r="B6" s="14">
        <v>3.0</v>
      </c>
      <c r="C6" s="15" t="s">
        <v>153</v>
      </c>
      <c r="D6" s="16" t="s">
        <v>22</v>
      </c>
      <c r="E6" s="17"/>
      <c r="F6" s="62">
        <v>46036.0</v>
      </c>
      <c r="G6" s="26"/>
      <c r="H6" s="19">
        <v>200000.0</v>
      </c>
      <c r="I6" s="20" t="s">
        <v>27</v>
      </c>
      <c r="J6" s="20"/>
      <c r="K6" s="20"/>
      <c r="L6" s="20" t="s">
        <v>30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154</v>
      </c>
      <c r="D7" s="16" t="s">
        <v>22</v>
      </c>
      <c r="E7" s="17"/>
      <c r="F7" s="62">
        <v>46038.0</v>
      </c>
      <c r="G7" s="18"/>
      <c r="H7" s="19">
        <v>100000.0</v>
      </c>
      <c r="I7" s="20" t="s">
        <v>26</v>
      </c>
      <c r="J7" s="20"/>
      <c r="K7" s="20"/>
      <c r="L7" s="20" t="s">
        <v>30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/>
      <c r="D8" s="16"/>
      <c r="E8" s="17"/>
      <c r="F8" s="30"/>
      <c r="G8" s="18"/>
      <c r="H8" s="28"/>
      <c r="I8" s="20"/>
      <c r="J8" s="20"/>
      <c r="K8" s="20"/>
      <c r="L8" s="27"/>
      <c r="M8" s="27"/>
      <c r="N8" s="24"/>
      <c r="O8" s="25"/>
      <c r="P8" s="25"/>
      <c r="Q8" s="1"/>
      <c r="R8" s="1"/>
    </row>
    <row r="9">
      <c r="A9" s="1"/>
      <c r="B9" s="14">
        <v>6.0</v>
      </c>
      <c r="C9" s="15"/>
      <c r="D9" s="16"/>
      <c r="E9" s="17"/>
      <c r="F9" s="30"/>
      <c r="G9" s="18"/>
      <c r="H9" s="28"/>
      <c r="I9" s="20"/>
      <c r="J9" s="20"/>
      <c r="K9" s="20"/>
      <c r="L9" s="27"/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8"/>
      <c r="H10" s="28"/>
      <c r="I10" s="20"/>
      <c r="J10" s="20"/>
      <c r="K10" s="20"/>
      <c r="L10" s="27"/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535000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58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32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M4:M18 O25:O26">
      <formula1>"-,VERO,FADEL,PENTIL,FAHME,HANIF,ADIF"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155</v>
      </c>
      <c r="D4" s="16" t="s">
        <v>22</v>
      </c>
      <c r="E4" s="17"/>
      <c r="F4" s="62">
        <v>46038.0</v>
      </c>
      <c r="G4" s="18"/>
      <c r="H4" s="19">
        <v>100000.0</v>
      </c>
      <c r="I4" s="20" t="s">
        <v>26</v>
      </c>
      <c r="J4" s="20"/>
      <c r="K4" s="20"/>
      <c r="L4" s="20" t="s">
        <v>30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157</v>
      </c>
      <c r="D5" s="16" t="s">
        <v>42</v>
      </c>
      <c r="E5" s="17"/>
      <c r="F5" s="60">
        <v>46040.0</v>
      </c>
      <c r="G5" s="18"/>
      <c r="H5" s="19">
        <v>100000.0</v>
      </c>
      <c r="I5" s="20" t="s">
        <v>26</v>
      </c>
      <c r="J5" s="20"/>
      <c r="K5" s="20"/>
      <c r="L5" s="20" t="s">
        <v>30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158</v>
      </c>
      <c r="D6" s="16" t="s">
        <v>22</v>
      </c>
      <c r="E6" s="17" t="s">
        <v>94</v>
      </c>
      <c r="F6" s="62">
        <v>46036.0</v>
      </c>
      <c r="G6" s="18">
        <v>300000.0</v>
      </c>
      <c r="H6" s="19"/>
      <c r="I6" s="20" t="s">
        <v>27</v>
      </c>
      <c r="J6" s="20" t="s">
        <v>28</v>
      </c>
      <c r="K6" s="20" t="s">
        <v>28</v>
      </c>
      <c r="L6" s="20" t="s">
        <v>30</v>
      </c>
      <c r="M6" s="20" t="s">
        <v>32</v>
      </c>
      <c r="N6" s="24" t="s">
        <v>28</v>
      </c>
      <c r="O6" s="24"/>
      <c r="P6" s="25"/>
      <c r="Q6" s="1"/>
      <c r="R6" s="1"/>
    </row>
    <row r="7">
      <c r="A7" s="1"/>
      <c r="B7" s="14">
        <v>4.0</v>
      </c>
      <c r="C7" s="15" t="s">
        <v>159</v>
      </c>
      <c r="D7" s="16" t="s">
        <v>22</v>
      </c>
      <c r="E7" s="17"/>
      <c r="F7" s="62">
        <v>46038.0</v>
      </c>
      <c r="G7" s="18"/>
      <c r="H7" s="19">
        <v>150000.0</v>
      </c>
      <c r="I7" s="20" t="s">
        <v>26</v>
      </c>
      <c r="J7" s="20"/>
      <c r="K7" s="20"/>
      <c r="L7" s="20" t="s">
        <v>30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153</v>
      </c>
      <c r="D8" s="16" t="s">
        <v>22</v>
      </c>
      <c r="E8" s="17"/>
      <c r="F8" s="62">
        <v>46036.0</v>
      </c>
      <c r="G8" s="18">
        <v>0.0</v>
      </c>
      <c r="H8" s="19">
        <v>0.0</v>
      </c>
      <c r="I8" s="20" t="s">
        <v>27</v>
      </c>
      <c r="J8" s="20" t="s">
        <v>28</v>
      </c>
      <c r="K8" s="20" t="s">
        <v>28</v>
      </c>
      <c r="L8" s="20" t="s">
        <v>30</v>
      </c>
      <c r="M8" s="20" t="s">
        <v>32</v>
      </c>
      <c r="N8" s="24" t="s">
        <v>28</v>
      </c>
      <c r="O8" s="25"/>
      <c r="P8" s="25"/>
      <c r="Q8" s="1"/>
      <c r="R8" s="1"/>
    </row>
    <row r="9">
      <c r="A9" s="1"/>
      <c r="B9" s="14">
        <v>6.0</v>
      </c>
      <c r="C9" s="15" t="s">
        <v>160</v>
      </c>
      <c r="D9" s="16" t="s">
        <v>125</v>
      </c>
      <c r="E9" s="17"/>
      <c r="F9" s="62">
        <v>46067.0</v>
      </c>
      <c r="G9" s="18"/>
      <c r="H9" s="19">
        <v>100000.0</v>
      </c>
      <c r="I9" s="20" t="s">
        <v>26</v>
      </c>
      <c r="J9" s="20"/>
      <c r="K9" s="20"/>
      <c r="L9" s="20" t="s">
        <v>30</v>
      </c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 t="s">
        <v>161</v>
      </c>
      <c r="D10" s="16" t="s">
        <v>22</v>
      </c>
      <c r="E10" s="17"/>
      <c r="F10" s="62">
        <v>46039.0</v>
      </c>
      <c r="G10" s="18"/>
      <c r="H10" s="19">
        <v>100000.0</v>
      </c>
      <c r="I10" s="20" t="s">
        <v>26</v>
      </c>
      <c r="J10" s="20"/>
      <c r="K10" s="20"/>
      <c r="L10" s="20" t="s">
        <v>30</v>
      </c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162</v>
      </c>
      <c r="D11" s="16" t="s">
        <v>22</v>
      </c>
      <c r="E11" s="17"/>
      <c r="F11" s="62">
        <v>46040.0</v>
      </c>
      <c r="G11" s="18"/>
      <c r="H11" s="19">
        <v>100000.0</v>
      </c>
      <c r="I11" s="20" t="s">
        <v>26</v>
      </c>
      <c r="J11" s="20"/>
      <c r="K11" s="20"/>
      <c r="L11" s="20" t="s">
        <v>30</v>
      </c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300000</v>
      </c>
      <c r="H19" s="34">
        <f t="shared" si="1"/>
        <v>650000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300000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30</v>
      </c>
      <c r="P23" s="1"/>
      <c r="Q23" s="1"/>
      <c r="R23" s="1"/>
    </row>
    <row r="24">
      <c r="A24" s="1"/>
      <c r="B24" s="43">
        <v>2.0</v>
      </c>
      <c r="C24" s="44" t="s">
        <v>156</v>
      </c>
      <c r="D24" s="45">
        <v>-50000.0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 t="s">
        <v>73</v>
      </c>
      <c r="D25" s="49">
        <v>-50000.0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32</v>
      </c>
      <c r="P25" s="1"/>
      <c r="Q25" s="1"/>
      <c r="R25" s="1"/>
    </row>
    <row r="26">
      <c r="A26" s="1"/>
      <c r="B26" s="43">
        <v>4.0</v>
      </c>
      <c r="C26" s="44" t="s">
        <v>79</v>
      </c>
      <c r="D26" s="45">
        <v>-50000.0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32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150000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91</v>
      </c>
      <c r="D4" s="16" t="s">
        <v>163</v>
      </c>
      <c r="E4" s="17"/>
      <c r="F4" s="60">
        <v>46028.0</v>
      </c>
      <c r="G4" s="18"/>
      <c r="H4" s="19">
        <v>125000.0</v>
      </c>
      <c r="I4" s="20" t="s">
        <v>27</v>
      </c>
      <c r="J4" s="20"/>
      <c r="K4" s="20"/>
      <c r="L4" s="20" t="s">
        <v>30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164</v>
      </c>
      <c r="D5" s="16" t="s">
        <v>22</v>
      </c>
      <c r="E5" s="17"/>
      <c r="F5" s="60">
        <v>46044.0</v>
      </c>
      <c r="G5" s="18"/>
      <c r="H5" s="19">
        <v>100000.0</v>
      </c>
      <c r="I5" s="20" t="s">
        <v>26</v>
      </c>
      <c r="J5" s="20"/>
      <c r="K5" s="20"/>
      <c r="L5" s="20" t="s">
        <v>30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63" t="s">
        <v>165</v>
      </c>
      <c r="D6" s="16" t="s">
        <v>22</v>
      </c>
      <c r="E6" s="17"/>
      <c r="F6" s="62">
        <v>46060.0</v>
      </c>
      <c r="G6" s="26"/>
      <c r="H6" s="19">
        <v>150000.0</v>
      </c>
      <c r="I6" s="20" t="s">
        <v>26</v>
      </c>
      <c r="J6" s="20"/>
      <c r="K6" s="20"/>
      <c r="L6" s="20" t="s">
        <v>30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166</v>
      </c>
      <c r="D7" s="16" t="s">
        <v>22</v>
      </c>
      <c r="E7" s="17"/>
      <c r="F7" s="29">
        <v>46039.0</v>
      </c>
      <c r="G7" s="18"/>
      <c r="H7" s="19">
        <v>100000.0</v>
      </c>
      <c r="I7" s="20" t="s">
        <v>26</v>
      </c>
      <c r="J7" s="20"/>
      <c r="K7" s="20"/>
      <c r="L7" s="20" t="s">
        <v>29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167</v>
      </c>
      <c r="D8" s="16" t="s">
        <v>22</v>
      </c>
      <c r="E8" s="17"/>
      <c r="F8" s="29">
        <v>46037.0</v>
      </c>
      <c r="G8" s="18"/>
      <c r="H8" s="19">
        <v>200000.0</v>
      </c>
      <c r="I8" s="20" t="s">
        <v>27</v>
      </c>
      <c r="J8" s="20" t="s">
        <v>28</v>
      </c>
      <c r="K8" s="20" t="s">
        <v>31</v>
      </c>
      <c r="L8" s="20" t="s">
        <v>29</v>
      </c>
      <c r="M8" s="20" t="s">
        <v>58</v>
      </c>
      <c r="N8" s="24"/>
      <c r="O8" s="25"/>
      <c r="P8" s="25"/>
      <c r="Q8" s="1"/>
      <c r="R8" s="1"/>
    </row>
    <row r="9">
      <c r="A9" s="1"/>
      <c r="B9" s="14">
        <v>6.0</v>
      </c>
      <c r="C9" s="15"/>
      <c r="D9" s="16"/>
      <c r="E9" s="17"/>
      <c r="F9" s="29"/>
      <c r="G9" s="18"/>
      <c r="H9" s="19"/>
      <c r="I9" s="20"/>
      <c r="J9" s="20"/>
      <c r="K9" s="20"/>
      <c r="L9" s="20"/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8"/>
      <c r="H10" s="28"/>
      <c r="I10" s="20"/>
      <c r="J10" s="20"/>
      <c r="K10" s="20"/>
      <c r="L10" s="27"/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675000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30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29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32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O25">
      <formula1>"-,VERO,FADEL,PENTIL,FAHME,HANIF,ADIF"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6">
      <formula1>"-,VERO,FADEL,PENTIL,FAHME,HANIF"</formula1>
    </dataValidation>
    <dataValidation type="list" allowBlank="1" showDropDown="1" showErrorMessage="1" sqref="L4:L18 O23:O24">
      <formula1>"-,JIJANG,AXEL,PENTIL,FAHME,INDAH,ADDEL 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Edit,Add Frame"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9.88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154</v>
      </c>
      <c r="D4" s="16" t="s">
        <v>22</v>
      </c>
      <c r="E4" s="17"/>
      <c r="F4" s="29">
        <v>46038.0</v>
      </c>
      <c r="G4" s="18">
        <v>725000.0</v>
      </c>
      <c r="H4" s="19"/>
      <c r="I4" s="20" t="s">
        <v>27</v>
      </c>
      <c r="J4" s="20" t="s">
        <v>28</v>
      </c>
      <c r="K4" s="20" t="s">
        <v>28</v>
      </c>
      <c r="L4" s="20" t="s">
        <v>45</v>
      </c>
      <c r="M4" s="20" t="s">
        <v>62</v>
      </c>
      <c r="N4" s="21" t="s">
        <v>28</v>
      </c>
      <c r="O4" s="21" t="s">
        <v>46</v>
      </c>
      <c r="P4" s="22">
        <v>45231.0</v>
      </c>
      <c r="Q4" s="1"/>
      <c r="R4" s="1"/>
    </row>
    <row r="5">
      <c r="A5" s="1"/>
      <c r="B5" s="14">
        <v>2.0</v>
      </c>
      <c r="C5" s="15" t="s">
        <v>169</v>
      </c>
      <c r="D5" s="16" t="s">
        <v>22</v>
      </c>
      <c r="E5" s="17"/>
      <c r="F5" s="60">
        <v>46038.0</v>
      </c>
      <c r="G5" s="18">
        <v>525000.0</v>
      </c>
      <c r="H5" s="19"/>
      <c r="I5" s="20" t="s">
        <v>27</v>
      </c>
      <c r="J5" s="20" t="s">
        <v>28</v>
      </c>
      <c r="K5" s="20" t="s">
        <v>28</v>
      </c>
      <c r="L5" s="20" t="s">
        <v>45</v>
      </c>
      <c r="M5" s="20" t="s">
        <v>62</v>
      </c>
      <c r="N5" s="24" t="s">
        <v>28</v>
      </c>
      <c r="O5" s="24" t="s">
        <v>46</v>
      </c>
      <c r="P5" s="25"/>
      <c r="Q5" s="1"/>
      <c r="R5" s="1"/>
    </row>
    <row r="6">
      <c r="A6" s="1"/>
      <c r="B6" s="14">
        <v>3.0</v>
      </c>
      <c r="C6" s="15" t="s">
        <v>170</v>
      </c>
      <c r="D6" s="16" t="s">
        <v>22</v>
      </c>
      <c r="E6" s="17" t="s">
        <v>171</v>
      </c>
      <c r="F6" s="29">
        <v>46038.0</v>
      </c>
      <c r="G6" s="26"/>
      <c r="H6" s="19">
        <v>290000.0</v>
      </c>
      <c r="I6" s="20" t="s">
        <v>27</v>
      </c>
      <c r="J6" s="20" t="s">
        <v>28</v>
      </c>
      <c r="K6" s="20" t="s">
        <v>28</v>
      </c>
      <c r="L6" s="20" t="s">
        <v>45</v>
      </c>
      <c r="M6" s="20" t="s">
        <v>62</v>
      </c>
      <c r="N6" s="24" t="s">
        <v>28</v>
      </c>
      <c r="O6" s="24" t="s">
        <v>46</v>
      </c>
      <c r="P6" s="25"/>
      <c r="Q6" s="1"/>
      <c r="R6" s="1"/>
    </row>
    <row r="7">
      <c r="A7" s="1"/>
      <c r="B7" s="14">
        <v>4.0</v>
      </c>
      <c r="C7" s="15" t="s">
        <v>173</v>
      </c>
      <c r="D7" s="16" t="s">
        <v>133</v>
      </c>
      <c r="E7" s="17"/>
      <c r="F7" s="29">
        <v>46038.0</v>
      </c>
      <c r="G7" s="18"/>
      <c r="H7" s="19">
        <v>100000.0</v>
      </c>
      <c r="I7" s="20" t="s">
        <v>26</v>
      </c>
      <c r="J7" s="20"/>
      <c r="K7" s="20"/>
      <c r="L7" s="20" t="s">
        <v>45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147</v>
      </c>
      <c r="D8" s="16" t="s">
        <v>22</v>
      </c>
      <c r="E8" s="17"/>
      <c r="F8" s="29">
        <v>46038.0</v>
      </c>
      <c r="G8" s="18"/>
      <c r="H8" s="19">
        <v>750000.0</v>
      </c>
      <c r="I8" s="20" t="s">
        <v>27</v>
      </c>
      <c r="J8" s="20" t="s">
        <v>28</v>
      </c>
      <c r="K8" s="20" t="s">
        <v>28</v>
      </c>
      <c r="L8" s="20" t="s">
        <v>45</v>
      </c>
      <c r="M8" s="20" t="s">
        <v>62</v>
      </c>
      <c r="N8" s="24" t="s">
        <v>28</v>
      </c>
      <c r="O8" s="24" t="s">
        <v>46</v>
      </c>
      <c r="P8" s="25"/>
      <c r="Q8" s="1"/>
      <c r="R8" s="1"/>
    </row>
    <row r="9">
      <c r="A9" s="1"/>
      <c r="B9" s="14">
        <v>6.0</v>
      </c>
      <c r="C9" s="15" t="s">
        <v>176</v>
      </c>
      <c r="D9" s="16" t="s">
        <v>42</v>
      </c>
      <c r="E9" s="17"/>
      <c r="F9" s="29">
        <v>46061.0</v>
      </c>
      <c r="G9" s="18"/>
      <c r="H9" s="19">
        <v>100000.0</v>
      </c>
      <c r="I9" s="20" t="s">
        <v>26</v>
      </c>
      <c r="J9" s="20"/>
      <c r="K9" s="20"/>
      <c r="L9" s="20" t="s">
        <v>45</v>
      </c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 t="s">
        <v>178</v>
      </c>
      <c r="D10" s="16" t="s">
        <v>133</v>
      </c>
      <c r="E10" s="17"/>
      <c r="F10" s="29">
        <v>46038.0</v>
      </c>
      <c r="G10" s="18"/>
      <c r="H10" s="19">
        <v>350000.0</v>
      </c>
      <c r="I10" s="20" t="s">
        <v>27</v>
      </c>
      <c r="J10" s="20" t="s">
        <v>28</v>
      </c>
      <c r="K10" s="20" t="s">
        <v>28</v>
      </c>
      <c r="L10" s="20" t="s">
        <v>45</v>
      </c>
      <c r="M10" s="20" t="s">
        <v>90</v>
      </c>
      <c r="N10" s="24" t="s">
        <v>28</v>
      </c>
      <c r="O10" s="24" t="s">
        <v>46</v>
      </c>
      <c r="P10" s="25"/>
      <c r="Q10" s="1"/>
      <c r="R10" s="1"/>
    </row>
    <row r="11">
      <c r="A11" s="1"/>
      <c r="B11" s="14">
        <v>8.0</v>
      </c>
      <c r="C11" s="15" t="s">
        <v>180</v>
      </c>
      <c r="D11" s="16" t="s">
        <v>108</v>
      </c>
      <c r="E11" s="65" t="s">
        <v>181</v>
      </c>
      <c r="F11" s="29">
        <v>46038.0</v>
      </c>
      <c r="G11" s="18"/>
      <c r="H11" s="19">
        <v>50000.0</v>
      </c>
      <c r="I11" s="20" t="s">
        <v>27</v>
      </c>
      <c r="J11" s="20"/>
      <c r="K11" s="20"/>
      <c r="L11" s="20" t="s">
        <v>45</v>
      </c>
      <c r="M11" s="20" t="s">
        <v>90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159</v>
      </c>
      <c r="D12" s="16" t="s">
        <v>22</v>
      </c>
      <c r="E12" s="17"/>
      <c r="F12" s="29">
        <v>46038.0</v>
      </c>
      <c r="G12" s="18">
        <v>625000.0</v>
      </c>
      <c r="H12" s="28"/>
      <c r="I12" s="20" t="s">
        <v>27</v>
      </c>
      <c r="J12" s="20" t="s">
        <v>28</v>
      </c>
      <c r="K12" s="20" t="s">
        <v>28</v>
      </c>
      <c r="L12" s="20" t="s">
        <v>45</v>
      </c>
      <c r="M12" s="20" t="s">
        <v>90</v>
      </c>
      <c r="N12" s="24" t="s">
        <v>28</v>
      </c>
      <c r="O12" s="24" t="s">
        <v>46</v>
      </c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1875000</v>
      </c>
      <c r="H19" s="34">
        <f t="shared" si="1"/>
        <v>1640000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1875000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 t="s">
        <v>194</v>
      </c>
      <c r="D24" s="45">
        <v>-50000.0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45</v>
      </c>
      <c r="P24" s="1"/>
      <c r="Q24" s="1"/>
      <c r="R24" s="1"/>
    </row>
    <row r="25">
      <c r="A25" s="1"/>
      <c r="B25" s="38">
        <v>3.0</v>
      </c>
      <c r="C25" s="39" t="s">
        <v>78</v>
      </c>
      <c r="D25" s="49">
        <v>-50000.0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62</v>
      </c>
      <c r="P25" s="1"/>
      <c r="Q25" s="1"/>
      <c r="R25" s="1"/>
    </row>
    <row r="26">
      <c r="A26" s="1"/>
      <c r="B26" s="43">
        <v>4.0</v>
      </c>
      <c r="C26" s="61" t="s">
        <v>156</v>
      </c>
      <c r="D26" s="45">
        <v>-100000.0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90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1675000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"-,VERO,FADEL,PENTIL,FAHME,HANIF ,ADIF 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9.38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168</v>
      </c>
      <c r="D4" s="16" t="s">
        <v>22</v>
      </c>
      <c r="E4" s="17"/>
      <c r="F4" s="60">
        <v>46042.0</v>
      </c>
      <c r="G4" s="18">
        <v>100000.0</v>
      </c>
      <c r="H4" s="19"/>
      <c r="I4" s="20" t="s">
        <v>26</v>
      </c>
      <c r="J4" s="20"/>
      <c r="K4" s="20"/>
      <c r="L4" s="20" t="s">
        <v>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172</v>
      </c>
      <c r="D5" s="16" t="s">
        <v>125</v>
      </c>
      <c r="E5" s="17"/>
      <c r="F5" s="60">
        <v>46067.0</v>
      </c>
      <c r="G5" s="18"/>
      <c r="H5" s="19">
        <v>350000.0</v>
      </c>
      <c r="I5" s="20" t="s">
        <v>27</v>
      </c>
      <c r="J5" s="20"/>
      <c r="K5" s="20"/>
      <c r="L5" s="20" t="s">
        <v>45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174</v>
      </c>
      <c r="D6" s="16" t="s">
        <v>125</v>
      </c>
      <c r="E6" s="17"/>
      <c r="F6" s="29">
        <v>46067.0</v>
      </c>
      <c r="G6" s="26"/>
      <c r="H6" s="19">
        <v>100000.0</v>
      </c>
      <c r="I6" s="20" t="s">
        <v>26</v>
      </c>
      <c r="J6" s="20"/>
      <c r="K6" s="20"/>
      <c r="L6" s="20" t="s">
        <v>45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175</v>
      </c>
      <c r="D7" s="16" t="s">
        <v>22</v>
      </c>
      <c r="E7" s="17"/>
      <c r="F7" s="29">
        <v>46039.0</v>
      </c>
      <c r="G7" s="18"/>
      <c r="H7" s="19">
        <v>100000.0</v>
      </c>
      <c r="I7" s="20" t="s">
        <v>26</v>
      </c>
      <c r="J7" s="20"/>
      <c r="K7" s="20"/>
      <c r="L7" s="20" t="s">
        <v>45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177</v>
      </c>
      <c r="D8" s="16" t="s">
        <v>125</v>
      </c>
      <c r="E8" s="17"/>
      <c r="F8" s="29">
        <v>46067.0</v>
      </c>
      <c r="G8" s="18"/>
      <c r="H8" s="19">
        <v>100000.0</v>
      </c>
      <c r="I8" s="20" t="s">
        <v>26</v>
      </c>
      <c r="J8" s="20"/>
      <c r="K8" s="20"/>
      <c r="L8" s="20" t="s">
        <v>45</v>
      </c>
      <c r="M8" s="27"/>
      <c r="N8" s="24"/>
      <c r="O8" s="25"/>
      <c r="P8" s="25"/>
      <c r="Q8" s="1"/>
      <c r="R8" s="1"/>
    </row>
    <row r="9">
      <c r="A9" s="1"/>
      <c r="B9" s="14">
        <v>6.0</v>
      </c>
      <c r="C9" s="64" t="s">
        <v>179</v>
      </c>
      <c r="D9" s="66" t="s">
        <v>102</v>
      </c>
      <c r="E9" s="67"/>
      <c r="F9" s="68">
        <v>46054.0</v>
      </c>
      <c r="G9" s="69"/>
      <c r="H9" s="70">
        <v>100000.0</v>
      </c>
      <c r="I9" s="71" t="s">
        <v>26</v>
      </c>
      <c r="J9" s="72"/>
      <c r="K9" s="72"/>
      <c r="L9" s="74" t="s">
        <v>29</v>
      </c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 t="s">
        <v>182</v>
      </c>
      <c r="D10" s="16" t="s">
        <v>22</v>
      </c>
      <c r="E10" s="17"/>
      <c r="F10" s="29">
        <v>46039.0</v>
      </c>
      <c r="G10" s="18">
        <v>100000.0</v>
      </c>
      <c r="H10" s="19">
        <v>175000.0</v>
      </c>
      <c r="I10" s="20" t="s">
        <v>27</v>
      </c>
      <c r="J10" s="20" t="s">
        <v>28</v>
      </c>
      <c r="K10" s="20" t="s">
        <v>28</v>
      </c>
      <c r="L10" s="20" t="s">
        <v>45</v>
      </c>
      <c r="M10" s="20" t="s">
        <v>90</v>
      </c>
      <c r="N10" s="24" t="s">
        <v>28</v>
      </c>
      <c r="O10" s="24" t="s">
        <v>46</v>
      </c>
      <c r="P10" s="25"/>
      <c r="Q10" s="1"/>
      <c r="R10" s="1"/>
    </row>
    <row r="11">
      <c r="A11" s="1"/>
      <c r="B11" s="14">
        <v>8.0</v>
      </c>
      <c r="C11" s="15" t="s">
        <v>183</v>
      </c>
      <c r="D11" s="16" t="s">
        <v>22</v>
      </c>
      <c r="E11" s="17" t="s">
        <v>171</v>
      </c>
      <c r="F11" s="62">
        <v>46039.0</v>
      </c>
      <c r="G11" s="18">
        <v>540000.0</v>
      </c>
      <c r="H11" s="28"/>
      <c r="I11" s="20" t="s">
        <v>27</v>
      </c>
      <c r="J11" s="20" t="s">
        <v>28</v>
      </c>
      <c r="K11" s="20" t="s">
        <v>44</v>
      </c>
      <c r="L11" s="20" t="s">
        <v>30</v>
      </c>
      <c r="M11" s="20" t="s">
        <v>58</v>
      </c>
      <c r="N11" s="24" t="s">
        <v>28</v>
      </c>
      <c r="O11" s="24" t="s">
        <v>46</v>
      </c>
      <c r="P11" s="25"/>
      <c r="Q11" s="1"/>
      <c r="R11" s="1"/>
    </row>
    <row r="12">
      <c r="A12" s="1"/>
      <c r="B12" s="14">
        <v>9.0</v>
      </c>
      <c r="C12" s="15" t="s">
        <v>174</v>
      </c>
      <c r="D12" s="16" t="s">
        <v>66</v>
      </c>
      <c r="E12" s="17"/>
      <c r="F12" s="62">
        <v>46067.0</v>
      </c>
      <c r="G12" s="18"/>
      <c r="H12" s="19">
        <v>100000.0</v>
      </c>
      <c r="I12" s="20" t="s">
        <v>26</v>
      </c>
      <c r="J12" s="20"/>
      <c r="K12" s="20"/>
      <c r="L12" s="20" t="s">
        <v>30</v>
      </c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175</v>
      </c>
      <c r="D13" s="16" t="s">
        <v>22</v>
      </c>
      <c r="E13" s="17"/>
      <c r="F13" s="62">
        <v>46039.0</v>
      </c>
      <c r="G13" s="18"/>
      <c r="H13" s="19">
        <v>175000.0</v>
      </c>
      <c r="I13" s="20" t="s">
        <v>27</v>
      </c>
      <c r="J13" s="20" t="s">
        <v>28</v>
      </c>
      <c r="K13" s="20" t="s">
        <v>44</v>
      </c>
      <c r="L13" s="20" t="s">
        <v>30</v>
      </c>
      <c r="M13" s="20" t="s">
        <v>58</v>
      </c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740000</v>
      </c>
      <c r="H19" s="34">
        <f t="shared" si="1"/>
        <v>1200000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740000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 t="s">
        <v>84</v>
      </c>
      <c r="D24" s="45">
        <v>-10000.0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 t="s">
        <v>80</v>
      </c>
      <c r="D25" s="49">
        <v>-25000.0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90</v>
      </c>
      <c r="P25" s="1"/>
      <c r="Q25" s="1"/>
      <c r="R25" s="1"/>
    </row>
    <row r="26">
      <c r="A26" s="1"/>
      <c r="B26" s="43">
        <v>4.0</v>
      </c>
      <c r="C26" s="44" t="s">
        <v>82</v>
      </c>
      <c r="D26" s="45">
        <v>-5000.0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39" t="s">
        <v>81</v>
      </c>
      <c r="D27" s="49">
        <v>-24000.0</v>
      </c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676000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8 L10:L18 O23:O24">
      <formula1>"-,JIJANG,ADDEL,PENTIL,FAHME,INDAH"</formula1>
    </dataValidation>
    <dataValidation type="list" allowBlank="1" showDropDown="1" showErrorMessage="1" sqref="M4:M18 O25:O26">
      <formula1>"-,VERO,FADEL,PENTIL,FAHME,ADIF ,HANIF"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8 D10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9">
      <formula1>"-,JIJANG,AXEL,PENTIL,FAHME,INDAH,ADDEL 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D9">
      <formula1>"-,Single,Couple A,Couple B,Group A,Group B,Group C,Large Group,Graduation,Graduation Premium,Family A,Family B,Maternity,Concept,Studio Rent,Pas Foto,Single,Add Person ,Add Edit,Add Frame"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73" t="s">
        <v>157</v>
      </c>
      <c r="D4" s="16" t="s">
        <v>42</v>
      </c>
      <c r="E4" s="17"/>
      <c r="F4" s="60">
        <v>46040.0</v>
      </c>
      <c r="G4" s="18">
        <v>250000.0</v>
      </c>
      <c r="H4" s="19"/>
      <c r="I4" s="20" t="s">
        <v>27</v>
      </c>
      <c r="J4" s="20" t="s">
        <v>28</v>
      </c>
      <c r="K4" s="20" t="s">
        <v>28</v>
      </c>
      <c r="L4" s="20" t="s">
        <v>45</v>
      </c>
      <c r="M4" s="20" t="s">
        <v>90</v>
      </c>
      <c r="N4" s="21" t="s">
        <v>28</v>
      </c>
      <c r="O4" s="21" t="s">
        <v>46</v>
      </c>
      <c r="P4" s="22">
        <v>45231.0</v>
      </c>
      <c r="Q4" s="1"/>
      <c r="R4" s="1"/>
    </row>
    <row r="5">
      <c r="A5" s="1"/>
      <c r="B5" s="14">
        <v>2.0</v>
      </c>
      <c r="C5" s="73" t="s">
        <v>162</v>
      </c>
      <c r="D5" s="16" t="s">
        <v>22</v>
      </c>
      <c r="E5" s="17"/>
      <c r="F5" s="60">
        <v>46040.0</v>
      </c>
      <c r="G5" s="18"/>
      <c r="H5" s="19">
        <v>675000.0</v>
      </c>
      <c r="I5" s="20" t="s">
        <v>27</v>
      </c>
      <c r="J5" s="20" t="s">
        <v>28</v>
      </c>
      <c r="K5" s="20" t="s">
        <v>31</v>
      </c>
      <c r="L5" s="20" t="s">
        <v>45</v>
      </c>
      <c r="M5" s="20" t="s">
        <v>90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185</v>
      </c>
      <c r="D6" s="16" t="s">
        <v>34</v>
      </c>
      <c r="E6" s="17"/>
      <c r="F6" s="29">
        <v>46040.0</v>
      </c>
      <c r="G6" s="26"/>
      <c r="H6" s="19">
        <v>100000.0</v>
      </c>
      <c r="I6" s="20" t="s">
        <v>26</v>
      </c>
      <c r="J6" s="20"/>
      <c r="K6" s="20"/>
      <c r="L6" s="20" t="s">
        <v>45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146</v>
      </c>
      <c r="D7" s="16" t="s">
        <v>22</v>
      </c>
      <c r="E7" s="17"/>
      <c r="F7" s="29">
        <v>46040.0</v>
      </c>
      <c r="G7" s="18">
        <v>525000.0</v>
      </c>
      <c r="H7" s="28"/>
      <c r="I7" s="20" t="s">
        <v>27</v>
      </c>
      <c r="J7" s="20" t="s">
        <v>28</v>
      </c>
      <c r="K7" s="20" t="s">
        <v>44</v>
      </c>
      <c r="L7" s="20" t="s">
        <v>45</v>
      </c>
      <c r="M7" s="20" t="s">
        <v>90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188</v>
      </c>
      <c r="D8" s="16" t="s">
        <v>34</v>
      </c>
      <c r="E8" s="17"/>
      <c r="F8" s="29">
        <v>46040.0</v>
      </c>
      <c r="G8" s="18"/>
      <c r="H8" s="19">
        <v>150000.0</v>
      </c>
      <c r="I8" s="20" t="s">
        <v>27</v>
      </c>
      <c r="J8" s="20" t="s">
        <v>28</v>
      </c>
      <c r="K8" s="20" t="s">
        <v>31</v>
      </c>
      <c r="L8" s="20" t="s">
        <v>45</v>
      </c>
      <c r="M8" s="20" t="s">
        <v>90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190</v>
      </c>
      <c r="D9" s="16" t="s">
        <v>34</v>
      </c>
      <c r="E9" s="17" t="s">
        <v>192</v>
      </c>
      <c r="F9" s="62">
        <v>46040.0</v>
      </c>
      <c r="G9" s="18"/>
      <c r="H9" s="19">
        <v>50000.0</v>
      </c>
      <c r="I9" s="20" t="s">
        <v>27</v>
      </c>
      <c r="J9" s="20" t="s">
        <v>28</v>
      </c>
      <c r="K9" s="20" t="s">
        <v>28</v>
      </c>
      <c r="L9" s="20" t="s">
        <v>30</v>
      </c>
      <c r="M9" s="20" t="s">
        <v>90</v>
      </c>
      <c r="N9" s="24" t="s">
        <v>28</v>
      </c>
      <c r="O9" s="24" t="s">
        <v>46</v>
      </c>
      <c r="P9" s="25"/>
      <c r="Q9" s="1"/>
      <c r="R9" s="1"/>
    </row>
    <row r="10">
      <c r="A10" s="1"/>
      <c r="B10" s="14">
        <v>7.0</v>
      </c>
      <c r="C10" s="15" t="s">
        <v>193</v>
      </c>
      <c r="D10" s="16" t="s">
        <v>125</v>
      </c>
      <c r="E10" s="17"/>
      <c r="F10" s="62">
        <v>46067.0</v>
      </c>
      <c r="G10" s="18"/>
      <c r="H10" s="19">
        <v>100000.0</v>
      </c>
      <c r="I10" s="20" t="s">
        <v>26</v>
      </c>
      <c r="J10" s="20"/>
      <c r="K10" s="20"/>
      <c r="L10" s="20" t="s">
        <v>30</v>
      </c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775000</v>
      </c>
      <c r="H19" s="34">
        <f t="shared" si="1"/>
        <v>1075000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775000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 t="s">
        <v>156</v>
      </c>
      <c r="D24" s="45">
        <v>-175000.0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 t="s">
        <v>79</v>
      </c>
      <c r="D25" s="49">
        <v>-100000.0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90</v>
      </c>
      <c r="P25" s="1"/>
      <c r="Q25" s="1"/>
      <c r="R25" s="1"/>
    </row>
    <row r="26">
      <c r="A26" s="1"/>
      <c r="B26" s="43">
        <v>4.0</v>
      </c>
      <c r="C26" s="44" t="s">
        <v>78</v>
      </c>
      <c r="D26" s="45">
        <v>-10000.0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39" t="s">
        <v>85</v>
      </c>
      <c r="D27" s="49">
        <v>-50000.0</v>
      </c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440000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M4:M18 O25:O26">
      <formula1>"-,VERO,FADEL,ADIF ,FAHME,HANIF"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184</v>
      </c>
      <c r="D4" s="16" t="s">
        <v>22</v>
      </c>
      <c r="E4" s="17"/>
      <c r="F4" s="60">
        <v>46049.0</v>
      </c>
      <c r="G4" s="18"/>
      <c r="H4" s="19">
        <v>100000.0</v>
      </c>
      <c r="I4" s="20" t="s">
        <v>26</v>
      </c>
      <c r="J4" s="20"/>
      <c r="K4" s="20"/>
      <c r="L4" s="20" t="s">
        <v>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186</v>
      </c>
      <c r="D5" s="16" t="s">
        <v>22</v>
      </c>
      <c r="E5" s="17"/>
      <c r="F5" s="60">
        <v>46041.0</v>
      </c>
      <c r="G5" s="18"/>
      <c r="H5" s="19">
        <v>375000.0</v>
      </c>
      <c r="I5" s="20" t="s">
        <v>27</v>
      </c>
      <c r="J5" s="20" t="s">
        <v>28</v>
      </c>
      <c r="K5" s="20" t="s">
        <v>44</v>
      </c>
      <c r="L5" s="20" t="s">
        <v>45</v>
      </c>
      <c r="M5" s="20" t="s">
        <v>32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187</v>
      </c>
      <c r="D6" s="16" t="s">
        <v>42</v>
      </c>
      <c r="E6" s="17"/>
      <c r="F6" s="62">
        <v>46046.0</v>
      </c>
      <c r="G6" s="26"/>
      <c r="H6" s="19">
        <v>100000.0</v>
      </c>
      <c r="I6" s="20" t="s">
        <v>26</v>
      </c>
      <c r="J6" s="20"/>
      <c r="K6" s="20"/>
      <c r="L6" s="20" t="s">
        <v>30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189</v>
      </c>
      <c r="D7" s="16" t="s">
        <v>125</v>
      </c>
      <c r="E7" s="17"/>
      <c r="F7" s="62">
        <v>46067.0</v>
      </c>
      <c r="G7" s="18"/>
      <c r="H7" s="19">
        <v>100000.0</v>
      </c>
      <c r="I7" s="20" t="s">
        <v>26</v>
      </c>
      <c r="J7" s="20"/>
      <c r="K7" s="20"/>
      <c r="L7" s="20" t="s">
        <v>30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191</v>
      </c>
      <c r="D8" s="16" t="s">
        <v>22</v>
      </c>
      <c r="E8" s="17"/>
      <c r="F8" s="62">
        <v>46041.0</v>
      </c>
      <c r="G8" s="18"/>
      <c r="H8" s="19">
        <v>100000.0</v>
      </c>
      <c r="I8" s="20" t="s">
        <v>26</v>
      </c>
      <c r="J8" s="20"/>
      <c r="K8" s="20"/>
      <c r="L8" s="20" t="s">
        <v>30</v>
      </c>
      <c r="M8" s="27"/>
      <c r="N8" s="24"/>
      <c r="O8" s="25"/>
      <c r="P8" s="25"/>
      <c r="Q8" s="1"/>
      <c r="R8" s="1"/>
    </row>
    <row r="9">
      <c r="A9" s="1"/>
      <c r="B9" s="14">
        <v>6.0</v>
      </c>
      <c r="C9" s="15"/>
      <c r="D9" s="16"/>
      <c r="E9" s="17"/>
      <c r="F9" s="30"/>
      <c r="G9" s="18"/>
      <c r="H9" s="28"/>
      <c r="I9" s="20"/>
      <c r="J9" s="20"/>
      <c r="K9" s="20"/>
      <c r="L9" s="27"/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8"/>
      <c r="H10" s="28"/>
      <c r="I10" s="20"/>
      <c r="J10" s="20"/>
      <c r="K10" s="20"/>
      <c r="L10" s="27"/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775000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32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32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18 O23:O24">
      <formula1>"-,ADDEL,AXEL,PENTIL,FAHME,INDAH"</formula1>
    </dataValidation>
    <dataValidation type="list" allowBlank="1" showDropDown="1" showErrorMessage="1" sqref="M4:M18 O25:O26">
      <formula1>"ADIF,VERO,FADEL,PENTIL,FAHME"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195</v>
      </c>
      <c r="D4" s="16" t="s">
        <v>108</v>
      </c>
      <c r="E4" s="17"/>
      <c r="F4" s="60">
        <v>46042.0</v>
      </c>
      <c r="G4" s="18"/>
      <c r="H4" s="19">
        <v>50000.0</v>
      </c>
      <c r="I4" s="20" t="s">
        <v>27</v>
      </c>
      <c r="J4" s="20"/>
      <c r="K4" s="20"/>
      <c r="L4" s="20" t="s">
        <v>30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200</v>
      </c>
      <c r="D5" s="16" t="s">
        <v>22</v>
      </c>
      <c r="E5" s="17"/>
      <c r="F5" s="60">
        <v>46044.0</v>
      </c>
      <c r="G5" s="18"/>
      <c r="H5" s="19">
        <v>100000.0</v>
      </c>
      <c r="I5" s="20" t="s">
        <v>26</v>
      </c>
      <c r="J5" s="20"/>
      <c r="K5" s="20"/>
      <c r="L5" s="20" t="s">
        <v>30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168</v>
      </c>
      <c r="D6" s="16" t="s">
        <v>22</v>
      </c>
      <c r="E6" s="17"/>
      <c r="F6" s="62">
        <v>46042.0</v>
      </c>
      <c r="G6" s="26"/>
      <c r="H6" s="19">
        <v>75000.0</v>
      </c>
      <c r="I6" s="20" t="s">
        <v>27</v>
      </c>
      <c r="J6" s="20" t="s">
        <v>28</v>
      </c>
      <c r="K6" s="20" t="s">
        <v>28</v>
      </c>
      <c r="L6" s="20" t="s">
        <v>30</v>
      </c>
      <c r="M6" s="20" t="s">
        <v>58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203</v>
      </c>
      <c r="D7" s="16" t="s">
        <v>22</v>
      </c>
      <c r="E7" s="17"/>
      <c r="F7" s="62">
        <v>46046.0</v>
      </c>
      <c r="G7" s="18"/>
      <c r="H7" s="19">
        <v>100000.0</v>
      </c>
      <c r="I7" s="20" t="s">
        <v>26</v>
      </c>
      <c r="J7" s="20"/>
      <c r="K7" s="20"/>
      <c r="L7" s="20" t="s">
        <v>30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204</v>
      </c>
      <c r="D8" s="16" t="s">
        <v>108</v>
      </c>
      <c r="E8" s="17" t="s">
        <v>94</v>
      </c>
      <c r="F8" s="62">
        <v>46046.0</v>
      </c>
      <c r="G8" s="18"/>
      <c r="H8" s="19">
        <v>50000.0</v>
      </c>
      <c r="I8" s="20" t="s">
        <v>27</v>
      </c>
      <c r="J8" s="20" t="s">
        <v>28</v>
      </c>
      <c r="K8" s="20" t="s">
        <v>28</v>
      </c>
      <c r="L8" s="20" t="s">
        <v>30</v>
      </c>
      <c r="M8" s="20" t="s">
        <v>58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195</v>
      </c>
      <c r="D9" s="16" t="s">
        <v>108</v>
      </c>
      <c r="E9" s="17"/>
      <c r="F9" s="62">
        <v>46046.0</v>
      </c>
      <c r="G9" s="18">
        <v>0.0</v>
      </c>
      <c r="H9" s="19">
        <v>0.0</v>
      </c>
      <c r="I9" s="20" t="s">
        <v>27</v>
      </c>
      <c r="J9" s="20" t="s">
        <v>28</v>
      </c>
      <c r="K9" s="20" t="s">
        <v>28</v>
      </c>
      <c r="L9" s="20" t="s">
        <v>30</v>
      </c>
      <c r="M9" s="20" t="s">
        <v>58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206</v>
      </c>
      <c r="D10" s="16" t="s">
        <v>125</v>
      </c>
      <c r="E10" s="17"/>
      <c r="F10" s="29">
        <v>46065.0</v>
      </c>
      <c r="G10" s="18"/>
      <c r="H10" s="19">
        <v>150000.0</v>
      </c>
      <c r="I10" s="20" t="s">
        <v>26</v>
      </c>
      <c r="J10" s="20"/>
      <c r="K10" s="20"/>
      <c r="L10" s="20" t="s">
        <v>45</v>
      </c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209</v>
      </c>
      <c r="D11" s="16" t="s">
        <v>125</v>
      </c>
      <c r="E11" s="17"/>
      <c r="F11" s="29">
        <v>46067.0</v>
      </c>
      <c r="G11" s="18"/>
      <c r="H11" s="19">
        <v>100000.0</v>
      </c>
      <c r="I11" s="20" t="s">
        <v>26</v>
      </c>
      <c r="J11" s="20"/>
      <c r="K11" s="20"/>
      <c r="L11" s="20" t="s">
        <v>45</v>
      </c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625000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30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45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58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18 O23:O24">
      <formula1>"-,ADDEL,AXEL,PENTIL,FAHME,INDAH"</formula1>
    </dataValidation>
    <dataValidation type="list" allowBlank="1" showDropDown="1" showErrorMessage="1" sqref="M4:M18 O25:O26">
      <formula1>"-,VERO,FADEL,PENTIL,FAHME,HANIF"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196</v>
      </c>
      <c r="D4" s="16" t="s">
        <v>125</v>
      </c>
      <c r="E4" s="17"/>
      <c r="F4" s="60">
        <v>46067.0</v>
      </c>
      <c r="G4" s="18"/>
      <c r="H4" s="19">
        <v>100000.0</v>
      </c>
      <c r="I4" s="20" t="s">
        <v>26</v>
      </c>
      <c r="J4" s="20"/>
      <c r="K4" s="20"/>
      <c r="L4" s="20" t="s">
        <v>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197</v>
      </c>
      <c r="D5" s="16" t="s">
        <v>98</v>
      </c>
      <c r="E5" s="17"/>
      <c r="F5" s="60">
        <v>46041.0</v>
      </c>
      <c r="G5" s="18"/>
      <c r="H5" s="19">
        <v>125000.0</v>
      </c>
      <c r="I5" s="20" t="s">
        <v>27</v>
      </c>
      <c r="J5" s="20"/>
      <c r="K5" s="20"/>
      <c r="L5" s="20" t="s">
        <v>45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198</v>
      </c>
      <c r="D6" s="16" t="s">
        <v>199</v>
      </c>
      <c r="E6" s="17"/>
      <c r="F6" s="29">
        <v>46044.0</v>
      </c>
      <c r="G6" s="26"/>
      <c r="H6" s="19">
        <v>200000.0</v>
      </c>
      <c r="I6" s="20" t="s">
        <v>26</v>
      </c>
      <c r="J6" s="20"/>
      <c r="K6" s="20"/>
      <c r="L6" s="20" t="s">
        <v>45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201</v>
      </c>
      <c r="D7" s="16" t="s">
        <v>125</v>
      </c>
      <c r="E7" s="17"/>
      <c r="F7" s="29">
        <v>46043.0</v>
      </c>
      <c r="G7" s="18"/>
      <c r="H7" s="19">
        <v>100000.0</v>
      </c>
      <c r="I7" s="20" t="s">
        <v>26</v>
      </c>
      <c r="J7" s="20"/>
      <c r="K7" s="20"/>
      <c r="L7" s="20" t="s">
        <v>45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/>
      <c r="D8" s="16"/>
      <c r="E8" s="17"/>
      <c r="F8" s="30"/>
      <c r="G8" s="18"/>
      <c r="H8" s="28"/>
      <c r="I8" s="20"/>
      <c r="J8" s="20"/>
      <c r="K8" s="20"/>
      <c r="L8" s="27"/>
      <c r="M8" s="27"/>
      <c r="N8" s="24"/>
      <c r="O8" s="25"/>
      <c r="P8" s="25"/>
      <c r="Q8" s="1"/>
      <c r="R8" s="1"/>
    </row>
    <row r="9">
      <c r="A9" s="1"/>
      <c r="B9" s="14">
        <v>6.0</v>
      </c>
      <c r="C9" s="15"/>
      <c r="D9" s="16"/>
      <c r="E9" s="17"/>
      <c r="F9" s="30"/>
      <c r="G9" s="18"/>
      <c r="H9" s="28"/>
      <c r="I9" s="20"/>
      <c r="J9" s="20"/>
      <c r="K9" s="20"/>
      <c r="L9" s="27"/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8"/>
      <c r="H10" s="28"/>
      <c r="I10" s="20"/>
      <c r="J10" s="20"/>
      <c r="K10" s="20"/>
      <c r="L10" s="27"/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525000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58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M4:M18 O25:O26">
      <formula1>"-,VERO,FADEL,PENTIL,HANIF"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18 O23:O24">
      <formula1>"-,ADDEL,AXEL,PENTIL,FAHME,INDAH"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Edit,Add 16R,Photofox"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7.5"/>
    <col customWidth="1" min="5" max="5" width="9.25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202</v>
      </c>
      <c r="D4" s="16" t="s">
        <v>66</v>
      </c>
      <c r="E4" s="17"/>
      <c r="F4" s="60">
        <v>46046.0</v>
      </c>
      <c r="G4" s="18"/>
      <c r="H4" s="19">
        <v>100000.0</v>
      </c>
      <c r="I4" s="20" t="s">
        <v>26</v>
      </c>
      <c r="J4" s="20"/>
      <c r="K4" s="20"/>
      <c r="L4" s="20" t="s">
        <v>30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207</v>
      </c>
      <c r="D5" s="16" t="s">
        <v>22</v>
      </c>
      <c r="E5" s="17"/>
      <c r="F5" s="60">
        <v>46049.0</v>
      </c>
      <c r="G5" s="18"/>
      <c r="H5" s="19">
        <v>100000.0</v>
      </c>
      <c r="I5" s="20" t="s">
        <v>26</v>
      </c>
      <c r="J5" s="20"/>
      <c r="K5" s="20"/>
      <c r="L5" s="20" t="s">
        <v>30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75" t="s">
        <v>210</v>
      </c>
      <c r="D6" s="16" t="s">
        <v>211</v>
      </c>
      <c r="E6" s="17"/>
      <c r="F6" s="62">
        <v>46067.0</v>
      </c>
      <c r="G6" s="26"/>
      <c r="H6" s="19">
        <v>100000.0</v>
      </c>
      <c r="I6" s="20" t="s">
        <v>26</v>
      </c>
      <c r="J6" s="20"/>
      <c r="K6" s="20"/>
      <c r="L6" s="20" t="s">
        <v>30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213</v>
      </c>
      <c r="D7" s="16" t="s">
        <v>22</v>
      </c>
      <c r="E7" s="17" t="s">
        <v>214</v>
      </c>
      <c r="F7" s="62">
        <v>46044.0</v>
      </c>
      <c r="G7" s="18"/>
      <c r="H7" s="19">
        <v>225000.0</v>
      </c>
      <c r="I7" s="20" t="s">
        <v>27</v>
      </c>
      <c r="J7" s="20" t="s">
        <v>28</v>
      </c>
      <c r="K7" s="20" t="s">
        <v>28</v>
      </c>
      <c r="L7" s="20" t="s">
        <v>30</v>
      </c>
      <c r="M7" s="20" t="s">
        <v>58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198</v>
      </c>
      <c r="D8" s="16" t="s">
        <v>199</v>
      </c>
      <c r="E8" s="17"/>
      <c r="F8" s="62">
        <v>46044.0</v>
      </c>
      <c r="G8" s="18"/>
      <c r="H8" s="19">
        <v>125000.0</v>
      </c>
      <c r="I8" s="20" t="s">
        <v>27</v>
      </c>
      <c r="J8" s="20" t="s">
        <v>28</v>
      </c>
      <c r="K8" s="20" t="s">
        <v>28</v>
      </c>
      <c r="L8" s="20" t="s">
        <v>30</v>
      </c>
      <c r="M8" s="20" t="s">
        <v>58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216</v>
      </c>
      <c r="D9" s="16" t="s">
        <v>199</v>
      </c>
      <c r="E9" s="17"/>
      <c r="F9" s="62">
        <v>46046.0</v>
      </c>
      <c r="G9" s="18"/>
      <c r="H9" s="19">
        <v>225000.0</v>
      </c>
      <c r="I9" s="20" t="s">
        <v>27</v>
      </c>
      <c r="J9" s="20"/>
      <c r="K9" s="20"/>
      <c r="L9" s="20" t="s">
        <v>30</v>
      </c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8"/>
      <c r="H10" s="28"/>
      <c r="I10" s="20"/>
      <c r="J10" s="20"/>
      <c r="K10" s="20"/>
      <c r="L10" s="27"/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875000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30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58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"-,VERO,FADEL,PENTIL,FAHME,HANIF"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164</v>
      </c>
      <c r="D4" s="16" t="s">
        <v>22</v>
      </c>
      <c r="E4" s="17"/>
      <c r="F4" s="60">
        <v>46049.0</v>
      </c>
      <c r="G4" s="18"/>
      <c r="H4" s="19">
        <v>100000.0</v>
      </c>
      <c r="I4" s="20" t="s">
        <v>26</v>
      </c>
      <c r="J4" s="20"/>
      <c r="K4" s="20"/>
      <c r="L4" s="20" t="s">
        <v>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205</v>
      </c>
      <c r="D5" s="16" t="s">
        <v>22</v>
      </c>
      <c r="E5" s="17"/>
      <c r="F5" s="60">
        <v>46045.0</v>
      </c>
      <c r="G5" s="18"/>
      <c r="H5" s="19">
        <v>175000.0</v>
      </c>
      <c r="I5" s="20" t="s">
        <v>27</v>
      </c>
      <c r="J5" s="20" t="s">
        <v>28</v>
      </c>
      <c r="K5" s="20" t="s">
        <v>28</v>
      </c>
      <c r="L5" s="20" t="s">
        <v>45</v>
      </c>
      <c r="M5" s="20" t="s">
        <v>90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208</v>
      </c>
      <c r="D6" s="16" t="s">
        <v>34</v>
      </c>
      <c r="E6" s="17"/>
      <c r="F6" s="29">
        <v>46045.0</v>
      </c>
      <c r="G6" s="26"/>
      <c r="H6" s="19">
        <v>200000.0</v>
      </c>
      <c r="I6" s="20" t="s">
        <v>27</v>
      </c>
      <c r="J6" s="20" t="s">
        <v>28</v>
      </c>
      <c r="K6" s="20" t="s">
        <v>28</v>
      </c>
      <c r="L6" s="20" t="s">
        <v>45</v>
      </c>
      <c r="M6" s="20" t="s">
        <v>90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168</v>
      </c>
      <c r="D7" s="16" t="s">
        <v>42</v>
      </c>
      <c r="E7" s="17"/>
      <c r="F7" s="29">
        <v>46061.0</v>
      </c>
      <c r="G7" s="18">
        <v>100000.0</v>
      </c>
      <c r="H7" s="28"/>
      <c r="I7" s="20" t="s">
        <v>26</v>
      </c>
      <c r="J7" s="20"/>
      <c r="K7" s="20"/>
      <c r="L7" s="20" t="s">
        <v>45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212</v>
      </c>
      <c r="D8" s="16" t="s">
        <v>66</v>
      </c>
      <c r="E8" s="17"/>
      <c r="F8" s="29">
        <v>46047.0</v>
      </c>
      <c r="G8" s="18"/>
      <c r="H8" s="19">
        <v>100000.0</v>
      </c>
      <c r="I8" s="20" t="s">
        <v>26</v>
      </c>
      <c r="J8" s="20"/>
      <c r="K8" s="20"/>
      <c r="L8" s="20" t="s">
        <v>45</v>
      </c>
      <c r="M8" s="27"/>
      <c r="N8" s="24"/>
      <c r="O8" s="25"/>
      <c r="P8" s="25"/>
      <c r="Q8" s="1"/>
      <c r="R8" s="1"/>
    </row>
    <row r="9">
      <c r="A9" s="1"/>
      <c r="B9" s="14">
        <v>6.0</v>
      </c>
      <c r="C9" s="15" t="s">
        <v>215</v>
      </c>
      <c r="D9" s="16" t="s">
        <v>125</v>
      </c>
      <c r="E9" s="17"/>
      <c r="F9" s="29">
        <v>46067.0</v>
      </c>
      <c r="G9" s="18"/>
      <c r="H9" s="19">
        <v>100000.0</v>
      </c>
      <c r="I9" s="20" t="s">
        <v>26</v>
      </c>
      <c r="J9" s="20"/>
      <c r="K9" s="20"/>
      <c r="L9" s="20" t="s">
        <v>45</v>
      </c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8"/>
      <c r="H10" s="28"/>
      <c r="I10" s="20"/>
      <c r="J10" s="20"/>
      <c r="K10" s="20"/>
      <c r="L10" s="27"/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100000</v>
      </c>
      <c r="H19" s="34">
        <f t="shared" si="1"/>
        <v>675000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100000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76" t="s">
        <v>217</v>
      </c>
      <c r="D24" s="77">
        <v>-10000.0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45</v>
      </c>
      <c r="P24" s="1"/>
      <c r="Q24" s="1"/>
      <c r="R24" s="1"/>
    </row>
    <row r="25">
      <c r="A25" s="1"/>
      <c r="B25" s="38">
        <v>3.0</v>
      </c>
      <c r="C25" s="39" t="s">
        <v>218</v>
      </c>
      <c r="D25" s="49">
        <v>-40000.0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90</v>
      </c>
      <c r="P25" s="1"/>
      <c r="Q25" s="1"/>
      <c r="R25" s="1"/>
    </row>
    <row r="26">
      <c r="A26" s="1"/>
      <c r="B26" s="43">
        <v>4.0</v>
      </c>
      <c r="C26" s="44" t="s">
        <v>219</v>
      </c>
      <c r="D26" s="45">
        <v>-50000.0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"-,VERO,ADIF ,PENTIL,FAHME,HANIF"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220</v>
      </c>
      <c r="D4" s="16" t="s">
        <v>22</v>
      </c>
      <c r="E4" s="17"/>
      <c r="F4" s="60">
        <v>46046.0</v>
      </c>
      <c r="G4" s="18"/>
      <c r="H4" s="19">
        <v>100000.0</v>
      </c>
      <c r="I4" s="20" t="s">
        <v>26</v>
      </c>
      <c r="J4" s="20"/>
      <c r="K4" s="20"/>
      <c r="L4" s="20" t="s">
        <v>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221</v>
      </c>
      <c r="D5" s="16" t="s">
        <v>22</v>
      </c>
      <c r="E5" s="17"/>
      <c r="F5" s="60">
        <v>46046.0</v>
      </c>
      <c r="G5" s="18"/>
      <c r="H5" s="19">
        <v>175000.0</v>
      </c>
      <c r="I5" s="20" t="s">
        <v>27</v>
      </c>
      <c r="J5" s="20" t="s">
        <v>28</v>
      </c>
      <c r="K5" s="20" t="s">
        <v>28</v>
      </c>
      <c r="L5" s="20" t="s">
        <v>45</v>
      </c>
      <c r="M5" s="20" t="s">
        <v>32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222</v>
      </c>
      <c r="D6" s="16" t="s">
        <v>125</v>
      </c>
      <c r="E6" s="17"/>
      <c r="F6" s="29">
        <v>46067.0</v>
      </c>
      <c r="G6" s="26"/>
      <c r="H6" s="19">
        <v>150000.0</v>
      </c>
      <c r="I6" s="20" t="s">
        <v>26</v>
      </c>
      <c r="J6" s="20"/>
      <c r="K6" s="20"/>
      <c r="L6" s="20" t="s">
        <v>45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223</v>
      </c>
      <c r="D7" s="16" t="s">
        <v>108</v>
      </c>
      <c r="E7" s="17"/>
      <c r="F7" s="29">
        <v>46046.0</v>
      </c>
      <c r="G7" s="18"/>
      <c r="H7" s="19">
        <v>50000.0</v>
      </c>
      <c r="I7" s="20" t="s">
        <v>27</v>
      </c>
      <c r="J7" s="20" t="s">
        <v>28</v>
      </c>
      <c r="K7" s="20" t="s">
        <v>28</v>
      </c>
      <c r="L7" s="20" t="s">
        <v>45</v>
      </c>
      <c r="M7" s="20" t="s">
        <v>32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202</v>
      </c>
      <c r="D8" s="16" t="s">
        <v>66</v>
      </c>
      <c r="E8" s="17"/>
      <c r="F8" s="29">
        <v>46046.0</v>
      </c>
      <c r="G8" s="18"/>
      <c r="H8" s="19">
        <v>50000.0</v>
      </c>
      <c r="I8" s="20" t="s">
        <v>27</v>
      </c>
      <c r="J8" s="20" t="s">
        <v>28</v>
      </c>
      <c r="K8" s="20" t="s">
        <v>28</v>
      </c>
      <c r="L8" s="20" t="s">
        <v>45</v>
      </c>
      <c r="M8" s="20" t="s">
        <v>32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224</v>
      </c>
      <c r="D9" s="16" t="s">
        <v>125</v>
      </c>
      <c r="E9" s="17"/>
      <c r="F9" s="62">
        <v>46112.0</v>
      </c>
      <c r="G9" s="18"/>
      <c r="H9" s="19">
        <v>100000.0</v>
      </c>
      <c r="I9" s="20" t="s">
        <v>26</v>
      </c>
      <c r="J9" s="20"/>
      <c r="K9" s="20"/>
      <c r="L9" s="20" t="s">
        <v>30</v>
      </c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 t="s">
        <v>225</v>
      </c>
      <c r="D10" s="16" t="s">
        <v>42</v>
      </c>
      <c r="E10" s="17" t="s">
        <v>94</v>
      </c>
      <c r="F10" s="62">
        <v>46046.0</v>
      </c>
      <c r="G10" s="18"/>
      <c r="H10" s="19">
        <v>350000.0</v>
      </c>
      <c r="I10" s="20" t="s">
        <v>27</v>
      </c>
      <c r="J10" s="20" t="s">
        <v>28</v>
      </c>
      <c r="K10" s="20" t="s">
        <v>28</v>
      </c>
      <c r="L10" s="20" t="s">
        <v>30</v>
      </c>
      <c r="M10" s="20" t="s">
        <v>58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226</v>
      </c>
      <c r="D11" s="16" t="s">
        <v>22</v>
      </c>
      <c r="E11" s="17"/>
      <c r="F11" s="62">
        <v>46046.0</v>
      </c>
      <c r="G11" s="18">
        <v>175000.0</v>
      </c>
      <c r="H11" s="28"/>
      <c r="I11" s="20" t="s">
        <v>27</v>
      </c>
      <c r="J11" s="20" t="s">
        <v>28</v>
      </c>
      <c r="K11" s="20" t="s">
        <v>28</v>
      </c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216</v>
      </c>
      <c r="D12" s="16" t="s">
        <v>199</v>
      </c>
      <c r="E12" s="17"/>
      <c r="F12" s="62">
        <v>46046.0</v>
      </c>
      <c r="G12" s="18">
        <v>0.0</v>
      </c>
      <c r="H12" s="19">
        <v>0.0</v>
      </c>
      <c r="I12" s="20" t="s">
        <v>27</v>
      </c>
      <c r="J12" s="20" t="s">
        <v>28</v>
      </c>
      <c r="K12" s="20" t="s">
        <v>28</v>
      </c>
      <c r="L12" s="20" t="s">
        <v>30</v>
      </c>
      <c r="M12" s="20" t="s">
        <v>58</v>
      </c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227</v>
      </c>
      <c r="D13" s="16" t="s">
        <v>228</v>
      </c>
      <c r="E13" s="17"/>
      <c r="F13" s="62">
        <v>46048.0</v>
      </c>
      <c r="G13" s="18"/>
      <c r="H13" s="19">
        <v>100000.0</v>
      </c>
      <c r="I13" s="20" t="s">
        <v>26</v>
      </c>
      <c r="J13" s="20"/>
      <c r="K13" s="20"/>
      <c r="L13" s="20" t="s">
        <v>30</v>
      </c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175000</v>
      </c>
      <c r="H19" s="34">
        <f t="shared" si="1"/>
        <v>1075000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175000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 t="s">
        <v>79</v>
      </c>
      <c r="D24" s="45">
        <v>-75000.0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 t="s">
        <v>82</v>
      </c>
      <c r="D25" s="49">
        <v>-60000.0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32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58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40000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Edit,Photofox,Photo Product"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18 O23:O24">
      <formula1>"-,JIJANG,AXEL,PENTIL,FAHME,INDAH,ADDEL"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9.38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230</v>
      </c>
      <c r="D4" s="16" t="s">
        <v>108</v>
      </c>
      <c r="E4" s="17"/>
      <c r="F4" s="60">
        <v>46047.0</v>
      </c>
      <c r="G4" s="18">
        <v>50000.0</v>
      </c>
      <c r="H4" s="19"/>
      <c r="I4" s="20" t="s">
        <v>27</v>
      </c>
      <c r="J4" s="20" t="s">
        <v>28</v>
      </c>
      <c r="K4" s="20" t="s">
        <v>28</v>
      </c>
      <c r="L4" s="20" t="s">
        <v>30</v>
      </c>
      <c r="M4" s="20" t="s">
        <v>58</v>
      </c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232</v>
      </c>
      <c r="D5" s="16" t="s">
        <v>125</v>
      </c>
      <c r="E5" s="17"/>
      <c r="F5" s="60">
        <v>46063.0</v>
      </c>
      <c r="G5" s="18"/>
      <c r="H5" s="19">
        <v>100000.0</v>
      </c>
      <c r="I5" s="20" t="s">
        <v>26</v>
      </c>
      <c r="J5" s="20"/>
      <c r="K5" s="20"/>
      <c r="L5" s="20" t="s">
        <v>30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233</v>
      </c>
      <c r="D6" s="16" t="s">
        <v>66</v>
      </c>
      <c r="E6" s="17"/>
      <c r="F6" s="62">
        <v>46047.0</v>
      </c>
      <c r="G6" s="26"/>
      <c r="H6" s="19">
        <v>50000.0</v>
      </c>
      <c r="I6" s="20" t="s">
        <v>27</v>
      </c>
      <c r="J6" s="20" t="s">
        <v>28</v>
      </c>
      <c r="K6" s="20" t="s">
        <v>28</v>
      </c>
      <c r="L6" s="20" t="s">
        <v>30</v>
      </c>
      <c r="M6" s="20" t="s">
        <v>58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234</v>
      </c>
      <c r="D7" s="16" t="s">
        <v>60</v>
      </c>
      <c r="E7" s="17"/>
      <c r="F7" s="62">
        <v>46047.0</v>
      </c>
      <c r="G7" s="18"/>
      <c r="H7" s="19">
        <v>100000.0</v>
      </c>
      <c r="I7" s="20" t="s">
        <v>26</v>
      </c>
      <c r="J7" s="20"/>
      <c r="K7" s="20"/>
      <c r="L7" s="20" t="s">
        <v>30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234</v>
      </c>
      <c r="D8" s="16" t="s">
        <v>60</v>
      </c>
      <c r="E8" s="17" t="s">
        <v>235</v>
      </c>
      <c r="F8" s="62">
        <v>46047.0</v>
      </c>
      <c r="G8" s="18"/>
      <c r="H8" s="19">
        <v>400000.0</v>
      </c>
      <c r="I8" s="20" t="s">
        <v>27</v>
      </c>
      <c r="J8" s="20" t="s">
        <v>28</v>
      </c>
      <c r="K8" s="20" t="s">
        <v>28</v>
      </c>
      <c r="L8" s="20" t="s">
        <v>30</v>
      </c>
      <c r="M8" s="20" t="s">
        <v>58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237</v>
      </c>
      <c r="D9" s="16" t="s">
        <v>211</v>
      </c>
      <c r="E9" s="17" t="s">
        <v>94</v>
      </c>
      <c r="F9" s="62">
        <v>46047.0</v>
      </c>
      <c r="G9" s="18"/>
      <c r="H9" s="19">
        <v>500000.0</v>
      </c>
      <c r="I9" s="20" t="s">
        <v>27</v>
      </c>
      <c r="J9" s="20" t="s">
        <v>28</v>
      </c>
      <c r="K9" s="20" t="s">
        <v>28</v>
      </c>
      <c r="L9" s="20" t="s">
        <v>30</v>
      </c>
      <c r="M9" s="20" t="s">
        <v>58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238</v>
      </c>
      <c r="D10" s="16" t="s">
        <v>22</v>
      </c>
      <c r="E10" s="17"/>
      <c r="F10" s="62">
        <v>46048.0</v>
      </c>
      <c r="G10" s="18"/>
      <c r="H10" s="19">
        <v>100000.0</v>
      </c>
      <c r="I10" s="20" t="s">
        <v>26</v>
      </c>
      <c r="J10" s="20"/>
      <c r="K10" s="20"/>
      <c r="L10" s="20" t="s">
        <v>30</v>
      </c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50000</v>
      </c>
      <c r="H19" s="34">
        <f t="shared" si="1"/>
        <v>1250000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50000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30</v>
      </c>
      <c r="P23" s="1"/>
      <c r="Q23" s="1"/>
      <c r="R23" s="1"/>
    </row>
    <row r="24">
      <c r="A24" s="1"/>
      <c r="B24" s="43">
        <v>2.0</v>
      </c>
      <c r="C24" s="44" t="s">
        <v>260</v>
      </c>
      <c r="D24" s="45">
        <v>-50000.0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45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58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32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 t="s">
        <v>229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231</v>
      </c>
      <c r="D4" s="16" t="s">
        <v>22</v>
      </c>
      <c r="E4" s="17"/>
      <c r="F4" s="60">
        <v>46054.0</v>
      </c>
      <c r="G4" s="18"/>
      <c r="H4" s="19">
        <v>100000.0</v>
      </c>
      <c r="I4" s="20" t="s">
        <v>26</v>
      </c>
      <c r="J4" s="20"/>
      <c r="K4" s="20"/>
      <c r="L4" s="20" t="s">
        <v>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236</v>
      </c>
      <c r="D5" s="16" t="s">
        <v>125</v>
      </c>
      <c r="E5" s="17"/>
      <c r="F5" s="29">
        <v>46067.0</v>
      </c>
      <c r="G5" s="18"/>
      <c r="H5" s="19">
        <v>150000.0</v>
      </c>
      <c r="I5" s="20" t="s">
        <v>26</v>
      </c>
      <c r="J5" s="20"/>
      <c r="K5" s="20"/>
      <c r="L5" s="20" t="s">
        <v>45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239</v>
      </c>
      <c r="D6" s="16" t="s">
        <v>22</v>
      </c>
      <c r="E6" s="17"/>
      <c r="F6" s="14" t="s">
        <v>240</v>
      </c>
      <c r="G6" s="26"/>
      <c r="H6" s="19">
        <v>100000.0</v>
      </c>
      <c r="I6" s="20" t="s">
        <v>26</v>
      </c>
      <c r="J6" s="20"/>
      <c r="K6" s="20"/>
      <c r="L6" s="20" t="s">
        <v>45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242</v>
      </c>
      <c r="D7" s="16" t="s">
        <v>125</v>
      </c>
      <c r="E7" s="17"/>
      <c r="F7" s="14" t="s">
        <v>243</v>
      </c>
      <c r="G7" s="18"/>
      <c r="H7" s="19">
        <v>100000.0</v>
      </c>
      <c r="I7" s="20" t="s">
        <v>26</v>
      </c>
      <c r="J7" s="20"/>
      <c r="K7" s="20"/>
      <c r="L7" s="20" t="s">
        <v>45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244</v>
      </c>
      <c r="D8" s="16" t="s">
        <v>245</v>
      </c>
      <c r="E8" s="17"/>
      <c r="F8" s="62">
        <v>46047.0</v>
      </c>
      <c r="G8" s="18"/>
      <c r="H8" s="19">
        <v>20000.0</v>
      </c>
      <c r="I8" s="20" t="s">
        <v>27</v>
      </c>
      <c r="J8" s="20"/>
      <c r="K8" s="20"/>
      <c r="L8" s="20" t="s">
        <v>30</v>
      </c>
      <c r="M8" s="27"/>
      <c r="N8" s="24"/>
      <c r="O8" s="25"/>
      <c r="P8" s="25"/>
      <c r="Q8" s="1"/>
      <c r="R8" s="1"/>
    </row>
    <row r="9">
      <c r="A9" s="1"/>
      <c r="B9" s="14">
        <v>6.0</v>
      </c>
      <c r="C9" s="15" t="s">
        <v>246</v>
      </c>
      <c r="D9" s="16" t="s">
        <v>22</v>
      </c>
      <c r="E9" s="17"/>
      <c r="F9" s="62">
        <v>46049.0</v>
      </c>
      <c r="G9" s="18"/>
      <c r="H9" s="19">
        <v>100000.0</v>
      </c>
      <c r="I9" s="20" t="s">
        <v>26</v>
      </c>
      <c r="J9" s="20"/>
      <c r="K9" s="20"/>
      <c r="L9" s="20" t="s">
        <v>30</v>
      </c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 t="s">
        <v>248</v>
      </c>
      <c r="D10" s="16" t="s">
        <v>22</v>
      </c>
      <c r="E10" s="17"/>
      <c r="F10" s="62">
        <v>46048.0</v>
      </c>
      <c r="G10" s="18">
        <v>425000.0</v>
      </c>
      <c r="H10" s="28"/>
      <c r="I10" s="20" t="s">
        <v>27</v>
      </c>
      <c r="J10" s="20" t="s">
        <v>28</v>
      </c>
      <c r="K10" s="20" t="s">
        <v>28</v>
      </c>
      <c r="L10" s="20" t="s">
        <v>30</v>
      </c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251</v>
      </c>
      <c r="D11" s="16" t="s">
        <v>22</v>
      </c>
      <c r="E11" s="17"/>
      <c r="F11" s="62">
        <v>46049.0</v>
      </c>
      <c r="G11" s="18"/>
      <c r="H11" s="19">
        <v>100000.0</v>
      </c>
      <c r="I11" s="20" t="s">
        <v>26</v>
      </c>
      <c r="J11" s="20"/>
      <c r="K11" s="20"/>
      <c r="L11" s="20" t="s">
        <v>30</v>
      </c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252</v>
      </c>
      <c r="D12" s="16" t="s">
        <v>199</v>
      </c>
      <c r="E12" s="17"/>
      <c r="F12" s="62">
        <v>46049.0</v>
      </c>
      <c r="G12" s="18"/>
      <c r="H12" s="19">
        <v>100000.0</v>
      </c>
      <c r="I12" s="20" t="s">
        <v>26</v>
      </c>
      <c r="J12" s="20"/>
      <c r="K12" s="20"/>
      <c r="L12" s="20" t="s">
        <v>30</v>
      </c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253</v>
      </c>
      <c r="D13" s="16" t="s">
        <v>199</v>
      </c>
      <c r="E13" s="17"/>
      <c r="F13" s="62">
        <v>46049.0</v>
      </c>
      <c r="G13" s="18"/>
      <c r="H13" s="19">
        <v>100000.0</v>
      </c>
      <c r="I13" s="20" t="s">
        <v>26</v>
      </c>
      <c r="J13" s="20"/>
      <c r="K13" s="20"/>
      <c r="L13" s="20" t="s">
        <v>30</v>
      </c>
      <c r="M13" s="27"/>
      <c r="N13" s="24"/>
      <c r="O13" s="25"/>
      <c r="P13" s="25"/>
      <c r="Q13" s="1"/>
      <c r="R13" s="1"/>
    </row>
    <row r="14">
      <c r="A14" s="1"/>
      <c r="B14" s="14">
        <v>11.0</v>
      </c>
      <c r="C14" s="15" t="s">
        <v>255</v>
      </c>
      <c r="D14" s="16" t="s">
        <v>256</v>
      </c>
      <c r="E14" s="17"/>
      <c r="F14" s="30"/>
      <c r="G14" s="18">
        <v>450000.0</v>
      </c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875000</v>
      </c>
      <c r="H19" s="34">
        <f t="shared" si="1"/>
        <v>870000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875000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 t="s">
        <v>78</v>
      </c>
      <c r="D24" s="45">
        <v>-50000.0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 t="s">
        <v>276</v>
      </c>
      <c r="D25" s="49">
        <v>-35000.0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90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90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790000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M4:M18 O25:O26">
      <formula1>"ADIF ,VERO,FADEL,PENTIL,FAHME"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3.63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241</v>
      </c>
      <c r="D4" s="16" t="s">
        <v>102</v>
      </c>
      <c r="E4" s="17"/>
      <c r="F4" s="60">
        <v>45231.0</v>
      </c>
      <c r="G4" s="18"/>
      <c r="H4" s="19">
        <v>800000.0</v>
      </c>
      <c r="I4" s="20"/>
      <c r="J4" s="20"/>
      <c r="K4" s="20"/>
      <c r="L4" s="20" t="s">
        <v>247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250</v>
      </c>
      <c r="D5" s="16" t="s">
        <v>125</v>
      </c>
      <c r="E5" s="17"/>
      <c r="F5" s="60">
        <v>46067.0</v>
      </c>
      <c r="G5" s="18"/>
      <c r="H5" s="19">
        <v>100000.0</v>
      </c>
      <c r="I5" s="20" t="s">
        <v>26</v>
      </c>
      <c r="J5" s="20"/>
      <c r="K5" s="20"/>
      <c r="L5" s="20" t="s">
        <v>45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246</v>
      </c>
      <c r="D6" s="16" t="s">
        <v>22</v>
      </c>
      <c r="E6" s="17"/>
      <c r="F6" s="29">
        <v>46049.0</v>
      </c>
      <c r="G6" s="18">
        <v>100000.0</v>
      </c>
      <c r="H6" s="19"/>
      <c r="I6" s="20" t="s">
        <v>27</v>
      </c>
      <c r="J6" s="20" t="s">
        <v>28</v>
      </c>
      <c r="K6" s="20" t="s">
        <v>28</v>
      </c>
      <c r="L6" s="20" t="s">
        <v>45</v>
      </c>
      <c r="M6" s="20" t="s">
        <v>58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254</v>
      </c>
      <c r="D7" s="16" t="s">
        <v>108</v>
      </c>
      <c r="E7" s="17"/>
      <c r="F7" s="29">
        <v>46049.0</v>
      </c>
      <c r="G7" s="18">
        <v>50000.0</v>
      </c>
      <c r="H7" s="28"/>
      <c r="I7" s="20" t="s">
        <v>27</v>
      </c>
      <c r="J7" s="20" t="s">
        <v>28</v>
      </c>
      <c r="K7" s="20" t="s">
        <v>28</v>
      </c>
      <c r="L7" s="20" t="s">
        <v>45</v>
      </c>
      <c r="M7" s="20" t="s">
        <v>58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259</v>
      </c>
      <c r="D8" s="16" t="s">
        <v>22</v>
      </c>
      <c r="E8" s="17"/>
      <c r="F8" s="29">
        <v>46049.0</v>
      </c>
      <c r="G8" s="18">
        <v>5000.0</v>
      </c>
      <c r="H8" s="19">
        <v>170000.0</v>
      </c>
      <c r="I8" s="20" t="s">
        <v>27</v>
      </c>
      <c r="J8" s="20" t="s">
        <v>28</v>
      </c>
      <c r="K8" s="20" t="s">
        <v>31</v>
      </c>
      <c r="L8" s="20" t="s">
        <v>45</v>
      </c>
      <c r="M8" s="20" t="s">
        <v>58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184</v>
      </c>
      <c r="D9" s="16" t="s">
        <v>22</v>
      </c>
      <c r="E9" s="17"/>
      <c r="F9" s="29">
        <v>46049.0</v>
      </c>
      <c r="G9" s="18"/>
      <c r="H9" s="19">
        <v>175000.0</v>
      </c>
      <c r="I9" s="20" t="s">
        <v>27</v>
      </c>
      <c r="J9" s="20" t="s">
        <v>28</v>
      </c>
      <c r="K9" s="20" t="s">
        <v>28</v>
      </c>
      <c r="L9" s="20" t="s">
        <v>45</v>
      </c>
      <c r="M9" s="20" t="s">
        <v>58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253</v>
      </c>
      <c r="D10" s="16" t="s">
        <v>199</v>
      </c>
      <c r="E10" s="17"/>
      <c r="F10" s="29">
        <v>46049.0</v>
      </c>
      <c r="G10" s="18">
        <v>100000.0</v>
      </c>
      <c r="H10" s="28"/>
      <c r="I10" s="20" t="s">
        <v>27</v>
      </c>
      <c r="J10" s="20" t="s">
        <v>28</v>
      </c>
      <c r="K10" s="20" t="s">
        <v>44</v>
      </c>
      <c r="L10" s="20" t="s">
        <v>45</v>
      </c>
      <c r="M10" s="20" t="s">
        <v>58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263</v>
      </c>
      <c r="D11" s="16" t="s">
        <v>125</v>
      </c>
      <c r="E11" s="17"/>
      <c r="F11" s="29">
        <v>46067.0</v>
      </c>
      <c r="G11" s="18"/>
      <c r="H11" s="19">
        <v>100000.0</v>
      </c>
      <c r="I11" s="20" t="s">
        <v>26</v>
      </c>
      <c r="J11" s="20"/>
      <c r="K11" s="20"/>
      <c r="L11" s="20" t="s">
        <v>45</v>
      </c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266</v>
      </c>
      <c r="D12" s="16" t="s">
        <v>66</v>
      </c>
      <c r="E12" s="17"/>
      <c r="F12" s="62">
        <v>46049.0</v>
      </c>
      <c r="G12" s="18"/>
      <c r="H12" s="19">
        <v>100000.0</v>
      </c>
      <c r="I12" s="20" t="s">
        <v>26</v>
      </c>
      <c r="J12" s="20"/>
      <c r="K12" s="20"/>
      <c r="L12" s="20" t="s">
        <v>30</v>
      </c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270</v>
      </c>
      <c r="D13" s="16" t="s">
        <v>22</v>
      </c>
      <c r="E13" s="17" t="s">
        <v>271</v>
      </c>
      <c r="F13" s="62">
        <v>46049.0</v>
      </c>
      <c r="G13" s="18">
        <v>1335000.0</v>
      </c>
      <c r="H13" s="28"/>
      <c r="I13" s="20" t="s">
        <v>27</v>
      </c>
      <c r="J13" s="20" t="s">
        <v>28</v>
      </c>
      <c r="K13" s="20" t="s">
        <v>28</v>
      </c>
      <c r="L13" s="20" t="s">
        <v>30</v>
      </c>
      <c r="M13" s="20" t="s">
        <v>32</v>
      </c>
      <c r="N13" s="24"/>
      <c r="O13" s="25"/>
      <c r="P13" s="25"/>
      <c r="Q13" s="1"/>
      <c r="R13" s="1"/>
    </row>
    <row r="14">
      <c r="A14" s="1"/>
      <c r="B14" s="30"/>
      <c r="C14" s="15" t="s">
        <v>272</v>
      </c>
      <c r="D14" s="16" t="s">
        <v>22</v>
      </c>
      <c r="E14" s="17"/>
      <c r="F14" s="62">
        <v>46049.0</v>
      </c>
      <c r="G14" s="18">
        <v>225000.0</v>
      </c>
      <c r="H14" s="28"/>
      <c r="I14" s="20" t="s">
        <v>27</v>
      </c>
      <c r="J14" s="20" t="s">
        <v>28</v>
      </c>
      <c r="K14" s="20" t="s">
        <v>28</v>
      </c>
      <c r="L14" s="20" t="s">
        <v>30</v>
      </c>
      <c r="M14" s="20" t="s">
        <v>32</v>
      </c>
      <c r="N14" s="24"/>
      <c r="O14" s="25"/>
      <c r="P14" s="25"/>
      <c r="Q14" s="1"/>
      <c r="R14" s="1"/>
    </row>
    <row r="15">
      <c r="A15" s="1"/>
      <c r="B15" s="30"/>
      <c r="C15" s="15" t="s">
        <v>273</v>
      </c>
      <c r="D15" s="16" t="s">
        <v>199</v>
      </c>
      <c r="E15" s="17" t="s">
        <v>274</v>
      </c>
      <c r="F15" s="62">
        <v>46049.0</v>
      </c>
      <c r="G15" s="18">
        <v>110000.0</v>
      </c>
      <c r="H15" s="28"/>
      <c r="I15" s="20" t="s">
        <v>27</v>
      </c>
      <c r="J15" s="20" t="s">
        <v>28</v>
      </c>
      <c r="K15" s="20" t="s">
        <v>28</v>
      </c>
      <c r="L15" s="20" t="s">
        <v>30</v>
      </c>
      <c r="M15" s="20" t="s">
        <v>32</v>
      </c>
      <c r="N15" s="24"/>
      <c r="O15" s="25"/>
      <c r="P15" s="25"/>
      <c r="Q15" s="1"/>
      <c r="R15" s="1"/>
    </row>
    <row r="16">
      <c r="A16" s="1"/>
      <c r="B16" s="30"/>
      <c r="C16" s="15" t="s">
        <v>266</v>
      </c>
      <c r="D16" s="16" t="s">
        <v>66</v>
      </c>
      <c r="E16" s="17" t="s">
        <v>275</v>
      </c>
      <c r="F16" s="62">
        <v>46049.0</v>
      </c>
      <c r="G16" s="18"/>
      <c r="H16" s="19">
        <v>80000.0</v>
      </c>
      <c r="I16" s="20" t="s">
        <v>27</v>
      </c>
      <c r="J16" s="20" t="s">
        <v>28</v>
      </c>
      <c r="K16" s="20" t="s">
        <v>28</v>
      </c>
      <c r="L16" s="20" t="s">
        <v>30</v>
      </c>
      <c r="M16" s="20" t="s">
        <v>32</v>
      </c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1925000</v>
      </c>
      <c r="H19" s="34">
        <f t="shared" si="1"/>
        <v>1525000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1925000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 t="s">
        <v>278</v>
      </c>
      <c r="D24" s="45">
        <v>-16000.0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 t="s">
        <v>80</v>
      </c>
      <c r="D25" s="49">
        <v>-100000.0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58</v>
      </c>
      <c r="P25" s="1"/>
      <c r="Q25" s="1"/>
      <c r="R25" s="1"/>
    </row>
    <row r="26">
      <c r="A26" s="1"/>
      <c r="B26" s="43">
        <v>4.0</v>
      </c>
      <c r="C26" s="44" t="s">
        <v>156</v>
      </c>
      <c r="D26" s="45">
        <v>-39000.0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32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1770000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"-,JIJANG,AXEL,PENTIL,FAHME,ADDEL,INDAH"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M4:M18 O25:O26">
      <formula1>"-,VERO,FADEL,PENTIL,HANIF,ADIF"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249</v>
      </c>
      <c r="D4" s="16" t="s">
        <v>199</v>
      </c>
      <c r="E4" s="17"/>
      <c r="F4" s="60">
        <v>46057.0</v>
      </c>
      <c r="G4" s="18"/>
      <c r="H4" s="19">
        <v>100000.0</v>
      </c>
      <c r="I4" s="20" t="s">
        <v>26</v>
      </c>
      <c r="J4" s="20"/>
      <c r="K4" s="20"/>
      <c r="L4" s="20" t="s">
        <v>30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257</v>
      </c>
      <c r="D5" s="16" t="s">
        <v>63</v>
      </c>
      <c r="E5" s="17"/>
      <c r="F5" s="14" t="s">
        <v>258</v>
      </c>
      <c r="G5" s="18"/>
      <c r="H5" s="19">
        <v>20000.0</v>
      </c>
      <c r="I5" s="20" t="s">
        <v>27</v>
      </c>
      <c r="J5" s="20"/>
      <c r="K5" s="20"/>
      <c r="L5" s="20" t="s">
        <v>30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200</v>
      </c>
      <c r="D6" s="16" t="s">
        <v>22</v>
      </c>
      <c r="E6" s="17"/>
      <c r="F6" s="62">
        <v>46050.0</v>
      </c>
      <c r="G6" s="26"/>
      <c r="H6" s="19">
        <v>75000.0</v>
      </c>
      <c r="I6" s="20" t="s">
        <v>27</v>
      </c>
      <c r="J6" s="20" t="s">
        <v>28</v>
      </c>
      <c r="K6" s="20" t="s">
        <v>28</v>
      </c>
      <c r="L6" s="20" t="s">
        <v>30</v>
      </c>
      <c r="M6" s="20" t="s">
        <v>32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261</v>
      </c>
      <c r="D7" s="16" t="s">
        <v>199</v>
      </c>
      <c r="E7" s="17"/>
      <c r="F7" s="62">
        <v>46050.0</v>
      </c>
      <c r="G7" s="18"/>
      <c r="H7" s="19">
        <v>100000.0</v>
      </c>
      <c r="I7" s="20" t="s">
        <v>26</v>
      </c>
      <c r="J7" s="20"/>
      <c r="K7" s="20"/>
      <c r="L7" s="20" t="s">
        <v>30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198</v>
      </c>
      <c r="D8" s="16" t="s">
        <v>125</v>
      </c>
      <c r="E8" s="17"/>
      <c r="F8" s="14" t="s">
        <v>243</v>
      </c>
      <c r="G8" s="18"/>
      <c r="H8" s="19">
        <v>100000.0</v>
      </c>
      <c r="I8" s="20" t="s">
        <v>26</v>
      </c>
      <c r="J8" s="20"/>
      <c r="K8" s="20"/>
      <c r="L8" s="20" t="s">
        <v>45</v>
      </c>
      <c r="M8" s="27"/>
      <c r="N8" s="24"/>
      <c r="O8" s="25"/>
      <c r="P8" s="25"/>
      <c r="Q8" s="1"/>
      <c r="R8" s="1"/>
    </row>
    <row r="9">
      <c r="A9" s="1"/>
      <c r="B9" s="14">
        <v>6.0</v>
      </c>
      <c r="C9" s="15" t="s">
        <v>262</v>
      </c>
      <c r="D9" s="16" t="s">
        <v>199</v>
      </c>
      <c r="E9" s="17"/>
      <c r="F9" s="29">
        <v>46050.0</v>
      </c>
      <c r="G9" s="18"/>
      <c r="H9" s="19">
        <v>125000.0</v>
      </c>
      <c r="I9" s="20" t="s">
        <v>27</v>
      </c>
      <c r="J9" s="20" t="s">
        <v>28</v>
      </c>
      <c r="K9" s="20" t="s">
        <v>28</v>
      </c>
      <c r="L9" s="20" t="s">
        <v>45</v>
      </c>
      <c r="M9" s="20" t="s">
        <v>62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264</v>
      </c>
      <c r="D10" s="16" t="s">
        <v>125</v>
      </c>
      <c r="E10" s="17"/>
      <c r="F10" s="29">
        <v>46050.0</v>
      </c>
      <c r="G10" s="18"/>
      <c r="H10" s="19">
        <v>100000.0</v>
      </c>
      <c r="I10" s="20" t="s">
        <v>26</v>
      </c>
      <c r="J10" s="20"/>
      <c r="K10" s="20"/>
      <c r="L10" s="20" t="s">
        <v>45</v>
      </c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265</v>
      </c>
      <c r="D11" s="16" t="s">
        <v>108</v>
      </c>
      <c r="E11" s="17"/>
      <c r="F11" s="29">
        <v>46050.0</v>
      </c>
      <c r="G11" s="18"/>
      <c r="H11" s="19">
        <v>50000.0</v>
      </c>
      <c r="I11" s="20" t="s">
        <v>27</v>
      </c>
      <c r="J11" s="20" t="s">
        <v>28</v>
      </c>
      <c r="K11" s="20" t="s">
        <v>28</v>
      </c>
      <c r="L11" s="20" t="s">
        <v>45</v>
      </c>
      <c r="M11" s="20" t="s">
        <v>62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267</v>
      </c>
      <c r="D12" s="16" t="s">
        <v>268</v>
      </c>
      <c r="E12" s="17" t="s">
        <v>269</v>
      </c>
      <c r="F12" s="29">
        <v>46050.0</v>
      </c>
      <c r="G12" s="18"/>
      <c r="H12" s="19">
        <v>230000.0</v>
      </c>
      <c r="I12" s="20" t="s">
        <v>27</v>
      </c>
      <c r="J12" s="20"/>
      <c r="K12" s="20"/>
      <c r="L12" s="20" t="s">
        <v>45</v>
      </c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900000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30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45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32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62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"-,JIJANG,AXEL,PENTIL,INDAH,ADDEL"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"-,VERO,FADEL,PENTIL,FAHME,ADIF,HANIF 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Edit,Photofox,Packing,Add Canvas"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277</v>
      </c>
      <c r="D4" s="16" t="s">
        <v>125</v>
      </c>
      <c r="E4" s="17"/>
      <c r="F4" s="14" t="s">
        <v>243</v>
      </c>
      <c r="G4" s="18"/>
      <c r="H4" s="19">
        <v>100000.0</v>
      </c>
      <c r="I4" s="20" t="s">
        <v>26</v>
      </c>
      <c r="J4" s="20"/>
      <c r="K4" s="20"/>
      <c r="L4" s="20" t="s">
        <v>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279</v>
      </c>
      <c r="D5" s="16" t="s">
        <v>125</v>
      </c>
      <c r="E5" s="17"/>
      <c r="F5" s="14" t="s">
        <v>243</v>
      </c>
      <c r="G5" s="18"/>
      <c r="H5" s="19">
        <v>100000.0</v>
      </c>
      <c r="I5" s="20" t="s">
        <v>26</v>
      </c>
      <c r="J5" s="20"/>
      <c r="K5" s="20"/>
      <c r="L5" s="20" t="s">
        <v>45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191</v>
      </c>
      <c r="D6" s="16" t="s">
        <v>22</v>
      </c>
      <c r="E6" s="17"/>
      <c r="F6" s="29">
        <v>46051.0</v>
      </c>
      <c r="G6" s="18">
        <v>250000.0</v>
      </c>
      <c r="H6" s="19"/>
      <c r="I6" s="20" t="s">
        <v>27</v>
      </c>
      <c r="J6" s="20" t="s">
        <v>28</v>
      </c>
      <c r="K6" s="20" t="s">
        <v>28</v>
      </c>
      <c r="L6" s="20" t="s">
        <v>45</v>
      </c>
      <c r="M6" s="20" t="s">
        <v>62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280</v>
      </c>
      <c r="D7" s="16" t="s">
        <v>125</v>
      </c>
      <c r="E7" s="17"/>
      <c r="F7" s="29">
        <v>46067.0</v>
      </c>
      <c r="G7" s="18"/>
      <c r="H7" s="19">
        <v>100000.0</v>
      </c>
      <c r="I7" s="20" t="s">
        <v>26</v>
      </c>
      <c r="J7" s="20"/>
      <c r="K7" s="20"/>
      <c r="L7" s="20" t="s">
        <v>45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47</v>
      </c>
      <c r="D8" s="16" t="s">
        <v>22</v>
      </c>
      <c r="E8" s="17"/>
      <c r="F8" s="29">
        <v>46051.0</v>
      </c>
      <c r="G8" s="18"/>
      <c r="H8" s="19">
        <v>425000.0</v>
      </c>
      <c r="I8" s="20" t="s">
        <v>27</v>
      </c>
      <c r="J8" s="20" t="s">
        <v>28</v>
      </c>
      <c r="K8" s="20" t="s">
        <v>31</v>
      </c>
      <c r="L8" s="20" t="s">
        <v>45</v>
      </c>
      <c r="M8" s="20" t="s">
        <v>62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281</v>
      </c>
      <c r="D9" s="16" t="s">
        <v>125</v>
      </c>
      <c r="E9" s="17"/>
      <c r="F9" s="29">
        <v>46067.0</v>
      </c>
      <c r="G9" s="18">
        <v>100000.0</v>
      </c>
      <c r="H9" s="28"/>
      <c r="I9" s="20" t="s">
        <v>26</v>
      </c>
      <c r="J9" s="20"/>
      <c r="K9" s="20"/>
      <c r="L9" s="20" t="s">
        <v>45</v>
      </c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 t="s">
        <v>283</v>
      </c>
      <c r="D10" s="16" t="s">
        <v>22</v>
      </c>
      <c r="E10" s="17"/>
      <c r="F10" s="29">
        <v>46051.0</v>
      </c>
      <c r="G10" s="18">
        <v>225000.0</v>
      </c>
      <c r="H10" s="28"/>
      <c r="I10" s="20" t="s">
        <v>27</v>
      </c>
      <c r="J10" s="20" t="s">
        <v>28</v>
      </c>
      <c r="K10" s="20" t="s">
        <v>28</v>
      </c>
      <c r="L10" s="20" t="s">
        <v>45</v>
      </c>
      <c r="M10" s="20" t="s">
        <v>62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284</v>
      </c>
      <c r="D11" s="16" t="s">
        <v>125</v>
      </c>
      <c r="E11" s="17"/>
      <c r="F11" s="29">
        <v>46067.0</v>
      </c>
      <c r="G11" s="18"/>
      <c r="H11" s="19">
        <v>100000.0</v>
      </c>
      <c r="I11" s="20" t="s">
        <v>26</v>
      </c>
      <c r="J11" s="20"/>
      <c r="K11" s="20"/>
      <c r="L11" s="20" t="s">
        <v>45</v>
      </c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285</v>
      </c>
      <c r="D12" s="16" t="s">
        <v>125</v>
      </c>
      <c r="E12" s="17"/>
      <c r="F12" s="29">
        <v>46067.0</v>
      </c>
      <c r="G12" s="18"/>
      <c r="H12" s="19">
        <v>100000.0</v>
      </c>
      <c r="I12" s="20" t="s">
        <v>26</v>
      </c>
      <c r="J12" s="20"/>
      <c r="K12" s="20"/>
      <c r="L12" s="20" t="s">
        <v>45</v>
      </c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286</v>
      </c>
      <c r="D13" s="16" t="s">
        <v>125</v>
      </c>
      <c r="E13" s="17"/>
      <c r="F13" s="29">
        <v>46067.0</v>
      </c>
      <c r="G13" s="18"/>
      <c r="H13" s="19">
        <v>100000.0</v>
      </c>
      <c r="I13" s="20" t="s">
        <v>26</v>
      </c>
      <c r="J13" s="20"/>
      <c r="K13" s="20"/>
      <c r="L13" s="20" t="s">
        <v>45</v>
      </c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575000</v>
      </c>
      <c r="H19" s="34">
        <f t="shared" si="1"/>
        <v>1025000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575000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 t="s">
        <v>85</v>
      </c>
      <c r="D24" s="45">
        <v>-74000.0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45</v>
      </c>
      <c r="P24" s="1"/>
      <c r="Q24" s="1"/>
      <c r="R24" s="1"/>
    </row>
    <row r="25">
      <c r="A25" s="1"/>
      <c r="B25" s="38">
        <v>3.0</v>
      </c>
      <c r="C25" s="39" t="s">
        <v>80</v>
      </c>
      <c r="D25" s="49">
        <v>-66000.0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62</v>
      </c>
      <c r="P25" s="1"/>
      <c r="Q25" s="1"/>
      <c r="R25" s="1"/>
    </row>
    <row r="26">
      <c r="A26" s="1"/>
      <c r="B26" s="43">
        <v>4.0</v>
      </c>
      <c r="C26" s="44" t="s">
        <v>73</v>
      </c>
      <c r="D26" s="45">
        <v>-16000.0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62</v>
      </c>
      <c r="P26" s="1"/>
      <c r="Q26" s="1"/>
      <c r="R26" s="1"/>
    </row>
    <row r="27">
      <c r="A27" s="1"/>
      <c r="B27" s="38"/>
      <c r="C27" s="39" t="s">
        <v>79</v>
      </c>
      <c r="D27" s="49">
        <v>-50000.0</v>
      </c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44" t="s">
        <v>299</v>
      </c>
      <c r="D28" s="45">
        <v>-19000.0</v>
      </c>
      <c r="E28" s="41"/>
      <c r="F28" s="78">
        <f>SUM(D24:D27)</f>
        <v>-206000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350000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"-,VERO,FADEL,HANIF ,FAHME"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282</v>
      </c>
      <c r="D4" s="16" t="s">
        <v>22</v>
      </c>
      <c r="E4" s="17"/>
      <c r="F4" s="60">
        <v>46052.0</v>
      </c>
      <c r="G4" s="18"/>
      <c r="H4" s="19">
        <v>100000.0</v>
      </c>
      <c r="I4" s="20" t="s">
        <v>26</v>
      </c>
      <c r="J4" s="20"/>
      <c r="K4" s="20"/>
      <c r="L4" s="20" t="s">
        <v>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287</v>
      </c>
      <c r="D5" s="16" t="s">
        <v>66</v>
      </c>
      <c r="E5" s="17"/>
      <c r="F5" s="60">
        <v>46054.0</v>
      </c>
      <c r="G5" s="18"/>
      <c r="H5" s="19">
        <v>150000.0</v>
      </c>
      <c r="I5" s="20" t="s">
        <v>27</v>
      </c>
      <c r="J5" s="20"/>
      <c r="K5" s="20"/>
      <c r="L5" s="20" t="s">
        <v>45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288</v>
      </c>
      <c r="D6" s="16" t="s">
        <v>66</v>
      </c>
      <c r="E6" s="17"/>
      <c r="F6" s="29">
        <v>46052.0</v>
      </c>
      <c r="G6" s="26"/>
      <c r="H6" s="19">
        <v>150000.0</v>
      </c>
      <c r="I6" s="20" t="s">
        <v>27</v>
      </c>
      <c r="J6" s="20"/>
      <c r="K6" s="20"/>
      <c r="L6" s="20" t="s">
        <v>45</v>
      </c>
      <c r="M6" s="27"/>
      <c r="N6" s="24"/>
      <c r="O6" s="24"/>
      <c r="P6" s="25"/>
      <c r="Q6" s="1"/>
      <c r="R6" s="1"/>
    </row>
    <row r="7">
      <c r="A7" s="1"/>
      <c r="B7" s="14">
        <v>4.0</v>
      </c>
      <c r="C7" s="15" t="s">
        <v>289</v>
      </c>
      <c r="D7" s="16" t="s">
        <v>60</v>
      </c>
      <c r="E7" s="17"/>
      <c r="F7" s="29">
        <v>46056.0</v>
      </c>
      <c r="G7" s="18"/>
      <c r="H7" s="19">
        <v>450000.0</v>
      </c>
      <c r="I7" s="20" t="s">
        <v>27</v>
      </c>
      <c r="J7" s="20"/>
      <c r="K7" s="20"/>
      <c r="L7" s="20" t="s">
        <v>45</v>
      </c>
      <c r="M7" s="27"/>
      <c r="N7" s="24"/>
      <c r="O7" s="24"/>
      <c r="P7" s="25"/>
      <c r="Q7" s="1"/>
      <c r="R7" s="1"/>
    </row>
    <row r="8">
      <c r="A8" s="1"/>
      <c r="B8" s="14">
        <v>5.0</v>
      </c>
      <c r="C8" s="15" t="s">
        <v>282</v>
      </c>
      <c r="D8" s="16" t="s">
        <v>22</v>
      </c>
      <c r="E8" s="17"/>
      <c r="F8" s="29">
        <v>46052.0</v>
      </c>
      <c r="G8" s="18"/>
      <c r="H8" s="19">
        <v>500000.0</v>
      </c>
      <c r="I8" s="20" t="s">
        <v>27</v>
      </c>
      <c r="J8" s="20" t="s">
        <v>28</v>
      </c>
      <c r="K8" s="20" t="s">
        <v>44</v>
      </c>
      <c r="L8" s="20" t="s">
        <v>45</v>
      </c>
      <c r="M8" s="20" t="s">
        <v>62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288</v>
      </c>
      <c r="D9" s="16" t="s">
        <v>291</v>
      </c>
      <c r="E9" s="17"/>
      <c r="F9" s="29">
        <v>46052.0</v>
      </c>
      <c r="G9" s="18"/>
      <c r="H9" s="19">
        <v>75000.0</v>
      </c>
      <c r="I9" s="20" t="s">
        <v>27</v>
      </c>
      <c r="J9" s="20" t="s">
        <v>28</v>
      </c>
      <c r="K9" s="20" t="s">
        <v>28</v>
      </c>
      <c r="L9" s="20" t="s">
        <v>45</v>
      </c>
      <c r="M9" s="20" t="s">
        <v>62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292</v>
      </c>
      <c r="D10" s="16" t="s">
        <v>22</v>
      </c>
      <c r="E10" s="17"/>
      <c r="F10" s="62">
        <v>46053.0</v>
      </c>
      <c r="G10" s="18"/>
      <c r="H10" s="19">
        <v>300000.0</v>
      </c>
      <c r="I10" s="20" t="s">
        <v>27</v>
      </c>
      <c r="J10" s="20"/>
      <c r="K10" s="20"/>
      <c r="L10" s="20" t="s">
        <v>30</v>
      </c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293</v>
      </c>
      <c r="D11" s="16" t="s">
        <v>22</v>
      </c>
      <c r="E11" s="17"/>
      <c r="F11" s="62">
        <v>46053.0</v>
      </c>
      <c r="G11" s="18"/>
      <c r="H11" s="19">
        <v>100000.0</v>
      </c>
      <c r="I11" s="20" t="s">
        <v>26</v>
      </c>
      <c r="J11" s="20"/>
      <c r="K11" s="20"/>
      <c r="L11" s="20" t="s">
        <v>30</v>
      </c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294</v>
      </c>
      <c r="D12" s="16" t="s">
        <v>199</v>
      </c>
      <c r="E12" s="17"/>
      <c r="F12" s="62">
        <v>46055.0</v>
      </c>
      <c r="G12" s="18"/>
      <c r="H12" s="19">
        <v>100000.0</v>
      </c>
      <c r="I12" s="20" t="s">
        <v>26</v>
      </c>
      <c r="J12" s="20"/>
      <c r="K12" s="20"/>
      <c r="L12" s="20" t="s">
        <v>30</v>
      </c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295</v>
      </c>
      <c r="D13" s="16" t="s">
        <v>22</v>
      </c>
      <c r="E13" s="17"/>
      <c r="F13" s="62">
        <v>46053.0</v>
      </c>
      <c r="G13" s="18"/>
      <c r="H13" s="19">
        <v>100000.0</v>
      </c>
      <c r="I13" s="20" t="s">
        <v>26</v>
      </c>
      <c r="J13" s="20"/>
      <c r="K13" s="20"/>
      <c r="L13" s="20" t="s">
        <v>30</v>
      </c>
      <c r="M13" s="27"/>
      <c r="N13" s="24"/>
      <c r="O13" s="25"/>
      <c r="P13" s="25"/>
      <c r="Q13" s="1"/>
      <c r="R13" s="1"/>
    </row>
    <row r="14">
      <c r="A14" s="1"/>
      <c r="B14" s="30"/>
      <c r="C14" s="15" t="s">
        <v>78</v>
      </c>
      <c r="D14" s="16" t="s">
        <v>228</v>
      </c>
      <c r="E14" s="17"/>
      <c r="F14" s="62">
        <v>46048.0</v>
      </c>
      <c r="G14" s="18"/>
      <c r="H14" s="19">
        <v>250000.0</v>
      </c>
      <c r="I14" s="20" t="s">
        <v>27</v>
      </c>
      <c r="J14" s="20" t="s">
        <v>28</v>
      </c>
      <c r="K14" s="20" t="s">
        <v>44</v>
      </c>
      <c r="L14" s="20" t="s">
        <v>30</v>
      </c>
      <c r="M14" s="20" t="s">
        <v>32</v>
      </c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2275000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45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62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32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Edit,Photofox,Photo Product"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"-,VERO,FADEL,PENTIL,HANIF ,ADIF"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26.38"/>
    <col customWidth="1" min="4" max="4" width="16.0"/>
    <col customWidth="1" min="5" max="5" width="17.63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290</v>
      </c>
      <c r="D4" s="16" t="s">
        <v>22</v>
      </c>
      <c r="E4" s="17"/>
      <c r="F4" s="60">
        <v>46064.0</v>
      </c>
      <c r="G4" s="18"/>
      <c r="H4" s="19">
        <v>100000.0</v>
      </c>
      <c r="I4" s="20" t="s">
        <v>26</v>
      </c>
      <c r="J4" s="20"/>
      <c r="K4" s="20"/>
      <c r="L4" s="20" t="s">
        <v>30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296</v>
      </c>
      <c r="D5" s="16" t="s">
        <v>66</v>
      </c>
      <c r="E5" s="17"/>
      <c r="F5" s="60">
        <v>46053.0</v>
      </c>
      <c r="G5" s="18"/>
      <c r="H5" s="19">
        <v>150000.0</v>
      </c>
      <c r="I5" s="20" t="s">
        <v>27</v>
      </c>
      <c r="J5" s="20"/>
      <c r="K5" s="20"/>
      <c r="L5" s="20" t="s">
        <v>30</v>
      </c>
      <c r="M5" s="20"/>
      <c r="N5" s="24"/>
      <c r="O5" s="24"/>
      <c r="P5" s="25"/>
      <c r="Q5" s="1"/>
      <c r="R5" s="1"/>
    </row>
    <row r="6">
      <c r="A6" s="1"/>
      <c r="B6" s="14">
        <v>3.0</v>
      </c>
      <c r="C6" s="15" t="s">
        <v>297</v>
      </c>
      <c r="D6" s="16" t="s">
        <v>298</v>
      </c>
      <c r="E6" s="17"/>
      <c r="F6" s="62">
        <v>46053.0</v>
      </c>
      <c r="G6" s="26"/>
      <c r="H6" s="19">
        <v>1500000.0</v>
      </c>
      <c r="I6" s="20" t="s">
        <v>27</v>
      </c>
      <c r="J6" s="20" t="s">
        <v>28</v>
      </c>
      <c r="K6" s="20" t="s">
        <v>44</v>
      </c>
      <c r="L6" s="20" t="s">
        <v>30</v>
      </c>
      <c r="M6" s="20" t="s">
        <v>300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301</v>
      </c>
      <c r="D7" s="16" t="s">
        <v>22</v>
      </c>
      <c r="E7" s="17" t="s">
        <v>302</v>
      </c>
      <c r="F7" s="62">
        <v>46053.0</v>
      </c>
      <c r="G7" s="18"/>
      <c r="H7" s="19">
        <v>80000.0</v>
      </c>
      <c r="I7" s="20" t="s">
        <v>27</v>
      </c>
      <c r="J7" s="20" t="s">
        <v>28</v>
      </c>
      <c r="K7" s="20" t="s">
        <v>28</v>
      </c>
      <c r="L7" s="20" t="s">
        <v>30</v>
      </c>
      <c r="M7" s="20" t="s">
        <v>58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303</v>
      </c>
      <c r="D8" s="16" t="s">
        <v>228</v>
      </c>
      <c r="E8" s="17"/>
      <c r="F8" s="62">
        <v>46053.0</v>
      </c>
      <c r="G8" s="18"/>
      <c r="H8" s="19">
        <v>250000.0</v>
      </c>
      <c r="I8" s="20" t="s">
        <v>27</v>
      </c>
      <c r="J8" s="20" t="s">
        <v>28</v>
      </c>
      <c r="K8" s="20" t="s">
        <v>44</v>
      </c>
      <c r="L8" s="20" t="s">
        <v>30</v>
      </c>
      <c r="M8" s="20" t="s">
        <v>58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304</v>
      </c>
      <c r="D9" s="16" t="s">
        <v>22</v>
      </c>
      <c r="E9" s="17"/>
      <c r="F9" s="62">
        <v>46060.0</v>
      </c>
      <c r="G9" s="18"/>
      <c r="H9" s="19">
        <v>100000.0</v>
      </c>
      <c r="I9" s="20" t="s">
        <v>26</v>
      </c>
      <c r="J9" s="20"/>
      <c r="K9" s="20"/>
      <c r="L9" s="20" t="s">
        <v>30</v>
      </c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 t="s">
        <v>292</v>
      </c>
      <c r="D10" s="16" t="s">
        <v>22</v>
      </c>
      <c r="E10" s="17"/>
      <c r="F10" s="62">
        <v>46053.0</v>
      </c>
      <c r="G10" s="18">
        <v>0.0</v>
      </c>
      <c r="H10" s="19">
        <v>0.0</v>
      </c>
      <c r="I10" s="20" t="s">
        <v>27</v>
      </c>
      <c r="J10" s="20" t="s">
        <v>28</v>
      </c>
      <c r="K10" s="20" t="s">
        <v>28</v>
      </c>
      <c r="L10" s="20" t="s">
        <v>30</v>
      </c>
      <c r="M10" s="20" t="s">
        <v>58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305</v>
      </c>
      <c r="D11" s="16" t="s">
        <v>22</v>
      </c>
      <c r="E11" s="17"/>
      <c r="F11" s="62">
        <v>46053.0</v>
      </c>
      <c r="G11" s="18">
        <v>750000.0</v>
      </c>
      <c r="H11" s="28"/>
      <c r="I11" s="20" t="s">
        <v>27</v>
      </c>
      <c r="J11" s="20" t="s">
        <v>28</v>
      </c>
      <c r="K11" s="20" t="s">
        <v>28</v>
      </c>
      <c r="L11" s="20" t="s">
        <v>30</v>
      </c>
      <c r="M11" s="20" t="s">
        <v>32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306</v>
      </c>
      <c r="D12" s="16" t="s">
        <v>22</v>
      </c>
      <c r="E12" s="17"/>
      <c r="F12" s="62">
        <v>46053.0</v>
      </c>
      <c r="G12" s="18"/>
      <c r="H12" s="19">
        <v>75000.0</v>
      </c>
      <c r="I12" s="20" t="s">
        <v>27</v>
      </c>
      <c r="J12" s="20" t="s">
        <v>28</v>
      </c>
      <c r="K12" s="20" t="s">
        <v>28</v>
      </c>
      <c r="L12" s="20" t="s">
        <v>30</v>
      </c>
      <c r="M12" s="20" t="s">
        <v>32</v>
      </c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307</v>
      </c>
      <c r="D13" s="16" t="s">
        <v>22</v>
      </c>
      <c r="E13" s="17"/>
      <c r="F13" s="62">
        <v>46053.0</v>
      </c>
      <c r="G13" s="18">
        <v>200000.0</v>
      </c>
      <c r="H13" s="28"/>
      <c r="I13" s="20" t="s">
        <v>27</v>
      </c>
      <c r="J13" s="20" t="s">
        <v>28</v>
      </c>
      <c r="K13" s="20" t="s">
        <v>28</v>
      </c>
      <c r="L13" s="20" t="s">
        <v>30</v>
      </c>
      <c r="M13" s="20" t="s">
        <v>32</v>
      </c>
      <c r="N13" s="24"/>
      <c r="O13" s="25"/>
      <c r="P13" s="25"/>
      <c r="Q13" s="1"/>
      <c r="R13" s="1"/>
    </row>
    <row r="14">
      <c r="A14" s="1"/>
      <c r="B14" s="30"/>
      <c r="C14" s="15" t="s">
        <v>296</v>
      </c>
      <c r="D14" s="16" t="s">
        <v>66</v>
      </c>
      <c r="E14" s="17"/>
      <c r="F14" s="62">
        <v>46053.0</v>
      </c>
      <c r="G14" s="18">
        <v>0.0</v>
      </c>
      <c r="H14" s="19">
        <v>0.0</v>
      </c>
      <c r="I14" s="20" t="s">
        <v>27</v>
      </c>
      <c r="J14" s="20" t="s">
        <v>28</v>
      </c>
      <c r="K14" s="20" t="s">
        <v>28</v>
      </c>
      <c r="L14" s="20" t="s">
        <v>30</v>
      </c>
      <c r="M14" s="20" t="s">
        <v>32</v>
      </c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31"/>
      <c r="D18" s="16"/>
      <c r="E18" s="17"/>
      <c r="F18" s="30"/>
      <c r="G18" s="26"/>
      <c r="H18" s="28"/>
      <c r="I18" s="27"/>
      <c r="J18" s="27"/>
      <c r="K18" s="27"/>
      <c r="L18" s="27"/>
      <c r="M18" s="27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950000</v>
      </c>
      <c r="H19" s="34">
        <f t="shared" si="1"/>
        <v>2255000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69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70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71</v>
      </c>
      <c r="D23" s="40">
        <f>SUM(G19)</f>
        <v>950000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72</v>
      </c>
      <c r="O23" s="21" t="s">
        <v>30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74</v>
      </c>
      <c r="O24" s="48" t="s">
        <v>30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76</v>
      </c>
      <c r="O25" s="24" t="s">
        <v>58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77</v>
      </c>
      <c r="O26" s="48" t="s">
        <v>32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950000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Edit,Prewedding 1,6 jt,Photo Product"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M4:M18 O25:O26">
      <formula1>"-,VERO,FADEL,PENTIL,FAHME,ADIF,HANIF,ADIF HANIF"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/>
      <c r="D4" s="16"/>
      <c r="E4" s="17"/>
      <c r="F4" s="60">
        <v>45231.0</v>
      </c>
      <c r="G4" s="18"/>
      <c r="H4" s="19"/>
      <c r="I4" s="20"/>
      <c r="J4" s="20"/>
      <c r="K4" s="20"/>
      <c r="L4" s="20"/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/>
      <c r="D5" s="16"/>
      <c r="E5" s="17"/>
      <c r="F5" s="60"/>
      <c r="G5" s="18"/>
      <c r="H5" s="19"/>
      <c r="I5" s="20"/>
      <c r="J5" s="20"/>
      <c r="K5" s="20"/>
      <c r="L5" s="20"/>
      <c r="M5" s="20"/>
      <c r="N5" s="24"/>
      <c r="O5" s="24"/>
      <c r="P5" s="25"/>
      <c r="Q5" s="1"/>
      <c r="R5" s="1"/>
    </row>
    <row r="6">
      <c r="A6" s="1"/>
      <c r="B6" s="14">
        <v>3.0</v>
      </c>
      <c r="C6" s="15"/>
      <c r="D6" s="16"/>
      <c r="E6" s="17"/>
      <c r="F6" s="30"/>
      <c r="G6" s="26"/>
      <c r="H6" s="19"/>
      <c r="I6" s="20"/>
      <c r="J6" s="20"/>
      <c r="K6" s="20"/>
      <c r="L6" s="27"/>
      <c r="M6" s="27"/>
      <c r="N6" s="24"/>
      <c r="O6" s="24"/>
      <c r="P6" s="25"/>
      <c r="Q6" s="1"/>
      <c r="R6" s="1"/>
    </row>
    <row r="7">
      <c r="A7" s="1"/>
      <c r="B7" s="14">
        <v>4.0</v>
      </c>
      <c r="C7" s="15"/>
      <c r="D7" s="16"/>
      <c r="E7" s="17"/>
      <c r="F7" s="30"/>
      <c r="G7" s="18"/>
      <c r="H7" s="28"/>
      <c r="I7" s="20"/>
      <c r="J7" s="20"/>
      <c r="K7" s="20"/>
      <c r="L7" s="27"/>
      <c r="M7" s="27"/>
      <c r="N7" s="24"/>
      <c r="O7" s="24"/>
      <c r="P7" s="25"/>
      <c r="Q7" s="1"/>
      <c r="R7" s="1"/>
    </row>
    <row r="8">
      <c r="A8" s="1"/>
      <c r="B8" s="14">
        <v>5.0</v>
      </c>
      <c r="C8" s="15"/>
      <c r="D8" s="16"/>
      <c r="E8" s="17"/>
      <c r="F8" s="30"/>
      <c r="G8" s="18"/>
      <c r="H8" s="28"/>
      <c r="I8" s="20"/>
      <c r="J8" s="20"/>
      <c r="K8" s="20"/>
      <c r="L8" s="27"/>
      <c r="M8" s="27"/>
      <c r="N8" s="24"/>
      <c r="O8" s="25"/>
      <c r="P8" s="25"/>
      <c r="Q8" s="1"/>
      <c r="R8" s="1"/>
    </row>
    <row r="9">
      <c r="A9" s="1"/>
      <c r="B9" s="14">
        <v>6.0</v>
      </c>
      <c r="C9" s="15"/>
      <c r="D9" s="16"/>
      <c r="E9" s="17"/>
      <c r="F9" s="30"/>
      <c r="G9" s="18"/>
      <c r="H9" s="28"/>
      <c r="I9" s="20"/>
      <c r="J9" s="20"/>
      <c r="K9" s="20"/>
      <c r="L9" s="27"/>
      <c r="M9" s="27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8"/>
      <c r="H10" s="28"/>
      <c r="I10" s="20"/>
      <c r="J10" s="20"/>
      <c r="K10" s="20"/>
      <c r="L10" s="27"/>
      <c r="M10" s="27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8"/>
      <c r="H11" s="28"/>
      <c r="I11" s="20"/>
      <c r="J11" s="20"/>
      <c r="K11" s="20"/>
      <c r="L11" s="27"/>
      <c r="M11" s="27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8"/>
      <c r="H12" s="28"/>
      <c r="I12" s="20"/>
      <c r="J12" s="20"/>
      <c r="K12" s="20"/>
      <c r="L12" s="27"/>
      <c r="M12" s="27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8"/>
      <c r="H13" s="28"/>
      <c r="I13" s="20"/>
      <c r="J13" s="20"/>
      <c r="K13" s="20"/>
      <c r="L13" s="27"/>
      <c r="M13" s="27"/>
      <c r="N13" s="24"/>
      <c r="O13" s="25"/>
      <c r="P13" s="25"/>
      <c r="Q13" s="1"/>
      <c r="R13" s="1"/>
    </row>
    <row r="14">
      <c r="A14" s="1"/>
      <c r="B14" s="30"/>
      <c r="C14" s="15"/>
      <c r="D14" s="16"/>
      <c r="E14" s="17"/>
      <c r="F14" s="30"/>
      <c r="G14" s="18"/>
      <c r="H14" s="28"/>
      <c r="I14" s="20"/>
      <c r="J14" s="20"/>
      <c r="K14" s="20"/>
      <c r="L14" s="27"/>
      <c r="M14" s="27"/>
      <c r="N14" s="24"/>
      <c r="O14" s="25"/>
      <c r="P14" s="25"/>
      <c r="Q14" s="1"/>
      <c r="R14" s="1"/>
    </row>
    <row r="15">
      <c r="A15" s="1"/>
      <c r="B15" s="30"/>
      <c r="C15" s="15"/>
      <c r="D15" s="16"/>
      <c r="E15" s="17"/>
      <c r="F15" s="30"/>
      <c r="G15" s="18"/>
      <c r="H15" s="28"/>
      <c r="I15" s="20"/>
      <c r="J15" s="20"/>
      <c r="K15" s="20"/>
      <c r="L15" s="27"/>
      <c r="M15" s="27"/>
      <c r="N15" s="24"/>
      <c r="O15" s="25"/>
      <c r="P15" s="25"/>
      <c r="Q15" s="1"/>
      <c r="R15" s="1"/>
    </row>
    <row r="16">
      <c r="A16" s="1"/>
      <c r="B16" s="30"/>
      <c r="C16" s="15"/>
      <c r="D16" s="16"/>
      <c r="E16" s="17"/>
      <c r="F16" s="30"/>
      <c r="G16" s="18"/>
      <c r="H16" s="28"/>
      <c r="I16" s="20"/>
      <c r="J16" s="20"/>
      <c r="K16" s="20"/>
      <c r="L16" s="27"/>
      <c r="M16" s="27"/>
      <c r="N16" s="24"/>
      <c r="O16" s="25"/>
      <c r="P16" s="25"/>
      <c r="Q16" s="1"/>
      <c r="R16" s="1"/>
    </row>
    <row r="17">
      <c r="A17" s="1"/>
      <c r="B17" s="30"/>
      <c r="C17" s="15"/>
      <c r="D17" s="16"/>
      <c r="E17" s="17"/>
      <c r="F17" s="30"/>
      <c r="G17" s="18"/>
      <c r="H17" s="28"/>
      <c r="I17" s="20"/>
      <c r="J17" s="20"/>
      <c r="K17" s="20"/>
      <c r="L17" s="27"/>
      <c r="M17" s="27"/>
      <c r="N17" s="24"/>
      <c r="O17" s="25"/>
      <c r="P17" s="25"/>
      <c r="Q17" s="1"/>
      <c r="R17" s="1"/>
    </row>
    <row r="18">
      <c r="A18" s="1"/>
      <c r="B18" s="30"/>
      <c r="C18" s="15"/>
      <c r="D18" s="16"/>
      <c r="E18" s="17"/>
      <c r="F18" s="30"/>
      <c r="G18" s="18"/>
      <c r="H18" s="28"/>
      <c r="I18" s="20"/>
      <c r="J18" s="20"/>
      <c r="K18" s="20"/>
      <c r="L18" s="27"/>
      <c r="M18" s="27"/>
      <c r="N18" s="24"/>
      <c r="O18" s="25"/>
      <c r="P18" s="25"/>
      <c r="Q18" s="1"/>
      <c r="R18" s="1"/>
    </row>
    <row r="19">
      <c r="A19" s="1"/>
      <c r="B19" s="30"/>
      <c r="C19" s="15"/>
      <c r="D19" s="16"/>
      <c r="E19" s="17"/>
      <c r="F19" s="30"/>
      <c r="G19" s="18"/>
      <c r="H19" s="28"/>
      <c r="I19" s="20"/>
      <c r="J19" s="20"/>
      <c r="K19" s="20"/>
      <c r="L19" s="27"/>
      <c r="M19" s="27"/>
      <c r="N19" s="24"/>
      <c r="O19" s="25"/>
      <c r="P19" s="25"/>
      <c r="Q19" s="1"/>
      <c r="R19" s="1"/>
    </row>
    <row r="20">
      <c r="A20" s="1"/>
      <c r="B20" s="30"/>
      <c r="C20" s="15"/>
      <c r="D20" s="16"/>
      <c r="E20" s="17"/>
      <c r="F20" s="30"/>
      <c r="G20" s="18"/>
      <c r="H20" s="28"/>
      <c r="I20" s="20"/>
      <c r="J20" s="20"/>
      <c r="K20" s="20"/>
      <c r="L20" s="27"/>
      <c r="M20" s="27"/>
      <c r="N20" s="24"/>
      <c r="O20" s="25"/>
      <c r="P20" s="25"/>
      <c r="Q20" s="1"/>
      <c r="R20" s="1"/>
    </row>
    <row r="21">
      <c r="A21" s="1"/>
      <c r="B21" s="30"/>
      <c r="C21" s="15"/>
      <c r="D21" s="16"/>
      <c r="E21" s="17"/>
      <c r="F21" s="30"/>
      <c r="G21" s="18"/>
      <c r="H21" s="28"/>
      <c r="I21" s="20"/>
      <c r="J21" s="20"/>
      <c r="K21" s="20"/>
      <c r="L21" s="27"/>
      <c r="M21" s="27"/>
      <c r="N21" s="24"/>
      <c r="O21" s="25"/>
      <c r="P21" s="25"/>
      <c r="Q21" s="1"/>
      <c r="R21" s="1"/>
    </row>
    <row r="22">
      <c r="A22" s="1"/>
      <c r="B22" s="30"/>
      <c r="C22" s="15"/>
      <c r="D22" s="16"/>
      <c r="E22" s="17"/>
      <c r="F22" s="30"/>
      <c r="G22" s="18"/>
      <c r="H22" s="28"/>
      <c r="I22" s="20"/>
      <c r="J22" s="20"/>
      <c r="K22" s="20"/>
      <c r="L22" s="27"/>
      <c r="M22" s="27"/>
      <c r="N22" s="24"/>
      <c r="O22" s="25"/>
      <c r="P22" s="25"/>
      <c r="Q22" s="1"/>
      <c r="R22" s="1"/>
    </row>
    <row r="23">
      <c r="A23" s="1"/>
      <c r="B23" s="30"/>
      <c r="C23" s="15"/>
      <c r="D23" s="16"/>
      <c r="E23" s="17"/>
      <c r="F23" s="30"/>
      <c r="G23" s="26"/>
      <c r="H23" s="19"/>
      <c r="I23" s="20"/>
      <c r="J23" s="20"/>
      <c r="K23" s="20"/>
      <c r="L23" s="27"/>
      <c r="M23" s="27"/>
      <c r="N23" s="24"/>
      <c r="O23" s="25"/>
      <c r="P23" s="25"/>
      <c r="Q23" s="1"/>
      <c r="R23" s="1"/>
    </row>
    <row r="24">
      <c r="A24" s="1"/>
      <c r="B24" s="30"/>
      <c r="C24" s="31"/>
      <c r="D24" s="16"/>
      <c r="E24" s="17"/>
      <c r="F24" s="30"/>
      <c r="G24" s="26"/>
      <c r="H24" s="28"/>
      <c r="I24" s="27"/>
      <c r="J24" s="20"/>
      <c r="K24" s="20"/>
      <c r="L24" s="27"/>
      <c r="M24" s="27"/>
      <c r="N24" s="24"/>
      <c r="O24" s="25"/>
      <c r="P24" s="25"/>
      <c r="Q24" s="1"/>
      <c r="R24" s="1"/>
    </row>
    <row r="25">
      <c r="A25" s="1"/>
      <c r="B25" s="30"/>
      <c r="C25" s="31"/>
      <c r="D25" s="16"/>
      <c r="E25" s="17"/>
      <c r="F25" s="30"/>
      <c r="G25" s="26"/>
      <c r="H25" s="28"/>
      <c r="I25" s="27"/>
      <c r="J25" s="27"/>
      <c r="K25" s="27"/>
      <c r="L25" s="27"/>
      <c r="M25" s="27"/>
      <c r="N25" s="25"/>
      <c r="O25" s="25"/>
      <c r="P25" s="25"/>
      <c r="Q25" s="1"/>
      <c r="R25" s="1"/>
    </row>
    <row r="26">
      <c r="A26" s="1"/>
      <c r="B26" s="30"/>
      <c r="C26" s="31"/>
      <c r="D26" s="16"/>
      <c r="E26" s="17"/>
      <c r="F26" s="30"/>
      <c r="G26" s="26"/>
      <c r="H26" s="28"/>
      <c r="I26" s="27"/>
      <c r="J26" s="27"/>
      <c r="K26" s="27"/>
      <c r="L26" s="27"/>
      <c r="M26" s="27"/>
      <c r="N26" s="25"/>
      <c r="O26" s="25"/>
      <c r="P26" s="25"/>
      <c r="Q26" s="1"/>
      <c r="R26" s="1"/>
    </row>
    <row r="27">
      <c r="A27" s="1"/>
      <c r="B27" s="30"/>
      <c r="C27" s="31"/>
      <c r="D27" s="16"/>
      <c r="E27" s="17"/>
      <c r="F27" s="30"/>
      <c r="G27" s="26"/>
      <c r="H27" s="28"/>
      <c r="I27" s="27"/>
      <c r="J27" s="27"/>
      <c r="K27" s="27"/>
      <c r="L27" s="27"/>
      <c r="M27" s="27"/>
      <c r="N27" s="25"/>
      <c r="O27" s="25"/>
      <c r="P27" s="25"/>
      <c r="Q27" s="1"/>
      <c r="R27" s="1"/>
    </row>
    <row r="28">
      <c r="A28" s="1"/>
      <c r="B28" s="30"/>
      <c r="C28" s="31"/>
      <c r="D28" s="16"/>
      <c r="E28" s="17"/>
      <c r="F28" s="30"/>
      <c r="G28" s="26"/>
      <c r="H28" s="28"/>
      <c r="I28" s="27"/>
      <c r="J28" s="27"/>
      <c r="K28" s="27"/>
      <c r="L28" s="27"/>
      <c r="M28" s="27"/>
      <c r="N28" s="25"/>
      <c r="O28" s="25"/>
      <c r="P28" s="25"/>
      <c r="Q28" s="1"/>
      <c r="R28" s="1"/>
    </row>
    <row r="29">
      <c r="A29" s="1"/>
      <c r="B29" s="30"/>
      <c r="C29" s="31"/>
      <c r="D29" s="16"/>
      <c r="E29" s="17"/>
      <c r="F29" s="30"/>
      <c r="G29" s="26"/>
      <c r="H29" s="28"/>
      <c r="I29" s="27"/>
      <c r="J29" s="27"/>
      <c r="K29" s="27"/>
      <c r="L29" s="27"/>
      <c r="M29" s="27"/>
      <c r="N29" s="25"/>
      <c r="O29" s="25"/>
      <c r="P29" s="25"/>
      <c r="Q29" s="1"/>
      <c r="R29" s="1"/>
    </row>
    <row r="30">
      <c r="A30" s="1"/>
      <c r="B30" s="30"/>
      <c r="C30" s="15"/>
      <c r="D30" s="16"/>
      <c r="E30" s="17"/>
      <c r="F30" s="30"/>
      <c r="G30" s="18"/>
      <c r="H30" s="28"/>
      <c r="I30" s="27"/>
      <c r="J30" s="27"/>
      <c r="K30" s="27"/>
      <c r="L30" s="27"/>
      <c r="M30" s="27"/>
      <c r="N30" s="25"/>
      <c r="O30" s="25"/>
      <c r="P30" s="25"/>
      <c r="Q30" s="1"/>
      <c r="R30" s="1"/>
    </row>
    <row r="31">
      <c r="A31" s="1"/>
      <c r="B31" s="30"/>
      <c r="C31" s="15"/>
      <c r="D31" s="16"/>
      <c r="E31" s="17"/>
      <c r="F31" s="30"/>
      <c r="G31" s="18"/>
      <c r="H31" s="28"/>
      <c r="I31" s="27"/>
      <c r="J31" s="27"/>
      <c r="K31" s="27"/>
      <c r="L31" s="27"/>
      <c r="M31" s="27"/>
      <c r="N31" s="25"/>
      <c r="O31" s="25"/>
      <c r="P31" s="25"/>
      <c r="Q31" s="1"/>
      <c r="R31" s="1"/>
    </row>
    <row r="32">
      <c r="A32" s="1"/>
      <c r="B32" s="30"/>
      <c r="C32" s="31"/>
      <c r="D32" s="16"/>
      <c r="E32" s="17"/>
      <c r="F32" s="30"/>
      <c r="G32" s="26"/>
      <c r="H32" s="28"/>
      <c r="I32" s="27"/>
      <c r="J32" s="27"/>
      <c r="K32" s="27"/>
      <c r="L32" s="27"/>
      <c r="M32" s="27"/>
      <c r="N32" s="25"/>
      <c r="O32" s="25"/>
      <c r="P32" s="25"/>
      <c r="Q32" s="1"/>
      <c r="R32" s="1"/>
    </row>
    <row r="33">
      <c r="A33" s="1"/>
      <c r="B33" s="30"/>
      <c r="C33" s="31"/>
      <c r="D33" s="16"/>
      <c r="E33" s="17"/>
      <c r="F33" s="30"/>
      <c r="G33" s="26"/>
      <c r="H33" s="28"/>
      <c r="I33" s="27"/>
      <c r="J33" s="27"/>
      <c r="K33" s="27"/>
      <c r="L33" s="27"/>
      <c r="M33" s="27"/>
      <c r="N33" s="25"/>
      <c r="O33" s="25"/>
      <c r="P33" s="25"/>
      <c r="Q33" s="1"/>
      <c r="R33" s="1"/>
    </row>
    <row r="34">
      <c r="A34" s="1"/>
      <c r="B34" s="30"/>
      <c r="C34" s="31"/>
      <c r="D34" s="16"/>
      <c r="E34" s="17"/>
      <c r="F34" s="30"/>
      <c r="G34" s="26"/>
      <c r="H34" s="28"/>
      <c r="I34" s="27"/>
      <c r="J34" s="27"/>
      <c r="K34" s="27"/>
      <c r="L34" s="27"/>
      <c r="M34" s="27"/>
      <c r="N34" s="32"/>
      <c r="O34" s="32"/>
      <c r="P34" s="32"/>
      <c r="Q34" s="1"/>
      <c r="R34" s="1"/>
    </row>
    <row r="35" ht="18.75" customHeight="1">
      <c r="A35" s="1"/>
      <c r="B35" s="1"/>
      <c r="C35" s="2"/>
      <c r="D35" s="2"/>
      <c r="E35" s="1"/>
      <c r="F35" s="1"/>
      <c r="G35" s="33">
        <f t="shared" ref="G35:H35" si="1">SUM(G4:G34)</f>
        <v>0</v>
      </c>
      <c r="H35" s="34">
        <f t="shared" si="1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3.2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35" t="s">
        <v>0</v>
      </c>
      <c r="C38" s="36" t="s">
        <v>6</v>
      </c>
      <c r="D38" s="36" t="s">
        <v>69</v>
      </c>
      <c r="E38" s="37"/>
      <c r="F38" s="1"/>
      <c r="G38" s="1"/>
      <c r="H38" s="1"/>
      <c r="I38" s="1"/>
      <c r="J38" s="1"/>
      <c r="K38" s="1"/>
      <c r="L38" s="1"/>
      <c r="M38" s="1"/>
      <c r="N38" s="36" t="s">
        <v>70</v>
      </c>
      <c r="O38" s="36" t="s">
        <v>1</v>
      </c>
      <c r="P38" s="1"/>
      <c r="Q38" s="1"/>
      <c r="R38" s="1"/>
    </row>
    <row r="39">
      <c r="A39" s="1"/>
      <c r="B39" s="38">
        <v>1.0</v>
      </c>
      <c r="C39" s="39" t="s">
        <v>71</v>
      </c>
      <c r="D39" s="40">
        <f>SUM(G35)</f>
        <v>0</v>
      </c>
      <c r="E39" s="41"/>
      <c r="F39" s="1"/>
      <c r="G39" s="1"/>
      <c r="H39" s="1"/>
      <c r="I39" s="1"/>
      <c r="J39" s="1"/>
      <c r="K39" s="1"/>
      <c r="L39" s="1"/>
      <c r="M39" s="1"/>
      <c r="N39" s="42" t="s">
        <v>72</v>
      </c>
      <c r="O39" s="21"/>
      <c r="P39" s="1"/>
      <c r="Q39" s="1"/>
      <c r="R39" s="1"/>
    </row>
    <row r="40">
      <c r="A40" s="1"/>
      <c r="B40" s="43">
        <v>2.0</v>
      </c>
      <c r="C40" s="44"/>
      <c r="D40" s="45"/>
      <c r="E40" s="46"/>
      <c r="F40" s="1"/>
      <c r="G40" s="1"/>
      <c r="H40" s="1"/>
      <c r="I40" s="1"/>
      <c r="J40" s="1"/>
      <c r="K40" s="1"/>
      <c r="L40" s="1"/>
      <c r="M40" s="1"/>
      <c r="N40" s="47" t="s">
        <v>74</v>
      </c>
      <c r="O40" s="48"/>
      <c r="P40" s="1"/>
      <c r="Q40" s="1"/>
      <c r="R40" s="1"/>
    </row>
    <row r="41">
      <c r="A41" s="1"/>
      <c r="B41" s="38">
        <v>3.0</v>
      </c>
      <c r="C41" s="39"/>
      <c r="D41" s="49"/>
      <c r="E41" s="46"/>
      <c r="F41" s="1"/>
      <c r="G41" s="1"/>
      <c r="H41" s="1"/>
      <c r="I41" s="1"/>
      <c r="J41" s="1"/>
      <c r="K41" s="1"/>
      <c r="L41" s="1"/>
      <c r="M41" s="1"/>
      <c r="N41" s="50" t="s">
        <v>76</v>
      </c>
      <c r="O41" s="24"/>
      <c r="P41" s="1"/>
      <c r="Q41" s="1"/>
      <c r="R41" s="1"/>
    </row>
    <row r="42">
      <c r="A42" s="1"/>
      <c r="B42" s="43">
        <v>4.0</v>
      </c>
      <c r="C42" s="44"/>
      <c r="D42" s="45"/>
      <c r="E42" s="46"/>
      <c r="F42" s="1"/>
      <c r="G42" s="1"/>
      <c r="H42" s="1"/>
      <c r="I42" s="1"/>
      <c r="J42" s="1"/>
      <c r="K42" s="1"/>
      <c r="L42" s="1"/>
      <c r="M42" s="1"/>
      <c r="N42" s="51" t="s">
        <v>77</v>
      </c>
      <c r="O42" s="48"/>
      <c r="P42" s="1"/>
      <c r="Q42" s="1"/>
      <c r="R42" s="1"/>
    </row>
    <row r="43">
      <c r="A43" s="1"/>
      <c r="B43" s="38"/>
      <c r="C43" s="52"/>
      <c r="D43" s="40"/>
      <c r="E43" s="41"/>
      <c r="F43" s="1"/>
      <c r="G43" s="1"/>
      <c r="H43" s="1"/>
      <c r="I43" s="1"/>
      <c r="J43" s="1"/>
      <c r="K43" s="1"/>
      <c r="L43" s="1"/>
      <c r="M43" s="1"/>
      <c r="N43" s="53"/>
      <c r="O43" s="1"/>
      <c r="P43" s="1"/>
      <c r="Q43" s="1"/>
      <c r="R43" s="1"/>
    </row>
    <row r="44">
      <c r="A44" s="1"/>
      <c r="B44" s="43"/>
      <c r="C44" s="54"/>
      <c r="D44" s="55"/>
      <c r="E44" s="4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38"/>
      <c r="C45" s="52"/>
      <c r="D45" s="40"/>
      <c r="E45" s="4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43"/>
      <c r="C46" s="54"/>
      <c r="D46" s="55"/>
      <c r="E46" s="4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38"/>
      <c r="C47" s="52"/>
      <c r="D47" s="40"/>
      <c r="E47" s="4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43"/>
      <c r="C48" s="54"/>
      <c r="D48" s="55"/>
      <c r="E48" s="4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56"/>
      <c r="C49" s="57"/>
      <c r="D49" s="58"/>
      <c r="E49" s="4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59">
        <f>SUM(D39:D49)</f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34">
      <formula1>"-,Pending,Progress,Uploaded"</formula1>
    </dataValidation>
    <dataValidation type="list" allowBlank="1" showDropDown="1" showErrorMessage="1" sqref="D4:D34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34">
      <formula1>"-,In Pikako,In Foxe"</formula1>
    </dataValidation>
    <dataValidation type="list" allowBlank="1" showDropDown="1" showErrorMessage="1" sqref="M4:M34 O41:O42">
      <formula1>"-,VERO,FADEL,PENTIL,FAHME"</formula1>
    </dataValidation>
    <dataValidation type="list" allowBlank="1" showDropDown="1" showErrorMessage="1" sqref="L4:L34 O39:O40">
      <formula1>"-,JIJANG,AXEL,PENTIL,FAHME"</formula1>
    </dataValidation>
    <dataValidation type="list" allowBlank="1" showDropDown="1" showErrorMessage="1" sqref="I4:I34">
      <formula1>"-,DP,Lunas"</formula1>
    </dataValidation>
    <dataValidation type="list" allowBlank="1" showDropDown="1" showErrorMessage="1" sqref="J4:K34">
      <formula1>"-,Pending,Uploaded"</formula1>
    </dataValidation>
  </dataValidations>
  <drawing r:id="rId1"/>
</worksheet>
</file>