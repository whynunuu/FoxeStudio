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31" sheetId="31" r:id="rId35"/>
    <sheet state="visible" name="Draft" sheetId="32" r:id="rId36"/>
  </sheets>
  <definedNames/>
  <calcPr/>
</workbook>
</file>

<file path=xl/sharedStrings.xml><?xml version="1.0" encoding="utf-8"?>
<sst xmlns="http://schemas.openxmlformats.org/spreadsheetml/2006/main" count="3545" uniqueCount="432">
  <si>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</si>
  <si>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</si>
  <si>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</si>
  <si>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</si>
  <si>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</si>
  <si>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</si>
  <si>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</si>
  <si>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</si>
  <si>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</si>
  <si>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</si>
  <si>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</si>
  <si>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</si>
  <si>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</si>
  <si>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</si>
  <si>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</si>
  <si>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</si>
  <si>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</si>
  <si>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</si>
  <si>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Callista</t>
  </si>
  <si>
    <t>Graduation</t>
  </si>
  <si>
    <t>2 mei</t>
  </si>
  <si>
    <t>Lunas</t>
  </si>
  <si>
    <t xml:space="preserve">ADDEL </t>
  </si>
  <si>
    <t>Dindaptr</t>
  </si>
  <si>
    <t>Couple A</t>
  </si>
  <si>
    <t>3 mei</t>
  </si>
  <si>
    <t>DP</t>
  </si>
  <si>
    <t>Rizal</t>
  </si>
  <si>
    <t>Large Group</t>
  </si>
  <si>
    <t>1 mei</t>
  </si>
  <si>
    <t>Uploaded</t>
  </si>
  <si>
    <t>-</t>
  </si>
  <si>
    <t xml:space="preserve">HANIF </t>
  </si>
  <si>
    <t xml:space="preserve"> Racana Soedirman</t>
  </si>
  <si>
    <t>5 mei</t>
  </si>
  <si>
    <t>Citra</t>
  </si>
  <si>
    <t>LPM Sketsa</t>
  </si>
  <si>
    <t>19 mei</t>
  </si>
  <si>
    <t>nadira</t>
  </si>
  <si>
    <t>Single</t>
  </si>
  <si>
    <t>Ameilia Saputri</t>
  </si>
  <si>
    <t>Naomi</t>
  </si>
  <si>
    <t>Photofox</t>
  </si>
  <si>
    <t>INDAH</t>
  </si>
  <si>
    <t>Sosmas Himabisi</t>
  </si>
  <si>
    <t>Prisca</t>
  </si>
  <si>
    <t>Family A</t>
  </si>
  <si>
    <t>add 16R, 16R Canvas, 10R</t>
  </si>
  <si>
    <t>Syfa Nadia</t>
  </si>
  <si>
    <t>Keyla</t>
  </si>
  <si>
    <t>Evel</t>
  </si>
  <si>
    <t>Shafira Anindya</t>
  </si>
  <si>
    <t>Tya Tricia</t>
  </si>
  <si>
    <t>Mutiara</t>
  </si>
  <si>
    <t>Nuy</t>
  </si>
  <si>
    <t>Dzikra</t>
  </si>
  <si>
    <t>Alfi</t>
  </si>
  <si>
    <t>Nominal</t>
  </si>
  <si>
    <t>Shift</t>
  </si>
  <si>
    <t>Pendapatan Tunai</t>
  </si>
  <si>
    <t>Admin 1</t>
  </si>
  <si>
    <t>Hanif</t>
  </si>
  <si>
    <t>Admin 2</t>
  </si>
  <si>
    <t>ATK</t>
  </si>
  <si>
    <t>Fotografer 1</t>
  </si>
  <si>
    <t>Fotografer 2</t>
  </si>
  <si>
    <t>Lucky</t>
  </si>
  <si>
    <t>Packing</t>
  </si>
  <si>
    <t>Joselyn</t>
  </si>
  <si>
    <t xml:space="preserve">Photofox </t>
  </si>
  <si>
    <t>Pending</t>
  </si>
  <si>
    <t>mida</t>
  </si>
  <si>
    <t>7 mei</t>
  </si>
  <si>
    <t>Pratiwi</t>
  </si>
  <si>
    <t>Graduation Premium</t>
  </si>
  <si>
    <t>9 mei</t>
  </si>
  <si>
    <t>Group C</t>
  </si>
  <si>
    <t>Shavira Anindya</t>
  </si>
  <si>
    <t>Maya</t>
  </si>
  <si>
    <t>Yosiana</t>
  </si>
  <si>
    <t>9 juni</t>
  </si>
  <si>
    <t>annisa</t>
  </si>
  <si>
    <t>Masai</t>
  </si>
  <si>
    <t>Aura</t>
  </si>
  <si>
    <t>Rara</t>
  </si>
  <si>
    <t>Lita</t>
  </si>
  <si>
    <t>single</t>
  </si>
  <si>
    <t>ADIF</t>
  </si>
  <si>
    <t>Calista</t>
  </si>
  <si>
    <t xml:space="preserve">Add Person </t>
  </si>
  <si>
    <t>Annisa</t>
  </si>
  <si>
    <t>Amara</t>
  </si>
  <si>
    <t>UFU</t>
  </si>
  <si>
    <t xml:space="preserve">Hanif </t>
  </si>
  <si>
    <t>Penthil</t>
  </si>
  <si>
    <t>Andini</t>
  </si>
  <si>
    <t>Amelia</t>
  </si>
  <si>
    <t>Wanda</t>
  </si>
  <si>
    <t>Intan Firdausi</t>
  </si>
  <si>
    <t>Biaya Paket</t>
  </si>
  <si>
    <t>Lulu</t>
  </si>
  <si>
    <t>Dinda</t>
  </si>
  <si>
    <t>Adhel</t>
  </si>
  <si>
    <t>Nadira</t>
  </si>
  <si>
    <t>all file, add cost</t>
  </si>
  <si>
    <t>Chicka</t>
  </si>
  <si>
    <t>Najwa Anna</t>
  </si>
  <si>
    <t>Karina</t>
  </si>
  <si>
    <t>Sigit K</t>
  </si>
  <si>
    <t>nella</t>
  </si>
  <si>
    <t>KANSSAS</t>
  </si>
  <si>
    <t>fadel</t>
  </si>
  <si>
    <t>penthil</t>
  </si>
  <si>
    <t xml:space="preserve"> Metta</t>
  </si>
  <si>
    <t>Nazila</t>
  </si>
  <si>
    <t>Anin</t>
  </si>
  <si>
    <t>Devinta Steffanie</t>
  </si>
  <si>
    <t>Maternity</t>
  </si>
  <si>
    <t>Joshia Adyatma Putra</t>
  </si>
  <si>
    <t>Saufiqa</t>
  </si>
  <si>
    <t>Ririn Kurnia</t>
  </si>
  <si>
    <t>Rennita</t>
  </si>
  <si>
    <t>Erlyta</t>
  </si>
  <si>
    <t>Erla</t>
  </si>
  <si>
    <t>Ika</t>
  </si>
  <si>
    <t>Syaura</t>
  </si>
  <si>
    <t>Merlyn</t>
  </si>
  <si>
    <t>Joshia</t>
  </si>
  <si>
    <t>Cheryl Anastasya</t>
  </si>
  <si>
    <t>Sugeng</t>
  </si>
  <si>
    <t>ots</t>
  </si>
  <si>
    <t>Earlene</t>
  </si>
  <si>
    <t>Diska</t>
  </si>
  <si>
    <t>HMTI UMP</t>
  </si>
  <si>
    <t>Anggit Sahra</t>
  </si>
  <si>
    <t>Lembut Imut</t>
  </si>
  <si>
    <t>Paskib Juanda</t>
  </si>
  <si>
    <t>Racana Soedirman</t>
  </si>
  <si>
    <t>Adif</t>
  </si>
  <si>
    <t>Julian</t>
  </si>
  <si>
    <t>Cila</t>
  </si>
  <si>
    <t>Beny Parta Wijaya</t>
  </si>
  <si>
    <t>nadine xadiya</t>
  </si>
  <si>
    <t>Pas Foto</t>
  </si>
  <si>
    <t>Sefti &amp; Riva</t>
  </si>
  <si>
    <t>ADDEL</t>
  </si>
  <si>
    <t>Atwasena</t>
  </si>
  <si>
    <t>HANIF</t>
  </si>
  <si>
    <t>Paskibra Juanda</t>
  </si>
  <si>
    <t>Evalasefa Muktiyusrina</t>
  </si>
  <si>
    <t>Evi</t>
  </si>
  <si>
    <t>Nizwar</t>
  </si>
  <si>
    <t>Baterai</t>
  </si>
  <si>
    <t>Kopi</t>
  </si>
  <si>
    <t>Fadel</t>
  </si>
  <si>
    <t xml:space="preserve">Pentil </t>
  </si>
  <si>
    <t>Addel</t>
  </si>
  <si>
    <t>isya anisa</t>
  </si>
  <si>
    <t>Afra</t>
  </si>
  <si>
    <t>Ria</t>
  </si>
  <si>
    <t xml:space="preserve">Phtofox </t>
  </si>
  <si>
    <t>Ananda</t>
  </si>
  <si>
    <t>Mya</t>
  </si>
  <si>
    <t>cindy</t>
  </si>
  <si>
    <t>Mida</t>
  </si>
  <si>
    <t>Sekar Ayu</t>
  </si>
  <si>
    <t>Karinna</t>
  </si>
  <si>
    <t>ADD 10R</t>
  </si>
  <si>
    <t>OSIS SMANA</t>
  </si>
  <si>
    <t>PSDM Soyouth</t>
  </si>
  <si>
    <t>Via</t>
  </si>
  <si>
    <t>Salsabila Rahmalia</t>
  </si>
  <si>
    <t xml:space="preserve">Packing </t>
  </si>
  <si>
    <t>Uroground</t>
  </si>
  <si>
    <t>Ash</t>
  </si>
  <si>
    <t>Chika</t>
  </si>
  <si>
    <t>Padma</t>
  </si>
  <si>
    <t>Nella</t>
  </si>
  <si>
    <t>Hilmi</t>
  </si>
  <si>
    <t>Cindy</t>
  </si>
  <si>
    <t>Asyifa</t>
  </si>
  <si>
    <t>Chiquita Zalfa Sabrina Putri</t>
  </si>
  <si>
    <t>Wulan</t>
  </si>
  <si>
    <t>PSDM Sahayouth</t>
  </si>
  <si>
    <t>Baterai A2</t>
  </si>
  <si>
    <t>Nisa Selfiyani</t>
  </si>
  <si>
    <t>Vinner</t>
  </si>
  <si>
    <t>Fitri</t>
  </si>
  <si>
    <t xml:space="preserve">Tya </t>
  </si>
  <si>
    <t>Add Cetak 5R</t>
  </si>
  <si>
    <t>Aulia</t>
  </si>
  <si>
    <t>Berliana Putri</t>
  </si>
  <si>
    <t>Metta</t>
  </si>
  <si>
    <t>Maulana</t>
  </si>
  <si>
    <t>Fanny agustiawandany</t>
  </si>
  <si>
    <t>Reninta</t>
  </si>
  <si>
    <t>Nafisa</t>
  </si>
  <si>
    <t>Chiquita Zalfa</t>
  </si>
  <si>
    <t>Nur laely</t>
  </si>
  <si>
    <t>Benny Parta</t>
  </si>
  <si>
    <t>Kelas 6F SD AL Irsyad</t>
  </si>
  <si>
    <t>Nur Laely</t>
  </si>
  <si>
    <t>Fahme</t>
  </si>
  <si>
    <t>Add Cetak</t>
  </si>
  <si>
    <t xml:space="preserve">16Rs (1) , 5R (3), Add edit </t>
  </si>
  <si>
    <t>Farisqi Dede</t>
  </si>
  <si>
    <t>Josephine</t>
  </si>
  <si>
    <t>Yunus</t>
  </si>
  <si>
    <t>Isya</t>
  </si>
  <si>
    <t>Indah</t>
  </si>
  <si>
    <t>Aiz</t>
  </si>
  <si>
    <t>Colokan T</t>
  </si>
  <si>
    <t>paguyuban 6A</t>
  </si>
  <si>
    <t>Sabani</t>
  </si>
  <si>
    <t>Jihad</t>
  </si>
  <si>
    <t>Andani</t>
  </si>
  <si>
    <t>vita</t>
  </si>
  <si>
    <t>Putri</t>
  </si>
  <si>
    <t>Windy Putri</t>
  </si>
  <si>
    <t>REFERRAL INDAH</t>
  </si>
  <si>
    <t>Marta</t>
  </si>
  <si>
    <t>Tika</t>
  </si>
  <si>
    <t>Mohammad Arfan Shodiq</t>
  </si>
  <si>
    <t>Add Edit</t>
  </si>
  <si>
    <t>Muthia</t>
  </si>
  <si>
    <t>Caffeine</t>
  </si>
  <si>
    <t>Azmi Nariswari</t>
  </si>
  <si>
    <t>Paguyuban 6A</t>
  </si>
  <si>
    <t xml:space="preserve">ADIF </t>
  </si>
  <si>
    <t>Hartanto</t>
  </si>
  <si>
    <t>Alva Aulya</t>
  </si>
  <si>
    <t>Sirly</t>
  </si>
  <si>
    <t>Yola</t>
  </si>
  <si>
    <t>add edit ADIF 80k</t>
  </si>
  <si>
    <t>Kelas 9B SMP Al Irsyad Al Islamiyyah Pwt</t>
  </si>
  <si>
    <t>Galon</t>
  </si>
  <si>
    <t xml:space="preserve"> </t>
  </si>
  <si>
    <t>Azla Nur Hijrian P</t>
  </si>
  <si>
    <t>9 Juni</t>
  </si>
  <si>
    <t>Raisya</t>
  </si>
  <si>
    <t>Tiara</t>
  </si>
  <si>
    <t>Rayya</t>
  </si>
  <si>
    <t>Fani</t>
  </si>
  <si>
    <t xml:space="preserve"> rafael</t>
  </si>
  <si>
    <t>Vita</t>
  </si>
  <si>
    <t>Nala</t>
  </si>
  <si>
    <t>Rafael</t>
  </si>
  <si>
    <t>OTS</t>
  </si>
  <si>
    <t xml:space="preserve">Fadel  paket </t>
  </si>
  <si>
    <t xml:space="preserve">Addel </t>
  </si>
  <si>
    <t>Aira</t>
  </si>
  <si>
    <t>Naufal</t>
  </si>
  <si>
    <t>Ulfi</t>
  </si>
  <si>
    <t>Arkadia Raiden</t>
  </si>
  <si>
    <t>10r (2)</t>
  </si>
  <si>
    <t>Danish</t>
  </si>
  <si>
    <t>Chika, Dewan</t>
  </si>
  <si>
    <t xml:space="preserve">all file </t>
  </si>
  <si>
    <t>Janitra</t>
  </si>
  <si>
    <t>Raya</t>
  </si>
  <si>
    <t>Aisyah</t>
  </si>
  <si>
    <t>Sirkel Fenomenal</t>
  </si>
  <si>
    <t>Ella</t>
  </si>
  <si>
    <t>Anggun</t>
  </si>
  <si>
    <t>Ayu</t>
  </si>
  <si>
    <t xml:space="preserve"> Kiara</t>
  </si>
  <si>
    <t>Haura Salma</t>
  </si>
  <si>
    <t>Sikel Fenomenal</t>
  </si>
  <si>
    <t>Natania</t>
  </si>
  <si>
    <t>Add Frame</t>
  </si>
  <si>
    <t>Fatih</t>
  </si>
  <si>
    <t>Asel</t>
  </si>
  <si>
    <t>Kiara</t>
  </si>
  <si>
    <t>Reva</t>
  </si>
  <si>
    <t>Syaflita Kayla</t>
  </si>
  <si>
    <t>add 5R (2)</t>
  </si>
  <si>
    <t>Keiko</t>
  </si>
  <si>
    <t>Andes</t>
  </si>
  <si>
    <t>Lilis</t>
  </si>
  <si>
    <t>Pengharum ruangan &amp; HIT (anti nyamuk)</t>
  </si>
  <si>
    <t>Sherly</t>
  </si>
  <si>
    <t xml:space="preserve"> Ardan</t>
  </si>
  <si>
    <t>abhista</t>
  </si>
  <si>
    <t>Tanti</t>
  </si>
  <si>
    <t>Abhista</t>
  </si>
  <si>
    <t>Rizal Zain</t>
  </si>
  <si>
    <t>Muhammad Lubby</t>
  </si>
  <si>
    <t>Adina</t>
  </si>
  <si>
    <t>Udy hari</t>
  </si>
  <si>
    <t xml:space="preserve"> Ilham</t>
  </si>
  <si>
    <t>Bu Henny</t>
  </si>
  <si>
    <t>9 juny</t>
  </si>
  <si>
    <t>Alsa</t>
  </si>
  <si>
    <t xml:space="preserve"> Affryzal</t>
  </si>
  <si>
    <t>Ais</t>
  </si>
  <si>
    <t>Diana</t>
  </si>
  <si>
    <t>Widiandra</t>
  </si>
  <si>
    <t>Elnida</t>
  </si>
  <si>
    <t>Llilis</t>
  </si>
  <si>
    <t>Nabilla</t>
  </si>
  <si>
    <t>Diva Salwa</t>
  </si>
  <si>
    <t>Adella Putri</t>
  </si>
  <si>
    <t>Ilham</t>
  </si>
  <si>
    <t xml:space="preserve">  FARESTA</t>
  </si>
  <si>
    <t>Reinissa Nadine</t>
  </si>
  <si>
    <t>4 juni</t>
  </si>
  <si>
    <t>Alin</t>
  </si>
  <si>
    <t>Vina</t>
  </si>
  <si>
    <t xml:space="preserve"> Inggit</t>
  </si>
  <si>
    <t xml:space="preserve"> syaura</t>
  </si>
  <si>
    <t>faresta</t>
  </si>
  <si>
    <t>Meita</t>
  </si>
  <si>
    <t>Nutrisi 2026</t>
  </si>
  <si>
    <t>sofia yasmin</t>
  </si>
  <si>
    <t>Ningsih</t>
  </si>
  <si>
    <t>Ukms</t>
  </si>
  <si>
    <t>Alea</t>
  </si>
  <si>
    <t>Rumah Adel</t>
  </si>
  <si>
    <t>Alva Aulia</t>
  </si>
  <si>
    <t>Inggit</t>
  </si>
  <si>
    <t xml:space="preserve"> Irvan Azis</t>
  </si>
  <si>
    <t>Erza</t>
  </si>
  <si>
    <t>nela</t>
  </si>
  <si>
    <t>Daud</t>
  </si>
  <si>
    <t>BEM PSIKOLOGI UMP (gladista)</t>
  </si>
  <si>
    <t>vena</t>
  </si>
  <si>
    <t>Dzaki</t>
  </si>
  <si>
    <t>Charger</t>
  </si>
  <si>
    <t>Nela</t>
  </si>
  <si>
    <t>Errza</t>
  </si>
  <si>
    <t>Kelas 9B Al Irsyad</t>
  </si>
  <si>
    <t>Wiki Hidayah</t>
  </si>
  <si>
    <t>Enji</t>
  </si>
  <si>
    <t>Clara</t>
  </si>
  <si>
    <t>Nabila</t>
  </si>
  <si>
    <t>Klise</t>
  </si>
  <si>
    <t>Vena</t>
  </si>
  <si>
    <t>Raffi Akbar</t>
  </si>
  <si>
    <t>Kesi</t>
  </si>
  <si>
    <t>Gandes</t>
  </si>
  <si>
    <t>Retha</t>
  </si>
  <si>
    <t>1. Juliana</t>
  </si>
  <si>
    <t>okilia Safitri</t>
  </si>
  <si>
    <t>2. Hilmi</t>
  </si>
  <si>
    <t>3. Yunus</t>
  </si>
  <si>
    <t>4. Doni Miko</t>
  </si>
  <si>
    <t>5. Vina</t>
  </si>
  <si>
    <t>6. Udy Hari</t>
  </si>
  <si>
    <t>7. Farisqi Dede</t>
  </si>
  <si>
    <t>8. Huma</t>
  </si>
  <si>
    <t>9. Irma</t>
  </si>
  <si>
    <t>10. Ardan</t>
  </si>
  <si>
    <t>11. Afrizal</t>
  </si>
  <si>
    <t>12. Nabilla</t>
  </si>
  <si>
    <t>Rtha</t>
  </si>
  <si>
    <t>Farah</t>
  </si>
  <si>
    <t>syaqilla</t>
  </si>
  <si>
    <t>Spidol</t>
  </si>
  <si>
    <t>addel,indah</t>
  </si>
  <si>
    <t>adif, hanif</t>
  </si>
  <si>
    <t>Wyndy</t>
  </si>
  <si>
    <t>Frame</t>
  </si>
  <si>
    <t>Artika Nasywa Cantika</t>
  </si>
  <si>
    <t>syakira</t>
  </si>
  <si>
    <t>Okilia</t>
  </si>
  <si>
    <t>LKHS</t>
  </si>
  <si>
    <t>Ellnes adelia</t>
  </si>
  <si>
    <t>Levi</t>
  </si>
  <si>
    <t>Pipit</t>
  </si>
  <si>
    <t>Anindya D</t>
  </si>
  <si>
    <t xml:space="preserve"> Dwi Nur</t>
  </si>
  <si>
    <t>Dimas</t>
  </si>
  <si>
    <t xml:space="preserve"> Renata Bunga Ardnes</t>
  </si>
  <si>
    <t>Syakira</t>
  </si>
  <si>
    <t>Syaqilla</t>
  </si>
  <si>
    <t>Amel</t>
  </si>
  <si>
    <t>Nazwa Ainil</t>
  </si>
  <si>
    <t>Audina Az-Zahra</t>
  </si>
  <si>
    <t>Lia</t>
  </si>
  <si>
    <t>Nutrisi</t>
  </si>
  <si>
    <t>Haura</t>
  </si>
  <si>
    <t>Caca</t>
  </si>
  <si>
    <t>Reno Aji Fatan Nugroho</t>
  </si>
  <si>
    <t>FANMAS</t>
  </si>
  <si>
    <t xml:space="preserve"> gregat</t>
  </si>
  <si>
    <t>Batik Adipati</t>
  </si>
  <si>
    <t>Studio Rent</t>
  </si>
  <si>
    <t xml:space="preserve"> Ikhsan Setyo</t>
  </si>
  <si>
    <t>Ratna</t>
  </si>
  <si>
    <t>Miko R</t>
  </si>
  <si>
    <t>Nadifah</t>
  </si>
  <si>
    <t>Eva Tisnawati</t>
  </si>
  <si>
    <t>Laeli</t>
  </si>
  <si>
    <t>Devi</t>
  </si>
  <si>
    <t>Rizki Febriana</t>
  </si>
  <si>
    <t>Couple B</t>
  </si>
  <si>
    <t>teaa</t>
  </si>
  <si>
    <t>Irma</t>
  </si>
  <si>
    <t>Aziz Mawardi</t>
  </si>
  <si>
    <t>Ashilla</t>
  </si>
  <si>
    <t>Risqa Dwi utari</t>
  </si>
  <si>
    <t>add 5R (4)</t>
  </si>
  <si>
    <t>Dandy</t>
  </si>
  <si>
    <t>Prewed 1.7</t>
  </si>
  <si>
    <t>Safira</t>
  </si>
  <si>
    <t>Cantika</t>
  </si>
  <si>
    <t>Ayu wulandari</t>
  </si>
  <si>
    <t>Imron</t>
  </si>
  <si>
    <t>Renggo</t>
  </si>
  <si>
    <t>Firda</t>
  </si>
  <si>
    <t>Eva</t>
  </si>
  <si>
    <t>GHANI</t>
  </si>
  <si>
    <t>Hummam Faalih Syariifullah</t>
  </si>
  <si>
    <t>Anni</t>
  </si>
  <si>
    <t>resti dita</t>
  </si>
  <si>
    <t>fitri ayu</t>
  </si>
  <si>
    <t>Ikhsan Setyo</t>
  </si>
  <si>
    <t>Dias</t>
  </si>
  <si>
    <t>aqila</t>
  </si>
  <si>
    <t>Family B</t>
  </si>
  <si>
    <t>Fanmas</t>
  </si>
  <si>
    <t>Istijabah Anggit</t>
  </si>
  <si>
    <t>ais</t>
  </si>
  <si>
    <t>Ghani</t>
  </si>
  <si>
    <t xml:space="preserve">Aqila </t>
  </si>
  <si>
    <t>Balqis</t>
  </si>
  <si>
    <t xml:space="preserve"> zarin kalila</t>
  </si>
  <si>
    <t>Vega</t>
  </si>
  <si>
    <t>surya</t>
  </si>
  <si>
    <t xml:space="preserve"> putri</t>
  </si>
  <si>
    <t>Cherry</t>
  </si>
  <si>
    <t>Ziva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</si>
</sst>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 mmmm yyyy"/>
    <numFmt numFmtId="166" formatCode="d mmmm"/>
    <numFmt numFmtId="167" formatCode="d mm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i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0" vertical="center"/>
    </xf>
    <xf borderId="6" fillId="0" fontId="5" numFmtId="164" xfId="0" applyAlignment="1" applyBorder="1" applyFont="1" applyNumberFormat="1">
      <alignment horizontal="right" readingOrder="0" vertic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5" numFmtId="164" xfId="0" applyAlignment="1" applyBorder="1" applyFont="1" applyNumberFormat="1">
      <alignment horizontal="right" vertical="center"/>
    </xf>
    <xf borderId="6" fillId="0" fontId="1" numFmtId="166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4" xfId="0" applyAlignment="1" applyBorder="1" applyFill="1" applyFont="1" applyNumberFormat="1">
      <alignment horizontal="center" vertical="center"/>
    </xf>
    <xf borderId="5" fillId="5" fontId="5" numFmtId="164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4" xfId="0" applyAlignment="1" applyBorder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4" xfId="0" applyAlignment="1" applyBorder="1" applyFill="1" applyFont="1" applyNumberForma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4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7" fillId="0" fontId="2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4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4" xfId="0" applyAlignment="1" applyBorder="1" applyFont="1" applyNumberFormat="1">
      <alignment horizontal="right" vertical="center"/>
    </xf>
    <xf borderId="6" fillId="8" fontId="2" numFmtId="164" xfId="0" applyAlignment="1" applyBorder="1" applyFill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6" xfId="0" applyAlignment="1" applyBorder="1" applyFont="1" applyNumberFormat="1">
      <alignment horizontal="center" readingOrder="0" vertical="center"/>
    </xf>
    <xf borderId="9" fillId="0" fontId="2" numFmtId="164" xfId="0" applyAlignment="1" applyBorder="1" applyFont="1" applyNumberFormat="1">
      <alignment horizontal="right" readingOrder="0" vertical="center"/>
    </xf>
    <xf borderId="6" fillId="0" fontId="1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1" numFmtId="166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vertical="center"/>
    </xf>
    <xf borderId="6" fillId="0" fontId="1" numFmtId="167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6" fillId="9" fontId="1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 vertical="center"/>
    </xf>
    <xf borderId="6" fillId="9" fontId="2" numFmtId="0" xfId="0" applyAlignment="1" applyBorder="1" applyFill="1" applyFont="1">
      <alignment horizontal="center" readingOrder="0"/>
    </xf>
    <xf borderId="6" fillId="9" fontId="1" numFmtId="0" xfId="0" applyAlignment="1" applyBorder="1" applyFill="1" applyFont="1">
      <alignment horizontal="center" readingOrder="0"/>
    </xf>
    <xf borderId="6" fillId="9" fontId="1" numFmtId="165" xfId="0" applyAlignment="1" applyBorder="1" applyFill="1" applyFont="1" applyNumberFormat="1">
      <alignment horizontal="center" readingOrder="0" vertical="center"/>
    </xf>
    <xf borderId="2" fillId="9" fontId="2" numFmtId="164" xfId="0" applyAlignment="1" applyBorder="1" applyFill="1" applyFont="1" applyNumberFormat="1">
      <alignment horizontal="right" readingOrder="0" vertical="center"/>
    </xf>
    <xf borderId="6" fillId="9" fontId="5" numFmtId="164" xfId="0" applyAlignment="1" applyBorder="1" applyFill="1" applyFont="1" applyNumberFormat="1">
      <alignment horizontal="right" readingOrder="0" vertical="center"/>
    </xf>
    <xf borderId="6" fillId="9" fontId="1" numFmtId="0" xfId="0" applyAlignment="1" applyBorder="1" applyFill="1" applyFont="1">
      <alignment horizontal="center" readingOrder="0" vertical="center"/>
    </xf>
    <xf borderId="6" fillId="9" fontId="1" numFmtId="0" xfId="0" applyAlignment="1" applyBorder="1" applyFill="1" applyFont="1">
      <alignment horizontal="center" vertical="center"/>
    </xf>
    <xf borderId="2" fillId="9" fontId="2" numFmtId="164" xfId="0" applyAlignment="1" applyBorder="1" applyFill="1" applyFont="1" applyNumberFormat="1">
      <alignment horizontal="right" vertical="center"/>
    </xf>
    <xf borderId="6" fillId="9" fontId="1" numFmtId="0" xfId="0" applyAlignment="1" applyBorder="1" applyFill="1" applyFont="1">
      <alignment horizontal="center" vertical="center"/>
    </xf>
    <xf borderId="6" fillId="9" fontId="5" numFmtId="164" xfId="0" applyAlignment="1" applyBorder="1" applyFill="1" applyFont="1" applyNumberFormat="1">
      <alignment horizontal="right" vertical="center"/>
    </xf>
    <xf borderId="6" fillId="9" fontId="2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25.2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6" t="s">
        <v>19</v>
      </c>
      <c r="E4" s="17"/>
      <c r="F4" s="14" t="s">
        <v>20</v>
      </c>
      <c r="G4" s="18"/>
      <c r="H4" s="19">
        <v>350000.0</v>
      </c>
      <c r="I4" s="20" t="s">
        <v>21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23</v>
      </c>
      <c r="D5" s="16" t="s">
        <v>24</v>
      </c>
      <c r="E5" s="17"/>
      <c r="F5" s="14" t="s">
        <v>25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27</v>
      </c>
      <c r="D6" s="16" t="s">
        <v>28</v>
      </c>
      <c r="E6" s="17"/>
      <c r="F6" s="14" t="s">
        <v>29</v>
      </c>
      <c r="G6" s="25"/>
      <c r="H6" s="19">
        <v>150000.0</v>
      </c>
      <c r="I6" s="20" t="s">
        <v>21</v>
      </c>
      <c r="J6" s="20" t="s">
        <v>30</v>
      </c>
      <c r="K6" s="20" t="s">
        <v>31</v>
      </c>
      <c r="L6" s="20" t="s">
        <v>22</v>
      </c>
      <c r="M6" s="20" t="s">
        <v>32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33</v>
      </c>
      <c r="D7" s="16" t="s">
        <v>28</v>
      </c>
      <c r="E7" s="17"/>
      <c r="F7" s="14" t="s">
        <v>34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35</v>
      </c>
      <c r="D8" s="16" t="s">
        <v>24</v>
      </c>
      <c r="E8" s="17"/>
      <c r="F8" s="14" t="s">
        <v>29</v>
      </c>
      <c r="G8" s="18">
        <v>50000.0</v>
      </c>
      <c r="H8" s="27"/>
      <c r="I8" s="20" t="s">
        <v>21</v>
      </c>
      <c r="J8" s="20" t="s">
        <v>30</v>
      </c>
      <c r="K8" s="20" t="s">
        <v>30</v>
      </c>
      <c r="L8" s="20" t="s">
        <v>22</v>
      </c>
      <c r="M8" s="20" t="s">
        <v>32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36</v>
      </c>
      <c r="D9" s="16" t="s">
        <v>28</v>
      </c>
      <c r="E9" s="17"/>
      <c r="F9" s="14" t="s">
        <v>37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38</v>
      </c>
      <c r="D10" s="16" t="s">
        <v>39</v>
      </c>
      <c r="E10" s="17"/>
      <c r="F10" s="14" t="s">
        <v>34</v>
      </c>
      <c r="G10" s="18"/>
      <c r="H10" s="19">
        <v>100000.0</v>
      </c>
      <c r="I10" s="20" t="s">
        <v>26</v>
      </c>
      <c r="J10" s="20"/>
      <c r="K10" s="20"/>
      <c r="L10" s="20" t="s">
        <v>22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40</v>
      </c>
      <c r="D11" s="16" t="s">
        <v>24</v>
      </c>
      <c r="E11" s="17"/>
      <c r="F11" s="14" t="s">
        <v>25</v>
      </c>
      <c r="G11" s="18"/>
      <c r="H11" s="19">
        <v>100000.0</v>
      </c>
      <c r="I11" s="20" t="s">
        <v>26</v>
      </c>
      <c r="J11" s="20"/>
      <c r="K11" s="20"/>
      <c r="L11" s="20" t="s">
        <v>22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41</v>
      </c>
      <c r="D12" s="16" t="s">
        <v>42</v>
      </c>
      <c r="E12" s="17"/>
      <c r="F12" s="28">
        <v>46143.0</v>
      </c>
      <c r="G12" s="18"/>
      <c r="H12" s="19">
        <v>100000.0</v>
      </c>
      <c r="I12" s="20" t="s">
        <v>26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44</v>
      </c>
      <c r="D13" s="16" t="s">
        <v>28</v>
      </c>
      <c r="E13" s="17"/>
      <c r="F13" s="28">
        <v>46143.0</v>
      </c>
      <c r="G13" s="18"/>
      <c r="H13" s="19">
        <v>175000.0</v>
      </c>
      <c r="I13" s="20" t="s">
        <v>21</v>
      </c>
      <c r="J13" s="20" t="s">
        <v>30</v>
      </c>
      <c r="K13" s="20" t="s">
        <v>30</v>
      </c>
      <c r="L13" s="20" t="s">
        <v>43</v>
      </c>
      <c r="M13" s="20" t="s">
        <v>32</v>
      </c>
      <c r="N13" s="23"/>
      <c r="O13" s="24"/>
      <c r="P13" s="24"/>
      <c r="Q13" s="1"/>
      <c r="R13" s="1"/>
    </row>
    <row r="14">
      <c r="A14" s="1"/>
      <c r="B14" s="29"/>
      <c r="C14" s="15" t="s">
        <v>45</v>
      </c>
      <c r="D14" s="16" t="s">
        <v>46</v>
      </c>
      <c r="E14" s="17" t="s">
        <v>47</v>
      </c>
      <c r="F14" s="28">
        <v>46143.0</v>
      </c>
      <c r="G14" s="18"/>
      <c r="H14" s="19">
        <v>600000.0</v>
      </c>
      <c r="I14" s="20" t="s">
        <v>21</v>
      </c>
      <c r="J14" s="20" t="s">
        <v>30</v>
      </c>
      <c r="K14" s="20" t="s">
        <v>30</v>
      </c>
      <c r="L14" s="20" t="s">
        <v>43</v>
      </c>
      <c r="M14" s="20" t="s">
        <v>32</v>
      </c>
      <c r="N14" s="23"/>
      <c r="O14" s="24"/>
      <c r="P14" s="24"/>
      <c r="Q14" s="1"/>
      <c r="R14" s="1"/>
    </row>
    <row r="15">
      <c r="A15" s="1"/>
      <c r="B15" s="29"/>
      <c r="C15" s="15" t="s">
        <v>48</v>
      </c>
      <c r="D15" s="16" t="s">
        <v>19</v>
      </c>
      <c r="E15" s="17"/>
      <c r="F15" s="28">
        <v>46161.0</v>
      </c>
      <c r="G15" s="18"/>
      <c r="H15" s="19">
        <v>250000.0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49</v>
      </c>
      <c r="D16" s="16" t="s">
        <v>19</v>
      </c>
      <c r="E16" s="17"/>
      <c r="F16" s="28">
        <v>46150.0</v>
      </c>
      <c r="G16" s="18"/>
      <c r="H16" s="19">
        <v>100000.0</v>
      </c>
      <c r="I16" s="20" t="s">
        <v>26</v>
      </c>
      <c r="J16" s="20"/>
      <c r="K16" s="20"/>
      <c r="L16" s="20" t="s">
        <v>43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50</v>
      </c>
      <c r="D17" s="16" t="s">
        <v>28</v>
      </c>
      <c r="E17" s="17"/>
      <c r="F17" s="28">
        <v>46144.0</v>
      </c>
      <c r="G17" s="18"/>
      <c r="H17" s="19">
        <v>100000.0</v>
      </c>
      <c r="I17" s="20" t="s">
        <v>26</v>
      </c>
      <c r="J17" s="20"/>
      <c r="K17" s="20"/>
      <c r="L17" s="20" t="s">
        <v>43</v>
      </c>
      <c r="M17" s="26"/>
      <c r="N17" s="23"/>
      <c r="O17" s="24"/>
      <c r="P17" s="24"/>
      <c r="Q17" s="1"/>
      <c r="R17" s="1"/>
    </row>
    <row r="18">
      <c r="A18" s="1"/>
      <c r="B18" s="29"/>
      <c r="C18" s="30" t="s">
        <v>51</v>
      </c>
      <c r="D18" s="16" t="s">
        <v>28</v>
      </c>
      <c r="E18" s="17"/>
      <c r="F18" s="28">
        <v>46144.0</v>
      </c>
      <c r="G18" s="18"/>
      <c r="H18" s="19">
        <v>100000.0</v>
      </c>
      <c r="I18" s="20" t="s">
        <v>26</v>
      </c>
      <c r="J18" s="20"/>
      <c r="K18" s="20"/>
      <c r="L18" s="20" t="s">
        <v>43</v>
      </c>
      <c r="M18" s="26"/>
      <c r="N18" s="23"/>
      <c r="O18" s="24"/>
      <c r="P18" s="24"/>
      <c r="Q18" s="1"/>
      <c r="R18" s="1"/>
    </row>
    <row r="19">
      <c r="A19" s="1"/>
      <c r="B19" s="29"/>
      <c r="C19" s="15" t="s">
        <v>52</v>
      </c>
      <c r="D19" s="16" t="s">
        <v>24</v>
      </c>
      <c r="E19" s="17"/>
      <c r="F19" s="28">
        <v>46151.0</v>
      </c>
      <c r="G19" s="18"/>
      <c r="H19" s="19">
        <v>100000.0</v>
      </c>
      <c r="I19" s="20" t="s">
        <v>26</v>
      </c>
      <c r="J19" s="20"/>
      <c r="K19" s="20"/>
      <c r="L19" s="20" t="s">
        <v>43</v>
      </c>
      <c r="M19" s="26"/>
      <c r="N19" s="23"/>
      <c r="O19" s="24"/>
      <c r="P19" s="24"/>
      <c r="Q19" s="1"/>
      <c r="R19" s="1"/>
    </row>
    <row r="20">
      <c r="A20" s="1"/>
      <c r="B20" s="29"/>
      <c r="C20" s="15" t="s">
        <v>53</v>
      </c>
      <c r="D20" s="16" t="s">
        <v>42</v>
      </c>
      <c r="E20" s="17"/>
      <c r="F20" s="28">
        <v>46143.0</v>
      </c>
      <c r="G20" s="18"/>
      <c r="H20" s="19">
        <v>300000.0</v>
      </c>
      <c r="I20" s="20" t="s">
        <v>21</v>
      </c>
      <c r="J20" s="20" t="s">
        <v>30</v>
      </c>
      <c r="K20" s="20" t="s">
        <v>30</v>
      </c>
      <c r="L20" s="20" t="s">
        <v>43</v>
      </c>
      <c r="M20" s="20" t="s">
        <v>32</v>
      </c>
      <c r="N20" s="23"/>
      <c r="O20" s="24"/>
      <c r="P20" s="24"/>
      <c r="Q20" s="1"/>
      <c r="R20" s="1"/>
    </row>
    <row r="21">
      <c r="A21" s="1"/>
      <c r="B21" s="29"/>
      <c r="C21" s="15" t="s">
        <v>54</v>
      </c>
      <c r="D21" s="16" t="s">
        <v>28</v>
      </c>
      <c r="E21" s="17"/>
      <c r="F21" s="28">
        <v>46143.0</v>
      </c>
      <c r="G21" s="18">
        <v>100000.0</v>
      </c>
      <c r="H21" s="27"/>
      <c r="I21" s="20" t="s">
        <v>21</v>
      </c>
      <c r="J21" s="20" t="s">
        <v>30</v>
      </c>
      <c r="K21" s="20" t="s">
        <v>30</v>
      </c>
      <c r="L21" s="20" t="s">
        <v>43</v>
      </c>
      <c r="M21" s="20" t="s">
        <v>32</v>
      </c>
      <c r="N21" s="23"/>
      <c r="O21" s="24"/>
      <c r="P21" s="24"/>
      <c r="Q21" s="1"/>
      <c r="R21" s="1"/>
    </row>
    <row r="22">
      <c r="A22" s="1"/>
      <c r="B22" s="29"/>
      <c r="C22" s="15" t="s">
        <v>55</v>
      </c>
      <c r="D22" s="16" t="s">
        <v>28</v>
      </c>
      <c r="E22" s="17"/>
      <c r="F22" s="28">
        <v>46147.0</v>
      </c>
      <c r="G22" s="18"/>
      <c r="H22" s="19">
        <v>100000.0</v>
      </c>
      <c r="I22" s="20" t="s">
        <v>26</v>
      </c>
      <c r="J22" s="20"/>
      <c r="K22" s="20"/>
      <c r="L22" s="20" t="s">
        <v>43</v>
      </c>
      <c r="M22" s="26"/>
      <c r="N22" s="23"/>
      <c r="O22" s="24"/>
      <c r="P22" s="24"/>
      <c r="Q22" s="1"/>
      <c r="R22" s="1"/>
    </row>
    <row r="23">
      <c r="A23" s="1"/>
      <c r="B23" s="29"/>
      <c r="C23" s="15" t="s">
        <v>56</v>
      </c>
      <c r="D23" s="16" t="s">
        <v>28</v>
      </c>
      <c r="E23" s="17"/>
      <c r="F23" s="28">
        <v>46143.0</v>
      </c>
      <c r="G23" s="18"/>
      <c r="H23" s="19">
        <v>150000.0</v>
      </c>
      <c r="I23" s="20" t="s">
        <v>21</v>
      </c>
      <c r="J23" s="20" t="s">
        <v>30</v>
      </c>
      <c r="K23" s="20" t="s">
        <v>30</v>
      </c>
      <c r="L23" s="20" t="s">
        <v>43</v>
      </c>
      <c r="M23" s="20" t="s">
        <v>32</v>
      </c>
      <c r="N23" s="23"/>
      <c r="O23" s="24"/>
      <c r="P23" s="24"/>
      <c r="Q23" s="1"/>
      <c r="R23" s="1"/>
    </row>
    <row r="24">
      <c r="A24" s="1"/>
      <c r="B24" s="29"/>
      <c r="C24" s="15" t="s">
        <v>41</v>
      </c>
      <c r="D24" s="16" t="s">
        <v>42</v>
      </c>
      <c r="E24" s="17"/>
      <c r="F24" s="28">
        <v>46143.0</v>
      </c>
      <c r="G24" s="18"/>
      <c r="H24" s="19">
        <v>100000.0</v>
      </c>
      <c r="I24" s="20" t="s">
        <v>21</v>
      </c>
      <c r="J24" s="20" t="s">
        <v>30</v>
      </c>
      <c r="K24" s="20" t="s">
        <v>30</v>
      </c>
      <c r="L24" s="20" t="s">
        <v>43</v>
      </c>
      <c r="M24" s="20" t="s">
        <v>32</v>
      </c>
      <c r="N24" s="23"/>
      <c r="O24" s="24"/>
      <c r="P24" s="24"/>
      <c r="Q24" s="1"/>
      <c r="R24" s="1"/>
    </row>
    <row r="25">
      <c r="A25" s="1"/>
      <c r="B25" s="29"/>
      <c r="C25" s="15"/>
      <c r="D25" s="16"/>
      <c r="E25" s="17"/>
      <c r="F25" s="29"/>
      <c r="G25" s="18"/>
      <c r="H25" s="27"/>
      <c r="I25" s="20"/>
      <c r="J25" s="20"/>
      <c r="K25" s="20"/>
      <c r="L25" s="26"/>
      <c r="M25" s="26"/>
      <c r="N25" s="23"/>
      <c r="O25" s="24"/>
      <c r="P25" s="24"/>
      <c r="Q25" s="1"/>
      <c r="R25" s="1"/>
    </row>
    <row r="26">
      <c r="A26" s="1"/>
      <c r="B26" s="29"/>
      <c r="C26" s="31"/>
      <c r="D26" s="16"/>
      <c r="E26" s="17"/>
      <c r="F26" s="29"/>
      <c r="G26" s="25"/>
      <c r="H26" s="27"/>
      <c r="I26" s="26"/>
      <c r="J26" s="26"/>
      <c r="K26" s="26"/>
      <c r="L26" s="26"/>
      <c r="M26" s="26"/>
      <c r="N26" s="32"/>
      <c r="O26" s="32"/>
      <c r="P26" s="32"/>
      <c r="Q26" s="1"/>
      <c r="R26" s="1"/>
    </row>
    <row r="27" ht="18.75" customHeight="1">
      <c r="A27" s="1"/>
      <c r="B27" s="1"/>
      <c r="C27" s="2"/>
      <c r="D27" s="2"/>
      <c r="E27" s="1"/>
      <c r="F27" s="1"/>
      <c r="G27" s="33">
        <f t="shared" ref="G27:H27" si="1">SUM(G4:G26)</f>
        <v>150000</v>
      </c>
      <c r="H27" s="34">
        <f t="shared" si="1"/>
        <v>3175000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23.25" customHeight="1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35" t="s">
        <v>0</v>
      </c>
      <c r="C30" s="36" t="s">
        <v>6</v>
      </c>
      <c r="D30" s="36" t="s">
        <v>57</v>
      </c>
      <c r="E30" s="37"/>
      <c r="F30" s="1"/>
      <c r="G30" s="1"/>
      <c r="H30" s="1"/>
      <c r="I30" s="1"/>
      <c r="J30" s="1"/>
      <c r="K30" s="1"/>
      <c r="L30" s="1"/>
      <c r="M30" s="1"/>
      <c r="N30" s="36" t="s">
        <v>58</v>
      </c>
      <c r="O30" s="36" t="s">
        <v>1</v>
      </c>
      <c r="P30" s="1"/>
      <c r="Q30" s="1"/>
      <c r="R30" s="1"/>
    </row>
    <row r="31">
      <c r="A31" s="1"/>
      <c r="B31" s="38">
        <v>1.0</v>
      </c>
      <c r="C31" s="39" t="s">
        <v>59</v>
      </c>
      <c r="D31" s="40">
        <f>SUM(G27)</f>
        <v>150000</v>
      </c>
      <c r="E31" s="41"/>
      <c r="F31" s="1"/>
      <c r="G31" s="1"/>
      <c r="H31" s="1"/>
      <c r="I31" s="1"/>
      <c r="J31" s="1"/>
      <c r="K31" s="1"/>
      <c r="L31" s="1"/>
      <c r="M31" s="1"/>
      <c r="N31" s="42" t="s">
        <v>60</v>
      </c>
      <c r="O31" s="21" t="s">
        <v>22</v>
      </c>
      <c r="P31" s="1"/>
      <c r="Q31" s="1"/>
      <c r="R31" s="1"/>
    </row>
    <row r="32">
      <c r="A32" s="1"/>
      <c r="B32" s="43">
        <v>2.0</v>
      </c>
      <c r="C32" s="44" t="s">
        <v>61</v>
      </c>
      <c r="D32" s="45">
        <v>-50000.0</v>
      </c>
      <c r="E32" s="46"/>
      <c r="F32" s="1"/>
      <c r="G32" s="1"/>
      <c r="H32" s="1"/>
      <c r="I32" s="1"/>
      <c r="J32" s="1"/>
      <c r="K32" s="1"/>
      <c r="L32" s="1"/>
      <c r="M32" s="1"/>
      <c r="N32" s="47" t="s">
        <v>62</v>
      </c>
      <c r="O32" s="48" t="s">
        <v>43</v>
      </c>
      <c r="P32" s="1"/>
      <c r="Q32" s="1"/>
      <c r="R32" s="1"/>
    </row>
    <row r="33">
      <c r="A33" s="1"/>
      <c r="B33" s="38">
        <v>3.0</v>
      </c>
      <c r="C33" s="39" t="s">
        <v>63</v>
      </c>
      <c r="D33" s="49">
        <v>-40000.0</v>
      </c>
      <c r="E33" s="46"/>
      <c r="F33" s="1"/>
      <c r="G33" s="1"/>
      <c r="H33" s="1"/>
      <c r="I33" s="1"/>
      <c r="J33" s="1"/>
      <c r="K33" s="1"/>
      <c r="L33" s="1"/>
      <c r="M33" s="1"/>
      <c r="N33" s="50" t="s">
        <v>64</v>
      </c>
      <c r="O33" s="23" t="s">
        <v>32</v>
      </c>
      <c r="P33" s="1"/>
      <c r="Q33" s="1"/>
      <c r="R33" s="1"/>
    </row>
    <row r="34">
      <c r="A34" s="1"/>
      <c r="B34" s="43">
        <v>4.0</v>
      </c>
      <c r="C34" s="44"/>
      <c r="D34" s="45"/>
      <c r="E34" s="46"/>
      <c r="F34" s="1"/>
      <c r="G34" s="1"/>
      <c r="H34" s="1"/>
      <c r="I34" s="1"/>
      <c r="J34" s="1"/>
      <c r="K34" s="1"/>
      <c r="L34" s="1"/>
      <c r="M34" s="1"/>
      <c r="N34" s="51" t="s">
        <v>65</v>
      </c>
      <c r="O34" s="48" t="s">
        <v>32</v>
      </c>
      <c r="P34" s="1"/>
      <c r="Q34" s="1"/>
      <c r="R34" s="1"/>
    </row>
    <row r="35">
      <c r="A35" s="1"/>
      <c r="B35" s="38"/>
      <c r="C35" s="52"/>
      <c r="D35" s="40"/>
      <c r="E35" s="41"/>
      <c r="F35" s="1"/>
      <c r="G35" s="1"/>
      <c r="H35" s="1"/>
      <c r="I35" s="1"/>
      <c r="J35" s="1"/>
      <c r="K35" s="1"/>
      <c r="L35" s="1"/>
      <c r="M35" s="1"/>
      <c r="N35" s="53"/>
      <c r="O35" s="1"/>
      <c r="P35" s="1"/>
      <c r="Q35" s="1"/>
      <c r="R35" s="1"/>
    </row>
    <row r="36">
      <c r="A36" s="1"/>
      <c r="B36" s="43"/>
      <c r="C36" s="54"/>
      <c r="D36" s="55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38"/>
      <c r="C37" s="52"/>
      <c r="D37" s="40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3"/>
      <c r="C38" s="54"/>
      <c r="D38" s="55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38"/>
      <c r="C39" s="52"/>
      <c r="D39" s="40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43"/>
      <c r="C40" s="54"/>
      <c r="D40" s="55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56"/>
      <c r="C41" s="57"/>
      <c r="D41" s="58"/>
      <c r="E41" s="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59">
        <f>SUM(D31:D41)</f>
        <v>60000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6 O31:O32">
      <formula1>"-,JIJANG,ADDEL ,PENTIL,FAHME,INDAH"</formula1>
    </dataValidation>
    <dataValidation type="list" allowBlank="1" showDropDown="1" showErrorMessage="1" sqref="M4:M26 O33:O34">
      <formula1>"-,VERO,HANIF ,PENTIL,FAHME"</formula1>
    </dataValidation>
    <dataValidation type="list" allowBlank="1" showErrorMessage="1" sqref="N4:N26">
      <formula1>"-,Pending,Progress,Uploaded"</formula1>
    </dataValidation>
    <dataValidation type="list" allowBlank="1" showErrorMessage="1" sqref="O4:O26">
      <formula1>"-,In Pikako,In Foxe"</formula1>
    </dataValidation>
    <dataValidation type="list" allowBlank="1" showDropDown="1" showErrorMessage="1" sqref="D4:D26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6">
      <formula1>"-,DP,Lunas"</formula1>
    </dataValidation>
    <dataValidation type="list" allowBlank="1" showDropDown="1" showErrorMessage="1" sqref="J4:K26">
      <formula1>"-,Pending,Uploaded"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66</v>
      </c>
      <c r="D4" s="16" t="s">
        <v>67</v>
      </c>
      <c r="E4" s="17"/>
      <c r="F4" s="60">
        <v>46127.0</v>
      </c>
      <c r="G4" s="18"/>
      <c r="H4" s="19">
        <v>20000.0</v>
      </c>
      <c r="I4" s="20" t="s">
        <v>21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68</v>
      </c>
      <c r="D5" s="16" t="s">
        <v>69</v>
      </c>
      <c r="E5" s="17"/>
      <c r="F5" s="14" t="s">
        <v>20</v>
      </c>
      <c r="G5" s="18">
        <v>200000.0</v>
      </c>
      <c r="H5" s="19"/>
      <c r="I5" s="20" t="s">
        <v>21</v>
      </c>
      <c r="J5" s="20" t="s">
        <v>30</v>
      </c>
      <c r="K5" s="20" t="s">
        <v>70</v>
      </c>
      <c r="L5" s="20" t="s">
        <v>22</v>
      </c>
      <c r="M5" s="20" t="s">
        <v>32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71</v>
      </c>
      <c r="D6" s="16" t="s">
        <v>19</v>
      </c>
      <c r="E6" s="17"/>
      <c r="F6" s="14" t="s">
        <v>72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73</v>
      </c>
      <c r="D7" s="16" t="s">
        <v>74</v>
      </c>
      <c r="E7" s="17"/>
      <c r="F7" s="14" t="s">
        <v>75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50</v>
      </c>
      <c r="D8" s="16" t="s">
        <v>76</v>
      </c>
      <c r="E8" s="17"/>
      <c r="F8" s="14" t="s">
        <v>20</v>
      </c>
      <c r="G8" s="18"/>
      <c r="H8" s="19">
        <v>300000.0</v>
      </c>
      <c r="I8" s="20" t="s">
        <v>21</v>
      </c>
      <c r="J8" s="20" t="s">
        <v>30</v>
      </c>
      <c r="K8" s="20" t="s">
        <v>31</v>
      </c>
      <c r="L8" s="20" t="s">
        <v>22</v>
      </c>
      <c r="M8" s="20" t="s">
        <v>32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77</v>
      </c>
      <c r="D9" s="16" t="s">
        <v>28</v>
      </c>
      <c r="E9" s="17"/>
      <c r="F9" s="14" t="s">
        <v>20</v>
      </c>
      <c r="G9" s="18">
        <v>825000.0</v>
      </c>
      <c r="H9" s="27"/>
      <c r="I9" s="20" t="s">
        <v>21</v>
      </c>
      <c r="J9" s="20" t="s">
        <v>30</v>
      </c>
      <c r="K9" s="20" t="s">
        <v>30</v>
      </c>
      <c r="L9" s="20" t="s">
        <v>22</v>
      </c>
      <c r="M9" s="20" t="s">
        <v>32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78</v>
      </c>
      <c r="D10" s="16" t="s">
        <v>69</v>
      </c>
      <c r="E10" s="17"/>
      <c r="F10" s="14" t="s">
        <v>20</v>
      </c>
      <c r="G10" s="18">
        <v>100000.0</v>
      </c>
      <c r="H10" s="27"/>
      <c r="I10" s="20" t="s">
        <v>21</v>
      </c>
      <c r="J10" s="20" t="s">
        <v>30</v>
      </c>
      <c r="K10" s="20" t="s">
        <v>70</v>
      </c>
      <c r="L10" s="20" t="s">
        <v>22</v>
      </c>
      <c r="M10" s="20" t="s">
        <v>32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79</v>
      </c>
      <c r="D11" s="16" t="s">
        <v>19</v>
      </c>
      <c r="E11" s="17"/>
      <c r="F11" s="14" t="s">
        <v>80</v>
      </c>
      <c r="G11" s="18"/>
      <c r="H11" s="19">
        <v>100000.0</v>
      </c>
      <c r="I11" s="20" t="s">
        <v>26</v>
      </c>
      <c r="J11" s="20"/>
      <c r="K11" s="20"/>
      <c r="L11" s="20" t="s">
        <v>22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81</v>
      </c>
      <c r="D12" s="16" t="s">
        <v>69</v>
      </c>
      <c r="E12" s="17"/>
      <c r="F12" s="14" t="s">
        <v>20</v>
      </c>
      <c r="G12" s="18"/>
      <c r="H12" s="19">
        <v>100000.0</v>
      </c>
      <c r="I12" s="20" t="s">
        <v>26</v>
      </c>
      <c r="J12" s="20"/>
      <c r="K12" s="20"/>
      <c r="L12" s="20" t="s">
        <v>22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82</v>
      </c>
      <c r="D13" s="16" t="s">
        <v>28</v>
      </c>
      <c r="E13" s="17"/>
      <c r="F13" s="14" t="s">
        <v>20</v>
      </c>
      <c r="G13" s="18">
        <v>125000.0</v>
      </c>
      <c r="H13" s="27"/>
      <c r="I13" s="20" t="s">
        <v>21</v>
      </c>
      <c r="J13" s="20" t="s">
        <v>30</v>
      </c>
      <c r="K13" s="20" t="s">
        <v>70</v>
      </c>
      <c r="L13" s="20" t="s">
        <v>22</v>
      </c>
      <c r="M13" s="20" t="s">
        <v>32</v>
      </c>
      <c r="N13" s="23"/>
      <c r="O13" s="24"/>
      <c r="P13" s="24"/>
      <c r="Q13" s="1"/>
      <c r="R13" s="1"/>
    </row>
    <row r="14">
      <c r="A14" s="1"/>
      <c r="B14" s="29"/>
      <c r="C14" s="15" t="s">
        <v>83</v>
      </c>
      <c r="D14" s="16" t="s">
        <v>24</v>
      </c>
      <c r="E14" s="17"/>
      <c r="F14" s="14" t="s">
        <v>20</v>
      </c>
      <c r="G14" s="18">
        <v>50000.0</v>
      </c>
      <c r="H14" s="27"/>
      <c r="I14" s="20" t="s">
        <v>21</v>
      </c>
      <c r="J14" s="20" t="s">
        <v>30</v>
      </c>
      <c r="K14" s="20" t="s">
        <v>70</v>
      </c>
      <c r="L14" s="20" t="s">
        <v>22</v>
      </c>
      <c r="M14" s="20" t="s">
        <v>32</v>
      </c>
      <c r="N14" s="23"/>
      <c r="O14" s="24"/>
      <c r="P14" s="24"/>
      <c r="Q14" s="1"/>
      <c r="R14" s="1"/>
    </row>
    <row r="15">
      <c r="A15" s="1"/>
      <c r="B15" s="29"/>
      <c r="C15" s="15" t="s">
        <v>84</v>
      </c>
      <c r="D15" s="16" t="s">
        <v>24</v>
      </c>
      <c r="E15" s="17"/>
      <c r="F15" s="14" t="s">
        <v>20</v>
      </c>
      <c r="G15" s="18">
        <v>50000.0</v>
      </c>
      <c r="H15" s="27"/>
      <c r="I15" s="20" t="s">
        <v>21</v>
      </c>
      <c r="J15" s="20" t="s">
        <v>30</v>
      </c>
      <c r="K15" s="20" t="s">
        <v>70</v>
      </c>
      <c r="L15" s="20" t="s">
        <v>22</v>
      </c>
      <c r="M15" s="20" t="s">
        <v>32</v>
      </c>
      <c r="N15" s="23"/>
      <c r="O15" s="24"/>
      <c r="P15" s="24"/>
      <c r="Q15" s="1"/>
      <c r="R15" s="1"/>
    </row>
    <row r="16">
      <c r="A16" s="1"/>
      <c r="B16" s="29"/>
      <c r="C16" s="15" t="s">
        <v>85</v>
      </c>
      <c r="D16" s="16" t="s">
        <v>19</v>
      </c>
      <c r="E16" s="17" t="s">
        <v>86</v>
      </c>
      <c r="F16" s="28">
        <v>46144.0</v>
      </c>
      <c r="G16" s="18">
        <v>400000.0</v>
      </c>
      <c r="H16" s="27"/>
      <c r="I16" s="20" t="s">
        <v>21</v>
      </c>
      <c r="J16" s="20" t="s">
        <v>30</v>
      </c>
      <c r="K16" s="20" t="s">
        <v>70</v>
      </c>
      <c r="L16" s="20" t="s">
        <v>43</v>
      </c>
      <c r="M16" s="20" t="s">
        <v>87</v>
      </c>
      <c r="N16" s="23"/>
      <c r="O16" s="24"/>
      <c r="P16" s="24"/>
      <c r="Q16" s="1"/>
      <c r="R16" s="1"/>
    </row>
    <row r="17">
      <c r="A17" s="1"/>
      <c r="B17" s="29"/>
      <c r="C17" s="15" t="s">
        <v>88</v>
      </c>
      <c r="D17" s="16" t="s">
        <v>19</v>
      </c>
      <c r="E17" s="17"/>
      <c r="F17" s="28">
        <v>46144.0</v>
      </c>
      <c r="G17" s="18">
        <v>0.0</v>
      </c>
      <c r="H17" s="19">
        <v>0.0</v>
      </c>
      <c r="I17" s="20" t="s">
        <v>21</v>
      </c>
      <c r="J17" s="20" t="s">
        <v>30</v>
      </c>
      <c r="K17" s="20" t="s">
        <v>30</v>
      </c>
      <c r="L17" s="20" t="s">
        <v>43</v>
      </c>
      <c r="M17" s="20" t="s">
        <v>87</v>
      </c>
      <c r="N17" s="23"/>
      <c r="O17" s="24"/>
      <c r="P17" s="24"/>
      <c r="Q17" s="1"/>
      <c r="R17" s="1"/>
    </row>
    <row r="18">
      <c r="A18" s="1"/>
      <c r="B18" s="29"/>
      <c r="C18" s="15" t="s">
        <v>88</v>
      </c>
      <c r="D18" s="16" t="s">
        <v>89</v>
      </c>
      <c r="E18" s="17"/>
      <c r="F18" s="28">
        <v>46144.0</v>
      </c>
      <c r="G18" s="18">
        <v>20000.0</v>
      </c>
      <c r="H18" s="27"/>
      <c r="I18" s="20" t="s">
        <v>21</v>
      </c>
      <c r="J18" s="20" t="s">
        <v>31</v>
      </c>
      <c r="K18" s="26"/>
      <c r="L18" s="20" t="s">
        <v>43</v>
      </c>
      <c r="M18" s="26"/>
      <c r="N18" s="24"/>
      <c r="O18" s="24"/>
      <c r="P18" s="24"/>
      <c r="Q18" s="1"/>
      <c r="R18" s="1"/>
    </row>
    <row r="19">
      <c r="A19" s="1"/>
      <c r="B19" s="29"/>
      <c r="C19" s="15" t="s">
        <v>90</v>
      </c>
      <c r="D19" s="16" t="s">
        <v>24</v>
      </c>
      <c r="E19" s="17"/>
      <c r="F19" s="28">
        <v>46144.0</v>
      </c>
      <c r="G19" s="18">
        <v>50000.0</v>
      </c>
      <c r="H19" s="27"/>
      <c r="I19" s="20" t="s">
        <v>21</v>
      </c>
      <c r="J19" s="20" t="s">
        <v>30</v>
      </c>
      <c r="K19" s="20" t="s">
        <v>30</v>
      </c>
      <c r="L19" s="20" t="s">
        <v>43</v>
      </c>
      <c r="M19" s="20" t="s">
        <v>87</v>
      </c>
      <c r="N19" s="24"/>
      <c r="O19" s="24"/>
      <c r="P19" s="24"/>
      <c r="Q19" s="1"/>
      <c r="R19" s="1"/>
    </row>
    <row r="20">
      <c r="A20" s="1"/>
      <c r="B20" s="29"/>
      <c r="C20" s="15" t="s">
        <v>91</v>
      </c>
      <c r="D20" s="16" t="s">
        <v>28</v>
      </c>
      <c r="E20" s="17"/>
      <c r="F20" s="28">
        <v>46152.0</v>
      </c>
      <c r="G20" s="18"/>
      <c r="H20" s="19">
        <v>561000.0</v>
      </c>
      <c r="I20" s="20" t="s">
        <v>26</v>
      </c>
      <c r="J20" s="26"/>
      <c r="K20" s="26"/>
      <c r="L20" s="20" t="s">
        <v>43</v>
      </c>
      <c r="M20" s="26"/>
      <c r="N20" s="24"/>
      <c r="O20" s="24"/>
      <c r="P20" s="24"/>
      <c r="Q20" s="1"/>
      <c r="R20" s="1"/>
    </row>
    <row r="21">
      <c r="A21" s="1"/>
      <c r="B21" s="29"/>
      <c r="C21" s="15" t="s">
        <v>92</v>
      </c>
      <c r="D21" s="16" t="s">
        <v>28</v>
      </c>
      <c r="E21" s="17"/>
      <c r="F21" s="28">
        <v>46144.0</v>
      </c>
      <c r="G21" s="18">
        <v>475000.0</v>
      </c>
      <c r="H21" s="27"/>
      <c r="I21" s="20" t="s">
        <v>21</v>
      </c>
      <c r="J21" s="20" t="s">
        <v>30</v>
      </c>
      <c r="K21" s="20" t="s">
        <v>70</v>
      </c>
      <c r="L21" s="20" t="s">
        <v>43</v>
      </c>
      <c r="M21" s="20" t="s">
        <v>87</v>
      </c>
      <c r="N21" s="24"/>
      <c r="O21" s="24"/>
      <c r="P21" s="24"/>
      <c r="Q21" s="1"/>
      <c r="R21" s="1"/>
    </row>
    <row r="22">
      <c r="A22" s="1"/>
      <c r="B22" s="29"/>
      <c r="C22" s="31"/>
      <c r="D22" s="16"/>
      <c r="E22" s="17"/>
      <c r="F22" s="29"/>
      <c r="G22" s="25"/>
      <c r="H22" s="27"/>
      <c r="I22" s="26"/>
      <c r="J22" s="26"/>
      <c r="K22" s="26"/>
      <c r="L22" s="26"/>
      <c r="M22" s="26"/>
      <c r="N22" s="24"/>
      <c r="O22" s="24"/>
      <c r="P22" s="24"/>
      <c r="Q22" s="1"/>
      <c r="R22" s="1"/>
    </row>
    <row r="23">
      <c r="A23" s="1"/>
      <c r="B23" s="29"/>
      <c r="C23" s="31"/>
      <c r="D23" s="16"/>
      <c r="E23" s="17"/>
      <c r="F23" s="29"/>
      <c r="G23" s="25"/>
      <c r="H23" s="27"/>
      <c r="I23" s="26"/>
      <c r="J23" s="26"/>
      <c r="K23" s="26"/>
      <c r="L23" s="26"/>
      <c r="M23" s="26"/>
      <c r="N23" s="32"/>
      <c r="O23" s="32"/>
      <c r="P23" s="32"/>
      <c r="Q23" s="1"/>
      <c r="R23" s="1"/>
    </row>
    <row r="24" ht="18.75" customHeight="1">
      <c r="A24" s="1"/>
      <c r="B24" s="1"/>
      <c r="C24" s="2"/>
      <c r="D24" s="2"/>
      <c r="E24" s="1"/>
      <c r="F24" s="1"/>
      <c r="G24" s="33">
        <f t="shared" ref="G24:H24" si="1">SUM(G4:G23)</f>
        <v>2295000</v>
      </c>
      <c r="H24" s="34">
        <f t="shared" si="1"/>
        <v>1281000</v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23.25" customHeight="1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1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35" t="s">
        <v>0</v>
      </c>
      <c r="C27" s="36" t="s">
        <v>6</v>
      </c>
      <c r="D27" s="36" t="s">
        <v>57</v>
      </c>
      <c r="E27" s="37"/>
      <c r="F27" s="1"/>
      <c r="G27" s="1"/>
      <c r="H27" s="1"/>
      <c r="I27" s="1"/>
      <c r="J27" s="1"/>
      <c r="K27" s="1"/>
      <c r="L27" s="1"/>
      <c r="M27" s="1"/>
      <c r="N27" s="36" t="s">
        <v>58</v>
      </c>
      <c r="O27" s="36" t="s">
        <v>1</v>
      </c>
      <c r="P27" s="1"/>
      <c r="Q27" s="1"/>
      <c r="R27" s="1"/>
    </row>
    <row r="28">
      <c r="A28" s="1"/>
      <c r="B28" s="38">
        <v>1.0</v>
      </c>
      <c r="C28" s="39" t="s">
        <v>59</v>
      </c>
      <c r="D28" s="40">
        <f>SUM(G24)</f>
        <v>2295000</v>
      </c>
      <c r="E28" s="41"/>
      <c r="F28" s="1"/>
      <c r="G28" s="1"/>
      <c r="H28" s="1"/>
      <c r="I28" s="1"/>
      <c r="J28" s="1"/>
      <c r="K28" s="1"/>
      <c r="L28" s="1"/>
      <c r="M28" s="1"/>
      <c r="N28" s="42" t="s">
        <v>60</v>
      </c>
      <c r="O28" s="21" t="s">
        <v>22</v>
      </c>
      <c r="P28" s="1"/>
      <c r="Q28" s="1"/>
      <c r="R28" s="1"/>
    </row>
    <row r="29">
      <c r="A29" s="1"/>
      <c r="B29" s="43">
        <v>2.0</v>
      </c>
      <c r="C29" s="44" t="s">
        <v>93</v>
      </c>
      <c r="D29" s="45">
        <v>-100000.0</v>
      </c>
      <c r="E29" s="46"/>
      <c r="F29" s="1"/>
      <c r="G29" s="1"/>
      <c r="H29" s="1"/>
      <c r="I29" s="1"/>
      <c r="J29" s="1"/>
      <c r="K29" s="1"/>
      <c r="L29" s="1"/>
      <c r="M29" s="1"/>
      <c r="N29" s="47" t="s">
        <v>62</v>
      </c>
      <c r="O29" s="48" t="s">
        <v>43</v>
      </c>
      <c r="P29" s="1"/>
      <c r="Q29" s="1"/>
      <c r="R29" s="1"/>
    </row>
    <row r="30">
      <c r="A30" s="1"/>
      <c r="B30" s="38">
        <v>3.0</v>
      </c>
      <c r="C30" s="39" t="s">
        <v>94</v>
      </c>
      <c r="D30" s="49">
        <v>-120000.0</v>
      </c>
      <c r="E30" s="46"/>
      <c r="F30" s="1"/>
      <c r="G30" s="1"/>
      <c r="H30" s="1"/>
      <c r="I30" s="1"/>
      <c r="J30" s="1"/>
      <c r="K30" s="1"/>
      <c r="L30" s="1"/>
      <c r="M30" s="1"/>
      <c r="N30" s="50" t="s">
        <v>64</v>
      </c>
      <c r="O30" s="23" t="s">
        <v>32</v>
      </c>
      <c r="P30" s="1"/>
      <c r="Q30" s="1"/>
      <c r="R30" s="1"/>
    </row>
    <row r="31">
      <c r="A31" s="1"/>
      <c r="B31" s="43">
        <v>4.0</v>
      </c>
      <c r="C31" s="44"/>
      <c r="D31" s="45"/>
      <c r="E31" s="46"/>
      <c r="F31" s="1"/>
      <c r="G31" s="1"/>
      <c r="H31" s="1"/>
      <c r="I31" s="1"/>
      <c r="J31" s="1"/>
      <c r="K31" s="1"/>
      <c r="L31" s="1"/>
      <c r="M31" s="1"/>
      <c r="N31" s="51" t="s">
        <v>65</v>
      </c>
      <c r="O31" s="48" t="s">
        <v>87</v>
      </c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53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38"/>
      <c r="C34" s="52"/>
      <c r="D34" s="40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38"/>
      <c r="C36" s="52"/>
      <c r="D36" s="40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3"/>
      <c r="C37" s="54"/>
      <c r="D37" s="55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56"/>
      <c r="C38" s="57"/>
      <c r="D38" s="58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59">
        <f>SUM(D28:D38)</f>
        <v>2075000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3 O28:O29">
      <formula1>"-,JIJANG,AXEL,PENTIL,ADDEL ,INDAH"</formula1>
    </dataValidation>
    <dataValidation type="list" allowBlank="1" showDropDown="1" showErrorMessage="1" sqref="D4:D23">
      <formula1>"-,Single,Couple A,Couple B,Group A,Group B,Group C,Large Group,Graduation,Graduation Premium,Family A,Family B,Maternity,Concept,Studio Rent,Pas Foto,Single,Add Person ,Add Edit,Packing,Photofox "</formula1>
    </dataValidation>
    <dataValidation type="list" allowBlank="1" showDropDown="1" showErrorMessage="1" sqref="M4:M23 O30:O31">
      <formula1>"-,VERO,HANIF ,PENTIL,FAHME,ADIF"</formula1>
    </dataValidation>
    <dataValidation type="list" allowBlank="1" showErrorMessage="1" sqref="N4:N23">
      <formula1>"-,Pending,Progress,Uploaded"</formula1>
    </dataValidation>
    <dataValidation type="list" allowBlank="1" showErrorMessage="1" sqref="O4:O23">
      <formula1>"-,In Pikako,In Foxe"</formula1>
    </dataValidation>
    <dataValidation type="list" allowBlank="1" showDropDown="1" showErrorMessage="1" sqref="I4:I23">
      <formula1>"-,DP,Lunas"</formula1>
    </dataValidation>
    <dataValidation type="list" allowBlank="1" showDropDown="1" showErrorMessage="1" sqref="J4:K23">
      <formula1>"-,Pending,Uploaded"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5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95</v>
      </c>
      <c r="D4" s="16" t="s">
        <v>24</v>
      </c>
      <c r="E4" s="17"/>
      <c r="F4" s="60">
        <v>46147.0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96</v>
      </c>
      <c r="D5" s="16" t="s">
        <v>24</v>
      </c>
      <c r="E5" s="17"/>
      <c r="F5" s="60">
        <v>46145.0</v>
      </c>
      <c r="G5" s="18"/>
      <c r="H5" s="19">
        <v>50000.0</v>
      </c>
      <c r="I5" s="20" t="s">
        <v>21</v>
      </c>
      <c r="J5" s="20" t="s">
        <v>30</v>
      </c>
      <c r="K5" s="20" t="s">
        <v>70</v>
      </c>
      <c r="L5" s="20" t="s">
        <v>43</v>
      </c>
      <c r="M5" s="20" t="s">
        <v>87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97</v>
      </c>
      <c r="D6" s="16" t="s">
        <v>28</v>
      </c>
      <c r="E6" s="17"/>
      <c r="F6" s="28">
        <v>46145.0</v>
      </c>
      <c r="G6" s="25"/>
      <c r="H6" s="19">
        <v>125000.0</v>
      </c>
      <c r="I6" s="20" t="s">
        <v>21</v>
      </c>
      <c r="J6" s="20" t="s">
        <v>30</v>
      </c>
      <c r="K6" s="20" t="s">
        <v>30</v>
      </c>
      <c r="L6" s="20" t="s">
        <v>43</v>
      </c>
      <c r="M6" s="20" t="s">
        <v>87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98</v>
      </c>
      <c r="D7" s="16" t="s">
        <v>99</v>
      </c>
      <c r="E7" s="17"/>
      <c r="F7" s="28">
        <v>46138.0</v>
      </c>
      <c r="G7" s="18"/>
      <c r="H7" s="19">
        <v>9500.0</v>
      </c>
      <c r="I7" s="20" t="s">
        <v>21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84</v>
      </c>
      <c r="D8" s="16" t="s">
        <v>28</v>
      </c>
      <c r="E8" s="17"/>
      <c r="F8" s="28">
        <v>46145.0</v>
      </c>
      <c r="G8" s="18"/>
      <c r="H8" s="19">
        <v>175000.0</v>
      </c>
      <c r="I8" s="20" t="s">
        <v>21</v>
      </c>
      <c r="J8" s="20" t="s">
        <v>30</v>
      </c>
      <c r="K8" s="20" t="s">
        <v>30</v>
      </c>
      <c r="L8" s="20" t="s">
        <v>43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100</v>
      </c>
      <c r="D9" s="16" t="s">
        <v>24</v>
      </c>
      <c r="E9" s="17"/>
      <c r="F9" s="28">
        <v>46145.0</v>
      </c>
      <c r="G9" s="18">
        <v>50000.0</v>
      </c>
      <c r="H9" s="27"/>
      <c r="I9" s="20" t="s">
        <v>21</v>
      </c>
      <c r="J9" s="20" t="s">
        <v>30</v>
      </c>
      <c r="K9" s="20" t="s">
        <v>30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101</v>
      </c>
      <c r="D10" s="16" t="s">
        <v>24</v>
      </c>
      <c r="E10" s="17"/>
      <c r="F10" s="28">
        <v>46145.0</v>
      </c>
      <c r="G10" s="18"/>
      <c r="H10" s="19">
        <v>50000.0</v>
      </c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102</v>
      </c>
      <c r="D11" s="16" t="s">
        <v>19</v>
      </c>
      <c r="E11" s="17"/>
      <c r="F11" s="28">
        <v>46151.0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103</v>
      </c>
      <c r="D12" s="16" t="s">
        <v>39</v>
      </c>
      <c r="E12" s="17" t="s">
        <v>104</v>
      </c>
      <c r="F12" s="28">
        <v>46145.0</v>
      </c>
      <c r="G12" s="18"/>
      <c r="H12" s="19">
        <v>125000.0</v>
      </c>
      <c r="I12" s="20" t="s">
        <v>21</v>
      </c>
      <c r="J12" s="20" t="s">
        <v>30</v>
      </c>
      <c r="K12" s="20" t="s">
        <v>30</v>
      </c>
      <c r="L12" s="20" t="s">
        <v>43</v>
      </c>
      <c r="M12" s="20" t="s">
        <v>87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105</v>
      </c>
      <c r="D13" s="16" t="s">
        <v>28</v>
      </c>
      <c r="E13" s="17"/>
      <c r="F13" s="28">
        <v>46150.0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106</v>
      </c>
      <c r="D14" s="16" t="s">
        <v>19</v>
      </c>
      <c r="E14" s="17"/>
      <c r="F14" s="28">
        <v>46147.0</v>
      </c>
      <c r="G14" s="18"/>
      <c r="H14" s="19">
        <v>100000.0</v>
      </c>
      <c r="I14" s="20" t="s">
        <v>26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107</v>
      </c>
      <c r="D15" s="16" t="s">
        <v>39</v>
      </c>
      <c r="E15" s="17"/>
      <c r="F15" s="28">
        <v>46149.0</v>
      </c>
      <c r="G15" s="18"/>
      <c r="H15" s="19">
        <v>100000.0</v>
      </c>
      <c r="I15" s="20" t="s">
        <v>21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108</v>
      </c>
      <c r="D16" s="16" t="s">
        <v>39</v>
      </c>
      <c r="E16" s="17"/>
      <c r="F16" s="28">
        <v>46149.0</v>
      </c>
      <c r="G16" s="18"/>
      <c r="H16" s="19">
        <v>100000.0</v>
      </c>
      <c r="I16" s="20" t="s">
        <v>21</v>
      </c>
      <c r="J16" s="20" t="s">
        <v>30</v>
      </c>
      <c r="K16" s="20" t="s">
        <v>70</v>
      </c>
      <c r="L16" s="20" t="s">
        <v>22</v>
      </c>
      <c r="M16" s="20" t="s">
        <v>32</v>
      </c>
      <c r="N16" s="23"/>
      <c r="O16" s="24"/>
      <c r="P16" s="24"/>
      <c r="Q16" s="1"/>
      <c r="R16" s="1"/>
    </row>
    <row r="17">
      <c r="A17" s="1"/>
      <c r="B17" s="29"/>
      <c r="C17" s="15" t="s">
        <v>109</v>
      </c>
      <c r="D17" s="16" t="s">
        <v>19</v>
      </c>
      <c r="E17" s="17"/>
      <c r="F17" s="28">
        <v>46150.0</v>
      </c>
      <c r="G17" s="18"/>
      <c r="H17" s="19">
        <v>100000.0</v>
      </c>
      <c r="I17" s="20" t="s">
        <v>26</v>
      </c>
      <c r="J17" s="20"/>
      <c r="K17" s="20"/>
      <c r="L17" s="20" t="s">
        <v>22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103</v>
      </c>
      <c r="D18" s="16" t="s">
        <v>28</v>
      </c>
      <c r="E18" s="17"/>
      <c r="F18" s="28">
        <v>46149.0</v>
      </c>
      <c r="G18" s="25"/>
      <c r="H18" s="19">
        <v>100000.0</v>
      </c>
      <c r="I18" s="20" t="s">
        <v>26</v>
      </c>
      <c r="J18" s="26"/>
      <c r="K18" s="26"/>
      <c r="L18" s="20" t="s">
        <v>22</v>
      </c>
      <c r="M18" s="26"/>
      <c r="N18" s="24"/>
      <c r="O18" s="24"/>
      <c r="P18" s="24"/>
      <c r="Q18" s="1"/>
      <c r="R18" s="1"/>
    </row>
    <row r="19">
      <c r="A19" s="1"/>
      <c r="B19" s="29"/>
      <c r="C19" s="15" t="s">
        <v>110</v>
      </c>
      <c r="D19" s="16" t="s">
        <v>28</v>
      </c>
      <c r="E19" s="17"/>
      <c r="F19" s="28">
        <v>46149.0</v>
      </c>
      <c r="G19" s="25"/>
      <c r="H19" s="19">
        <v>100000.0</v>
      </c>
      <c r="I19" s="20" t="s">
        <v>26</v>
      </c>
      <c r="J19" s="26"/>
      <c r="K19" s="26"/>
      <c r="L19" s="20" t="s">
        <v>22</v>
      </c>
      <c r="M19" s="26"/>
      <c r="N19" s="32"/>
      <c r="O19" s="32"/>
      <c r="P19" s="32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33">
        <f t="shared" ref="G20:H20" si="1">SUM(G4:G19)</f>
        <v>50000</v>
      </c>
      <c r="H20" s="34">
        <f t="shared" si="1"/>
        <v>1434500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35" t="s">
        <v>0</v>
      </c>
      <c r="C23" s="36" t="s">
        <v>6</v>
      </c>
      <c r="D23" s="36" t="s">
        <v>57</v>
      </c>
      <c r="E23" s="37"/>
      <c r="F23" s="1"/>
      <c r="G23" s="1"/>
      <c r="H23" s="1"/>
      <c r="I23" s="1"/>
      <c r="J23" s="1"/>
      <c r="K23" s="1"/>
      <c r="L23" s="1"/>
      <c r="M23" s="1"/>
      <c r="N23" s="36" t="s">
        <v>58</v>
      </c>
      <c r="O23" s="36" t="s">
        <v>1</v>
      </c>
      <c r="P23" s="1"/>
      <c r="Q23" s="1"/>
      <c r="R23" s="1"/>
    </row>
    <row r="24">
      <c r="A24" s="1"/>
      <c r="B24" s="38">
        <v>1.0</v>
      </c>
      <c r="C24" s="39" t="s">
        <v>59</v>
      </c>
      <c r="D24" s="40">
        <f>SUM(G20)</f>
        <v>50000</v>
      </c>
      <c r="E24" s="41"/>
      <c r="F24" s="1"/>
      <c r="G24" s="1"/>
      <c r="H24" s="1"/>
      <c r="I24" s="1"/>
      <c r="J24" s="1"/>
      <c r="K24" s="1"/>
      <c r="L24" s="1"/>
      <c r="M24" s="1"/>
      <c r="N24" s="42" t="s">
        <v>60</v>
      </c>
      <c r="O24" s="21" t="s">
        <v>43</v>
      </c>
      <c r="P24" s="1"/>
      <c r="Q24" s="1"/>
      <c r="R24" s="1"/>
    </row>
    <row r="25">
      <c r="A25" s="1"/>
      <c r="B25" s="43">
        <v>2.0</v>
      </c>
      <c r="C25" s="44" t="s">
        <v>111</v>
      </c>
      <c r="D25" s="45">
        <v>-20000.0</v>
      </c>
      <c r="E25" s="46"/>
      <c r="F25" s="1"/>
      <c r="G25" s="1"/>
      <c r="H25" s="1"/>
      <c r="I25" s="1"/>
      <c r="J25" s="1"/>
      <c r="K25" s="1"/>
      <c r="L25" s="1"/>
      <c r="M25" s="1"/>
      <c r="N25" s="47" t="s">
        <v>62</v>
      </c>
      <c r="O25" s="48" t="s">
        <v>22</v>
      </c>
      <c r="P25" s="1"/>
      <c r="Q25" s="1"/>
      <c r="R25" s="1"/>
    </row>
    <row r="26">
      <c r="A26" s="1"/>
      <c r="B26" s="38">
        <v>3.0</v>
      </c>
      <c r="C26" s="39" t="s">
        <v>112</v>
      </c>
      <c r="D26" s="49">
        <v>-30000.0</v>
      </c>
      <c r="E26" s="46"/>
      <c r="F26" s="1"/>
      <c r="G26" s="1"/>
      <c r="H26" s="1"/>
      <c r="I26" s="1"/>
      <c r="J26" s="1"/>
      <c r="K26" s="1"/>
      <c r="L26" s="1"/>
      <c r="M26" s="1"/>
      <c r="N26" s="50" t="s">
        <v>64</v>
      </c>
      <c r="O26" s="23" t="s">
        <v>87</v>
      </c>
      <c r="P26" s="1"/>
      <c r="Q26" s="1"/>
      <c r="R26" s="1"/>
    </row>
    <row r="27">
      <c r="A27" s="1"/>
      <c r="B27" s="43">
        <v>4.0</v>
      </c>
      <c r="C27" s="44"/>
      <c r="D27" s="45"/>
      <c r="E27" s="46"/>
      <c r="F27" s="1"/>
      <c r="G27" s="1"/>
      <c r="H27" s="1"/>
      <c r="I27" s="1"/>
      <c r="J27" s="1"/>
      <c r="K27" s="1"/>
      <c r="L27" s="1"/>
      <c r="M27" s="1"/>
      <c r="N27" s="51" t="s">
        <v>65</v>
      </c>
      <c r="O27" s="48" t="s">
        <v>32</v>
      </c>
      <c r="P27" s="1"/>
      <c r="Q27" s="1"/>
      <c r="R27" s="1"/>
    </row>
    <row r="28">
      <c r="A28" s="1"/>
      <c r="B28" s="38"/>
      <c r="C28" s="52"/>
      <c r="D28" s="40"/>
      <c r="E28" s="41"/>
      <c r="F28" s="1"/>
      <c r="G28" s="1"/>
      <c r="H28" s="1"/>
      <c r="I28" s="1"/>
      <c r="J28" s="1"/>
      <c r="K28" s="1"/>
      <c r="L28" s="1"/>
      <c r="M28" s="1"/>
      <c r="N28" s="53"/>
      <c r="O28" s="1"/>
      <c r="P28" s="1"/>
      <c r="Q28" s="1"/>
      <c r="R28" s="1"/>
    </row>
    <row r="29">
      <c r="A29" s="1"/>
      <c r="B29" s="43"/>
      <c r="C29" s="54"/>
      <c r="D29" s="55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38"/>
      <c r="C30" s="52"/>
      <c r="D30" s="40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3"/>
      <c r="C31" s="54"/>
      <c r="D31" s="55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6"/>
      <c r="C34" s="57"/>
      <c r="D34" s="58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59">
        <f>SUM(D24:D34)</f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9 O24:O25">
      <formula1>"-,JIJANG,AXEL,ADDEL ,FAHME,INDAH"</formula1>
    </dataValidation>
    <dataValidation type="list" allowBlank="1" showDropDown="1" showErrorMessage="1" sqref="D4:D19">
      <formula1>"-,Single,Couple A,Couple B,Group A,Group B,Group C,Large Group,Graduation,Graduation Premium,Family A,Family B,Maternity,Concept,Studio Rent,Pas Foto,Single,Add Person ,Add Edit,Biaya Paket"</formula1>
    </dataValidation>
    <dataValidation type="list" allowBlank="1" showErrorMessage="1" sqref="N4:N19">
      <formula1>"-,Pending,Progress,Uploaded"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I4:I19">
      <formula1>"-,DP,Lunas"</formula1>
    </dataValidation>
    <dataValidation type="list" allowBlank="1" showDropDown="1" showErrorMessage="1" sqref="J4:K19">
      <formula1>"-,Pending,Uploaded"</formula1>
    </dataValidation>
    <dataValidation type="list" allowBlank="1" showDropDown="1" showErrorMessage="1" sqref="M4:M19 O26:O27">
      <formula1>"-,VERO,FADEL,PENTIL,HANIF ,ADIF"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113</v>
      </c>
      <c r="D4" s="16" t="s">
        <v>19</v>
      </c>
      <c r="E4" s="17"/>
      <c r="F4" s="60">
        <v>46151.0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114</v>
      </c>
      <c r="D5" s="16" t="s">
        <v>24</v>
      </c>
      <c r="E5" s="17"/>
      <c r="F5" s="60">
        <v>46147.0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115</v>
      </c>
      <c r="D6" s="16" t="s">
        <v>28</v>
      </c>
      <c r="E6" s="17"/>
      <c r="F6" s="28">
        <v>46147.0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116</v>
      </c>
      <c r="D7" s="16" t="s">
        <v>117</v>
      </c>
      <c r="E7" s="17"/>
      <c r="F7" s="28">
        <v>46152.0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118</v>
      </c>
      <c r="D8" s="16" t="s">
        <v>39</v>
      </c>
      <c r="E8" s="17"/>
      <c r="F8" s="28">
        <v>46147.0</v>
      </c>
      <c r="G8" s="18"/>
      <c r="H8" s="19">
        <v>100000.0</v>
      </c>
      <c r="I8" s="20" t="s">
        <v>21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/>
      <c r="D9" s="16"/>
      <c r="E9" s="17"/>
      <c r="F9" s="29"/>
      <c r="G9" s="18"/>
      <c r="H9" s="27"/>
      <c r="I9" s="20"/>
      <c r="J9" s="20"/>
      <c r="K9" s="20"/>
      <c r="L9" s="26"/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/>
      <c r="D10" s="16"/>
      <c r="E10" s="17"/>
      <c r="F10" s="29"/>
      <c r="G10" s="18"/>
      <c r="H10" s="27"/>
      <c r="I10" s="20"/>
      <c r="J10" s="20"/>
      <c r="K10" s="20"/>
      <c r="L10" s="26"/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/>
      <c r="D11" s="16"/>
      <c r="E11" s="17"/>
      <c r="F11" s="29"/>
      <c r="G11" s="18"/>
      <c r="H11" s="27"/>
      <c r="I11" s="20"/>
      <c r="J11" s="20"/>
      <c r="K11" s="20"/>
      <c r="L11" s="26"/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/>
      <c r="D12" s="16"/>
      <c r="E12" s="17"/>
      <c r="F12" s="29"/>
      <c r="G12" s="18"/>
      <c r="H12" s="27"/>
      <c r="I12" s="20"/>
      <c r="J12" s="20"/>
      <c r="K12" s="20"/>
      <c r="L12" s="26"/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500000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22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87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119</v>
      </c>
      <c r="D4" s="16" t="s">
        <v>28</v>
      </c>
      <c r="E4" s="17"/>
      <c r="F4" s="60">
        <v>46148.0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120</v>
      </c>
      <c r="D5" s="16" t="s">
        <v>19</v>
      </c>
      <c r="E5" s="17"/>
      <c r="F5" s="60">
        <v>46147.0</v>
      </c>
      <c r="G5" s="18"/>
      <c r="H5" s="19">
        <v>100000.0</v>
      </c>
      <c r="I5" s="20" t="s">
        <v>26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121</v>
      </c>
      <c r="D6" s="16" t="s">
        <v>19</v>
      </c>
      <c r="E6" s="17"/>
      <c r="F6" s="28">
        <v>46151.0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122</v>
      </c>
      <c r="D7" s="16" t="s">
        <v>28</v>
      </c>
      <c r="E7" s="17"/>
      <c r="F7" s="28">
        <v>46151.0</v>
      </c>
      <c r="G7" s="18"/>
      <c r="H7" s="19">
        <v>100000.0</v>
      </c>
      <c r="I7" s="20" t="s">
        <v>26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55</v>
      </c>
      <c r="D8" s="16" t="s">
        <v>28</v>
      </c>
      <c r="E8" s="17"/>
      <c r="F8" s="28">
        <v>46147.0</v>
      </c>
      <c r="G8" s="18">
        <v>675000.0</v>
      </c>
      <c r="H8" s="27"/>
      <c r="I8" s="20" t="s">
        <v>21</v>
      </c>
      <c r="J8" s="20" t="s">
        <v>30</v>
      </c>
      <c r="K8" s="20" t="s">
        <v>30</v>
      </c>
      <c r="L8" s="20" t="s">
        <v>43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115</v>
      </c>
      <c r="D9" s="16" t="s">
        <v>28</v>
      </c>
      <c r="E9" s="17"/>
      <c r="F9" s="28">
        <v>46147.0</v>
      </c>
      <c r="G9" s="18">
        <v>200000.0</v>
      </c>
      <c r="H9" s="27"/>
      <c r="I9" s="20" t="s">
        <v>21</v>
      </c>
      <c r="J9" s="20" t="s">
        <v>30</v>
      </c>
      <c r="K9" s="20" t="s">
        <v>30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123</v>
      </c>
      <c r="D10" s="16" t="s">
        <v>19</v>
      </c>
      <c r="E10" s="17"/>
      <c r="F10" s="28">
        <v>46151.0</v>
      </c>
      <c r="G10" s="18"/>
      <c r="H10" s="19">
        <v>100000.0</v>
      </c>
      <c r="I10" s="20" t="s">
        <v>26</v>
      </c>
      <c r="J10" s="20"/>
      <c r="K10" s="20"/>
      <c r="L10" s="20" t="s">
        <v>43</v>
      </c>
      <c r="M10" s="26"/>
      <c r="N10" s="23"/>
      <c r="O10" s="24"/>
      <c r="P10" s="24"/>
      <c r="Q10" s="1"/>
      <c r="R10" s="1"/>
    </row>
    <row r="11">
      <c r="A11" s="1"/>
      <c r="B11" s="61">
        <v>8.0</v>
      </c>
      <c r="C11" s="62" t="s">
        <v>114</v>
      </c>
      <c r="D11" s="63" t="s">
        <v>24</v>
      </c>
      <c r="E11" s="64"/>
      <c r="F11" s="65">
        <v>46147.0</v>
      </c>
      <c r="G11" s="66">
        <v>50000.0</v>
      </c>
      <c r="H11" s="27"/>
      <c r="I11" s="20" t="s">
        <v>21</v>
      </c>
      <c r="J11" s="20" t="s">
        <v>30</v>
      </c>
      <c r="K11" s="20" t="s">
        <v>30</v>
      </c>
      <c r="L11" s="20" t="s">
        <v>43</v>
      </c>
      <c r="M11" s="20" t="s">
        <v>87</v>
      </c>
      <c r="N11" s="23"/>
      <c r="O11" s="24"/>
      <c r="P11" s="24"/>
      <c r="Q11" s="1"/>
      <c r="R11" s="1"/>
    </row>
    <row r="12">
      <c r="A12" s="1"/>
      <c r="B12" s="61">
        <v>9.0</v>
      </c>
      <c r="C12" s="15" t="s">
        <v>124</v>
      </c>
      <c r="D12" s="16" t="s">
        <v>28</v>
      </c>
      <c r="E12" s="67"/>
      <c r="F12" s="65">
        <v>46147.0</v>
      </c>
      <c r="G12" s="67"/>
      <c r="H12" s="19">
        <v>100000.0</v>
      </c>
      <c r="I12" s="20" t="s">
        <v>26</v>
      </c>
      <c r="J12" s="67"/>
      <c r="K12" s="67"/>
      <c r="L12" s="20" t="s">
        <v>43</v>
      </c>
      <c r="M12" s="67"/>
      <c r="N12" s="23"/>
      <c r="O12" s="24"/>
      <c r="P12" s="24"/>
      <c r="Q12" s="1"/>
      <c r="R12" s="1"/>
    </row>
    <row r="13">
      <c r="A13" s="1"/>
      <c r="B13" s="61">
        <v>10.0</v>
      </c>
      <c r="C13" s="68" t="s">
        <v>125</v>
      </c>
      <c r="D13" s="69" t="s">
        <v>39</v>
      </c>
      <c r="E13" s="70"/>
      <c r="F13" s="71">
        <v>46148.0</v>
      </c>
      <c r="G13" s="72"/>
      <c r="H13" s="19">
        <v>100000.0</v>
      </c>
      <c r="I13" s="20" t="s">
        <v>21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61"/>
      <c r="C14" s="15" t="s">
        <v>126</v>
      </c>
      <c r="D14" s="16" t="s">
        <v>19</v>
      </c>
      <c r="E14" s="17"/>
      <c r="F14" s="28">
        <v>46147.0</v>
      </c>
      <c r="G14" s="18">
        <v>0.0</v>
      </c>
      <c r="H14" s="19">
        <v>0.0</v>
      </c>
      <c r="I14" s="20" t="s">
        <v>21</v>
      </c>
      <c r="J14" s="20" t="s">
        <v>30</v>
      </c>
      <c r="K14" s="20" t="s">
        <v>30</v>
      </c>
      <c r="L14" s="20" t="s">
        <v>43</v>
      </c>
      <c r="M14" s="20" t="s">
        <v>87</v>
      </c>
      <c r="N14" s="23"/>
      <c r="O14" s="24"/>
      <c r="P14" s="24"/>
      <c r="Q14" s="1"/>
      <c r="R14" s="1"/>
    </row>
    <row r="15">
      <c r="A15" s="1"/>
      <c r="B15" s="29"/>
      <c r="C15" s="15" t="s">
        <v>127</v>
      </c>
      <c r="D15" s="16" t="s">
        <v>39</v>
      </c>
      <c r="E15" s="17"/>
      <c r="F15" s="28">
        <v>46147.0</v>
      </c>
      <c r="G15" s="18">
        <v>0.0</v>
      </c>
      <c r="H15" s="19">
        <v>0.0</v>
      </c>
      <c r="I15" s="20" t="s">
        <v>21</v>
      </c>
      <c r="J15" s="20" t="s">
        <v>30</v>
      </c>
      <c r="K15" s="20" t="s">
        <v>30</v>
      </c>
      <c r="L15" s="20" t="s">
        <v>43</v>
      </c>
      <c r="M15" s="20" t="s">
        <v>87</v>
      </c>
      <c r="N15" s="23"/>
      <c r="O15" s="24"/>
      <c r="P15" s="24"/>
      <c r="Q15" s="1"/>
      <c r="R15" s="1"/>
    </row>
    <row r="16">
      <c r="A16" s="1"/>
      <c r="B16" s="29"/>
      <c r="C16" s="15" t="s">
        <v>128</v>
      </c>
      <c r="D16" s="16" t="s">
        <v>28</v>
      </c>
      <c r="E16" s="17"/>
      <c r="F16" s="28">
        <v>46148.0</v>
      </c>
      <c r="G16" s="18"/>
      <c r="H16" s="19">
        <v>100000.0</v>
      </c>
      <c r="I16" s="20" t="s">
        <v>26</v>
      </c>
      <c r="J16" s="20"/>
      <c r="K16" s="20"/>
      <c r="L16" s="20" t="s">
        <v>43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106</v>
      </c>
      <c r="D17" s="16" t="s">
        <v>19</v>
      </c>
      <c r="E17" s="17"/>
      <c r="F17" s="28">
        <v>46147.0</v>
      </c>
      <c r="G17" s="18">
        <v>250000.0</v>
      </c>
      <c r="H17" s="27"/>
      <c r="I17" s="20" t="s">
        <v>21</v>
      </c>
      <c r="J17" s="20" t="s">
        <v>30</v>
      </c>
      <c r="K17" s="20" t="s">
        <v>70</v>
      </c>
      <c r="L17" s="20" t="s">
        <v>43</v>
      </c>
      <c r="M17" s="20" t="s">
        <v>87</v>
      </c>
      <c r="N17" s="23"/>
      <c r="O17" s="24"/>
      <c r="P17" s="24"/>
      <c r="Q17" s="1"/>
      <c r="R17" s="1"/>
    </row>
    <row r="18">
      <c r="A18" s="1"/>
      <c r="B18" s="29"/>
      <c r="C18" s="15" t="s">
        <v>129</v>
      </c>
      <c r="D18" s="16" t="s">
        <v>24</v>
      </c>
      <c r="E18" s="17" t="s">
        <v>130</v>
      </c>
      <c r="F18" s="28">
        <v>46147.0</v>
      </c>
      <c r="G18" s="18"/>
      <c r="H18" s="19">
        <v>150000.0</v>
      </c>
      <c r="I18" s="20" t="s">
        <v>21</v>
      </c>
      <c r="J18" s="20" t="s">
        <v>30</v>
      </c>
      <c r="K18" s="20" t="s">
        <v>30</v>
      </c>
      <c r="L18" s="20" t="s">
        <v>43</v>
      </c>
      <c r="M18" s="20" t="s">
        <v>87</v>
      </c>
      <c r="N18" s="23"/>
      <c r="O18" s="24"/>
      <c r="P18" s="24"/>
      <c r="Q18" s="1"/>
      <c r="R18" s="1"/>
    </row>
    <row r="19">
      <c r="A19" s="1"/>
      <c r="B19" s="29"/>
      <c r="C19" s="15" t="s">
        <v>95</v>
      </c>
      <c r="D19" s="16" t="s">
        <v>24</v>
      </c>
      <c r="E19" s="17"/>
      <c r="F19" s="28">
        <v>46147.0</v>
      </c>
      <c r="G19" s="18">
        <v>50000.0</v>
      </c>
      <c r="H19" s="27"/>
      <c r="I19" s="20" t="s">
        <v>21</v>
      </c>
      <c r="J19" s="20" t="s">
        <v>30</v>
      </c>
      <c r="K19" s="20" t="s">
        <v>30</v>
      </c>
      <c r="L19" s="20" t="s">
        <v>43</v>
      </c>
      <c r="M19" s="20" t="s">
        <v>87</v>
      </c>
      <c r="N19" s="23"/>
      <c r="O19" s="24"/>
      <c r="P19" s="24"/>
      <c r="Q19" s="1"/>
      <c r="R19" s="1"/>
    </row>
    <row r="20">
      <c r="A20" s="1"/>
      <c r="B20" s="29"/>
      <c r="C20" s="73" t="s">
        <v>131</v>
      </c>
      <c r="D20" s="16" t="s">
        <v>28</v>
      </c>
      <c r="E20" s="17"/>
      <c r="F20" s="28">
        <v>46152.0</v>
      </c>
      <c r="G20" s="18"/>
      <c r="H20" s="19">
        <v>100000.0</v>
      </c>
      <c r="I20" s="20" t="s">
        <v>26</v>
      </c>
      <c r="J20" s="20"/>
      <c r="K20" s="20"/>
      <c r="L20" s="20" t="s">
        <v>43</v>
      </c>
      <c r="M20" s="26"/>
      <c r="N20" s="23"/>
      <c r="O20" s="24"/>
      <c r="P20" s="24"/>
      <c r="Q20" s="1"/>
      <c r="R20" s="1"/>
    </row>
    <row r="21">
      <c r="A21" s="1"/>
      <c r="B21" s="29"/>
      <c r="C21" s="15" t="s">
        <v>124</v>
      </c>
      <c r="D21" s="16" t="s">
        <v>28</v>
      </c>
      <c r="E21" s="17"/>
      <c r="F21" s="28">
        <v>46147.0</v>
      </c>
      <c r="G21" s="18"/>
      <c r="H21" s="19">
        <v>125000.0</v>
      </c>
      <c r="I21" s="20" t="s">
        <v>21</v>
      </c>
      <c r="J21" s="20" t="s">
        <v>30</v>
      </c>
      <c r="K21" s="20" t="s">
        <v>70</v>
      </c>
      <c r="L21" s="20" t="s">
        <v>43</v>
      </c>
      <c r="M21" s="20" t="s">
        <v>87</v>
      </c>
      <c r="N21" s="23"/>
      <c r="O21" s="24"/>
      <c r="P21" s="24"/>
      <c r="Q21" s="1"/>
      <c r="R21" s="1"/>
    </row>
    <row r="22">
      <c r="A22" s="1"/>
      <c r="B22" s="29"/>
      <c r="C22" s="15" t="s">
        <v>132</v>
      </c>
      <c r="D22" s="16" t="s">
        <v>28</v>
      </c>
      <c r="E22" s="17"/>
      <c r="F22" s="28">
        <v>46147.0</v>
      </c>
      <c r="G22" s="18"/>
      <c r="H22" s="19">
        <v>100000.0</v>
      </c>
      <c r="I22" s="20" t="s">
        <v>26</v>
      </c>
      <c r="J22" s="20"/>
      <c r="K22" s="20"/>
      <c r="L22" s="20" t="s">
        <v>43</v>
      </c>
      <c r="M22" s="26"/>
      <c r="N22" s="23"/>
      <c r="O22" s="24"/>
      <c r="P22" s="24"/>
      <c r="Q22" s="1"/>
      <c r="R22" s="1"/>
    </row>
    <row r="23">
      <c r="A23" s="1"/>
      <c r="B23" s="29"/>
      <c r="C23" s="15" t="s">
        <v>133</v>
      </c>
      <c r="D23" s="16" t="s">
        <v>28</v>
      </c>
      <c r="E23" s="17"/>
      <c r="F23" s="28">
        <v>46152.0</v>
      </c>
      <c r="G23" s="18"/>
      <c r="H23" s="19">
        <v>100000.0</v>
      </c>
      <c r="I23" s="20" t="s">
        <v>26</v>
      </c>
      <c r="J23" s="20"/>
      <c r="K23" s="20"/>
      <c r="L23" s="20" t="s">
        <v>43</v>
      </c>
      <c r="M23" s="26"/>
      <c r="N23" s="23"/>
      <c r="O23" s="24"/>
      <c r="P23" s="24"/>
      <c r="Q23" s="1"/>
      <c r="R23" s="1"/>
    </row>
    <row r="24">
      <c r="A24" s="1"/>
      <c r="B24" s="29"/>
      <c r="C24" s="15" t="s">
        <v>134</v>
      </c>
      <c r="D24" s="16" t="s">
        <v>28</v>
      </c>
      <c r="E24" s="17"/>
      <c r="F24" s="28">
        <v>46147.0</v>
      </c>
      <c r="G24" s="18">
        <v>200000.0</v>
      </c>
      <c r="H24" s="27"/>
      <c r="I24" s="20" t="s">
        <v>21</v>
      </c>
      <c r="J24" s="20" t="s">
        <v>30</v>
      </c>
      <c r="K24" s="20" t="s">
        <v>30</v>
      </c>
      <c r="L24" s="20" t="s">
        <v>43</v>
      </c>
      <c r="M24" s="20" t="s">
        <v>87</v>
      </c>
      <c r="N24" s="23"/>
      <c r="O24" s="24"/>
      <c r="P24" s="24"/>
      <c r="Q24" s="1"/>
      <c r="R24" s="1"/>
    </row>
    <row r="25">
      <c r="A25" s="1"/>
      <c r="B25" s="29"/>
      <c r="C25" s="15" t="s">
        <v>135</v>
      </c>
      <c r="D25" s="16" t="s">
        <v>28</v>
      </c>
      <c r="E25" s="17"/>
      <c r="F25" s="28">
        <v>46150.0</v>
      </c>
      <c r="G25" s="18"/>
      <c r="H25" s="19">
        <v>100000.0</v>
      </c>
      <c r="I25" s="20" t="s">
        <v>26</v>
      </c>
      <c r="J25" s="20"/>
      <c r="K25" s="20"/>
      <c r="L25" s="20" t="s">
        <v>43</v>
      </c>
      <c r="M25" s="26"/>
      <c r="N25" s="23"/>
      <c r="O25" s="24"/>
      <c r="P25" s="24"/>
      <c r="Q25" s="1"/>
      <c r="R25" s="1"/>
    </row>
    <row r="26">
      <c r="A26" s="1"/>
      <c r="B26" s="29"/>
      <c r="C26" s="15" t="s">
        <v>136</v>
      </c>
      <c r="D26" s="16" t="s">
        <v>28</v>
      </c>
      <c r="E26" s="17"/>
      <c r="F26" s="28">
        <v>46148.0</v>
      </c>
      <c r="G26" s="18"/>
      <c r="H26" s="19">
        <v>100000.0</v>
      </c>
      <c r="I26" s="20" t="s">
        <v>26</v>
      </c>
      <c r="J26" s="20"/>
      <c r="K26" s="20"/>
      <c r="L26" s="20" t="s">
        <v>43</v>
      </c>
      <c r="M26" s="26"/>
      <c r="N26" s="23"/>
      <c r="O26" s="24"/>
      <c r="P26" s="24"/>
      <c r="Q26" s="1"/>
      <c r="R26" s="1"/>
    </row>
    <row r="27">
      <c r="A27" s="1"/>
      <c r="B27" s="29"/>
      <c r="C27" s="15" t="s">
        <v>137</v>
      </c>
      <c r="D27" s="16" t="s">
        <v>28</v>
      </c>
      <c r="E27" s="17"/>
      <c r="F27" s="28">
        <v>46147.0</v>
      </c>
      <c r="G27" s="25"/>
      <c r="H27" s="19">
        <v>375000.0</v>
      </c>
      <c r="I27" s="20" t="s">
        <v>21</v>
      </c>
      <c r="J27" s="20" t="s">
        <v>30</v>
      </c>
      <c r="K27" s="20" t="s">
        <v>30</v>
      </c>
      <c r="L27" s="20" t="s">
        <v>43</v>
      </c>
      <c r="M27" s="20" t="s">
        <v>87</v>
      </c>
      <c r="N27" s="24"/>
      <c r="O27" s="24"/>
      <c r="P27" s="24"/>
      <c r="Q27" s="1"/>
      <c r="R27" s="1"/>
    </row>
    <row r="28">
      <c r="A28" s="1"/>
      <c r="B28" s="29"/>
      <c r="C28" s="31"/>
      <c r="D28" s="16"/>
      <c r="E28" s="17"/>
      <c r="F28" s="29"/>
      <c r="G28" s="25"/>
      <c r="H28" s="27"/>
      <c r="I28" s="26"/>
      <c r="J28" s="26"/>
      <c r="K28" s="26"/>
      <c r="L28" s="26"/>
      <c r="M28" s="26"/>
      <c r="N28" s="32"/>
      <c r="O28" s="32"/>
      <c r="P28" s="32"/>
      <c r="Q28" s="1"/>
      <c r="R28" s="1"/>
    </row>
    <row r="29" ht="18.75" customHeight="1">
      <c r="A29" s="1"/>
      <c r="B29" s="1"/>
      <c r="C29" s="2"/>
      <c r="D29" s="2"/>
      <c r="E29" s="1"/>
      <c r="F29" s="1"/>
      <c r="G29" s="33">
        <f t="shared" ref="G29:H29" si="1">SUM(G4:G28)</f>
        <v>1425000</v>
      </c>
      <c r="H29" s="34">
        <f t="shared" si="1"/>
        <v>1950000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23.25" customHeight="1">
      <c r="A30" s="1"/>
      <c r="B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5" t="s">
        <v>0</v>
      </c>
      <c r="C32" s="36" t="s">
        <v>6</v>
      </c>
      <c r="D32" s="36" t="s">
        <v>57</v>
      </c>
      <c r="E32" s="37"/>
      <c r="F32" s="1"/>
      <c r="G32" s="1"/>
      <c r="H32" s="1"/>
      <c r="I32" s="1"/>
      <c r="J32" s="1"/>
      <c r="K32" s="1"/>
      <c r="L32" s="1"/>
      <c r="M32" s="1"/>
      <c r="N32" s="36" t="s">
        <v>58</v>
      </c>
      <c r="O32" s="36" t="s">
        <v>1</v>
      </c>
      <c r="P32" s="1"/>
      <c r="Q32" s="1"/>
      <c r="R32" s="1"/>
    </row>
    <row r="33">
      <c r="A33" s="1"/>
      <c r="B33" s="38">
        <v>1.0</v>
      </c>
      <c r="C33" s="39" t="s">
        <v>59</v>
      </c>
      <c r="D33" s="40">
        <f>SUM(G29)</f>
        <v>1425000</v>
      </c>
      <c r="E33" s="41"/>
      <c r="F33" s="1"/>
      <c r="G33" s="1"/>
      <c r="H33" s="1"/>
      <c r="I33" s="1"/>
      <c r="J33" s="1"/>
      <c r="K33" s="1"/>
      <c r="L33" s="1"/>
      <c r="M33" s="1"/>
      <c r="N33" s="42" t="s">
        <v>60</v>
      </c>
      <c r="O33" s="21" t="s">
        <v>43</v>
      </c>
      <c r="P33" s="1"/>
      <c r="Q33" s="1"/>
      <c r="R33" s="1"/>
    </row>
    <row r="34">
      <c r="A34" s="1"/>
      <c r="B34" s="43">
        <v>2.0</v>
      </c>
      <c r="C34" s="44" t="s">
        <v>138</v>
      </c>
      <c r="D34" s="45">
        <v>-15000.0</v>
      </c>
      <c r="E34" s="46"/>
      <c r="F34" s="1"/>
      <c r="G34" s="1"/>
      <c r="H34" s="1"/>
      <c r="I34" s="1"/>
      <c r="J34" s="1"/>
      <c r="K34" s="1"/>
      <c r="L34" s="1"/>
      <c r="M34" s="1"/>
      <c r="N34" s="47" t="s">
        <v>62</v>
      </c>
      <c r="O34" s="48" t="s">
        <v>43</v>
      </c>
      <c r="P34" s="1"/>
      <c r="Q34" s="1"/>
      <c r="R34" s="1"/>
    </row>
    <row r="35">
      <c r="A35" s="1"/>
      <c r="B35" s="38">
        <v>3.0</v>
      </c>
      <c r="C35" s="39" t="s">
        <v>94</v>
      </c>
      <c r="D35" s="49">
        <v>-60000.0</v>
      </c>
      <c r="E35" s="46"/>
      <c r="F35" s="1"/>
      <c r="G35" s="1"/>
      <c r="H35" s="1"/>
      <c r="I35" s="1"/>
      <c r="J35" s="1"/>
      <c r="K35" s="1"/>
      <c r="L35" s="1"/>
      <c r="M35" s="1"/>
      <c r="N35" s="50" t="s">
        <v>64</v>
      </c>
      <c r="O35" s="23" t="s">
        <v>87</v>
      </c>
      <c r="P35" s="1"/>
      <c r="Q35" s="1"/>
      <c r="R35" s="1"/>
    </row>
    <row r="36">
      <c r="A36" s="1"/>
      <c r="B36" s="43">
        <v>4.0</v>
      </c>
      <c r="C36" s="44"/>
      <c r="D36" s="45"/>
      <c r="E36" s="46"/>
      <c r="F36" s="1"/>
      <c r="G36" s="1"/>
      <c r="H36" s="1"/>
      <c r="I36" s="1"/>
      <c r="J36" s="1"/>
      <c r="K36" s="1"/>
      <c r="L36" s="1"/>
      <c r="M36" s="1"/>
      <c r="N36" s="51" t="s">
        <v>65</v>
      </c>
      <c r="O36" s="48" t="s">
        <v>87</v>
      </c>
      <c r="P36" s="1"/>
      <c r="Q36" s="1"/>
      <c r="R36" s="1"/>
    </row>
    <row r="37">
      <c r="A37" s="1"/>
      <c r="B37" s="38"/>
      <c r="C37" s="52"/>
      <c r="D37" s="40"/>
      <c r="E37" s="41"/>
      <c r="F37" s="1"/>
      <c r="G37" s="1"/>
      <c r="H37" s="1"/>
      <c r="I37" s="1"/>
      <c r="J37" s="1"/>
      <c r="K37" s="1"/>
      <c r="L37" s="1"/>
      <c r="M37" s="1"/>
      <c r="N37" s="53"/>
      <c r="O37" s="1"/>
      <c r="P37" s="1"/>
      <c r="Q37" s="1"/>
      <c r="R37" s="1"/>
    </row>
    <row r="38">
      <c r="A38" s="1"/>
      <c r="B38" s="43"/>
      <c r="C38" s="54"/>
      <c r="D38" s="55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38"/>
      <c r="C39" s="52"/>
      <c r="D39" s="40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43"/>
      <c r="C40" s="54"/>
      <c r="D40" s="55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38"/>
      <c r="C41" s="52"/>
      <c r="D41" s="40"/>
      <c r="E41" s="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43"/>
      <c r="C42" s="54"/>
      <c r="D42" s="55"/>
      <c r="E42" s="4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56"/>
      <c r="C43" s="57"/>
      <c r="D43" s="58"/>
      <c r="E43" s="4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59">
        <f>SUM(D33:D43)</f>
        <v>1350000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8 O33:O34">
      <formula1>"-,JIJANG,AXEL,PENTIL,FAHME,INDAH"</formula1>
    </dataValidation>
    <dataValidation type="list" allowBlank="1" showErrorMessage="1" sqref="N4:N28">
      <formula1>"-,Pending,Progress,Uploaded"</formula1>
    </dataValidation>
    <dataValidation type="list" allowBlank="1" showDropDown="1" showErrorMessage="1" sqref="D4:D2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8">
      <formula1>"-,In Pikako,In Foxe"</formula1>
    </dataValidation>
    <dataValidation type="list" allowBlank="1" showDropDown="1" showErrorMessage="1" sqref="I4:I28">
      <formula1>"-,DP,Lunas"</formula1>
    </dataValidation>
    <dataValidation type="list" allowBlank="1" showDropDown="1" showErrorMessage="1" sqref="J4:K11 J13:K28">
      <formula1>"-,Pending,Uploaded"</formula1>
    </dataValidation>
    <dataValidation type="list" allowBlank="1" showDropDown="1" showErrorMessage="1" sqref="M4:M11 M13:M28 O35:O36">
      <formula1>"-,VERO,FADEL,PENTIL,FAHME,ADIF,HANIF"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139</v>
      </c>
      <c r="D4" s="16" t="s">
        <v>28</v>
      </c>
      <c r="E4" s="17"/>
      <c r="F4" s="60">
        <v>46163.0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140</v>
      </c>
      <c r="D5" s="16" t="s">
        <v>28</v>
      </c>
      <c r="E5" s="17"/>
      <c r="F5" s="60">
        <v>46153.0</v>
      </c>
      <c r="G5" s="18"/>
      <c r="H5" s="19">
        <v>100000.0</v>
      </c>
      <c r="I5" s="20" t="s">
        <v>26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141</v>
      </c>
      <c r="D6" s="16" t="s">
        <v>46</v>
      </c>
      <c r="E6" s="17"/>
      <c r="F6" s="28">
        <v>46151.0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142</v>
      </c>
      <c r="D7" s="16" t="s">
        <v>143</v>
      </c>
      <c r="E7" s="17"/>
      <c r="F7" s="28">
        <v>46148.0</v>
      </c>
      <c r="G7" s="18"/>
      <c r="H7" s="19">
        <v>50000.0</v>
      </c>
      <c r="I7" s="20" t="s">
        <v>21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119</v>
      </c>
      <c r="D8" s="16" t="s">
        <v>28</v>
      </c>
      <c r="E8" s="17"/>
      <c r="F8" s="28">
        <v>46148.0</v>
      </c>
      <c r="G8" s="18">
        <v>100000.0</v>
      </c>
      <c r="H8" s="27"/>
      <c r="I8" s="20" t="s">
        <v>21</v>
      </c>
      <c r="J8" s="20" t="s">
        <v>30</v>
      </c>
      <c r="K8" s="20" t="s">
        <v>30</v>
      </c>
      <c r="L8" s="20" t="s">
        <v>43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144</v>
      </c>
      <c r="D9" s="16" t="s">
        <v>143</v>
      </c>
      <c r="E9" s="17"/>
      <c r="F9" s="28">
        <v>46148.0</v>
      </c>
      <c r="G9" s="18">
        <v>100000.0</v>
      </c>
      <c r="H9" s="27"/>
      <c r="I9" s="20" t="s">
        <v>21</v>
      </c>
      <c r="J9" s="20" t="s">
        <v>30</v>
      </c>
      <c r="K9" s="20" t="s">
        <v>30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125</v>
      </c>
      <c r="D10" s="16" t="s">
        <v>39</v>
      </c>
      <c r="E10" s="17"/>
      <c r="F10" s="28">
        <v>46148.0</v>
      </c>
      <c r="G10" s="18">
        <v>0.0</v>
      </c>
      <c r="H10" s="19">
        <v>0.0</v>
      </c>
      <c r="I10" s="20" t="s">
        <v>21</v>
      </c>
      <c r="J10" s="20" t="s">
        <v>30</v>
      </c>
      <c r="K10" s="20" t="s">
        <v>70</v>
      </c>
      <c r="L10" s="20" t="s">
        <v>145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146</v>
      </c>
      <c r="D11" s="16" t="s">
        <v>28</v>
      </c>
      <c r="E11" s="17"/>
      <c r="F11" s="28">
        <v>46148.0</v>
      </c>
      <c r="G11" s="18"/>
      <c r="H11" s="19">
        <v>775000.0</v>
      </c>
      <c r="I11" s="20" t="s">
        <v>21</v>
      </c>
      <c r="J11" s="20" t="s">
        <v>30</v>
      </c>
      <c r="K11" s="20" t="s">
        <v>30</v>
      </c>
      <c r="L11" s="20" t="s">
        <v>145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142</v>
      </c>
      <c r="D12" s="16" t="s">
        <v>143</v>
      </c>
      <c r="E12" s="17"/>
      <c r="F12" s="28">
        <v>46148.0</v>
      </c>
      <c r="G12" s="18">
        <v>0.0</v>
      </c>
      <c r="H12" s="19">
        <v>0.0</v>
      </c>
      <c r="I12" s="20" t="s">
        <v>21</v>
      </c>
      <c r="J12" s="20" t="s">
        <v>30</v>
      </c>
      <c r="K12" s="20" t="s">
        <v>30</v>
      </c>
      <c r="L12" s="20" t="s">
        <v>145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148</v>
      </c>
      <c r="D13" s="16" t="s">
        <v>28</v>
      </c>
      <c r="E13" s="17"/>
      <c r="F13" s="28">
        <v>46148.0</v>
      </c>
      <c r="G13" s="18">
        <v>300000.0</v>
      </c>
      <c r="H13" s="19"/>
      <c r="I13" s="20" t="s">
        <v>21</v>
      </c>
      <c r="J13" s="20" t="s">
        <v>30</v>
      </c>
      <c r="K13" s="20" t="s">
        <v>70</v>
      </c>
      <c r="L13" s="20" t="s">
        <v>145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149</v>
      </c>
      <c r="D14" s="16" t="s">
        <v>19</v>
      </c>
      <c r="E14" s="17"/>
      <c r="F14" s="28">
        <v>46151.0</v>
      </c>
      <c r="G14" s="18"/>
      <c r="H14" s="19">
        <v>100000.0</v>
      </c>
      <c r="I14" s="20" t="s">
        <v>26</v>
      </c>
      <c r="J14" s="20"/>
      <c r="K14" s="20"/>
      <c r="L14" s="20" t="s">
        <v>145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150</v>
      </c>
      <c r="D15" s="16" t="s">
        <v>28</v>
      </c>
      <c r="E15" s="17" t="s">
        <v>130</v>
      </c>
      <c r="F15" s="28">
        <v>46148.0</v>
      </c>
      <c r="G15" s="18"/>
      <c r="H15" s="19">
        <v>200000.0</v>
      </c>
      <c r="I15" s="20" t="s">
        <v>21</v>
      </c>
      <c r="J15" s="20" t="s">
        <v>30</v>
      </c>
      <c r="K15" s="20" t="s">
        <v>30</v>
      </c>
      <c r="L15" s="20" t="s">
        <v>145</v>
      </c>
      <c r="M15" s="20" t="s">
        <v>147</v>
      </c>
      <c r="N15" s="23"/>
      <c r="O15" s="24"/>
      <c r="P15" s="24"/>
      <c r="Q15" s="1"/>
      <c r="R15" s="1"/>
    </row>
    <row r="16">
      <c r="A16" s="1"/>
      <c r="B16" s="29"/>
      <c r="C16" s="15" t="s">
        <v>151</v>
      </c>
      <c r="D16" s="16" t="s">
        <v>24</v>
      </c>
      <c r="E16" s="17" t="s">
        <v>130</v>
      </c>
      <c r="F16" s="28">
        <v>46148.0</v>
      </c>
      <c r="G16" s="18"/>
      <c r="H16" s="19">
        <v>150000.0</v>
      </c>
      <c r="I16" s="20" t="s">
        <v>21</v>
      </c>
      <c r="J16" s="20" t="s">
        <v>30</v>
      </c>
      <c r="K16" s="20" t="s">
        <v>70</v>
      </c>
      <c r="L16" s="20" t="s">
        <v>145</v>
      </c>
      <c r="M16" s="20" t="s">
        <v>147</v>
      </c>
      <c r="N16" s="23"/>
      <c r="O16" s="24"/>
      <c r="P16" s="24"/>
      <c r="Q16" s="1"/>
      <c r="R16" s="1"/>
    </row>
    <row r="17">
      <c r="A17" s="1"/>
      <c r="B17" s="29"/>
      <c r="C17" s="15" t="s">
        <v>128</v>
      </c>
      <c r="D17" s="16" t="s">
        <v>28</v>
      </c>
      <c r="E17" s="17"/>
      <c r="F17" s="28">
        <v>46148.0</v>
      </c>
      <c r="G17" s="18"/>
      <c r="H17" s="19">
        <v>325000.0</v>
      </c>
      <c r="I17" s="20" t="s">
        <v>21</v>
      </c>
      <c r="J17" s="20" t="s">
        <v>30</v>
      </c>
      <c r="K17" s="20" t="s">
        <v>30</v>
      </c>
      <c r="L17" s="20" t="s">
        <v>145</v>
      </c>
      <c r="M17" s="20" t="s">
        <v>147</v>
      </c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500000</v>
      </c>
      <c r="H19" s="34">
        <f t="shared" si="1"/>
        <v>1900000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500000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43</v>
      </c>
      <c r="P23" s="1"/>
      <c r="Q23" s="1"/>
      <c r="R23" s="1"/>
    </row>
    <row r="24">
      <c r="A24" s="1"/>
      <c r="B24" s="43">
        <v>2.0</v>
      </c>
      <c r="C24" s="44" t="s">
        <v>152</v>
      </c>
      <c r="D24" s="45">
        <v>-50000.0</v>
      </c>
      <c r="E24" s="46"/>
      <c r="F24" s="74">
        <f>D24+D25</f>
        <v>-63000</v>
      </c>
      <c r="G24" s="1"/>
      <c r="H24" s="1"/>
      <c r="I24" s="1"/>
      <c r="J24" s="1"/>
      <c r="K24" s="1"/>
      <c r="L24" s="1"/>
      <c r="M24" s="1"/>
      <c r="N24" s="47" t="s">
        <v>62</v>
      </c>
      <c r="O24" s="48" t="s">
        <v>145</v>
      </c>
      <c r="P24" s="1"/>
      <c r="Q24" s="1"/>
      <c r="R24" s="1"/>
    </row>
    <row r="25">
      <c r="A25" s="1"/>
      <c r="B25" s="38">
        <v>3.0</v>
      </c>
      <c r="C25" s="39" t="s">
        <v>153</v>
      </c>
      <c r="D25" s="49">
        <v>-13000.0</v>
      </c>
      <c r="E25" s="46"/>
      <c r="F25" s="74">
        <f>D26+D27+D28+D29</f>
        <v>-437000</v>
      </c>
      <c r="G25" s="1"/>
      <c r="H25" s="1"/>
      <c r="I25" s="1"/>
      <c r="J25" s="1"/>
      <c r="K25" s="1"/>
      <c r="L25" s="1"/>
      <c r="M25" s="1"/>
      <c r="N25" s="50" t="s">
        <v>64</v>
      </c>
      <c r="O25" s="23" t="s">
        <v>87</v>
      </c>
      <c r="P25" s="1"/>
      <c r="Q25" s="1"/>
      <c r="R25" s="1"/>
    </row>
    <row r="26">
      <c r="A26" s="1"/>
      <c r="B26" s="43">
        <v>4.0</v>
      </c>
      <c r="C26" s="44" t="s">
        <v>154</v>
      </c>
      <c r="D26" s="45">
        <v>-200000.0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147</v>
      </c>
      <c r="P26" s="1"/>
      <c r="Q26" s="1"/>
      <c r="R26" s="1"/>
    </row>
    <row r="27">
      <c r="A27" s="1"/>
      <c r="B27" s="38"/>
      <c r="C27" s="39" t="s">
        <v>61</v>
      </c>
      <c r="D27" s="49">
        <v>-100000.0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44" t="s">
        <v>155</v>
      </c>
      <c r="D28" s="45">
        <v>-100000.0</v>
      </c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39" t="s">
        <v>156</v>
      </c>
      <c r="D29" s="49">
        <v>-37000.0</v>
      </c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L4:L18 O23:O24">
      <formula1>"-,JIJANG,AXEL,PENTIL,ADDEL,INDAH"</formula1>
    </dataValidation>
    <dataValidation type="list" allowBlank="1" showDropDown="1" showErrorMessage="1" sqref="M4:M18 O25:O26">
      <formula1>"-,VERO,FADEL,PENTIL,HANIF,ADIF"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157</v>
      </c>
      <c r="D4" s="16" t="s">
        <v>24</v>
      </c>
      <c r="E4" s="17"/>
      <c r="F4" s="60">
        <v>46153.0</v>
      </c>
      <c r="G4" s="18"/>
      <c r="H4" s="19">
        <v>100000.0</v>
      </c>
      <c r="I4" s="20" t="s">
        <v>26</v>
      </c>
      <c r="J4" s="20"/>
      <c r="K4" s="20"/>
      <c r="L4" s="20" t="s">
        <v>145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158</v>
      </c>
      <c r="D5" s="16" t="s">
        <v>28</v>
      </c>
      <c r="E5" s="17"/>
      <c r="F5" s="60">
        <v>46149.0</v>
      </c>
      <c r="G5" s="18">
        <v>150000.0</v>
      </c>
      <c r="H5" s="19"/>
      <c r="I5" s="20" t="s">
        <v>21</v>
      </c>
      <c r="J5" s="20" t="s">
        <v>30</v>
      </c>
      <c r="K5" s="20" t="s">
        <v>30</v>
      </c>
      <c r="L5" s="20" t="s">
        <v>145</v>
      </c>
      <c r="M5" s="20" t="s">
        <v>147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159</v>
      </c>
      <c r="D6" s="16" t="s">
        <v>160</v>
      </c>
      <c r="E6" s="17"/>
      <c r="F6" s="28">
        <v>46150.0</v>
      </c>
      <c r="G6" s="25"/>
      <c r="H6" s="19">
        <v>100000.0</v>
      </c>
      <c r="I6" s="20" t="s">
        <v>26</v>
      </c>
      <c r="J6" s="20"/>
      <c r="K6" s="20"/>
      <c r="L6" s="20" t="s">
        <v>145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161</v>
      </c>
      <c r="D7" s="16" t="s">
        <v>39</v>
      </c>
      <c r="E7" s="17" t="s">
        <v>130</v>
      </c>
      <c r="F7" s="28">
        <v>46149.0</v>
      </c>
      <c r="G7" s="18">
        <v>50000.0</v>
      </c>
      <c r="H7" s="19">
        <v>100000.0</v>
      </c>
      <c r="I7" s="20" t="s">
        <v>21</v>
      </c>
      <c r="J7" s="20" t="s">
        <v>30</v>
      </c>
      <c r="K7" s="20" t="s">
        <v>70</v>
      </c>
      <c r="L7" s="20" t="s">
        <v>145</v>
      </c>
      <c r="M7" s="20" t="s">
        <v>147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162</v>
      </c>
      <c r="D8" s="16" t="s">
        <v>28</v>
      </c>
      <c r="E8" s="17"/>
      <c r="F8" s="28">
        <v>46153.0</v>
      </c>
      <c r="G8" s="18"/>
      <c r="H8" s="19">
        <v>100000.0</v>
      </c>
      <c r="I8" s="20" t="s">
        <v>26</v>
      </c>
      <c r="J8" s="20"/>
      <c r="K8" s="20"/>
      <c r="L8" s="20" t="s">
        <v>145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110</v>
      </c>
      <c r="D9" s="16" t="s">
        <v>160</v>
      </c>
      <c r="E9" s="17"/>
      <c r="F9" s="28">
        <v>46149.0</v>
      </c>
      <c r="G9" s="18">
        <v>125000.0</v>
      </c>
      <c r="H9" s="27"/>
      <c r="I9" s="20" t="s">
        <v>21</v>
      </c>
      <c r="J9" s="20" t="s">
        <v>30</v>
      </c>
      <c r="K9" s="20" t="s">
        <v>70</v>
      </c>
      <c r="L9" s="20" t="s">
        <v>145</v>
      </c>
      <c r="M9" s="20" t="s">
        <v>147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163</v>
      </c>
      <c r="D10" s="16" t="s">
        <v>28</v>
      </c>
      <c r="E10" s="17"/>
      <c r="F10" s="28">
        <v>46149.0</v>
      </c>
      <c r="G10" s="18"/>
      <c r="H10" s="19">
        <v>100000.0</v>
      </c>
      <c r="I10" s="20" t="s">
        <v>26</v>
      </c>
      <c r="J10" s="20"/>
      <c r="K10" s="20"/>
      <c r="L10" s="20" t="s">
        <v>145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164</v>
      </c>
      <c r="D11" s="16" t="s">
        <v>19</v>
      </c>
      <c r="E11" s="17"/>
      <c r="F11" s="28">
        <v>46149.0</v>
      </c>
      <c r="G11" s="18">
        <v>250000.0</v>
      </c>
      <c r="H11" s="27"/>
      <c r="I11" s="20" t="s">
        <v>21</v>
      </c>
      <c r="J11" s="20" t="s">
        <v>30</v>
      </c>
      <c r="K11" s="20" t="s">
        <v>70</v>
      </c>
      <c r="L11" s="20" t="s">
        <v>145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165</v>
      </c>
      <c r="D12" s="16" t="s">
        <v>19</v>
      </c>
      <c r="E12" s="17"/>
      <c r="F12" s="28">
        <v>46149.0</v>
      </c>
      <c r="G12" s="18"/>
      <c r="H12" s="19">
        <v>250000.0</v>
      </c>
      <c r="I12" s="20" t="s">
        <v>21</v>
      </c>
      <c r="J12" s="20" t="s">
        <v>30</v>
      </c>
      <c r="K12" s="20" t="s">
        <v>70</v>
      </c>
      <c r="L12" s="20" t="s">
        <v>145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166</v>
      </c>
      <c r="D13" s="16" t="s">
        <v>167</v>
      </c>
      <c r="E13" s="17"/>
      <c r="F13" s="28">
        <v>46149.0</v>
      </c>
      <c r="G13" s="18">
        <v>25000.0</v>
      </c>
      <c r="H13" s="27"/>
      <c r="I13" s="20" t="s">
        <v>21</v>
      </c>
      <c r="J13" s="20" t="s">
        <v>30</v>
      </c>
      <c r="K13" s="20" t="s">
        <v>70</v>
      </c>
      <c r="L13" s="20" t="s">
        <v>145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168</v>
      </c>
      <c r="D14" s="16" t="s">
        <v>28</v>
      </c>
      <c r="E14" s="17"/>
      <c r="F14" s="28">
        <v>46152.0</v>
      </c>
      <c r="G14" s="18"/>
      <c r="H14" s="19">
        <v>100000.0</v>
      </c>
      <c r="I14" s="20" t="s">
        <v>26</v>
      </c>
      <c r="J14" s="20"/>
      <c r="K14" s="20"/>
      <c r="L14" s="20" t="s">
        <v>145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169</v>
      </c>
      <c r="D15" s="16" t="s">
        <v>28</v>
      </c>
      <c r="E15" s="17"/>
      <c r="F15" s="28">
        <v>46150.0</v>
      </c>
      <c r="G15" s="18"/>
      <c r="H15" s="19">
        <v>100000.0</v>
      </c>
      <c r="I15" s="20" t="s">
        <v>26</v>
      </c>
      <c r="J15" s="20"/>
      <c r="K15" s="20"/>
      <c r="L15" s="20" t="s">
        <v>145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103</v>
      </c>
      <c r="D16" s="16" t="s">
        <v>28</v>
      </c>
      <c r="E16" s="17"/>
      <c r="F16" s="28">
        <v>46149.0</v>
      </c>
      <c r="G16" s="18"/>
      <c r="H16" s="19">
        <v>425000.0</v>
      </c>
      <c r="I16" s="20" t="s">
        <v>21</v>
      </c>
      <c r="J16" s="20" t="s">
        <v>30</v>
      </c>
      <c r="K16" s="20" t="s">
        <v>30</v>
      </c>
      <c r="L16" s="20" t="s">
        <v>145</v>
      </c>
      <c r="M16" s="20" t="s">
        <v>147</v>
      </c>
      <c r="N16" s="23"/>
      <c r="O16" s="24"/>
      <c r="P16" s="24"/>
      <c r="Q16" s="1"/>
      <c r="R16" s="1"/>
    </row>
    <row r="17">
      <c r="A17" s="1"/>
      <c r="B17" s="29"/>
      <c r="C17" s="15" t="s">
        <v>170</v>
      </c>
      <c r="D17" s="16" t="s">
        <v>160</v>
      </c>
      <c r="E17" s="17"/>
      <c r="F17" s="28">
        <v>46151.0</v>
      </c>
      <c r="G17" s="18"/>
      <c r="H17" s="19">
        <v>100000.0</v>
      </c>
      <c r="I17" s="20" t="s">
        <v>26</v>
      </c>
      <c r="J17" s="20"/>
      <c r="K17" s="20"/>
      <c r="L17" s="20" t="s">
        <v>145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135</v>
      </c>
      <c r="D18" s="16" t="s">
        <v>28</v>
      </c>
      <c r="E18" s="17"/>
      <c r="F18" s="28">
        <v>46149.0</v>
      </c>
      <c r="G18" s="18">
        <v>50000.0</v>
      </c>
      <c r="H18" s="19">
        <v>25000.0</v>
      </c>
      <c r="I18" s="20" t="s">
        <v>21</v>
      </c>
      <c r="J18" s="20" t="s">
        <v>30</v>
      </c>
      <c r="K18" s="20" t="s">
        <v>30</v>
      </c>
      <c r="L18" s="20" t="s">
        <v>145</v>
      </c>
      <c r="M18" s="20" t="s">
        <v>147</v>
      </c>
      <c r="N18" s="24"/>
      <c r="O18" s="24"/>
      <c r="P18" s="24"/>
      <c r="Q18" s="1"/>
      <c r="R18" s="1"/>
    </row>
    <row r="19">
      <c r="A19" s="1"/>
      <c r="B19" s="29"/>
      <c r="C19" s="15" t="s">
        <v>171</v>
      </c>
      <c r="D19" s="16" t="s">
        <v>172</v>
      </c>
      <c r="E19" s="17"/>
      <c r="F19" s="75">
        <v>46112.0</v>
      </c>
      <c r="G19" s="25"/>
      <c r="H19" s="19">
        <v>20000.0</v>
      </c>
      <c r="I19" s="20" t="s">
        <v>21</v>
      </c>
      <c r="J19" s="26"/>
      <c r="K19" s="26"/>
      <c r="L19" s="20" t="s">
        <v>145</v>
      </c>
      <c r="M19" s="26"/>
      <c r="N19" s="24"/>
      <c r="O19" s="24"/>
      <c r="P19" s="24"/>
      <c r="Q19" s="1"/>
      <c r="R19" s="1"/>
    </row>
    <row r="20">
      <c r="A20" s="1"/>
      <c r="B20" s="29"/>
      <c r="C20" s="15" t="s">
        <v>173</v>
      </c>
      <c r="D20" s="16" t="s">
        <v>28</v>
      </c>
      <c r="E20" s="17"/>
      <c r="F20" s="28">
        <v>46150.0</v>
      </c>
      <c r="G20" s="25"/>
      <c r="H20" s="19">
        <v>100000.0</v>
      </c>
      <c r="I20" s="20" t="s">
        <v>26</v>
      </c>
      <c r="J20" s="26"/>
      <c r="K20" s="26"/>
      <c r="L20" s="20" t="s">
        <v>145</v>
      </c>
      <c r="M20" s="26"/>
      <c r="N20" s="24"/>
      <c r="O20" s="24"/>
      <c r="P20" s="24"/>
      <c r="Q20" s="1"/>
      <c r="R20" s="1"/>
    </row>
    <row r="21">
      <c r="A21" s="1"/>
      <c r="B21" s="29"/>
      <c r="C21" s="31"/>
      <c r="D21" s="16"/>
      <c r="E21" s="17"/>
      <c r="F21" s="29"/>
      <c r="G21" s="25"/>
      <c r="H21" s="27"/>
      <c r="I21" s="26"/>
      <c r="J21" s="26"/>
      <c r="K21" s="26"/>
      <c r="L21" s="26"/>
      <c r="M21" s="26"/>
      <c r="N21" s="32"/>
      <c r="O21" s="32"/>
      <c r="P21" s="32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33">
        <f t="shared" ref="G22:H22" si="1">SUM(G4:G21)</f>
        <v>650000</v>
      </c>
      <c r="H22" s="34">
        <f t="shared" si="1"/>
        <v>1620000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35" t="s">
        <v>0</v>
      </c>
      <c r="C25" s="36" t="s">
        <v>6</v>
      </c>
      <c r="D25" s="36" t="s">
        <v>57</v>
      </c>
      <c r="E25" s="37"/>
      <c r="F25" s="1"/>
      <c r="G25" s="1"/>
      <c r="H25" s="1"/>
      <c r="I25" s="1"/>
      <c r="J25" s="1"/>
      <c r="K25" s="1"/>
      <c r="L25" s="1"/>
      <c r="M25" s="1"/>
      <c r="N25" s="36" t="s">
        <v>58</v>
      </c>
      <c r="O25" s="36" t="s">
        <v>1</v>
      </c>
      <c r="P25" s="1"/>
      <c r="Q25" s="1"/>
      <c r="R25" s="1"/>
    </row>
    <row r="26">
      <c r="A26" s="1"/>
      <c r="B26" s="38">
        <v>1.0</v>
      </c>
      <c r="C26" s="39" t="s">
        <v>59</v>
      </c>
      <c r="D26" s="40">
        <f>SUM(G22)</f>
        <v>650000</v>
      </c>
      <c r="E26" s="41"/>
      <c r="F26" s="1"/>
      <c r="G26" s="1"/>
      <c r="H26" s="1"/>
      <c r="I26" s="1"/>
      <c r="J26" s="1"/>
      <c r="K26" s="1"/>
      <c r="L26" s="1"/>
      <c r="M26" s="1"/>
      <c r="N26" s="42" t="s">
        <v>60</v>
      </c>
      <c r="O26" s="21" t="s">
        <v>145</v>
      </c>
      <c r="P26" s="1"/>
      <c r="Q26" s="1"/>
      <c r="R26" s="1"/>
    </row>
    <row r="27">
      <c r="A27" s="1"/>
      <c r="B27" s="43">
        <v>2.0</v>
      </c>
      <c r="C27" s="44"/>
      <c r="D27" s="45"/>
      <c r="E27" s="46"/>
      <c r="F27" s="1"/>
      <c r="G27" s="1"/>
      <c r="H27" s="1"/>
      <c r="I27" s="1"/>
      <c r="J27" s="1"/>
      <c r="K27" s="1"/>
      <c r="L27" s="1"/>
      <c r="M27" s="1"/>
      <c r="N27" s="47" t="s">
        <v>62</v>
      </c>
      <c r="O27" s="48" t="s">
        <v>145</v>
      </c>
      <c r="P27" s="1"/>
      <c r="Q27" s="1"/>
      <c r="R27" s="1"/>
    </row>
    <row r="28">
      <c r="A28" s="1"/>
      <c r="B28" s="38">
        <v>3.0</v>
      </c>
      <c r="C28" s="39"/>
      <c r="D28" s="49"/>
      <c r="E28" s="46"/>
      <c r="F28" s="1"/>
      <c r="G28" s="1"/>
      <c r="H28" s="1"/>
      <c r="I28" s="1"/>
      <c r="J28" s="1"/>
      <c r="K28" s="1"/>
      <c r="L28" s="1"/>
      <c r="M28" s="1"/>
      <c r="N28" s="50" t="s">
        <v>64</v>
      </c>
      <c r="O28" s="23" t="s">
        <v>147</v>
      </c>
      <c r="P28" s="1"/>
      <c r="Q28" s="1"/>
      <c r="R28" s="1"/>
    </row>
    <row r="29">
      <c r="A29" s="1"/>
      <c r="B29" s="43">
        <v>4.0</v>
      </c>
      <c r="C29" s="44"/>
      <c r="D29" s="45"/>
      <c r="E29" s="46"/>
      <c r="F29" s="1"/>
      <c r="G29" s="1"/>
      <c r="H29" s="1"/>
      <c r="I29" s="1"/>
      <c r="J29" s="1"/>
      <c r="K29" s="1"/>
      <c r="L29" s="1"/>
      <c r="M29" s="1"/>
      <c r="N29" s="51" t="s">
        <v>65</v>
      </c>
      <c r="O29" s="48" t="s">
        <v>147</v>
      </c>
      <c r="P29" s="1"/>
      <c r="Q29" s="1"/>
      <c r="R29" s="1"/>
    </row>
    <row r="30">
      <c r="A30" s="1"/>
      <c r="B30" s="38"/>
      <c r="C30" s="52"/>
      <c r="D30" s="40"/>
      <c r="E30" s="41"/>
      <c r="F30" s="1"/>
      <c r="G30" s="1"/>
      <c r="H30" s="1"/>
      <c r="I30" s="1"/>
      <c r="J30" s="1"/>
      <c r="K30" s="1"/>
      <c r="L30" s="1"/>
      <c r="M30" s="1"/>
      <c r="N30" s="53"/>
      <c r="O30" s="1"/>
      <c r="P30" s="1"/>
      <c r="Q30" s="1"/>
      <c r="R30" s="1"/>
    </row>
    <row r="31">
      <c r="A31" s="1"/>
      <c r="B31" s="43"/>
      <c r="C31" s="54"/>
      <c r="D31" s="55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38"/>
      <c r="C34" s="52"/>
      <c r="D34" s="40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6"/>
      <c r="C36" s="57"/>
      <c r="D36" s="58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59">
        <f>SUM(D26:D36)</f>
        <v>650000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"-,JIJANG,ADDEL,PENTIL,FAHME"</formula1>
    </dataValidation>
    <dataValidation type="list" allowBlank="1" showErrorMessage="1" sqref="N4:N21">
      <formula1>"-,Pending,Progress,Uploaded"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Edit,Phtofox ,ADD 10R,Packing "</formula1>
    </dataValidation>
    <dataValidation type="list" allowBlank="1" showDropDown="1" showErrorMessage="1" sqref="M4:M21 O28:O29">
      <formula1>"-,VERO,FADEL,PENTIL,FAHME,HANIF"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132</v>
      </c>
      <c r="D4" s="16" t="s">
        <v>28</v>
      </c>
      <c r="E4" s="17"/>
      <c r="F4" s="60">
        <v>46150.0</v>
      </c>
      <c r="G4" s="18">
        <v>750000.0</v>
      </c>
      <c r="H4" s="19"/>
      <c r="I4" s="20" t="s">
        <v>21</v>
      </c>
      <c r="J4" s="20" t="s">
        <v>30</v>
      </c>
      <c r="K4" s="20" t="s">
        <v>70</v>
      </c>
      <c r="L4" s="20" t="s">
        <v>43</v>
      </c>
      <c r="M4" s="20" t="s">
        <v>147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173</v>
      </c>
      <c r="D5" s="16" t="s">
        <v>28</v>
      </c>
      <c r="E5" s="17"/>
      <c r="F5" s="60">
        <v>46150.0</v>
      </c>
      <c r="G5" s="18"/>
      <c r="H5" s="19">
        <v>200000.0</v>
      </c>
      <c r="I5" s="20" t="s">
        <v>21</v>
      </c>
      <c r="J5" s="20" t="s">
        <v>30</v>
      </c>
      <c r="K5" s="20" t="s">
        <v>30</v>
      </c>
      <c r="L5" s="20" t="s">
        <v>43</v>
      </c>
      <c r="M5" s="20" t="s">
        <v>147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174</v>
      </c>
      <c r="D6" s="16" t="s">
        <v>39</v>
      </c>
      <c r="E6" s="17"/>
      <c r="F6" s="28">
        <v>46155.0</v>
      </c>
      <c r="G6" s="25"/>
      <c r="H6" s="19">
        <v>100000.0</v>
      </c>
      <c r="I6" s="20" t="s">
        <v>21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175</v>
      </c>
      <c r="D7" s="16" t="s">
        <v>28</v>
      </c>
      <c r="E7" s="17"/>
      <c r="F7" s="28">
        <v>46150.0</v>
      </c>
      <c r="G7" s="18"/>
      <c r="H7" s="19">
        <v>75000.0</v>
      </c>
      <c r="I7" s="20" t="s">
        <v>21</v>
      </c>
      <c r="J7" s="20" t="s">
        <v>30</v>
      </c>
      <c r="K7" s="20" t="s">
        <v>30</v>
      </c>
      <c r="L7" s="20" t="s">
        <v>43</v>
      </c>
      <c r="M7" s="20" t="s">
        <v>147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176</v>
      </c>
      <c r="D8" s="16" t="s">
        <v>46</v>
      </c>
      <c r="E8" s="17"/>
      <c r="F8" s="28">
        <v>46150.0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49</v>
      </c>
      <c r="D9" s="16" t="s">
        <v>19</v>
      </c>
      <c r="E9" s="17"/>
      <c r="F9" s="28">
        <v>46150.0</v>
      </c>
      <c r="G9" s="18">
        <v>250000.0</v>
      </c>
      <c r="H9" s="27"/>
      <c r="I9" s="20" t="s">
        <v>21</v>
      </c>
      <c r="J9" s="20" t="s">
        <v>30</v>
      </c>
      <c r="K9" s="20" t="s">
        <v>70</v>
      </c>
      <c r="L9" s="20" t="s">
        <v>43</v>
      </c>
      <c r="M9" s="20" t="s">
        <v>147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177</v>
      </c>
      <c r="D10" s="16" t="s">
        <v>19</v>
      </c>
      <c r="E10" s="17"/>
      <c r="F10" s="28">
        <v>46150.0</v>
      </c>
      <c r="G10" s="18">
        <v>250000.0</v>
      </c>
      <c r="H10" s="27"/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178</v>
      </c>
      <c r="D11" s="16" t="s">
        <v>19</v>
      </c>
      <c r="E11" s="17"/>
      <c r="F11" s="28">
        <v>46165.0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179</v>
      </c>
      <c r="D12" s="16" t="s">
        <v>28</v>
      </c>
      <c r="E12" s="17"/>
      <c r="F12" s="28">
        <v>46150.0</v>
      </c>
      <c r="G12" s="18"/>
      <c r="H12" s="19">
        <v>75000.0</v>
      </c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180</v>
      </c>
      <c r="D13" s="16" t="s">
        <v>19</v>
      </c>
      <c r="E13" s="17"/>
      <c r="F13" s="28">
        <v>46151.0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181</v>
      </c>
      <c r="D14" s="16" t="s">
        <v>19</v>
      </c>
      <c r="E14" s="17"/>
      <c r="F14" s="28">
        <v>46151.0</v>
      </c>
      <c r="G14" s="18"/>
      <c r="H14" s="19">
        <v>100000.0</v>
      </c>
      <c r="I14" s="20" t="s">
        <v>26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176</v>
      </c>
      <c r="D15" s="16" t="s">
        <v>46</v>
      </c>
      <c r="E15" s="17"/>
      <c r="F15" s="28">
        <v>46150.0</v>
      </c>
      <c r="G15" s="18"/>
      <c r="H15" s="19">
        <v>250000.0</v>
      </c>
      <c r="I15" s="20" t="s">
        <v>21</v>
      </c>
      <c r="J15" s="20" t="s">
        <v>30</v>
      </c>
      <c r="K15" s="20" t="s">
        <v>70</v>
      </c>
      <c r="L15" s="20" t="s">
        <v>43</v>
      </c>
      <c r="M15" s="20" t="s">
        <v>87</v>
      </c>
      <c r="N15" s="23"/>
      <c r="O15" s="24"/>
      <c r="P15" s="24"/>
      <c r="Q15" s="1"/>
      <c r="R15" s="1"/>
    </row>
    <row r="16">
      <c r="A16" s="1"/>
      <c r="B16" s="29"/>
      <c r="C16" s="15" t="s">
        <v>182</v>
      </c>
      <c r="D16" s="16" t="s">
        <v>39</v>
      </c>
      <c r="E16" s="17"/>
      <c r="F16" s="28">
        <v>46150.0</v>
      </c>
      <c r="G16" s="18"/>
      <c r="H16" s="19">
        <v>100000.0</v>
      </c>
      <c r="I16" s="20" t="s">
        <v>21</v>
      </c>
      <c r="J16" s="20"/>
      <c r="K16" s="20"/>
      <c r="L16" s="20" t="s">
        <v>43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183</v>
      </c>
      <c r="D17" s="16" t="s">
        <v>28</v>
      </c>
      <c r="E17" s="17"/>
      <c r="F17" s="28">
        <v>46150.0</v>
      </c>
      <c r="G17" s="18"/>
      <c r="H17" s="19">
        <v>250000.0</v>
      </c>
      <c r="I17" s="20" t="s">
        <v>21</v>
      </c>
      <c r="J17" s="20" t="s">
        <v>30</v>
      </c>
      <c r="K17" s="20" t="s">
        <v>30</v>
      </c>
      <c r="L17" s="20" t="s">
        <v>43</v>
      </c>
      <c r="M17" s="20" t="s">
        <v>87</v>
      </c>
      <c r="N17" s="23"/>
      <c r="O17" s="24"/>
      <c r="P17" s="24"/>
      <c r="Q17" s="1"/>
      <c r="R17" s="1"/>
    </row>
    <row r="18">
      <c r="A18" s="1"/>
      <c r="B18" s="29"/>
      <c r="C18" s="15" t="s">
        <v>159</v>
      </c>
      <c r="D18" s="16" t="s">
        <v>42</v>
      </c>
      <c r="E18" s="17"/>
      <c r="F18" s="28">
        <v>46150.0</v>
      </c>
      <c r="G18" s="18"/>
      <c r="H18" s="19">
        <v>125000.0</v>
      </c>
      <c r="I18" s="20" t="s">
        <v>21</v>
      </c>
      <c r="J18" s="20" t="s">
        <v>30</v>
      </c>
      <c r="K18" s="20" t="s">
        <v>30</v>
      </c>
      <c r="L18" s="20" t="s">
        <v>43</v>
      </c>
      <c r="M18" s="20" t="s">
        <v>87</v>
      </c>
      <c r="N18" s="23"/>
      <c r="O18" s="24"/>
      <c r="P18" s="24"/>
      <c r="Q18" s="1"/>
      <c r="R18" s="1"/>
    </row>
    <row r="19">
      <c r="A19" s="1"/>
      <c r="B19" s="29"/>
      <c r="C19" s="15" t="s">
        <v>182</v>
      </c>
      <c r="D19" s="16" t="s">
        <v>13</v>
      </c>
      <c r="E19" s="17"/>
      <c r="F19" s="28">
        <v>46150.0</v>
      </c>
      <c r="G19" s="18"/>
      <c r="H19" s="19">
        <v>50000.0</v>
      </c>
      <c r="I19" s="20" t="s">
        <v>21</v>
      </c>
      <c r="J19" s="20" t="s">
        <v>30</v>
      </c>
      <c r="K19" s="20" t="s">
        <v>70</v>
      </c>
      <c r="L19" s="20" t="s">
        <v>43</v>
      </c>
      <c r="M19" s="20" t="s">
        <v>87</v>
      </c>
      <c r="N19" s="23"/>
      <c r="O19" s="24"/>
      <c r="P19" s="24"/>
      <c r="Q19" s="1"/>
      <c r="R19" s="1"/>
    </row>
    <row r="20">
      <c r="A20" s="1"/>
      <c r="B20" s="29"/>
      <c r="C20" s="31"/>
      <c r="D20" s="16"/>
      <c r="E20" s="17"/>
      <c r="F20" s="29"/>
      <c r="G20" s="25"/>
      <c r="H20" s="27"/>
      <c r="I20" s="26"/>
      <c r="J20" s="26"/>
      <c r="K20" s="26"/>
      <c r="L20" s="26"/>
      <c r="M20" s="26"/>
      <c r="N20" s="32"/>
      <c r="O20" s="32"/>
      <c r="P20" s="32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33">
        <f t="shared" ref="G21:H21" si="1">SUM(G4:G20)</f>
        <v>1250000</v>
      </c>
      <c r="H21" s="34">
        <f t="shared" si="1"/>
        <v>1625000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35" t="s">
        <v>0</v>
      </c>
      <c r="C24" s="36" t="s">
        <v>6</v>
      </c>
      <c r="D24" s="36" t="s">
        <v>57</v>
      </c>
      <c r="E24" s="37"/>
      <c r="F24" s="1"/>
      <c r="G24" s="1"/>
      <c r="H24" s="1"/>
      <c r="I24" s="1"/>
      <c r="J24" s="1"/>
      <c r="K24" s="1"/>
      <c r="L24" s="1"/>
      <c r="M24" s="1"/>
      <c r="N24" s="36" t="s">
        <v>58</v>
      </c>
      <c r="O24" s="36" t="s">
        <v>1</v>
      </c>
      <c r="P24" s="1"/>
      <c r="Q24" s="1"/>
      <c r="R24" s="1"/>
    </row>
    <row r="25">
      <c r="A25" s="1"/>
      <c r="B25" s="38">
        <v>1.0</v>
      </c>
      <c r="C25" s="39" t="s">
        <v>59</v>
      </c>
      <c r="D25" s="40">
        <f>SUM(G21)</f>
        <v>1250000</v>
      </c>
      <c r="E25" s="41"/>
      <c r="F25" s="1"/>
      <c r="G25" s="1"/>
      <c r="H25" s="1"/>
      <c r="I25" s="1"/>
      <c r="J25" s="1"/>
      <c r="K25" s="1"/>
      <c r="L25" s="1"/>
      <c r="M25" s="1"/>
      <c r="N25" s="42" t="s">
        <v>60</v>
      </c>
      <c r="O25" s="21" t="s">
        <v>43</v>
      </c>
      <c r="P25" s="1"/>
      <c r="Q25" s="1"/>
      <c r="R25" s="1"/>
    </row>
    <row r="26">
      <c r="A26" s="1"/>
      <c r="B26" s="43">
        <v>2.0</v>
      </c>
      <c r="C26" s="44" t="s">
        <v>61</v>
      </c>
      <c r="D26" s="45">
        <v>-150000.0</v>
      </c>
      <c r="E26" s="46"/>
      <c r="F26" s="1"/>
      <c r="G26" s="1"/>
      <c r="H26" s="1"/>
      <c r="I26" s="1"/>
      <c r="J26" s="1"/>
      <c r="K26" s="1"/>
      <c r="L26" s="1"/>
      <c r="M26" s="1"/>
      <c r="N26" s="47" t="s">
        <v>62</v>
      </c>
      <c r="O26" s="48" t="s">
        <v>43</v>
      </c>
      <c r="P26" s="1"/>
      <c r="Q26" s="1"/>
      <c r="R26" s="1"/>
    </row>
    <row r="27">
      <c r="A27" s="1"/>
      <c r="B27" s="38">
        <v>3.0</v>
      </c>
      <c r="C27" s="39" t="s">
        <v>184</v>
      </c>
      <c r="D27" s="49">
        <v>-50000.0</v>
      </c>
      <c r="E27" s="46"/>
      <c r="F27" s="1"/>
      <c r="G27" s="1"/>
      <c r="H27" s="1"/>
      <c r="I27" s="1"/>
      <c r="J27" s="1"/>
      <c r="K27" s="1"/>
      <c r="L27" s="1"/>
      <c r="M27" s="1"/>
      <c r="N27" s="50" t="s">
        <v>64</v>
      </c>
      <c r="O27" s="23" t="s">
        <v>147</v>
      </c>
      <c r="P27" s="1"/>
      <c r="Q27" s="1"/>
      <c r="R27" s="1"/>
    </row>
    <row r="28">
      <c r="A28" s="1"/>
      <c r="B28" s="43">
        <v>4.0</v>
      </c>
      <c r="C28" s="44" t="s">
        <v>94</v>
      </c>
      <c r="D28" s="45">
        <v>-100000.0</v>
      </c>
      <c r="E28" s="46"/>
      <c r="F28" s="1"/>
      <c r="G28" s="1"/>
      <c r="H28" s="1"/>
      <c r="I28" s="1"/>
      <c r="J28" s="1"/>
      <c r="K28" s="1"/>
      <c r="L28" s="1"/>
      <c r="M28" s="1"/>
      <c r="N28" s="51" t="s">
        <v>65</v>
      </c>
      <c r="O28" s="48" t="s">
        <v>87</v>
      </c>
      <c r="P28" s="1"/>
      <c r="Q28" s="1"/>
      <c r="R28" s="1"/>
    </row>
    <row r="29">
      <c r="A29" s="1"/>
      <c r="B29" s="38"/>
      <c r="C29" s="39" t="s">
        <v>154</v>
      </c>
      <c r="D29" s="49">
        <v>-150000.0</v>
      </c>
      <c r="E29" s="41"/>
      <c r="F29" s="1"/>
      <c r="G29" s="1"/>
      <c r="H29" s="1"/>
      <c r="I29" s="1"/>
      <c r="J29" s="1"/>
      <c r="K29" s="1"/>
      <c r="L29" s="1"/>
      <c r="M29" s="1"/>
      <c r="N29" s="53"/>
      <c r="O29" s="1"/>
      <c r="P29" s="1"/>
      <c r="Q29" s="1"/>
      <c r="R29" s="1"/>
    </row>
    <row r="30">
      <c r="A30" s="1"/>
      <c r="B30" s="43"/>
      <c r="C30" s="44" t="s">
        <v>138</v>
      </c>
      <c r="D30" s="45">
        <v>-30000.0</v>
      </c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52"/>
      <c r="D33" s="40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54"/>
      <c r="D34" s="55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6"/>
      <c r="C35" s="57"/>
      <c r="D35" s="58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59">
        <f>SUM(D25:D35)</f>
        <v>770000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"-,JIJANG,AXEL,PENTIL,FAHME,INDAH"</formula1>
    </dataValidation>
    <dataValidation type="list" allowBlank="1" showDropDown="1" showErrorMessage="1" sqref="M4:M20 O27:O28">
      <formula1>"-,VERO,FADEL,PENTIL,FAHME,HANIF,ADIF"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Edit,Photofox,All File"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185</v>
      </c>
      <c r="D4" s="16" t="s">
        <v>46</v>
      </c>
      <c r="E4" s="17"/>
      <c r="F4" s="60">
        <v>46156.0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186</v>
      </c>
      <c r="D5" s="16" t="s">
        <v>28</v>
      </c>
      <c r="E5" s="17"/>
      <c r="F5" s="60">
        <v>46150.0</v>
      </c>
      <c r="G5" s="18">
        <v>1250000.0</v>
      </c>
      <c r="H5" s="19"/>
      <c r="I5" s="20" t="s">
        <v>21</v>
      </c>
      <c r="J5" s="20" t="s">
        <v>30</v>
      </c>
      <c r="K5" s="20" t="s">
        <v>70</v>
      </c>
      <c r="L5" s="20" t="s">
        <v>43</v>
      </c>
      <c r="M5" s="20" t="s">
        <v>147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187</v>
      </c>
      <c r="D6" s="16" t="s">
        <v>24</v>
      </c>
      <c r="E6" s="17"/>
      <c r="F6" s="28">
        <v>46151.0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188</v>
      </c>
      <c r="D7" s="16" t="s">
        <v>24</v>
      </c>
      <c r="E7" s="17"/>
      <c r="F7" s="28">
        <v>46151.0</v>
      </c>
      <c r="G7" s="18">
        <v>50000.0</v>
      </c>
      <c r="H7" s="27"/>
      <c r="I7" s="20" t="s">
        <v>21</v>
      </c>
      <c r="J7" s="20" t="s">
        <v>30</v>
      </c>
      <c r="K7" s="20" t="s">
        <v>70</v>
      </c>
      <c r="L7" s="20" t="s">
        <v>43</v>
      </c>
      <c r="M7" s="20" t="s">
        <v>147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136</v>
      </c>
      <c r="D8" s="16" t="s">
        <v>189</v>
      </c>
      <c r="E8" s="17"/>
      <c r="F8" s="28">
        <v>46151.0</v>
      </c>
      <c r="G8" s="18"/>
      <c r="H8" s="19">
        <v>60000.0</v>
      </c>
      <c r="I8" s="20" t="s">
        <v>21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73</v>
      </c>
      <c r="D9" s="16" t="s">
        <v>74</v>
      </c>
      <c r="E9" s="17"/>
      <c r="F9" s="28">
        <v>46151.0</v>
      </c>
      <c r="G9" s="18"/>
      <c r="H9" s="19">
        <v>400000.0</v>
      </c>
      <c r="I9" s="20" t="s">
        <v>21</v>
      </c>
      <c r="J9" s="20" t="s">
        <v>30</v>
      </c>
      <c r="K9" s="20" t="s">
        <v>70</v>
      </c>
      <c r="L9" s="20" t="s">
        <v>43</v>
      </c>
      <c r="M9" s="20" t="s">
        <v>147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190</v>
      </c>
      <c r="D10" s="16" t="s">
        <v>19</v>
      </c>
      <c r="E10" s="17"/>
      <c r="F10" s="28">
        <v>46151.0</v>
      </c>
      <c r="G10" s="18"/>
      <c r="H10" s="19">
        <v>310000.0</v>
      </c>
      <c r="I10" s="20" t="s">
        <v>21</v>
      </c>
      <c r="J10" s="20" t="s">
        <v>30</v>
      </c>
      <c r="K10" s="20" t="s">
        <v>70</v>
      </c>
      <c r="L10" s="20" t="s">
        <v>43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191</v>
      </c>
      <c r="D11" s="16" t="s">
        <v>28</v>
      </c>
      <c r="E11" s="17"/>
      <c r="F11" s="28">
        <v>46156.0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192</v>
      </c>
      <c r="D12" s="16" t="s">
        <v>19</v>
      </c>
      <c r="E12" s="17"/>
      <c r="F12" s="28">
        <v>46151.0</v>
      </c>
      <c r="G12" s="18"/>
      <c r="H12" s="19">
        <v>250000.0</v>
      </c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193</v>
      </c>
      <c r="D13" s="16" t="s">
        <v>24</v>
      </c>
      <c r="E13" s="17"/>
      <c r="F13" s="28">
        <v>46152.0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194</v>
      </c>
      <c r="D14" s="16" t="s">
        <v>19</v>
      </c>
      <c r="E14" s="17"/>
      <c r="F14" s="28">
        <v>46152.0</v>
      </c>
      <c r="G14" s="18"/>
      <c r="H14" s="19">
        <v>250000.0</v>
      </c>
      <c r="I14" s="20" t="s">
        <v>21</v>
      </c>
      <c r="J14" s="20" t="s">
        <v>30</v>
      </c>
      <c r="K14" s="20" t="s">
        <v>70</v>
      </c>
      <c r="L14" s="20" t="s">
        <v>43</v>
      </c>
      <c r="M14" s="20" t="s">
        <v>147</v>
      </c>
      <c r="N14" s="23"/>
      <c r="O14" s="24"/>
      <c r="P14" s="24"/>
      <c r="Q14" s="1"/>
      <c r="R14" s="1"/>
    </row>
    <row r="15">
      <c r="A15" s="1"/>
      <c r="B15" s="29"/>
      <c r="C15" s="15" t="s">
        <v>123</v>
      </c>
      <c r="D15" s="16" t="s">
        <v>19</v>
      </c>
      <c r="E15" s="17"/>
      <c r="F15" s="28">
        <v>46151.0</v>
      </c>
      <c r="G15" s="18">
        <v>250000.0</v>
      </c>
      <c r="H15" s="27"/>
      <c r="I15" s="20" t="s">
        <v>21</v>
      </c>
      <c r="J15" s="20" t="s">
        <v>30</v>
      </c>
      <c r="K15" s="20" t="s">
        <v>70</v>
      </c>
      <c r="L15" s="20" t="s">
        <v>22</v>
      </c>
      <c r="M15" s="20" t="s">
        <v>147</v>
      </c>
      <c r="N15" s="23"/>
      <c r="O15" s="24"/>
      <c r="P15" s="24"/>
      <c r="Q15" s="1"/>
      <c r="R15" s="1"/>
    </row>
    <row r="16">
      <c r="A16" s="1"/>
      <c r="B16" s="29"/>
      <c r="C16" s="15" t="s">
        <v>102</v>
      </c>
      <c r="D16" s="16" t="s">
        <v>19</v>
      </c>
      <c r="E16" s="17"/>
      <c r="F16" s="28">
        <v>46151.0</v>
      </c>
      <c r="G16" s="18"/>
      <c r="H16" s="19">
        <v>250000.0</v>
      </c>
      <c r="I16" s="20" t="s">
        <v>21</v>
      </c>
      <c r="J16" s="20" t="s">
        <v>30</v>
      </c>
      <c r="K16" s="20" t="s">
        <v>70</v>
      </c>
      <c r="L16" s="20" t="s">
        <v>22</v>
      </c>
      <c r="M16" s="20" t="s">
        <v>87</v>
      </c>
      <c r="N16" s="23"/>
      <c r="O16" s="24"/>
      <c r="P16" s="24"/>
      <c r="Q16" s="1"/>
      <c r="R16" s="1"/>
    </row>
    <row r="17">
      <c r="A17" s="1"/>
      <c r="B17" s="29"/>
      <c r="C17" s="15" t="s">
        <v>122</v>
      </c>
      <c r="D17" s="16" t="s">
        <v>28</v>
      </c>
      <c r="E17" s="17"/>
      <c r="F17" s="28">
        <v>46151.0</v>
      </c>
      <c r="G17" s="18">
        <v>25000.0</v>
      </c>
      <c r="H17" s="19">
        <v>50000.0</v>
      </c>
      <c r="I17" s="20" t="s">
        <v>21</v>
      </c>
      <c r="J17" s="20" t="s">
        <v>30</v>
      </c>
      <c r="K17" s="20" t="s">
        <v>30</v>
      </c>
      <c r="L17" s="20" t="s">
        <v>22</v>
      </c>
      <c r="M17" s="20" t="s">
        <v>87</v>
      </c>
      <c r="N17" s="23"/>
      <c r="O17" s="24"/>
      <c r="P17" s="24"/>
      <c r="Q17" s="1"/>
      <c r="R17" s="1"/>
    </row>
    <row r="18">
      <c r="A18" s="1"/>
      <c r="B18" s="29"/>
      <c r="C18" s="15" t="s">
        <v>195</v>
      </c>
      <c r="D18" s="16" t="s">
        <v>19</v>
      </c>
      <c r="E18" s="17"/>
      <c r="F18" s="28">
        <v>46151.0</v>
      </c>
      <c r="G18" s="18">
        <v>250000.0</v>
      </c>
      <c r="H18" s="27"/>
      <c r="I18" s="20" t="s">
        <v>21</v>
      </c>
      <c r="J18" s="20" t="s">
        <v>30</v>
      </c>
      <c r="K18" s="20" t="s">
        <v>70</v>
      </c>
      <c r="L18" s="20" t="s">
        <v>22</v>
      </c>
      <c r="M18" s="20" t="s">
        <v>87</v>
      </c>
      <c r="N18" s="23"/>
      <c r="O18" s="24"/>
      <c r="P18" s="24"/>
      <c r="Q18" s="1"/>
      <c r="R18" s="1"/>
    </row>
    <row r="19">
      <c r="A19" s="1"/>
      <c r="B19" s="29"/>
      <c r="C19" s="15" t="s">
        <v>196</v>
      </c>
      <c r="D19" s="16" t="s">
        <v>19</v>
      </c>
      <c r="E19" s="17"/>
      <c r="F19" s="28">
        <v>46151.0</v>
      </c>
      <c r="G19" s="18">
        <v>250000.0</v>
      </c>
      <c r="H19" s="27"/>
      <c r="I19" s="20" t="s">
        <v>21</v>
      </c>
      <c r="J19" s="20" t="s">
        <v>30</v>
      </c>
      <c r="K19" s="20" t="s">
        <v>70</v>
      </c>
      <c r="L19" s="20" t="s">
        <v>22</v>
      </c>
      <c r="M19" s="20" t="s">
        <v>87</v>
      </c>
      <c r="N19" s="23"/>
      <c r="O19" s="24"/>
      <c r="P19" s="24"/>
      <c r="Q19" s="1"/>
      <c r="R19" s="1"/>
    </row>
    <row r="20">
      <c r="A20" s="1"/>
      <c r="B20" s="29"/>
      <c r="C20" s="15" t="s">
        <v>197</v>
      </c>
      <c r="D20" s="16" t="s">
        <v>19</v>
      </c>
      <c r="E20" s="17"/>
      <c r="F20" s="28">
        <v>46151.0</v>
      </c>
      <c r="G20" s="18"/>
      <c r="H20" s="19">
        <v>250000.0</v>
      </c>
      <c r="I20" s="20" t="s">
        <v>21</v>
      </c>
      <c r="J20" s="20" t="s">
        <v>30</v>
      </c>
      <c r="K20" s="20" t="s">
        <v>70</v>
      </c>
      <c r="L20" s="20" t="s">
        <v>22</v>
      </c>
      <c r="M20" s="20" t="s">
        <v>87</v>
      </c>
      <c r="N20" s="23"/>
      <c r="O20" s="24"/>
      <c r="P20" s="24"/>
      <c r="Q20" s="1"/>
      <c r="R20" s="1"/>
    </row>
    <row r="21">
      <c r="A21" s="1"/>
      <c r="B21" s="29"/>
      <c r="C21" s="15" t="s">
        <v>198</v>
      </c>
      <c r="D21" s="16" t="s">
        <v>19</v>
      </c>
      <c r="E21" s="17"/>
      <c r="F21" s="28">
        <v>46152.0</v>
      </c>
      <c r="G21" s="18"/>
      <c r="H21" s="19">
        <v>100000.0</v>
      </c>
      <c r="I21" s="20" t="s">
        <v>26</v>
      </c>
      <c r="J21" s="20"/>
      <c r="K21" s="20"/>
      <c r="L21" s="20" t="s">
        <v>22</v>
      </c>
      <c r="M21" s="26"/>
      <c r="N21" s="23"/>
      <c r="O21" s="24"/>
      <c r="P21" s="24"/>
      <c r="Q21" s="1"/>
      <c r="R21" s="1"/>
    </row>
    <row r="22">
      <c r="A22" s="1"/>
      <c r="B22" s="29"/>
      <c r="C22" s="15" t="s">
        <v>199</v>
      </c>
      <c r="D22" s="16" t="s">
        <v>46</v>
      </c>
      <c r="E22" s="17"/>
      <c r="F22" s="28">
        <v>46151.0</v>
      </c>
      <c r="G22" s="25"/>
      <c r="H22" s="19">
        <v>250000.0</v>
      </c>
      <c r="I22" s="20" t="s">
        <v>21</v>
      </c>
      <c r="J22" s="20" t="s">
        <v>30</v>
      </c>
      <c r="K22" s="20" t="s">
        <v>70</v>
      </c>
      <c r="L22" s="20" t="s">
        <v>22</v>
      </c>
      <c r="M22" s="20" t="s">
        <v>87</v>
      </c>
      <c r="N22" s="24"/>
      <c r="O22" s="24"/>
      <c r="P22" s="24"/>
      <c r="Q22" s="1"/>
      <c r="R22" s="1"/>
    </row>
    <row r="23">
      <c r="A23" s="1"/>
      <c r="B23" s="29"/>
      <c r="C23" s="15" t="s">
        <v>170</v>
      </c>
      <c r="D23" s="16" t="s">
        <v>42</v>
      </c>
      <c r="E23" s="17"/>
      <c r="F23" s="28">
        <v>46151.0</v>
      </c>
      <c r="G23" s="25"/>
      <c r="H23" s="19">
        <v>125000.0</v>
      </c>
      <c r="I23" s="20" t="s">
        <v>21</v>
      </c>
      <c r="J23" s="20" t="s">
        <v>30</v>
      </c>
      <c r="K23" s="20" t="s">
        <v>70</v>
      </c>
      <c r="L23" s="20" t="s">
        <v>22</v>
      </c>
      <c r="M23" s="20" t="s">
        <v>87</v>
      </c>
      <c r="N23" s="24"/>
      <c r="O23" s="24"/>
      <c r="P23" s="24"/>
      <c r="Q23" s="1"/>
      <c r="R23" s="1"/>
    </row>
    <row r="24">
      <c r="A24" s="1"/>
      <c r="B24" s="29"/>
      <c r="C24" s="15" t="s">
        <v>187</v>
      </c>
      <c r="D24" s="16" t="s">
        <v>24</v>
      </c>
      <c r="E24" s="17"/>
      <c r="F24" s="28">
        <v>46151.0</v>
      </c>
      <c r="G24" s="25"/>
      <c r="H24" s="19">
        <v>50000.0</v>
      </c>
      <c r="I24" s="20" t="s">
        <v>21</v>
      </c>
      <c r="J24" s="20" t="s">
        <v>30</v>
      </c>
      <c r="K24" s="20" t="s">
        <v>31</v>
      </c>
      <c r="L24" s="20" t="s">
        <v>22</v>
      </c>
      <c r="M24" s="20" t="s">
        <v>87</v>
      </c>
      <c r="N24" s="24"/>
      <c r="O24" s="24"/>
      <c r="P24" s="24"/>
      <c r="Q24" s="1"/>
      <c r="R24" s="1"/>
    </row>
    <row r="25">
      <c r="A25" s="1"/>
      <c r="B25" s="29"/>
      <c r="C25" s="31"/>
      <c r="D25" s="16"/>
      <c r="E25" s="17"/>
      <c r="F25" s="29"/>
      <c r="G25" s="25"/>
      <c r="H25" s="27"/>
      <c r="I25" s="26"/>
      <c r="J25" s="26"/>
      <c r="K25" s="26"/>
      <c r="L25" s="26"/>
      <c r="M25" s="26"/>
      <c r="N25" s="32"/>
      <c r="O25" s="32"/>
      <c r="P25" s="32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33">
        <f t="shared" ref="G26:H26" si="1">SUM(G4:G25)</f>
        <v>2075000</v>
      </c>
      <c r="H26" s="34">
        <f t="shared" si="1"/>
        <v>2745000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5" t="s">
        <v>0</v>
      </c>
      <c r="C29" s="36" t="s">
        <v>6</v>
      </c>
      <c r="D29" s="36" t="s">
        <v>57</v>
      </c>
      <c r="E29" s="37"/>
      <c r="F29" s="1"/>
      <c r="G29" s="1"/>
      <c r="H29" s="1"/>
      <c r="I29" s="1"/>
      <c r="J29" s="1"/>
      <c r="K29" s="1"/>
      <c r="L29" s="1"/>
      <c r="M29" s="1"/>
      <c r="N29" s="36" t="s">
        <v>58</v>
      </c>
      <c r="O29" s="36" t="s">
        <v>1</v>
      </c>
      <c r="P29" s="1"/>
      <c r="Q29" s="1"/>
      <c r="R29" s="1"/>
    </row>
    <row r="30">
      <c r="A30" s="1"/>
      <c r="B30" s="38">
        <v>1.0</v>
      </c>
      <c r="C30" s="39" t="s">
        <v>59</v>
      </c>
      <c r="D30" s="40">
        <f>SUM(G26)</f>
        <v>2075000</v>
      </c>
      <c r="E30" s="41"/>
      <c r="F30" s="1"/>
      <c r="G30" s="1"/>
      <c r="H30" s="1"/>
      <c r="I30" s="1"/>
      <c r="J30" s="1"/>
      <c r="K30" s="1"/>
      <c r="L30" s="1"/>
      <c r="M30" s="1"/>
      <c r="N30" s="42" t="s">
        <v>60</v>
      </c>
      <c r="O30" s="21" t="s">
        <v>43</v>
      </c>
      <c r="P30" s="1"/>
      <c r="Q30" s="1"/>
      <c r="R30" s="1"/>
    </row>
    <row r="31">
      <c r="A31" s="1"/>
      <c r="B31" s="43">
        <v>2.0</v>
      </c>
      <c r="C31" s="44" t="s">
        <v>154</v>
      </c>
      <c r="D31" s="45">
        <v>-150000.0</v>
      </c>
      <c r="E31" s="46"/>
      <c r="F31" s="1"/>
      <c r="G31" s="1"/>
      <c r="H31" s="1"/>
      <c r="I31" s="1"/>
      <c r="J31" s="1"/>
      <c r="K31" s="1"/>
      <c r="L31" s="1"/>
      <c r="M31" s="1"/>
      <c r="N31" s="47" t="s">
        <v>62</v>
      </c>
      <c r="O31" s="48" t="s">
        <v>22</v>
      </c>
      <c r="P31" s="1"/>
      <c r="Q31" s="1"/>
      <c r="R31" s="1"/>
    </row>
    <row r="32">
      <c r="A32" s="1"/>
      <c r="B32" s="38">
        <v>3.0</v>
      </c>
      <c r="C32" s="39" t="s">
        <v>94</v>
      </c>
      <c r="D32" s="49">
        <v>-50000.0</v>
      </c>
      <c r="E32" s="46"/>
      <c r="F32" s="1"/>
      <c r="G32" s="1"/>
      <c r="H32" s="1"/>
      <c r="I32" s="1"/>
      <c r="J32" s="1"/>
      <c r="K32" s="1"/>
      <c r="L32" s="1"/>
      <c r="M32" s="1"/>
      <c r="N32" s="50" t="s">
        <v>64</v>
      </c>
      <c r="O32" s="23" t="s">
        <v>147</v>
      </c>
      <c r="P32" s="1"/>
      <c r="Q32" s="1"/>
      <c r="R32" s="1"/>
    </row>
    <row r="33">
      <c r="A33" s="1"/>
      <c r="B33" s="43">
        <v>4.0</v>
      </c>
      <c r="C33" s="44" t="s">
        <v>61</v>
      </c>
      <c r="D33" s="45">
        <v>-50000.0</v>
      </c>
      <c r="E33" s="46"/>
      <c r="F33" s="1"/>
      <c r="G33" s="1"/>
      <c r="H33" s="1"/>
      <c r="I33" s="1"/>
      <c r="J33" s="1"/>
      <c r="K33" s="1"/>
      <c r="L33" s="1"/>
      <c r="M33" s="1"/>
      <c r="N33" s="51" t="s">
        <v>65</v>
      </c>
      <c r="O33" s="48" t="s">
        <v>87</v>
      </c>
      <c r="P33" s="1"/>
      <c r="Q33" s="1"/>
      <c r="R33" s="1"/>
    </row>
    <row r="34">
      <c r="A34" s="1"/>
      <c r="B34" s="38"/>
      <c r="C34" s="39" t="s">
        <v>156</v>
      </c>
      <c r="D34" s="49">
        <v>-100000.0</v>
      </c>
      <c r="E34" s="41"/>
      <c r="F34" s="1"/>
      <c r="G34" s="1"/>
      <c r="H34" s="1"/>
      <c r="I34" s="1"/>
      <c r="J34" s="1"/>
      <c r="K34" s="1"/>
      <c r="L34" s="1"/>
      <c r="M34" s="1"/>
      <c r="N34" s="53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38"/>
      <c r="C36" s="52"/>
      <c r="D36" s="40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3"/>
      <c r="C37" s="54"/>
      <c r="D37" s="55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8"/>
      <c r="C38" s="52"/>
      <c r="D38" s="40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43"/>
      <c r="C39" s="54"/>
      <c r="D39" s="55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56"/>
      <c r="C40" s="57"/>
      <c r="D40" s="58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59">
        <f>SUM(D30:D40)</f>
        <v>1725000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"-,JIJANG,AXEL,ADDEL ,FAHME,INDAH"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Edit,Add Cetak 5R,Photofox"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J4:K25">
      <formula1>"-,Pending,Uploaded"</formula1>
    </dataValidation>
    <dataValidation type="list" allowBlank="1" showDropDown="1" showErrorMessage="1" sqref="M4:M25 O32:O33">
      <formula1>"-,VERO,FADEL,PENTIL,FAHME,ADIF,HANIF"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200</v>
      </c>
      <c r="D4" s="16" t="s">
        <v>28</v>
      </c>
      <c r="E4" s="17"/>
      <c r="F4" s="60">
        <v>46152.0</v>
      </c>
      <c r="G4" s="18"/>
      <c r="H4" s="19">
        <v>700000.0</v>
      </c>
      <c r="I4" s="20" t="s">
        <v>21</v>
      </c>
      <c r="J4" s="20" t="s">
        <v>30</v>
      </c>
      <c r="K4" s="20" t="s">
        <v>70</v>
      </c>
      <c r="L4" s="20" t="s">
        <v>22</v>
      </c>
      <c r="M4" s="20" t="s">
        <v>32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133</v>
      </c>
      <c r="D5" s="16" t="s">
        <v>28</v>
      </c>
      <c r="E5" s="17"/>
      <c r="F5" s="60">
        <v>46152.0</v>
      </c>
      <c r="G5" s="18"/>
      <c r="H5" s="19">
        <v>775000.0</v>
      </c>
      <c r="I5" s="20" t="s">
        <v>21</v>
      </c>
      <c r="J5" s="20" t="s">
        <v>30</v>
      </c>
      <c r="K5" s="20" t="s">
        <v>30</v>
      </c>
      <c r="L5" s="20" t="s">
        <v>22</v>
      </c>
      <c r="M5" s="20" t="s">
        <v>32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131</v>
      </c>
      <c r="D6" s="16" t="s">
        <v>28</v>
      </c>
      <c r="E6" s="17"/>
      <c r="F6" s="28">
        <v>46152.0</v>
      </c>
      <c r="G6" s="25"/>
      <c r="H6" s="19">
        <v>125000.0</v>
      </c>
      <c r="I6" s="20" t="s">
        <v>21</v>
      </c>
      <c r="J6" s="20" t="s">
        <v>30</v>
      </c>
      <c r="K6" s="20" t="s">
        <v>30</v>
      </c>
      <c r="L6" s="20" t="s">
        <v>22</v>
      </c>
      <c r="M6" s="20" t="s">
        <v>32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201</v>
      </c>
      <c r="D7" s="16" t="s">
        <v>19</v>
      </c>
      <c r="E7" s="17"/>
      <c r="F7" s="28">
        <v>46152.0</v>
      </c>
      <c r="G7" s="18">
        <v>250000.0</v>
      </c>
      <c r="H7" s="27"/>
      <c r="I7" s="20"/>
      <c r="J7" s="20"/>
      <c r="K7" s="20"/>
      <c r="L7" s="26"/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168</v>
      </c>
      <c r="D8" s="16" t="s">
        <v>28</v>
      </c>
      <c r="E8" s="17"/>
      <c r="F8" s="28">
        <v>46152.0</v>
      </c>
      <c r="G8" s="18">
        <v>1325000.0</v>
      </c>
      <c r="H8" s="27"/>
      <c r="I8" s="20" t="s">
        <v>21</v>
      </c>
      <c r="J8" s="20" t="s">
        <v>30</v>
      </c>
      <c r="K8" s="20" t="s">
        <v>70</v>
      </c>
      <c r="L8" s="20" t="s">
        <v>43</v>
      </c>
      <c r="M8" s="20" t="s">
        <v>32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139</v>
      </c>
      <c r="D9" s="16" t="s">
        <v>28</v>
      </c>
      <c r="E9" s="17"/>
      <c r="F9" s="28">
        <v>46153.0</v>
      </c>
      <c r="G9" s="18"/>
      <c r="H9" s="19">
        <v>100000.0</v>
      </c>
      <c r="I9" s="20" t="s">
        <v>26</v>
      </c>
      <c r="J9" s="20"/>
      <c r="K9" s="20"/>
      <c r="L9" s="20" t="s">
        <v>43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193</v>
      </c>
      <c r="D10" s="16" t="s">
        <v>24</v>
      </c>
      <c r="E10" s="17"/>
      <c r="F10" s="28">
        <v>46152.0</v>
      </c>
      <c r="G10" s="18">
        <v>50000.0</v>
      </c>
      <c r="H10" s="27"/>
      <c r="I10" s="20" t="s">
        <v>21</v>
      </c>
      <c r="J10" s="20" t="s">
        <v>30</v>
      </c>
      <c r="K10" s="20" t="s">
        <v>70</v>
      </c>
      <c r="L10" s="20" t="s">
        <v>43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91</v>
      </c>
      <c r="D11" s="16" t="s">
        <v>28</v>
      </c>
      <c r="E11" s="17"/>
      <c r="F11" s="28">
        <v>46152.0</v>
      </c>
      <c r="G11" s="18">
        <v>33000.0</v>
      </c>
      <c r="H11" s="19">
        <v>206000.0</v>
      </c>
      <c r="I11" s="20" t="s">
        <v>21</v>
      </c>
      <c r="J11" s="20" t="s">
        <v>30</v>
      </c>
      <c r="K11" s="20" t="s">
        <v>30</v>
      </c>
      <c r="L11" s="20" t="s">
        <v>43</v>
      </c>
      <c r="M11" s="20" t="s">
        <v>87</v>
      </c>
      <c r="N11" s="23"/>
      <c r="O11" s="24"/>
      <c r="P11" s="24"/>
      <c r="Q11" s="1"/>
      <c r="R11" s="1"/>
    </row>
    <row r="12">
      <c r="A12" s="1"/>
      <c r="B12" s="14">
        <v>9.0</v>
      </c>
      <c r="C12" s="15"/>
      <c r="D12" s="16"/>
      <c r="E12" s="17"/>
      <c r="F12" s="29"/>
      <c r="G12" s="18"/>
      <c r="H12" s="27"/>
      <c r="I12" s="20"/>
      <c r="J12" s="20"/>
      <c r="K12" s="20"/>
      <c r="L12" s="26"/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1658000</v>
      </c>
      <c r="H19" s="34">
        <f t="shared" si="1"/>
        <v>1906000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1658000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202</v>
      </c>
      <c r="D24" s="45">
        <v>-100000.0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87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1558000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25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136</v>
      </c>
      <c r="D4" s="16" t="s">
        <v>203</v>
      </c>
      <c r="E4" s="17" t="s">
        <v>204</v>
      </c>
      <c r="F4" s="60">
        <v>46148.0</v>
      </c>
      <c r="G4" s="18"/>
      <c r="H4" s="19">
        <v>195000.0</v>
      </c>
      <c r="I4" s="20" t="s">
        <v>21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205</v>
      </c>
      <c r="D5" s="16" t="s">
        <v>19</v>
      </c>
      <c r="E5" s="17"/>
      <c r="F5" s="60">
        <v>46165.0</v>
      </c>
      <c r="G5" s="18"/>
      <c r="H5" s="19">
        <v>100000.0</v>
      </c>
      <c r="I5" s="20" t="s">
        <v>26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206</v>
      </c>
      <c r="D6" s="16" t="s">
        <v>28</v>
      </c>
      <c r="E6" s="17"/>
      <c r="F6" s="28">
        <v>46153.0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140</v>
      </c>
      <c r="D7" s="16" t="s">
        <v>28</v>
      </c>
      <c r="E7" s="17"/>
      <c r="F7" s="28">
        <v>46153.0</v>
      </c>
      <c r="G7" s="18">
        <v>200000.0</v>
      </c>
      <c r="H7" s="27"/>
      <c r="I7" s="20" t="s">
        <v>21</v>
      </c>
      <c r="J7" s="20" t="s">
        <v>30</v>
      </c>
      <c r="K7" s="20" t="s">
        <v>30</v>
      </c>
      <c r="L7" s="20" t="s">
        <v>43</v>
      </c>
      <c r="M7" s="20" t="s">
        <v>87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207</v>
      </c>
      <c r="D8" s="16" t="s">
        <v>19</v>
      </c>
      <c r="E8" s="17"/>
      <c r="F8" s="28">
        <v>46165.0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206</v>
      </c>
      <c r="D9" s="16" t="s">
        <v>28</v>
      </c>
      <c r="E9" s="17"/>
      <c r="F9" s="28">
        <v>46153.0</v>
      </c>
      <c r="G9" s="18"/>
      <c r="H9" s="19">
        <v>400000.0</v>
      </c>
      <c r="I9" s="20" t="s">
        <v>21</v>
      </c>
      <c r="J9" s="20" t="s">
        <v>30</v>
      </c>
      <c r="K9" s="20" t="s">
        <v>30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208</v>
      </c>
      <c r="D10" s="16" t="s">
        <v>24</v>
      </c>
      <c r="E10" s="17"/>
      <c r="F10" s="28">
        <v>46153.0</v>
      </c>
      <c r="G10" s="18">
        <v>50000.0</v>
      </c>
      <c r="H10" s="27"/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162</v>
      </c>
      <c r="D11" s="16" t="s">
        <v>28</v>
      </c>
      <c r="E11" s="17"/>
      <c r="F11" s="28">
        <v>46153.0</v>
      </c>
      <c r="G11" s="18">
        <v>75000.0</v>
      </c>
      <c r="H11" s="27"/>
      <c r="I11" s="20" t="s">
        <v>21</v>
      </c>
      <c r="J11" s="20" t="s">
        <v>30</v>
      </c>
      <c r="K11" s="20" t="s">
        <v>30</v>
      </c>
      <c r="L11" s="20" t="s">
        <v>145</v>
      </c>
      <c r="M11" s="20" t="s">
        <v>87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139</v>
      </c>
      <c r="D12" s="16" t="s">
        <v>28</v>
      </c>
      <c r="E12" s="17"/>
      <c r="F12" s="28">
        <v>46153.0</v>
      </c>
      <c r="G12" s="18">
        <v>75000.0</v>
      </c>
      <c r="H12" s="27"/>
      <c r="I12" s="20" t="s">
        <v>21</v>
      </c>
      <c r="J12" s="20" t="s">
        <v>30</v>
      </c>
      <c r="K12" s="20" t="s">
        <v>30</v>
      </c>
      <c r="L12" s="20" t="s">
        <v>145</v>
      </c>
      <c r="M12" s="20" t="s">
        <v>87</v>
      </c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400000</v>
      </c>
      <c r="H19" s="34">
        <f t="shared" si="1"/>
        <v>895000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400000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43</v>
      </c>
      <c r="P23" s="1"/>
      <c r="Q23" s="1"/>
      <c r="R23" s="1"/>
    </row>
    <row r="24">
      <c r="A24" s="1"/>
      <c r="B24" s="43">
        <v>2.0</v>
      </c>
      <c r="C24" s="44" t="s">
        <v>209</v>
      </c>
      <c r="D24" s="45">
        <v>-40000.0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145</v>
      </c>
      <c r="P24" s="1"/>
      <c r="Q24" s="1"/>
      <c r="R24" s="1"/>
    </row>
    <row r="25">
      <c r="A25" s="1"/>
      <c r="B25" s="38">
        <v>3.0</v>
      </c>
      <c r="C25" s="39" t="s">
        <v>210</v>
      </c>
      <c r="D25" s="49">
        <v>-85000.0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87</v>
      </c>
      <c r="P25" s="1"/>
      <c r="Q25" s="1"/>
      <c r="R25" s="1"/>
    </row>
    <row r="26">
      <c r="A26" s="1"/>
      <c r="B26" s="43">
        <v>4.0</v>
      </c>
      <c r="C26" s="44" t="s">
        <v>138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87</v>
      </c>
      <c r="P26" s="1"/>
      <c r="Q26" s="1"/>
      <c r="R26" s="1"/>
    </row>
    <row r="27">
      <c r="A27" s="1"/>
      <c r="B27" s="38"/>
      <c r="C27" s="39" t="s">
        <v>211</v>
      </c>
      <c r="D27" s="49">
        <v>-37000.0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4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188000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Cetak"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6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212</v>
      </c>
      <c r="D4" s="16" t="s">
        <v>28</v>
      </c>
      <c r="E4" s="17"/>
      <c r="F4" s="60">
        <v>46155.0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213</v>
      </c>
      <c r="D5" s="16" t="s">
        <v>42</v>
      </c>
      <c r="E5" s="17"/>
      <c r="F5" s="60">
        <v>46155.0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214</v>
      </c>
      <c r="D6" s="16" t="s">
        <v>28</v>
      </c>
      <c r="E6" s="17"/>
      <c r="F6" s="28">
        <v>46156.0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215</v>
      </c>
      <c r="D7" s="16" t="s">
        <v>42</v>
      </c>
      <c r="E7" s="17"/>
      <c r="F7" s="28">
        <v>46156.0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216</v>
      </c>
      <c r="D8" s="16" t="s">
        <v>117</v>
      </c>
      <c r="E8" s="17"/>
      <c r="F8" s="28">
        <v>46156.0</v>
      </c>
      <c r="G8" s="18"/>
      <c r="H8" s="19">
        <v>100000.0</v>
      </c>
      <c r="I8" s="20" t="s">
        <v>26</v>
      </c>
      <c r="J8" s="20"/>
      <c r="K8" s="20"/>
      <c r="L8" s="20" t="s">
        <v>22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217</v>
      </c>
      <c r="D9" s="16" t="s">
        <v>39</v>
      </c>
      <c r="E9" s="17"/>
      <c r="F9" s="28">
        <v>46154.0</v>
      </c>
      <c r="G9" s="18"/>
      <c r="H9" s="19">
        <v>100000.0</v>
      </c>
      <c r="I9" s="20" t="s">
        <v>21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218</v>
      </c>
      <c r="D10" s="16" t="s">
        <v>28</v>
      </c>
      <c r="E10" s="17" t="s">
        <v>219</v>
      </c>
      <c r="F10" s="28">
        <v>46154.0</v>
      </c>
      <c r="G10" s="18">
        <v>275000.0</v>
      </c>
      <c r="H10" s="19">
        <v>1150000.0</v>
      </c>
      <c r="I10" s="20" t="s">
        <v>21</v>
      </c>
      <c r="J10" s="20" t="s">
        <v>30</v>
      </c>
      <c r="K10" s="20" t="s">
        <v>70</v>
      </c>
      <c r="L10" s="20" t="s">
        <v>22</v>
      </c>
      <c r="M10" s="20" t="s">
        <v>32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220</v>
      </c>
      <c r="D11" s="16" t="s">
        <v>42</v>
      </c>
      <c r="E11" s="17"/>
      <c r="F11" s="28">
        <v>46154.0</v>
      </c>
      <c r="G11" s="18"/>
      <c r="H11" s="19">
        <v>225000.0</v>
      </c>
      <c r="I11" s="20" t="s">
        <v>21</v>
      </c>
      <c r="J11" s="20" t="s">
        <v>30</v>
      </c>
      <c r="K11" s="20" t="s">
        <v>70</v>
      </c>
      <c r="L11" s="20" t="s">
        <v>22</v>
      </c>
      <c r="M11" s="20" t="s">
        <v>32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221</v>
      </c>
      <c r="D12" s="16" t="s">
        <v>143</v>
      </c>
      <c r="E12" s="17"/>
      <c r="F12" s="28">
        <v>46154.0</v>
      </c>
      <c r="G12" s="18">
        <v>50000.0</v>
      </c>
      <c r="H12" s="27"/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87</v>
      </c>
      <c r="N12" s="23"/>
      <c r="O12" s="24"/>
      <c r="P12" s="24"/>
      <c r="Q12" s="1"/>
      <c r="R12" s="1"/>
    </row>
    <row r="13">
      <c r="A13" s="1"/>
      <c r="B13" s="14">
        <v>10.0</v>
      </c>
      <c r="C13" s="76" t="s">
        <v>222</v>
      </c>
      <c r="D13" s="16" t="s">
        <v>39</v>
      </c>
      <c r="E13" s="17"/>
      <c r="F13" s="28">
        <v>46154.0</v>
      </c>
      <c r="G13" s="18"/>
      <c r="H13" s="19">
        <v>100000.0</v>
      </c>
      <c r="I13" s="20" t="s">
        <v>21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161</v>
      </c>
      <c r="D14" s="16" t="s">
        <v>223</v>
      </c>
      <c r="E14" s="17"/>
      <c r="F14" s="28">
        <v>46149.0</v>
      </c>
      <c r="G14" s="18"/>
      <c r="H14" s="19">
        <v>10000.0</v>
      </c>
      <c r="I14" s="20" t="s">
        <v>21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224</v>
      </c>
      <c r="D15" s="16" t="s">
        <v>42</v>
      </c>
      <c r="E15" s="17"/>
      <c r="F15" s="28">
        <v>46164.0</v>
      </c>
      <c r="G15" s="18"/>
      <c r="H15" s="19">
        <v>100000.0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76" t="s">
        <v>222</v>
      </c>
      <c r="D16" s="16" t="s">
        <v>13</v>
      </c>
      <c r="E16" s="17"/>
      <c r="F16" s="28">
        <v>46154.0</v>
      </c>
      <c r="G16" s="18"/>
      <c r="H16" s="19">
        <v>50000.0</v>
      </c>
      <c r="I16" s="20" t="s">
        <v>21</v>
      </c>
      <c r="J16" s="20" t="s">
        <v>30</v>
      </c>
      <c r="K16" s="20" t="s">
        <v>30</v>
      </c>
      <c r="L16" s="20" t="s">
        <v>43</v>
      </c>
      <c r="M16" s="20" t="s">
        <v>87</v>
      </c>
      <c r="N16" s="23"/>
      <c r="O16" s="24"/>
      <c r="P16" s="24"/>
      <c r="Q16" s="1"/>
      <c r="R16" s="1"/>
    </row>
    <row r="17">
      <c r="A17" s="1"/>
      <c r="B17" s="29"/>
      <c r="C17" s="15" t="s">
        <v>217</v>
      </c>
      <c r="D17" s="16" t="s">
        <v>13</v>
      </c>
      <c r="E17" s="17"/>
      <c r="F17" s="28">
        <v>46154.0</v>
      </c>
      <c r="G17" s="18"/>
      <c r="H17" s="19">
        <v>50000.0</v>
      </c>
      <c r="I17" s="20" t="s">
        <v>21</v>
      </c>
      <c r="J17" s="20" t="s">
        <v>30</v>
      </c>
      <c r="K17" s="20"/>
      <c r="L17" s="20" t="s">
        <v>43</v>
      </c>
      <c r="M17" s="20" t="s">
        <v>87</v>
      </c>
      <c r="N17" s="23"/>
      <c r="O17" s="24"/>
      <c r="P17" s="24"/>
      <c r="Q17" s="1"/>
      <c r="R17" s="1"/>
    </row>
    <row r="18">
      <c r="A18" s="1"/>
      <c r="B18" s="29"/>
      <c r="C18" s="15"/>
      <c r="D18" s="16"/>
      <c r="E18" s="17"/>
      <c r="F18" s="29"/>
      <c r="G18" s="18"/>
      <c r="H18" s="27"/>
      <c r="I18" s="20"/>
      <c r="J18" s="20"/>
      <c r="K18" s="20"/>
      <c r="L18" s="26"/>
      <c r="M18" s="26"/>
      <c r="N18" s="23"/>
      <c r="O18" s="24"/>
      <c r="P18" s="24"/>
      <c r="Q18" s="1"/>
      <c r="R18" s="1"/>
    </row>
    <row r="19">
      <c r="A19" s="1"/>
      <c r="B19" s="29"/>
      <c r="C19" s="15"/>
      <c r="D19" s="16"/>
      <c r="E19" s="17"/>
      <c r="F19" s="29"/>
      <c r="G19" s="18"/>
      <c r="H19" s="27"/>
      <c r="I19" s="20"/>
      <c r="J19" s="20"/>
      <c r="K19" s="20"/>
      <c r="L19" s="26"/>
      <c r="M19" s="26"/>
      <c r="N19" s="23"/>
      <c r="O19" s="24"/>
      <c r="P19" s="24"/>
      <c r="Q19" s="1"/>
      <c r="R19" s="1"/>
    </row>
    <row r="20">
      <c r="A20" s="1"/>
      <c r="B20" s="29"/>
      <c r="C20" s="31"/>
      <c r="D20" s="16"/>
      <c r="E20" s="17"/>
      <c r="F20" s="29"/>
      <c r="G20" s="25"/>
      <c r="H20" s="27"/>
      <c r="I20" s="26"/>
      <c r="J20" s="26"/>
      <c r="K20" s="26"/>
      <c r="L20" s="26"/>
      <c r="M20" s="26"/>
      <c r="N20" s="32"/>
      <c r="O20" s="32"/>
      <c r="P20" s="32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33">
        <f t="shared" ref="G21:H21" si="1">SUM(G4:G20)</f>
        <v>325000</v>
      </c>
      <c r="H21" s="34">
        <f t="shared" si="1"/>
        <v>2285000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35" t="s">
        <v>0</v>
      </c>
      <c r="C24" s="36" t="s">
        <v>6</v>
      </c>
      <c r="D24" s="36" t="s">
        <v>57</v>
      </c>
      <c r="E24" s="37"/>
      <c r="F24" s="1"/>
      <c r="G24" s="1"/>
      <c r="H24" s="1"/>
      <c r="I24" s="1"/>
      <c r="J24" s="1"/>
      <c r="K24" s="1"/>
      <c r="L24" s="1"/>
      <c r="M24" s="1"/>
      <c r="N24" s="36" t="s">
        <v>58</v>
      </c>
      <c r="O24" s="36" t="s">
        <v>1</v>
      </c>
      <c r="P24" s="1"/>
      <c r="Q24" s="1"/>
      <c r="R24" s="1"/>
    </row>
    <row r="25">
      <c r="A25" s="1"/>
      <c r="B25" s="38">
        <v>1.0</v>
      </c>
      <c r="C25" s="39" t="s">
        <v>59</v>
      </c>
      <c r="D25" s="40">
        <f>SUM(G21)</f>
        <v>325000</v>
      </c>
      <c r="E25" s="41"/>
      <c r="F25" s="1"/>
      <c r="G25" s="1"/>
      <c r="H25" s="1"/>
      <c r="I25" s="1"/>
      <c r="J25" s="1"/>
      <c r="K25" s="1"/>
      <c r="L25" s="1"/>
      <c r="M25" s="1"/>
      <c r="N25" s="42" t="s">
        <v>60</v>
      </c>
      <c r="O25" s="21" t="s">
        <v>22</v>
      </c>
      <c r="P25" s="1"/>
      <c r="Q25" s="1"/>
      <c r="R25" s="1"/>
    </row>
    <row r="26">
      <c r="A26" s="1"/>
      <c r="B26" s="43">
        <v>2.0</v>
      </c>
      <c r="C26" s="44" t="s">
        <v>154</v>
      </c>
      <c r="D26" s="45">
        <v>-100000.0</v>
      </c>
      <c r="E26" s="46"/>
      <c r="F26" s="1"/>
      <c r="G26" s="1"/>
      <c r="H26" s="1"/>
      <c r="I26" s="1"/>
      <c r="J26" s="1"/>
      <c r="K26" s="1"/>
      <c r="L26" s="1"/>
      <c r="M26" s="1"/>
      <c r="N26" s="47" t="s">
        <v>62</v>
      </c>
      <c r="O26" s="48" t="s">
        <v>43</v>
      </c>
      <c r="P26" s="1"/>
      <c r="Q26" s="1"/>
      <c r="R26" s="1"/>
    </row>
    <row r="27">
      <c r="A27" s="1"/>
      <c r="B27" s="38">
        <v>3.0</v>
      </c>
      <c r="C27" s="39" t="s">
        <v>61</v>
      </c>
      <c r="D27" s="49">
        <v>-75000.0</v>
      </c>
      <c r="E27" s="46"/>
      <c r="F27" s="1"/>
      <c r="G27" s="1"/>
      <c r="H27" s="1"/>
      <c r="I27" s="1"/>
      <c r="J27" s="1"/>
      <c r="K27" s="1"/>
      <c r="L27" s="1"/>
      <c r="M27" s="1"/>
      <c r="N27" s="50" t="s">
        <v>64</v>
      </c>
      <c r="O27" s="23" t="s">
        <v>32</v>
      </c>
      <c r="P27" s="1"/>
      <c r="Q27" s="1"/>
      <c r="R27" s="1"/>
    </row>
    <row r="28">
      <c r="A28" s="1"/>
      <c r="B28" s="43">
        <v>4.0</v>
      </c>
      <c r="C28" s="44" t="s">
        <v>138</v>
      </c>
      <c r="D28" s="45">
        <v>-16000.0</v>
      </c>
      <c r="E28" s="46"/>
      <c r="F28" s="1"/>
      <c r="G28" s="1"/>
      <c r="H28" s="1"/>
      <c r="I28" s="1"/>
      <c r="J28" s="1"/>
      <c r="K28" s="1"/>
      <c r="L28" s="1"/>
      <c r="M28" s="1"/>
      <c r="N28" s="51" t="s">
        <v>65</v>
      </c>
      <c r="O28" s="48" t="s">
        <v>87</v>
      </c>
      <c r="P28" s="1"/>
      <c r="Q28" s="1"/>
      <c r="R28" s="1"/>
    </row>
    <row r="29">
      <c r="A29" s="1"/>
      <c r="B29" s="38"/>
      <c r="C29" s="39" t="s">
        <v>94</v>
      </c>
      <c r="D29" s="49">
        <v>-34000.0</v>
      </c>
      <c r="E29" s="41"/>
      <c r="F29" s="1"/>
      <c r="G29" s="1"/>
      <c r="H29" s="1"/>
      <c r="I29" s="1"/>
      <c r="J29" s="1"/>
      <c r="K29" s="1"/>
      <c r="L29" s="1"/>
      <c r="M29" s="1"/>
      <c r="N29" s="53"/>
      <c r="O29" s="1"/>
      <c r="P29" s="1"/>
      <c r="Q29" s="1"/>
      <c r="R29" s="1"/>
    </row>
    <row r="30">
      <c r="A30" s="1"/>
      <c r="B30" s="43"/>
      <c r="C30" s="44">
        <v>5.0</v>
      </c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52"/>
      <c r="D33" s="40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54"/>
      <c r="D34" s="55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6"/>
      <c r="C35" s="57"/>
      <c r="D35" s="58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59">
        <f>SUM(D25:D35)</f>
        <v>100000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0 O25:O26">
      <formula1>"-,JIJANG,AXEL,ADDEL ,FAHME,INDAH"</formula1>
    </dataValidation>
    <dataValidation type="list" allowBlank="1" showDropDown="1" showErrorMessage="1" sqref="M4:M20 O27:O28">
      <formula1>"-,VERO,FADEL,HANIF ,FAHME,ADIF"</formula1>
    </dataValidation>
    <dataValidation type="list" allowBlank="1" showErrorMessage="1" sqref="N4:N20">
      <formula1>"-,Pending,Progress,Uploaded"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Edit,Photofox,All File"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7.25"/>
    <col customWidth="1" min="4" max="4" width="16.0"/>
    <col customWidth="1" min="5" max="5" width="15.8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225</v>
      </c>
      <c r="D4" s="16" t="s">
        <v>28</v>
      </c>
      <c r="E4" s="17"/>
      <c r="F4" s="60">
        <v>46155.0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226</v>
      </c>
      <c r="D5" s="16" t="s">
        <v>24</v>
      </c>
      <c r="E5" s="17"/>
      <c r="F5" s="60">
        <v>46155.0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227</v>
      </c>
      <c r="D6" s="16" t="s">
        <v>28</v>
      </c>
      <c r="E6" s="17"/>
      <c r="F6" s="28">
        <v>46155.0</v>
      </c>
      <c r="G6" s="25"/>
      <c r="H6" s="19">
        <v>425000.0</v>
      </c>
      <c r="I6" s="20" t="s">
        <v>21</v>
      </c>
      <c r="J6" s="20" t="s">
        <v>30</v>
      </c>
      <c r="K6" s="20" t="s">
        <v>70</v>
      </c>
      <c r="L6" s="20" t="s">
        <v>22</v>
      </c>
      <c r="M6" s="20" t="s">
        <v>228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226</v>
      </c>
      <c r="D7" s="16" t="s">
        <v>24</v>
      </c>
      <c r="E7" s="17"/>
      <c r="F7" s="28">
        <v>46155.0</v>
      </c>
      <c r="G7" s="18">
        <v>50000.0</v>
      </c>
      <c r="H7" s="27"/>
      <c r="I7" s="20" t="s">
        <v>21</v>
      </c>
      <c r="J7" s="20" t="s">
        <v>30</v>
      </c>
      <c r="K7" s="20" t="s">
        <v>30</v>
      </c>
      <c r="L7" s="20" t="s">
        <v>22</v>
      </c>
      <c r="M7" s="20" t="s">
        <v>228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229</v>
      </c>
      <c r="D8" s="16" t="s">
        <v>39</v>
      </c>
      <c r="E8" s="17"/>
      <c r="F8" s="28">
        <v>46155.0</v>
      </c>
      <c r="G8" s="18"/>
      <c r="H8" s="19">
        <v>100000.0</v>
      </c>
      <c r="I8" s="20" t="s">
        <v>26</v>
      </c>
      <c r="J8" s="20"/>
      <c r="K8" s="20"/>
      <c r="L8" s="20" t="s">
        <v>22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230</v>
      </c>
      <c r="D9" s="16" t="s">
        <v>28</v>
      </c>
      <c r="E9" s="17"/>
      <c r="F9" s="28">
        <v>46163.0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231</v>
      </c>
      <c r="D10" s="16" t="s">
        <v>24</v>
      </c>
      <c r="E10" s="17"/>
      <c r="F10" s="28">
        <v>46155.0</v>
      </c>
      <c r="G10" s="18"/>
      <c r="H10" s="19">
        <v>100000.0</v>
      </c>
      <c r="I10" s="20" t="s">
        <v>26</v>
      </c>
      <c r="J10" s="20"/>
      <c r="K10" s="20"/>
      <c r="L10" s="20" t="s">
        <v>22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229</v>
      </c>
      <c r="D11" s="16" t="s">
        <v>39</v>
      </c>
      <c r="E11" s="17"/>
      <c r="F11" s="28">
        <v>46155.0</v>
      </c>
      <c r="G11" s="18">
        <v>0.0</v>
      </c>
      <c r="H11" s="19">
        <v>0.0</v>
      </c>
      <c r="I11" s="20" t="s">
        <v>21</v>
      </c>
      <c r="J11" s="20" t="s">
        <v>30</v>
      </c>
      <c r="K11" s="20" t="s">
        <v>30</v>
      </c>
      <c r="L11" s="20" t="s">
        <v>22</v>
      </c>
      <c r="M11" s="20" t="s">
        <v>228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232</v>
      </c>
      <c r="D12" s="16" t="s">
        <v>143</v>
      </c>
      <c r="E12" s="17" t="s">
        <v>233</v>
      </c>
      <c r="F12" s="28">
        <v>46155.0</v>
      </c>
      <c r="G12" s="18"/>
      <c r="H12" s="19">
        <v>280000.0</v>
      </c>
      <c r="I12" s="20" t="s">
        <v>21</v>
      </c>
      <c r="J12" s="20" t="s">
        <v>30</v>
      </c>
      <c r="K12" s="20" t="s">
        <v>30</v>
      </c>
      <c r="L12" s="20" t="s">
        <v>22</v>
      </c>
      <c r="M12" s="20" t="s">
        <v>228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174</v>
      </c>
      <c r="D13" s="16" t="s">
        <v>39</v>
      </c>
      <c r="E13" s="17"/>
      <c r="F13" s="28">
        <v>46155.0</v>
      </c>
      <c r="G13" s="18">
        <v>0.0</v>
      </c>
      <c r="H13" s="19">
        <v>0.0</v>
      </c>
      <c r="I13" s="20" t="s">
        <v>21</v>
      </c>
      <c r="J13" s="20" t="s">
        <v>30</v>
      </c>
      <c r="K13" s="20" t="s">
        <v>70</v>
      </c>
      <c r="L13" s="20" t="s">
        <v>22</v>
      </c>
      <c r="M13" s="20" t="s">
        <v>32</v>
      </c>
      <c r="N13" s="23"/>
      <c r="O13" s="24"/>
      <c r="P13" s="24"/>
      <c r="Q13" s="1"/>
      <c r="R13" s="1"/>
    </row>
    <row r="14">
      <c r="A14" s="1"/>
      <c r="B14" s="29"/>
      <c r="C14" s="15" t="s">
        <v>213</v>
      </c>
      <c r="D14" s="16" t="s">
        <v>42</v>
      </c>
      <c r="E14" s="17"/>
      <c r="F14" s="28">
        <v>46155.0</v>
      </c>
      <c r="G14" s="18"/>
      <c r="H14" s="19">
        <v>100000.0</v>
      </c>
      <c r="I14" s="20" t="s">
        <v>21</v>
      </c>
      <c r="J14" s="20" t="s">
        <v>30</v>
      </c>
      <c r="K14" s="20" t="s">
        <v>70</v>
      </c>
      <c r="L14" s="20" t="s">
        <v>22</v>
      </c>
      <c r="M14" s="20" t="s">
        <v>32</v>
      </c>
      <c r="N14" s="23"/>
      <c r="O14" s="24"/>
      <c r="P14" s="24"/>
      <c r="Q14" s="1"/>
      <c r="R14" s="1"/>
    </row>
    <row r="15">
      <c r="A15" s="1"/>
      <c r="B15" s="29"/>
      <c r="C15" s="15" t="s">
        <v>225</v>
      </c>
      <c r="D15" s="16" t="s">
        <v>28</v>
      </c>
      <c r="E15" s="17"/>
      <c r="F15" s="28">
        <v>46155.0</v>
      </c>
      <c r="G15" s="18">
        <v>700000.0</v>
      </c>
      <c r="H15" s="27"/>
      <c r="I15" s="20" t="s">
        <v>21</v>
      </c>
      <c r="J15" s="20" t="s">
        <v>30</v>
      </c>
      <c r="K15" s="20" t="s">
        <v>70</v>
      </c>
      <c r="L15" s="20" t="s">
        <v>22</v>
      </c>
      <c r="M15" s="20" t="s">
        <v>32</v>
      </c>
      <c r="N15" s="23"/>
      <c r="O15" s="24"/>
      <c r="P15" s="24"/>
      <c r="Q15" s="1"/>
      <c r="R15" s="1"/>
    </row>
    <row r="16">
      <c r="A16" s="1"/>
      <c r="B16" s="29"/>
      <c r="C16" s="15" t="s">
        <v>231</v>
      </c>
      <c r="D16" s="16" t="s">
        <v>24</v>
      </c>
      <c r="E16" s="17"/>
      <c r="F16" s="28">
        <v>46155.0</v>
      </c>
      <c r="G16" s="18">
        <v>50000.0</v>
      </c>
      <c r="H16" s="27"/>
      <c r="I16" s="20" t="s">
        <v>21</v>
      </c>
      <c r="J16" s="20" t="s">
        <v>30</v>
      </c>
      <c r="K16" s="20" t="s">
        <v>70</v>
      </c>
      <c r="L16" s="20" t="s">
        <v>22</v>
      </c>
      <c r="M16" s="20" t="s">
        <v>32</v>
      </c>
      <c r="N16" s="23"/>
      <c r="O16" s="24"/>
      <c r="P16" s="24"/>
      <c r="Q16" s="1"/>
      <c r="R16" s="1"/>
    </row>
    <row r="17">
      <c r="A17" s="1"/>
      <c r="B17" s="29"/>
      <c r="C17" s="15" t="s">
        <v>234</v>
      </c>
      <c r="D17" s="16" t="s">
        <v>28</v>
      </c>
      <c r="E17" s="17"/>
      <c r="F17" s="28">
        <v>46164.0</v>
      </c>
      <c r="G17" s="18"/>
      <c r="H17" s="19">
        <v>100000.0</v>
      </c>
      <c r="I17" s="20" t="s">
        <v>26</v>
      </c>
      <c r="J17" s="20"/>
      <c r="K17" s="20"/>
      <c r="L17" s="20" t="s">
        <v>22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115</v>
      </c>
      <c r="D18" s="16" t="s">
        <v>28</v>
      </c>
      <c r="E18" s="17"/>
      <c r="F18" s="28">
        <v>46156.0</v>
      </c>
      <c r="G18" s="25"/>
      <c r="H18" s="19">
        <v>100000.0</v>
      </c>
      <c r="I18" s="20" t="s">
        <v>26</v>
      </c>
      <c r="J18" s="26"/>
      <c r="K18" s="26"/>
      <c r="L18" s="20" t="s">
        <v>22</v>
      </c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800000</v>
      </c>
      <c r="H19" s="34">
        <f t="shared" si="1"/>
        <v>1505000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800000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235</v>
      </c>
      <c r="D24" s="45">
        <v>-24000.0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22</v>
      </c>
      <c r="P24" s="1"/>
      <c r="Q24" s="1"/>
      <c r="R24" s="1"/>
    </row>
    <row r="25">
      <c r="A25" s="1"/>
      <c r="B25" s="38">
        <v>3.0</v>
      </c>
      <c r="C25" s="39" t="s">
        <v>94</v>
      </c>
      <c r="D25" s="49">
        <v>-75000.0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 t="s">
        <v>154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32</v>
      </c>
      <c r="P26" s="1"/>
      <c r="Q26" s="1"/>
      <c r="R26" s="1"/>
    </row>
    <row r="27">
      <c r="A27" s="1"/>
      <c r="B27" s="38"/>
      <c r="C27" s="39" t="s">
        <v>61</v>
      </c>
      <c r="D27" s="49">
        <v>-51000.0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600000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37" t="s">
        <v>236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1 M13:M18 O25:O26">
      <formula1>"-,VERO,FADEL,ADIF ,HANIF "</formula1>
    </dataValidation>
    <dataValidation type="list" allowBlank="1" showDropDown="1" showErrorMessage="1" sqref="L4:L18 O23:O24">
      <formula1>"-,JIJANG,ADDEL 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12">
      <formula1>"-,VERO,FADEL,ADIF 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237</v>
      </c>
      <c r="D4" s="16" t="s">
        <v>19</v>
      </c>
      <c r="E4" s="17"/>
      <c r="F4" s="14" t="s">
        <v>238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239</v>
      </c>
      <c r="D5" s="16" t="s">
        <v>28</v>
      </c>
      <c r="E5" s="17"/>
      <c r="F5" s="60">
        <v>46156.0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36</v>
      </c>
      <c r="D6" s="16" t="s">
        <v>28</v>
      </c>
      <c r="E6" s="17"/>
      <c r="F6" s="28">
        <v>46156.0</v>
      </c>
      <c r="G6" s="18">
        <v>100000.0</v>
      </c>
      <c r="H6" s="19">
        <v>1575000.0</v>
      </c>
      <c r="I6" s="20" t="s">
        <v>21</v>
      </c>
      <c r="J6" s="20" t="s">
        <v>30</v>
      </c>
      <c r="K6" s="20" t="s">
        <v>70</v>
      </c>
      <c r="L6" s="20" t="s">
        <v>22</v>
      </c>
      <c r="M6" s="20" t="s">
        <v>87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214</v>
      </c>
      <c r="D7" s="16" t="s">
        <v>28</v>
      </c>
      <c r="E7" s="17"/>
      <c r="F7" s="28">
        <v>46156.0</v>
      </c>
      <c r="G7" s="18">
        <v>450000.0</v>
      </c>
      <c r="H7" s="27"/>
      <c r="I7" s="20" t="s">
        <v>21</v>
      </c>
      <c r="J7" s="20"/>
      <c r="K7" s="20"/>
      <c r="L7" s="20" t="s">
        <v>22</v>
      </c>
      <c r="M7" s="20" t="s">
        <v>87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240</v>
      </c>
      <c r="D8" s="16" t="s">
        <v>28</v>
      </c>
      <c r="E8" s="17"/>
      <c r="F8" s="28">
        <v>46156.0</v>
      </c>
      <c r="G8" s="18"/>
      <c r="H8" s="19">
        <v>150000.0</v>
      </c>
      <c r="I8" s="20" t="s">
        <v>21</v>
      </c>
      <c r="J8" s="20" t="s">
        <v>30</v>
      </c>
      <c r="K8" s="20" t="s">
        <v>30</v>
      </c>
      <c r="L8" s="20" t="s">
        <v>22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241</v>
      </c>
      <c r="D9" s="16" t="s">
        <v>28</v>
      </c>
      <c r="E9" s="17"/>
      <c r="F9" s="28">
        <v>46157.0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191</v>
      </c>
      <c r="D10" s="16" t="s">
        <v>28</v>
      </c>
      <c r="E10" s="17"/>
      <c r="F10" s="28">
        <v>46156.0</v>
      </c>
      <c r="G10" s="18">
        <v>800000.0</v>
      </c>
      <c r="H10" s="27"/>
      <c r="I10" s="20" t="s">
        <v>21</v>
      </c>
      <c r="J10" s="20" t="s">
        <v>30</v>
      </c>
      <c r="K10" s="20" t="s">
        <v>30</v>
      </c>
      <c r="L10" s="20" t="s">
        <v>22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242</v>
      </c>
      <c r="D11" s="16" t="s">
        <v>24</v>
      </c>
      <c r="E11" s="17"/>
      <c r="F11" s="28">
        <v>46158.0</v>
      </c>
      <c r="G11" s="18"/>
      <c r="H11" s="19">
        <v>100000.0</v>
      </c>
      <c r="I11" s="20" t="s">
        <v>26</v>
      </c>
      <c r="J11" s="20"/>
      <c r="K11" s="20"/>
      <c r="L11" s="20" t="s">
        <v>22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243</v>
      </c>
      <c r="D12" s="16" t="s">
        <v>143</v>
      </c>
      <c r="E12" s="17"/>
      <c r="F12" s="28">
        <v>46156.0</v>
      </c>
      <c r="G12" s="18"/>
      <c r="H12" s="19">
        <v>50000.0</v>
      </c>
      <c r="I12" s="20" t="s">
        <v>21</v>
      </c>
      <c r="J12" s="20"/>
      <c r="K12" s="20"/>
      <c r="L12" s="20" t="s">
        <v>22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215</v>
      </c>
      <c r="D13" s="16" t="s">
        <v>46</v>
      </c>
      <c r="E13" s="17"/>
      <c r="F13" s="28">
        <v>46156.0</v>
      </c>
      <c r="G13" s="18"/>
      <c r="H13" s="19">
        <v>250000.0</v>
      </c>
      <c r="I13" s="20" t="s">
        <v>21</v>
      </c>
      <c r="J13" s="20" t="s">
        <v>30</v>
      </c>
      <c r="K13" s="20" t="s">
        <v>70</v>
      </c>
      <c r="L13" s="20" t="s">
        <v>43</v>
      </c>
      <c r="M13" s="20" t="s">
        <v>87</v>
      </c>
      <c r="N13" s="23"/>
      <c r="O13" s="24"/>
      <c r="P13" s="24"/>
      <c r="Q13" s="1"/>
      <c r="R13" s="1"/>
    </row>
    <row r="14">
      <c r="A14" s="1"/>
      <c r="B14" s="29"/>
      <c r="C14" s="15" t="s">
        <v>244</v>
      </c>
      <c r="D14" s="16" t="s">
        <v>117</v>
      </c>
      <c r="E14" s="17"/>
      <c r="F14" s="28">
        <v>46156.0</v>
      </c>
      <c r="G14" s="18"/>
      <c r="H14" s="19">
        <v>250000.0</v>
      </c>
      <c r="I14" s="20" t="s">
        <v>21</v>
      </c>
      <c r="J14" s="20" t="s">
        <v>30</v>
      </c>
      <c r="K14" s="20" t="s">
        <v>70</v>
      </c>
      <c r="L14" s="20" t="s">
        <v>43</v>
      </c>
      <c r="M14" s="20" t="s">
        <v>147</v>
      </c>
      <c r="N14" s="23"/>
      <c r="O14" s="24"/>
      <c r="P14" s="24"/>
      <c r="Q14" s="1"/>
      <c r="R14" s="1"/>
    </row>
    <row r="15">
      <c r="A15" s="1"/>
      <c r="B15" s="29"/>
      <c r="C15" s="15" t="s">
        <v>245</v>
      </c>
      <c r="D15" s="16" t="s">
        <v>19</v>
      </c>
      <c r="E15" s="17"/>
      <c r="F15" s="28">
        <v>46160.0</v>
      </c>
      <c r="G15" s="18"/>
      <c r="H15" s="19">
        <v>100000.0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175</v>
      </c>
      <c r="D16" s="16" t="s">
        <v>39</v>
      </c>
      <c r="E16" s="17">
        <v>2.0</v>
      </c>
      <c r="F16" s="28">
        <v>46157.0</v>
      </c>
      <c r="G16" s="18"/>
      <c r="H16" s="19">
        <v>100000.0</v>
      </c>
      <c r="I16" s="20" t="s">
        <v>26</v>
      </c>
      <c r="J16" s="20"/>
      <c r="K16" s="20"/>
      <c r="L16" s="20" t="s">
        <v>43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239</v>
      </c>
      <c r="D17" s="16" t="s">
        <v>28</v>
      </c>
      <c r="E17" s="17"/>
      <c r="F17" s="28">
        <v>46156.0</v>
      </c>
      <c r="G17" s="18"/>
      <c r="H17" s="19">
        <v>75000.0</v>
      </c>
      <c r="I17" s="20" t="s">
        <v>21</v>
      </c>
      <c r="J17" s="20" t="s">
        <v>30</v>
      </c>
      <c r="K17" s="20" t="s">
        <v>30</v>
      </c>
      <c r="L17" s="20" t="s">
        <v>43</v>
      </c>
      <c r="M17" s="20" t="s">
        <v>147</v>
      </c>
      <c r="N17" s="23"/>
      <c r="O17" s="24"/>
      <c r="P17" s="24"/>
      <c r="Q17" s="1"/>
      <c r="R17" s="1"/>
    </row>
    <row r="18">
      <c r="A18" s="1"/>
      <c r="B18" s="29"/>
      <c r="C18" s="15" t="s">
        <v>246</v>
      </c>
      <c r="D18" s="16" t="s">
        <v>143</v>
      </c>
      <c r="E18" s="17"/>
      <c r="F18" s="28">
        <v>46156.0</v>
      </c>
      <c r="G18" s="18">
        <v>0.0</v>
      </c>
      <c r="H18" s="19">
        <v>0.0</v>
      </c>
      <c r="I18" s="20" t="s">
        <v>21</v>
      </c>
      <c r="J18" s="20" t="s">
        <v>30</v>
      </c>
      <c r="K18" s="20" t="s">
        <v>70</v>
      </c>
      <c r="L18" s="20" t="s">
        <v>43</v>
      </c>
      <c r="M18" s="20" t="s">
        <v>147</v>
      </c>
      <c r="N18" s="24"/>
      <c r="O18" s="24"/>
      <c r="P18" s="24"/>
      <c r="Q18" s="1"/>
      <c r="R18" s="1"/>
    </row>
    <row r="19">
      <c r="A19" s="1"/>
      <c r="B19" s="29"/>
      <c r="C19" s="15" t="s">
        <v>84</v>
      </c>
      <c r="D19" s="16" t="s">
        <v>39</v>
      </c>
      <c r="E19" s="17" t="s">
        <v>247</v>
      </c>
      <c r="F19" s="28">
        <v>46156.0</v>
      </c>
      <c r="G19" s="25"/>
      <c r="H19" s="19">
        <v>100000.0</v>
      </c>
      <c r="I19" s="20" t="s">
        <v>21</v>
      </c>
      <c r="J19" s="20" t="s">
        <v>30</v>
      </c>
      <c r="K19" s="20" t="s">
        <v>30</v>
      </c>
      <c r="L19" s="20" t="s">
        <v>43</v>
      </c>
      <c r="M19" s="20" t="s">
        <v>147</v>
      </c>
      <c r="N19" s="24"/>
      <c r="O19" s="24"/>
      <c r="P19" s="24"/>
      <c r="Q19" s="1"/>
      <c r="R19" s="1"/>
    </row>
    <row r="20">
      <c r="A20" s="1"/>
      <c r="B20" s="29"/>
      <c r="C20" s="31"/>
      <c r="D20" s="16"/>
      <c r="E20" s="17"/>
      <c r="F20" s="29"/>
      <c r="G20" s="25"/>
      <c r="H20" s="27"/>
      <c r="I20" s="26"/>
      <c r="J20" s="26"/>
      <c r="K20" s="26"/>
      <c r="L20" s="26"/>
      <c r="M20" s="26"/>
      <c r="N20" s="32"/>
      <c r="O20" s="32"/>
      <c r="P20" s="32"/>
      <c r="Q20" s="1"/>
      <c r="R20" s="1"/>
    </row>
    <row r="21" ht="18.75" customHeight="1">
      <c r="A21" s="1"/>
      <c r="B21" s="1"/>
      <c r="C21" s="2"/>
      <c r="D21" s="2"/>
      <c r="E21" s="1"/>
      <c r="F21" s="1"/>
      <c r="G21" s="33">
        <f t="shared" ref="G21:H21" si="1">SUM(G4:G20)</f>
        <v>1350000</v>
      </c>
      <c r="H21" s="34">
        <f t="shared" si="1"/>
        <v>3050000</v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23.25" customHeight="1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35" t="s">
        <v>0</v>
      </c>
      <c r="C24" s="36" t="s">
        <v>6</v>
      </c>
      <c r="D24" s="36" t="s">
        <v>57</v>
      </c>
      <c r="E24" s="37"/>
      <c r="F24" s="1"/>
      <c r="G24" s="1"/>
      <c r="H24" s="1"/>
      <c r="I24" s="1"/>
      <c r="J24" s="1"/>
      <c r="K24" s="1"/>
      <c r="L24" s="1"/>
      <c r="M24" s="1"/>
      <c r="N24" s="36" t="s">
        <v>58</v>
      </c>
      <c r="O24" s="36" t="s">
        <v>1</v>
      </c>
      <c r="P24" s="1"/>
      <c r="Q24" s="1"/>
      <c r="R24" s="1"/>
    </row>
    <row r="25">
      <c r="A25" s="1"/>
      <c r="B25" s="38">
        <v>1.0</v>
      </c>
      <c r="C25" s="39" t="s">
        <v>59</v>
      </c>
      <c r="D25" s="40">
        <f>SUM(G21)</f>
        <v>1350000</v>
      </c>
      <c r="E25" s="41"/>
      <c r="F25" s="1"/>
      <c r="G25" s="1"/>
      <c r="H25" s="1"/>
      <c r="I25" s="1"/>
      <c r="J25" s="1"/>
      <c r="K25" s="1"/>
      <c r="L25" s="1"/>
      <c r="M25" s="1"/>
      <c r="N25" s="42" t="s">
        <v>60</v>
      </c>
      <c r="O25" s="21" t="s">
        <v>22</v>
      </c>
      <c r="P25" s="1"/>
      <c r="Q25" s="1"/>
      <c r="R25" s="1"/>
    </row>
    <row r="26">
      <c r="A26" s="1"/>
      <c r="B26" s="43">
        <v>2.0</v>
      </c>
      <c r="C26" s="44" t="s">
        <v>154</v>
      </c>
      <c r="D26" s="45">
        <v>-30000.0</v>
      </c>
      <c r="E26" s="46"/>
      <c r="F26" s="1"/>
      <c r="G26" s="1"/>
      <c r="H26" s="1"/>
      <c r="I26" s="1"/>
      <c r="J26" s="1"/>
      <c r="K26" s="1"/>
      <c r="L26" s="1"/>
      <c r="M26" s="1"/>
      <c r="N26" s="47" t="s">
        <v>62</v>
      </c>
      <c r="O26" s="48" t="s">
        <v>43</v>
      </c>
      <c r="P26" s="1"/>
      <c r="Q26" s="1"/>
      <c r="R26" s="1"/>
    </row>
    <row r="27">
      <c r="A27" s="1"/>
      <c r="B27" s="38">
        <v>3.0</v>
      </c>
      <c r="C27" s="39" t="s">
        <v>61</v>
      </c>
      <c r="D27" s="49">
        <v>-65000.0</v>
      </c>
      <c r="E27" s="46"/>
      <c r="F27" s="1"/>
      <c r="G27" s="1"/>
      <c r="H27" s="1"/>
      <c r="I27" s="1"/>
      <c r="J27" s="1"/>
      <c r="K27" s="1"/>
      <c r="L27" s="1"/>
      <c r="M27" s="1"/>
      <c r="N27" s="50" t="s">
        <v>64</v>
      </c>
      <c r="O27" s="23" t="s">
        <v>87</v>
      </c>
      <c r="P27" s="1"/>
      <c r="Q27" s="1"/>
      <c r="R27" s="1"/>
    </row>
    <row r="28">
      <c r="A28" s="1"/>
      <c r="B28" s="43">
        <v>4.0</v>
      </c>
      <c r="C28" s="44" t="s">
        <v>94</v>
      </c>
      <c r="D28" s="45">
        <v>-35000.0</v>
      </c>
      <c r="E28" s="46"/>
      <c r="F28" s="1"/>
      <c r="G28" s="1"/>
      <c r="H28" s="1"/>
      <c r="I28" s="1"/>
      <c r="J28" s="1"/>
      <c r="K28" s="1"/>
      <c r="L28" s="1"/>
      <c r="M28" s="1"/>
      <c r="N28" s="51" t="s">
        <v>65</v>
      </c>
      <c r="O28" s="48" t="s">
        <v>147</v>
      </c>
      <c r="P28" s="1"/>
      <c r="Q28" s="1"/>
      <c r="R28" s="1"/>
    </row>
    <row r="29">
      <c r="A29" s="1"/>
      <c r="B29" s="38"/>
      <c r="C29" s="39" t="s">
        <v>248</v>
      </c>
      <c r="D29" s="49">
        <v>-14000.0</v>
      </c>
      <c r="E29" s="41"/>
      <c r="F29" s="1"/>
      <c r="G29" s="1"/>
      <c r="H29" s="1"/>
      <c r="I29" s="1"/>
      <c r="J29" s="1"/>
      <c r="K29" s="1"/>
      <c r="L29" s="1"/>
      <c r="M29" s="1"/>
      <c r="N29" s="53"/>
      <c r="O29" s="1"/>
      <c r="P29" s="1"/>
      <c r="Q29" s="1"/>
      <c r="R29" s="1"/>
    </row>
    <row r="30">
      <c r="A30" s="1"/>
      <c r="B30" s="43"/>
      <c r="C30" s="44" t="s">
        <v>249</v>
      </c>
      <c r="D30" s="45">
        <v>-145000.0</v>
      </c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39" t="s">
        <v>209</v>
      </c>
      <c r="D31" s="49">
        <v>-20000.0</v>
      </c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74">
        <f>sum(D26:D31)</f>
        <v>-309000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52"/>
      <c r="D33" s="40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54"/>
      <c r="D34" s="55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6"/>
      <c r="C35" s="57"/>
      <c r="D35" s="58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59">
        <f>SUM(D25:D35)</f>
        <v>1041000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0 O27:O28">
      <formula1>"-,VERO,ADIF,PENTIL,FAHME,HANIF"</formula1>
    </dataValidation>
    <dataValidation type="list" allowBlank="1" showDropDown="1" showErrorMessage="1" sqref="L4:L20 O25:O26">
      <formula1>"-,JIJANG,ADDEL ,PENTIL,FAHME,INDAH"</formula1>
    </dataValidation>
    <dataValidation type="list" allowBlank="1" showErrorMessage="1" sqref="N4:N20">
      <formula1>"-,Pending,Progress,Uploaded"</formula1>
    </dataValidation>
    <dataValidation type="list" allowBlank="1" showDropDown="1" showErrorMessage="1" sqref="D4:D20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20">
      <formula1>"-,In Pikako,In Foxe"</formula1>
    </dataValidation>
    <dataValidation type="list" allowBlank="1" showDropDown="1" showErrorMessage="1" sqref="I4:I20">
      <formula1>"-,DP,Lunas"</formula1>
    </dataValidation>
    <dataValidation type="list" allowBlank="1" showDropDown="1" showErrorMessage="1" sqref="J4:K20">
      <formula1>"-,Pending,Uploaded"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250</v>
      </c>
      <c r="D4" s="16" t="s">
        <v>42</v>
      </c>
      <c r="E4" s="17"/>
      <c r="F4" s="60">
        <v>46175.0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251</v>
      </c>
      <c r="D5" s="16" t="s">
        <v>19</v>
      </c>
      <c r="E5" s="17"/>
      <c r="F5" s="60">
        <v>46182.0</v>
      </c>
      <c r="G5" s="18"/>
      <c r="H5" s="19">
        <v>350000.0</v>
      </c>
      <c r="I5" s="20" t="s">
        <v>21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252</v>
      </c>
      <c r="D6" s="16" t="s">
        <v>19</v>
      </c>
      <c r="E6" s="17"/>
      <c r="F6" s="28">
        <v>46182.0</v>
      </c>
      <c r="G6" s="25"/>
      <c r="H6" s="19">
        <v>350000.0</v>
      </c>
      <c r="I6" s="20" t="s">
        <v>21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253</v>
      </c>
      <c r="D7" s="16" t="s">
        <v>39</v>
      </c>
      <c r="E7" s="17"/>
      <c r="F7" s="28">
        <v>46157.0</v>
      </c>
      <c r="G7" s="18"/>
      <c r="H7" s="19">
        <v>100000.0</v>
      </c>
      <c r="I7" s="20" t="s">
        <v>21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192</v>
      </c>
      <c r="D8" s="16" t="s">
        <v>203</v>
      </c>
      <c r="E8" s="17" t="s">
        <v>254</v>
      </c>
      <c r="F8" s="28">
        <v>46151.0</v>
      </c>
      <c r="G8" s="18"/>
      <c r="H8" s="19">
        <v>50000.0</v>
      </c>
      <c r="I8" s="20" t="s">
        <v>21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255</v>
      </c>
      <c r="D9" s="16" t="s">
        <v>28</v>
      </c>
      <c r="E9" s="17"/>
      <c r="F9" s="28">
        <v>46151.0</v>
      </c>
      <c r="G9" s="18"/>
      <c r="H9" s="19">
        <v>100000.0</v>
      </c>
      <c r="I9" s="20" t="s">
        <v>26</v>
      </c>
      <c r="J9" s="20"/>
      <c r="K9" s="20"/>
      <c r="L9" s="20" t="s">
        <v>43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256</v>
      </c>
      <c r="D10" s="16" t="s">
        <v>39</v>
      </c>
      <c r="E10" s="17" t="s">
        <v>257</v>
      </c>
      <c r="F10" s="28">
        <v>46157.0</v>
      </c>
      <c r="G10" s="18"/>
      <c r="H10" s="19">
        <v>200000.0</v>
      </c>
      <c r="I10" s="20" t="s">
        <v>21</v>
      </c>
      <c r="J10" s="20" t="s">
        <v>30</v>
      </c>
      <c r="K10" s="20" t="s">
        <v>70</v>
      </c>
      <c r="L10" s="20" t="s">
        <v>43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258</v>
      </c>
      <c r="D11" s="16" t="s">
        <v>24</v>
      </c>
      <c r="E11" s="17"/>
      <c r="F11" s="28">
        <v>46157.0</v>
      </c>
      <c r="G11" s="18"/>
      <c r="H11" s="19">
        <v>150000.0</v>
      </c>
      <c r="I11" s="20" t="s">
        <v>21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115</v>
      </c>
      <c r="D12" s="16" t="s">
        <v>28</v>
      </c>
      <c r="E12" s="17"/>
      <c r="F12" s="28">
        <v>46157.0</v>
      </c>
      <c r="G12" s="18">
        <v>150000.0</v>
      </c>
      <c r="H12" s="27"/>
      <c r="I12" s="20" t="s">
        <v>21</v>
      </c>
      <c r="J12" s="20" t="s">
        <v>30</v>
      </c>
      <c r="K12" s="20" t="s">
        <v>30</v>
      </c>
      <c r="L12" s="20" t="s">
        <v>43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259</v>
      </c>
      <c r="D13" s="16" t="s">
        <v>28</v>
      </c>
      <c r="E13" s="17"/>
      <c r="F13" s="28">
        <v>46157.0</v>
      </c>
      <c r="G13" s="18">
        <v>725000.0</v>
      </c>
      <c r="H13" s="27"/>
      <c r="I13" s="20" t="s">
        <v>21</v>
      </c>
      <c r="J13" s="20" t="s">
        <v>30</v>
      </c>
      <c r="K13" s="20" t="s">
        <v>30</v>
      </c>
      <c r="L13" s="20" t="s">
        <v>43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253</v>
      </c>
      <c r="D14" s="16" t="s">
        <v>39</v>
      </c>
      <c r="E14" s="17"/>
      <c r="F14" s="28">
        <v>46157.0</v>
      </c>
      <c r="G14" s="18">
        <v>0.0</v>
      </c>
      <c r="H14" s="19">
        <v>0.0</v>
      </c>
      <c r="I14" s="20" t="s">
        <v>21</v>
      </c>
      <c r="J14" s="20" t="s">
        <v>30</v>
      </c>
      <c r="K14" s="20" t="s">
        <v>30</v>
      </c>
      <c r="L14" s="20" t="s">
        <v>43</v>
      </c>
      <c r="M14" s="20" t="s">
        <v>147</v>
      </c>
      <c r="N14" s="23"/>
      <c r="O14" s="24"/>
      <c r="P14" s="24"/>
      <c r="Q14" s="1"/>
      <c r="R14" s="1"/>
    </row>
    <row r="15">
      <c r="A15" s="1"/>
      <c r="B15" s="29"/>
      <c r="C15" s="15" t="s">
        <v>185</v>
      </c>
      <c r="D15" s="16" t="s">
        <v>46</v>
      </c>
      <c r="E15" s="17"/>
      <c r="F15" s="28">
        <v>46157.0</v>
      </c>
      <c r="G15" s="18"/>
      <c r="H15" s="19">
        <v>370000.0</v>
      </c>
      <c r="I15" s="20" t="s">
        <v>21</v>
      </c>
      <c r="J15" s="20" t="s">
        <v>30</v>
      </c>
      <c r="K15" s="20" t="s">
        <v>70</v>
      </c>
      <c r="L15" s="20" t="s">
        <v>43</v>
      </c>
      <c r="M15" s="20" t="s">
        <v>147</v>
      </c>
      <c r="N15" s="23"/>
      <c r="O15" s="24"/>
      <c r="P15" s="24"/>
      <c r="Q15" s="1"/>
      <c r="R15" s="1"/>
    </row>
    <row r="16">
      <c r="A16" s="1"/>
      <c r="B16" s="29"/>
      <c r="C16" s="15" t="s">
        <v>258</v>
      </c>
      <c r="D16" s="16" t="s">
        <v>24</v>
      </c>
      <c r="E16" s="17"/>
      <c r="F16" s="28">
        <v>46157.0</v>
      </c>
      <c r="G16" s="18">
        <v>0.0</v>
      </c>
      <c r="H16" s="19">
        <v>0.0</v>
      </c>
      <c r="I16" s="20" t="s">
        <v>21</v>
      </c>
      <c r="J16" s="20" t="s">
        <v>30</v>
      </c>
      <c r="K16" s="20" t="s">
        <v>30</v>
      </c>
      <c r="L16" s="20" t="s">
        <v>43</v>
      </c>
      <c r="M16" s="20" t="s">
        <v>147</v>
      </c>
      <c r="N16" s="23"/>
      <c r="O16" s="24"/>
      <c r="P16" s="24"/>
      <c r="Q16" s="1"/>
      <c r="R16" s="1"/>
    </row>
    <row r="17">
      <c r="A17" s="1"/>
      <c r="B17" s="29"/>
      <c r="C17" s="15" t="s">
        <v>260</v>
      </c>
      <c r="D17" s="16" t="s">
        <v>42</v>
      </c>
      <c r="E17" s="17"/>
      <c r="F17" s="28">
        <v>46164.0</v>
      </c>
      <c r="G17" s="18"/>
      <c r="H17" s="19">
        <v>100000.0</v>
      </c>
      <c r="I17" s="20" t="s">
        <v>26</v>
      </c>
      <c r="J17" s="20"/>
      <c r="K17" s="20"/>
      <c r="L17" s="20" t="s">
        <v>43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261</v>
      </c>
      <c r="D18" s="16" t="s">
        <v>28</v>
      </c>
      <c r="E18" s="17"/>
      <c r="F18" s="28">
        <v>46158.0</v>
      </c>
      <c r="G18" s="18"/>
      <c r="H18" s="19">
        <v>100000.0</v>
      </c>
      <c r="I18" s="20" t="s">
        <v>26</v>
      </c>
      <c r="J18" s="20"/>
      <c r="K18" s="20"/>
      <c r="L18" s="20" t="s">
        <v>43</v>
      </c>
      <c r="M18" s="26"/>
      <c r="N18" s="23"/>
      <c r="O18" s="24"/>
      <c r="P18" s="24"/>
      <c r="Q18" s="1"/>
      <c r="R18" s="1"/>
    </row>
    <row r="19">
      <c r="A19" s="1"/>
      <c r="B19" s="29"/>
      <c r="C19" s="15" t="s">
        <v>262</v>
      </c>
      <c r="D19" s="16" t="s">
        <v>46</v>
      </c>
      <c r="E19" s="17"/>
      <c r="F19" s="28">
        <v>46158.0</v>
      </c>
      <c r="G19" s="18"/>
      <c r="H19" s="19">
        <v>100000.0</v>
      </c>
      <c r="I19" s="20" t="s">
        <v>26</v>
      </c>
      <c r="J19" s="20"/>
      <c r="K19" s="20"/>
      <c r="L19" s="20" t="s">
        <v>43</v>
      </c>
      <c r="M19" s="26"/>
      <c r="N19" s="23"/>
      <c r="O19" s="24"/>
      <c r="P19" s="24"/>
      <c r="Q19" s="1"/>
      <c r="R19" s="1"/>
    </row>
    <row r="20">
      <c r="A20" s="1"/>
      <c r="B20" s="29"/>
      <c r="C20" s="15" t="s">
        <v>139</v>
      </c>
      <c r="D20" s="16" t="s">
        <v>19</v>
      </c>
      <c r="E20" s="17"/>
      <c r="F20" s="28">
        <v>46165.0</v>
      </c>
      <c r="G20" s="18"/>
      <c r="H20" s="19">
        <v>100000.0</v>
      </c>
      <c r="I20" s="20" t="s">
        <v>26</v>
      </c>
      <c r="J20" s="20"/>
      <c r="K20" s="20"/>
      <c r="L20" s="20" t="s">
        <v>43</v>
      </c>
      <c r="M20" s="26"/>
      <c r="N20" s="23"/>
      <c r="O20" s="24"/>
      <c r="P20" s="24"/>
      <c r="Q20" s="1"/>
      <c r="R20" s="1"/>
    </row>
    <row r="21">
      <c r="A21" s="1"/>
      <c r="B21" s="29"/>
      <c r="C21" s="15"/>
      <c r="D21" s="16"/>
      <c r="E21" s="17"/>
      <c r="F21" s="29"/>
      <c r="G21" s="18"/>
      <c r="H21" s="27"/>
      <c r="I21" s="20"/>
      <c r="J21" s="20"/>
      <c r="K21" s="20"/>
      <c r="L21" s="26"/>
      <c r="M21" s="26"/>
      <c r="N21" s="23"/>
      <c r="O21" s="24"/>
      <c r="P21" s="24"/>
      <c r="Q21" s="1"/>
      <c r="R21" s="1"/>
    </row>
    <row r="22">
      <c r="A22" s="1"/>
      <c r="B22" s="29"/>
      <c r="C22" s="31"/>
      <c r="D22" s="16"/>
      <c r="E22" s="17"/>
      <c r="F22" s="29"/>
      <c r="G22" s="25"/>
      <c r="H22" s="27"/>
      <c r="I22" s="26"/>
      <c r="J22" s="26"/>
      <c r="K22" s="26"/>
      <c r="L22" s="26"/>
      <c r="M22" s="26"/>
      <c r="N22" s="32"/>
      <c r="O22" s="32"/>
      <c r="P22" s="32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33">
        <f t="shared" ref="G23:H23" si="1">SUM(G4:G22)</f>
        <v>875000</v>
      </c>
      <c r="H23" s="34">
        <f t="shared" si="1"/>
        <v>2170000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35" t="s">
        <v>0</v>
      </c>
      <c r="C26" s="36" t="s">
        <v>6</v>
      </c>
      <c r="D26" s="36" t="s">
        <v>57</v>
      </c>
      <c r="E26" s="37"/>
      <c r="F26" s="1"/>
      <c r="G26" s="1"/>
      <c r="H26" s="1"/>
      <c r="I26" s="1"/>
      <c r="J26" s="1"/>
      <c r="K26" s="1"/>
      <c r="L26" s="1"/>
      <c r="M26" s="1"/>
      <c r="N26" s="36" t="s">
        <v>58</v>
      </c>
      <c r="O26" s="36" t="s">
        <v>1</v>
      </c>
      <c r="P26" s="1"/>
      <c r="Q26" s="1"/>
      <c r="R26" s="1"/>
    </row>
    <row r="27">
      <c r="A27" s="1"/>
      <c r="B27" s="38">
        <v>1.0</v>
      </c>
      <c r="C27" s="39" t="s">
        <v>59</v>
      </c>
      <c r="D27" s="40">
        <f>SUM(G23)</f>
        <v>875000</v>
      </c>
      <c r="E27" s="41"/>
      <c r="F27" s="1"/>
      <c r="G27" s="1"/>
      <c r="H27" s="1"/>
      <c r="I27" s="1"/>
      <c r="J27" s="1"/>
      <c r="K27" s="1"/>
      <c r="L27" s="1"/>
      <c r="M27" s="1"/>
      <c r="N27" s="42" t="s">
        <v>60</v>
      </c>
      <c r="O27" s="21" t="s">
        <v>43</v>
      </c>
      <c r="P27" s="1"/>
      <c r="Q27" s="1"/>
      <c r="R27" s="1"/>
    </row>
    <row r="28">
      <c r="A28" s="1"/>
      <c r="B28" s="43">
        <v>2.0</v>
      </c>
      <c r="C28" s="44" t="s">
        <v>94</v>
      </c>
      <c r="D28" s="45">
        <v>-60000.0</v>
      </c>
      <c r="E28" s="46"/>
      <c r="F28" s="1"/>
      <c r="G28" s="1"/>
      <c r="H28" s="1"/>
      <c r="I28" s="1"/>
      <c r="J28" s="1"/>
      <c r="K28" s="1"/>
      <c r="L28" s="1"/>
      <c r="M28" s="1"/>
      <c r="N28" s="47" t="s">
        <v>62</v>
      </c>
      <c r="O28" s="48" t="s">
        <v>43</v>
      </c>
      <c r="P28" s="1"/>
      <c r="Q28" s="1"/>
      <c r="R28" s="1"/>
    </row>
    <row r="29">
      <c r="A29" s="1"/>
      <c r="B29" s="38">
        <v>3.0</v>
      </c>
      <c r="C29" s="39" t="s">
        <v>202</v>
      </c>
      <c r="D29" s="49">
        <v>-65000.0</v>
      </c>
      <c r="E29" s="46"/>
      <c r="F29" s="1"/>
      <c r="G29" s="1"/>
      <c r="H29" s="1"/>
      <c r="I29" s="1"/>
      <c r="J29" s="1"/>
      <c r="K29" s="1"/>
      <c r="L29" s="1"/>
      <c r="M29" s="1"/>
      <c r="N29" s="50" t="s">
        <v>64</v>
      </c>
      <c r="O29" s="23" t="s">
        <v>147</v>
      </c>
      <c r="P29" s="1"/>
      <c r="Q29" s="1"/>
      <c r="R29" s="1"/>
    </row>
    <row r="30">
      <c r="A30" s="1"/>
      <c r="B30" s="43">
        <v>4.0</v>
      </c>
      <c r="C30" s="44"/>
      <c r="D30" s="45"/>
      <c r="E30" s="46"/>
      <c r="F30" s="1"/>
      <c r="G30" s="1"/>
      <c r="H30" s="1"/>
      <c r="I30" s="1"/>
      <c r="J30" s="1"/>
      <c r="K30" s="1"/>
      <c r="L30" s="1"/>
      <c r="M30" s="1"/>
      <c r="N30" s="51" t="s">
        <v>65</v>
      </c>
      <c r="O30" s="48" t="s">
        <v>147</v>
      </c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53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52"/>
      <c r="D33" s="40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54"/>
      <c r="D34" s="55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38"/>
      <c r="C35" s="52"/>
      <c r="D35" s="40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3"/>
      <c r="C36" s="54"/>
      <c r="D36" s="55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6"/>
      <c r="C37" s="57"/>
      <c r="D37" s="58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59">
        <f>SUM(D27:D37)</f>
        <v>750000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"-,JIJANG,AXEL,PENTIL,FAHME,INDAH"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Edit,Photofox,Add Cetak"</formula1>
    </dataValidation>
    <dataValidation type="list" allowBlank="1" showDropDown="1" showErrorMessage="1" sqref="M4:M22 O29:O30">
      <formula1>"-,VERO,FADEL,PENTIL,FAHME,HANIF"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263</v>
      </c>
      <c r="D4" s="16" t="s">
        <v>39</v>
      </c>
      <c r="E4" s="17"/>
      <c r="F4" s="60">
        <v>46158.0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262</v>
      </c>
      <c r="D5" s="16" t="s">
        <v>46</v>
      </c>
      <c r="E5" s="17"/>
      <c r="F5" s="60">
        <v>46158.0</v>
      </c>
      <c r="G5" s="18"/>
      <c r="H5" s="19">
        <v>460000.0</v>
      </c>
      <c r="I5" s="20" t="s">
        <v>21</v>
      </c>
      <c r="J5" s="20" t="s">
        <v>30</v>
      </c>
      <c r="K5" s="20" t="s">
        <v>30</v>
      </c>
      <c r="L5" s="20" t="s">
        <v>22</v>
      </c>
      <c r="M5" s="20" t="s">
        <v>228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264</v>
      </c>
      <c r="D6" s="16" t="s">
        <v>28</v>
      </c>
      <c r="E6" s="17"/>
      <c r="F6" s="28">
        <v>46159.0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265</v>
      </c>
      <c r="D7" s="16" t="s">
        <v>19</v>
      </c>
      <c r="E7" s="17"/>
      <c r="F7" s="28">
        <v>46159.0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266</v>
      </c>
      <c r="D8" s="16" t="s">
        <v>28</v>
      </c>
      <c r="E8" s="17"/>
      <c r="F8" s="28">
        <v>46158.0</v>
      </c>
      <c r="G8" s="18">
        <v>175000.0</v>
      </c>
      <c r="H8" s="27"/>
      <c r="I8" s="20" t="s">
        <v>21</v>
      </c>
      <c r="J8" s="20" t="s">
        <v>30</v>
      </c>
      <c r="K8" s="20" t="s">
        <v>30</v>
      </c>
      <c r="L8" s="20" t="s">
        <v>22</v>
      </c>
      <c r="M8" s="20" t="s">
        <v>228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267</v>
      </c>
      <c r="D9" s="16" t="s">
        <v>28</v>
      </c>
      <c r="E9" s="17"/>
      <c r="F9" s="28">
        <v>46158.0</v>
      </c>
      <c r="G9" s="18">
        <v>225000.0</v>
      </c>
      <c r="H9" s="27"/>
      <c r="I9" s="20" t="s">
        <v>21</v>
      </c>
      <c r="J9" s="20" t="s">
        <v>30</v>
      </c>
      <c r="K9" s="20" t="s">
        <v>30</v>
      </c>
      <c r="L9" s="20" t="s">
        <v>22</v>
      </c>
      <c r="M9" s="20" t="s">
        <v>228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242</v>
      </c>
      <c r="D10" s="16" t="s">
        <v>24</v>
      </c>
      <c r="E10" s="17"/>
      <c r="F10" s="28">
        <v>46158.0</v>
      </c>
      <c r="G10" s="18">
        <v>50000.0</v>
      </c>
      <c r="H10" s="27"/>
      <c r="I10" s="20" t="s">
        <v>21</v>
      </c>
      <c r="J10" s="20" t="s">
        <v>30</v>
      </c>
      <c r="K10" s="20" t="s">
        <v>30</v>
      </c>
      <c r="L10" s="20" t="s">
        <v>22</v>
      </c>
      <c r="M10" s="20" t="s">
        <v>228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268</v>
      </c>
      <c r="D11" s="16" t="s">
        <v>269</v>
      </c>
      <c r="E11" s="17"/>
      <c r="F11" s="28">
        <v>46061.0</v>
      </c>
      <c r="G11" s="18"/>
      <c r="H11" s="19">
        <v>125000.0</v>
      </c>
      <c r="I11" s="20" t="s">
        <v>21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73</v>
      </c>
      <c r="D12" s="16" t="s">
        <v>67</v>
      </c>
      <c r="E12" s="17"/>
      <c r="F12" s="28">
        <v>46151.0</v>
      </c>
      <c r="G12" s="18"/>
      <c r="H12" s="19">
        <v>20000.0</v>
      </c>
      <c r="I12" s="20" t="s">
        <v>21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270</v>
      </c>
      <c r="D13" s="16" t="s">
        <v>46</v>
      </c>
      <c r="E13" s="17"/>
      <c r="F13" s="28">
        <v>46159.0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263</v>
      </c>
      <c r="D14" s="16" t="s">
        <v>39</v>
      </c>
      <c r="E14" s="17"/>
      <c r="F14" s="28">
        <v>46158.0</v>
      </c>
      <c r="G14" s="18">
        <v>0.0</v>
      </c>
      <c r="H14" s="19">
        <v>0.0</v>
      </c>
      <c r="I14" s="20" t="s">
        <v>21</v>
      </c>
      <c r="J14" s="20" t="s">
        <v>30</v>
      </c>
      <c r="K14" s="20" t="s">
        <v>30</v>
      </c>
      <c r="L14" s="20" t="s">
        <v>43</v>
      </c>
      <c r="M14" s="20" t="s">
        <v>147</v>
      </c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450000</v>
      </c>
      <c r="H19" s="34">
        <f t="shared" si="1"/>
        <v>1005000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450000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94</v>
      </c>
      <c r="D24" s="45">
        <v>-60000.0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 t="s">
        <v>61</v>
      </c>
      <c r="D25" s="49">
        <v>-40000.0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 t="s">
        <v>209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147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300000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Edit,Add Frame,Packing"</formula1>
    </dataValidation>
    <dataValidation type="list" allowBlank="1" showDropDown="1" showErrorMessage="1" sqref="M4:M18 O25:O26">
      <formula1>"-,VERO,ADIF 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L4:L18 O23:O24">
      <formula1>"-,ADDEL ,AXEL,PENTIL,FAHME,INDAH"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3.13"/>
    <col customWidth="1" min="4" max="4" width="16.0"/>
    <col customWidth="1" min="5" max="5" width="11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271</v>
      </c>
      <c r="D4" s="16" t="s">
        <v>24</v>
      </c>
      <c r="E4" s="17"/>
      <c r="F4" s="60">
        <v>46159.0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270</v>
      </c>
      <c r="D5" s="16" t="s">
        <v>46</v>
      </c>
      <c r="E5" s="17"/>
      <c r="F5" s="60">
        <v>46159.0</v>
      </c>
      <c r="G5" s="18"/>
      <c r="H5" s="19">
        <v>250000.0</v>
      </c>
      <c r="I5" s="20" t="s">
        <v>21</v>
      </c>
      <c r="J5" s="20" t="s">
        <v>30</v>
      </c>
      <c r="K5" s="20" t="s">
        <v>70</v>
      </c>
      <c r="L5" s="20" t="s">
        <v>22</v>
      </c>
      <c r="M5" s="20" t="s">
        <v>32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272</v>
      </c>
      <c r="D6" s="16" t="s">
        <v>19</v>
      </c>
      <c r="E6" s="17"/>
      <c r="F6" s="28">
        <v>46159.0</v>
      </c>
      <c r="G6" s="25"/>
      <c r="H6" s="19">
        <v>250000.0</v>
      </c>
      <c r="I6" s="20" t="s">
        <v>21</v>
      </c>
      <c r="J6" s="20" t="s">
        <v>30</v>
      </c>
      <c r="K6" s="20" t="s">
        <v>30</v>
      </c>
      <c r="L6" s="20" t="s">
        <v>22</v>
      </c>
      <c r="M6" s="20" t="s">
        <v>32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273</v>
      </c>
      <c r="D7" s="16" t="s">
        <v>28</v>
      </c>
      <c r="E7" s="17"/>
      <c r="F7" s="28">
        <v>46159.0</v>
      </c>
      <c r="G7" s="18"/>
      <c r="H7" s="19">
        <v>100000.0</v>
      </c>
      <c r="I7" s="20" t="s">
        <v>26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274</v>
      </c>
      <c r="D8" s="16" t="s">
        <v>28</v>
      </c>
      <c r="E8" s="17"/>
      <c r="F8" s="28">
        <v>46179.0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271</v>
      </c>
      <c r="D9" s="16" t="s">
        <v>24</v>
      </c>
      <c r="E9" s="17" t="s">
        <v>275</v>
      </c>
      <c r="F9" s="28">
        <v>46159.0</v>
      </c>
      <c r="G9" s="18">
        <v>70000.0</v>
      </c>
      <c r="H9" s="27"/>
      <c r="I9" s="20" t="s">
        <v>21</v>
      </c>
      <c r="J9" s="20" t="s">
        <v>30</v>
      </c>
      <c r="K9" s="20" t="s">
        <v>30</v>
      </c>
      <c r="L9" s="20" t="s">
        <v>43</v>
      </c>
      <c r="M9" s="20" t="s">
        <v>32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264</v>
      </c>
      <c r="D10" s="16" t="s">
        <v>28</v>
      </c>
      <c r="E10" s="17"/>
      <c r="F10" s="28">
        <v>46159.0</v>
      </c>
      <c r="G10" s="18">
        <v>525000.0</v>
      </c>
      <c r="H10" s="27"/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48</v>
      </c>
      <c r="D11" s="16" t="s">
        <v>19</v>
      </c>
      <c r="E11" s="17"/>
      <c r="F11" s="28">
        <v>46161.0</v>
      </c>
      <c r="G11" s="18"/>
      <c r="H11" s="19">
        <v>100000.0</v>
      </c>
      <c r="I11" s="20" t="s">
        <v>21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276</v>
      </c>
      <c r="D12" s="16" t="s">
        <v>28</v>
      </c>
      <c r="E12" s="17"/>
      <c r="F12" s="28">
        <v>46179.0</v>
      </c>
      <c r="G12" s="18"/>
      <c r="H12" s="19">
        <v>100000.0</v>
      </c>
      <c r="I12" s="20" t="s">
        <v>26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242</v>
      </c>
      <c r="D13" s="16" t="s">
        <v>28</v>
      </c>
      <c r="E13" s="17" t="s">
        <v>130</v>
      </c>
      <c r="F13" s="28">
        <v>46159.0</v>
      </c>
      <c r="G13" s="18"/>
      <c r="H13" s="19">
        <v>175000.0</v>
      </c>
      <c r="I13" s="20" t="s">
        <v>21</v>
      </c>
      <c r="J13" s="20" t="s">
        <v>30</v>
      </c>
      <c r="K13" s="20" t="s">
        <v>30</v>
      </c>
      <c r="L13" s="20" t="s">
        <v>43</v>
      </c>
      <c r="M13" s="20" t="s">
        <v>87</v>
      </c>
      <c r="N13" s="23"/>
      <c r="O13" s="24"/>
      <c r="P13" s="24"/>
      <c r="Q13" s="1"/>
      <c r="R13" s="1"/>
    </row>
    <row r="14">
      <c r="A14" s="1"/>
      <c r="B14" s="29"/>
      <c r="C14" s="15" t="s">
        <v>277</v>
      </c>
      <c r="D14" s="16" t="s">
        <v>24</v>
      </c>
      <c r="E14" s="17" t="s">
        <v>130</v>
      </c>
      <c r="F14" s="28">
        <v>46159.0</v>
      </c>
      <c r="G14" s="18">
        <v>150000.0</v>
      </c>
      <c r="H14" s="27"/>
      <c r="I14" s="20" t="s">
        <v>21</v>
      </c>
      <c r="J14" s="20" t="s">
        <v>30</v>
      </c>
      <c r="K14" s="20" t="s">
        <v>70</v>
      </c>
      <c r="L14" s="20" t="s">
        <v>43</v>
      </c>
      <c r="M14" s="20" t="s">
        <v>87</v>
      </c>
      <c r="N14" s="23"/>
      <c r="O14" s="24"/>
      <c r="P14" s="24"/>
      <c r="Q14" s="1"/>
      <c r="R14" s="1"/>
    </row>
    <row r="15">
      <c r="A15" s="1"/>
      <c r="B15" s="29"/>
      <c r="C15" s="15" t="s">
        <v>278</v>
      </c>
      <c r="D15" s="16" t="s">
        <v>28</v>
      </c>
      <c r="E15" s="17"/>
      <c r="F15" s="28">
        <v>46161.0</v>
      </c>
      <c r="G15" s="18"/>
      <c r="H15" s="19">
        <v>100000.0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745000</v>
      </c>
      <c r="H19" s="34">
        <f t="shared" si="1"/>
        <v>1275000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745000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279</v>
      </c>
      <c r="D24" s="45">
        <v>-44000.0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 t="s">
        <v>138</v>
      </c>
      <c r="D25" s="49">
        <v>-6000.0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32</v>
      </c>
      <c r="P25" s="1"/>
      <c r="Q25" s="1"/>
      <c r="R25" s="1"/>
    </row>
    <row r="26">
      <c r="A26" s="1"/>
      <c r="B26" s="43">
        <v>4.0</v>
      </c>
      <c r="C26" s="44" t="s">
        <v>209</v>
      </c>
      <c r="D26" s="45">
        <v>-25000.0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87</v>
      </c>
      <c r="P26" s="1"/>
      <c r="Q26" s="1"/>
      <c r="R26" s="1"/>
    </row>
    <row r="27">
      <c r="A27" s="1"/>
      <c r="B27" s="38"/>
      <c r="C27" s="39" t="s">
        <v>61</v>
      </c>
      <c r="D27" s="49">
        <v>-40000.0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44" t="s">
        <v>154</v>
      </c>
      <c r="D28" s="45">
        <v>-75000.0</v>
      </c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39" t="s">
        <v>138</v>
      </c>
      <c r="D29" s="49">
        <v>-55000.0</v>
      </c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500000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M4:M18 O25:O26">
      <formula1>"-,VERO,HANIF ,PENTIL,FAHME,ADIF"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280</v>
      </c>
      <c r="D4" s="16" t="s">
        <v>19</v>
      </c>
      <c r="E4" s="17"/>
      <c r="F4" s="14" t="s">
        <v>80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281</v>
      </c>
      <c r="D5" s="16" t="s">
        <v>19</v>
      </c>
      <c r="E5" s="17"/>
      <c r="F5" s="60">
        <v>46165.0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282</v>
      </c>
      <c r="D6" s="16" t="s">
        <v>19</v>
      </c>
      <c r="E6" s="17"/>
      <c r="F6" s="28">
        <v>46160.0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245</v>
      </c>
      <c r="D7" s="16" t="s">
        <v>19</v>
      </c>
      <c r="E7" s="17"/>
      <c r="F7" s="28">
        <v>46160.0</v>
      </c>
      <c r="G7" s="18"/>
      <c r="H7" s="19">
        <v>250000.0</v>
      </c>
      <c r="I7" s="20" t="s">
        <v>21</v>
      </c>
      <c r="J7" s="20" t="s">
        <v>30</v>
      </c>
      <c r="K7" s="20" t="s">
        <v>30</v>
      </c>
      <c r="L7" s="20" t="s">
        <v>43</v>
      </c>
      <c r="M7" s="20" t="s">
        <v>87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283</v>
      </c>
      <c r="D8" s="16" t="s">
        <v>19</v>
      </c>
      <c r="E8" s="17"/>
      <c r="F8" s="28">
        <v>46160.0</v>
      </c>
      <c r="G8" s="18"/>
      <c r="H8" s="19">
        <v>250000.0</v>
      </c>
      <c r="I8" s="20" t="s">
        <v>21</v>
      </c>
      <c r="J8" s="20" t="s">
        <v>30</v>
      </c>
      <c r="K8" s="20" t="s">
        <v>70</v>
      </c>
      <c r="L8" s="20" t="s">
        <v>43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284</v>
      </c>
      <c r="D9" s="16" t="s">
        <v>19</v>
      </c>
      <c r="E9" s="17"/>
      <c r="F9" s="28">
        <v>46160.0</v>
      </c>
      <c r="G9" s="18"/>
      <c r="H9" s="19">
        <v>250000.0</v>
      </c>
      <c r="I9" s="20" t="s">
        <v>21</v>
      </c>
      <c r="J9" s="20" t="s">
        <v>30</v>
      </c>
      <c r="K9" s="20" t="s">
        <v>70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273</v>
      </c>
      <c r="D10" s="16" t="s">
        <v>28</v>
      </c>
      <c r="E10" s="17"/>
      <c r="F10" s="28">
        <v>46160.0</v>
      </c>
      <c r="G10" s="18"/>
      <c r="H10" s="19">
        <v>75000.0</v>
      </c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87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285</v>
      </c>
      <c r="D11" s="16" t="s">
        <v>143</v>
      </c>
      <c r="E11" s="17"/>
      <c r="F11" s="28">
        <v>46160.0</v>
      </c>
      <c r="G11" s="18">
        <v>50000.0</v>
      </c>
      <c r="H11" s="19"/>
      <c r="I11" s="20" t="s">
        <v>21</v>
      </c>
      <c r="J11" s="20" t="s">
        <v>30</v>
      </c>
      <c r="K11" s="20" t="s">
        <v>30</v>
      </c>
      <c r="L11" s="20" t="s">
        <v>43</v>
      </c>
      <c r="M11" s="20" t="s">
        <v>87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286</v>
      </c>
      <c r="D12" s="16" t="s">
        <v>19</v>
      </c>
      <c r="E12" s="17"/>
      <c r="F12" s="28">
        <v>46182.0</v>
      </c>
      <c r="G12" s="18"/>
      <c r="H12" s="19">
        <v>100000.0</v>
      </c>
      <c r="I12" s="20" t="s">
        <v>26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287</v>
      </c>
      <c r="D13" s="16" t="s">
        <v>143</v>
      </c>
      <c r="E13" s="17"/>
      <c r="F13" s="28">
        <v>46161.0</v>
      </c>
      <c r="G13" s="18"/>
      <c r="H13" s="19">
        <v>50000.0</v>
      </c>
      <c r="I13" s="20" t="s">
        <v>21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50000</v>
      </c>
      <c r="H19" s="34">
        <f t="shared" si="1"/>
        <v>1275000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138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32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87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288</v>
      </c>
      <c r="D4" s="16" t="s">
        <v>74</v>
      </c>
      <c r="E4" s="17"/>
      <c r="F4" s="60">
        <v>46165.0</v>
      </c>
      <c r="G4" s="18"/>
      <c r="H4" s="19">
        <v>200000.0</v>
      </c>
      <c r="I4" s="20" t="s">
        <v>26</v>
      </c>
      <c r="J4" s="20"/>
      <c r="K4" s="20"/>
      <c r="L4" s="20" t="s">
        <v>145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289</v>
      </c>
      <c r="D5" s="16" t="s">
        <v>143</v>
      </c>
      <c r="E5" s="17"/>
      <c r="F5" s="60">
        <v>46162.0</v>
      </c>
      <c r="G5" s="18"/>
      <c r="H5" s="19">
        <v>100000.0</v>
      </c>
      <c r="I5" s="20" t="s">
        <v>21</v>
      </c>
      <c r="J5" s="20"/>
      <c r="K5" s="20"/>
      <c r="L5" s="20" t="s">
        <v>145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290</v>
      </c>
      <c r="D6" s="16" t="s">
        <v>19</v>
      </c>
      <c r="E6" s="17"/>
      <c r="F6" s="14" t="s">
        <v>291</v>
      </c>
      <c r="G6" s="25"/>
      <c r="H6" s="19">
        <v>100000.0</v>
      </c>
      <c r="I6" s="20" t="s">
        <v>26</v>
      </c>
      <c r="J6" s="20"/>
      <c r="K6" s="20"/>
      <c r="L6" s="20" t="s">
        <v>145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292</v>
      </c>
      <c r="D7" s="16" t="s">
        <v>28</v>
      </c>
      <c r="E7" s="17"/>
      <c r="F7" s="28">
        <v>46165.0</v>
      </c>
      <c r="G7" s="18"/>
      <c r="H7" s="19">
        <v>100000.0</v>
      </c>
      <c r="I7" s="20" t="s">
        <v>26</v>
      </c>
      <c r="J7" s="20"/>
      <c r="K7" s="20"/>
      <c r="L7" s="20" t="s">
        <v>145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293</v>
      </c>
      <c r="D8" s="16" t="s">
        <v>19</v>
      </c>
      <c r="E8" s="17"/>
      <c r="F8" s="28">
        <v>46165.0</v>
      </c>
      <c r="G8" s="18"/>
      <c r="H8" s="19">
        <v>100000.0</v>
      </c>
      <c r="I8" s="20" t="s">
        <v>26</v>
      </c>
      <c r="J8" s="20"/>
      <c r="K8" s="20"/>
      <c r="L8" s="20" t="s">
        <v>145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48</v>
      </c>
      <c r="D9" s="16" t="s">
        <v>19</v>
      </c>
      <c r="E9" s="17"/>
      <c r="F9" s="28">
        <v>46161.0</v>
      </c>
      <c r="G9" s="18">
        <v>0.0</v>
      </c>
      <c r="H9" s="19">
        <v>0.0</v>
      </c>
      <c r="I9" s="20" t="s">
        <v>21</v>
      </c>
      <c r="J9" s="20" t="s">
        <v>30</v>
      </c>
      <c r="K9" s="20" t="s">
        <v>70</v>
      </c>
      <c r="L9" s="20" t="s">
        <v>145</v>
      </c>
      <c r="M9" s="20" t="s">
        <v>32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294</v>
      </c>
      <c r="D10" s="16" t="s">
        <v>69</v>
      </c>
      <c r="E10" s="17"/>
      <c r="F10" s="28">
        <v>46161.0</v>
      </c>
      <c r="G10" s="18">
        <v>100000.0</v>
      </c>
      <c r="H10" s="27"/>
      <c r="I10" s="20" t="s">
        <v>26</v>
      </c>
      <c r="J10" s="20"/>
      <c r="K10" s="20"/>
      <c r="L10" s="20" t="s">
        <v>145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182</v>
      </c>
      <c r="D11" s="16" t="s">
        <v>28</v>
      </c>
      <c r="E11" s="17"/>
      <c r="F11" s="28">
        <v>46162.0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295</v>
      </c>
      <c r="D12" s="16" t="s">
        <v>24</v>
      </c>
      <c r="E12" s="17"/>
      <c r="F12" s="28">
        <v>46161.0</v>
      </c>
      <c r="G12" s="18"/>
      <c r="H12" s="19">
        <v>150000.0</v>
      </c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87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296</v>
      </c>
      <c r="D13" s="16" t="s">
        <v>143</v>
      </c>
      <c r="E13" s="17"/>
      <c r="F13" s="28">
        <v>46161.0</v>
      </c>
      <c r="G13" s="18"/>
      <c r="H13" s="19">
        <v>100000.0</v>
      </c>
      <c r="I13" s="20" t="s">
        <v>21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297</v>
      </c>
      <c r="D14" s="16" t="s">
        <v>28</v>
      </c>
      <c r="E14" s="17"/>
      <c r="F14" s="28">
        <v>46162.0</v>
      </c>
      <c r="G14" s="18"/>
      <c r="H14" s="19">
        <v>100000.0</v>
      </c>
      <c r="I14" s="20" t="s">
        <v>26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294</v>
      </c>
      <c r="D15" s="16" t="s">
        <v>69</v>
      </c>
      <c r="E15" s="17"/>
      <c r="F15" s="28">
        <v>46161.0</v>
      </c>
      <c r="G15" s="18">
        <v>100000.0</v>
      </c>
      <c r="H15" s="27"/>
      <c r="I15" s="20" t="s">
        <v>21</v>
      </c>
      <c r="J15" s="20" t="s">
        <v>30</v>
      </c>
      <c r="K15" s="20" t="s">
        <v>30</v>
      </c>
      <c r="L15" s="20" t="s">
        <v>43</v>
      </c>
      <c r="M15" s="20" t="s">
        <v>87</v>
      </c>
      <c r="N15" s="23"/>
      <c r="O15" s="24"/>
      <c r="P15" s="24"/>
      <c r="Q15" s="1"/>
      <c r="R15" s="1"/>
    </row>
    <row r="16">
      <c r="A16" s="1"/>
      <c r="B16" s="29"/>
      <c r="C16" s="15" t="s">
        <v>298</v>
      </c>
      <c r="D16" s="16" t="s">
        <v>28</v>
      </c>
      <c r="E16" s="17"/>
      <c r="F16" s="28">
        <v>46161.0</v>
      </c>
      <c r="G16" s="18">
        <v>75000.0</v>
      </c>
      <c r="H16" s="27"/>
      <c r="I16" s="20" t="s">
        <v>21</v>
      </c>
      <c r="J16" s="20" t="s">
        <v>30</v>
      </c>
      <c r="K16" s="20" t="s">
        <v>30</v>
      </c>
      <c r="L16" s="20" t="s">
        <v>43</v>
      </c>
      <c r="M16" s="20" t="s">
        <v>87</v>
      </c>
      <c r="N16" s="23"/>
      <c r="O16" s="24"/>
      <c r="P16" s="24"/>
      <c r="Q16" s="1"/>
      <c r="R16" s="1"/>
    </row>
    <row r="17">
      <c r="A17" s="1"/>
      <c r="B17" s="29"/>
      <c r="C17" s="15" t="s">
        <v>299</v>
      </c>
      <c r="D17" s="16" t="s">
        <v>19</v>
      </c>
      <c r="E17" s="17"/>
      <c r="F17" s="28">
        <v>46165.0</v>
      </c>
      <c r="G17" s="18"/>
      <c r="H17" s="19">
        <v>100000.0</v>
      </c>
      <c r="I17" s="20" t="s">
        <v>26</v>
      </c>
      <c r="J17" s="20"/>
      <c r="K17" s="20"/>
      <c r="L17" s="20" t="s">
        <v>43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300</v>
      </c>
      <c r="D18" s="16" t="s">
        <v>19</v>
      </c>
      <c r="E18" s="17"/>
      <c r="F18" s="28">
        <v>46163.0</v>
      </c>
      <c r="G18" s="18"/>
      <c r="H18" s="19">
        <v>100000.0</v>
      </c>
      <c r="I18" s="20" t="s">
        <v>26</v>
      </c>
      <c r="J18" s="20"/>
      <c r="K18" s="20"/>
      <c r="L18" s="20" t="s">
        <v>43</v>
      </c>
      <c r="M18" s="26"/>
      <c r="N18" s="23"/>
      <c r="O18" s="24"/>
      <c r="P18" s="24"/>
      <c r="Q18" s="1"/>
      <c r="R18" s="1"/>
    </row>
    <row r="19">
      <c r="A19" s="1"/>
      <c r="B19" s="29"/>
      <c r="C19" s="15" t="s">
        <v>301</v>
      </c>
      <c r="D19" s="16" t="s">
        <v>28</v>
      </c>
      <c r="E19" s="17"/>
      <c r="F19" s="28">
        <v>46163.0</v>
      </c>
      <c r="G19" s="18"/>
      <c r="H19" s="19">
        <v>100000.0</v>
      </c>
      <c r="I19" s="20" t="s">
        <v>26</v>
      </c>
      <c r="J19" s="20"/>
      <c r="K19" s="20"/>
      <c r="L19" s="20" t="s">
        <v>43</v>
      </c>
      <c r="M19" s="26"/>
      <c r="N19" s="23"/>
      <c r="O19" s="24"/>
      <c r="P19" s="24"/>
      <c r="Q19" s="1"/>
      <c r="R19" s="1"/>
    </row>
    <row r="20">
      <c r="A20" s="1"/>
      <c r="B20" s="29"/>
      <c r="C20" s="31"/>
      <c r="D20" s="16"/>
      <c r="E20" s="17"/>
      <c r="F20" s="29"/>
      <c r="G20" s="25"/>
      <c r="H20" s="27"/>
      <c r="I20" s="26"/>
      <c r="J20" s="26"/>
      <c r="K20" s="26"/>
      <c r="L20" s="26"/>
      <c r="M20" s="26"/>
      <c r="N20" s="24"/>
      <c r="O20" s="24"/>
      <c r="P20" s="24"/>
      <c r="Q20" s="1"/>
      <c r="R20" s="1"/>
    </row>
    <row r="21">
      <c r="A21" s="1"/>
      <c r="B21" s="29"/>
      <c r="C21" s="31"/>
      <c r="D21" s="16"/>
      <c r="E21" s="17"/>
      <c r="F21" s="29"/>
      <c r="G21" s="25"/>
      <c r="H21" s="27"/>
      <c r="I21" s="26"/>
      <c r="J21" s="26"/>
      <c r="K21" s="26"/>
      <c r="L21" s="26"/>
      <c r="M21" s="26"/>
      <c r="N21" s="32"/>
      <c r="O21" s="32"/>
      <c r="P21" s="32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33">
        <f t="shared" ref="G22:H22" si="1">SUM(G4:G21)</f>
        <v>275000</v>
      </c>
      <c r="H22" s="34">
        <f t="shared" si="1"/>
        <v>1350000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35" t="s">
        <v>0</v>
      </c>
      <c r="C25" s="36" t="s">
        <v>6</v>
      </c>
      <c r="D25" s="36" t="s">
        <v>57</v>
      </c>
      <c r="E25" s="37"/>
      <c r="F25" s="1"/>
      <c r="G25" s="1"/>
      <c r="H25" s="1"/>
      <c r="I25" s="1"/>
      <c r="J25" s="1"/>
      <c r="K25" s="1"/>
      <c r="L25" s="1"/>
      <c r="M25" s="1"/>
      <c r="N25" s="36" t="s">
        <v>58</v>
      </c>
      <c r="O25" s="36" t="s">
        <v>1</v>
      </c>
      <c r="P25" s="1"/>
      <c r="Q25" s="1"/>
      <c r="R25" s="1"/>
    </row>
    <row r="26">
      <c r="A26" s="1"/>
      <c r="B26" s="38">
        <v>1.0</v>
      </c>
      <c r="C26" s="39" t="s">
        <v>59</v>
      </c>
      <c r="D26" s="40">
        <f>SUM(G22)</f>
        <v>275000</v>
      </c>
      <c r="E26" s="41"/>
      <c r="F26" s="1"/>
      <c r="G26" s="1"/>
      <c r="H26" s="1"/>
      <c r="I26" s="1"/>
      <c r="J26" s="1"/>
      <c r="K26" s="1"/>
      <c r="L26" s="1"/>
      <c r="M26" s="1"/>
      <c r="N26" s="42" t="s">
        <v>60</v>
      </c>
      <c r="O26" s="21" t="s">
        <v>145</v>
      </c>
      <c r="P26" s="1"/>
      <c r="Q26" s="1"/>
      <c r="R26" s="1"/>
    </row>
    <row r="27">
      <c r="A27" s="1"/>
      <c r="B27" s="43">
        <v>2.0</v>
      </c>
      <c r="C27" s="44" t="s">
        <v>61</v>
      </c>
      <c r="D27" s="45">
        <v>-50000.0</v>
      </c>
      <c r="E27" s="46"/>
      <c r="F27" s="1"/>
      <c r="G27" s="1"/>
      <c r="H27" s="1"/>
      <c r="I27" s="1"/>
      <c r="J27" s="1"/>
      <c r="K27" s="1"/>
      <c r="L27" s="1"/>
      <c r="M27" s="1"/>
      <c r="N27" s="47" t="s">
        <v>62</v>
      </c>
      <c r="O27" s="48" t="s">
        <v>43</v>
      </c>
      <c r="P27" s="1"/>
      <c r="Q27" s="1"/>
      <c r="R27" s="1"/>
    </row>
    <row r="28">
      <c r="A28" s="1"/>
      <c r="B28" s="38">
        <v>3.0</v>
      </c>
      <c r="C28" s="39" t="s">
        <v>138</v>
      </c>
      <c r="D28" s="49">
        <v>-5000.0</v>
      </c>
      <c r="E28" s="46"/>
      <c r="F28" s="1"/>
      <c r="G28" s="1"/>
      <c r="H28" s="1"/>
      <c r="I28" s="1"/>
      <c r="J28" s="1"/>
      <c r="K28" s="1"/>
      <c r="L28" s="1"/>
      <c r="M28" s="1"/>
      <c r="N28" s="50" t="s">
        <v>64</v>
      </c>
      <c r="O28" s="23" t="s">
        <v>32</v>
      </c>
      <c r="P28" s="1"/>
      <c r="Q28" s="1"/>
      <c r="R28" s="1"/>
    </row>
    <row r="29">
      <c r="A29" s="1"/>
      <c r="B29" s="43">
        <v>4.0</v>
      </c>
      <c r="C29" s="44" t="s">
        <v>209</v>
      </c>
      <c r="D29" s="45">
        <v>-55000.0</v>
      </c>
      <c r="E29" s="46"/>
      <c r="F29" s="1"/>
      <c r="G29" s="1"/>
      <c r="H29" s="1"/>
      <c r="I29" s="1"/>
      <c r="J29" s="1"/>
      <c r="K29" s="1"/>
      <c r="L29" s="1"/>
      <c r="M29" s="1"/>
      <c r="N29" s="51" t="s">
        <v>65</v>
      </c>
      <c r="O29" s="48" t="s">
        <v>87</v>
      </c>
      <c r="P29" s="1"/>
      <c r="Q29" s="1"/>
      <c r="R29" s="1"/>
    </row>
    <row r="30">
      <c r="A30" s="1"/>
      <c r="B30" s="38"/>
      <c r="C30" s="39" t="s">
        <v>202</v>
      </c>
      <c r="D30" s="49">
        <v>-65000.0</v>
      </c>
      <c r="E30" s="41"/>
      <c r="F30" s="1"/>
      <c r="G30" s="1"/>
      <c r="H30" s="1"/>
      <c r="I30" s="1"/>
      <c r="J30" s="1"/>
      <c r="K30" s="1"/>
      <c r="L30" s="1"/>
      <c r="M30" s="1"/>
      <c r="N30" s="53"/>
      <c r="O30" s="1"/>
      <c r="P30" s="1"/>
      <c r="Q30" s="1"/>
      <c r="R30" s="1"/>
    </row>
    <row r="31">
      <c r="A31" s="1"/>
      <c r="B31" s="43"/>
      <c r="C31" s="44" t="s">
        <v>94</v>
      </c>
      <c r="D31" s="45">
        <v>-100000.0</v>
      </c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38"/>
      <c r="C34" s="52"/>
      <c r="D34" s="40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6"/>
      <c r="C36" s="57"/>
      <c r="D36" s="58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59">
        <f>SUM(D26:D36)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"-,JIJANG,ADDEL,PENTIL,FAHME,INDAH"</formula1>
    </dataValidation>
    <dataValidation type="list" allowBlank="1" showDropDown="1" showErrorMessage="1" sqref="M4:M21 O28:O29">
      <formula1>"-,VERO,FADEL,HANIF ,FAHME,ADIF"</formula1>
    </dataValidation>
    <dataValidation type="list" allowBlank="1" showErrorMessage="1" sqref="N4:N21">
      <formula1>"-,Pending,Progress,Uploaded"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287</v>
      </c>
      <c r="D4" s="16" t="s">
        <v>143</v>
      </c>
      <c r="E4" s="17"/>
      <c r="F4" s="60">
        <v>46162.0</v>
      </c>
      <c r="G4" s="18"/>
      <c r="H4" s="19">
        <v>50000.0</v>
      </c>
      <c r="I4" s="20" t="s">
        <v>21</v>
      </c>
      <c r="J4" s="20" t="s">
        <v>30</v>
      </c>
      <c r="K4" s="20" t="s">
        <v>30</v>
      </c>
      <c r="L4" s="20" t="s">
        <v>22</v>
      </c>
      <c r="M4" s="20" t="s">
        <v>228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182</v>
      </c>
      <c r="D5" s="16" t="s">
        <v>28</v>
      </c>
      <c r="E5" s="17"/>
      <c r="F5" s="60">
        <v>46162.0</v>
      </c>
      <c r="G5" s="18"/>
      <c r="H5" s="19">
        <v>75000.0</v>
      </c>
      <c r="I5" s="20" t="s">
        <v>21</v>
      </c>
      <c r="J5" s="20" t="s">
        <v>30</v>
      </c>
      <c r="K5" s="20" t="s">
        <v>31</v>
      </c>
      <c r="L5" s="20" t="s">
        <v>22</v>
      </c>
      <c r="M5" s="20" t="s">
        <v>228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302</v>
      </c>
      <c r="D6" s="16" t="s">
        <v>143</v>
      </c>
      <c r="E6" s="17"/>
      <c r="F6" s="28">
        <v>46162.0</v>
      </c>
      <c r="G6" s="18">
        <v>0.0</v>
      </c>
      <c r="H6" s="19">
        <v>0.0</v>
      </c>
      <c r="I6" s="20" t="s">
        <v>21</v>
      </c>
      <c r="J6" s="20" t="s">
        <v>30</v>
      </c>
      <c r="K6" s="20" t="s">
        <v>30</v>
      </c>
      <c r="L6" s="20" t="s">
        <v>22</v>
      </c>
      <c r="M6" s="20" t="s">
        <v>228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303</v>
      </c>
      <c r="D7" s="16" t="s">
        <v>143</v>
      </c>
      <c r="E7" s="17"/>
      <c r="F7" s="28">
        <v>46162.0</v>
      </c>
      <c r="G7" s="18"/>
      <c r="H7" s="19">
        <v>50000.0</v>
      </c>
      <c r="I7" s="20" t="s">
        <v>21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304</v>
      </c>
      <c r="D8" s="16" t="s">
        <v>74</v>
      </c>
      <c r="E8" s="17"/>
      <c r="F8" s="14" t="s">
        <v>305</v>
      </c>
      <c r="G8" s="18"/>
      <c r="H8" s="19">
        <v>100000.0</v>
      </c>
      <c r="I8" s="20" t="s">
        <v>26</v>
      </c>
      <c r="J8" s="20"/>
      <c r="K8" s="20"/>
      <c r="L8" s="20" t="s">
        <v>22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306</v>
      </c>
      <c r="D9" s="16" t="s">
        <v>19</v>
      </c>
      <c r="E9" s="17"/>
      <c r="F9" s="14" t="s">
        <v>80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307</v>
      </c>
      <c r="D10" s="16" t="s">
        <v>19</v>
      </c>
      <c r="E10" s="17"/>
      <c r="F10" s="28">
        <v>46163.0</v>
      </c>
      <c r="G10" s="18"/>
      <c r="H10" s="19">
        <v>100000.0</v>
      </c>
      <c r="I10" s="20" t="s">
        <v>26</v>
      </c>
      <c r="J10" s="20"/>
      <c r="K10" s="20"/>
      <c r="L10" s="20" t="s">
        <v>22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308</v>
      </c>
      <c r="D11" s="16" t="s">
        <v>19</v>
      </c>
      <c r="E11" s="17"/>
      <c r="F11" s="28">
        <v>46165.0</v>
      </c>
      <c r="G11" s="18"/>
      <c r="H11" s="19">
        <v>100000.0</v>
      </c>
      <c r="I11" s="20" t="s">
        <v>26</v>
      </c>
      <c r="J11" s="20"/>
      <c r="K11" s="20"/>
      <c r="L11" s="20" t="s">
        <v>22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309</v>
      </c>
      <c r="D12" s="16" t="s">
        <v>143</v>
      </c>
      <c r="E12" s="17"/>
      <c r="F12" s="28">
        <v>46162.0</v>
      </c>
      <c r="G12" s="18"/>
      <c r="H12" s="19">
        <v>100000.0</v>
      </c>
      <c r="I12" s="20" t="s">
        <v>21</v>
      </c>
      <c r="J12" s="20" t="s">
        <v>30</v>
      </c>
      <c r="K12" s="20" t="s">
        <v>30</v>
      </c>
      <c r="L12" s="20" t="s">
        <v>22</v>
      </c>
      <c r="M12" s="20" t="s">
        <v>228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310</v>
      </c>
      <c r="D13" s="16" t="s">
        <v>143</v>
      </c>
      <c r="E13" s="17"/>
      <c r="F13" s="28">
        <v>46162.0</v>
      </c>
      <c r="G13" s="18">
        <v>0.0</v>
      </c>
      <c r="H13" s="19">
        <v>0.0</v>
      </c>
      <c r="I13" s="20" t="s">
        <v>21</v>
      </c>
      <c r="J13" s="20" t="s">
        <v>30</v>
      </c>
      <c r="K13" s="20" t="s">
        <v>30</v>
      </c>
      <c r="L13" s="20" t="s">
        <v>22</v>
      </c>
      <c r="M13" s="20" t="s">
        <v>228</v>
      </c>
      <c r="N13" s="23"/>
      <c r="O13" s="24"/>
      <c r="P13" s="24"/>
      <c r="Q13" s="1"/>
      <c r="R13" s="1"/>
    </row>
    <row r="14">
      <c r="A14" s="1"/>
      <c r="B14" s="29"/>
      <c r="C14" s="15" t="s">
        <v>311</v>
      </c>
      <c r="D14" s="16" t="s">
        <v>19</v>
      </c>
      <c r="E14" s="17"/>
      <c r="F14" s="14" t="s">
        <v>80</v>
      </c>
      <c r="G14" s="18"/>
      <c r="H14" s="19">
        <v>100000.0</v>
      </c>
      <c r="I14" s="20" t="s">
        <v>26</v>
      </c>
      <c r="J14" s="20"/>
      <c r="K14" s="20"/>
      <c r="L14" s="20" t="s">
        <v>22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297</v>
      </c>
      <c r="D15" s="16" t="s">
        <v>28</v>
      </c>
      <c r="E15" s="17"/>
      <c r="F15" s="28">
        <v>46162.0</v>
      </c>
      <c r="G15" s="18"/>
      <c r="H15" s="19">
        <v>75000.0</v>
      </c>
      <c r="I15" s="20" t="s">
        <v>21</v>
      </c>
      <c r="J15" s="20" t="s">
        <v>30</v>
      </c>
      <c r="K15" s="20" t="s">
        <v>30</v>
      </c>
      <c r="L15" s="20" t="s">
        <v>22</v>
      </c>
      <c r="M15" s="20" t="s">
        <v>228</v>
      </c>
      <c r="N15" s="23"/>
      <c r="O15" s="24"/>
      <c r="P15" s="24"/>
      <c r="Q15" s="1"/>
      <c r="R15" s="1"/>
    </row>
    <row r="16">
      <c r="A16" s="1"/>
      <c r="B16" s="29"/>
      <c r="C16" s="15" t="s">
        <v>312</v>
      </c>
      <c r="D16" s="16" t="s">
        <v>28</v>
      </c>
      <c r="E16" s="17"/>
      <c r="F16" s="28">
        <v>46167.0</v>
      </c>
      <c r="G16" s="18"/>
      <c r="H16" s="19">
        <v>100000.0</v>
      </c>
      <c r="I16" s="20" t="s">
        <v>26</v>
      </c>
      <c r="J16" s="20"/>
      <c r="K16" s="20"/>
      <c r="L16" s="20" t="s">
        <v>22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313</v>
      </c>
      <c r="D17" s="16" t="s">
        <v>19</v>
      </c>
      <c r="E17" s="17"/>
      <c r="F17" s="14" t="s">
        <v>80</v>
      </c>
      <c r="G17" s="18"/>
      <c r="H17" s="19">
        <v>100000.0</v>
      </c>
      <c r="I17" s="20" t="s">
        <v>26</v>
      </c>
      <c r="J17" s="20"/>
      <c r="K17" s="20"/>
      <c r="L17" s="20" t="s">
        <v>22</v>
      </c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1050000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22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228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"-,VERO,FADEL,ADIF ,FAHME"</formula1>
    </dataValidation>
    <dataValidation type="list" allowBlank="1" showDropDown="1" showErrorMessage="1" sqref="L4:L18 O23:O24">
      <formula1>"-,ADDEL ,AXEL,PENTIL,FAHME"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1.38"/>
    <col customWidth="1" min="4" max="4" width="21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314</v>
      </c>
      <c r="D4" s="16" t="s">
        <v>143</v>
      </c>
      <c r="E4" s="17" t="s">
        <v>130</v>
      </c>
      <c r="F4" s="60">
        <v>46163.0</v>
      </c>
      <c r="G4" s="18"/>
      <c r="H4" s="19">
        <v>50000.0</v>
      </c>
      <c r="I4" s="20" t="s">
        <v>21</v>
      </c>
      <c r="J4" s="20" t="s">
        <v>30</v>
      </c>
      <c r="K4" s="20" t="s">
        <v>30</v>
      </c>
      <c r="L4" s="20" t="s">
        <v>43</v>
      </c>
      <c r="M4" s="20" t="s">
        <v>87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315</v>
      </c>
      <c r="D5" s="16" t="s">
        <v>28</v>
      </c>
      <c r="E5" s="17"/>
      <c r="F5" s="60">
        <v>46163.0</v>
      </c>
      <c r="G5" s="18"/>
      <c r="H5" s="19">
        <v>100000.0</v>
      </c>
      <c r="I5" s="20" t="s">
        <v>26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316</v>
      </c>
      <c r="D6" s="16" t="s">
        <v>28</v>
      </c>
      <c r="E6" s="17"/>
      <c r="F6" s="28">
        <v>46166.0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317</v>
      </c>
      <c r="D7" s="16" t="s">
        <v>42</v>
      </c>
      <c r="E7" s="17"/>
      <c r="F7" s="28">
        <v>46165.0</v>
      </c>
      <c r="G7" s="18"/>
      <c r="H7" s="19">
        <v>100000.0</v>
      </c>
      <c r="I7" s="20" t="s">
        <v>26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85</v>
      </c>
      <c r="D8" s="16" t="s">
        <v>67</v>
      </c>
      <c r="E8" s="17"/>
      <c r="F8" s="28">
        <v>46144.0</v>
      </c>
      <c r="G8" s="18"/>
      <c r="H8" s="19">
        <v>20000.0</v>
      </c>
      <c r="I8" s="20" t="s">
        <v>21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315</v>
      </c>
      <c r="D9" s="16" t="s">
        <v>28</v>
      </c>
      <c r="E9" s="17"/>
      <c r="F9" s="28">
        <v>46163.0</v>
      </c>
      <c r="G9" s="18">
        <v>300000.0</v>
      </c>
      <c r="H9" s="27"/>
      <c r="I9" s="20" t="s">
        <v>21</v>
      </c>
      <c r="J9" s="20" t="s">
        <v>30</v>
      </c>
      <c r="K9" s="20" t="s">
        <v>30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255</v>
      </c>
      <c r="D10" s="16" t="s">
        <v>28</v>
      </c>
      <c r="E10" s="17"/>
      <c r="F10" s="28">
        <v>46163.0</v>
      </c>
      <c r="G10" s="18"/>
      <c r="H10" s="19">
        <v>125000.0</v>
      </c>
      <c r="I10" s="20" t="s">
        <v>21</v>
      </c>
      <c r="J10" s="20" t="s">
        <v>30</v>
      </c>
      <c r="K10" s="20" t="s">
        <v>30</v>
      </c>
      <c r="L10" s="20" t="s">
        <v>145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300</v>
      </c>
      <c r="D11" s="16" t="s">
        <v>19</v>
      </c>
      <c r="E11" s="17"/>
      <c r="F11" s="28">
        <v>46163.0</v>
      </c>
      <c r="G11" s="18">
        <v>250000.0</v>
      </c>
      <c r="H11" s="27"/>
      <c r="I11" s="20" t="s">
        <v>21</v>
      </c>
      <c r="J11" s="20" t="s">
        <v>30</v>
      </c>
      <c r="K11" s="20" t="s">
        <v>70</v>
      </c>
      <c r="L11" s="20" t="s">
        <v>145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318</v>
      </c>
      <c r="D12" s="16" t="s">
        <v>28</v>
      </c>
      <c r="E12" s="17"/>
      <c r="F12" s="28">
        <v>46163.0</v>
      </c>
      <c r="G12" s="18">
        <v>525000.0</v>
      </c>
      <c r="H12" s="27"/>
      <c r="I12" s="20" t="s">
        <v>21</v>
      </c>
      <c r="J12" s="20" t="s">
        <v>30</v>
      </c>
      <c r="K12" s="20" t="s">
        <v>30</v>
      </c>
      <c r="L12" s="20" t="s">
        <v>145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319</v>
      </c>
      <c r="D13" s="16" t="s">
        <v>19</v>
      </c>
      <c r="E13" s="17"/>
      <c r="F13" s="28">
        <v>46163.0</v>
      </c>
      <c r="G13" s="18">
        <v>250000.0</v>
      </c>
      <c r="H13" s="27"/>
      <c r="I13" s="20" t="s">
        <v>21</v>
      </c>
      <c r="J13" s="20" t="s">
        <v>30</v>
      </c>
      <c r="K13" s="20" t="s">
        <v>70</v>
      </c>
      <c r="L13" s="20" t="s">
        <v>145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320</v>
      </c>
      <c r="D14" s="16" t="s">
        <v>19</v>
      </c>
      <c r="E14" s="17"/>
      <c r="F14" s="14" t="s">
        <v>80</v>
      </c>
      <c r="G14" s="18"/>
      <c r="H14" s="19">
        <v>100000.0</v>
      </c>
      <c r="I14" s="20" t="s">
        <v>26</v>
      </c>
      <c r="J14" s="20"/>
      <c r="K14" s="20"/>
      <c r="L14" s="20" t="s">
        <v>145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321</v>
      </c>
      <c r="D15" s="16" t="s">
        <v>74</v>
      </c>
      <c r="E15" s="17"/>
      <c r="F15" s="28">
        <v>46164.0</v>
      </c>
      <c r="G15" s="18"/>
      <c r="H15" s="19">
        <v>100000.0</v>
      </c>
      <c r="I15" s="20" t="s">
        <v>26</v>
      </c>
      <c r="J15" s="20"/>
      <c r="K15" s="20"/>
      <c r="L15" s="20" t="s">
        <v>145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322</v>
      </c>
      <c r="D16" s="16" t="s">
        <v>28</v>
      </c>
      <c r="E16" s="17"/>
      <c r="F16" s="28">
        <v>46164.0</v>
      </c>
      <c r="G16" s="18"/>
      <c r="H16" s="19">
        <v>100000.0</v>
      </c>
      <c r="I16" s="20" t="s">
        <v>26</v>
      </c>
      <c r="J16" s="20"/>
      <c r="K16" s="20"/>
      <c r="L16" s="20" t="s">
        <v>145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139</v>
      </c>
      <c r="D17" s="16" t="s">
        <v>28</v>
      </c>
      <c r="E17" s="17"/>
      <c r="F17" s="28">
        <v>46163.0</v>
      </c>
      <c r="G17" s="18">
        <v>125000.0</v>
      </c>
      <c r="H17" s="27"/>
      <c r="I17" s="20" t="s">
        <v>26</v>
      </c>
      <c r="J17" s="20"/>
      <c r="K17" s="20"/>
      <c r="L17" s="20" t="s">
        <v>145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323</v>
      </c>
      <c r="D18" s="16" t="s">
        <v>19</v>
      </c>
      <c r="E18" s="17"/>
      <c r="F18" s="14" t="s">
        <v>80</v>
      </c>
      <c r="G18" s="25"/>
      <c r="H18" s="19">
        <v>100000.0</v>
      </c>
      <c r="I18" s="20" t="s">
        <v>26</v>
      </c>
      <c r="J18" s="26"/>
      <c r="K18" s="26"/>
      <c r="L18" s="20" t="s">
        <v>145</v>
      </c>
      <c r="M18" s="26"/>
      <c r="N18" s="24"/>
      <c r="O18" s="24"/>
      <c r="P18" s="24"/>
      <c r="Q18" s="1"/>
      <c r="R18" s="1"/>
    </row>
    <row r="19">
      <c r="A19" s="1"/>
      <c r="B19" s="29"/>
      <c r="C19" s="14" t="s">
        <v>324</v>
      </c>
      <c r="D19" s="16" t="s">
        <v>28</v>
      </c>
      <c r="E19" s="17"/>
      <c r="F19" s="28">
        <v>46166.0</v>
      </c>
      <c r="G19" s="25"/>
      <c r="H19" s="19">
        <v>100000.0</v>
      </c>
      <c r="I19" s="20" t="s">
        <v>26</v>
      </c>
      <c r="J19" s="26"/>
      <c r="K19" s="26"/>
      <c r="L19" s="20" t="s">
        <v>145</v>
      </c>
      <c r="M19" s="26"/>
      <c r="N19" s="24"/>
      <c r="O19" s="24"/>
      <c r="P19" s="24"/>
      <c r="Q19" s="1"/>
      <c r="R19" s="1"/>
    </row>
    <row r="20">
      <c r="A20" s="1"/>
      <c r="B20" s="29"/>
      <c r="C20" s="15" t="s">
        <v>325</v>
      </c>
      <c r="D20" s="16" t="s">
        <v>28</v>
      </c>
      <c r="E20" s="17"/>
      <c r="F20" s="28">
        <v>46164.0</v>
      </c>
      <c r="G20" s="25"/>
      <c r="H20" s="19">
        <v>100000.0</v>
      </c>
      <c r="I20" s="20" t="s">
        <v>26</v>
      </c>
      <c r="J20" s="26"/>
      <c r="K20" s="26"/>
      <c r="L20" s="20" t="s">
        <v>145</v>
      </c>
      <c r="M20" s="26"/>
      <c r="N20" s="24"/>
      <c r="O20" s="24"/>
      <c r="P20" s="24"/>
      <c r="Q20" s="1"/>
      <c r="R20" s="1"/>
    </row>
    <row r="21">
      <c r="A21" s="1"/>
      <c r="B21" s="29"/>
      <c r="C21" s="15" t="s">
        <v>326</v>
      </c>
      <c r="D21" s="16" t="s">
        <v>28</v>
      </c>
      <c r="E21" s="17"/>
      <c r="F21" s="28">
        <v>46164.0</v>
      </c>
      <c r="G21" s="25"/>
      <c r="H21" s="19">
        <v>100000.0</v>
      </c>
      <c r="I21" s="20" t="s">
        <v>26</v>
      </c>
      <c r="J21" s="26"/>
      <c r="K21" s="26"/>
      <c r="L21" s="20" t="s">
        <v>145</v>
      </c>
      <c r="M21" s="26"/>
      <c r="N21" s="24"/>
      <c r="O21" s="24"/>
      <c r="P21" s="24"/>
      <c r="Q21" s="1"/>
      <c r="R21" s="1"/>
    </row>
    <row r="22">
      <c r="A22" s="1"/>
      <c r="B22" s="29"/>
      <c r="C22" s="15" t="s">
        <v>301</v>
      </c>
      <c r="D22" s="16" t="s">
        <v>28</v>
      </c>
      <c r="E22" s="17"/>
      <c r="F22" s="28">
        <v>46163.0</v>
      </c>
      <c r="G22" s="25"/>
      <c r="H22" s="19">
        <v>1315000.0</v>
      </c>
      <c r="I22" s="20" t="s">
        <v>21</v>
      </c>
      <c r="J22" s="20" t="s">
        <v>30</v>
      </c>
      <c r="K22" s="20" t="s">
        <v>70</v>
      </c>
      <c r="L22" s="20" t="s">
        <v>145</v>
      </c>
      <c r="M22" s="20" t="s">
        <v>147</v>
      </c>
      <c r="N22" s="32"/>
      <c r="O22" s="32"/>
      <c r="P22" s="32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33">
        <f t="shared" ref="G23:H23" si="1">SUM(G4:G22)</f>
        <v>1450000</v>
      </c>
      <c r="H23" s="34">
        <f t="shared" si="1"/>
        <v>2510000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35" t="s">
        <v>0</v>
      </c>
      <c r="C26" s="36" t="s">
        <v>6</v>
      </c>
      <c r="D26" s="36" t="s">
        <v>57</v>
      </c>
      <c r="E26" s="37"/>
      <c r="F26" s="1"/>
      <c r="G26" s="1"/>
      <c r="H26" s="1"/>
      <c r="I26" s="1"/>
      <c r="J26" s="1"/>
      <c r="K26" s="1"/>
      <c r="L26" s="1"/>
      <c r="M26" s="1"/>
      <c r="N26" s="36" t="s">
        <v>58</v>
      </c>
      <c r="O26" s="36" t="s">
        <v>1</v>
      </c>
      <c r="P26" s="1"/>
      <c r="Q26" s="1"/>
      <c r="R26" s="1"/>
    </row>
    <row r="27">
      <c r="A27" s="1"/>
      <c r="B27" s="38">
        <v>1.0</v>
      </c>
      <c r="C27" s="39" t="s">
        <v>59</v>
      </c>
      <c r="D27" s="40">
        <f>SUM(G23)</f>
        <v>1450000</v>
      </c>
      <c r="E27" s="41"/>
      <c r="F27" s="1"/>
      <c r="G27" s="1"/>
      <c r="H27" s="1"/>
      <c r="I27" s="1"/>
      <c r="J27" s="1"/>
      <c r="K27" s="1"/>
      <c r="L27" s="1"/>
      <c r="M27" s="1"/>
      <c r="N27" s="42" t="s">
        <v>60</v>
      </c>
      <c r="O27" s="21" t="s">
        <v>43</v>
      </c>
      <c r="P27" s="1"/>
      <c r="Q27" s="1"/>
      <c r="R27" s="1"/>
    </row>
    <row r="28">
      <c r="A28" s="1"/>
      <c r="B28" s="43">
        <v>2.0</v>
      </c>
      <c r="C28" s="44" t="s">
        <v>138</v>
      </c>
      <c r="D28" s="45">
        <v>-30000.0</v>
      </c>
      <c r="E28" s="46"/>
      <c r="F28" s="1"/>
      <c r="G28" s="1"/>
      <c r="H28" s="1"/>
      <c r="I28" s="1"/>
      <c r="J28" s="1"/>
      <c r="K28" s="1"/>
      <c r="L28" s="1"/>
      <c r="M28" s="1"/>
      <c r="N28" s="47" t="s">
        <v>62</v>
      </c>
      <c r="O28" s="48" t="s">
        <v>145</v>
      </c>
      <c r="P28" s="1"/>
      <c r="Q28" s="1"/>
      <c r="R28" s="1"/>
    </row>
    <row r="29">
      <c r="A29" s="1"/>
      <c r="B29" s="38">
        <v>3.0</v>
      </c>
      <c r="C29" s="39" t="s">
        <v>209</v>
      </c>
      <c r="D29" s="49">
        <v>-20000.0</v>
      </c>
      <c r="E29" s="46"/>
      <c r="F29" s="1"/>
      <c r="G29" s="1"/>
      <c r="H29" s="1"/>
      <c r="I29" s="1"/>
      <c r="J29" s="1"/>
      <c r="K29" s="1"/>
      <c r="L29" s="1"/>
      <c r="M29" s="1"/>
      <c r="N29" s="50" t="s">
        <v>64</v>
      </c>
      <c r="O29" s="23" t="s">
        <v>87</v>
      </c>
      <c r="P29" s="1"/>
      <c r="Q29" s="1"/>
      <c r="R29" s="1"/>
    </row>
    <row r="30">
      <c r="A30" s="1"/>
      <c r="B30" s="43">
        <v>4.0</v>
      </c>
      <c r="C30" s="44" t="s">
        <v>94</v>
      </c>
      <c r="D30" s="45">
        <v>-100000.0</v>
      </c>
      <c r="E30" s="46"/>
      <c r="F30" s="1"/>
      <c r="G30" s="1"/>
      <c r="H30" s="1"/>
      <c r="I30" s="1"/>
      <c r="J30" s="1"/>
      <c r="K30" s="1"/>
      <c r="L30" s="1"/>
      <c r="M30" s="1"/>
      <c r="N30" s="51" t="s">
        <v>65</v>
      </c>
      <c r="O30" s="48" t="s">
        <v>147</v>
      </c>
      <c r="P30" s="1"/>
      <c r="Q30" s="1"/>
      <c r="R30" s="1"/>
    </row>
    <row r="31">
      <c r="A31" s="1"/>
      <c r="B31" s="38"/>
      <c r="C31" s="39" t="s">
        <v>61</v>
      </c>
      <c r="D31" s="49">
        <v>-50000.0</v>
      </c>
      <c r="E31" s="41"/>
      <c r="F31" s="1"/>
      <c r="G31" s="1"/>
      <c r="H31" s="1"/>
      <c r="I31" s="1"/>
      <c r="J31" s="1"/>
      <c r="K31" s="1"/>
      <c r="L31" s="1"/>
      <c r="M31" s="1"/>
      <c r="N31" s="53"/>
      <c r="O31" s="1"/>
      <c r="P31" s="1"/>
      <c r="Q31" s="1"/>
      <c r="R31" s="1"/>
    </row>
    <row r="32">
      <c r="A32" s="1"/>
      <c r="B32" s="43"/>
      <c r="C32" s="44" t="s">
        <v>202</v>
      </c>
      <c r="D32" s="45">
        <v>-11500.0</v>
      </c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39" t="s">
        <v>327</v>
      </c>
      <c r="D33" s="49">
        <v>-58500.0</v>
      </c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44" t="s">
        <v>156</v>
      </c>
      <c r="D34" s="45">
        <v>-30000.0</v>
      </c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38"/>
      <c r="C35" s="52"/>
      <c r="D35" s="40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3"/>
      <c r="C36" s="54"/>
      <c r="D36" s="55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6"/>
      <c r="C37" s="57"/>
      <c r="D37" s="58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59">
        <f>SUM(D27:D37)</f>
        <v>1150000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22 O29:O30">
      <formula1>"-,VERO,FADEL,HANIF,FAHME,ADIF"</formula1>
    </dataValidation>
    <dataValidation type="list" allowBlank="1" showDropDown="1" showErrorMessage="1" sqref="L4:L22 O27:O28">
      <formula1>"-,JIJANG,AXEL,ADDEL,FAHME,INDAH"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Edit,Photofox,Packing"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328</v>
      </c>
      <c r="D4" s="16" t="s">
        <v>28</v>
      </c>
      <c r="E4" s="17"/>
      <c r="F4" s="60">
        <v>46164.0</v>
      </c>
      <c r="G4" s="18">
        <v>100000.0</v>
      </c>
      <c r="H4" s="19"/>
      <c r="I4" s="20" t="s">
        <v>21</v>
      </c>
      <c r="J4" s="20" t="s">
        <v>30</v>
      </c>
      <c r="K4" s="20" t="s">
        <v>70</v>
      </c>
      <c r="L4" s="20" t="s">
        <v>43</v>
      </c>
      <c r="M4" s="20" t="s">
        <v>147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329</v>
      </c>
      <c r="D5" s="16" t="s">
        <v>74</v>
      </c>
      <c r="E5" s="17"/>
      <c r="F5" s="60">
        <v>46164.0</v>
      </c>
      <c r="G5" s="18"/>
      <c r="H5" s="19">
        <v>460000.0</v>
      </c>
      <c r="I5" s="20" t="s">
        <v>21</v>
      </c>
      <c r="J5" s="20" t="s">
        <v>30</v>
      </c>
      <c r="K5" s="20" t="s">
        <v>70</v>
      </c>
      <c r="L5" s="20" t="s">
        <v>43</v>
      </c>
      <c r="M5" s="20" t="s">
        <v>147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330</v>
      </c>
      <c r="D6" s="16" t="s">
        <v>28</v>
      </c>
      <c r="E6" s="17"/>
      <c r="F6" s="28">
        <v>46164.0</v>
      </c>
      <c r="G6" s="25"/>
      <c r="H6" s="19">
        <v>625000.0</v>
      </c>
      <c r="I6" s="20" t="s">
        <v>21</v>
      </c>
      <c r="J6" s="20" t="s">
        <v>30</v>
      </c>
      <c r="K6" s="20" t="s">
        <v>70</v>
      </c>
      <c r="L6" s="20" t="s">
        <v>43</v>
      </c>
      <c r="M6" s="20" t="s">
        <v>147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260</v>
      </c>
      <c r="D7" s="16" t="s">
        <v>42</v>
      </c>
      <c r="E7" s="17"/>
      <c r="F7" s="28">
        <v>46164.0</v>
      </c>
      <c r="G7" s="18"/>
      <c r="H7" s="19">
        <v>100000.0</v>
      </c>
      <c r="I7" s="20" t="s">
        <v>21</v>
      </c>
      <c r="J7" s="20" t="s">
        <v>30</v>
      </c>
      <c r="K7" s="20" t="s">
        <v>30</v>
      </c>
      <c r="L7" s="20" t="s">
        <v>43</v>
      </c>
      <c r="M7" s="20" t="s">
        <v>147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331</v>
      </c>
      <c r="D8" s="16" t="s">
        <v>24</v>
      </c>
      <c r="E8" s="17"/>
      <c r="F8" s="28">
        <v>46165.0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332</v>
      </c>
      <c r="D9" s="16" t="s">
        <v>28</v>
      </c>
      <c r="E9" s="17"/>
      <c r="F9" s="28">
        <v>46164.0</v>
      </c>
      <c r="G9" s="18"/>
      <c r="H9" s="19">
        <v>100000.0</v>
      </c>
      <c r="I9" s="20" t="s">
        <v>26</v>
      </c>
      <c r="J9" s="20"/>
      <c r="K9" s="20"/>
      <c r="L9" s="20" t="s">
        <v>43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224</v>
      </c>
      <c r="D10" s="16" t="s">
        <v>42</v>
      </c>
      <c r="E10" s="17"/>
      <c r="F10" s="28">
        <v>46164.0</v>
      </c>
      <c r="G10" s="18"/>
      <c r="H10" s="19">
        <v>100000.0</v>
      </c>
      <c r="I10" s="20" t="s">
        <v>21</v>
      </c>
      <c r="J10" s="20" t="s">
        <v>30</v>
      </c>
      <c r="K10" s="20" t="s">
        <v>30</v>
      </c>
      <c r="L10" s="20" t="s">
        <v>43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326</v>
      </c>
      <c r="D11" s="16" t="s">
        <v>28</v>
      </c>
      <c r="E11" s="17"/>
      <c r="F11" s="28">
        <v>46164.0</v>
      </c>
      <c r="G11" s="18">
        <v>150000.0</v>
      </c>
      <c r="H11" s="27"/>
      <c r="I11" s="20" t="s">
        <v>21</v>
      </c>
      <c r="J11" s="20" t="s">
        <v>30</v>
      </c>
      <c r="K11" s="20" t="s">
        <v>30</v>
      </c>
      <c r="L11" s="20" t="s">
        <v>43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333</v>
      </c>
      <c r="D12" s="16" t="s">
        <v>28</v>
      </c>
      <c r="E12" s="17"/>
      <c r="F12" s="28">
        <v>46164.0</v>
      </c>
      <c r="G12" s="18"/>
      <c r="H12" s="19">
        <v>100000.0</v>
      </c>
      <c r="I12" s="20" t="s">
        <v>26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332</v>
      </c>
      <c r="D13" s="16" t="s">
        <v>28</v>
      </c>
      <c r="E13" s="17"/>
      <c r="F13" s="28">
        <v>46164.0</v>
      </c>
      <c r="G13" s="18">
        <v>225000.0</v>
      </c>
      <c r="H13" s="27"/>
      <c r="I13" s="20" t="s">
        <v>21</v>
      </c>
      <c r="J13" s="20" t="s">
        <v>30</v>
      </c>
      <c r="K13" s="20" t="s">
        <v>30</v>
      </c>
      <c r="L13" s="20" t="s">
        <v>43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334</v>
      </c>
      <c r="D14" s="16" t="s">
        <v>28</v>
      </c>
      <c r="E14" s="17"/>
      <c r="F14" s="28">
        <v>46164.0</v>
      </c>
      <c r="G14" s="18"/>
      <c r="H14" s="19">
        <v>100000.0</v>
      </c>
      <c r="I14" s="20" t="s">
        <v>26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335</v>
      </c>
      <c r="D15" s="16" t="s">
        <v>28</v>
      </c>
      <c r="E15" s="17"/>
      <c r="F15" s="28">
        <v>46178.0</v>
      </c>
      <c r="G15" s="18"/>
      <c r="H15" s="19">
        <v>100000.0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336</v>
      </c>
      <c r="D16" s="16" t="s">
        <v>28</v>
      </c>
      <c r="E16" s="17"/>
      <c r="F16" s="28">
        <v>46164.0</v>
      </c>
      <c r="G16" s="18">
        <v>150000.0</v>
      </c>
      <c r="H16" s="27"/>
      <c r="I16" s="20" t="s">
        <v>21</v>
      </c>
      <c r="J16" s="20" t="s">
        <v>30</v>
      </c>
      <c r="K16" s="20" t="s">
        <v>30</v>
      </c>
      <c r="L16" s="20" t="s">
        <v>43</v>
      </c>
      <c r="M16" s="20" t="s">
        <v>147</v>
      </c>
      <c r="N16" s="23"/>
      <c r="O16" s="24"/>
      <c r="P16" s="24"/>
      <c r="Q16" s="1"/>
      <c r="R16" s="1"/>
    </row>
    <row r="17">
      <c r="A17" s="1"/>
      <c r="B17" s="29"/>
      <c r="C17" s="15" t="s">
        <v>334</v>
      </c>
      <c r="D17" s="16" t="s">
        <v>28</v>
      </c>
      <c r="E17" s="17"/>
      <c r="F17" s="28">
        <v>46164.0</v>
      </c>
      <c r="G17" s="18"/>
      <c r="H17" s="19">
        <v>275000.0</v>
      </c>
      <c r="I17" s="20" t="s">
        <v>21</v>
      </c>
      <c r="J17" s="20" t="s">
        <v>30</v>
      </c>
      <c r="K17" s="20" t="s">
        <v>30</v>
      </c>
      <c r="L17" s="20" t="s">
        <v>43</v>
      </c>
      <c r="M17" s="20" t="s">
        <v>147</v>
      </c>
      <c r="N17" s="23"/>
      <c r="O17" s="24"/>
      <c r="P17" s="24"/>
      <c r="Q17" s="1"/>
      <c r="R17" s="1"/>
    </row>
    <row r="18">
      <c r="A18" s="1"/>
      <c r="B18" s="29"/>
      <c r="C18" s="15" t="s">
        <v>337</v>
      </c>
      <c r="D18" s="16" t="s">
        <v>19</v>
      </c>
      <c r="E18" s="17"/>
      <c r="F18" s="28">
        <v>46182.0</v>
      </c>
      <c r="G18" s="25"/>
      <c r="H18" s="19">
        <v>100000.0</v>
      </c>
      <c r="I18" s="20" t="s">
        <v>26</v>
      </c>
      <c r="J18" s="26"/>
      <c r="K18" s="26"/>
      <c r="L18" s="20" t="s">
        <v>43</v>
      </c>
      <c r="M18" s="26"/>
      <c r="N18" s="24"/>
      <c r="O18" s="24"/>
      <c r="P18" s="24"/>
      <c r="Q18" s="1"/>
      <c r="R18" s="1"/>
    </row>
    <row r="19">
      <c r="A19" s="1"/>
      <c r="B19" s="29"/>
      <c r="C19" s="15" t="s">
        <v>338</v>
      </c>
      <c r="D19" s="16" t="s">
        <v>24</v>
      </c>
      <c r="E19" s="17"/>
      <c r="F19" s="28">
        <v>46168.0</v>
      </c>
      <c r="G19" s="25"/>
      <c r="H19" s="19">
        <v>100000.0</v>
      </c>
      <c r="I19" s="20" t="s">
        <v>26</v>
      </c>
      <c r="J19" s="26"/>
      <c r="K19" s="26"/>
      <c r="L19" s="20" t="s">
        <v>43</v>
      </c>
      <c r="M19" s="26"/>
      <c r="N19" s="24"/>
      <c r="O19" s="24"/>
      <c r="P19" s="24"/>
      <c r="Q19" s="1"/>
      <c r="R19" s="1"/>
    </row>
    <row r="20">
      <c r="A20" s="1"/>
      <c r="B20" s="29"/>
      <c r="C20" s="31"/>
      <c r="D20" s="16"/>
      <c r="E20" s="17"/>
      <c r="F20" s="29"/>
      <c r="G20" s="25"/>
      <c r="H20" s="27"/>
      <c r="I20" s="26"/>
      <c r="J20" s="26"/>
      <c r="K20" s="26"/>
      <c r="L20" s="26"/>
      <c r="M20" s="26"/>
      <c r="N20" s="24"/>
      <c r="O20" s="24"/>
      <c r="P20" s="24"/>
      <c r="Q20" s="1"/>
      <c r="R20" s="1"/>
    </row>
    <row r="21">
      <c r="A21" s="1"/>
      <c r="B21" s="29"/>
      <c r="C21" s="31"/>
      <c r="D21" s="16"/>
      <c r="E21" s="17"/>
      <c r="F21" s="29"/>
      <c r="G21" s="25"/>
      <c r="H21" s="27"/>
      <c r="I21" s="26"/>
      <c r="J21" s="26"/>
      <c r="K21" s="26"/>
      <c r="L21" s="26"/>
      <c r="M21" s="26"/>
      <c r="N21" s="32"/>
      <c r="O21" s="32"/>
      <c r="P21" s="32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33">
        <f t="shared" ref="G22:H22" si="1">SUM(G4:G21)</f>
        <v>625000</v>
      </c>
      <c r="H22" s="34">
        <f t="shared" si="1"/>
        <v>2260000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35" t="s">
        <v>0</v>
      </c>
      <c r="C25" s="36" t="s">
        <v>6</v>
      </c>
      <c r="D25" s="36" t="s">
        <v>57</v>
      </c>
      <c r="E25" s="37"/>
      <c r="F25" s="1"/>
      <c r="G25" s="1"/>
      <c r="H25" s="1"/>
      <c r="I25" s="1"/>
      <c r="J25" s="1"/>
      <c r="K25" s="1"/>
      <c r="L25" s="1"/>
      <c r="M25" s="1"/>
      <c r="N25" s="36" t="s">
        <v>58</v>
      </c>
      <c r="O25" s="36" t="s">
        <v>1</v>
      </c>
      <c r="P25" s="1"/>
      <c r="Q25" s="1"/>
      <c r="R25" s="1"/>
    </row>
    <row r="26">
      <c r="A26" s="1"/>
      <c r="B26" s="38">
        <v>1.0</v>
      </c>
      <c r="C26" s="39" t="s">
        <v>59</v>
      </c>
      <c r="D26" s="40">
        <f>SUM(G22)</f>
        <v>625000</v>
      </c>
      <c r="E26" s="41"/>
      <c r="F26" s="1"/>
      <c r="G26" s="1"/>
      <c r="H26" s="1"/>
      <c r="I26" s="1"/>
      <c r="J26" s="1"/>
      <c r="K26" s="1"/>
      <c r="L26" s="1"/>
      <c r="M26" s="1"/>
      <c r="N26" s="42" t="s">
        <v>60</v>
      </c>
      <c r="O26" s="21" t="s">
        <v>43</v>
      </c>
      <c r="P26" s="1"/>
      <c r="Q26" s="1"/>
      <c r="R26" s="1"/>
    </row>
    <row r="27">
      <c r="A27" s="1"/>
      <c r="B27" s="43">
        <v>2.0</v>
      </c>
      <c r="C27" s="44" t="s">
        <v>138</v>
      </c>
      <c r="D27" s="45">
        <v>-25000.0</v>
      </c>
      <c r="E27" s="46"/>
      <c r="F27" s="1"/>
      <c r="G27" s="1"/>
      <c r="H27" s="1"/>
      <c r="I27" s="1"/>
      <c r="J27" s="1"/>
      <c r="K27" s="1"/>
      <c r="L27" s="1"/>
      <c r="M27" s="1"/>
      <c r="N27" s="47" t="s">
        <v>62</v>
      </c>
      <c r="O27" s="48" t="s">
        <v>43</v>
      </c>
      <c r="P27" s="1"/>
      <c r="Q27" s="1"/>
      <c r="R27" s="1"/>
    </row>
    <row r="28">
      <c r="A28" s="1"/>
      <c r="B28" s="38">
        <v>3.0</v>
      </c>
      <c r="C28" s="39" t="s">
        <v>61</v>
      </c>
      <c r="D28" s="49">
        <v>-50000.0</v>
      </c>
      <c r="E28" s="46"/>
      <c r="F28" s="1"/>
      <c r="G28" s="1"/>
      <c r="H28" s="1"/>
      <c r="I28" s="1"/>
      <c r="J28" s="1"/>
      <c r="K28" s="1"/>
      <c r="L28" s="1"/>
      <c r="M28" s="1"/>
      <c r="N28" s="50" t="s">
        <v>64</v>
      </c>
      <c r="O28" s="23" t="s">
        <v>147</v>
      </c>
      <c r="P28" s="1"/>
      <c r="Q28" s="1"/>
      <c r="R28" s="1"/>
    </row>
    <row r="29">
      <c r="A29" s="1"/>
      <c r="B29" s="43">
        <v>4.0</v>
      </c>
      <c r="C29" s="44"/>
      <c r="D29" s="45"/>
      <c r="E29" s="46"/>
      <c r="F29" s="1"/>
      <c r="G29" s="1"/>
      <c r="H29" s="1"/>
      <c r="I29" s="1"/>
      <c r="J29" s="1"/>
      <c r="K29" s="1"/>
      <c r="L29" s="1"/>
      <c r="M29" s="1"/>
      <c r="N29" s="51" t="s">
        <v>65</v>
      </c>
      <c r="O29" s="48" t="s">
        <v>147</v>
      </c>
      <c r="P29" s="1"/>
      <c r="Q29" s="1"/>
      <c r="R29" s="1"/>
    </row>
    <row r="30">
      <c r="A30" s="1"/>
      <c r="B30" s="38"/>
      <c r="C30" s="52"/>
      <c r="D30" s="40"/>
      <c r="E30" s="41"/>
      <c r="F30" s="1"/>
      <c r="G30" s="1"/>
      <c r="H30" s="1"/>
      <c r="I30" s="1"/>
      <c r="J30" s="1"/>
      <c r="K30" s="1"/>
      <c r="L30" s="1"/>
      <c r="M30" s="1"/>
      <c r="N30" s="53"/>
      <c r="O30" s="1"/>
      <c r="P30" s="1"/>
      <c r="Q30" s="1"/>
      <c r="R30" s="1"/>
    </row>
    <row r="31">
      <c r="A31" s="1"/>
      <c r="B31" s="43"/>
      <c r="C31" s="54"/>
      <c r="D31" s="55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38"/>
      <c r="C34" s="52"/>
      <c r="D34" s="40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6"/>
      <c r="C36" s="57"/>
      <c r="D36" s="58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59">
        <f>SUM(D26:D36)</f>
        <v>550000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"-,JIJANG,AXEL,PENTIL,FAHME,INDAH"</formula1>
    </dataValidation>
    <dataValidation type="list" allowBlank="1" showErrorMessage="1" sqref="N4:N21">
      <formula1>"-,Pending,Progress,Uploaded"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M4:M21 O28:O29">
      <formula1>"-,VERO,FADEL,PENTIL,FAHME,HANIF"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27.63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331</v>
      </c>
      <c r="D4" s="16" t="s">
        <v>24</v>
      </c>
      <c r="E4" s="17"/>
      <c r="F4" s="60">
        <v>46165.0</v>
      </c>
      <c r="G4" s="18">
        <v>50000.0</v>
      </c>
      <c r="H4" s="19"/>
      <c r="I4" s="20" t="s">
        <v>21</v>
      </c>
      <c r="J4" s="20" t="s">
        <v>30</v>
      </c>
      <c r="K4" s="20" t="s">
        <v>30</v>
      </c>
      <c r="L4" s="20" t="s">
        <v>22</v>
      </c>
      <c r="M4" s="20" t="s">
        <v>228</v>
      </c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339</v>
      </c>
      <c r="D5" s="16" t="s">
        <v>19</v>
      </c>
      <c r="E5" s="17"/>
      <c r="F5" s="14" t="s">
        <v>80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340</v>
      </c>
      <c r="D6" s="16" t="s">
        <v>19</v>
      </c>
      <c r="E6" s="17"/>
      <c r="F6" s="14" t="s">
        <v>80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292</v>
      </c>
      <c r="D7" s="16" t="s">
        <v>28</v>
      </c>
      <c r="E7" s="17"/>
      <c r="F7" s="28">
        <v>46165.0</v>
      </c>
      <c r="G7" s="18"/>
      <c r="H7" s="19">
        <v>225000.0</v>
      </c>
      <c r="I7" s="20" t="s">
        <v>21</v>
      </c>
      <c r="J7" s="20" t="s">
        <v>30</v>
      </c>
      <c r="K7" s="20" t="s">
        <v>31</v>
      </c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341</v>
      </c>
      <c r="D8" s="16" t="s">
        <v>19</v>
      </c>
      <c r="E8" s="17"/>
      <c r="F8" s="28">
        <v>46165.0</v>
      </c>
      <c r="G8" s="18"/>
      <c r="H8" s="19">
        <v>330000.0</v>
      </c>
      <c r="I8" s="20" t="s">
        <v>21</v>
      </c>
      <c r="J8" s="20" t="s">
        <v>30</v>
      </c>
      <c r="K8" s="20" t="s">
        <v>70</v>
      </c>
      <c r="L8" s="20" t="s">
        <v>22</v>
      </c>
      <c r="M8" s="20" t="s">
        <v>228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342</v>
      </c>
      <c r="D9" s="16" t="s">
        <v>42</v>
      </c>
      <c r="E9" s="17"/>
      <c r="F9" s="28">
        <v>46165.0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343</v>
      </c>
      <c r="D10" s="16" t="s">
        <v>19</v>
      </c>
      <c r="E10" s="17"/>
      <c r="F10" s="28">
        <v>46165.0</v>
      </c>
      <c r="G10" s="18"/>
      <c r="H10" s="19">
        <v>290000.0</v>
      </c>
      <c r="I10" s="20" t="s">
        <v>21</v>
      </c>
      <c r="J10" s="20" t="s">
        <v>30</v>
      </c>
      <c r="K10" s="20" t="s">
        <v>70</v>
      </c>
      <c r="L10" s="20" t="s">
        <v>22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344</v>
      </c>
      <c r="D11" s="16" t="s">
        <v>19</v>
      </c>
      <c r="E11" s="17"/>
      <c r="F11" s="28">
        <v>46165.0</v>
      </c>
      <c r="G11" s="18">
        <v>250000.0</v>
      </c>
      <c r="H11" s="27"/>
      <c r="I11" s="20" t="s">
        <v>21</v>
      </c>
      <c r="J11" s="20" t="s">
        <v>30</v>
      </c>
      <c r="K11" s="20" t="s">
        <v>70</v>
      </c>
      <c r="L11" s="20" t="s">
        <v>22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345</v>
      </c>
      <c r="D12" s="16" t="s">
        <v>74</v>
      </c>
      <c r="E12" s="17"/>
      <c r="F12" s="28">
        <v>46165.0</v>
      </c>
      <c r="G12" s="18"/>
      <c r="H12" s="19">
        <v>420000.0</v>
      </c>
      <c r="I12" s="20" t="s">
        <v>21</v>
      </c>
      <c r="J12" s="20" t="s">
        <v>30</v>
      </c>
      <c r="K12" s="20" t="s">
        <v>70</v>
      </c>
      <c r="L12" s="20" t="s">
        <v>22</v>
      </c>
      <c r="M12" s="20" t="s">
        <v>228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346</v>
      </c>
      <c r="D13" s="16" t="s">
        <v>19</v>
      </c>
      <c r="E13" s="17"/>
      <c r="F13" s="28">
        <v>46165.0</v>
      </c>
      <c r="G13" s="18"/>
      <c r="H13" s="19">
        <v>270000.0</v>
      </c>
      <c r="I13" s="20" t="s">
        <v>21</v>
      </c>
      <c r="J13" s="20" t="s">
        <v>30</v>
      </c>
      <c r="K13" s="20" t="s">
        <v>70</v>
      </c>
      <c r="L13" s="20" t="s">
        <v>22</v>
      </c>
      <c r="M13" s="20" t="s">
        <v>147</v>
      </c>
      <c r="N13" s="23"/>
      <c r="O13" s="24"/>
      <c r="P13" s="24"/>
      <c r="Q13" s="1"/>
      <c r="R13" s="1"/>
    </row>
    <row r="14">
      <c r="A14" s="1"/>
      <c r="B14" s="29"/>
      <c r="C14" s="15" t="s">
        <v>347</v>
      </c>
      <c r="D14" s="16" t="s">
        <v>74</v>
      </c>
      <c r="E14" s="17"/>
      <c r="F14" s="28">
        <v>46165.0</v>
      </c>
      <c r="G14" s="19">
        <v>320000.0</v>
      </c>
      <c r="H14" s="19"/>
      <c r="I14" s="20" t="s">
        <v>21</v>
      </c>
      <c r="J14" s="20" t="s">
        <v>30</v>
      </c>
      <c r="K14" s="20" t="s">
        <v>70</v>
      </c>
      <c r="L14" s="20" t="s">
        <v>22</v>
      </c>
      <c r="M14" s="20" t="s">
        <v>228</v>
      </c>
      <c r="N14" s="23"/>
      <c r="O14" s="24"/>
      <c r="P14" s="24"/>
      <c r="Q14" s="1"/>
      <c r="R14" s="1"/>
    </row>
    <row r="15">
      <c r="A15" s="1"/>
      <c r="B15" s="29"/>
      <c r="C15" s="15" t="s">
        <v>348</v>
      </c>
      <c r="D15" s="16" t="s">
        <v>19</v>
      </c>
      <c r="E15" s="17"/>
      <c r="F15" s="28">
        <v>46165.0</v>
      </c>
      <c r="G15" s="18"/>
      <c r="H15" s="19">
        <v>250000.0</v>
      </c>
      <c r="I15" s="20" t="s">
        <v>21</v>
      </c>
      <c r="J15" s="20" t="s">
        <v>30</v>
      </c>
      <c r="K15" s="20" t="s">
        <v>70</v>
      </c>
      <c r="L15" s="20" t="s">
        <v>22</v>
      </c>
      <c r="M15" s="20" t="s">
        <v>147</v>
      </c>
      <c r="N15" s="23"/>
      <c r="O15" s="24"/>
      <c r="P15" s="24"/>
      <c r="Q15" s="1"/>
      <c r="R15" s="1"/>
    </row>
    <row r="16">
      <c r="A16" s="1"/>
      <c r="B16" s="29"/>
      <c r="C16" s="15" t="s">
        <v>349</v>
      </c>
      <c r="D16" s="16" t="s">
        <v>19</v>
      </c>
      <c r="E16" s="17"/>
      <c r="F16" s="28">
        <v>46165.0</v>
      </c>
      <c r="G16" s="18">
        <v>270000.0</v>
      </c>
      <c r="H16" s="27"/>
      <c r="I16" s="20" t="s">
        <v>21</v>
      </c>
      <c r="J16" s="20" t="s">
        <v>30</v>
      </c>
      <c r="K16" s="20" t="s">
        <v>70</v>
      </c>
      <c r="L16" s="20" t="s">
        <v>43</v>
      </c>
      <c r="M16" s="20" t="s">
        <v>228</v>
      </c>
      <c r="N16" s="23"/>
      <c r="O16" s="24"/>
      <c r="P16" s="24"/>
      <c r="Q16" s="1"/>
      <c r="R16" s="1"/>
    </row>
    <row r="17">
      <c r="A17" s="1"/>
      <c r="B17" s="29"/>
      <c r="C17" s="15" t="s">
        <v>350</v>
      </c>
      <c r="D17" s="16" t="s">
        <v>19</v>
      </c>
      <c r="E17" s="17"/>
      <c r="F17" s="28">
        <v>46165.0</v>
      </c>
      <c r="G17" s="18"/>
      <c r="H17" s="19">
        <v>250000.0</v>
      </c>
      <c r="I17" s="20" t="s">
        <v>21</v>
      </c>
      <c r="J17" s="20" t="s">
        <v>30</v>
      </c>
      <c r="K17" s="20" t="s">
        <v>70</v>
      </c>
      <c r="L17" s="20" t="s">
        <v>43</v>
      </c>
      <c r="M17" s="20" t="s">
        <v>147</v>
      </c>
      <c r="N17" s="23"/>
      <c r="O17" s="24"/>
      <c r="P17" s="24"/>
      <c r="Q17" s="1"/>
      <c r="R17" s="1"/>
    </row>
    <row r="18">
      <c r="A18" s="1"/>
      <c r="B18" s="29"/>
      <c r="C18" s="15" t="s">
        <v>351</v>
      </c>
      <c r="D18" s="16" t="s">
        <v>19</v>
      </c>
      <c r="E18" s="17"/>
      <c r="F18" s="28">
        <v>46165.0</v>
      </c>
      <c r="G18" s="18">
        <v>410000.0</v>
      </c>
      <c r="H18" s="27"/>
      <c r="I18" s="20" t="s">
        <v>21</v>
      </c>
      <c r="J18" s="20" t="s">
        <v>30</v>
      </c>
      <c r="K18" s="20" t="s">
        <v>70</v>
      </c>
      <c r="L18" s="20" t="s">
        <v>43</v>
      </c>
      <c r="M18" s="20" t="s">
        <v>228</v>
      </c>
      <c r="N18" s="23"/>
      <c r="O18" s="24"/>
      <c r="P18" s="24"/>
      <c r="Q18" s="1"/>
      <c r="R18" s="1"/>
    </row>
    <row r="19">
      <c r="A19" s="1"/>
      <c r="B19" s="29"/>
      <c r="C19" s="15" t="s">
        <v>352</v>
      </c>
      <c r="D19" s="16" t="s">
        <v>19</v>
      </c>
      <c r="E19" s="17"/>
      <c r="F19" s="28">
        <v>46165.0</v>
      </c>
      <c r="G19" s="18"/>
      <c r="H19" s="19">
        <v>250000.0</v>
      </c>
      <c r="I19" s="20" t="s">
        <v>21</v>
      </c>
      <c r="J19" s="20" t="s">
        <v>30</v>
      </c>
      <c r="K19" s="20" t="s">
        <v>70</v>
      </c>
      <c r="L19" s="20" t="s">
        <v>43</v>
      </c>
      <c r="M19" s="20" t="s">
        <v>228</v>
      </c>
      <c r="N19" s="23"/>
      <c r="O19" s="24"/>
      <c r="P19" s="24"/>
      <c r="Q19" s="1"/>
      <c r="R19" s="1"/>
    </row>
    <row r="20">
      <c r="A20" s="1"/>
      <c r="B20" s="29"/>
      <c r="C20" s="15" t="s">
        <v>353</v>
      </c>
      <c r="D20" s="16" t="s">
        <v>19</v>
      </c>
      <c r="E20" s="17"/>
      <c r="F20" s="28">
        <v>46165.0</v>
      </c>
      <c r="G20" s="18">
        <v>250000.0</v>
      </c>
      <c r="H20" s="27"/>
      <c r="I20" s="20" t="s">
        <v>21</v>
      </c>
      <c r="J20" s="20" t="s">
        <v>30</v>
      </c>
      <c r="K20" s="20" t="s">
        <v>70</v>
      </c>
      <c r="L20" s="20" t="s">
        <v>43</v>
      </c>
      <c r="M20" s="20" t="s">
        <v>147</v>
      </c>
      <c r="N20" s="23"/>
      <c r="O20" s="24"/>
      <c r="P20" s="24"/>
      <c r="Q20" s="1"/>
      <c r="R20" s="1"/>
    </row>
    <row r="21">
      <c r="A21" s="1"/>
      <c r="B21" s="29"/>
      <c r="C21" s="15" t="s">
        <v>354</v>
      </c>
      <c r="D21" s="16" t="s">
        <v>19</v>
      </c>
      <c r="E21" s="17"/>
      <c r="F21" s="28">
        <v>46165.0</v>
      </c>
      <c r="G21" s="18"/>
      <c r="H21" s="19">
        <v>100000.0</v>
      </c>
      <c r="I21" s="20" t="s">
        <v>26</v>
      </c>
      <c r="J21" s="20"/>
      <c r="K21" s="20"/>
      <c r="L21" s="20" t="s">
        <v>43</v>
      </c>
      <c r="M21" s="26"/>
      <c r="N21" s="23"/>
      <c r="O21" s="24"/>
      <c r="P21" s="24"/>
      <c r="Q21" s="1"/>
      <c r="R21" s="1"/>
    </row>
    <row r="22">
      <c r="A22" s="1"/>
      <c r="B22" s="29"/>
      <c r="C22" s="15" t="s">
        <v>355</v>
      </c>
      <c r="D22" s="16" t="s">
        <v>19</v>
      </c>
      <c r="E22" s="17"/>
      <c r="F22" s="28">
        <v>46182.0</v>
      </c>
      <c r="G22" s="18"/>
      <c r="H22" s="19">
        <v>100000.0</v>
      </c>
      <c r="I22" s="20" t="s">
        <v>26</v>
      </c>
      <c r="J22" s="20"/>
      <c r="K22" s="20"/>
      <c r="L22" s="20" t="s">
        <v>43</v>
      </c>
      <c r="M22" s="26"/>
      <c r="N22" s="23"/>
      <c r="O22" s="24"/>
      <c r="P22" s="24"/>
      <c r="Q22" s="1"/>
      <c r="R22" s="1"/>
    </row>
    <row r="23">
      <c r="A23" s="1"/>
      <c r="B23" s="29"/>
      <c r="C23" s="15" t="s">
        <v>317</v>
      </c>
      <c r="D23" s="16" t="s">
        <v>42</v>
      </c>
      <c r="E23" s="17"/>
      <c r="F23" s="28">
        <v>46165.0</v>
      </c>
      <c r="G23" s="25"/>
      <c r="H23" s="19">
        <v>100000.0</v>
      </c>
      <c r="I23" s="20" t="s">
        <v>21</v>
      </c>
      <c r="J23" s="20" t="s">
        <v>30</v>
      </c>
      <c r="K23" s="20" t="s">
        <v>30</v>
      </c>
      <c r="L23" s="20" t="s">
        <v>43</v>
      </c>
      <c r="M23" s="20" t="s">
        <v>147</v>
      </c>
      <c r="N23" s="24"/>
      <c r="O23" s="24"/>
      <c r="P23" s="24"/>
      <c r="Q23" s="1"/>
      <c r="R23" s="1"/>
    </row>
    <row r="24">
      <c r="A24" s="1"/>
      <c r="B24" s="29"/>
      <c r="C24" s="15" t="s">
        <v>356</v>
      </c>
      <c r="D24" s="16" t="s">
        <v>42</v>
      </c>
      <c r="E24" s="17"/>
      <c r="F24" s="28">
        <v>46167.0</v>
      </c>
      <c r="G24" s="25"/>
      <c r="H24" s="19">
        <v>200000.0</v>
      </c>
      <c r="I24" s="20" t="s">
        <v>21</v>
      </c>
      <c r="J24" s="26"/>
      <c r="K24" s="26"/>
      <c r="L24" s="20" t="s">
        <v>43</v>
      </c>
      <c r="M24" s="26"/>
      <c r="N24" s="24"/>
      <c r="O24" s="24"/>
      <c r="P24" s="24"/>
      <c r="Q24" s="1"/>
      <c r="R24" s="1"/>
    </row>
    <row r="25">
      <c r="A25" s="1"/>
      <c r="B25" s="29"/>
      <c r="C25" s="31"/>
      <c r="D25" s="16"/>
      <c r="E25" s="17"/>
      <c r="F25" s="29"/>
      <c r="G25" s="25"/>
      <c r="H25" s="27"/>
      <c r="I25" s="26"/>
      <c r="J25" s="26"/>
      <c r="K25" s="26"/>
      <c r="L25" s="26"/>
      <c r="M25" s="26"/>
      <c r="N25" s="24"/>
      <c r="O25" s="24"/>
      <c r="P25" s="24"/>
      <c r="Q25" s="1"/>
      <c r="R25" s="1"/>
    </row>
    <row r="26">
      <c r="A26" s="1"/>
      <c r="B26" s="29"/>
      <c r="C26" s="31"/>
      <c r="D26" s="16"/>
      <c r="E26" s="17"/>
      <c r="F26" s="29"/>
      <c r="G26" s="25"/>
      <c r="H26" s="27"/>
      <c r="I26" s="26"/>
      <c r="J26" s="26"/>
      <c r="K26" s="26"/>
      <c r="L26" s="26"/>
      <c r="M26" s="26"/>
      <c r="N26" s="24"/>
      <c r="O26" s="24"/>
      <c r="P26" s="24"/>
      <c r="Q26" s="1"/>
      <c r="R26" s="1"/>
    </row>
    <row r="27">
      <c r="A27" s="1"/>
      <c r="B27" s="29"/>
      <c r="C27" s="31"/>
      <c r="D27" s="16"/>
      <c r="E27" s="17"/>
      <c r="F27" s="29"/>
      <c r="G27" s="25"/>
      <c r="H27" s="27"/>
      <c r="I27" s="26"/>
      <c r="J27" s="26"/>
      <c r="K27" s="26"/>
      <c r="L27" s="26"/>
      <c r="M27" s="26"/>
      <c r="N27" s="24"/>
      <c r="O27" s="24"/>
      <c r="P27" s="24"/>
      <c r="Q27" s="1"/>
      <c r="R27" s="1"/>
    </row>
    <row r="28">
      <c r="A28" s="1"/>
      <c r="B28" s="29"/>
      <c r="C28" s="31"/>
      <c r="D28" s="16"/>
      <c r="E28" s="17"/>
      <c r="F28" s="29"/>
      <c r="G28" s="25"/>
      <c r="H28" s="27"/>
      <c r="I28" s="26"/>
      <c r="J28" s="26"/>
      <c r="K28" s="26"/>
      <c r="L28" s="26"/>
      <c r="M28" s="26"/>
      <c r="N28" s="32"/>
      <c r="O28" s="32"/>
      <c r="P28" s="32"/>
      <c r="Q28" s="1"/>
      <c r="R28" s="1"/>
    </row>
    <row r="29" ht="18.75" customHeight="1">
      <c r="A29" s="1"/>
      <c r="B29" s="1"/>
      <c r="C29" s="2"/>
      <c r="D29" s="2"/>
      <c r="E29" s="1"/>
      <c r="F29" s="1"/>
      <c r="G29" s="33">
        <f t="shared" ref="G29:H29" si="1">SUM(G4:G28)</f>
        <v>1550000</v>
      </c>
      <c r="H29" s="34">
        <f t="shared" si="1"/>
        <v>3085000</v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23.25" customHeight="1">
      <c r="A30" s="1"/>
      <c r="B30" s="1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5" t="s">
        <v>0</v>
      </c>
      <c r="C32" s="36" t="s">
        <v>6</v>
      </c>
      <c r="D32" s="36" t="s">
        <v>57</v>
      </c>
      <c r="E32" s="37"/>
      <c r="F32" s="1"/>
      <c r="G32" s="1"/>
      <c r="H32" s="1"/>
      <c r="I32" s="1"/>
      <c r="J32" s="1"/>
      <c r="K32" s="1"/>
      <c r="L32" s="1"/>
      <c r="M32" s="1"/>
      <c r="N32" s="36" t="s">
        <v>58</v>
      </c>
      <c r="O32" s="36" t="s">
        <v>1</v>
      </c>
      <c r="P32" s="1"/>
      <c r="Q32" s="1"/>
      <c r="R32" s="1"/>
    </row>
    <row r="33">
      <c r="A33" s="1"/>
      <c r="B33" s="38">
        <v>1.0</v>
      </c>
      <c r="C33" s="39" t="s">
        <v>59</v>
      </c>
      <c r="D33" s="40">
        <f>SUM(G29)</f>
        <v>1550000</v>
      </c>
      <c r="E33" s="41"/>
      <c r="F33" s="1"/>
      <c r="G33" s="1"/>
      <c r="H33" s="1"/>
      <c r="I33" s="1"/>
      <c r="J33" s="1"/>
      <c r="K33" s="1"/>
      <c r="L33" s="1"/>
      <c r="M33" s="1"/>
      <c r="N33" s="42" t="s">
        <v>60</v>
      </c>
      <c r="O33" s="21"/>
      <c r="P33" s="1"/>
      <c r="Q33" s="1"/>
      <c r="R33" s="1"/>
    </row>
    <row r="34">
      <c r="A34" s="1"/>
      <c r="B34" s="43">
        <v>2.0</v>
      </c>
      <c r="C34" s="44" t="s">
        <v>357</v>
      </c>
      <c r="D34" s="45">
        <v>-20000.0</v>
      </c>
      <c r="E34" s="46"/>
      <c r="F34" s="1"/>
      <c r="G34" s="1"/>
      <c r="H34" s="1"/>
      <c r="I34" s="1"/>
      <c r="J34" s="37"/>
      <c r="K34" s="37"/>
      <c r="L34" s="37" t="s">
        <v>358</v>
      </c>
      <c r="M34" s="37" t="s">
        <v>359</v>
      </c>
      <c r="N34" s="47" t="s">
        <v>62</v>
      </c>
      <c r="O34" s="48"/>
      <c r="P34" s="1"/>
      <c r="Q34" s="1"/>
      <c r="R34" s="1"/>
    </row>
    <row r="35">
      <c r="A35" s="1"/>
      <c r="B35" s="38">
        <v>3.0</v>
      </c>
      <c r="C35" s="39" t="s">
        <v>94</v>
      </c>
      <c r="D35" s="49">
        <v>-80000.0</v>
      </c>
      <c r="E35" s="46"/>
      <c r="F35" s="1"/>
      <c r="G35" s="1"/>
      <c r="H35" s="1"/>
      <c r="I35" s="1"/>
      <c r="J35" s="1"/>
      <c r="K35" s="1"/>
      <c r="L35" s="1"/>
      <c r="M35" s="1"/>
      <c r="N35" s="50" t="s">
        <v>64</v>
      </c>
      <c r="O35" s="23"/>
      <c r="P35" s="1"/>
      <c r="Q35" s="1"/>
      <c r="R35" s="1"/>
    </row>
    <row r="36">
      <c r="A36" s="1"/>
      <c r="B36" s="43">
        <v>4.0</v>
      </c>
      <c r="C36" s="44" t="s">
        <v>61</v>
      </c>
      <c r="D36" s="45">
        <v>-100000.0</v>
      </c>
      <c r="E36" s="46"/>
      <c r="F36" s="1"/>
      <c r="G36" s="1"/>
      <c r="H36" s="1"/>
      <c r="I36" s="1"/>
      <c r="J36" s="1"/>
      <c r="K36" s="1"/>
      <c r="L36" s="1"/>
      <c r="M36" s="1"/>
      <c r="N36" s="51" t="s">
        <v>65</v>
      </c>
      <c r="O36" s="48"/>
      <c r="P36" s="1"/>
      <c r="Q36" s="1"/>
      <c r="R36" s="1"/>
    </row>
    <row r="37">
      <c r="A37" s="1"/>
      <c r="B37" s="38"/>
      <c r="C37" s="52"/>
      <c r="D37" s="40"/>
      <c r="E37" s="41"/>
      <c r="F37" s="1"/>
      <c r="G37" s="1"/>
      <c r="H37" s="1"/>
      <c r="I37" s="1"/>
      <c r="J37" s="1"/>
      <c r="K37" s="1"/>
      <c r="L37" s="1"/>
      <c r="M37" s="1"/>
      <c r="N37" s="53"/>
      <c r="O37" s="1"/>
      <c r="P37" s="1"/>
      <c r="Q37" s="1"/>
      <c r="R37" s="1"/>
    </row>
    <row r="38">
      <c r="A38" s="1"/>
      <c r="B38" s="43"/>
      <c r="C38" s="54"/>
      <c r="D38" s="55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38"/>
      <c r="C39" s="52"/>
      <c r="D39" s="40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43"/>
      <c r="C40" s="54"/>
      <c r="D40" s="55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38"/>
      <c r="C41" s="52"/>
      <c r="D41" s="40"/>
      <c r="E41" s="4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43"/>
      <c r="C42" s="54"/>
      <c r="D42" s="55"/>
      <c r="E42" s="4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56"/>
      <c r="C43" s="57"/>
      <c r="D43" s="58"/>
      <c r="E43" s="4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59">
        <f>SUM(D33:D43)</f>
        <v>1350000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28">
      <formula1>"-,Pending,Progress,Uploaded"</formula1>
    </dataValidation>
    <dataValidation type="list" allowBlank="1" showErrorMessage="1" sqref="O4:O28">
      <formula1>"-,In Pikako,In Foxe"</formula1>
    </dataValidation>
    <dataValidation type="list" allowBlank="1" showDropDown="1" showErrorMessage="1" sqref="M4:M28 O35:O36">
      <formula1>"-,VERO,ADIF ,PENTIL,FAHME,HANIF"</formula1>
    </dataValidation>
    <dataValidation type="list" allowBlank="1" showDropDown="1" showErrorMessage="1" sqref="D4:D2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8">
      <formula1>"-,DP,Lunas"</formula1>
    </dataValidation>
    <dataValidation type="list" allowBlank="1" showDropDown="1" showErrorMessage="1" sqref="L4:L28 O33:O34">
      <formula1>"-,ADDEL ,AXEL,PENTIL,FAHME,INDAH"</formula1>
    </dataValidation>
    <dataValidation type="list" allowBlank="1" showDropDown="1" showErrorMessage="1" sqref="J4:K28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1.63"/>
    <col customWidth="1" min="4" max="4" width="26.38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360</v>
      </c>
      <c r="D4" s="16" t="s">
        <v>28</v>
      </c>
      <c r="E4" s="17"/>
      <c r="F4" s="60">
        <v>46187.0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270</v>
      </c>
      <c r="D5" s="16" t="s">
        <v>361</v>
      </c>
      <c r="E5" s="17"/>
      <c r="F5" s="60">
        <v>46159.0</v>
      </c>
      <c r="G5" s="18">
        <v>5000.0</v>
      </c>
      <c r="H5" s="19">
        <v>120000.0</v>
      </c>
      <c r="I5" s="20" t="s">
        <v>21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316</v>
      </c>
      <c r="D6" s="16" t="s">
        <v>28</v>
      </c>
      <c r="E6" s="17"/>
      <c r="F6" s="28">
        <v>46166.0</v>
      </c>
      <c r="G6" s="18">
        <v>750000.0</v>
      </c>
      <c r="H6" s="19">
        <v>75000.0</v>
      </c>
      <c r="I6" s="20" t="s">
        <v>21</v>
      </c>
      <c r="J6" s="20" t="s">
        <v>30</v>
      </c>
      <c r="K6" s="20" t="s">
        <v>70</v>
      </c>
      <c r="L6" s="20" t="s">
        <v>43</v>
      </c>
      <c r="M6" s="20" t="s">
        <v>87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362</v>
      </c>
      <c r="D7" s="16" t="s">
        <v>74</v>
      </c>
      <c r="E7" s="17"/>
      <c r="F7" s="28">
        <v>46182.0</v>
      </c>
      <c r="G7" s="18"/>
      <c r="H7" s="19">
        <v>500000.0</v>
      </c>
      <c r="I7" s="20" t="s">
        <v>21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363</v>
      </c>
      <c r="D8" s="16" t="s">
        <v>28</v>
      </c>
      <c r="E8" s="17"/>
      <c r="F8" s="28">
        <v>46167.0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364</v>
      </c>
      <c r="D9" s="16" t="s">
        <v>28</v>
      </c>
      <c r="E9" s="17"/>
      <c r="F9" s="28">
        <v>46166.0</v>
      </c>
      <c r="G9" s="18"/>
      <c r="H9" s="19">
        <v>125000.0</v>
      </c>
      <c r="I9" s="20" t="s">
        <v>21</v>
      </c>
      <c r="J9" s="20" t="s">
        <v>30</v>
      </c>
      <c r="K9" s="20" t="s">
        <v>70</v>
      </c>
      <c r="L9" s="20" t="s">
        <v>43</v>
      </c>
      <c r="M9" s="20" t="s">
        <v>87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365</v>
      </c>
      <c r="D10" s="16" t="s">
        <v>28</v>
      </c>
      <c r="E10" s="17"/>
      <c r="F10" s="28">
        <v>46179.0</v>
      </c>
      <c r="G10" s="18"/>
      <c r="H10" s="19">
        <v>100000.0</v>
      </c>
      <c r="I10" s="20" t="s">
        <v>26</v>
      </c>
      <c r="J10" s="20"/>
      <c r="K10" s="20"/>
      <c r="L10" s="20" t="s">
        <v>43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333</v>
      </c>
      <c r="D11" s="16" t="s">
        <v>28</v>
      </c>
      <c r="E11" s="17"/>
      <c r="F11" s="28">
        <v>46166.0</v>
      </c>
      <c r="G11" s="18">
        <v>75000.0</v>
      </c>
      <c r="H11" s="27"/>
      <c r="I11" s="20" t="s">
        <v>21</v>
      </c>
      <c r="J11" s="20" t="s">
        <v>30</v>
      </c>
      <c r="K11" s="20" t="s">
        <v>30</v>
      </c>
      <c r="L11" s="20" t="s">
        <v>22</v>
      </c>
      <c r="M11" s="20" t="s">
        <v>87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366</v>
      </c>
      <c r="D12" s="16" t="s">
        <v>19</v>
      </c>
      <c r="E12" s="17"/>
      <c r="F12" s="28">
        <v>46177.0</v>
      </c>
      <c r="G12" s="18"/>
      <c r="H12" s="19">
        <v>100000.0</v>
      </c>
      <c r="I12" s="20" t="s">
        <v>26</v>
      </c>
      <c r="J12" s="20"/>
      <c r="K12" s="20"/>
      <c r="L12" s="20" t="s">
        <v>22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367</v>
      </c>
      <c r="D13" s="16" t="s">
        <v>19</v>
      </c>
      <c r="E13" s="17"/>
      <c r="F13" s="28">
        <v>46182.0</v>
      </c>
      <c r="G13" s="18"/>
      <c r="H13" s="19">
        <v>100000.0</v>
      </c>
      <c r="I13" s="20" t="s">
        <v>26</v>
      </c>
      <c r="J13" s="20"/>
      <c r="K13" s="20"/>
      <c r="L13" s="20" t="s">
        <v>22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116</v>
      </c>
      <c r="D14" s="16" t="s">
        <v>117</v>
      </c>
      <c r="E14" s="17"/>
      <c r="F14" s="28">
        <v>46166.0</v>
      </c>
      <c r="G14" s="18"/>
      <c r="H14" s="19">
        <v>250000.0</v>
      </c>
      <c r="I14" s="20" t="s">
        <v>21</v>
      </c>
      <c r="J14" s="20" t="s">
        <v>30</v>
      </c>
      <c r="K14" s="20" t="s">
        <v>70</v>
      </c>
      <c r="L14" s="20" t="s">
        <v>22</v>
      </c>
      <c r="M14" s="20" t="s">
        <v>32</v>
      </c>
      <c r="N14" s="23"/>
      <c r="O14" s="24"/>
      <c r="P14" s="24"/>
      <c r="Q14" s="1"/>
      <c r="R14" s="1"/>
    </row>
    <row r="15">
      <c r="A15" s="1"/>
      <c r="B15" s="29"/>
      <c r="C15" s="15" t="s">
        <v>368</v>
      </c>
      <c r="D15" s="16" t="s">
        <v>46</v>
      </c>
      <c r="E15" s="17"/>
      <c r="F15" s="28">
        <v>46166.0</v>
      </c>
      <c r="G15" s="18"/>
      <c r="H15" s="19">
        <v>100000.0</v>
      </c>
      <c r="I15" s="20" t="s">
        <v>26</v>
      </c>
      <c r="J15" s="20"/>
      <c r="K15" s="20"/>
      <c r="L15" s="20" t="s">
        <v>22</v>
      </c>
      <c r="M15" s="26"/>
      <c r="N15" s="23"/>
      <c r="O15" s="24"/>
      <c r="P15" s="24"/>
      <c r="Q15" s="1"/>
      <c r="R15" s="1"/>
    </row>
    <row r="16">
      <c r="A16" s="1"/>
      <c r="B16" s="29"/>
      <c r="C16" s="77" t="s">
        <v>324</v>
      </c>
      <c r="D16" s="16" t="s">
        <v>28</v>
      </c>
      <c r="E16" s="17"/>
      <c r="F16" s="28">
        <v>46166.0</v>
      </c>
      <c r="G16" s="18">
        <v>425000.0</v>
      </c>
      <c r="H16" s="27"/>
      <c r="I16" s="20" t="s">
        <v>21</v>
      </c>
      <c r="J16" s="20" t="s">
        <v>30</v>
      </c>
      <c r="K16" s="20" t="s">
        <v>30</v>
      </c>
      <c r="L16" s="20" t="s">
        <v>22</v>
      </c>
      <c r="M16" s="20" t="s">
        <v>32</v>
      </c>
      <c r="N16" s="23"/>
      <c r="O16" s="24"/>
      <c r="P16" s="24"/>
      <c r="Q16" s="1"/>
      <c r="R16" s="1"/>
    </row>
    <row r="17">
      <c r="A17" s="1"/>
      <c r="B17" s="29"/>
      <c r="C17" s="15" t="s">
        <v>368</v>
      </c>
      <c r="D17" s="16" t="s">
        <v>46</v>
      </c>
      <c r="E17" s="17"/>
      <c r="F17" s="28">
        <v>46166.0</v>
      </c>
      <c r="G17" s="18"/>
      <c r="H17" s="19">
        <v>250000.0</v>
      </c>
      <c r="I17" s="20" t="s">
        <v>21</v>
      </c>
      <c r="J17" s="20" t="s">
        <v>30</v>
      </c>
      <c r="K17" s="20" t="s">
        <v>70</v>
      </c>
      <c r="L17" s="20" t="s">
        <v>22</v>
      </c>
      <c r="M17" s="20" t="s">
        <v>32</v>
      </c>
      <c r="N17" s="23"/>
      <c r="O17" s="24"/>
      <c r="P17" s="24"/>
      <c r="Q17" s="1"/>
      <c r="R17" s="1"/>
    </row>
    <row r="18">
      <c r="A18" s="1"/>
      <c r="B18" s="29"/>
      <c r="C18" s="15" t="s">
        <v>369</v>
      </c>
      <c r="D18" s="16" t="s">
        <v>19</v>
      </c>
      <c r="E18" s="17"/>
      <c r="F18" s="28">
        <v>46182.0</v>
      </c>
      <c r="G18" s="25"/>
      <c r="H18" s="19">
        <v>100000.0</v>
      </c>
      <c r="I18" s="20" t="s">
        <v>26</v>
      </c>
      <c r="J18" s="26"/>
      <c r="K18" s="26"/>
      <c r="L18" s="20" t="s">
        <v>22</v>
      </c>
      <c r="M18" s="26"/>
      <c r="N18" s="24"/>
      <c r="O18" s="24"/>
      <c r="P18" s="24"/>
      <c r="Q18" s="1"/>
      <c r="R18" s="1"/>
    </row>
    <row r="19">
      <c r="A19" s="1"/>
      <c r="B19" s="29"/>
      <c r="C19" s="15" t="s">
        <v>370</v>
      </c>
      <c r="D19" s="16" t="s">
        <v>74</v>
      </c>
      <c r="E19" s="17"/>
      <c r="F19" s="28">
        <v>46182.0</v>
      </c>
      <c r="G19" s="25"/>
      <c r="H19" s="19">
        <v>100000.0</v>
      </c>
      <c r="I19" s="20" t="s">
        <v>26</v>
      </c>
      <c r="J19" s="26"/>
      <c r="K19" s="26"/>
      <c r="L19" s="20" t="s">
        <v>22</v>
      </c>
      <c r="M19" s="26"/>
      <c r="N19" s="32"/>
      <c r="O19" s="32"/>
      <c r="P19" s="32"/>
      <c r="Q19" s="1"/>
      <c r="R19" s="1"/>
    </row>
    <row r="20" ht="18.75" customHeight="1">
      <c r="A20" s="1"/>
      <c r="B20" s="1"/>
      <c r="C20" s="2"/>
      <c r="D20" s="2"/>
      <c r="E20" s="1"/>
      <c r="F20" s="1"/>
      <c r="G20" s="33">
        <f t="shared" ref="G20:H20" si="1">SUM(G4:G19)</f>
        <v>1255000</v>
      </c>
      <c r="H20" s="34">
        <f t="shared" si="1"/>
        <v>2120000</v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23.25" customHeight="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35" t="s">
        <v>0</v>
      </c>
      <c r="C23" s="36" t="s">
        <v>6</v>
      </c>
      <c r="D23" s="36" t="s">
        <v>57</v>
      </c>
      <c r="E23" s="37"/>
      <c r="F23" s="1"/>
      <c r="G23" s="1"/>
      <c r="H23" s="1"/>
      <c r="I23" s="1"/>
      <c r="J23" s="1"/>
      <c r="K23" s="1"/>
      <c r="L23" s="1"/>
      <c r="M23" s="1"/>
      <c r="N23" s="36" t="s">
        <v>58</v>
      </c>
      <c r="O23" s="36" t="s">
        <v>1</v>
      </c>
      <c r="P23" s="1"/>
      <c r="Q23" s="1"/>
      <c r="R23" s="1"/>
    </row>
    <row r="24">
      <c r="A24" s="1"/>
      <c r="B24" s="38">
        <v>1.0</v>
      </c>
      <c r="C24" s="39" t="s">
        <v>59</v>
      </c>
      <c r="D24" s="40">
        <f>SUM(G20)</f>
        <v>1255000</v>
      </c>
      <c r="E24" s="41"/>
      <c r="F24" s="1"/>
      <c r="G24" s="1"/>
      <c r="H24" s="1"/>
      <c r="I24" s="1"/>
      <c r="J24" s="1"/>
      <c r="K24" s="1"/>
      <c r="L24" s="1"/>
      <c r="M24" s="1"/>
      <c r="N24" s="42" t="s">
        <v>60</v>
      </c>
      <c r="O24" s="21" t="s">
        <v>43</v>
      </c>
      <c r="P24" s="1"/>
      <c r="Q24" s="1"/>
      <c r="R24" s="1"/>
    </row>
    <row r="25">
      <c r="A25" s="1"/>
      <c r="B25" s="43">
        <v>2.0</v>
      </c>
      <c r="C25" s="44" t="s">
        <v>138</v>
      </c>
      <c r="D25" s="45">
        <v>-15000.0</v>
      </c>
      <c r="E25" s="46"/>
      <c r="F25" s="1"/>
      <c r="G25" s="1"/>
      <c r="H25" s="1"/>
      <c r="I25" s="1"/>
      <c r="J25" s="1"/>
      <c r="K25" s="1"/>
      <c r="L25" s="1"/>
      <c r="M25" s="1"/>
      <c r="N25" s="47" t="s">
        <v>62</v>
      </c>
      <c r="O25" s="48" t="s">
        <v>22</v>
      </c>
      <c r="P25" s="1"/>
      <c r="Q25" s="1"/>
      <c r="R25" s="1"/>
    </row>
    <row r="26">
      <c r="A26" s="1"/>
      <c r="B26" s="38">
        <v>3.0</v>
      </c>
      <c r="C26" s="39" t="s">
        <v>94</v>
      </c>
      <c r="D26" s="49">
        <v>-90000.0</v>
      </c>
      <c r="E26" s="46"/>
      <c r="F26" s="1"/>
      <c r="G26" s="1"/>
      <c r="H26" s="1"/>
      <c r="I26" s="1"/>
      <c r="J26" s="1"/>
      <c r="K26" s="1"/>
      <c r="L26" s="1"/>
      <c r="M26" s="1"/>
      <c r="N26" s="50" t="s">
        <v>64</v>
      </c>
      <c r="O26" s="23" t="s">
        <v>87</v>
      </c>
      <c r="P26" s="1"/>
      <c r="Q26" s="1"/>
      <c r="R26" s="1"/>
    </row>
    <row r="27">
      <c r="A27" s="1"/>
      <c r="B27" s="43">
        <v>4.0</v>
      </c>
      <c r="C27" s="44"/>
      <c r="D27" s="45"/>
      <c r="E27" s="46"/>
      <c r="F27" s="1"/>
      <c r="G27" s="1"/>
      <c r="H27" s="1"/>
      <c r="I27" s="1"/>
      <c r="J27" s="1"/>
      <c r="K27" s="1"/>
      <c r="L27" s="1"/>
      <c r="M27" s="1"/>
      <c r="N27" s="51" t="s">
        <v>65</v>
      </c>
      <c r="O27" s="48" t="s">
        <v>32</v>
      </c>
      <c r="P27" s="1"/>
      <c r="Q27" s="1"/>
      <c r="R27" s="1"/>
    </row>
    <row r="28">
      <c r="A28" s="1"/>
      <c r="B28" s="38"/>
      <c r="C28" s="52"/>
      <c r="D28" s="40"/>
      <c r="E28" s="41"/>
      <c r="F28" s="1"/>
      <c r="G28" s="1"/>
      <c r="H28" s="1"/>
      <c r="I28" s="1"/>
      <c r="J28" s="1"/>
      <c r="K28" s="1"/>
      <c r="L28" s="1"/>
      <c r="M28" s="1"/>
      <c r="N28" s="53"/>
      <c r="O28" s="1"/>
      <c r="P28" s="1"/>
      <c r="Q28" s="1"/>
      <c r="R28" s="1"/>
    </row>
    <row r="29">
      <c r="A29" s="1"/>
      <c r="B29" s="43"/>
      <c r="C29" s="54"/>
      <c r="D29" s="55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38"/>
      <c r="C30" s="52"/>
      <c r="D30" s="40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3"/>
      <c r="C31" s="54"/>
      <c r="D31" s="55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38"/>
      <c r="C32" s="52"/>
      <c r="D32" s="40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3"/>
      <c r="C33" s="54"/>
      <c r="D33" s="55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6"/>
      <c r="C34" s="57"/>
      <c r="D34" s="58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59">
        <f>SUM(D24:D34)</f>
        <v>1150000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9 O24:O25">
      <formula1>"-,JIJANG,AXEL,ADDEL ,FAHME,INDAH"</formula1>
    </dataValidation>
    <dataValidation type="list" allowBlank="1" showDropDown="1" showErrorMessage="1" sqref="D4:D19">
      <formula1>"-,Single,Couple A,Couple B,Group A,Group B,Group C,Large Group,Graduation,Graduation Premium,Family A,Family B,Maternity,Concept,Studio Rent,Pas Foto,Single,Add Person ,Add Edit,Frame,Photofox,Add Edit"</formula1>
    </dataValidation>
    <dataValidation type="list" allowBlank="1" showDropDown="1" showErrorMessage="1" sqref="M4:M19 O26:O27">
      <formula1>"-,VERO,FADEL,HANIF ,FAHME,ADIF"</formula1>
    </dataValidation>
    <dataValidation type="list" allowBlank="1" showErrorMessage="1" sqref="N4:N19">
      <formula1>"-,Pending,Progress,Uploaded"</formula1>
    </dataValidation>
    <dataValidation type="list" allowBlank="1" showErrorMessage="1" sqref="O4:O19">
      <formula1>"-,In Pikako,In Foxe"</formula1>
    </dataValidation>
    <dataValidation type="list" allowBlank="1" showDropDown="1" showErrorMessage="1" sqref="I4:I19">
      <formula1>"-,DP,Lunas"</formula1>
    </dataValidation>
    <dataValidation type="list" allowBlank="1" showDropDown="1" showErrorMessage="1" sqref="J4:K19">
      <formula1>"-,Pending,Uploaded"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371</v>
      </c>
      <c r="D4" s="16" t="s">
        <v>19</v>
      </c>
      <c r="E4" s="17"/>
      <c r="F4" s="60">
        <v>46182.0</v>
      </c>
      <c r="G4" s="18"/>
      <c r="H4" s="19">
        <v>100000.0</v>
      </c>
      <c r="I4" s="20" t="s">
        <v>26</v>
      </c>
      <c r="J4" s="20"/>
      <c r="K4" s="20"/>
      <c r="L4" s="20" t="s">
        <v>145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372</v>
      </c>
      <c r="D5" s="16" t="s">
        <v>19</v>
      </c>
      <c r="E5" s="17"/>
      <c r="F5" s="60">
        <v>46182.0</v>
      </c>
      <c r="G5" s="18"/>
      <c r="H5" s="19">
        <v>100000.0</v>
      </c>
      <c r="I5" s="20" t="s">
        <v>26</v>
      </c>
      <c r="J5" s="20"/>
      <c r="K5" s="20"/>
      <c r="L5" s="20" t="s">
        <v>145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373</v>
      </c>
      <c r="D6" s="16" t="s">
        <v>28</v>
      </c>
      <c r="E6" s="17"/>
      <c r="F6" s="28">
        <v>46167.0</v>
      </c>
      <c r="G6" s="18">
        <v>500000.0</v>
      </c>
      <c r="H6" s="19"/>
      <c r="I6" s="20" t="s">
        <v>21</v>
      </c>
      <c r="J6" s="20" t="s">
        <v>30</v>
      </c>
      <c r="K6" s="20" t="s">
        <v>30</v>
      </c>
      <c r="L6" s="20" t="s">
        <v>145</v>
      </c>
      <c r="M6" s="20" t="s">
        <v>228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374</v>
      </c>
      <c r="D7" s="16" t="s">
        <v>42</v>
      </c>
      <c r="E7" s="17"/>
      <c r="F7" s="28">
        <v>46167.0</v>
      </c>
      <c r="G7" s="18">
        <v>0.0</v>
      </c>
      <c r="H7" s="19">
        <v>0.0</v>
      </c>
      <c r="I7" s="20" t="s">
        <v>21</v>
      </c>
      <c r="J7" s="20" t="s">
        <v>30</v>
      </c>
      <c r="K7" s="20" t="s">
        <v>70</v>
      </c>
      <c r="L7" s="20" t="s">
        <v>145</v>
      </c>
      <c r="M7" s="20" t="s">
        <v>228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375</v>
      </c>
      <c r="D8" s="16" t="s">
        <v>46</v>
      </c>
      <c r="E8" s="17"/>
      <c r="F8" s="28">
        <v>46168.0</v>
      </c>
      <c r="G8" s="18"/>
      <c r="H8" s="19">
        <v>100000.0</v>
      </c>
      <c r="I8" s="20" t="s">
        <v>26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376</v>
      </c>
      <c r="D9" s="16" t="s">
        <v>19</v>
      </c>
      <c r="E9" s="17"/>
      <c r="F9" s="28">
        <v>46182.0</v>
      </c>
      <c r="G9" s="18"/>
      <c r="H9" s="19">
        <v>100000.0</v>
      </c>
      <c r="I9" s="20" t="s">
        <v>26</v>
      </c>
      <c r="J9" s="20"/>
      <c r="K9" s="20"/>
      <c r="L9" s="20" t="s">
        <v>43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377</v>
      </c>
      <c r="D10" s="16" t="s">
        <v>19</v>
      </c>
      <c r="E10" s="17"/>
      <c r="F10" s="28">
        <v>46182.0</v>
      </c>
      <c r="G10" s="18"/>
      <c r="H10" s="19">
        <v>100000.0</v>
      </c>
      <c r="I10" s="20" t="s">
        <v>26</v>
      </c>
      <c r="J10" s="20"/>
      <c r="K10" s="20"/>
      <c r="L10" s="20" t="s">
        <v>43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78" t="s">
        <v>378</v>
      </c>
      <c r="D11" s="16" t="s">
        <v>19</v>
      </c>
      <c r="E11" s="17"/>
      <c r="F11" s="28">
        <v>46182.0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379</v>
      </c>
      <c r="D12" s="16" t="s">
        <v>28</v>
      </c>
      <c r="E12" s="17"/>
      <c r="F12" s="28">
        <v>46167.0</v>
      </c>
      <c r="G12" s="18"/>
      <c r="H12" s="19">
        <v>250000.0</v>
      </c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228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380</v>
      </c>
      <c r="D13" s="16" t="s">
        <v>28</v>
      </c>
      <c r="E13" s="17"/>
      <c r="F13" s="28">
        <v>46177.0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500000</v>
      </c>
      <c r="H19" s="34">
        <f t="shared" si="1"/>
        <v>950000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500000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145</v>
      </c>
      <c r="P23" s="1"/>
      <c r="Q23" s="1"/>
      <c r="R23" s="1"/>
    </row>
    <row r="24">
      <c r="A24" s="1"/>
      <c r="B24" s="43">
        <v>2.0</v>
      </c>
      <c r="C24" s="44" t="s">
        <v>138</v>
      </c>
      <c r="D24" s="45">
        <v>-50000.0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 t="s">
        <v>202</v>
      </c>
      <c r="D25" s="49">
        <v>-100000.0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 t="s">
        <v>94</v>
      </c>
      <c r="D26" s="45">
        <v>-50000.0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228</v>
      </c>
      <c r="P26" s="1"/>
      <c r="Q26" s="1"/>
      <c r="R26" s="1"/>
    </row>
    <row r="27">
      <c r="A27" s="1"/>
      <c r="B27" s="38"/>
      <c r="C27" s="39" t="s">
        <v>235</v>
      </c>
      <c r="D27" s="49">
        <v>-16000.0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284000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"-,VERO,FADEL,ADIF ,FAHME,HANIF"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381</v>
      </c>
      <c r="D4" s="16" t="s">
        <v>19</v>
      </c>
      <c r="E4" s="17"/>
      <c r="F4" s="60">
        <v>46182.0</v>
      </c>
      <c r="G4" s="18"/>
      <c r="H4" s="19">
        <v>100000.0</v>
      </c>
      <c r="I4" s="20" t="s">
        <v>26</v>
      </c>
      <c r="J4" s="20"/>
      <c r="K4" s="20"/>
      <c r="L4" s="20" t="s">
        <v>145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382</v>
      </c>
      <c r="D5" s="16" t="s">
        <v>19</v>
      </c>
      <c r="E5" s="17"/>
      <c r="F5" s="60">
        <v>46182.0</v>
      </c>
      <c r="G5" s="18"/>
      <c r="H5" s="19">
        <v>100000.0</v>
      </c>
      <c r="I5" s="20" t="s">
        <v>26</v>
      </c>
      <c r="J5" s="20"/>
      <c r="K5" s="20"/>
      <c r="L5" s="20" t="s">
        <v>145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338</v>
      </c>
      <c r="D6" s="16" t="s">
        <v>24</v>
      </c>
      <c r="E6" s="17"/>
      <c r="F6" s="28">
        <v>46168.0</v>
      </c>
      <c r="G6" s="25"/>
      <c r="H6" s="19">
        <v>50000.0</v>
      </c>
      <c r="I6" s="20" t="s">
        <v>21</v>
      </c>
      <c r="J6" s="20" t="s">
        <v>30</v>
      </c>
      <c r="K6" s="20" t="s">
        <v>30</v>
      </c>
      <c r="L6" s="20" t="s">
        <v>145</v>
      </c>
      <c r="M6" s="20" t="s">
        <v>228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383</v>
      </c>
      <c r="D7" s="16" t="s">
        <v>28</v>
      </c>
      <c r="E7" s="17"/>
      <c r="F7" s="28">
        <v>46171.0</v>
      </c>
      <c r="G7" s="18"/>
      <c r="H7" s="19">
        <v>100000.0</v>
      </c>
      <c r="I7" s="20" t="s">
        <v>26</v>
      </c>
      <c r="J7" s="20"/>
      <c r="K7" s="20"/>
      <c r="L7" s="20" t="s">
        <v>145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375</v>
      </c>
      <c r="D8" s="16" t="s">
        <v>46</v>
      </c>
      <c r="E8" s="17"/>
      <c r="F8" s="28">
        <v>46168.0</v>
      </c>
      <c r="G8" s="18"/>
      <c r="H8" s="19">
        <v>250000.0</v>
      </c>
      <c r="I8" s="20" t="s">
        <v>21</v>
      </c>
      <c r="J8" s="20" t="s">
        <v>30</v>
      </c>
      <c r="K8" s="20" t="s">
        <v>70</v>
      </c>
      <c r="L8" s="20" t="s">
        <v>145</v>
      </c>
      <c r="M8" s="20" t="s">
        <v>228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384</v>
      </c>
      <c r="D9" s="16" t="s">
        <v>19</v>
      </c>
      <c r="E9" s="17"/>
      <c r="F9" s="28">
        <v>46182.0</v>
      </c>
      <c r="G9" s="18"/>
      <c r="H9" s="19">
        <v>100000.0</v>
      </c>
      <c r="I9" s="20" t="s">
        <v>26</v>
      </c>
      <c r="J9" s="20"/>
      <c r="K9" s="20"/>
      <c r="L9" s="20" t="s">
        <v>145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295</v>
      </c>
      <c r="D10" s="16" t="s">
        <v>223</v>
      </c>
      <c r="E10" s="17"/>
      <c r="F10" s="28">
        <v>46161.0</v>
      </c>
      <c r="G10" s="18"/>
      <c r="H10" s="19">
        <v>80000.0</v>
      </c>
      <c r="I10" s="20" t="s">
        <v>21</v>
      </c>
      <c r="J10" s="20"/>
      <c r="K10" s="20"/>
      <c r="L10" s="20" t="s">
        <v>43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385</v>
      </c>
      <c r="D11" s="16" t="s">
        <v>386</v>
      </c>
      <c r="E11" s="17"/>
      <c r="F11" s="28">
        <v>46193.0</v>
      </c>
      <c r="G11" s="18"/>
      <c r="H11" s="19">
        <v>300000.0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387</v>
      </c>
      <c r="D12" s="16" t="s">
        <v>28</v>
      </c>
      <c r="E12" s="17"/>
      <c r="F12" s="28">
        <v>46171.0</v>
      </c>
      <c r="G12" s="18"/>
      <c r="H12" s="19">
        <v>100000.0</v>
      </c>
      <c r="I12" s="20" t="s">
        <v>26</v>
      </c>
      <c r="J12" s="20"/>
      <c r="K12" s="20"/>
      <c r="L12" s="20" t="s">
        <v>43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1180000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145</v>
      </c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147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"-,VERO,ADIF 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79">
        <v>1.0</v>
      </c>
      <c r="C4" s="80"/>
      <c r="D4" s="81"/>
      <c r="E4" s="82"/>
      <c r="F4" s="83">
        <v>45231.0</v>
      </c>
      <c r="G4" s="84"/>
      <c r="H4" s="85"/>
      <c r="I4" s="86"/>
      <c r="J4" s="86"/>
      <c r="K4" s="86"/>
      <c r="L4" s="86"/>
      <c r="M4" s="86"/>
      <c r="N4" s="21"/>
      <c r="O4" s="21"/>
      <c r="P4" s="22">
        <v>45231.0</v>
      </c>
      <c r="Q4" s="1"/>
      <c r="R4" s="1"/>
    </row>
    <row r="5">
      <c r="A5" s="1"/>
      <c r="B5" s="79">
        <v>2.0</v>
      </c>
      <c r="C5" s="80"/>
      <c r="D5" s="81"/>
      <c r="E5" s="82"/>
      <c r="F5" s="83"/>
      <c r="G5" s="84"/>
      <c r="H5" s="85"/>
      <c r="I5" s="86"/>
      <c r="J5" s="86"/>
      <c r="K5" s="86"/>
      <c r="L5" s="86"/>
      <c r="M5" s="86"/>
      <c r="N5" s="23"/>
      <c r="O5" s="23"/>
      <c r="P5" s="24"/>
      <c r="Q5" s="1"/>
      <c r="R5" s="1"/>
    </row>
    <row r="6">
      <c r="A6" s="1"/>
      <c r="B6" s="79">
        <v>3.0</v>
      </c>
      <c r="C6" s="80"/>
      <c r="D6" s="81"/>
      <c r="E6" s="82"/>
      <c r="F6" s="87"/>
      <c r="G6" s="88"/>
      <c r="H6" s="85"/>
      <c r="I6" s="86"/>
      <c r="J6" s="86"/>
      <c r="K6" s="86"/>
      <c r="L6" s="89"/>
      <c r="M6" s="89"/>
      <c r="N6" s="23"/>
      <c r="O6" s="23"/>
      <c r="P6" s="24"/>
      <c r="Q6" s="1"/>
      <c r="R6" s="1"/>
    </row>
    <row r="7">
      <c r="A7" s="1"/>
      <c r="B7" s="79">
        <v>4.0</v>
      </c>
      <c r="C7" s="80"/>
      <c r="D7" s="81"/>
      <c r="E7" s="82"/>
      <c r="F7" s="87"/>
      <c r="G7" s="84"/>
      <c r="H7" s="90"/>
      <c r="I7" s="86"/>
      <c r="J7" s="86"/>
      <c r="K7" s="86"/>
      <c r="L7" s="89"/>
      <c r="M7" s="89"/>
      <c r="N7" s="23"/>
      <c r="O7" s="23"/>
      <c r="P7" s="24"/>
      <c r="Q7" s="1"/>
      <c r="R7" s="1"/>
    </row>
    <row r="8">
      <c r="A8" s="1"/>
      <c r="B8" s="79">
        <v>5.0</v>
      </c>
      <c r="C8" s="80"/>
      <c r="D8" s="81"/>
      <c r="E8" s="82"/>
      <c r="F8" s="87"/>
      <c r="G8" s="84"/>
      <c r="H8" s="90"/>
      <c r="I8" s="86"/>
      <c r="J8" s="86"/>
      <c r="K8" s="86"/>
      <c r="L8" s="89"/>
      <c r="M8" s="89"/>
      <c r="N8" s="23"/>
      <c r="O8" s="24"/>
      <c r="P8" s="24"/>
      <c r="Q8" s="1"/>
      <c r="R8" s="1"/>
    </row>
    <row r="9">
      <c r="A9" s="1"/>
      <c r="B9" s="79">
        <v>6.0</v>
      </c>
      <c r="C9" s="80"/>
      <c r="D9" s="81"/>
      <c r="E9" s="82"/>
      <c r="F9" s="87"/>
      <c r="G9" s="84"/>
      <c r="H9" s="90"/>
      <c r="I9" s="86"/>
      <c r="J9" s="86"/>
      <c r="K9" s="86"/>
      <c r="L9" s="89"/>
      <c r="M9" s="89"/>
      <c r="N9" s="23"/>
      <c r="O9" s="24"/>
      <c r="P9" s="24"/>
      <c r="Q9" s="1"/>
      <c r="R9" s="1"/>
    </row>
    <row r="10">
      <c r="A10" s="1"/>
      <c r="B10" s="79">
        <v>7.0</v>
      </c>
      <c r="C10" s="80"/>
      <c r="D10" s="81"/>
      <c r="E10" s="82"/>
      <c r="F10" s="87"/>
      <c r="G10" s="84"/>
      <c r="H10" s="90"/>
      <c r="I10" s="86"/>
      <c r="J10" s="86"/>
      <c r="K10" s="86"/>
      <c r="L10" s="89"/>
      <c r="M10" s="89"/>
      <c r="N10" s="23"/>
      <c r="O10" s="24"/>
      <c r="P10" s="24"/>
      <c r="Q10" s="1"/>
      <c r="R10" s="1"/>
    </row>
    <row r="11">
      <c r="A11" s="1"/>
      <c r="B11" s="79">
        <v>8.0</v>
      </c>
      <c r="C11" s="80"/>
      <c r="D11" s="81"/>
      <c r="E11" s="82"/>
      <c r="F11" s="87"/>
      <c r="G11" s="84"/>
      <c r="H11" s="90"/>
      <c r="I11" s="86"/>
      <c r="J11" s="86"/>
      <c r="K11" s="86"/>
      <c r="L11" s="89"/>
      <c r="M11" s="89"/>
      <c r="N11" s="23"/>
      <c r="O11" s="24"/>
      <c r="P11" s="24"/>
      <c r="Q11" s="1"/>
      <c r="R11" s="1"/>
    </row>
    <row r="12">
      <c r="A12" s="1"/>
      <c r="B12" s="79">
        <v>9.0</v>
      </c>
      <c r="C12" s="80"/>
      <c r="D12" s="81"/>
      <c r="E12" s="82"/>
      <c r="F12" s="87"/>
      <c r="G12" s="84"/>
      <c r="H12" s="90"/>
      <c r="I12" s="86"/>
      <c r="J12" s="86"/>
      <c r="K12" s="86"/>
      <c r="L12" s="89"/>
      <c r="M12" s="89"/>
      <c r="N12" s="23"/>
      <c r="O12" s="24"/>
      <c r="P12" s="24"/>
      <c r="Q12" s="1"/>
      <c r="R12" s="1"/>
    </row>
    <row r="13">
      <c r="A13" s="1"/>
      <c r="B13" s="79">
        <v>10.0</v>
      </c>
      <c r="C13" s="80"/>
      <c r="D13" s="81"/>
      <c r="E13" s="82"/>
      <c r="F13" s="87"/>
      <c r="G13" s="84"/>
      <c r="H13" s="90"/>
      <c r="I13" s="86"/>
      <c r="J13" s="86"/>
      <c r="K13" s="86"/>
      <c r="L13" s="89"/>
      <c r="M13" s="89"/>
      <c r="N13" s="23"/>
      <c r="O13" s="24"/>
      <c r="P13" s="24"/>
      <c r="Q13" s="1"/>
      <c r="R13" s="1"/>
    </row>
    <row r="14">
      <c r="A14" s="1"/>
      <c r="B14" s="87"/>
      <c r="C14" s="80"/>
      <c r="D14" s="81"/>
      <c r="E14" s="82"/>
      <c r="F14" s="87"/>
      <c r="G14" s="84"/>
      <c r="H14" s="90"/>
      <c r="I14" s="86"/>
      <c r="J14" s="86"/>
      <c r="K14" s="86"/>
      <c r="L14" s="89"/>
      <c r="M14" s="89"/>
      <c r="N14" s="23"/>
      <c r="O14" s="24"/>
      <c r="P14" s="24"/>
      <c r="Q14" s="1"/>
      <c r="R14" s="1"/>
    </row>
    <row r="15">
      <c r="A15" s="1"/>
      <c r="B15" s="87"/>
      <c r="C15" s="80"/>
      <c r="D15" s="81"/>
      <c r="E15" s="82"/>
      <c r="F15" s="87"/>
      <c r="G15" s="84"/>
      <c r="H15" s="90"/>
      <c r="I15" s="86"/>
      <c r="J15" s="86"/>
      <c r="K15" s="86"/>
      <c r="L15" s="89"/>
      <c r="M15" s="89"/>
      <c r="N15" s="23"/>
      <c r="O15" s="24"/>
      <c r="P15" s="24"/>
      <c r="Q15" s="1"/>
      <c r="R15" s="1"/>
    </row>
    <row r="16">
      <c r="A16" s="1"/>
      <c r="B16" s="87"/>
      <c r="C16" s="80"/>
      <c r="D16" s="81"/>
      <c r="E16" s="82"/>
      <c r="F16" s="87"/>
      <c r="G16" s="84"/>
      <c r="H16" s="90"/>
      <c r="I16" s="86"/>
      <c r="J16" s="86"/>
      <c r="K16" s="86"/>
      <c r="L16" s="89"/>
      <c r="M16" s="89"/>
      <c r="N16" s="23"/>
      <c r="O16" s="24"/>
      <c r="P16" s="24"/>
      <c r="Q16" s="1"/>
      <c r="R16" s="1"/>
    </row>
    <row r="17">
      <c r="A17" s="1"/>
      <c r="B17" s="87"/>
      <c r="C17" s="80"/>
      <c r="D17" s="81"/>
      <c r="E17" s="82"/>
      <c r="F17" s="87"/>
      <c r="G17" s="84"/>
      <c r="H17" s="90"/>
      <c r="I17" s="86"/>
      <c r="J17" s="86"/>
      <c r="K17" s="86"/>
      <c r="L17" s="89"/>
      <c r="M17" s="89"/>
      <c r="N17" s="23"/>
      <c r="O17" s="24"/>
      <c r="P17" s="24"/>
      <c r="Q17" s="1"/>
      <c r="R17" s="1"/>
    </row>
    <row r="18">
      <c r="A18" s="1"/>
      <c r="B18" s="87"/>
      <c r="C18" s="91"/>
      <c r="D18" s="81"/>
      <c r="E18" s="82"/>
      <c r="F18" s="87"/>
      <c r="G18" s="88"/>
      <c r="H18" s="90"/>
      <c r="I18" s="89"/>
      <c r="J18" s="89"/>
      <c r="K18" s="89"/>
      <c r="L18" s="89"/>
      <c r="M18" s="89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0</v>
      </c>
      <c r="H19" s="34">
        <f t="shared" si="1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/>
      <c r="P23" s="1"/>
      <c r="Q23" s="1"/>
      <c r="R23" s="1"/>
    </row>
    <row r="24">
      <c r="A24" s="1"/>
      <c r="B24" s="43">
        <v>2.0</v>
      </c>
      <c r="C24" s="44"/>
      <c r="D24" s="45"/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/>
      <c r="P24" s="1"/>
      <c r="Q24" s="1"/>
      <c r="R24" s="1"/>
    </row>
    <row r="25">
      <c r="A25" s="1"/>
      <c r="B25" s="38">
        <v>3.0</v>
      </c>
      <c r="C25" s="39"/>
      <c r="D25" s="49"/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/>
      <c r="P25" s="1"/>
      <c r="Q25" s="1"/>
      <c r="R25" s="1"/>
    </row>
    <row r="26">
      <c r="A26" s="1"/>
      <c r="B26" s="43">
        <v>4.0</v>
      </c>
      <c r="C26" s="44"/>
      <c r="D26" s="45"/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/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"-,VERO,FADEL,PENTIL,FAHME"</formula1>
    </dataValidation>
    <dataValidation type="list" allowBlank="1" showDropDown="1" showErrorMessage="1" sqref="L4:L18 O23:O24">
      <formula1>"-,JIJANG,AXEL,PENTIL,FAHME"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3.2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388</v>
      </c>
      <c r="D4" s="16" t="s">
        <v>42</v>
      </c>
      <c r="E4" s="17"/>
      <c r="F4" s="60">
        <v>46172.0</v>
      </c>
      <c r="G4" s="18"/>
      <c r="H4" s="19">
        <v>100000.0</v>
      </c>
      <c r="I4" s="20" t="s">
        <v>26</v>
      </c>
      <c r="J4" s="20"/>
      <c r="K4" s="20"/>
      <c r="L4" s="20" t="s">
        <v>43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389</v>
      </c>
      <c r="D5" s="16" t="s">
        <v>24</v>
      </c>
      <c r="E5" s="17"/>
      <c r="F5" s="60">
        <v>46170.0</v>
      </c>
      <c r="G5" s="18"/>
      <c r="H5" s="19">
        <v>100000.0</v>
      </c>
      <c r="I5" s="20" t="s">
        <v>26</v>
      </c>
      <c r="J5" s="20"/>
      <c r="K5" s="20"/>
      <c r="L5" s="20" t="s">
        <v>43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390</v>
      </c>
      <c r="D6" s="16" t="s">
        <v>46</v>
      </c>
      <c r="E6" s="17"/>
      <c r="F6" s="28">
        <v>46170.0</v>
      </c>
      <c r="G6" s="25"/>
      <c r="H6" s="19">
        <v>100000.0</v>
      </c>
      <c r="I6" s="20" t="s">
        <v>26</v>
      </c>
      <c r="J6" s="20"/>
      <c r="K6" s="20"/>
      <c r="L6" s="20" t="s">
        <v>43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389</v>
      </c>
      <c r="D7" s="16" t="s">
        <v>24</v>
      </c>
      <c r="E7" s="17"/>
      <c r="F7" s="28">
        <v>46170.0</v>
      </c>
      <c r="G7" s="18"/>
      <c r="H7" s="19">
        <v>50000.0</v>
      </c>
      <c r="I7" s="20" t="s">
        <v>21</v>
      </c>
      <c r="J7" s="20" t="s">
        <v>30</v>
      </c>
      <c r="K7" s="20" t="s">
        <v>70</v>
      </c>
      <c r="L7" s="20" t="s">
        <v>43</v>
      </c>
      <c r="M7" s="20" t="s">
        <v>147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391</v>
      </c>
      <c r="D8" s="16" t="s">
        <v>28</v>
      </c>
      <c r="E8" s="17"/>
      <c r="F8" s="28">
        <v>46170.0</v>
      </c>
      <c r="G8" s="18"/>
      <c r="H8" s="19">
        <v>175000.0</v>
      </c>
      <c r="I8" s="20" t="s">
        <v>21</v>
      </c>
      <c r="J8" s="20"/>
      <c r="K8" s="20"/>
      <c r="L8" s="20" t="s">
        <v>43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392</v>
      </c>
      <c r="D9" s="16" t="s">
        <v>19</v>
      </c>
      <c r="E9" s="17"/>
      <c r="F9" s="28">
        <v>46170.0</v>
      </c>
      <c r="G9" s="18"/>
      <c r="H9" s="19">
        <v>100000.0</v>
      </c>
      <c r="I9" s="20" t="s">
        <v>26</v>
      </c>
      <c r="J9" s="20"/>
      <c r="K9" s="20"/>
      <c r="L9" s="20" t="s">
        <v>43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393</v>
      </c>
      <c r="D10" s="16" t="s">
        <v>46</v>
      </c>
      <c r="E10" s="17"/>
      <c r="F10" s="28">
        <v>46170.0</v>
      </c>
      <c r="G10" s="18"/>
      <c r="H10" s="19">
        <v>100000.0</v>
      </c>
      <c r="I10" s="20" t="s">
        <v>26</v>
      </c>
      <c r="J10" s="20"/>
      <c r="K10" s="20"/>
      <c r="L10" s="20" t="s">
        <v>43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394</v>
      </c>
      <c r="D11" s="16" t="s">
        <v>395</v>
      </c>
      <c r="E11" s="17"/>
      <c r="F11" s="28">
        <v>46173.0</v>
      </c>
      <c r="G11" s="18"/>
      <c r="H11" s="19">
        <v>100000.0</v>
      </c>
      <c r="I11" s="20" t="s">
        <v>26</v>
      </c>
      <c r="J11" s="20"/>
      <c r="K11" s="20"/>
      <c r="L11" s="20" t="s">
        <v>43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390</v>
      </c>
      <c r="D12" s="16" t="s">
        <v>46</v>
      </c>
      <c r="E12" s="17"/>
      <c r="F12" s="28">
        <v>46170.0</v>
      </c>
      <c r="G12" s="18"/>
      <c r="H12" s="19">
        <v>250000.0</v>
      </c>
      <c r="I12" s="20" t="s">
        <v>21</v>
      </c>
      <c r="J12" s="20" t="s">
        <v>30</v>
      </c>
      <c r="K12" s="20" t="s">
        <v>70</v>
      </c>
      <c r="L12" s="20" t="s">
        <v>43</v>
      </c>
      <c r="M12" s="20" t="s">
        <v>147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396</v>
      </c>
      <c r="D13" s="16" t="s">
        <v>19</v>
      </c>
      <c r="E13" s="17"/>
      <c r="F13" s="28">
        <v>46170.0</v>
      </c>
      <c r="G13" s="18"/>
      <c r="H13" s="19">
        <v>100000.0</v>
      </c>
      <c r="I13" s="20" t="s">
        <v>26</v>
      </c>
      <c r="J13" s="20"/>
      <c r="K13" s="20"/>
      <c r="L13" s="20" t="s">
        <v>43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397</v>
      </c>
      <c r="D14" s="16" t="s">
        <v>223</v>
      </c>
      <c r="E14" s="17"/>
      <c r="F14" s="28">
        <v>46165.0</v>
      </c>
      <c r="G14" s="18"/>
      <c r="H14" s="19">
        <v>10000.0</v>
      </c>
      <c r="I14" s="20" t="s">
        <v>21</v>
      </c>
      <c r="J14" s="20"/>
      <c r="K14" s="20"/>
      <c r="L14" s="20" t="s">
        <v>43</v>
      </c>
      <c r="M14" s="26"/>
      <c r="N14" s="23"/>
      <c r="O14" s="24"/>
      <c r="P14" s="24"/>
      <c r="Q14" s="1"/>
      <c r="R14" s="1"/>
    </row>
    <row r="15">
      <c r="A15" s="1"/>
      <c r="B15" s="29"/>
      <c r="C15" s="15" t="s">
        <v>398</v>
      </c>
      <c r="D15" s="16" t="s">
        <v>74</v>
      </c>
      <c r="E15" s="17"/>
      <c r="F15" s="28">
        <v>46182.0</v>
      </c>
      <c r="G15" s="18"/>
      <c r="H15" s="19">
        <v>100000.0</v>
      </c>
      <c r="I15" s="20" t="s">
        <v>26</v>
      </c>
      <c r="J15" s="20"/>
      <c r="K15" s="20"/>
      <c r="L15" s="20" t="s">
        <v>43</v>
      </c>
      <c r="M15" s="26"/>
      <c r="N15" s="23"/>
      <c r="O15" s="24"/>
      <c r="P15" s="24"/>
      <c r="Q15" s="1"/>
      <c r="R15" s="1"/>
    </row>
    <row r="16">
      <c r="A16" s="1"/>
      <c r="B16" s="29"/>
      <c r="C16" s="15" t="s">
        <v>399</v>
      </c>
      <c r="D16" s="16" t="s">
        <v>42</v>
      </c>
      <c r="E16" s="17"/>
      <c r="F16" s="28">
        <v>46171.0</v>
      </c>
      <c r="G16" s="18"/>
      <c r="H16" s="19">
        <v>100000.0</v>
      </c>
      <c r="I16" s="20" t="s">
        <v>26</v>
      </c>
      <c r="J16" s="20"/>
      <c r="K16" s="20"/>
      <c r="L16" s="20" t="s">
        <v>43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400</v>
      </c>
      <c r="D17" s="16" t="s">
        <v>19</v>
      </c>
      <c r="E17" s="17"/>
      <c r="F17" s="28">
        <v>46182.0</v>
      </c>
      <c r="G17" s="18"/>
      <c r="H17" s="19">
        <v>350000.0</v>
      </c>
      <c r="I17" s="20" t="s">
        <v>21</v>
      </c>
      <c r="J17" s="20"/>
      <c r="K17" s="20"/>
      <c r="L17" s="20" t="s">
        <v>43</v>
      </c>
      <c r="M17" s="26"/>
      <c r="N17" s="23"/>
      <c r="O17" s="24"/>
      <c r="P17" s="24"/>
      <c r="Q17" s="1"/>
      <c r="R17" s="1"/>
    </row>
    <row r="18">
      <c r="A18" s="1"/>
      <c r="B18" s="29"/>
      <c r="C18" s="15" t="s">
        <v>392</v>
      </c>
      <c r="D18" s="16" t="s">
        <v>19</v>
      </c>
      <c r="E18" s="17"/>
      <c r="F18" s="28">
        <v>46170.0</v>
      </c>
      <c r="G18" s="18"/>
      <c r="H18" s="19">
        <v>250000.0</v>
      </c>
      <c r="I18" s="20" t="s">
        <v>21</v>
      </c>
      <c r="J18" s="20" t="s">
        <v>30</v>
      </c>
      <c r="K18" s="20" t="s">
        <v>70</v>
      </c>
      <c r="L18" s="20" t="s">
        <v>43</v>
      </c>
      <c r="M18" s="20" t="s">
        <v>147</v>
      </c>
      <c r="N18" s="23"/>
      <c r="O18" s="24"/>
      <c r="P18" s="24"/>
      <c r="Q18" s="1"/>
      <c r="R18" s="1"/>
    </row>
    <row r="19">
      <c r="A19" s="1"/>
      <c r="B19" s="29"/>
      <c r="C19" s="15" t="s">
        <v>393</v>
      </c>
      <c r="D19" s="16" t="s">
        <v>46</v>
      </c>
      <c r="E19" s="17" t="s">
        <v>401</v>
      </c>
      <c r="F19" s="28">
        <v>46170.0</v>
      </c>
      <c r="G19" s="18"/>
      <c r="H19" s="19">
        <v>290000.0</v>
      </c>
      <c r="I19" s="20" t="s">
        <v>21</v>
      </c>
      <c r="J19" s="20" t="s">
        <v>30</v>
      </c>
      <c r="K19" s="20" t="s">
        <v>30</v>
      </c>
      <c r="L19" s="20" t="s">
        <v>43</v>
      </c>
      <c r="M19" s="20" t="s">
        <v>147</v>
      </c>
      <c r="N19" s="23"/>
      <c r="O19" s="24"/>
      <c r="P19" s="24"/>
      <c r="Q19" s="1"/>
      <c r="R19" s="1"/>
    </row>
    <row r="20">
      <c r="A20" s="1"/>
      <c r="B20" s="29"/>
      <c r="C20" s="15" t="s">
        <v>402</v>
      </c>
      <c r="D20" s="16" t="s">
        <v>403</v>
      </c>
      <c r="E20" s="17"/>
      <c r="F20" s="28">
        <v>46180.0</v>
      </c>
      <c r="G20" s="18"/>
      <c r="H20" s="19">
        <v>100000.0</v>
      </c>
      <c r="I20" s="20" t="s">
        <v>26</v>
      </c>
      <c r="J20" s="20"/>
      <c r="K20" s="20"/>
      <c r="L20" s="20" t="s">
        <v>43</v>
      </c>
      <c r="M20" s="26"/>
      <c r="N20" s="23"/>
      <c r="O20" s="24"/>
      <c r="P20" s="24"/>
      <c r="Q20" s="1"/>
      <c r="R20" s="1"/>
    </row>
    <row r="21">
      <c r="A21" s="1"/>
      <c r="B21" s="29"/>
      <c r="C21" s="15" t="s">
        <v>404</v>
      </c>
      <c r="D21" s="16" t="s">
        <v>24</v>
      </c>
      <c r="E21" s="17"/>
      <c r="F21" s="28">
        <v>46173.0</v>
      </c>
      <c r="G21" s="18"/>
      <c r="H21" s="19">
        <v>100000.0</v>
      </c>
      <c r="I21" s="20" t="s">
        <v>26</v>
      </c>
      <c r="J21" s="20"/>
      <c r="K21" s="20"/>
      <c r="L21" s="20" t="s">
        <v>43</v>
      </c>
      <c r="M21" s="26"/>
      <c r="N21" s="23"/>
      <c r="O21" s="24"/>
      <c r="P21" s="24"/>
      <c r="Q21" s="1"/>
      <c r="R21" s="1"/>
    </row>
    <row r="22">
      <c r="A22" s="1"/>
      <c r="B22" s="29"/>
      <c r="C22" s="15" t="s">
        <v>405</v>
      </c>
      <c r="D22" s="16" t="s">
        <v>19</v>
      </c>
      <c r="E22" s="17"/>
      <c r="F22" s="28">
        <v>46182.0</v>
      </c>
      <c r="G22" s="18"/>
      <c r="H22" s="19">
        <v>100000.0</v>
      </c>
      <c r="I22" s="20" t="s">
        <v>26</v>
      </c>
      <c r="J22" s="20"/>
      <c r="K22" s="20"/>
      <c r="L22" s="20" t="s">
        <v>43</v>
      </c>
      <c r="M22" s="26"/>
      <c r="N22" s="23"/>
      <c r="O22" s="24"/>
      <c r="P22" s="24"/>
      <c r="Q22" s="1"/>
      <c r="R22" s="1"/>
    </row>
    <row r="23">
      <c r="A23" s="1"/>
      <c r="B23" s="29"/>
      <c r="C23" s="15" t="s">
        <v>406</v>
      </c>
      <c r="D23" s="16" t="s">
        <v>19</v>
      </c>
      <c r="E23" s="17"/>
      <c r="F23" s="28">
        <v>46179.0</v>
      </c>
      <c r="G23" s="18"/>
      <c r="H23" s="19">
        <v>100000.0</v>
      </c>
      <c r="I23" s="20" t="s">
        <v>26</v>
      </c>
      <c r="J23" s="20"/>
      <c r="K23" s="20"/>
      <c r="L23" s="20" t="s">
        <v>43</v>
      </c>
      <c r="M23" s="26"/>
      <c r="N23" s="23"/>
      <c r="O23" s="24"/>
      <c r="P23" s="24"/>
      <c r="Q23" s="1"/>
      <c r="R23" s="1"/>
    </row>
    <row r="24">
      <c r="A24" s="1"/>
      <c r="B24" s="29"/>
      <c r="C24" s="15" t="s">
        <v>407</v>
      </c>
      <c r="D24" s="16" t="s">
        <v>19</v>
      </c>
      <c r="E24" s="17"/>
      <c r="F24" s="28">
        <v>46182.0</v>
      </c>
      <c r="G24" s="18"/>
      <c r="H24" s="19">
        <v>100000.0</v>
      </c>
      <c r="I24" s="20" t="s">
        <v>26</v>
      </c>
      <c r="J24" s="20"/>
      <c r="K24" s="20"/>
      <c r="L24" s="20" t="s">
        <v>43</v>
      </c>
      <c r="M24" s="26"/>
      <c r="N24" s="23"/>
      <c r="O24" s="24"/>
      <c r="P24" s="24"/>
      <c r="Q24" s="1"/>
      <c r="R24" s="1"/>
    </row>
    <row r="25">
      <c r="A25" s="1"/>
      <c r="B25" s="29"/>
      <c r="C25" s="31"/>
      <c r="D25" s="16"/>
      <c r="E25" s="17"/>
      <c r="F25" s="29"/>
      <c r="G25" s="25"/>
      <c r="H25" s="27"/>
      <c r="I25" s="26"/>
      <c r="J25" s="26"/>
      <c r="K25" s="26"/>
      <c r="L25" s="26"/>
      <c r="M25" s="26"/>
      <c r="N25" s="32"/>
      <c r="O25" s="32"/>
      <c r="P25" s="32"/>
      <c r="Q25" s="1"/>
      <c r="R25" s="1"/>
    </row>
    <row r="26" ht="18.75" customHeight="1">
      <c r="A26" s="1"/>
      <c r="B26" s="1"/>
      <c r="C26" s="2"/>
      <c r="D26" s="2"/>
      <c r="E26" s="1"/>
      <c r="F26" s="1"/>
      <c r="G26" s="33">
        <f t="shared" ref="G26:H26" si="1">SUM(G4:G25)</f>
        <v>0</v>
      </c>
      <c r="H26" s="34">
        <f t="shared" si="1"/>
        <v>2775000</v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3.25" customHeight="1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5" t="s">
        <v>0</v>
      </c>
      <c r="C29" s="36" t="s">
        <v>6</v>
      </c>
      <c r="D29" s="36" t="s">
        <v>57</v>
      </c>
      <c r="E29" s="37"/>
      <c r="F29" s="1"/>
      <c r="G29" s="1"/>
      <c r="H29" s="1"/>
      <c r="I29" s="1"/>
      <c r="J29" s="1"/>
      <c r="K29" s="1"/>
      <c r="L29" s="1"/>
      <c r="M29" s="1"/>
      <c r="N29" s="36" t="s">
        <v>58</v>
      </c>
      <c r="O29" s="36" t="s">
        <v>1</v>
      </c>
      <c r="P29" s="1"/>
      <c r="Q29" s="1"/>
      <c r="R29" s="1"/>
    </row>
    <row r="30">
      <c r="A30" s="1"/>
      <c r="B30" s="38">
        <v>1.0</v>
      </c>
      <c r="C30" s="39" t="s">
        <v>59</v>
      </c>
      <c r="D30" s="40">
        <f>SUM(G26)</f>
        <v>0</v>
      </c>
      <c r="E30" s="41"/>
      <c r="F30" s="1"/>
      <c r="G30" s="1"/>
      <c r="H30" s="1"/>
      <c r="I30" s="1"/>
      <c r="J30" s="1"/>
      <c r="K30" s="1"/>
      <c r="L30" s="1"/>
      <c r="M30" s="1"/>
      <c r="N30" s="42" t="s">
        <v>60</v>
      </c>
      <c r="O30" s="21" t="s">
        <v>43</v>
      </c>
      <c r="P30" s="1"/>
      <c r="Q30" s="1"/>
      <c r="R30" s="1"/>
    </row>
    <row r="31">
      <c r="A31" s="1"/>
      <c r="B31" s="43">
        <v>2.0</v>
      </c>
      <c r="C31" s="44"/>
      <c r="D31" s="45"/>
      <c r="E31" s="46"/>
      <c r="F31" s="1"/>
      <c r="G31" s="1"/>
      <c r="H31" s="1"/>
      <c r="I31" s="1"/>
      <c r="J31" s="1"/>
      <c r="K31" s="1"/>
      <c r="L31" s="1"/>
      <c r="M31" s="1"/>
      <c r="N31" s="47" t="s">
        <v>62</v>
      </c>
      <c r="O31" s="48" t="s">
        <v>43</v>
      </c>
      <c r="P31" s="1"/>
      <c r="Q31" s="1"/>
      <c r="R31" s="1"/>
    </row>
    <row r="32">
      <c r="A32" s="1"/>
      <c r="B32" s="38">
        <v>3.0</v>
      </c>
      <c r="C32" s="39"/>
      <c r="D32" s="49"/>
      <c r="E32" s="46"/>
      <c r="F32" s="1"/>
      <c r="G32" s="1"/>
      <c r="H32" s="1"/>
      <c r="I32" s="1"/>
      <c r="J32" s="1"/>
      <c r="K32" s="1"/>
      <c r="L32" s="1"/>
      <c r="M32" s="1"/>
      <c r="N32" s="50" t="s">
        <v>64</v>
      </c>
      <c r="O32" s="23" t="s">
        <v>147</v>
      </c>
      <c r="P32" s="1"/>
      <c r="Q32" s="1"/>
      <c r="R32" s="1"/>
    </row>
    <row r="33">
      <c r="A33" s="1"/>
      <c r="B33" s="43">
        <v>4.0</v>
      </c>
      <c r="C33" s="44"/>
      <c r="D33" s="45"/>
      <c r="E33" s="46"/>
      <c r="F33" s="1"/>
      <c r="G33" s="1"/>
      <c r="H33" s="1"/>
      <c r="I33" s="1"/>
      <c r="J33" s="1"/>
      <c r="K33" s="1"/>
      <c r="L33" s="1"/>
      <c r="M33" s="1"/>
      <c r="N33" s="51" t="s">
        <v>65</v>
      </c>
      <c r="O33" s="48" t="s">
        <v>147</v>
      </c>
      <c r="P33" s="1"/>
      <c r="Q33" s="1"/>
      <c r="R33" s="1"/>
    </row>
    <row r="34">
      <c r="A34" s="1"/>
      <c r="B34" s="38"/>
      <c r="C34" s="52"/>
      <c r="D34" s="40"/>
      <c r="E34" s="41"/>
      <c r="F34" s="1"/>
      <c r="G34" s="1"/>
      <c r="H34" s="1"/>
      <c r="I34" s="1"/>
      <c r="J34" s="1"/>
      <c r="K34" s="1"/>
      <c r="L34" s="1"/>
      <c r="M34" s="1"/>
      <c r="N34" s="53"/>
      <c r="O34" s="1"/>
      <c r="P34" s="1"/>
      <c r="Q34" s="1"/>
      <c r="R34" s="1"/>
    </row>
    <row r="35">
      <c r="A35" s="1"/>
      <c r="B35" s="43"/>
      <c r="C35" s="54"/>
      <c r="D35" s="55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38"/>
      <c r="C36" s="52"/>
      <c r="D36" s="40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43"/>
      <c r="C37" s="54"/>
      <c r="D37" s="55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8"/>
      <c r="C38" s="52"/>
      <c r="D38" s="40"/>
      <c r="E38" s="4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43"/>
      <c r="C39" s="54"/>
      <c r="D39" s="55"/>
      <c r="E39" s="4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56"/>
      <c r="C40" s="57"/>
      <c r="D40" s="58"/>
      <c r="E40" s="4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59">
        <f>SUM(D30:D40)</f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5 O30:O31">
      <formula1>"-,JIJANG,AXEL,PENTIL,FAHME,INDAH"</formula1>
    </dataValidation>
    <dataValidation type="list" allowBlank="1" showErrorMessage="1" sqref="N4:N25">
      <formula1>"-,Pending,Progress,Uploaded"</formula1>
    </dataValidation>
    <dataValidation type="list" allowBlank="1" showErrorMessage="1" sqref="O4:O25">
      <formula1>"-,In Pikako,In Foxe"</formula1>
    </dataValidation>
    <dataValidation type="list" allowBlank="1" showDropDown="1" showErrorMessage="1" sqref="M4:M25 O32:O33">
      <formula1>"-,VERO,FADEL,PENTIL,FAHME,HANIF"</formula1>
    </dataValidation>
    <dataValidation type="list" allowBlank="1" showDropDown="1" showErrorMessage="1" sqref="I4:I25">
      <formula1>"-,DP,Lunas"</formula1>
    </dataValidation>
    <dataValidation type="list" allowBlank="1" showDropDown="1" showErrorMessage="1" sqref="D4:D25">
      <formula1>"-,Single,Couple A,Couple B,Group A,Group B,Group C,Large Group,Graduation,Graduation Premium,Family A,Family B,Maternity,Concept,Studio Rent,Pas Foto,Single,Add Person ,Add Edit,Photofox,Prewed 1.7"</formula1>
    </dataValidation>
    <dataValidation type="list" allowBlank="1" showDropDown="1" showErrorMessage="1" sqref="J4:K25">
      <formula1>"-,Pending,Uploaded"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32.63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 t="str">
        <f>A2</f>
        <v/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408</v>
      </c>
      <c r="D4" s="16" t="s">
        <v>28</v>
      </c>
      <c r="E4" s="17"/>
      <c r="F4" s="60">
        <v>46192.0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409</v>
      </c>
      <c r="D5" s="16" t="s">
        <v>28</v>
      </c>
      <c r="E5" s="17"/>
      <c r="F5" s="60">
        <v>46172.0</v>
      </c>
      <c r="G5" s="18"/>
      <c r="H5" s="19">
        <v>100000.0</v>
      </c>
      <c r="I5" s="20" t="s">
        <v>26</v>
      </c>
      <c r="J5" s="20"/>
      <c r="K5" s="20"/>
      <c r="L5" s="20" t="s">
        <v>22</v>
      </c>
      <c r="M5" s="20"/>
      <c r="N5" s="23"/>
      <c r="O5" s="23"/>
      <c r="P5" s="24"/>
      <c r="Q5" s="1"/>
      <c r="R5" s="1"/>
    </row>
    <row r="6">
      <c r="A6" s="1"/>
      <c r="B6" s="14">
        <v>3.0</v>
      </c>
      <c r="C6" s="15" t="s">
        <v>410</v>
      </c>
      <c r="D6" s="16" t="s">
        <v>28</v>
      </c>
      <c r="E6" s="17"/>
      <c r="F6" s="28">
        <v>46179.0</v>
      </c>
      <c r="G6" s="25"/>
      <c r="H6" s="19">
        <v>100000.0</v>
      </c>
      <c r="I6" s="20" t="s">
        <v>26</v>
      </c>
      <c r="J6" s="20"/>
      <c r="K6" s="20"/>
      <c r="L6" s="20" t="s">
        <v>22</v>
      </c>
      <c r="M6" s="26"/>
      <c r="N6" s="23"/>
      <c r="O6" s="23"/>
      <c r="P6" s="24"/>
      <c r="Q6" s="1"/>
      <c r="R6" s="1"/>
    </row>
    <row r="7">
      <c r="A7" s="1"/>
      <c r="B7" s="14">
        <v>4.0</v>
      </c>
      <c r="C7" s="15" t="s">
        <v>411</v>
      </c>
      <c r="D7" s="16" t="s">
        <v>24</v>
      </c>
      <c r="E7" s="17"/>
      <c r="F7" s="28">
        <v>46172.0</v>
      </c>
      <c r="G7" s="18"/>
      <c r="H7" s="19">
        <v>100000.0</v>
      </c>
      <c r="I7" s="20" t="s">
        <v>26</v>
      </c>
      <c r="J7" s="20"/>
      <c r="K7" s="20"/>
      <c r="L7" s="20" t="s">
        <v>22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15" t="s">
        <v>412</v>
      </c>
      <c r="D8" s="16" t="s">
        <v>39</v>
      </c>
      <c r="E8" s="17"/>
      <c r="F8" s="28">
        <v>46171.0</v>
      </c>
      <c r="G8" s="18"/>
      <c r="H8" s="19">
        <v>100000.0</v>
      </c>
      <c r="I8" s="20" t="s">
        <v>26</v>
      </c>
      <c r="J8" s="20"/>
      <c r="K8" s="20"/>
      <c r="L8" s="20" t="s">
        <v>22</v>
      </c>
      <c r="M8" s="26"/>
      <c r="N8" s="23"/>
      <c r="O8" s="24"/>
      <c r="P8" s="24"/>
      <c r="Q8" s="1"/>
      <c r="R8" s="1"/>
    </row>
    <row r="9">
      <c r="A9" s="1"/>
      <c r="B9" s="14">
        <v>6.0</v>
      </c>
      <c r="C9" s="15" t="s">
        <v>221</v>
      </c>
      <c r="D9" s="16" t="s">
        <v>46</v>
      </c>
      <c r="E9" s="17"/>
      <c r="F9" s="28">
        <v>46173.0</v>
      </c>
      <c r="G9" s="18"/>
      <c r="H9" s="19">
        <v>100000.0</v>
      </c>
      <c r="I9" s="20" t="s">
        <v>26</v>
      </c>
      <c r="J9" s="20"/>
      <c r="K9" s="20"/>
      <c r="L9" s="20" t="s">
        <v>22</v>
      </c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 t="s">
        <v>399</v>
      </c>
      <c r="D10" s="16" t="s">
        <v>42</v>
      </c>
      <c r="E10" s="17"/>
      <c r="F10" s="28">
        <v>46171.0</v>
      </c>
      <c r="G10" s="18">
        <v>100000.0</v>
      </c>
      <c r="H10" s="27"/>
      <c r="I10" s="20" t="s">
        <v>21</v>
      </c>
      <c r="J10" s="20" t="s">
        <v>30</v>
      </c>
      <c r="K10" s="20" t="s">
        <v>70</v>
      </c>
      <c r="L10" s="20" t="s">
        <v>22</v>
      </c>
      <c r="M10" s="20" t="s">
        <v>32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413</v>
      </c>
      <c r="D11" s="16" t="s">
        <v>42</v>
      </c>
      <c r="E11" s="17"/>
      <c r="F11" s="28">
        <v>46173.0</v>
      </c>
      <c r="G11" s="18"/>
      <c r="H11" s="19">
        <v>100000.0</v>
      </c>
      <c r="I11" s="20" t="s">
        <v>26</v>
      </c>
      <c r="J11" s="20"/>
      <c r="K11" s="20"/>
      <c r="L11" s="20" t="s">
        <v>22</v>
      </c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414</v>
      </c>
      <c r="D12" s="16" t="s">
        <v>28</v>
      </c>
      <c r="E12" s="17"/>
      <c r="F12" s="28">
        <v>46175.0</v>
      </c>
      <c r="G12" s="18"/>
      <c r="H12" s="19">
        <v>100000.0</v>
      </c>
      <c r="I12" s="20" t="s">
        <v>26</v>
      </c>
      <c r="J12" s="20"/>
      <c r="K12" s="20"/>
      <c r="L12" s="20" t="s">
        <v>22</v>
      </c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415</v>
      </c>
      <c r="D13" s="16" t="s">
        <v>46</v>
      </c>
      <c r="E13" s="17"/>
      <c r="F13" s="28">
        <v>46186.0</v>
      </c>
      <c r="G13" s="18"/>
      <c r="H13" s="19">
        <v>100000.0</v>
      </c>
      <c r="I13" s="20" t="s">
        <v>26</v>
      </c>
      <c r="J13" s="20"/>
      <c r="K13" s="20"/>
      <c r="L13" s="20" t="s">
        <v>22</v>
      </c>
      <c r="M13" s="26"/>
      <c r="N13" s="23"/>
      <c r="O13" s="24"/>
      <c r="P13" s="24"/>
      <c r="Q13" s="1"/>
      <c r="R13" s="1"/>
    </row>
    <row r="14">
      <c r="A14" s="1"/>
      <c r="B14" s="29"/>
      <c r="C14" s="15" t="s">
        <v>416</v>
      </c>
      <c r="D14" s="16" t="s">
        <v>28</v>
      </c>
      <c r="E14" s="17"/>
      <c r="F14" s="28">
        <v>46171.0</v>
      </c>
      <c r="G14" s="18">
        <v>550000.0</v>
      </c>
      <c r="H14" s="27"/>
      <c r="I14" s="20" t="s">
        <v>21</v>
      </c>
      <c r="J14" s="20" t="s">
        <v>30</v>
      </c>
      <c r="K14" s="20" t="s">
        <v>30</v>
      </c>
      <c r="L14" s="20" t="s">
        <v>22</v>
      </c>
      <c r="M14" s="20" t="s">
        <v>32</v>
      </c>
      <c r="N14" s="23"/>
      <c r="O14" s="24"/>
      <c r="P14" s="24"/>
      <c r="Q14" s="1"/>
      <c r="R14" s="1"/>
    </row>
    <row r="15">
      <c r="A15" s="1"/>
      <c r="B15" s="29"/>
      <c r="C15" s="15" t="s">
        <v>417</v>
      </c>
      <c r="D15" s="16" t="s">
        <v>46</v>
      </c>
      <c r="E15" s="17"/>
      <c r="F15" s="28">
        <v>46171.0</v>
      </c>
      <c r="G15" s="18"/>
      <c r="H15" s="19">
        <v>450000.0</v>
      </c>
      <c r="I15" s="20" t="s">
        <v>21</v>
      </c>
      <c r="J15" s="20" t="s">
        <v>30</v>
      </c>
      <c r="K15" s="20" t="s">
        <v>70</v>
      </c>
      <c r="L15" s="20" t="s">
        <v>22</v>
      </c>
      <c r="M15" s="20" t="s">
        <v>228</v>
      </c>
      <c r="N15" s="23"/>
      <c r="O15" s="24"/>
      <c r="P15" s="24"/>
      <c r="Q15" s="1"/>
      <c r="R15" s="1"/>
    </row>
    <row r="16">
      <c r="A16" s="1"/>
      <c r="B16" s="29"/>
      <c r="C16" s="15" t="s">
        <v>418</v>
      </c>
      <c r="D16" s="16" t="s">
        <v>419</v>
      </c>
      <c r="E16" s="17"/>
      <c r="F16" s="28">
        <v>46172.0</v>
      </c>
      <c r="G16" s="18"/>
      <c r="H16" s="19">
        <v>100000.0</v>
      </c>
      <c r="I16" s="20" t="s">
        <v>26</v>
      </c>
      <c r="J16" s="20"/>
      <c r="K16" s="20"/>
      <c r="L16" s="20" t="s">
        <v>22</v>
      </c>
      <c r="M16" s="26"/>
      <c r="N16" s="23"/>
      <c r="O16" s="24"/>
      <c r="P16" s="24"/>
      <c r="Q16" s="1"/>
      <c r="R16" s="1"/>
    </row>
    <row r="17">
      <c r="A17" s="1"/>
      <c r="B17" s="29"/>
      <c r="C17" s="15" t="s">
        <v>420</v>
      </c>
      <c r="D17" s="16" t="s">
        <v>28</v>
      </c>
      <c r="E17" s="17"/>
      <c r="F17" s="28">
        <v>46171.0</v>
      </c>
      <c r="G17" s="18">
        <v>700000.0</v>
      </c>
      <c r="H17" s="19">
        <v>125000.0</v>
      </c>
      <c r="I17" s="20" t="s">
        <v>21</v>
      </c>
      <c r="J17" s="20" t="s">
        <v>30</v>
      </c>
      <c r="K17" s="20" t="s">
        <v>30</v>
      </c>
      <c r="L17" s="73" t="s">
        <v>22</v>
      </c>
      <c r="M17" s="20" t="s">
        <v>228</v>
      </c>
      <c r="N17" s="23"/>
      <c r="O17" s="24"/>
      <c r="P17" s="24"/>
      <c r="Q17" s="1"/>
      <c r="R17" s="1"/>
    </row>
    <row r="18">
      <c r="A18" s="1"/>
      <c r="B18" s="29"/>
      <c r="C18" s="15" t="s">
        <v>391</v>
      </c>
      <c r="D18" s="16" t="s">
        <v>28</v>
      </c>
      <c r="E18" s="17"/>
      <c r="F18" s="28">
        <v>46171.0</v>
      </c>
      <c r="G18" s="18">
        <v>0.0</v>
      </c>
      <c r="H18" s="19">
        <v>0.0</v>
      </c>
      <c r="I18" s="20" t="s">
        <v>21</v>
      </c>
      <c r="J18" s="20" t="s">
        <v>30</v>
      </c>
      <c r="K18" s="20" t="s">
        <v>31</v>
      </c>
      <c r="L18" s="20" t="s">
        <v>22</v>
      </c>
      <c r="M18" s="20" t="s">
        <v>228</v>
      </c>
      <c r="N18" s="24"/>
      <c r="O18" s="24"/>
      <c r="P18" s="24"/>
      <c r="Q18" s="1"/>
      <c r="R18" s="1"/>
    </row>
    <row r="19">
      <c r="A19" s="1"/>
      <c r="B19" s="29"/>
      <c r="C19" s="15" t="s">
        <v>421</v>
      </c>
      <c r="D19" s="16" t="s">
        <v>19</v>
      </c>
      <c r="E19" s="17"/>
      <c r="F19" s="28">
        <v>46182.0</v>
      </c>
      <c r="G19" s="25"/>
      <c r="H19" s="19">
        <v>100000.0</v>
      </c>
      <c r="I19" s="20" t="s">
        <v>26</v>
      </c>
      <c r="J19" s="26"/>
      <c r="K19" s="26"/>
      <c r="L19" s="20" t="s">
        <v>22</v>
      </c>
      <c r="M19" s="26"/>
      <c r="N19" s="24"/>
      <c r="O19" s="24"/>
      <c r="P19" s="24"/>
      <c r="Q19" s="1"/>
      <c r="R19" s="1"/>
    </row>
    <row r="20">
      <c r="A20" s="1"/>
      <c r="B20" s="29"/>
      <c r="C20" s="15" t="s">
        <v>412</v>
      </c>
      <c r="D20" s="16" t="s">
        <v>39</v>
      </c>
      <c r="E20" s="17"/>
      <c r="F20" s="28">
        <v>46171.0</v>
      </c>
      <c r="G20" s="25"/>
      <c r="H20" s="19">
        <v>50000.0</v>
      </c>
      <c r="I20" s="20" t="s">
        <v>21</v>
      </c>
      <c r="J20" s="20" t="s">
        <v>30</v>
      </c>
      <c r="K20" s="20" t="s">
        <v>30</v>
      </c>
      <c r="L20" s="73" t="s">
        <v>22</v>
      </c>
      <c r="M20" s="20" t="s">
        <v>228</v>
      </c>
      <c r="N20" s="24"/>
      <c r="O20" s="24"/>
      <c r="P20" s="24"/>
      <c r="Q20" s="1"/>
      <c r="R20" s="1"/>
    </row>
    <row r="21">
      <c r="A21" s="1"/>
      <c r="B21" s="29"/>
      <c r="C21" s="31"/>
      <c r="D21" s="16"/>
      <c r="E21" s="17"/>
      <c r="F21" s="29"/>
      <c r="G21" s="25"/>
      <c r="H21" s="27"/>
      <c r="I21" s="26"/>
      <c r="J21" s="26"/>
      <c r="K21" s="26"/>
      <c r="L21" s="26"/>
      <c r="M21" s="26"/>
      <c r="N21" s="24"/>
      <c r="O21" s="24"/>
      <c r="P21" s="24"/>
      <c r="Q21" s="1"/>
      <c r="R21" s="1"/>
    </row>
    <row r="22">
      <c r="A22" s="1"/>
      <c r="B22" s="29"/>
      <c r="C22" s="31"/>
      <c r="D22" s="16"/>
      <c r="E22" s="17"/>
      <c r="F22" s="29"/>
      <c r="G22" s="25"/>
      <c r="H22" s="27"/>
      <c r="I22" s="26"/>
      <c r="J22" s="26"/>
      <c r="K22" s="26"/>
      <c r="L22" s="26"/>
      <c r="M22" s="26"/>
      <c r="N22" s="32"/>
      <c r="O22" s="32"/>
      <c r="P22" s="32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33">
        <f t="shared" ref="G23:H23" si="1">SUM(G4:G22)</f>
        <v>1350000</v>
      </c>
      <c r="H23" s="34">
        <f t="shared" si="1"/>
        <v>1725000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35" t="s">
        <v>0</v>
      </c>
      <c r="C26" s="36" t="s">
        <v>6</v>
      </c>
      <c r="D26" s="36" t="s">
        <v>57</v>
      </c>
      <c r="E26" s="37"/>
      <c r="F26" s="1"/>
      <c r="G26" s="1"/>
      <c r="H26" s="1"/>
      <c r="I26" s="1"/>
      <c r="J26" s="1"/>
      <c r="K26" s="1"/>
      <c r="L26" s="1"/>
      <c r="M26" s="1"/>
      <c r="N26" s="36" t="s">
        <v>58</v>
      </c>
      <c r="O26" s="36" t="s">
        <v>1</v>
      </c>
      <c r="P26" s="1"/>
      <c r="Q26" s="1"/>
      <c r="R26" s="1"/>
    </row>
    <row r="27">
      <c r="A27" s="1"/>
      <c r="B27" s="38">
        <v>1.0</v>
      </c>
      <c r="C27" s="39" t="s">
        <v>59</v>
      </c>
      <c r="D27" s="40">
        <f>SUM(G23)</f>
        <v>1350000</v>
      </c>
      <c r="E27" s="41"/>
      <c r="F27" s="1"/>
      <c r="G27" s="1"/>
      <c r="H27" s="1"/>
      <c r="I27" s="1"/>
      <c r="J27" s="1"/>
      <c r="K27" s="1"/>
      <c r="L27" s="1"/>
      <c r="M27" s="1"/>
      <c r="N27" s="42" t="s">
        <v>60</v>
      </c>
      <c r="O27" s="21" t="s">
        <v>22</v>
      </c>
      <c r="P27" s="1"/>
      <c r="Q27" s="1"/>
      <c r="R27" s="1"/>
    </row>
    <row r="28">
      <c r="A28" s="1"/>
      <c r="B28" s="43">
        <v>2.0</v>
      </c>
      <c r="C28" s="44" t="s">
        <v>94</v>
      </c>
      <c r="D28" s="45">
        <v>-50000.0</v>
      </c>
      <c r="E28" s="46"/>
      <c r="F28" s="1"/>
      <c r="G28" s="1"/>
      <c r="H28" s="1"/>
      <c r="I28" s="1"/>
      <c r="J28" s="1"/>
      <c r="K28" s="1"/>
      <c r="L28" s="1"/>
      <c r="M28" s="1"/>
      <c r="N28" s="47" t="s">
        <v>62</v>
      </c>
      <c r="O28" s="48" t="s">
        <v>22</v>
      </c>
      <c r="P28" s="1"/>
      <c r="Q28" s="1"/>
      <c r="R28" s="1"/>
    </row>
    <row r="29">
      <c r="A29" s="1"/>
      <c r="B29" s="38">
        <v>3.0</v>
      </c>
      <c r="C29" s="39" t="s">
        <v>202</v>
      </c>
      <c r="D29" s="49">
        <v>-100000.0</v>
      </c>
      <c r="E29" s="46"/>
      <c r="F29" s="1"/>
      <c r="G29" s="1"/>
      <c r="H29" s="1"/>
      <c r="I29" s="1"/>
      <c r="J29" s="1"/>
      <c r="K29" s="1"/>
      <c r="L29" s="1"/>
      <c r="M29" s="1"/>
      <c r="N29" s="50" t="s">
        <v>64</v>
      </c>
      <c r="O29" s="23" t="s">
        <v>32</v>
      </c>
      <c r="P29" s="1"/>
      <c r="Q29" s="1"/>
      <c r="R29" s="1"/>
    </row>
    <row r="30">
      <c r="A30" s="1"/>
      <c r="B30" s="43">
        <v>4.0</v>
      </c>
      <c r="C30" s="44"/>
      <c r="D30" s="45"/>
      <c r="E30" s="46"/>
      <c r="F30" s="1"/>
      <c r="G30" s="1"/>
      <c r="H30" s="1"/>
      <c r="I30" s="1"/>
      <c r="J30" s="1"/>
      <c r="K30" s="1"/>
      <c r="L30" s="1"/>
      <c r="M30" s="1"/>
      <c r="N30" s="51" t="s">
        <v>65</v>
      </c>
      <c r="O30" s="48" t="s">
        <v>228</v>
      </c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53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38"/>
      <c r="C33" s="52"/>
      <c r="D33" s="40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3"/>
      <c r="C34" s="54"/>
      <c r="D34" s="55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38"/>
      <c r="C35" s="52"/>
      <c r="D35" s="40"/>
      <c r="E35" s="4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43"/>
      <c r="C36" s="54"/>
      <c r="D36" s="55"/>
      <c r="E36" s="4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56"/>
      <c r="C37" s="57"/>
      <c r="D37" s="58"/>
      <c r="E37" s="4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59">
        <f>SUM(D27:D37)</f>
        <v>1200000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22">
      <formula1>"-,Pending,Progress,Uploaded"</formula1>
    </dataValidation>
    <dataValidation type="list" allowBlank="1" showDropDown="1" showErrorMessage="1" sqref="M4:M22 O29:O30">
      <formula1>"-,VERO,HANIF ,ADIF ,FAHME"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L4:L16 L18:L19 L21:L22 O27:O28">
      <formula1>"-,ADDEL ,AXEL,PENTIL,FAHME"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422</v>
      </c>
      <c r="D4" s="16" t="s">
        <v>28</v>
      </c>
      <c r="E4" s="17"/>
      <c r="F4" s="60">
        <v>46177.0</v>
      </c>
      <c r="G4" s="18"/>
      <c r="H4" s="19">
        <v>100000.0</v>
      </c>
      <c r="I4" s="20" t="s">
        <v>26</v>
      </c>
      <c r="J4" s="20"/>
      <c r="K4" s="20"/>
      <c r="L4" s="20" t="s">
        <v>22</v>
      </c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 t="s">
        <v>409</v>
      </c>
      <c r="D5" s="16" t="s">
        <v>28</v>
      </c>
      <c r="E5" s="17"/>
      <c r="F5" s="60">
        <v>46172.0</v>
      </c>
      <c r="G5" s="18">
        <v>400000.0</v>
      </c>
      <c r="H5" s="19"/>
      <c r="I5" s="20" t="s">
        <v>21</v>
      </c>
      <c r="J5" s="20" t="s">
        <v>30</v>
      </c>
      <c r="K5" s="20" t="s">
        <v>30</v>
      </c>
      <c r="L5" s="20" t="s">
        <v>22</v>
      </c>
      <c r="M5" s="20" t="s">
        <v>228</v>
      </c>
      <c r="N5" s="23"/>
      <c r="O5" s="23"/>
      <c r="P5" s="24"/>
      <c r="Q5" s="1"/>
      <c r="R5" s="1"/>
    </row>
    <row r="6">
      <c r="A6" s="1"/>
      <c r="B6" s="14">
        <v>3.0</v>
      </c>
      <c r="C6" s="77" t="s">
        <v>90</v>
      </c>
      <c r="D6" s="16" t="s">
        <v>39</v>
      </c>
      <c r="E6" s="17"/>
      <c r="F6" s="28">
        <v>46172.0</v>
      </c>
      <c r="G6" s="18">
        <v>150000.0</v>
      </c>
      <c r="H6" s="19"/>
      <c r="I6" s="20" t="s">
        <v>21</v>
      </c>
      <c r="J6" s="20"/>
      <c r="K6" s="20"/>
      <c r="L6" s="20" t="s">
        <v>22</v>
      </c>
      <c r="M6" s="20"/>
      <c r="N6" s="23"/>
      <c r="O6" s="23"/>
      <c r="P6" s="24"/>
      <c r="Q6" s="1"/>
      <c r="R6" s="1"/>
    </row>
    <row r="7">
      <c r="A7" s="1"/>
      <c r="B7" s="14">
        <v>4.0</v>
      </c>
      <c r="C7" s="15" t="s">
        <v>423</v>
      </c>
      <c r="D7" s="16" t="s">
        <v>24</v>
      </c>
      <c r="E7" s="17"/>
      <c r="F7" s="28">
        <v>46172.0</v>
      </c>
      <c r="G7" s="18">
        <v>250000.0</v>
      </c>
      <c r="H7" s="27"/>
      <c r="I7" s="20" t="s">
        <v>21</v>
      </c>
      <c r="J7" s="20" t="s">
        <v>30</v>
      </c>
      <c r="K7" s="20" t="s">
        <v>30</v>
      </c>
      <c r="L7" s="20" t="s">
        <v>22</v>
      </c>
      <c r="M7" s="20" t="s">
        <v>228</v>
      </c>
      <c r="N7" s="23"/>
      <c r="O7" s="23"/>
      <c r="P7" s="24"/>
      <c r="Q7" s="1"/>
      <c r="R7" s="1"/>
    </row>
    <row r="8">
      <c r="A8" s="1"/>
      <c r="B8" s="14">
        <v>5.0</v>
      </c>
      <c r="C8" s="15" t="s">
        <v>424</v>
      </c>
      <c r="D8" s="16" t="s">
        <v>419</v>
      </c>
      <c r="E8" s="17"/>
      <c r="F8" s="28">
        <v>46172.0</v>
      </c>
      <c r="G8" s="18">
        <v>350000.0</v>
      </c>
      <c r="H8" s="27"/>
      <c r="I8" s="20" t="s">
        <v>21</v>
      </c>
      <c r="J8" s="20" t="s">
        <v>30</v>
      </c>
      <c r="K8" s="20" t="s">
        <v>70</v>
      </c>
      <c r="L8" s="20" t="s">
        <v>22</v>
      </c>
      <c r="M8" s="20" t="s">
        <v>228</v>
      </c>
      <c r="N8" s="23"/>
      <c r="O8" s="24"/>
      <c r="P8" s="24"/>
      <c r="Q8" s="1"/>
      <c r="R8" s="1"/>
    </row>
    <row r="9">
      <c r="A9" s="1"/>
      <c r="B9" s="14">
        <v>6.0</v>
      </c>
      <c r="C9" s="15" t="s">
        <v>425</v>
      </c>
      <c r="D9" s="16" t="s">
        <v>46</v>
      </c>
      <c r="E9" s="17"/>
      <c r="F9" s="28">
        <v>46172.0</v>
      </c>
      <c r="G9" s="18"/>
      <c r="H9" s="19">
        <v>350000.0</v>
      </c>
      <c r="I9" s="20" t="s">
        <v>21</v>
      </c>
      <c r="J9" s="20" t="s">
        <v>30</v>
      </c>
      <c r="K9" s="20" t="s">
        <v>30</v>
      </c>
      <c r="L9" s="20" t="s">
        <v>43</v>
      </c>
      <c r="M9" s="20" t="s">
        <v>228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90</v>
      </c>
      <c r="D10" s="16" t="s">
        <v>39</v>
      </c>
      <c r="E10" s="17"/>
      <c r="F10" s="28">
        <v>46172.0</v>
      </c>
      <c r="G10" s="18">
        <v>0.0</v>
      </c>
      <c r="H10" s="19">
        <v>0.0</v>
      </c>
      <c r="I10" s="20" t="s">
        <v>21</v>
      </c>
      <c r="J10" s="20" t="s">
        <v>30</v>
      </c>
      <c r="K10" s="20" t="s">
        <v>70</v>
      </c>
      <c r="L10" s="20" t="s">
        <v>43</v>
      </c>
      <c r="M10" s="20" t="s">
        <v>147</v>
      </c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388</v>
      </c>
      <c r="D11" s="16" t="s">
        <v>42</v>
      </c>
      <c r="E11" s="17"/>
      <c r="F11" s="28">
        <v>46172.0</v>
      </c>
      <c r="G11" s="18"/>
      <c r="H11" s="19">
        <v>100000.0</v>
      </c>
      <c r="I11" s="20" t="s">
        <v>21</v>
      </c>
      <c r="J11" s="20" t="s">
        <v>30</v>
      </c>
      <c r="K11" s="20" t="s">
        <v>30</v>
      </c>
      <c r="L11" s="20" t="s">
        <v>43</v>
      </c>
      <c r="M11" s="20" t="s">
        <v>147</v>
      </c>
      <c r="N11" s="23"/>
      <c r="O11" s="24"/>
      <c r="P11" s="24"/>
      <c r="Q11" s="1"/>
      <c r="R11" s="1"/>
    </row>
    <row r="12">
      <c r="A12" s="1"/>
      <c r="B12" s="14">
        <v>9.0</v>
      </c>
      <c r="C12" s="15"/>
      <c r="D12" s="16"/>
      <c r="E12" s="17"/>
      <c r="F12" s="29"/>
      <c r="G12" s="18"/>
      <c r="H12" s="27"/>
      <c r="I12" s="20"/>
      <c r="J12" s="20"/>
      <c r="K12" s="20"/>
      <c r="L12" s="26"/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1150000</v>
      </c>
      <c r="H19" s="34">
        <f t="shared" si="1"/>
        <v>550000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1150000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22</v>
      </c>
      <c r="P23" s="1"/>
      <c r="Q23" s="1"/>
      <c r="R23" s="1"/>
    </row>
    <row r="24">
      <c r="A24" s="1"/>
      <c r="B24" s="43">
        <v>2.0</v>
      </c>
      <c r="C24" s="44" t="s">
        <v>154</v>
      </c>
      <c r="D24" s="45">
        <v>-70000.0</v>
      </c>
      <c r="E24" s="46"/>
      <c r="F24" s="1"/>
      <c r="G24" s="1"/>
      <c r="H24" s="1"/>
      <c r="I24" s="37" t="s">
        <v>31</v>
      </c>
      <c r="J24" s="1"/>
      <c r="K24" s="1"/>
      <c r="L24" s="1"/>
      <c r="M24" s="1"/>
      <c r="N24" s="47" t="s">
        <v>62</v>
      </c>
      <c r="O24" s="48" t="s">
        <v>43</v>
      </c>
      <c r="P24" s="1"/>
      <c r="Q24" s="1"/>
      <c r="R24" s="1"/>
    </row>
    <row r="25">
      <c r="A25" s="1"/>
      <c r="B25" s="38">
        <v>3.0</v>
      </c>
      <c r="C25" s="39" t="s">
        <v>138</v>
      </c>
      <c r="D25" s="49">
        <v>-40000.0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228</v>
      </c>
      <c r="P25" s="1"/>
      <c r="Q25" s="1"/>
      <c r="R25" s="1"/>
    </row>
    <row r="26">
      <c r="A26" s="1"/>
      <c r="B26" s="43">
        <v>4.0</v>
      </c>
      <c r="C26" s="44" t="s">
        <v>154</v>
      </c>
      <c r="D26" s="45">
        <v>-40000.0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147</v>
      </c>
      <c r="P26" s="1"/>
      <c r="Q26" s="1"/>
      <c r="R26" s="1"/>
    </row>
    <row r="27">
      <c r="A27" s="1"/>
      <c r="B27" s="38"/>
      <c r="C27" s="39" t="s">
        <v>61</v>
      </c>
      <c r="D27" s="49">
        <v>-150000.0</v>
      </c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850000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"-,VERO,ADIF ,PENTIL,FAHME,HANIF"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37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426</v>
      </c>
      <c r="D4" s="16" t="s">
        <v>143</v>
      </c>
      <c r="E4" s="17"/>
      <c r="F4" s="60">
        <v>46174.0</v>
      </c>
      <c r="G4" s="18"/>
      <c r="H4" s="19">
        <v>50000.0</v>
      </c>
      <c r="I4" s="20" t="s">
        <v>21</v>
      </c>
      <c r="J4" s="20"/>
      <c r="K4" s="20"/>
      <c r="L4" s="20" t="s">
        <v>43</v>
      </c>
      <c r="M4" s="20"/>
      <c r="N4" s="21" t="s">
        <v>31</v>
      </c>
      <c r="O4" s="21" t="s">
        <v>31</v>
      </c>
      <c r="P4" s="22">
        <v>45231.0</v>
      </c>
      <c r="Q4" s="1"/>
      <c r="R4" s="1"/>
    </row>
    <row r="5">
      <c r="A5" s="1"/>
      <c r="B5" s="14">
        <v>2.0</v>
      </c>
      <c r="C5" s="15" t="s">
        <v>413</v>
      </c>
      <c r="D5" s="16" t="s">
        <v>46</v>
      </c>
      <c r="E5" s="17"/>
      <c r="F5" s="60">
        <v>46173.0</v>
      </c>
      <c r="G5" s="18">
        <v>250000.0</v>
      </c>
      <c r="H5" s="19"/>
      <c r="I5" s="20" t="s">
        <v>21</v>
      </c>
      <c r="J5" s="20" t="s">
        <v>30</v>
      </c>
      <c r="K5" s="20" t="s">
        <v>70</v>
      </c>
      <c r="L5" s="20" t="s">
        <v>43</v>
      </c>
      <c r="M5" s="20" t="s">
        <v>87</v>
      </c>
      <c r="N5" s="23"/>
      <c r="O5" s="23"/>
      <c r="P5" s="24"/>
      <c r="Q5" s="1"/>
      <c r="R5" s="1"/>
    </row>
    <row r="6">
      <c r="A6" s="1"/>
      <c r="B6" s="14">
        <v>3.0</v>
      </c>
      <c r="C6" s="15" t="s">
        <v>427</v>
      </c>
      <c r="D6" s="16" t="s">
        <v>419</v>
      </c>
      <c r="E6" s="17" t="s">
        <v>130</v>
      </c>
      <c r="F6" s="28">
        <v>46173.0</v>
      </c>
      <c r="G6" s="25"/>
      <c r="H6" s="19">
        <v>450000.0</v>
      </c>
      <c r="I6" s="20" t="s">
        <v>21</v>
      </c>
      <c r="J6" s="20" t="s">
        <v>30</v>
      </c>
      <c r="K6" s="20" t="s">
        <v>30</v>
      </c>
      <c r="L6" s="20" t="s">
        <v>43</v>
      </c>
      <c r="M6" s="20" t="s">
        <v>87</v>
      </c>
      <c r="N6" s="23"/>
      <c r="O6" s="23"/>
      <c r="P6" s="24"/>
      <c r="Q6" s="1"/>
      <c r="R6" s="1"/>
    </row>
    <row r="7">
      <c r="A7" s="1"/>
      <c r="B7" s="14">
        <v>4.0</v>
      </c>
      <c r="C7" s="15" t="s">
        <v>428</v>
      </c>
      <c r="D7" s="16" t="s">
        <v>395</v>
      </c>
      <c r="E7" s="17"/>
      <c r="F7" s="28">
        <v>46178.0</v>
      </c>
      <c r="G7" s="18"/>
      <c r="H7" s="19">
        <v>100000.0</v>
      </c>
      <c r="I7" s="20" t="s">
        <v>26</v>
      </c>
      <c r="J7" s="20"/>
      <c r="K7" s="20"/>
      <c r="L7" s="20" t="s">
        <v>43</v>
      </c>
      <c r="M7" s="26"/>
      <c r="N7" s="23"/>
      <c r="O7" s="23"/>
      <c r="P7" s="24"/>
      <c r="Q7" s="1"/>
      <c r="R7" s="1"/>
    </row>
    <row r="8">
      <c r="A8" s="1"/>
      <c r="B8" s="14">
        <v>5.0</v>
      </c>
      <c r="C8" s="77" t="s">
        <v>404</v>
      </c>
      <c r="D8" s="16" t="s">
        <v>24</v>
      </c>
      <c r="E8" s="17"/>
      <c r="F8" s="28">
        <v>46173.0</v>
      </c>
      <c r="G8" s="18"/>
      <c r="H8" s="19">
        <v>350000.0</v>
      </c>
      <c r="I8" s="20" t="s">
        <v>21</v>
      </c>
      <c r="J8" s="20" t="s">
        <v>30</v>
      </c>
      <c r="K8" s="20" t="s">
        <v>70</v>
      </c>
      <c r="L8" s="20" t="s">
        <v>145</v>
      </c>
      <c r="M8" s="20" t="s">
        <v>87</v>
      </c>
      <c r="N8" s="23"/>
      <c r="O8" s="24"/>
      <c r="P8" s="24"/>
      <c r="Q8" s="1"/>
      <c r="R8" s="1"/>
    </row>
    <row r="9">
      <c r="A9" s="1"/>
      <c r="B9" s="14">
        <v>6.0</v>
      </c>
      <c r="C9" s="92" t="s">
        <v>394</v>
      </c>
      <c r="D9" s="16" t="s">
        <v>395</v>
      </c>
      <c r="E9" s="17"/>
      <c r="F9" s="28">
        <v>46173.0</v>
      </c>
      <c r="G9" s="18"/>
      <c r="H9" s="19">
        <v>100000.0</v>
      </c>
      <c r="I9" s="20" t="s">
        <v>21</v>
      </c>
      <c r="J9" s="20" t="s">
        <v>30</v>
      </c>
      <c r="K9" s="20" t="s">
        <v>30</v>
      </c>
      <c r="L9" s="20" t="s">
        <v>145</v>
      </c>
      <c r="M9" s="20" t="s">
        <v>32</v>
      </c>
      <c r="N9" s="23"/>
      <c r="O9" s="24"/>
      <c r="P9" s="24"/>
      <c r="Q9" s="1"/>
      <c r="R9" s="1"/>
    </row>
    <row r="10">
      <c r="A10" s="1"/>
      <c r="B10" s="14">
        <v>7.0</v>
      </c>
      <c r="C10" s="15" t="s">
        <v>429</v>
      </c>
      <c r="D10" s="16" t="s">
        <v>28</v>
      </c>
      <c r="E10" s="17"/>
      <c r="F10" s="28">
        <v>46174.0</v>
      </c>
      <c r="G10" s="18"/>
      <c r="H10" s="19">
        <v>100000.0</v>
      </c>
      <c r="I10" s="20" t="s">
        <v>26</v>
      </c>
      <c r="J10" s="20"/>
      <c r="K10" s="20"/>
      <c r="L10" s="20" t="s">
        <v>145</v>
      </c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 t="s">
        <v>221</v>
      </c>
      <c r="D11" s="16" t="s">
        <v>46</v>
      </c>
      <c r="E11" s="17"/>
      <c r="F11" s="28">
        <v>46173.0</v>
      </c>
      <c r="G11" s="18"/>
      <c r="H11" s="19">
        <v>250000.0</v>
      </c>
      <c r="I11" s="20" t="s">
        <v>21</v>
      </c>
      <c r="J11" s="20" t="s">
        <v>30</v>
      </c>
      <c r="K11" s="20" t="s">
        <v>70</v>
      </c>
      <c r="L11" s="20" t="s">
        <v>145</v>
      </c>
      <c r="M11" s="20" t="s">
        <v>32</v>
      </c>
      <c r="N11" s="23"/>
      <c r="O11" s="24"/>
      <c r="P11" s="24"/>
      <c r="Q11" s="1"/>
      <c r="R11" s="1"/>
    </row>
    <row r="12">
      <c r="A12" s="1"/>
      <c r="B12" s="14">
        <v>9.0</v>
      </c>
      <c r="C12" s="15" t="s">
        <v>371</v>
      </c>
      <c r="D12" s="16" t="s">
        <v>46</v>
      </c>
      <c r="E12" s="17" t="s">
        <v>130</v>
      </c>
      <c r="F12" s="28">
        <v>46173.0</v>
      </c>
      <c r="G12" s="18"/>
      <c r="H12" s="19">
        <v>350000.0</v>
      </c>
      <c r="I12" s="20" t="s">
        <v>21</v>
      </c>
      <c r="J12" s="20" t="s">
        <v>30</v>
      </c>
      <c r="K12" s="20" t="s">
        <v>70</v>
      </c>
      <c r="L12" s="20" t="s">
        <v>145</v>
      </c>
      <c r="M12" s="20" t="s">
        <v>32</v>
      </c>
      <c r="N12" s="23"/>
      <c r="O12" s="24"/>
      <c r="P12" s="24"/>
      <c r="Q12" s="1"/>
      <c r="R12" s="1"/>
    </row>
    <row r="13">
      <c r="A13" s="1"/>
      <c r="B13" s="14">
        <v>10.0</v>
      </c>
      <c r="C13" s="15" t="s">
        <v>430</v>
      </c>
      <c r="D13" s="16" t="s">
        <v>24</v>
      </c>
      <c r="E13" s="17" t="s">
        <v>130</v>
      </c>
      <c r="F13" s="28">
        <v>46173.0</v>
      </c>
      <c r="G13" s="18"/>
      <c r="H13" s="19">
        <v>150000.0</v>
      </c>
      <c r="I13" s="20" t="s">
        <v>21</v>
      </c>
      <c r="J13" s="20" t="s">
        <v>30</v>
      </c>
      <c r="K13" s="20" t="s">
        <v>70</v>
      </c>
      <c r="L13" s="20" t="s">
        <v>145</v>
      </c>
      <c r="M13" s="20" t="s">
        <v>32</v>
      </c>
      <c r="N13" s="23"/>
      <c r="O13" s="24"/>
      <c r="P13" s="24"/>
      <c r="Q13" s="1"/>
      <c r="R13" s="1"/>
    </row>
    <row r="14">
      <c r="A14" s="1"/>
      <c r="B14" s="29"/>
      <c r="C14" s="15" t="s">
        <v>431</v>
      </c>
      <c r="D14" s="16" t="s">
        <v>28</v>
      </c>
      <c r="E14" s="17"/>
      <c r="F14" s="28">
        <v>46174.0</v>
      </c>
      <c r="G14" s="18"/>
      <c r="H14" s="19">
        <v>100000.0</v>
      </c>
      <c r="I14" s="20" t="s">
        <v>26</v>
      </c>
      <c r="J14" s="20"/>
      <c r="K14" s="20"/>
      <c r="L14" s="20" t="s">
        <v>145</v>
      </c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31"/>
      <c r="D18" s="16"/>
      <c r="E18" s="17"/>
      <c r="F18" s="29"/>
      <c r="G18" s="25"/>
      <c r="H18" s="27"/>
      <c r="I18" s="26"/>
      <c r="J18" s="26"/>
      <c r="K18" s="26"/>
      <c r="L18" s="26"/>
      <c r="M18" s="26"/>
      <c r="N18" s="32"/>
      <c r="O18" s="32"/>
      <c r="P18" s="32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33">
        <f t="shared" ref="G19:H19" si="1">SUM(G4:G18)</f>
        <v>250000</v>
      </c>
      <c r="H19" s="34">
        <f t="shared" si="1"/>
        <v>2000000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35" t="s">
        <v>0</v>
      </c>
      <c r="C22" s="36" t="s">
        <v>6</v>
      </c>
      <c r="D22" s="36" t="s">
        <v>57</v>
      </c>
      <c r="E22" s="37"/>
      <c r="F22" s="1"/>
      <c r="G22" s="1"/>
      <c r="H22" s="1"/>
      <c r="I22" s="1"/>
      <c r="J22" s="1"/>
      <c r="K22" s="1"/>
      <c r="L22" s="1"/>
      <c r="M22" s="1"/>
      <c r="N22" s="36" t="s">
        <v>58</v>
      </c>
      <c r="O22" s="36" t="s">
        <v>1</v>
      </c>
      <c r="P22" s="1"/>
      <c r="Q22" s="1"/>
      <c r="R22" s="1"/>
    </row>
    <row r="23">
      <c r="A23" s="1"/>
      <c r="B23" s="38">
        <v>1.0</v>
      </c>
      <c r="C23" s="39" t="s">
        <v>59</v>
      </c>
      <c r="D23" s="40">
        <f>SUM(G19)</f>
        <v>250000</v>
      </c>
      <c r="E23" s="41"/>
      <c r="F23" s="1"/>
      <c r="G23" s="1"/>
      <c r="H23" s="1"/>
      <c r="I23" s="1"/>
      <c r="J23" s="1"/>
      <c r="K23" s="1"/>
      <c r="L23" s="1"/>
      <c r="M23" s="1"/>
      <c r="N23" s="42" t="s">
        <v>60</v>
      </c>
      <c r="O23" s="21" t="s">
        <v>43</v>
      </c>
      <c r="P23" s="1"/>
      <c r="Q23" s="1"/>
      <c r="R23" s="1"/>
    </row>
    <row r="24">
      <c r="A24" s="1"/>
      <c r="B24" s="43">
        <v>2.0</v>
      </c>
      <c r="C24" s="44" t="s">
        <v>138</v>
      </c>
      <c r="D24" s="45">
        <v>-5000.0</v>
      </c>
      <c r="E24" s="46"/>
      <c r="F24" s="1"/>
      <c r="G24" s="1"/>
      <c r="H24" s="1"/>
      <c r="I24" s="1"/>
      <c r="J24" s="1"/>
      <c r="K24" s="1"/>
      <c r="L24" s="1"/>
      <c r="M24" s="1"/>
      <c r="N24" s="47" t="s">
        <v>62</v>
      </c>
      <c r="O24" s="48" t="s">
        <v>145</v>
      </c>
      <c r="P24" s="1"/>
      <c r="Q24" s="1"/>
      <c r="R24" s="1"/>
    </row>
    <row r="25">
      <c r="A25" s="1"/>
      <c r="B25" s="38">
        <v>3.0</v>
      </c>
      <c r="C25" s="39" t="s">
        <v>209</v>
      </c>
      <c r="D25" s="49">
        <v>-10000.0</v>
      </c>
      <c r="E25" s="46"/>
      <c r="F25" s="1"/>
      <c r="G25" s="1"/>
      <c r="H25" s="1"/>
      <c r="I25" s="1"/>
      <c r="J25" s="1"/>
      <c r="K25" s="1"/>
      <c r="L25" s="1"/>
      <c r="M25" s="1"/>
      <c r="N25" s="50" t="s">
        <v>64</v>
      </c>
      <c r="O25" s="23" t="s">
        <v>87</v>
      </c>
      <c r="P25" s="1"/>
      <c r="Q25" s="1"/>
      <c r="R25" s="1"/>
    </row>
    <row r="26">
      <c r="A26" s="1"/>
      <c r="B26" s="43">
        <v>4.0</v>
      </c>
      <c r="C26" s="44" t="s">
        <v>61</v>
      </c>
      <c r="D26" s="45">
        <v>-35000.0</v>
      </c>
      <c r="E26" s="46"/>
      <c r="F26" s="1"/>
      <c r="G26" s="1"/>
      <c r="H26" s="1"/>
      <c r="I26" s="1"/>
      <c r="J26" s="1"/>
      <c r="K26" s="1"/>
      <c r="L26" s="1"/>
      <c r="M26" s="1"/>
      <c r="N26" s="51" t="s">
        <v>65</v>
      </c>
      <c r="O26" s="48" t="s">
        <v>32</v>
      </c>
      <c r="P26" s="1"/>
      <c r="Q26" s="1"/>
      <c r="R26" s="1"/>
    </row>
    <row r="27">
      <c r="A27" s="1"/>
      <c r="B27" s="38"/>
      <c r="C27" s="52"/>
      <c r="D27" s="40"/>
      <c r="E27" s="41"/>
      <c r="F27" s="1"/>
      <c r="G27" s="1"/>
      <c r="H27" s="1"/>
      <c r="I27" s="1"/>
      <c r="J27" s="1"/>
      <c r="K27" s="1"/>
      <c r="L27" s="1"/>
      <c r="M27" s="1"/>
      <c r="N27" s="53"/>
      <c r="O27" s="1"/>
      <c r="P27" s="1"/>
      <c r="Q27" s="1"/>
      <c r="R27" s="1"/>
    </row>
    <row r="28">
      <c r="A28" s="1"/>
      <c r="B28" s="43"/>
      <c r="C28" s="54"/>
      <c r="D28" s="55"/>
      <c r="E28" s="4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38"/>
      <c r="C29" s="52"/>
      <c r="D29" s="40"/>
      <c r="E29" s="4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43"/>
      <c r="C30" s="54"/>
      <c r="D30" s="55"/>
      <c r="E30" s="4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38"/>
      <c r="C31" s="52"/>
      <c r="D31" s="40"/>
      <c r="E31" s="4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3"/>
      <c r="C32" s="54"/>
      <c r="D32" s="55"/>
      <c r="E32" s="4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6"/>
      <c r="C33" s="57"/>
      <c r="D33" s="58"/>
      <c r="E33" s="4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59">
        <f>SUM(D23:D33)</f>
        <v>200000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6"/>
      <c r="E4" s="17"/>
      <c r="F4" s="60">
        <v>45231.0</v>
      </c>
      <c r="G4" s="18"/>
      <c r="H4" s="19"/>
      <c r="I4" s="20"/>
      <c r="J4" s="20"/>
      <c r="K4" s="20"/>
      <c r="L4" s="20"/>
      <c r="M4" s="20"/>
      <c r="N4" s="21"/>
      <c r="O4" s="21"/>
      <c r="P4" s="22">
        <v>45231.0</v>
      </c>
      <c r="Q4" s="1"/>
      <c r="R4" s="1"/>
    </row>
    <row r="5">
      <c r="A5" s="1"/>
      <c r="B5" s="14">
        <v>2.0</v>
      </c>
      <c r="C5" s="15"/>
      <c r="D5" s="16"/>
      <c r="E5" s="17"/>
      <c r="F5" s="60"/>
      <c r="G5" s="18"/>
      <c r="H5" s="19"/>
      <c r="I5" s="20"/>
      <c r="J5" s="20"/>
      <c r="K5" s="20"/>
      <c r="L5" s="20"/>
      <c r="M5" s="20"/>
      <c r="N5" s="23"/>
      <c r="O5" s="23"/>
      <c r="P5" s="24"/>
      <c r="Q5" s="1"/>
      <c r="R5" s="1"/>
    </row>
    <row r="6">
      <c r="A6" s="1"/>
      <c r="B6" s="14">
        <v>3.0</v>
      </c>
      <c r="C6" s="15"/>
      <c r="D6" s="16"/>
      <c r="E6" s="17"/>
      <c r="F6" s="29"/>
      <c r="G6" s="25"/>
      <c r="H6" s="19"/>
      <c r="I6" s="20"/>
      <c r="J6" s="20"/>
      <c r="K6" s="20"/>
      <c r="L6" s="26"/>
      <c r="M6" s="26"/>
      <c r="N6" s="23"/>
      <c r="O6" s="23"/>
      <c r="P6" s="24"/>
      <c r="Q6" s="1"/>
      <c r="R6" s="1"/>
    </row>
    <row r="7">
      <c r="A7" s="1"/>
      <c r="B7" s="14">
        <v>4.0</v>
      </c>
      <c r="C7" s="15"/>
      <c r="D7" s="16"/>
      <c r="E7" s="17"/>
      <c r="F7" s="29"/>
      <c r="G7" s="18"/>
      <c r="H7" s="27"/>
      <c r="I7" s="20"/>
      <c r="J7" s="20"/>
      <c r="K7" s="20"/>
      <c r="L7" s="26"/>
      <c r="M7" s="26"/>
      <c r="N7" s="23"/>
      <c r="O7" s="23"/>
      <c r="P7" s="24"/>
      <c r="Q7" s="1"/>
      <c r="R7" s="1"/>
    </row>
    <row r="8">
      <c r="A8" s="1"/>
      <c r="B8" s="14">
        <v>5.0</v>
      </c>
      <c r="C8" s="15"/>
      <c r="D8" s="16"/>
      <c r="E8" s="17"/>
      <c r="F8" s="29"/>
      <c r="G8" s="18"/>
      <c r="H8" s="27"/>
      <c r="I8" s="20"/>
      <c r="J8" s="20"/>
      <c r="K8" s="20"/>
      <c r="L8" s="26"/>
      <c r="M8" s="26"/>
      <c r="N8" s="23"/>
      <c r="O8" s="24"/>
      <c r="P8" s="24"/>
      <c r="Q8" s="1"/>
      <c r="R8" s="1"/>
    </row>
    <row r="9">
      <c r="A9" s="1"/>
      <c r="B9" s="14">
        <v>6.0</v>
      </c>
      <c r="C9" s="15"/>
      <c r="D9" s="16"/>
      <c r="E9" s="17"/>
      <c r="F9" s="29"/>
      <c r="G9" s="18"/>
      <c r="H9" s="27"/>
      <c r="I9" s="20"/>
      <c r="J9" s="20"/>
      <c r="K9" s="20"/>
      <c r="L9" s="26"/>
      <c r="M9" s="26"/>
      <c r="N9" s="23"/>
      <c r="O9" s="24"/>
      <c r="P9" s="24"/>
      <c r="Q9" s="1"/>
      <c r="R9" s="1"/>
    </row>
    <row r="10">
      <c r="A10" s="1"/>
      <c r="B10" s="14">
        <v>7.0</v>
      </c>
      <c r="C10" s="15"/>
      <c r="D10" s="16"/>
      <c r="E10" s="17"/>
      <c r="F10" s="29"/>
      <c r="G10" s="18"/>
      <c r="H10" s="27"/>
      <c r="I10" s="20"/>
      <c r="J10" s="20"/>
      <c r="K10" s="20"/>
      <c r="L10" s="26"/>
      <c r="M10" s="26"/>
      <c r="N10" s="23"/>
      <c r="O10" s="24"/>
      <c r="P10" s="24"/>
      <c r="Q10" s="1"/>
      <c r="R10" s="1"/>
    </row>
    <row r="11">
      <c r="A11" s="1"/>
      <c r="B11" s="14">
        <v>8.0</v>
      </c>
      <c r="C11" s="15"/>
      <c r="D11" s="16"/>
      <c r="E11" s="17"/>
      <c r="F11" s="29"/>
      <c r="G11" s="18"/>
      <c r="H11" s="27"/>
      <c r="I11" s="20"/>
      <c r="J11" s="20"/>
      <c r="K11" s="20"/>
      <c r="L11" s="26"/>
      <c r="M11" s="26"/>
      <c r="N11" s="23"/>
      <c r="O11" s="24"/>
      <c r="P11" s="24"/>
      <c r="Q11" s="1"/>
      <c r="R11" s="1"/>
    </row>
    <row r="12">
      <c r="A12" s="1"/>
      <c r="B12" s="14">
        <v>9.0</v>
      </c>
      <c r="C12" s="15"/>
      <c r="D12" s="16"/>
      <c r="E12" s="17"/>
      <c r="F12" s="29"/>
      <c r="G12" s="18"/>
      <c r="H12" s="27"/>
      <c r="I12" s="20"/>
      <c r="J12" s="20"/>
      <c r="K12" s="20"/>
      <c r="L12" s="26"/>
      <c r="M12" s="26"/>
      <c r="N12" s="23"/>
      <c r="O12" s="24"/>
      <c r="P12" s="24"/>
      <c r="Q12" s="1"/>
      <c r="R12" s="1"/>
    </row>
    <row r="13">
      <c r="A13" s="1"/>
      <c r="B13" s="14">
        <v>10.0</v>
      </c>
      <c r="C13" s="15"/>
      <c r="D13" s="16"/>
      <c r="E13" s="17"/>
      <c r="F13" s="29"/>
      <c r="G13" s="18"/>
      <c r="H13" s="27"/>
      <c r="I13" s="20"/>
      <c r="J13" s="20"/>
      <c r="K13" s="20"/>
      <c r="L13" s="26"/>
      <c r="M13" s="26"/>
      <c r="N13" s="23"/>
      <c r="O13" s="24"/>
      <c r="P13" s="24"/>
      <c r="Q13" s="1"/>
      <c r="R13" s="1"/>
    </row>
    <row r="14">
      <c r="A14" s="1"/>
      <c r="B14" s="29"/>
      <c r="C14" s="15"/>
      <c r="D14" s="16"/>
      <c r="E14" s="17"/>
      <c r="F14" s="29"/>
      <c r="G14" s="18"/>
      <c r="H14" s="27"/>
      <c r="I14" s="20"/>
      <c r="J14" s="20"/>
      <c r="K14" s="20"/>
      <c r="L14" s="26"/>
      <c r="M14" s="26"/>
      <c r="N14" s="23"/>
      <c r="O14" s="24"/>
      <c r="P14" s="24"/>
      <c r="Q14" s="1"/>
      <c r="R14" s="1"/>
    </row>
    <row r="15">
      <c r="A15" s="1"/>
      <c r="B15" s="29"/>
      <c r="C15" s="15"/>
      <c r="D15" s="16"/>
      <c r="E15" s="17"/>
      <c r="F15" s="29"/>
      <c r="G15" s="18"/>
      <c r="H15" s="27"/>
      <c r="I15" s="20"/>
      <c r="J15" s="20"/>
      <c r="K15" s="20"/>
      <c r="L15" s="26"/>
      <c r="M15" s="26"/>
      <c r="N15" s="23"/>
      <c r="O15" s="24"/>
      <c r="P15" s="24"/>
      <c r="Q15" s="1"/>
      <c r="R15" s="1"/>
    </row>
    <row r="16">
      <c r="A16" s="1"/>
      <c r="B16" s="29"/>
      <c r="C16" s="15"/>
      <c r="D16" s="16"/>
      <c r="E16" s="17"/>
      <c r="F16" s="29"/>
      <c r="G16" s="18"/>
      <c r="H16" s="27"/>
      <c r="I16" s="20"/>
      <c r="J16" s="20"/>
      <c r="K16" s="20"/>
      <c r="L16" s="26"/>
      <c r="M16" s="26"/>
      <c r="N16" s="23"/>
      <c r="O16" s="24"/>
      <c r="P16" s="24"/>
      <c r="Q16" s="1"/>
      <c r="R16" s="1"/>
    </row>
    <row r="17">
      <c r="A17" s="1"/>
      <c r="B17" s="29"/>
      <c r="C17" s="15"/>
      <c r="D17" s="16"/>
      <c r="E17" s="17"/>
      <c r="F17" s="29"/>
      <c r="G17" s="18"/>
      <c r="H17" s="27"/>
      <c r="I17" s="20"/>
      <c r="J17" s="20"/>
      <c r="K17" s="20"/>
      <c r="L17" s="26"/>
      <c r="M17" s="26"/>
      <c r="N17" s="23"/>
      <c r="O17" s="24"/>
      <c r="P17" s="24"/>
      <c r="Q17" s="1"/>
      <c r="R17" s="1"/>
    </row>
    <row r="18">
      <c r="A18" s="1"/>
      <c r="B18" s="29"/>
      <c r="C18" s="15"/>
      <c r="D18" s="16"/>
      <c r="E18" s="17"/>
      <c r="F18" s="29"/>
      <c r="G18" s="18"/>
      <c r="H18" s="27"/>
      <c r="I18" s="20"/>
      <c r="J18" s="20"/>
      <c r="K18" s="20"/>
      <c r="L18" s="26"/>
      <c r="M18" s="26"/>
      <c r="N18" s="23"/>
      <c r="O18" s="24"/>
      <c r="P18" s="24"/>
      <c r="Q18" s="1"/>
      <c r="R18" s="1"/>
    </row>
    <row r="19">
      <c r="A19" s="1"/>
      <c r="B19" s="29"/>
      <c r="C19" s="15"/>
      <c r="D19" s="16"/>
      <c r="E19" s="17"/>
      <c r="F19" s="29"/>
      <c r="G19" s="18"/>
      <c r="H19" s="27"/>
      <c r="I19" s="20"/>
      <c r="J19" s="20"/>
      <c r="K19" s="20"/>
      <c r="L19" s="26"/>
      <c r="M19" s="26"/>
      <c r="N19" s="23"/>
      <c r="O19" s="24"/>
      <c r="P19" s="24"/>
      <c r="Q19" s="1"/>
      <c r="R19" s="1"/>
    </row>
    <row r="20">
      <c r="A20" s="1"/>
      <c r="B20" s="29"/>
      <c r="C20" s="15"/>
      <c r="D20" s="16"/>
      <c r="E20" s="17"/>
      <c r="F20" s="29"/>
      <c r="G20" s="18"/>
      <c r="H20" s="27"/>
      <c r="I20" s="20"/>
      <c r="J20" s="20"/>
      <c r="K20" s="20"/>
      <c r="L20" s="26"/>
      <c r="M20" s="26"/>
      <c r="N20" s="23"/>
      <c r="O20" s="24"/>
      <c r="P20" s="24"/>
      <c r="Q20" s="1"/>
      <c r="R20" s="1"/>
    </row>
    <row r="21">
      <c r="A21" s="1"/>
      <c r="B21" s="29"/>
      <c r="C21" s="15"/>
      <c r="D21" s="16"/>
      <c r="E21" s="17"/>
      <c r="F21" s="29"/>
      <c r="G21" s="18"/>
      <c r="H21" s="27"/>
      <c r="I21" s="20"/>
      <c r="J21" s="20"/>
      <c r="K21" s="20"/>
      <c r="L21" s="26"/>
      <c r="M21" s="26"/>
      <c r="N21" s="23"/>
      <c r="O21" s="24"/>
      <c r="P21" s="24"/>
      <c r="Q21" s="1"/>
      <c r="R21" s="1"/>
    </row>
    <row r="22">
      <c r="A22" s="1"/>
      <c r="B22" s="29"/>
      <c r="C22" s="15"/>
      <c r="D22" s="16"/>
      <c r="E22" s="17"/>
      <c r="F22" s="29"/>
      <c r="G22" s="18"/>
      <c r="H22" s="27"/>
      <c r="I22" s="20"/>
      <c r="J22" s="20"/>
      <c r="K22" s="20"/>
      <c r="L22" s="26"/>
      <c r="M22" s="26"/>
      <c r="N22" s="23"/>
      <c r="O22" s="24"/>
      <c r="P22" s="24"/>
      <c r="Q22" s="1"/>
      <c r="R22" s="1"/>
    </row>
    <row r="23">
      <c r="A23" s="1"/>
      <c r="B23" s="29"/>
      <c r="C23" s="15"/>
      <c r="D23" s="16"/>
      <c r="E23" s="17"/>
      <c r="F23" s="29"/>
      <c r="G23" s="25"/>
      <c r="H23" s="19"/>
      <c r="I23" s="20"/>
      <c r="J23" s="20"/>
      <c r="K23" s="20"/>
      <c r="L23" s="26"/>
      <c r="M23" s="26"/>
      <c r="N23" s="23"/>
      <c r="O23" s="24"/>
      <c r="P23" s="24"/>
      <c r="Q23" s="1"/>
      <c r="R23" s="1"/>
    </row>
    <row r="24">
      <c r="A24" s="1"/>
      <c r="B24" s="29"/>
      <c r="C24" s="31"/>
      <c r="D24" s="16"/>
      <c r="E24" s="17"/>
      <c r="F24" s="29"/>
      <c r="G24" s="25"/>
      <c r="H24" s="27"/>
      <c r="I24" s="26"/>
      <c r="J24" s="20"/>
      <c r="K24" s="20"/>
      <c r="L24" s="26"/>
      <c r="M24" s="26"/>
      <c r="N24" s="23"/>
      <c r="O24" s="24"/>
      <c r="P24" s="24"/>
      <c r="Q24" s="1"/>
      <c r="R24" s="1"/>
    </row>
    <row r="25">
      <c r="A25" s="1"/>
      <c r="B25" s="29"/>
      <c r="C25" s="31"/>
      <c r="D25" s="16"/>
      <c r="E25" s="17"/>
      <c r="F25" s="29"/>
      <c r="G25" s="25"/>
      <c r="H25" s="27"/>
      <c r="I25" s="26"/>
      <c r="J25" s="26"/>
      <c r="K25" s="26"/>
      <c r="L25" s="26"/>
      <c r="M25" s="26"/>
      <c r="N25" s="24"/>
      <c r="O25" s="24"/>
      <c r="P25" s="24"/>
      <c r="Q25" s="1"/>
      <c r="R25" s="1"/>
    </row>
    <row r="26">
      <c r="A26" s="1"/>
      <c r="B26" s="29"/>
      <c r="C26" s="31"/>
      <c r="D26" s="16"/>
      <c r="E26" s="17"/>
      <c r="F26" s="29"/>
      <c r="G26" s="25"/>
      <c r="H26" s="27"/>
      <c r="I26" s="26"/>
      <c r="J26" s="26"/>
      <c r="K26" s="26"/>
      <c r="L26" s="26"/>
      <c r="M26" s="26"/>
      <c r="N26" s="24"/>
      <c r="O26" s="24"/>
      <c r="P26" s="24"/>
      <c r="Q26" s="1"/>
      <c r="R26" s="1"/>
    </row>
    <row r="27">
      <c r="A27" s="1"/>
      <c r="B27" s="29"/>
      <c r="C27" s="31"/>
      <c r="D27" s="16"/>
      <c r="E27" s="17"/>
      <c r="F27" s="29"/>
      <c r="G27" s="25"/>
      <c r="H27" s="27"/>
      <c r="I27" s="26"/>
      <c r="J27" s="26"/>
      <c r="K27" s="26"/>
      <c r="L27" s="26"/>
      <c r="M27" s="26"/>
      <c r="N27" s="24"/>
      <c r="O27" s="24"/>
      <c r="P27" s="24"/>
      <c r="Q27" s="1"/>
      <c r="R27" s="1"/>
    </row>
    <row r="28">
      <c r="A28" s="1"/>
      <c r="B28" s="29"/>
      <c r="C28" s="31"/>
      <c r="D28" s="16"/>
      <c r="E28" s="17"/>
      <c r="F28" s="29"/>
      <c r="G28" s="25"/>
      <c r="H28" s="27"/>
      <c r="I28" s="26"/>
      <c r="J28" s="26"/>
      <c r="K28" s="26"/>
      <c r="L28" s="26"/>
      <c r="M28" s="26"/>
      <c r="N28" s="24"/>
      <c r="O28" s="24"/>
      <c r="P28" s="24"/>
      <c r="Q28" s="1"/>
      <c r="R28" s="1"/>
    </row>
    <row r="29">
      <c r="A29" s="1"/>
      <c r="B29" s="29"/>
      <c r="C29" s="31"/>
      <c r="D29" s="16"/>
      <c r="E29" s="17"/>
      <c r="F29" s="29"/>
      <c r="G29" s="25"/>
      <c r="H29" s="27"/>
      <c r="I29" s="26"/>
      <c r="J29" s="26"/>
      <c r="K29" s="26"/>
      <c r="L29" s="26"/>
      <c r="M29" s="26"/>
      <c r="N29" s="24"/>
      <c r="O29" s="24"/>
      <c r="P29" s="24"/>
      <c r="Q29" s="1"/>
      <c r="R29" s="1"/>
    </row>
    <row r="30">
      <c r="A30" s="1"/>
      <c r="B30" s="29"/>
      <c r="C30" s="15"/>
      <c r="D30" s="16"/>
      <c r="E30" s="17"/>
      <c r="F30" s="29"/>
      <c r="G30" s="18"/>
      <c r="H30" s="27"/>
      <c r="I30" s="26"/>
      <c r="J30" s="26"/>
      <c r="K30" s="26"/>
      <c r="L30" s="26"/>
      <c r="M30" s="26"/>
      <c r="N30" s="24"/>
      <c r="O30" s="24"/>
      <c r="P30" s="24"/>
      <c r="Q30" s="1"/>
      <c r="R30" s="1"/>
    </row>
    <row r="31">
      <c r="A31" s="1"/>
      <c r="B31" s="29"/>
      <c r="C31" s="15"/>
      <c r="D31" s="16"/>
      <c r="E31" s="17"/>
      <c r="F31" s="29"/>
      <c r="G31" s="18"/>
      <c r="H31" s="27"/>
      <c r="I31" s="26"/>
      <c r="J31" s="26"/>
      <c r="K31" s="26"/>
      <c r="L31" s="26"/>
      <c r="M31" s="26"/>
      <c r="N31" s="24"/>
      <c r="O31" s="24"/>
      <c r="P31" s="24"/>
      <c r="Q31" s="1"/>
      <c r="R31" s="1"/>
    </row>
    <row r="32">
      <c r="A32" s="1"/>
      <c r="B32" s="29"/>
      <c r="C32" s="31"/>
      <c r="D32" s="16"/>
      <c r="E32" s="17"/>
      <c r="F32" s="29"/>
      <c r="G32" s="25"/>
      <c r="H32" s="27"/>
      <c r="I32" s="26"/>
      <c r="J32" s="26"/>
      <c r="K32" s="26"/>
      <c r="L32" s="26"/>
      <c r="M32" s="26"/>
      <c r="N32" s="24"/>
      <c r="O32" s="24"/>
      <c r="P32" s="24"/>
      <c r="Q32" s="1"/>
      <c r="R32" s="1"/>
    </row>
    <row r="33">
      <c r="A33" s="1"/>
      <c r="B33" s="29"/>
      <c r="C33" s="31"/>
      <c r="D33" s="16"/>
      <c r="E33" s="17"/>
      <c r="F33" s="29"/>
      <c r="G33" s="25"/>
      <c r="H33" s="27"/>
      <c r="I33" s="26"/>
      <c r="J33" s="26"/>
      <c r="K33" s="26"/>
      <c r="L33" s="26"/>
      <c r="M33" s="26"/>
      <c r="N33" s="24"/>
      <c r="O33" s="24"/>
      <c r="P33" s="24"/>
      <c r="Q33" s="1"/>
      <c r="R33" s="1"/>
    </row>
    <row r="34">
      <c r="A34" s="1"/>
      <c r="B34" s="29"/>
      <c r="C34" s="31"/>
      <c r="D34" s="16"/>
      <c r="E34" s="17"/>
      <c r="F34" s="29"/>
      <c r="G34" s="25"/>
      <c r="H34" s="27"/>
      <c r="I34" s="26"/>
      <c r="J34" s="26"/>
      <c r="K34" s="26"/>
      <c r="L34" s="26"/>
      <c r="M34" s="26"/>
      <c r="N34" s="32"/>
      <c r="O34" s="32"/>
      <c r="P34" s="32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33">
        <f t="shared" ref="G35:H35" si="1">SUM(G4:G34)</f>
        <v>0</v>
      </c>
      <c r="H35" s="34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35" t="s">
        <v>0</v>
      </c>
      <c r="C38" s="36" t="s">
        <v>6</v>
      </c>
      <c r="D38" s="36" t="s">
        <v>57</v>
      </c>
      <c r="E38" s="37"/>
      <c r="F38" s="1"/>
      <c r="G38" s="1"/>
      <c r="H38" s="1"/>
      <c r="I38" s="1"/>
      <c r="J38" s="1"/>
      <c r="K38" s="1"/>
      <c r="L38" s="1"/>
      <c r="M38" s="1"/>
      <c r="N38" s="36" t="s">
        <v>58</v>
      </c>
      <c r="O38" s="36" t="s">
        <v>1</v>
      </c>
      <c r="P38" s="1"/>
      <c r="Q38" s="1"/>
      <c r="R38" s="1"/>
    </row>
    <row r="39">
      <c r="A39" s="1"/>
      <c r="B39" s="38">
        <v>1.0</v>
      </c>
      <c r="C39" s="39" t="s">
        <v>59</v>
      </c>
      <c r="D39" s="40">
        <f>SUM(G35)</f>
        <v>0</v>
      </c>
      <c r="E39" s="41"/>
      <c r="F39" s="1"/>
      <c r="G39" s="1"/>
      <c r="H39" s="1"/>
      <c r="I39" s="1"/>
      <c r="J39" s="1"/>
      <c r="K39" s="1"/>
      <c r="L39" s="1"/>
      <c r="M39" s="1"/>
      <c r="N39" s="42" t="s">
        <v>60</v>
      </c>
      <c r="O39" s="21"/>
      <c r="P39" s="1"/>
      <c r="Q39" s="1"/>
      <c r="R39" s="1"/>
    </row>
    <row r="40">
      <c r="A40" s="1"/>
      <c r="B40" s="43">
        <v>2.0</v>
      </c>
      <c r="C40" s="44"/>
      <c r="D40" s="45"/>
      <c r="E40" s="46"/>
      <c r="F40" s="1"/>
      <c r="G40" s="1"/>
      <c r="H40" s="1"/>
      <c r="I40" s="1"/>
      <c r="J40" s="1"/>
      <c r="K40" s="1"/>
      <c r="L40" s="1"/>
      <c r="M40" s="1"/>
      <c r="N40" s="47" t="s">
        <v>62</v>
      </c>
      <c r="O40" s="48"/>
      <c r="P40" s="1"/>
      <c r="Q40" s="1"/>
      <c r="R40" s="1"/>
    </row>
    <row r="41">
      <c r="A41" s="1"/>
      <c r="B41" s="38">
        <v>3.0</v>
      </c>
      <c r="C41" s="39"/>
      <c r="D41" s="49"/>
      <c r="E41" s="46"/>
      <c r="F41" s="1"/>
      <c r="G41" s="1"/>
      <c r="H41" s="1"/>
      <c r="I41" s="1"/>
      <c r="J41" s="1"/>
      <c r="K41" s="1"/>
      <c r="L41" s="1"/>
      <c r="M41" s="1"/>
      <c r="N41" s="50" t="s">
        <v>64</v>
      </c>
      <c r="O41" s="23"/>
      <c r="P41" s="1"/>
      <c r="Q41" s="1"/>
      <c r="R41" s="1"/>
    </row>
    <row r="42">
      <c r="A42" s="1"/>
      <c r="B42" s="43">
        <v>4.0</v>
      </c>
      <c r="C42" s="44"/>
      <c r="D42" s="45"/>
      <c r="E42" s="46"/>
      <c r="F42" s="1"/>
      <c r="G42" s="1"/>
      <c r="H42" s="1"/>
      <c r="I42" s="1"/>
      <c r="J42" s="1"/>
      <c r="K42" s="1"/>
      <c r="L42" s="1"/>
      <c r="M42" s="1"/>
      <c r="N42" s="51" t="s">
        <v>65</v>
      </c>
      <c r="O42" s="48"/>
      <c r="P42" s="1"/>
      <c r="Q42" s="1"/>
      <c r="R42" s="1"/>
    </row>
    <row r="43">
      <c r="A43" s="1"/>
      <c r="B43" s="38"/>
      <c r="C43" s="52"/>
      <c r="D43" s="40"/>
      <c r="E43" s="41"/>
      <c r="F43" s="1"/>
      <c r="G43" s="1"/>
      <c r="H43" s="1"/>
      <c r="I43" s="1"/>
      <c r="J43" s="1"/>
      <c r="K43" s="1"/>
      <c r="L43" s="1"/>
      <c r="M43" s="1"/>
      <c r="N43" s="53"/>
      <c r="O43" s="1"/>
      <c r="P43" s="1"/>
      <c r="Q43" s="1"/>
      <c r="R43" s="1"/>
    </row>
    <row r="44">
      <c r="A44" s="1"/>
      <c r="B44" s="43"/>
      <c r="C44" s="54"/>
      <c r="D44" s="55"/>
      <c r="E44" s="4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38"/>
      <c r="C45" s="52"/>
      <c r="D45" s="40"/>
      <c r="E45" s="4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43"/>
      <c r="C46" s="54"/>
      <c r="D46" s="55"/>
      <c r="E46" s="4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38"/>
      <c r="C47" s="52"/>
      <c r="D47" s="40"/>
      <c r="E47" s="4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43"/>
      <c r="C48" s="54"/>
      <c r="D48" s="55"/>
      <c r="E48" s="4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56"/>
      <c r="C49" s="57"/>
      <c r="D49" s="58"/>
      <c r="E49" s="4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59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