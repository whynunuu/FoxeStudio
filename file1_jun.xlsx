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4" sheetId="4" r:id="rId8"/>
    <sheet state="visible" name="5" sheetId="5" r:id="rId9"/>
    <sheet state="visible" name="6" sheetId="6" r:id="rId10"/>
    <sheet state="visible" name="7" sheetId="7" r:id="rId11"/>
    <sheet state="visible" name="8" sheetId="8" r:id="rId12"/>
    <sheet state="visible" name="9" sheetId="9" r:id="rId13"/>
    <sheet state="visible" name="10" sheetId="10" r:id="rId14"/>
    <sheet state="visible" name="11" sheetId="11" r:id="rId15"/>
    <sheet state="visible" name="12" sheetId="12" r:id="rId16"/>
    <sheet state="visible" name="13" sheetId="13" r:id="rId17"/>
    <sheet state="visible" name="14" sheetId="14" r:id="rId18"/>
    <sheet state="visible" name="15" sheetId="15" r:id="rId19"/>
    <sheet state="visible" name="16" sheetId="16" r:id="rId20"/>
    <sheet state="visible" name="17" sheetId="17" r:id="rId21"/>
    <sheet state="visible" name="18" sheetId="18" r:id="rId22"/>
    <sheet state="visible" name="19" sheetId="19" r:id="rId23"/>
    <sheet state="visible" name="20" sheetId="20" r:id="rId24"/>
    <sheet state="visible" name="21" sheetId="21" r:id="rId25"/>
    <sheet state="visible" name="22" sheetId="22" r:id="rId26"/>
    <sheet state="visible" name="23" sheetId="23" r:id="rId27"/>
    <sheet state="visible" name="24" sheetId="24" r:id="rId28"/>
    <sheet state="visible" name="25" sheetId="25" r:id="rId29"/>
    <sheet state="visible" name="26" sheetId="26" r:id="rId30"/>
    <sheet state="visible" name="27" sheetId="27" r:id="rId31"/>
    <sheet state="visible" name="28" sheetId="28" r:id="rId32"/>
    <sheet state="visible" name="29" sheetId="29" r:id="rId33"/>
    <sheet state="visible" name="30" sheetId="30" r:id="rId34"/>
    <sheet state="visible" name="Draft" sheetId="31" r:id="rId35"/>
  </sheets>
  <definedNames/>
  <calcPr/>
</workbook>
</file>

<file path=xl/sharedStrings.xml><?xml version="1.0" encoding="utf-8"?>
<sst xmlns="http://schemas.openxmlformats.org/spreadsheetml/2006/main" count="4342" uniqueCount="562">
  <si>
    <t xml:space="preserve">  </t>
  </si>
  <si>
    <t>No</t>
  </si>
  <si>
    <t>Nama</t>
  </si>
  <si>
    <t>Paket</t>
  </si>
  <si>
    <t>Q</t>
  </si>
  <si>
    <t>Tanggal Foto</t>
  </si>
  <si>
    <t>Pemasukan</t>
  </si>
  <si>
    <t>Keterangan</t>
  </si>
  <si>
    <t>Admin</t>
  </si>
  <si>
    <t>Fotogarfer</t>
  </si>
  <si>
    <t>Post Prod</t>
  </si>
  <si>
    <t>Cash</t>
  </si>
  <si>
    <t>Transfer</t>
  </si>
  <si>
    <t>Pembayaran</t>
  </si>
  <si>
    <t>All File</t>
  </si>
  <si>
    <t xml:space="preserve">File Edit </t>
  </si>
  <si>
    <t>Editan/FG</t>
  </si>
  <si>
    <t>Cetakan/Fame</t>
  </si>
  <si>
    <t>Diambil/Date</t>
  </si>
  <si>
    <t>Osis SMADA</t>
  </si>
  <si>
    <t>Large Group</t>
  </si>
  <si>
    <t>DP</t>
  </si>
  <si>
    <t>INDAH</t>
  </si>
  <si>
    <t>Zarin</t>
  </si>
  <si>
    <t>Pas Foto</t>
  </si>
  <si>
    <t>Lunas</t>
  </si>
  <si>
    <t>Uploaded</t>
  </si>
  <si>
    <t>HANIF</t>
  </si>
  <si>
    <t>Alzea Rafa</t>
  </si>
  <si>
    <t>Ziva</t>
  </si>
  <si>
    <t>Pending</t>
  </si>
  <si>
    <t>Himadiyater Fapet Unsoed</t>
  </si>
  <si>
    <t>Putri</t>
  </si>
  <si>
    <t xml:space="preserve">ADDEL </t>
  </si>
  <si>
    <t xml:space="preserve">ADIF </t>
  </si>
  <si>
    <t>Rofi</t>
  </si>
  <si>
    <t>Kirana Syifa Amabel Wilhelmina (Wihel)</t>
  </si>
  <si>
    <t>Vania</t>
  </si>
  <si>
    <t>Photofox</t>
  </si>
  <si>
    <t xml:space="preserve"> Luthfi Zulfikri</t>
  </si>
  <si>
    <t>Graduation</t>
  </si>
  <si>
    <t>Faris</t>
  </si>
  <si>
    <t>Family A</t>
  </si>
  <si>
    <t>ots</t>
  </si>
  <si>
    <t xml:space="preserve">  Sandi Saptaji</t>
  </si>
  <si>
    <t>Nominal</t>
  </si>
  <si>
    <t>Shift</t>
  </si>
  <si>
    <t>Pendapatan Tunai</t>
  </si>
  <si>
    <t>Admin 1</t>
  </si>
  <si>
    <t>Hanif</t>
  </si>
  <si>
    <t>Admin 2</t>
  </si>
  <si>
    <t>Fadel</t>
  </si>
  <si>
    <t>Fotografer 1</t>
  </si>
  <si>
    <t>Addel</t>
  </si>
  <si>
    <t>Fotografer 2</t>
  </si>
  <si>
    <t>Geisha Lutfan Waldhani</t>
  </si>
  <si>
    <t>zara</t>
  </si>
  <si>
    <t>Anthee</t>
  </si>
  <si>
    <t>Couple A</t>
  </si>
  <si>
    <t>Aldo</t>
  </si>
  <si>
    <t>Nana</t>
  </si>
  <si>
    <t>Ria</t>
  </si>
  <si>
    <t>ADIF</t>
  </si>
  <si>
    <t>Fino</t>
  </si>
  <si>
    <t>Ghaida</t>
  </si>
  <si>
    <t>aflah</t>
  </si>
  <si>
    <t>Nadira</t>
  </si>
  <si>
    <t>Felda</t>
  </si>
  <si>
    <t>qiptia mafiza</t>
  </si>
  <si>
    <t>Zidan</t>
  </si>
  <si>
    <t>dila</t>
  </si>
  <si>
    <t>Tingtong</t>
  </si>
  <si>
    <t>pass photo</t>
  </si>
  <si>
    <t>Nabilah</t>
  </si>
  <si>
    <t>Seha</t>
  </si>
  <si>
    <t>Felysha</t>
  </si>
  <si>
    <t>Penthil</t>
  </si>
  <si>
    <t>Lintang Sely</t>
  </si>
  <si>
    <t>Caecielia</t>
  </si>
  <si>
    <t>Qaeesara</t>
  </si>
  <si>
    <t>Githa</t>
  </si>
  <si>
    <t>Tea</t>
  </si>
  <si>
    <t>Graduation Premium</t>
  </si>
  <si>
    <t>JISA</t>
  </si>
  <si>
    <t>Hyndia</t>
  </si>
  <si>
    <t>Studio Rent</t>
  </si>
  <si>
    <t>Syifa</t>
  </si>
  <si>
    <t>Geisha</t>
  </si>
  <si>
    <t>Fathan</t>
  </si>
  <si>
    <t>Farhan</t>
  </si>
  <si>
    <t>Aflah</t>
  </si>
  <si>
    <t>Andum Akuri</t>
  </si>
  <si>
    <t>Single</t>
  </si>
  <si>
    <t>karen</t>
  </si>
  <si>
    <t>PASPARA</t>
  </si>
  <si>
    <t>Sandi S</t>
  </si>
  <si>
    <t>Gosend</t>
  </si>
  <si>
    <t>Adif</t>
  </si>
  <si>
    <t>Reinissa Nadine</t>
  </si>
  <si>
    <t>Anindya D</t>
  </si>
  <si>
    <t>Nadia</t>
  </si>
  <si>
    <t>Andum</t>
  </si>
  <si>
    <t>Irma</t>
  </si>
  <si>
    <t>Add 10R</t>
  </si>
  <si>
    <t>Naswa</t>
  </si>
  <si>
    <t>Dila</t>
  </si>
  <si>
    <t>Ellnes</t>
  </si>
  <si>
    <t>Syifa Amabel</t>
  </si>
  <si>
    <t>Raya</t>
  </si>
  <si>
    <t>COSCODA</t>
  </si>
  <si>
    <t>Qia</t>
  </si>
  <si>
    <t>Lutfi Azzahro L.</t>
  </si>
  <si>
    <t>Naura</t>
  </si>
  <si>
    <t xml:space="preserve"> Freya Nandien</t>
  </si>
  <si>
    <t>Haura</t>
  </si>
  <si>
    <t>Faraz</t>
  </si>
  <si>
    <t>Otniel Putra Widyasunu</t>
  </si>
  <si>
    <t>Ais</t>
  </si>
  <si>
    <t>Baterai A2, A3</t>
  </si>
  <si>
    <t>Epin</t>
  </si>
  <si>
    <t>Rizky ASAS</t>
  </si>
  <si>
    <t xml:space="preserve"> Akmal Maulana</t>
  </si>
  <si>
    <t>della widy</t>
  </si>
  <si>
    <t>Personalia</t>
  </si>
  <si>
    <t>Wihel</t>
  </si>
  <si>
    <t>Add Cetak 5R</t>
  </si>
  <si>
    <t>Glaciers</t>
  </si>
  <si>
    <t xml:space="preserve">HANIF </t>
  </si>
  <si>
    <t>Kevin Julian Saputra</t>
  </si>
  <si>
    <t>Qiptia Mafiza</t>
  </si>
  <si>
    <t xml:space="preserve"> Kelas 5E SD Al Irsyad 02 Purwokerto</t>
  </si>
  <si>
    <t>Surya</t>
  </si>
  <si>
    <t>Couple B</t>
  </si>
  <si>
    <t>Naufal Febrian Hafizh</t>
  </si>
  <si>
    <t>Dhania</t>
  </si>
  <si>
    <t>Awi Yunawan</t>
  </si>
  <si>
    <t>Cindy Kusnaidi</t>
  </si>
  <si>
    <t>Dara</t>
  </si>
  <si>
    <t>Nugra</t>
  </si>
  <si>
    <t>Fahme</t>
  </si>
  <si>
    <t>Ellnes adelia</t>
  </si>
  <si>
    <t>fitri</t>
  </si>
  <si>
    <t>Syaflita Kayla</t>
  </si>
  <si>
    <t xml:space="preserve"> Kelompok 68 Gunungsari</t>
  </si>
  <si>
    <t>Eva</t>
  </si>
  <si>
    <t>Karen</t>
  </si>
  <si>
    <t>Caecilia</t>
  </si>
  <si>
    <t>Hesti</t>
  </si>
  <si>
    <t>Fitri</t>
  </si>
  <si>
    <t>Ayu Wulandari</t>
  </si>
  <si>
    <t>Muhammad Ilham</t>
  </si>
  <si>
    <t>LKHS</t>
  </si>
  <si>
    <t>Keiko</t>
  </si>
  <si>
    <t>Akmal</t>
  </si>
  <si>
    <t>Rosinta</t>
  </si>
  <si>
    <t>Manis</t>
  </si>
  <si>
    <t>Harum</t>
  </si>
  <si>
    <t>Danish</t>
  </si>
  <si>
    <t>Mesya</t>
  </si>
  <si>
    <t xml:space="preserve"> </t>
  </si>
  <si>
    <t>Nisrina Qurrotul 'Aini</t>
  </si>
  <si>
    <t>Suci Neva</t>
  </si>
  <si>
    <t>Kelompok 68 Gunungsari</t>
  </si>
  <si>
    <t xml:space="preserve">Tanjung Family </t>
  </si>
  <si>
    <t>Nanaz</t>
  </si>
  <si>
    <t>Dandy</t>
  </si>
  <si>
    <t>Prewed 1.7jt</t>
  </si>
  <si>
    <t>HANIF, VERO</t>
  </si>
  <si>
    <t>Family B</t>
  </si>
  <si>
    <t>Wiwit Aji Prasetiyo</t>
  </si>
  <si>
    <t>dhea</t>
  </si>
  <si>
    <t>Lakban</t>
  </si>
  <si>
    <t>Sinta</t>
  </si>
  <si>
    <t>joy</t>
  </si>
  <si>
    <t>DPM FIBK UMP</t>
  </si>
  <si>
    <t>Sahrul Mulia Rahman</t>
  </si>
  <si>
    <t>Deva Nawang</t>
  </si>
  <si>
    <t>Aylin</t>
  </si>
  <si>
    <t>ADDEL</t>
  </si>
  <si>
    <t xml:space="preserve"> Meiva</t>
  </si>
  <si>
    <t>OSIS Smada</t>
  </si>
  <si>
    <t>Dhea</t>
  </si>
  <si>
    <t>Fikri Firmansyah</t>
  </si>
  <si>
    <t>Niken</t>
  </si>
  <si>
    <t>-</t>
  </si>
  <si>
    <t>Galon Studio</t>
  </si>
  <si>
    <t>Prewed Vero</t>
  </si>
  <si>
    <t>Batrai efek vokal</t>
  </si>
  <si>
    <t>Sarapan Wisuda UIN</t>
  </si>
  <si>
    <t>Aurellia Nur Avisa</t>
  </si>
  <si>
    <t>Diana</t>
  </si>
  <si>
    <t>Katty</t>
  </si>
  <si>
    <t>add edit 2</t>
  </si>
  <si>
    <t>8E 26 SPAAL</t>
  </si>
  <si>
    <t>1. Bu Henny</t>
  </si>
  <si>
    <t>2. Diah Tuzzahra</t>
  </si>
  <si>
    <t xml:space="preserve"> rido darmansyah</t>
  </si>
  <si>
    <t>vina</t>
  </si>
  <si>
    <t>3. Meita</t>
  </si>
  <si>
    <t>4. Jumiati</t>
  </si>
  <si>
    <t>5. Farraz</t>
  </si>
  <si>
    <t>6. Ulfi</t>
  </si>
  <si>
    <t>7. Sahrul</t>
  </si>
  <si>
    <t>8. Anggun</t>
  </si>
  <si>
    <t>9. Putriyana</t>
  </si>
  <si>
    <t>10. Freya</t>
  </si>
  <si>
    <t>11. Lubby</t>
  </si>
  <si>
    <t>12. Anggit</t>
  </si>
  <si>
    <t>13. Lutfi</t>
  </si>
  <si>
    <t>14. Fikri</t>
  </si>
  <si>
    <t>15. Imron</t>
  </si>
  <si>
    <t xml:space="preserve">16. Evalsefa </t>
  </si>
  <si>
    <t>17. Susana</t>
  </si>
  <si>
    <t>18. Naufall</t>
  </si>
  <si>
    <t>19. Aziz Mawardi</t>
  </si>
  <si>
    <t>20. Tri Hawa</t>
  </si>
  <si>
    <t>Gisel</t>
  </si>
  <si>
    <t>Naufal</t>
  </si>
  <si>
    <t>Risdik</t>
  </si>
  <si>
    <t>Jovanka</t>
  </si>
  <si>
    <t>Batre NPF 50W</t>
  </si>
  <si>
    <t>Addel, Indah, Adif, Hanif</t>
  </si>
  <si>
    <t>Farisqi</t>
  </si>
  <si>
    <t>Add Edit</t>
  </si>
  <si>
    <t>Annie</t>
  </si>
  <si>
    <t>Aria</t>
  </si>
  <si>
    <t>Prima</t>
  </si>
  <si>
    <t>Osis Smabara</t>
  </si>
  <si>
    <t>Fimqis</t>
  </si>
  <si>
    <t>Aesha</t>
  </si>
  <si>
    <t>Susana</t>
  </si>
  <si>
    <t xml:space="preserve"> Rifki Andera</t>
  </si>
  <si>
    <t>Coscada</t>
  </si>
  <si>
    <t>add cetak 10R</t>
  </si>
  <si>
    <t>Anindita SCOPH</t>
  </si>
  <si>
    <t>Klise</t>
  </si>
  <si>
    <t>Sunu Adi</t>
  </si>
  <si>
    <t xml:space="preserve"> Anis Al Aini</t>
  </si>
  <si>
    <t xml:space="preserve">  juhoon</t>
  </si>
  <si>
    <t>Dwi</t>
  </si>
  <si>
    <t>Fridan</t>
  </si>
  <si>
    <t>Maisya</t>
  </si>
  <si>
    <t>8E Spaal</t>
  </si>
  <si>
    <t xml:space="preserve"> Zaskia</t>
  </si>
  <si>
    <t>Labib</t>
  </si>
  <si>
    <t xml:space="preserve"> mikat</t>
  </si>
  <si>
    <t>Juhoon</t>
  </si>
  <si>
    <t>Kiran</t>
  </si>
  <si>
    <t>Anindita</t>
  </si>
  <si>
    <t xml:space="preserve">Fahme </t>
  </si>
  <si>
    <t>Resti Dita</t>
  </si>
  <si>
    <t>FADHIL</t>
  </si>
  <si>
    <t xml:space="preserve"> lulu</t>
  </si>
  <si>
    <t>Wacana gengs</t>
  </si>
  <si>
    <t>Denise</t>
  </si>
  <si>
    <t>Anis Al Aini</t>
  </si>
  <si>
    <t>Zabrina</t>
  </si>
  <si>
    <t>Della Widy</t>
  </si>
  <si>
    <t>Kelas 6F SD Al Irsyad</t>
  </si>
  <si>
    <t>Joy</t>
  </si>
  <si>
    <t>Nabila</t>
  </si>
  <si>
    <t>Danise</t>
  </si>
  <si>
    <t>Lingplengers</t>
  </si>
  <si>
    <t>Packing</t>
  </si>
  <si>
    <t>Gandes</t>
  </si>
  <si>
    <t>Ahmad Farizal</t>
  </si>
  <si>
    <t>Kelas 5E SDN 02 Al Isryad</t>
  </si>
  <si>
    <t xml:space="preserve">Zafran </t>
  </si>
  <si>
    <t>Safira</t>
  </si>
  <si>
    <t>Fadhil</t>
  </si>
  <si>
    <t>Fera</t>
  </si>
  <si>
    <t>Ardila</t>
  </si>
  <si>
    <t>Nayla Aisyah</t>
  </si>
  <si>
    <t>Reny</t>
  </si>
  <si>
    <t>Asa</t>
  </si>
  <si>
    <t>Khansa</t>
  </si>
  <si>
    <t>BEM FIBK UMP</t>
  </si>
  <si>
    <t>Wyndy</t>
  </si>
  <si>
    <t>Nadine</t>
  </si>
  <si>
    <t>Add Cetak 16R</t>
  </si>
  <si>
    <t>frame</t>
  </si>
  <si>
    <t>Fina</t>
  </si>
  <si>
    <t>Yosakoi</t>
  </si>
  <si>
    <t>Zahra</t>
  </si>
  <si>
    <t>Akbar</t>
  </si>
  <si>
    <t>Danisha</t>
  </si>
  <si>
    <t>Jasmine</t>
  </si>
  <si>
    <t>Nofia</t>
  </si>
  <si>
    <t>Erlan</t>
  </si>
  <si>
    <t>Muthi</t>
  </si>
  <si>
    <t>11 TJKT</t>
  </si>
  <si>
    <t>Ino</t>
  </si>
  <si>
    <t>Nasywa</t>
  </si>
  <si>
    <t>Wacana Gengs</t>
  </si>
  <si>
    <t>Fitria Ayu</t>
  </si>
  <si>
    <t>Nayla</t>
  </si>
  <si>
    <t>Novelin</t>
  </si>
  <si>
    <t>Paspara</t>
  </si>
  <si>
    <t>Ridwan</t>
  </si>
  <si>
    <t>Grace Adina</t>
  </si>
  <si>
    <t>Azka Rifqotun Nuha</t>
  </si>
  <si>
    <t xml:space="preserve"> Ara</t>
  </si>
  <si>
    <t xml:space="preserve"> Zidan Nugraha</t>
  </si>
  <si>
    <t>Afina</t>
  </si>
  <si>
    <t>Mikha Prima Yolenta</t>
  </si>
  <si>
    <t>Meiva</t>
  </si>
  <si>
    <t>Susana Muslikhatun</t>
  </si>
  <si>
    <t>Canvas 16RS</t>
  </si>
  <si>
    <t>Anggit</t>
  </si>
  <si>
    <t>Dyki Pratama</t>
  </si>
  <si>
    <t>Hanif Abdillah</t>
  </si>
  <si>
    <t>Violin</t>
  </si>
  <si>
    <t>Rohis Exist</t>
  </si>
  <si>
    <t>Sekarnada</t>
  </si>
  <si>
    <t>Annona</t>
  </si>
  <si>
    <t>DPM FBIK UMP</t>
  </si>
  <si>
    <t>Ara</t>
  </si>
  <si>
    <t>Amira</t>
  </si>
  <si>
    <t>Salwa Putri Meilyana</t>
  </si>
  <si>
    <t>BEM FBIK UMP</t>
  </si>
  <si>
    <t>Alya</t>
  </si>
  <si>
    <t>Qonitha Yuan</t>
  </si>
  <si>
    <t>Galon</t>
  </si>
  <si>
    <t>Batre</t>
  </si>
  <si>
    <t>Sarapan</t>
  </si>
  <si>
    <t>yuli</t>
  </si>
  <si>
    <t xml:space="preserve"> Haikal</t>
  </si>
  <si>
    <t xml:space="preserve">Zidan Nugraha </t>
  </si>
  <si>
    <t>1. Yuli</t>
  </si>
  <si>
    <t>2. Anindya</t>
  </si>
  <si>
    <t>3. Afina</t>
  </si>
  <si>
    <t>VERO</t>
  </si>
  <si>
    <t>4. Alya</t>
  </si>
  <si>
    <t>FAHME</t>
  </si>
  <si>
    <t>5. Raffi Akbar</t>
  </si>
  <si>
    <t>6. Artika Cantika</t>
  </si>
  <si>
    <t>7. Angel</t>
  </si>
  <si>
    <t>8. Azla</t>
  </si>
  <si>
    <t>9. Retha</t>
  </si>
  <si>
    <t>10. Nabilah</t>
  </si>
  <si>
    <t>11. Hanif</t>
  </si>
  <si>
    <t>12. Sunu</t>
  </si>
  <si>
    <t>13. Ahmad Fariizal</t>
  </si>
  <si>
    <t>14. Lintang</t>
  </si>
  <si>
    <t>15. Gregat</t>
  </si>
  <si>
    <t>16. Haikal</t>
  </si>
  <si>
    <t>17. Cindy</t>
  </si>
  <si>
    <t>18. Naswa</t>
  </si>
  <si>
    <t>19. Alin</t>
  </si>
  <si>
    <t>20. Rafi Ilmi</t>
  </si>
  <si>
    <t>21. Audina</t>
  </si>
  <si>
    <t>22. Lia</t>
  </si>
  <si>
    <t>23. MIkha</t>
  </si>
  <si>
    <t>24. Coki</t>
  </si>
  <si>
    <t>25. Renata</t>
  </si>
  <si>
    <t>26. Reno</t>
  </si>
  <si>
    <t>27. Dwi Nur</t>
  </si>
  <si>
    <t>28. Wiwit</t>
  </si>
  <si>
    <t>Dadang</t>
  </si>
  <si>
    <t>29. Rifki</t>
  </si>
  <si>
    <t>Nafisa</t>
  </si>
  <si>
    <t>Frame 16R</t>
  </si>
  <si>
    <t xml:space="preserve"> Fania</t>
  </si>
  <si>
    <t>addel indah</t>
  </si>
  <si>
    <t>vero fame</t>
  </si>
  <si>
    <t>hanif adif</t>
  </si>
  <si>
    <t>Makan Malam Wisuda</t>
  </si>
  <si>
    <t>Add Cetak</t>
  </si>
  <si>
    <t>5r</t>
  </si>
  <si>
    <t>Vici</t>
  </si>
  <si>
    <t>SEC-3 Smaga</t>
  </si>
  <si>
    <t>Fillaena</t>
  </si>
  <si>
    <t xml:space="preserve"> DPM Psikologi UMP</t>
  </si>
  <si>
    <t>Fania</t>
  </si>
  <si>
    <t>devina</t>
  </si>
  <si>
    <t>1. Audi</t>
  </si>
  <si>
    <t>2. Yosiana</t>
  </si>
  <si>
    <t xml:space="preserve"> Chiquita Zalfa Sabrina Putri</t>
  </si>
  <si>
    <t>3. Caca</t>
  </si>
  <si>
    <t>4. Deva Nawang</t>
  </si>
  <si>
    <t>5. Daud</t>
  </si>
  <si>
    <t>6. Sherly</t>
  </si>
  <si>
    <t>7. Seven</t>
  </si>
  <si>
    <t>8. Farah</t>
  </si>
  <si>
    <t>9. Gandes</t>
  </si>
  <si>
    <t>10. Aurellia</t>
  </si>
  <si>
    <t>11. Danisha</t>
  </si>
  <si>
    <t>12. Irvan AZis</t>
  </si>
  <si>
    <t>13. Lidia</t>
  </si>
  <si>
    <t>14. Ridho</t>
  </si>
  <si>
    <t>15. Violin</t>
  </si>
  <si>
    <t>16. Dimas</t>
  </si>
  <si>
    <t>17. Sofia Yasmin</t>
  </si>
  <si>
    <t>18. Kevin</t>
  </si>
  <si>
    <t>19. Risqa</t>
  </si>
  <si>
    <t>20. Levi</t>
  </si>
  <si>
    <t>21. Cantika</t>
  </si>
  <si>
    <t>22. Luthfi</t>
  </si>
  <si>
    <t>Hilma Nadia</t>
  </si>
  <si>
    <t>24. Awi</t>
  </si>
  <si>
    <t>Grace</t>
  </si>
  <si>
    <t>Aleisha Isaura Sabrina (Ale)</t>
  </si>
  <si>
    <t>Vina</t>
  </si>
  <si>
    <t>Sewa KOI</t>
  </si>
  <si>
    <t>indah, addel</t>
  </si>
  <si>
    <t>adif, hanif</t>
  </si>
  <si>
    <t>Sarapan Wisuda</t>
  </si>
  <si>
    <t>vero, fahme</t>
  </si>
  <si>
    <t>Yudha</t>
  </si>
  <si>
    <t>Berliana</t>
  </si>
  <si>
    <t>Keuangan</t>
  </si>
  <si>
    <t>Azka</t>
  </si>
  <si>
    <t>Hana</t>
  </si>
  <si>
    <t>Hilma</t>
  </si>
  <si>
    <t>Canvas</t>
  </si>
  <si>
    <t>Rohis EXIST</t>
  </si>
  <si>
    <t>Affryzal Candra</t>
  </si>
  <si>
    <t>DPM Psikologi UMP</t>
  </si>
  <si>
    <t>Dwii</t>
  </si>
  <si>
    <t>Nasywa Amarta</t>
  </si>
  <si>
    <t>Tamansari</t>
  </si>
  <si>
    <t>Ayu W</t>
  </si>
  <si>
    <t xml:space="preserve"> Sepuluh Tiga</t>
  </si>
  <si>
    <t>Otniel</t>
  </si>
  <si>
    <t>Adit</t>
  </si>
  <si>
    <t>Renggo</t>
  </si>
  <si>
    <t>Turtle Game Skaga</t>
  </si>
  <si>
    <t xml:space="preserve"> iqbal</t>
  </si>
  <si>
    <t>Haris</t>
  </si>
  <si>
    <t>Khoirul Fazri  Nurrokhman</t>
  </si>
  <si>
    <t xml:space="preserve"> nabilah &amp; lovia</t>
  </si>
  <si>
    <t>Ega Belva</t>
  </si>
  <si>
    <t>Wiwit/Rilly</t>
  </si>
  <si>
    <t>Nazwa</t>
  </si>
  <si>
    <t>Batik Adipati</t>
  </si>
  <si>
    <t>Qonitha</t>
  </si>
  <si>
    <t>aorin</t>
  </si>
  <si>
    <t>Chila</t>
  </si>
  <si>
    <t>Mahes</t>
  </si>
  <si>
    <t>Sepuluh Tiga</t>
  </si>
  <si>
    <t>Iqbal</t>
  </si>
  <si>
    <t>Indah</t>
  </si>
  <si>
    <t>Mona Aulia</t>
  </si>
  <si>
    <t>Laras</t>
  </si>
  <si>
    <t>OSIS SMABARA</t>
  </si>
  <si>
    <t>HMJA</t>
  </si>
  <si>
    <t>Ale</t>
  </si>
  <si>
    <t>DEMPLO FAMILY</t>
  </si>
  <si>
    <t>BEM FTS</t>
  </si>
  <si>
    <t>Bimo</t>
  </si>
  <si>
    <t>Alvin</t>
  </si>
  <si>
    <t>Yuli</t>
  </si>
  <si>
    <t>Rifki Romadhan</t>
  </si>
  <si>
    <t>Kesling</t>
  </si>
  <si>
    <t>X-10</t>
  </si>
  <si>
    <t>Akmal Firmanda</t>
  </si>
  <si>
    <t>Prili</t>
  </si>
  <si>
    <t>Dai</t>
  </si>
  <si>
    <t>all file</t>
  </si>
  <si>
    <t>Kinderjoy</t>
  </si>
  <si>
    <t>SEC 3 Smaga</t>
  </si>
  <si>
    <t>Melvi Indana Shafira</t>
  </si>
  <si>
    <t>Chiquitta</t>
  </si>
  <si>
    <t>Wiwit</t>
  </si>
  <si>
    <t>FTS Unsoed</t>
  </si>
  <si>
    <t>Hesti Nurjanah</t>
  </si>
  <si>
    <t>Ainun</t>
  </si>
  <si>
    <t>Oftalmologi</t>
  </si>
  <si>
    <t>Roro</t>
  </si>
  <si>
    <t>Keysha</t>
  </si>
  <si>
    <t>Lovia</t>
  </si>
  <si>
    <t>Darren</t>
  </si>
  <si>
    <t>Thomas</t>
  </si>
  <si>
    <t>Baygon</t>
  </si>
  <si>
    <t>Nianda</t>
  </si>
  <si>
    <t xml:space="preserve"> Teater Corak</t>
  </si>
  <si>
    <t xml:space="preserve">  abdullah asyraf</t>
  </si>
  <si>
    <t>Pramudya</t>
  </si>
  <si>
    <t>Muhammad Lubby</t>
  </si>
  <si>
    <t>Haryo Bimantoro</t>
  </si>
  <si>
    <t>geya</t>
  </si>
  <si>
    <t>Rahma Nisa</t>
  </si>
  <si>
    <t>Udy Hari</t>
  </si>
  <si>
    <t>Tekpang Telkom</t>
  </si>
  <si>
    <t>Sabrina</t>
  </si>
  <si>
    <t>Abdullah Asyraf</t>
  </si>
  <si>
    <t>Plidge</t>
  </si>
  <si>
    <t>Amplop Packing</t>
  </si>
  <si>
    <t>Lakban Kertas Mas Aiz</t>
  </si>
  <si>
    <t>Dewi Rukmana</t>
  </si>
  <si>
    <t>single 2</t>
  </si>
  <si>
    <t>Cindy</t>
  </si>
  <si>
    <t>Geya</t>
  </si>
  <si>
    <t>Aorin</t>
  </si>
  <si>
    <t>TirTor</t>
  </si>
  <si>
    <t>Melvi</t>
  </si>
  <si>
    <t>Yanuar Putra</t>
  </si>
  <si>
    <t>Fatah</t>
  </si>
  <si>
    <t>Soscare</t>
  </si>
  <si>
    <t xml:space="preserve"> adri oktaviana vedryn</t>
  </si>
  <si>
    <t>Lakban, Sticky Note</t>
  </si>
  <si>
    <t>Tutup Paralon</t>
  </si>
  <si>
    <t>Plastik</t>
  </si>
  <si>
    <t>indang</t>
  </si>
  <si>
    <t>Faiq bily akhtar</t>
  </si>
  <si>
    <t xml:space="preserve"> faye</t>
  </si>
  <si>
    <t>Lody</t>
  </si>
  <si>
    <t>Subhan</t>
  </si>
  <si>
    <t>Anggi</t>
  </si>
  <si>
    <t>Fadhiana</t>
  </si>
  <si>
    <t>Renata Bunga Ardnes</t>
  </si>
  <si>
    <t>Salwa Putri</t>
  </si>
  <si>
    <t>Faye</t>
  </si>
  <si>
    <t>add 10R</t>
  </si>
  <si>
    <t>Teater Corak</t>
  </si>
  <si>
    <t xml:space="preserve"> Tabina Earlen</t>
  </si>
  <si>
    <t>Lulu</t>
  </si>
  <si>
    <t>Rifqi Romadhon</t>
  </si>
  <si>
    <t>BOLA SMADA</t>
  </si>
  <si>
    <t>Bagas widianto</t>
  </si>
  <si>
    <t xml:space="preserve"> Maritsa</t>
  </si>
  <si>
    <t>Putri Nabila</t>
  </si>
  <si>
    <t>Alya Nabila</t>
  </si>
  <si>
    <t>Nada Naila</t>
  </si>
  <si>
    <t>Tabina</t>
  </si>
  <si>
    <t>Fauzan</t>
  </si>
  <si>
    <t>Brilita Azaria</t>
  </si>
  <si>
    <t>Devi</t>
  </si>
  <si>
    <t>Neira</t>
  </si>
  <si>
    <t>KKN Mlandi</t>
  </si>
  <si>
    <t>Pri Rahayuningsih</t>
  </si>
  <si>
    <t>doea hb</t>
  </si>
  <si>
    <t>Logi</t>
  </si>
  <si>
    <t>Arvino</t>
  </si>
  <si>
    <t>oktriana</t>
  </si>
  <si>
    <t>nadea</t>
  </si>
  <si>
    <t>Ghozy</t>
  </si>
  <si>
    <t>Rhea</t>
  </si>
  <si>
    <t>ThreeLens</t>
  </si>
  <si>
    <t>HMTM UMP</t>
  </si>
  <si>
    <t>Joshua</t>
  </si>
  <si>
    <t>Nasywaa</t>
  </si>
  <si>
    <t>Nadea</t>
  </si>
  <si>
    <t>Doehub</t>
  </si>
  <si>
    <t>Almadya</t>
  </si>
  <si>
    <t>caroline</t>
  </si>
  <si>
    <t>Anas Jauhari K.I</t>
  </si>
  <si>
    <t>Isabella</t>
  </si>
  <si>
    <t>Gifena</t>
  </si>
  <si>
    <t>Danda Aglrista</t>
  </si>
  <si>
    <t>Kamila</t>
  </si>
  <si>
    <t>pass photo, single</t>
  </si>
  <si>
    <t>Dhoni</t>
  </si>
  <si>
    <t>Haninvia</t>
  </si>
  <si>
    <t>Mega</t>
  </si>
  <si>
    <t>Aldi Putra Hamalsyah</t>
  </si>
  <si>
    <t>Almayda</t>
  </si>
  <si>
    <t>Haniff</t>
  </si>
  <si>
    <t xml:space="preserve"> Ifo Purwanti</t>
  </si>
  <si>
    <t>Agnes rani</t>
  </si>
  <si>
    <t>Maternity</t>
  </si>
  <si>
    <t xml:space="preserve">  Faizal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</si>
</sst>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m yyyy"/>
    <numFmt numFmtId="165" formatCode="[$Rp]#,##0"/>
    <numFmt numFmtId="166" formatCode="d mmmm"/>
    <numFmt numFmtId="167" formatCode="d mmm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/>
    <font>
      <b/>
      <i/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i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readingOrder="0" vertical="center"/>
    </xf>
    <xf borderId="2" fillId="2" fontId="3" numFmtId="0" xfId="0" applyAlignment="1" applyBorder="1" applyFill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2" fillId="3" fontId="3" numFmtId="0" xfId="0" applyAlignment="1" applyBorder="1" applyFill="1" applyFont="1">
      <alignment horizontal="center" readingOrder="0" vertical="center"/>
    </xf>
    <xf borderId="5" fillId="0" fontId="4" numFmtId="0" xfId="0" applyBorder="1" applyFont="1"/>
    <xf borderId="1" fillId="4" fontId="3" numFmtId="0" xfId="0" applyAlignment="1" applyBorder="1" applyFill="1" applyFont="1">
      <alignment horizontal="center" readingOrder="0" vertical="center"/>
    </xf>
    <xf borderId="1" fillId="5" fontId="3" numFmtId="0" xfId="0" applyAlignment="1" applyBorder="1" applyFill="1" applyFont="1">
      <alignment horizontal="center" readingOrder="0" vertical="center"/>
    </xf>
    <xf borderId="6" fillId="2" fontId="3" numFmtId="0" xfId="0" applyAlignment="1" applyBorder="1" applyFill="1" applyFont="1">
      <alignment horizontal="center" readingOrder="0" vertical="center"/>
    </xf>
    <xf borderId="6" fillId="3" fontId="3" numFmtId="0" xfId="0" applyAlignment="1" applyBorder="1" applyFill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6" fillId="0" fontId="1" numFmtId="164" xfId="0" applyAlignment="1" applyBorder="1" applyFont="1" applyNumberFormat="1">
      <alignment horizontal="center" readingOrder="0" vertical="center"/>
    </xf>
    <xf borderId="2" fillId="0" fontId="2" numFmtId="165" xfId="0" applyAlignment="1" applyBorder="1" applyFont="1" applyNumberFormat="1">
      <alignment horizontal="right" readingOrder="0" vertical="center"/>
    </xf>
    <xf borderId="6" fillId="0" fontId="5" numFmtId="165" xfId="0" applyAlignment="1" applyBorder="1" applyFont="1" applyNumberFormat="1">
      <alignment horizontal="right" readingOrder="0" vertical="center"/>
    </xf>
    <xf borderId="6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vertical="center"/>
    </xf>
    <xf borderId="6" fillId="0" fontId="1" numFmtId="166" xfId="0" applyAlignment="1" applyBorder="1" applyFont="1" applyNumberFormat="1">
      <alignment horizontal="center" readingOrder="0" vertical="center"/>
    </xf>
    <xf borderId="2" fillId="0" fontId="2" numFmtId="165" xfId="0" applyAlignment="1" applyBorder="1" applyFont="1" applyNumberFormat="1">
      <alignment horizontal="right" vertical="center"/>
    </xf>
    <xf borderId="6" fillId="0" fontId="1" numFmtId="0" xfId="0" applyAlignment="1" applyBorder="1" applyFont="1">
      <alignment horizontal="center" vertical="center"/>
    </xf>
    <xf borderId="6" fillId="0" fontId="5" numFmtId="165" xfId="0" applyAlignment="1" applyBorder="1" applyFont="1" applyNumberFormat="1">
      <alignment horizontal="right" vertical="center"/>
    </xf>
    <xf borderId="6" fillId="0" fontId="1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4" fontId="2" numFmtId="165" xfId="0" applyAlignment="1" applyBorder="1" applyFill="1" applyFont="1" applyNumberFormat="1">
      <alignment horizontal="center" vertical="center"/>
    </xf>
    <xf borderId="5" fillId="5" fontId="5" numFmtId="165" xfId="0" applyAlignment="1" applyBorder="1" applyFill="1" applyFont="1" applyNumberFormat="1">
      <alignment horizontal="center" vertical="center"/>
    </xf>
    <xf borderId="6" fillId="2" fontId="1" numFmtId="0" xfId="0" applyAlignment="1" applyBorder="1" applyFill="1" applyFont="1">
      <alignment horizontal="center" readingOrder="0" vertical="center"/>
    </xf>
    <xf borderId="6" fillId="2" fontId="2" numFmtId="0" xfId="0" applyAlignment="1" applyBorder="1" applyFill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left" readingOrder="0" vertical="center"/>
    </xf>
    <xf borderId="7" fillId="0" fontId="2" numFmtId="165" xfId="0" applyAlignment="1" applyBorder="1" applyFont="1" applyNumberFormat="1">
      <alignment horizontal="right" vertical="center"/>
    </xf>
    <xf borderId="0" fillId="0" fontId="1" numFmtId="165" xfId="0" applyAlignment="1" applyFont="1" applyNumberFormat="1">
      <alignment horizontal="right" vertical="center"/>
    </xf>
    <xf borderId="1" fillId="6" fontId="1" numFmtId="0" xfId="0" applyAlignment="1" applyBorder="1" applyFill="1" applyFont="1">
      <alignment horizontal="left" readingOrder="0" vertical="center"/>
    </xf>
    <xf borderId="7" fillId="7" fontId="2" numFmtId="0" xfId="0" applyAlignment="1" applyBorder="1" applyFill="1" applyFont="1">
      <alignment horizontal="center" readingOrder="0" vertical="center"/>
    </xf>
    <xf borderId="7" fillId="7" fontId="2" numFmtId="0" xfId="0" applyAlignment="1" applyBorder="1" applyFill="1" applyFont="1">
      <alignment horizontal="left" readingOrder="0" vertical="center"/>
    </xf>
    <xf borderId="7" fillId="7" fontId="2" numFmtId="165" xfId="0" applyAlignment="1" applyBorder="1" applyFill="1" applyFont="1" applyNumberFormat="1">
      <alignment horizontal="right" readingOrder="0" vertical="center"/>
    </xf>
    <xf borderId="0" fillId="0" fontId="1" numFmtId="165" xfId="0" applyAlignment="1" applyFont="1" applyNumberFormat="1">
      <alignment horizontal="right" readingOrder="0" vertical="center"/>
    </xf>
    <xf borderId="5" fillId="6" fontId="1" numFmtId="0" xfId="0" applyAlignment="1" applyBorder="1" applyFill="1" applyFont="1">
      <alignment horizontal="left" readingOrder="0" vertical="center"/>
    </xf>
    <xf borderId="5" fillId="0" fontId="1" numFmtId="0" xfId="0" applyAlignment="1" applyBorder="1" applyFont="1">
      <alignment horizontal="center" readingOrder="0" vertical="center"/>
    </xf>
    <xf borderId="7" fillId="0" fontId="2" numFmtId="165" xfId="0" applyAlignment="1" applyBorder="1" applyFont="1" applyNumberFormat="1">
      <alignment horizontal="right" readingOrder="0" vertical="center"/>
    </xf>
    <xf borderId="7" fillId="4" fontId="1" numFmtId="0" xfId="0" applyAlignment="1" applyBorder="1" applyFill="1" applyFont="1">
      <alignment horizontal="left" readingOrder="0" vertical="center"/>
    </xf>
    <xf borderId="5" fillId="4" fontId="1" numFmtId="0" xfId="0" applyAlignment="1" applyBorder="1" applyFill="1" applyFont="1">
      <alignment horizontal="left" readingOrder="0" vertical="center"/>
    </xf>
    <xf borderId="7" fillId="0" fontId="2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7" fillId="7" fontId="2" numFmtId="0" xfId="0" applyAlignment="1" applyBorder="1" applyFill="1" applyFont="1">
      <alignment horizontal="left" vertical="center"/>
    </xf>
    <xf borderId="7" fillId="7" fontId="2" numFmtId="165" xfId="0" applyAlignment="1" applyBorder="1" applyFill="1" applyFont="1" applyNumberFormat="1">
      <alignment horizontal="right" vertical="center"/>
    </xf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left" vertical="center"/>
    </xf>
    <xf borderId="5" fillId="0" fontId="2" numFmtId="165" xfId="0" applyAlignment="1" applyBorder="1" applyFont="1" applyNumberFormat="1">
      <alignment horizontal="right" vertical="center"/>
    </xf>
    <xf borderId="6" fillId="8" fontId="2" numFmtId="165" xfId="0" applyAlignment="1" applyBorder="1" applyFill="1" applyFont="1" applyNumberFormat="1">
      <alignment horizontal="center" vertical="center"/>
    </xf>
    <xf borderId="6" fillId="0" fontId="6" numFmtId="0" xfId="0" applyAlignment="1" applyBorder="1" applyFont="1">
      <alignment horizontal="center"/>
    </xf>
    <xf borderId="6" fillId="0" fontId="6" numFmtId="0" xfId="0" applyAlignment="1" applyBorder="1" applyFont="1">
      <alignment horizontal="center" vertical="bottom"/>
    </xf>
    <xf borderId="6" fillId="0" fontId="7" numFmtId="0" xfId="0" applyAlignment="1" applyBorder="1" applyFont="1">
      <alignment vertical="bottom"/>
    </xf>
    <xf borderId="6" fillId="0" fontId="7" numFmtId="166" xfId="0" applyAlignment="1" applyBorder="1" applyFont="1" applyNumberFormat="1">
      <alignment horizontal="center"/>
    </xf>
    <xf borderId="6" fillId="0" fontId="7" numFmtId="0" xfId="0" applyBorder="1" applyFont="1"/>
    <xf borderId="2" fillId="0" fontId="7" numFmtId="165" xfId="0" applyBorder="1" applyFont="1" applyNumberFormat="1"/>
    <xf borderId="6" fillId="0" fontId="8" numFmtId="165" xfId="0" applyAlignment="1" applyBorder="1" applyFont="1" applyNumberFormat="1">
      <alignment horizontal="right"/>
    </xf>
    <xf borderId="6" fillId="0" fontId="7" numFmtId="0" xfId="0" applyAlignment="1" applyBorder="1" applyFont="1">
      <alignment horizontal="center"/>
    </xf>
    <xf borderId="6" fillId="0" fontId="7" numFmtId="0" xfId="0" applyBorder="1" applyFont="1"/>
    <xf borderId="6" fillId="0" fontId="7" numFmtId="0" xfId="0" applyAlignment="1" applyBorder="1" applyFont="1">
      <alignment horizontal="center"/>
    </xf>
    <xf borderId="8" fillId="0" fontId="2" numFmtId="0" xfId="0" applyAlignment="1" applyBorder="1" applyFont="1">
      <alignment readingOrder="0"/>
    </xf>
    <xf borderId="0" fillId="0" fontId="1" numFmtId="165" xfId="0" applyAlignment="1" applyFont="1" applyNumberFormat="1">
      <alignment horizontal="center" vertical="center"/>
    </xf>
    <xf borderId="0" fillId="0" fontId="1" numFmtId="0" xfId="0" applyAlignment="1" applyFont="1">
      <alignment readingOrder="0"/>
    </xf>
    <xf borderId="9" fillId="0" fontId="7" numFmtId="0" xfId="0" applyAlignment="1" applyBorder="1" applyFont="1">
      <alignment horizontal="center" readingOrder="0" vertical="bottom"/>
    </xf>
    <xf borderId="0" fillId="0" fontId="1" numFmtId="166" xfId="0" applyAlignment="1" applyFont="1" applyNumberFormat="1">
      <alignment horizontal="center" readingOrder="0"/>
    </xf>
    <xf borderId="9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bottom"/>
    </xf>
    <xf borderId="7" fillId="7" fontId="6" numFmtId="0" xfId="0" applyBorder="1" applyFill="1" applyFont="1"/>
    <xf borderId="7" fillId="7" fontId="6" numFmtId="165" xfId="0" applyAlignment="1" applyBorder="1" applyFill="1" applyFont="1" applyNumberFormat="1">
      <alignment horizontal="right"/>
    </xf>
    <xf borderId="6" fillId="0" fontId="1" numFmtId="0" xfId="0" applyAlignment="1" applyBorder="1" applyFont="1">
      <alignment horizontal="center" readingOrder="0"/>
    </xf>
    <xf borderId="6" fillId="0" fontId="1" numFmtId="167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32.75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 t="s">
        <v>0</v>
      </c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 t="s">
        <v>19</v>
      </c>
      <c r="D4" s="17" t="s">
        <v>20</v>
      </c>
      <c r="E4" s="18"/>
      <c r="F4" s="19">
        <v>46181.0</v>
      </c>
      <c r="G4" s="20"/>
      <c r="H4" s="21">
        <v>100000.0</v>
      </c>
      <c r="I4" s="22" t="s">
        <v>21</v>
      </c>
      <c r="J4" s="22"/>
      <c r="K4" s="22"/>
      <c r="L4" s="22" t="s">
        <v>22</v>
      </c>
      <c r="M4" s="22"/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 t="s">
        <v>23</v>
      </c>
      <c r="D5" s="17" t="s">
        <v>24</v>
      </c>
      <c r="E5" s="18"/>
      <c r="F5" s="19">
        <v>46174.0</v>
      </c>
      <c r="G5" s="20">
        <v>0.0</v>
      </c>
      <c r="H5" s="21">
        <v>0.0</v>
      </c>
      <c r="I5" s="22" t="s">
        <v>25</v>
      </c>
      <c r="J5" s="22" t="s">
        <v>26</v>
      </c>
      <c r="K5" s="22" t="s">
        <v>26</v>
      </c>
      <c r="L5" s="22" t="s">
        <v>22</v>
      </c>
      <c r="M5" s="22" t="s">
        <v>27</v>
      </c>
      <c r="N5" s="25"/>
      <c r="O5" s="25"/>
      <c r="P5" s="26"/>
      <c r="Q5" s="2"/>
      <c r="R5" s="2"/>
    </row>
    <row r="6">
      <c r="A6" s="2"/>
      <c r="B6" s="15">
        <v>3.0</v>
      </c>
      <c r="C6" s="16" t="s">
        <v>28</v>
      </c>
      <c r="D6" s="17" t="s">
        <v>20</v>
      </c>
      <c r="E6" s="18"/>
      <c r="F6" s="27">
        <v>46174.0</v>
      </c>
      <c r="G6" s="28"/>
      <c r="H6" s="21">
        <v>100000.0</v>
      </c>
      <c r="I6" s="22" t="s">
        <v>21</v>
      </c>
      <c r="J6" s="22"/>
      <c r="K6" s="22"/>
      <c r="L6" s="22" t="s">
        <v>22</v>
      </c>
      <c r="M6" s="29"/>
      <c r="N6" s="25"/>
      <c r="O6" s="25"/>
      <c r="P6" s="26"/>
      <c r="Q6" s="2"/>
      <c r="R6" s="2"/>
    </row>
    <row r="7">
      <c r="A7" s="2"/>
      <c r="B7" s="15">
        <v>4.0</v>
      </c>
      <c r="C7" s="16" t="s">
        <v>29</v>
      </c>
      <c r="D7" s="17" t="s">
        <v>20</v>
      </c>
      <c r="E7" s="18"/>
      <c r="F7" s="27">
        <v>46174.0</v>
      </c>
      <c r="G7" s="20">
        <v>300000.0</v>
      </c>
      <c r="H7" s="30"/>
      <c r="I7" s="22" t="s">
        <v>25</v>
      </c>
      <c r="J7" s="22" t="s">
        <v>26</v>
      </c>
      <c r="K7" s="22" t="s">
        <v>30</v>
      </c>
      <c r="L7" s="22" t="s">
        <v>22</v>
      </c>
      <c r="M7" s="22" t="s">
        <v>27</v>
      </c>
      <c r="N7" s="25"/>
      <c r="O7" s="25"/>
      <c r="P7" s="26"/>
      <c r="Q7" s="2"/>
      <c r="R7" s="2"/>
    </row>
    <row r="8">
      <c r="A8" s="2"/>
      <c r="B8" s="15">
        <v>5.0</v>
      </c>
      <c r="C8" s="16" t="s">
        <v>31</v>
      </c>
      <c r="D8" s="17" t="s">
        <v>20</v>
      </c>
      <c r="E8" s="18"/>
      <c r="F8" s="27">
        <v>46178.0</v>
      </c>
      <c r="G8" s="20"/>
      <c r="H8" s="21">
        <v>100000.0</v>
      </c>
      <c r="I8" s="22" t="s">
        <v>21</v>
      </c>
      <c r="J8" s="22"/>
      <c r="K8" s="22"/>
      <c r="L8" s="22" t="s">
        <v>22</v>
      </c>
      <c r="M8" s="29"/>
      <c r="N8" s="25"/>
      <c r="O8" s="26"/>
      <c r="P8" s="26"/>
      <c r="Q8" s="2"/>
      <c r="R8" s="2"/>
    </row>
    <row r="9">
      <c r="A9" s="2"/>
      <c r="B9" s="15">
        <v>6.0</v>
      </c>
      <c r="C9" s="16" t="s">
        <v>32</v>
      </c>
      <c r="D9" s="17" t="s">
        <v>20</v>
      </c>
      <c r="E9" s="18"/>
      <c r="F9" s="27">
        <v>46174.0</v>
      </c>
      <c r="G9" s="20"/>
      <c r="H9" s="21">
        <v>425000.0</v>
      </c>
      <c r="I9" s="22" t="s">
        <v>25</v>
      </c>
      <c r="J9" s="22" t="s">
        <v>26</v>
      </c>
      <c r="K9" s="22" t="s">
        <v>30</v>
      </c>
      <c r="L9" s="22" t="s">
        <v>33</v>
      </c>
      <c r="M9" s="22" t="s">
        <v>27</v>
      </c>
      <c r="N9" s="25"/>
      <c r="O9" s="26"/>
      <c r="P9" s="26"/>
      <c r="Q9" s="2"/>
      <c r="R9" s="2"/>
    </row>
    <row r="10">
      <c r="A10" s="2"/>
      <c r="B10" s="15">
        <v>7.0</v>
      </c>
      <c r="C10" s="16" t="s">
        <v>28</v>
      </c>
      <c r="D10" s="17" t="s">
        <v>20</v>
      </c>
      <c r="E10" s="18"/>
      <c r="F10" s="27">
        <v>46174.0</v>
      </c>
      <c r="G10" s="20">
        <v>100000.0</v>
      </c>
      <c r="H10" s="30"/>
      <c r="I10" s="22" t="s">
        <v>25</v>
      </c>
      <c r="J10" s="22" t="s">
        <v>26</v>
      </c>
      <c r="K10" s="22" t="s">
        <v>26</v>
      </c>
      <c r="L10" s="22" t="s">
        <v>33</v>
      </c>
      <c r="M10" s="22" t="s">
        <v>34</v>
      </c>
      <c r="N10" s="25"/>
      <c r="O10" s="26"/>
      <c r="P10" s="26"/>
      <c r="Q10" s="2"/>
      <c r="R10" s="2"/>
    </row>
    <row r="11">
      <c r="A11" s="2"/>
      <c r="B11" s="15">
        <v>8.0</v>
      </c>
      <c r="C11" s="16" t="s">
        <v>35</v>
      </c>
      <c r="D11" s="17" t="s">
        <v>20</v>
      </c>
      <c r="E11" s="18"/>
      <c r="F11" s="27">
        <v>46176.0</v>
      </c>
      <c r="G11" s="20"/>
      <c r="H11" s="21">
        <v>100000.0</v>
      </c>
      <c r="I11" s="22" t="s">
        <v>21</v>
      </c>
      <c r="J11" s="22"/>
      <c r="K11" s="22"/>
      <c r="L11" s="22" t="s">
        <v>33</v>
      </c>
      <c r="M11" s="29"/>
      <c r="N11" s="25"/>
      <c r="O11" s="26"/>
      <c r="P11" s="26"/>
      <c r="Q11" s="2"/>
      <c r="R11" s="2"/>
    </row>
    <row r="12">
      <c r="A12" s="2"/>
      <c r="B12" s="15">
        <v>9.0</v>
      </c>
      <c r="C12" s="16" t="s">
        <v>36</v>
      </c>
      <c r="D12" s="17" t="s">
        <v>20</v>
      </c>
      <c r="E12" s="18"/>
      <c r="F12" s="27">
        <v>46174.0</v>
      </c>
      <c r="G12" s="20"/>
      <c r="H12" s="21">
        <v>100000.0</v>
      </c>
      <c r="I12" s="22" t="s">
        <v>21</v>
      </c>
      <c r="J12" s="22"/>
      <c r="K12" s="22"/>
      <c r="L12" s="22" t="s">
        <v>33</v>
      </c>
      <c r="M12" s="29"/>
      <c r="N12" s="25"/>
      <c r="O12" s="26"/>
      <c r="P12" s="26"/>
      <c r="Q12" s="2"/>
      <c r="R12" s="2"/>
    </row>
    <row r="13">
      <c r="A13" s="2"/>
      <c r="B13" s="15">
        <v>10.0</v>
      </c>
      <c r="C13" s="16" t="s">
        <v>37</v>
      </c>
      <c r="D13" s="17" t="s">
        <v>38</v>
      </c>
      <c r="E13" s="18"/>
      <c r="F13" s="27">
        <v>46175.0</v>
      </c>
      <c r="G13" s="20"/>
      <c r="H13" s="21">
        <v>100000.0</v>
      </c>
      <c r="I13" s="22" t="s">
        <v>21</v>
      </c>
      <c r="J13" s="22"/>
      <c r="K13" s="22"/>
      <c r="L13" s="22" t="s">
        <v>33</v>
      </c>
      <c r="M13" s="29"/>
      <c r="N13" s="25"/>
      <c r="O13" s="26"/>
      <c r="P13" s="26"/>
      <c r="Q13" s="2"/>
      <c r="R13" s="2"/>
    </row>
    <row r="14">
      <c r="A14" s="2"/>
      <c r="B14" s="31"/>
      <c r="C14" s="16" t="s">
        <v>39</v>
      </c>
      <c r="D14" s="17" t="s">
        <v>40</v>
      </c>
      <c r="E14" s="18"/>
      <c r="F14" s="27">
        <v>46182.0</v>
      </c>
      <c r="G14" s="20"/>
      <c r="H14" s="21">
        <v>100000.0</v>
      </c>
      <c r="I14" s="22" t="s">
        <v>21</v>
      </c>
      <c r="J14" s="22"/>
      <c r="K14" s="22"/>
      <c r="L14" s="22" t="s">
        <v>33</v>
      </c>
      <c r="M14" s="29"/>
      <c r="N14" s="25"/>
      <c r="O14" s="26"/>
      <c r="P14" s="26"/>
      <c r="Q14" s="2"/>
      <c r="R14" s="2"/>
    </row>
    <row r="15">
      <c r="A15" s="2"/>
      <c r="B15" s="31"/>
      <c r="C15" s="16" t="s">
        <v>41</v>
      </c>
      <c r="D15" s="17" t="s">
        <v>42</v>
      </c>
      <c r="E15" s="18" t="s">
        <v>43</v>
      </c>
      <c r="F15" s="27">
        <v>46174.0</v>
      </c>
      <c r="G15" s="20"/>
      <c r="H15" s="21">
        <v>350000.0</v>
      </c>
      <c r="I15" s="22" t="s">
        <v>25</v>
      </c>
      <c r="J15" s="22" t="s">
        <v>26</v>
      </c>
      <c r="K15" s="22" t="s">
        <v>30</v>
      </c>
      <c r="L15" s="22" t="s">
        <v>33</v>
      </c>
      <c r="M15" s="22" t="s">
        <v>34</v>
      </c>
      <c r="N15" s="25"/>
      <c r="O15" s="26"/>
      <c r="P15" s="26"/>
      <c r="Q15" s="2"/>
      <c r="R15" s="2"/>
    </row>
    <row r="16">
      <c r="A16" s="2"/>
      <c r="B16" s="31"/>
      <c r="C16" s="16" t="s">
        <v>44</v>
      </c>
      <c r="D16" s="17" t="s">
        <v>20</v>
      </c>
      <c r="E16" s="18"/>
      <c r="F16" s="27">
        <v>46176.0</v>
      </c>
      <c r="G16" s="20"/>
      <c r="H16" s="21">
        <v>100000.0</v>
      </c>
      <c r="I16" s="22" t="s">
        <v>21</v>
      </c>
      <c r="J16" s="22"/>
      <c r="K16" s="22"/>
      <c r="L16" s="22" t="s">
        <v>33</v>
      </c>
      <c r="M16" s="29"/>
      <c r="N16" s="25"/>
      <c r="O16" s="26"/>
      <c r="P16" s="26"/>
      <c r="Q16" s="2"/>
      <c r="R16" s="2"/>
    </row>
    <row r="17">
      <c r="A17" s="2"/>
      <c r="B17" s="31"/>
      <c r="C17" s="16"/>
      <c r="D17" s="17"/>
      <c r="E17" s="18"/>
      <c r="F17" s="31"/>
      <c r="G17" s="20"/>
      <c r="H17" s="30"/>
      <c r="I17" s="22"/>
      <c r="J17" s="22"/>
      <c r="K17" s="22"/>
      <c r="L17" s="29"/>
      <c r="M17" s="29"/>
      <c r="N17" s="25"/>
      <c r="O17" s="26"/>
      <c r="P17" s="26"/>
      <c r="Q17" s="2"/>
      <c r="R17" s="2"/>
    </row>
    <row r="18">
      <c r="A18" s="2"/>
      <c r="B18" s="31"/>
      <c r="C18" s="32"/>
      <c r="D18" s="17"/>
      <c r="E18" s="18"/>
      <c r="F18" s="31"/>
      <c r="G18" s="28"/>
      <c r="H18" s="30"/>
      <c r="I18" s="29"/>
      <c r="J18" s="29"/>
      <c r="K18" s="29"/>
      <c r="L18" s="29"/>
      <c r="M18" s="29"/>
      <c r="N18" s="33"/>
      <c r="O18" s="33"/>
      <c r="P18" s="33"/>
      <c r="Q18" s="2"/>
      <c r="R18" s="2"/>
    </row>
    <row r="19" ht="18.75" customHeight="1">
      <c r="A19" s="2"/>
      <c r="B19" s="2"/>
      <c r="C19" s="3"/>
      <c r="D19" s="3"/>
      <c r="E19" s="2"/>
      <c r="F19" s="2"/>
      <c r="G19" s="34">
        <f t="shared" ref="G19:H19" si="1">SUM(G4:G18)</f>
        <v>400000</v>
      </c>
      <c r="H19" s="35">
        <f t="shared" si="1"/>
        <v>1575000</v>
      </c>
      <c r="I19" s="2"/>
      <c r="J19" s="2"/>
      <c r="K19" s="2"/>
      <c r="L19" s="2"/>
      <c r="M19" s="2"/>
      <c r="N19" s="2"/>
      <c r="O19" s="2"/>
      <c r="P19" s="2"/>
      <c r="Q19" s="2"/>
      <c r="R19" s="2"/>
    </row>
    <row r="20" ht="23.25" customHeight="1">
      <c r="A20" s="2"/>
      <c r="B20" s="2"/>
      <c r="C20" s="3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>
      <c r="A21" s="2"/>
      <c r="B21" s="2"/>
      <c r="C21" s="3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>
      <c r="A22" s="2"/>
      <c r="B22" s="36" t="s">
        <v>1</v>
      </c>
      <c r="C22" s="37" t="s">
        <v>7</v>
      </c>
      <c r="D22" s="37" t="s">
        <v>45</v>
      </c>
      <c r="E22" s="1"/>
      <c r="F22" s="2"/>
      <c r="G22" s="2"/>
      <c r="H22" s="2"/>
      <c r="I22" s="2"/>
      <c r="J22" s="2"/>
      <c r="K22" s="2"/>
      <c r="L22" s="2"/>
      <c r="M22" s="2"/>
      <c r="N22" s="37" t="s">
        <v>46</v>
      </c>
      <c r="O22" s="37" t="s">
        <v>2</v>
      </c>
      <c r="P22" s="2"/>
      <c r="Q22" s="2"/>
      <c r="R22" s="2"/>
    </row>
    <row r="23">
      <c r="A23" s="2"/>
      <c r="B23" s="38">
        <v>1.0</v>
      </c>
      <c r="C23" s="39" t="s">
        <v>47</v>
      </c>
      <c r="D23" s="40">
        <f>SUM(G19)</f>
        <v>400000</v>
      </c>
      <c r="E23" s="41"/>
      <c r="F23" s="2"/>
      <c r="G23" s="2"/>
      <c r="H23" s="2"/>
      <c r="I23" s="2"/>
      <c r="J23" s="2"/>
      <c r="K23" s="2"/>
      <c r="L23" s="2"/>
      <c r="M23" s="2"/>
      <c r="N23" s="42" t="s">
        <v>48</v>
      </c>
      <c r="O23" s="23" t="s">
        <v>22</v>
      </c>
      <c r="P23" s="2"/>
      <c r="Q23" s="2"/>
      <c r="R23" s="2"/>
    </row>
    <row r="24">
      <c r="A24" s="2"/>
      <c r="B24" s="43">
        <v>2.0</v>
      </c>
      <c r="C24" s="44" t="s">
        <v>49</v>
      </c>
      <c r="D24" s="45">
        <v>-100000.0</v>
      </c>
      <c r="E24" s="46"/>
      <c r="F24" s="2"/>
      <c r="G24" s="2"/>
      <c r="H24" s="2"/>
      <c r="I24" s="2"/>
      <c r="J24" s="2"/>
      <c r="K24" s="2"/>
      <c r="L24" s="2"/>
      <c r="M24" s="2"/>
      <c r="N24" s="47" t="s">
        <v>50</v>
      </c>
      <c r="O24" s="48" t="s">
        <v>33</v>
      </c>
      <c r="P24" s="2"/>
      <c r="Q24" s="2"/>
      <c r="R24" s="2"/>
    </row>
    <row r="25">
      <c r="A25" s="2"/>
      <c r="B25" s="38">
        <v>3.0</v>
      </c>
      <c r="C25" s="39" t="s">
        <v>51</v>
      </c>
      <c r="D25" s="49">
        <v>-16000.0</v>
      </c>
      <c r="E25" s="46"/>
      <c r="F25" s="2"/>
      <c r="G25" s="2"/>
      <c r="H25" s="2"/>
      <c r="I25" s="2"/>
      <c r="J25" s="2"/>
      <c r="K25" s="2"/>
      <c r="L25" s="2"/>
      <c r="M25" s="2"/>
      <c r="N25" s="50" t="s">
        <v>52</v>
      </c>
      <c r="O25" s="25" t="s">
        <v>27</v>
      </c>
      <c r="P25" s="2"/>
      <c r="Q25" s="2"/>
      <c r="R25" s="2"/>
    </row>
    <row r="26">
      <c r="A26" s="2"/>
      <c r="B26" s="43">
        <v>4.0</v>
      </c>
      <c r="C26" s="44" t="s">
        <v>53</v>
      </c>
      <c r="D26" s="45">
        <v>-34000.0</v>
      </c>
      <c r="E26" s="46"/>
      <c r="F26" s="2"/>
      <c r="G26" s="2"/>
      <c r="H26" s="2"/>
      <c r="I26" s="2"/>
      <c r="J26" s="2"/>
      <c r="K26" s="2"/>
      <c r="L26" s="2"/>
      <c r="M26" s="2"/>
      <c r="N26" s="51" t="s">
        <v>54</v>
      </c>
      <c r="O26" s="48" t="s">
        <v>34</v>
      </c>
      <c r="P26" s="2"/>
      <c r="Q26" s="2"/>
      <c r="R26" s="2"/>
    </row>
    <row r="27">
      <c r="A27" s="2"/>
      <c r="B27" s="38"/>
      <c r="C27" s="52"/>
      <c r="D27" s="40"/>
      <c r="E27" s="41"/>
      <c r="F27" s="2"/>
      <c r="G27" s="2"/>
      <c r="H27" s="2"/>
      <c r="I27" s="2"/>
      <c r="J27" s="2"/>
      <c r="K27" s="2"/>
      <c r="L27" s="2"/>
      <c r="M27" s="2"/>
      <c r="N27" s="53"/>
      <c r="O27" s="2"/>
      <c r="P27" s="2"/>
      <c r="Q27" s="2"/>
      <c r="R27" s="2"/>
    </row>
    <row r="28">
      <c r="A28" s="2"/>
      <c r="B28" s="43"/>
      <c r="C28" s="54"/>
      <c r="D28" s="55"/>
      <c r="E28" s="4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>
      <c r="A29" s="2"/>
      <c r="B29" s="38"/>
      <c r="C29" s="52"/>
      <c r="D29" s="40"/>
      <c r="E29" s="4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>
      <c r="A30" s="2"/>
      <c r="B30" s="43"/>
      <c r="C30" s="54"/>
      <c r="D30" s="55"/>
      <c r="E30" s="4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>
      <c r="A31" s="2"/>
      <c r="B31" s="38"/>
      <c r="C31" s="52"/>
      <c r="D31" s="40"/>
      <c r="E31" s="4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2"/>
      <c r="B32" s="43"/>
      <c r="C32" s="54"/>
      <c r="D32" s="55"/>
      <c r="E32" s="4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2"/>
      <c r="B33" s="56"/>
      <c r="C33" s="57"/>
      <c r="D33" s="58"/>
      <c r="E33" s="4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2"/>
      <c r="B34" s="2"/>
      <c r="C34" s="3"/>
      <c r="D34" s="59">
        <f>SUM(D23:D33)</f>
        <v>250000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2"/>
      <c r="B35" s="2"/>
      <c r="C35" s="3"/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2"/>
      <c r="B36" s="2"/>
      <c r="C36" s="3"/>
      <c r="D36" s="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/>
      <c r="B37" s="2"/>
      <c r="C37" s="3"/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2"/>
      <c r="C38" s="3"/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 ,PENTIL,FAHME,INDAH"</formula1>
    </dataValidation>
    <dataValidation type="list" allowBlank="1" showDropDown="1" showErrorMessage="1" sqref="M4:M18 O25:O26">
      <formula1>"-,VERO,FADEL,ADIF ,FAHME,HANIF"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2"/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 t="s">
        <v>55</v>
      </c>
      <c r="D4" s="17" t="s">
        <v>40</v>
      </c>
      <c r="E4" s="18"/>
      <c r="F4" s="19">
        <v>46176.0</v>
      </c>
      <c r="G4" s="20"/>
      <c r="H4" s="21">
        <v>100000.0</v>
      </c>
      <c r="I4" s="22" t="s">
        <v>21</v>
      </c>
      <c r="J4" s="22"/>
      <c r="K4" s="22"/>
      <c r="L4" s="22" t="s">
        <v>33</v>
      </c>
      <c r="M4" s="22"/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 t="s">
        <v>56</v>
      </c>
      <c r="D5" s="17" t="s">
        <v>20</v>
      </c>
      <c r="E5" s="18"/>
      <c r="F5" s="19">
        <v>46176.0</v>
      </c>
      <c r="G5" s="20"/>
      <c r="H5" s="21">
        <v>100000.0</v>
      </c>
      <c r="I5" s="22" t="s">
        <v>21</v>
      </c>
      <c r="J5" s="22"/>
      <c r="K5" s="22"/>
      <c r="L5" s="22" t="s">
        <v>33</v>
      </c>
      <c r="M5" s="22"/>
      <c r="N5" s="25"/>
      <c r="O5" s="25"/>
      <c r="P5" s="26"/>
      <c r="Q5" s="2"/>
      <c r="R5" s="2"/>
    </row>
    <row r="6">
      <c r="A6" s="2"/>
      <c r="B6" s="15">
        <v>3.0</v>
      </c>
      <c r="C6" s="16" t="s">
        <v>57</v>
      </c>
      <c r="D6" s="17" t="s">
        <v>42</v>
      </c>
      <c r="E6" s="18"/>
      <c r="F6" s="27">
        <v>46177.0</v>
      </c>
      <c r="G6" s="28"/>
      <c r="H6" s="21">
        <v>100000.0</v>
      </c>
      <c r="I6" s="22" t="s">
        <v>21</v>
      </c>
      <c r="J6" s="22"/>
      <c r="K6" s="22"/>
      <c r="L6" s="22" t="s">
        <v>33</v>
      </c>
      <c r="M6" s="29"/>
      <c r="N6" s="25"/>
      <c r="O6" s="25"/>
      <c r="P6" s="26"/>
      <c r="Q6" s="2"/>
      <c r="R6" s="2"/>
    </row>
    <row r="7">
      <c r="A7" s="2"/>
      <c r="B7" s="15">
        <v>4.0</v>
      </c>
      <c r="C7" s="16" t="s">
        <v>37</v>
      </c>
      <c r="D7" s="17" t="s">
        <v>58</v>
      </c>
      <c r="E7" s="18"/>
      <c r="F7" s="27">
        <v>46175.0</v>
      </c>
      <c r="G7" s="20"/>
      <c r="H7" s="21">
        <v>300000.0</v>
      </c>
      <c r="I7" s="22" t="s">
        <v>25</v>
      </c>
      <c r="J7" s="22" t="s">
        <v>26</v>
      </c>
      <c r="K7" s="22" t="s">
        <v>30</v>
      </c>
      <c r="L7" s="22" t="s">
        <v>33</v>
      </c>
      <c r="M7" s="22" t="s">
        <v>27</v>
      </c>
      <c r="N7" s="25"/>
      <c r="O7" s="25"/>
      <c r="P7" s="26"/>
      <c r="Q7" s="2"/>
      <c r="R7" s="2"/>
    </row>
    <row r="8">
      <c r="A8" s="2"/>
      <c r="B8" s="15">
        <v>5.0</v>
      </c>
      <c r="C8" s="16" t="s">
        <v>59</v>
      </c>
      <c r="D8" s="17" t="s">
        <v>40</v>
      </c>
      <c r="E8" s="18"/>
      <c r="F8" s="27">
        <v>46177.0</v>
      </c>
      <c r="G8" s="20">
        <v>100000.0</v>
      </c>
      <c r="H8" s="30"/>
      <c r="I8" s="22" t="s">
        <v>21</v>
      </c>
      <c r="J8" s="22"/>
      <c r="K8" s="22"/>
      <c r="L8" s="22" t="s">
        <v>33</v>
      </c>
      <c r="M8" s="29"/>
      <c r="N8" s="25"/>
      <c r="O8" s="26"/>
      <c r="P8" s="26"/>
      <c r="Q8" s="2"/>
      <c r="R8" s="2"/>
    </row>
    <row r="9">
      <c r="A9" s="2"/>
      <c r="B9" s="15">
        <v>6.0</v>
      </c>
      <c r="C9" s="16" t="s">
        <v>60</v>
      </c>
      <c r="D9" s="17" t="s">
        <v>20</v>
      </c>
      <c r="E9" s="18"/>
      <c r="F9" s="27">
        <v>46179.0</v>
      </c>
      <c r="G9" s="20"/>
      <c r="H9" s="21">
        <v>100000.0</v>
      </c>
      <c r="I9" s="22" t="s">
        <v>21</v>
      </c>
      <c r="J9" s="22"/>
      <c r="K9" s="22"/>
      <c r="L9" s="22" t="s">
        <v>22</v>
      </c>
      <c r="M9" s="29"/>
      <c r="N9" s="25"/>
      <c r="O9" s="26"/>
      <c r="P9" s="26"/>
      <c r="Q9" s="2"/>
      <c r="R9" s="2"/>
    </row>
    <row r="10">
      <c r="A10" s="2"/>
      <c r="B10" s="15">
        <v>7.0</v>
      </c>
      <c r="C10" s="16" t="s">
        <v>61</v>
      </c>
      <c r="D10" s="17" t="s">
        <v>40</v>
      </c>
      <c r="E10" s="18"/>
      <c r="F10" s="27">
        <v>46175.0</v>
      </c>
      <c r="G10" s="20"/>
      <c r="H10" s="21">
        <v>350000.0</v>
      </c>
      <c r="I10" s="22" t="s">
        <v>25</v>
      </c>
      <c r="J10" s="22" t="s">
        <v>26</v>
      </c>
      <c r="K10" s="22" t="s">
        <v>30</v>
      </c>
      <c r="L10" s="22" t="s">
        <v>22</v>
      </c>
      <c r="M10" s="22" t="s">
        <v>62</v>
      </c>
      <c r="N10" s="25"/>
      <c r="O10" s="26"/>
      <c r="P10" s="26"/>
      <c r="Q10" s="2"/>
      <c r="R10" s="2"/>
    </row>
    <row r="11">
      <c r="A11" s="2"/>
      <c r="B11" s="15">
        <v>8.0</v>
      </c>
      <c r="C11" s="16" t="s">
        <v>63</v>
      </c>
      <c r="D11" s="17" t="s">
        <v>40</v>
      </c>
      <c r="E11" s="18"/>
      <c r="F11" s="27">
        <v>46176.0</v>
      </c>
      <c r="G11" s="20"/>
      <c r="H11" s="21">
        <v>100000.0</v>
      </c>
      <c r="I11" s="22" t="s">
        <v>21</v>
      </c>
      <c r="J11" s="22"/>
      <c r="K11" s="22"/>
      <c r="L11" s="22" t="s">
        <v>22</v>
      </c>
      <c r="M11" s="29"/>
      <c r="N11" s="25"/>
      <c r="O11" s="26"/>
      <c r="P11" s="26"/>
      <c r="Q11" s="2"/>
      <c r="R11" s="2"/>
    </row>
    <row r="12">
      <c r="A12" s="2"/>
      <c r="B12" s="15">
        <v>9.0</v>
      </c>
      <c r="C12" s="60" t="s">
        <v>64</v>
      </c>
      <c r="D12" s="61" t="s">
        <v>40</v>
      </c>
      <c r="E12" s="62"/>
      <c r="F12" s="63">
        <v>46175.0</v>
      </c>
      <c r="G12" s="20">
        <v>350000.0</v>
      </c>
      <c r="H12" s="30"/>
      <c r="I12" s="22" t="s">
        <v>25</v>
      </c>
      <c r="J12" s="22" t="s">
        <v>26</v>
      </c>
      <c r="K12" s="22" t="s">
        <v>30</v>
      </c>
      <c r="L12" s="22" t="s">
        <v>22</v>
      </c>
      <c r="M12" s="22" t="s">
        <v>62</v>
      </c>
      <c r="N12" s="25"/>
      <c r="O12" s="26"/>
      <c r="P12" s="26"/>
      <c r="Q12" s="2"/>
      <c r="R12" s="2"/>
    </row>
    <row r="13">
      <c r="A13" s="2"/>
      <c r="B13" s="15">
        <v>10.0</v>
      </c>
      <c r="C13" s="16" t="s">
        <v>65</v>
      </c>
      <c r="D13" s="17" t="s">
        <v>20</v>
      </c>
      <c r="E13" s="18"/>
      <c r="F13" s="27">
        <v>46176.0</v>
      </c>
      <c r="G13" s="20"/>
      <c r="H13" s="21">
        <v>100000.0</v>
      </c>
      <c r="I13" s="22" t="s">
        <v>21</v>
      </c>
      <c r="J13" s="22"/>
      <c r="K13" s="22"/>
      <c r="L13" s="22" t="s">
        <v>22</v>
      </c>
      <c r="M13" s="29"/>
      <c r="N13" s="25"/>
      <c r="O13" s="26"/>
      <c r="P13" s="26"/>
      <c r="Q13" s="2"/>
      <c r="R13" s="2"/>
    </row>
    <row r="14">
      <c r="A14" s="2"/>
      <c r="B14" s="31"/>
      <c r="C14" s="16" t="s">
        <v>66</v>
      </c>
      <c r="D14" s="17" t="s">
        <v>20</v>
      </c>
      <c r="E14" s="18"/>
      <c r="F14" s="27">
        <v>46176.0</v>
      </c>
      <c r="G14" s="20"/>
      <c r="H14" s="21">
        <v>100000.0</v>
      </c>
      <c r="I14" s="22" t="s">
        <v>21</v>
      </c>
      <c r="J14" s="22"/>
      <c r="K14" s="22"/>
      <c r="L14" s="22" t="s">
        <v>22</v>
      </c>
      <c r="M14" s="29"/>
      <c r="N14" s="25"/>
      <c r="O14" s="26"/>
      <c r="P14" s="26"/>
      <c r="Q14" s="2"/>
      <c r="R14" s="2"/>
    </row>
    <row r="15">
      <c r="A15" s="2"/>
      <c r="B15" s="31"/>
      <c r="C15" s="16" t="s">
        <v>67</v>
      </c>
      <c r="D15" s="17" t="s">
        <v>40</v>
      </c>
      <c r="E15" s="18"/>
      <c r="F15" s="27">
        <v>46175.0</v>
      </c>
      <c r="G15" s="20"/>
      <c r="H15" s="21">
        <v>350000.0</v>
      </c>
      <c r="I15" s="22" t="s">
        <v>25</v>
      </c>
      <c r="J15" s="22" t="s">
        <v>26</v>
      </c>
      <c r="K15" s="22" t="s">
        <v>30</v>
      </c>
      <c r="L15" s="22" t="s">
        <v>22</v>
      </c>
      <c r="M15" s="22" t="s">
        <v>62</v>
      </c>
      <c r="N15" s="25"/>
      <c r="O15" s="26"/>
      <c r="P15" s="26"/>
      <c r="Q15" s="2"/>
      <c r="R15" s="2"/>
    </row>
    <row r="16">
      <c r="A16" s="2"/>
      <c r="B16" s="31"/>
      <c r="C16" s="16" t="s">
        <v>68</v>
      </c>
      <c r="D16" s="17" t="s">
        <v>38</v>
      </c>
      <c r="E16" s="18"/>
      <c r="F16" s="27">
        <v>46178.0</v>
      </c>
      <c r="G16" s="20"/>
      <c r="H16" s="21">
        <v>100000.0</v>
      </c>
      <c r="I16" s="22" t="s">
        <v>21</v>
      </c>
      <c r="J16" s="22"/>
      <c r="K16" s="22"/>
      <c r="L16" s="22" t="s">
        <v>22</v>
      </c>
      <c r="M16" s="29"/>
      <c r="N16" s="25"/>
      <c r="O16" s="26"/>
      <c r="P16" s="26"/>
      <c r="Q16" s="2"/>
      <c r="R16" s="2"/>
    </row>
    <row r="17">
      <c r="A17" s="2"/>
      <c r="B17" s="31"/>
      <c r="C17" s="16" t="s">
        <v>69</v>
      </c>
      <c r="D17" s="17" t="s">
        <v>24</v>
      </c>
      <c r="E17" s="18"/>
      <c r="F17" s="27">
        <v>46175.0</v>
      </c>
      <c r="G17" s="20">
        <v>50000.0</v>
      </c>
      <c r="H17" s="30"/>
      <c r="I17" s="22" t="s">
        <v>25</v>
      </c>
      <c r="J17" s="22" t="s">
        <v>26</v>
      </c>
      <c r="K17" s="22" t="s">
        <v>26</v>
      </c>
      <c r="L17" s="22" t="s">
        <v>22</v>
      </c>
      <c r="M17" s="22" t="s">
        <v>62</v>
      </c>
      <c r="N17" s="25"/>
      <c r="O17" s="26"/>
      <c r="P17" s="26"/>
      <c r="Q17" s="2"/>
      <c r="R17" s="2"/>
    </row>
    <row r="18">
      <c r="A18" s="2"/>
      <c r="B18" s="31"/>
      <c r="C18" s="16" t="s">
        <v>70</v>
      </c>
      <c r="D18" s="17" t="s">
        <v>20</v>
      </c>
      <c r="E18" s="18"/>
      <c r="F18" s="27">
        <v>46177.0</v>
      </c>
      <c r="G18" s="20"/>
      <c r="H18" s="21">
        <v>100000.0</v>
      </c>
      <c r="I18" s="22" t="s">
        <v>21</v>
      </c>
      <c r="J18" s="22"/>
      <c r="K18" s="22"/>
      <c r="L18" s="22" t="s">
        <v>22</v>
      </c>
      <c r="M18" s="29"/>
      <c r="N18" s="25"/>
      <c r="O18" s="26"/>
      <c r="P18" s="26"/>
      <c r="Q18" s="2"/>
      <c r="R18" s="2"/>
    </row>
    <row r="19">
      <c r="A19" s="2"/>
      <c r="B19" s="31"/>
      <c r="C19" s="16" t="s">
        <v>71</v>
      </c>
      <c r="D19" s="17" t="s">
        <v>58</v>
      </c>
      <c r="E19" s="18" t="s">
        <v>72</v>
      </c>
      <c r="F19" s="27">
        <v>46175.0</v>
      </c>
      <c r="G19" s="20"/>
      <c r="H19" s="21">
        <v>250000.0</v>
      </c>
      <c r="I19" s="22" t="s">
        <v>25</v>
      </c>
      <c r="J19" s="22" t="s">
        <v>26</v>
      </c>
      <c r="K19" s="22" t="s">
        <v>30</v>
      </c>
      <c r="L19" s="22" t="s">
        <v>22</v>
      </c>
      <c r="M19" s="22" t="s">
        <v>27</v>
      </c>
      <c r="N19" s="25"/>
      <c r="O19" s="26"/>
      <c r="P19" s="26"/>
      <c r="Q19" s="2"/>
      <c r="R19" s="2"/>
    </row>
    <row r="20">
      <c r="A20" s="2"/>
      <c r="B20" s="31"/>
      <c r="C20" s="16" t="s">
        <v>73</v>
      </c>
      <c r="D20" s="17" t="s">
        <v>40</v>
      </c>
      <c r="E20" s="18"/>
      <c r="F20" s="27">
        <v>46190.0</v>
      </c>
      <c r="G20" s="20"/>
      <c r="H20" s="21">
        <v>100000.0</v>
      </c>
      <c r="I20" s="22" t="s">
        <v>21</v>
      </c>
      <c r="J20" s="22"/>
      <c r="K20" s="22"/>
      <c r="L20" s="22" t="s">
        <v>22</v>
      </c>
      <c r="M20" s="29"/>
      <c r="N20" s="25"/>
      <c r="O20" s="26"/>
      <c r="P20" s="26"/>
      <c r="Q20" s="2"/>
      <c r="R20" s="2"/>
    </row>
    <row r="21">
      <c r="A21" s="2"/>
      <c r="B21" s="31"/>
      <c r="C21" s="16" t="s">
        <v>74</v>
      </c>
      <c r="D21" s="17" t="s">
        <v>20</v>
      </c>
      <c r="E21" s="18"/>
      <c r="F21" s="27">
        <v>46181.0</v>
      </c>
      <c r="G21" s="20"/>
      <c r="H21" s="21">
        <v>100000.0</v>
      </c>
      <c r="I21" s="22" t="s">
        <v>21</v>
      </c>
      <c r="J21" s="22"/>
      <c r="K21" s="22"/>
      <c r="L21" s="22" t="s">
        <v>22</v>
      </c>
      <c r="M21" s="29"/>
      <c r="N21" s="25"/>
      <c r="O21" s="26"/>
      <c r="P21" s="26"/>
      <c r="Q21" s="2"/>
      <c r="R21" s="2"/>
    </row>
    <row r="22">
      <c r="A22" s="2"/>
      <c r="B22" s="31"/>
      <c r="C22" s="16" t="s">
        <v>75</v>
      </c>
      <c r="D22" s="17" t="s">
        <v>40</v>
      </c>
      <c r="E22" s="18"/>
      <c r="F22" s="27">
        <v>46176.0</v>
      </c>
      <c r="G22" s="20"/>
      <c r="H22" s="21">
        <v>100000.0</v>
      </c>
      <c r="I22" s="22" t="s">
        <v>21</v>
      </c>
      <c r="J22" s="22"/>
      <c r="K22" s="22"/>
      <c r="L22" s="22" t="s">
        <v>22</v>
      </c>
      <c r="M22" s="29"/>
      <c r="N22" s="25"/>
      <c r="O22" s="26"/>
      <c r="P22" s="26"/>
      <c r="Q22" s="2"/>
      <c r="R22" s="2"/>
    </row>
    <row r="23">
      <c r="A23" s="2"/>
      <c r="B23" s="31"/>
      <c r="C23" s="16"/>
      <c r="D23" s="17"/>
      <c r="E23" s="18"/>
      <c r="F23" s="27"/>
      <c r="G23" s="20"/>
      <c r="H23" s="21"/>
      <c r="I23" s="22"/>
      <c r="J23" s="22"/>
      <c r="K23" s="22"/>
      <c r="L23" s="22"/>
      <c r="M23" s="29"/>
      <c r="N23" s="25"/>
      <c r="O23" s="26"/>
      <c r="P23" s="26"/>
      <c r="Q23" s="2"/>
      <c r="R23" s="2"/>
    </row>
    <row r="24">
      <c r="A24" s="2"/>
      <c r="B24" s="31"/>
      <c r="C24" s="16"/>
      <c r="D24" s="17"/>
      <c r="E24" s="18"/>
      <c r="F24" s="27"/>
      <c r="G24" s="20"/>
      <c r="H24" s="21"/>
      <c r="I24" s="22"/>
      <c r="J24" s="22"/>
      <c r="K24" s="22"/>
      <c r="L24" s="22"/>
      <c r="M24" s="29"/>
      <c r="N24" s="25"/>
      <c r="O24" s="26"/>
      <c r="P24" s="26"/>
      <c r="Q24" s="2"/>
      <c r="R24" s="2"/>
    </row>
    <row r="25">
      <c r="A25" s="2"/>
      <c r="B25" s="31"/>
      <c r="C25" s="16"/>
      <c r="D25" s="17"/>
      <c r="E25" s="18"/>
      <c r="F25" s="27"/>
      <c r="G25" s="20"/>
      <c r="H25" s="21"/>
      <c r="I25" s="22"/>
      <c r="J25" s="22"/>
      <c r="K25" s="22"/>
      <c r="L25" s="22"/>
      <c r="M25" s="29"/>
      <c r="N25" s="25"/>
      <c r="O25" s="26"/>
      <c r="P25" s="26"/>
      <c r="Q25" s="2"/>
      <c r="R25" s="2"/>
    </row>
    <row r="26">
      <c r="A26" s="2"/>
      <c r="B26" s="31"/>
      <c r="C26" s="16"/>
      <c r="D26" s="17"/>
      <c r="E26" s="18"/>
      <c r="F26" s="31"/>
      <c r="G26" s="20"/>
      <c r="H26" s="30"/>
      <c r="I26" s="22"/>
      <c r="J26" s="22"/>
      <c r="K26" s="22"/>
      <c r="L26" s="29"/>
      <c r="M26" s="29"/>
      <c r="N26" s="25"/>
      <c r="O26" s="26"/>
      <c r="P26" s="26"/>
      <c r="Q26" s="2"/>
      <c r="R26" s="2"/>
    </row>
    <row r="27">
      <c r="A27" s="2"/>
      <c r="B27" s="31"/>
      <c r="C27" s="16"/>
      <c r="D27" s="17"/>
      <c r="E27" s="18"/>
      <c r="F27" s="31"/>
      <c r="G27" s="20"/>
      <c r="H27" s="30"/>
      <c r="I27" s="22"/>
      <c r="J27" s="22"/>
      <c r="K27" s="22"/>
      <c r="L27" s="29"/>
      <c r="M27" s="29"/>
      <c r="N27" s="25"/>
      <c r="O27" s="26"/>
      <c r="P27" s="26"/>
      <c r="Q27" s="2"/>
      <c r="R27" s="2"/>
    </row>
    <row r="28">
      <c r="A28" s="2"/>
      <c r="B28" s="31"/>
      <c r="C28" s="32"/>
      <c r="D28" s="17"/>
      <c r="E28" s="18"/>
      <c r="F28" s="31"/>
      <c r="G28" s="28"/>
      <c r="H28" s="30"/>
      <c r="I28" s="29"/>
      <c r="J28" s="29"/>
      <c r="K28" s="29"/>
      <c r="L28" s="29"/>
      <c r="M28" s="29"/>
      <c r="N28" s="33"/>
      <c r="O28" s="33"/>
      <c r="P28" s="33"/>
      <c r="Q28" s="2"/>
      <c r="R28" s="2"/>
    </row>
    <row r="29" ht="18.75" customHeight="1">
      <c r="A29" s="2"/>
      <c r="B29" s="2"/>
      <c r="C29" s="3"/>
      <c r="D29" s="3"/>
      <c r="E29" s="2"/>
      <c r="F29" s="2"/>
      <c r="G29" s="34">
        <f t="shared" ref="G29:H29" si="1">SUM(G4:G28)</f>
        <v>500000</v>
      </c>
      <c r="H29" s="35">
        <f t="shared" si="1"/>
        <v>2450000</v>
      </c>
      <c r="I29" s="2"/>
      <c r="J29" s="2"/>
      <c r="K29" s="2"/>
      <c r="L29" s="2"/>
      <c r="M29" s="2"/>
      <c r="N29" s="2"/>
      <c r="O29" s="2"/>
      <c r="P29" s="2"/>
      <c r="Q29" s="2"/>
      <c r="R29" s="2"/>
    </row>
    <row r="30" ht="23.25" customHeight="1">
      <c r="A30" s="2"/>
      <c r="B30" s="2"/>
      <c r="C30" s="3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>
      <c r="A31" s="2"/>
      <c r="B31" s="2"/>
      <c r="C31" s="3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2"/>
      <c r="B32" s="36" t="s">
        <v>1</v>
      </c>
      <c r="C32" s="37" t="s">
        <v>7</v>
      </c>
      <c r="D32" s="37" t="s">
        <v>45</v>
      </c>
      <c r="E32" s="1"/>
      <c r="F32" s="2"/>
      <c r="G32" s="2"/>
      <c r="H32" s="2"/>
      <c r="I32" s="2"/>
      <c r="J32" s="2"/>
      <c r="K32" s="2"/>
      <c r="L32" s="2"/>
      <c r="M32" s="2"/>
      <c r="N32" s="37" t="s">
        <v>46</v>
      </c>
      <c r="O32" s="37" t="s">
        <v>2</v>
      </c>
      <c r="P32" s="2"/>
      <c r="Q32" s="2"/>
      <c r="R32" s="2"/>
    </row>
    <row r="33">
      <c r="A33" s="2"/>
      <c r="B33" s="38">
        <v>1.0</v>
      </c>
      <c r="C33" s="39" t="s">
        <v>47</v>
      </c>
      <c r="D33" s="40">
        <f>SUM(G29)</f>
        <v>500000</v>
      </c>
      <c r="E33" s="41"/>
      <c r="F33" s="2"/>
      <c r="G33" s="2"/>
      <c r="H33" s="2"/>
      <c r="I33" s="2"/>
      <c r="J33" s="2"/>
      <c r="K33" s="2"/>
      <c r="L33" s="2"/>
      <c r="M33" s="2"/>
      <c r="N33" s="42" t="s">
        <v>48</v>
      </c>
      <c r="O33" s="23" t="s">
        <v>33</v>
      </c>
      <c r="P33" s="2"/>
      <c r="Q33" s="2"/>
      <c r="R33" s="2"/>
    </row>
    <row r="34">
      <c r="A34" s="2"/>
      <c r="B34" s="43">
        <v>2.0</v>
      </c>
      <c r="C34" s="44" t="s">
        <v>76</v>
      </c>
      <c r="D34" s="45">
        <v>-50000.0</v>
      </c>
      <c r="E34" s="46"/>
      <c r="F34" s="2"/>
      <c r="G34" s="2"/>
      <c r="H34" s="2"/>
      <c r="I34" s="2"/>
      <c r="J34" s="2"/>
      <c r="K34" s="2"/>
      <c r="L34" s="2"/>
      <c r="M34" s="2"/>
      <c r="N34" s="47" t="s">
        <v>50</v>
      </c>
      <c r="O34" s="48" t="s">
        <v>22</v>
      </c>
      <c r="P34" s="2"/>
      <c r="Q34" s="2"/>
      <c r="R34" s="2"/>
    </row>
    <row r="35">
      <c r="A35" s="2"/>
      <c r="B35" s="38">
        <v>3.0</v>
      </c>
      <c r="C35" s="39" t="s">
        <v>49</v>
      </c>
      <c r="D35" s="49">
        <v>-90000.0</v>
      </c>
      <c r="E35" s="46"/>
      <c r="F35" s="2"/>
      <c r="G35" s="2"/>
      <c r="H35" s="2"/>
      <c r="I35" s="2"/>
      <c r="J35" s="2"/>
      <c r="K35" s="2"/>
      <c r="L35" s="2"/>
      <c r="M35" s="2"/>
      <c r="N35" s="50" t="s">
        <v>52</v>
      </c>
      <c r="O35" s="25" t="s">
        <v>27</v>
      </c>
      <c r="P35" s="2"/>
      <c r="Q35" s="2"/>
      <c r="R35" s="2"/>
    </row>
    <row r="36">
      <c r="A36" s="2"/>
      <c r="B36" s="43">
        <v>4.0</v>
      </c>
      <c r="C36" s="44" t="s">
        <v>51</v>
      </c>
      <c r="D36" s="45">
        <v>-150000.0</v>
      </c>
      <c r="E36" s="46"/>
      <c r="F36" s="2"/>
      <c r="G36" s="2"/>
      <c r="H36" s="2"/>
      <c r="I36" s="2"/>
      <c r="J36" s="2"/>
      <c r="K36" s="2"/>
      <c r="L36" s="2"/>
      <c r="M36" s="2"/>
      <c r="N36" s="51" t="s">
        <v>54</v>
      </c>
      <c r="O36" s="48" t="s">
        <v>62</v>
      </c>
      <c r="P36" s="2"/>
      <c r="Q36" s="2"/>
      <c r="R36" s="2"/>
    </row>
    <row r="37">
      <c r="A37" s="2"/>
      <c r="B37" s="38"/>
      <c r="C37" s="52"/>
      <c r="D37" s="40"/>
      <c r="E37" s="41"/>
      <c r="F37" s="2"/>
      <c r="G37" s="2"/>
      <c r="H37" s="2"/>
      <c r="I37" s="2"/>
      <c r="J37" s="2"/>
      <c r="K37" s="2"/>
      <c r="L37" s="2"/>
      <c r="M37" s="2"/>
      <c r="N37" s="53"/>
      <c r="O37" s="2"/>
      <c r="P37" s="2"/>
      <c r="Q37" s="2"/>
      <c r="R37" s="2"/>
    </row>
    <row r="38">
      <c r="A38" s="2"/>
      <c r="B38" s="43"/>
      <c r="C38" s="54"/>
      <c r="D38" s="55"/>
      <c r="E38" s="4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38"/>
      <c r="C39" s="52"/>
      <c r="D39" s="40"/>
      <c r="E39" s="4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43"/>
      <c r="C40" s="54"/>
      <c r="D40" s="55"/>
      <c r="E40" s="4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38"/>
      <c r="C41" s="52"/>
      <c r="D41" s="40"/>
      <c r="E41" s="4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2"/>
      <c r="B42" s="43"/>
      <c r="C42" s="54"/>
      <c r="D42" s="55"/>
      <c r="E42" s="4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2"/>
      <c r="B43" s="56"/>
      <c r="C43" s="57"/>
      <c r="D43" s="58"/>
      <c r="E43" s="4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>
      <c r="A44" s="2"/>
      <c r="B44" s="2"/>
      <c r="C44" s="3"/>
      <c r="D44" s="59">
        <f>SUM(D33:D43)</f>
        <v>210000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2"/>
      <c r="B45" s="2"/>
      <c r="C45" s="3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>
      <c r="A46" s="2"/>
      <c r="B46" s="2"/>
      <c r="C46" s="3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>
      <c r="A47" s="2"/>
      <c r="B47" s="2"/>
      <c r="C47" s="3"/>
      <c r="D47" s="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>
      <c r="A48" s="2"/>
      <c r="B48" s="2"/>
      <c r="C48" s="3"/>
      <c r="D48" s="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8 O33:O34">
      <formula1>"-,JIJANG,ADDEL ,PENTIL,FAHME,INDAH"</formula1>
    </dataValidation>
    <dataValidation type="list" allowBlank="1" showDropDown="1" showErrorMessage="1" sqref="M4:M28 O35:O36">
      <formula1>"-,VERO,FADEL,HANIF,FAHME,ADIF"</formula1>
    </dataValidation>
    <dataValidation type="list" allowBlank="1" showErrorMessage="1" sqref="N4:N28">
      <formula1>"-,Pending,Progress,Uploaded"</formula1>
    </dataValidation>
    <dataValidation type="list" allowBlank="1" showErrorMessage="1" sqref="O4:O28">
      <formula1>"-,In Pikako,In Foxe"</formula1>
    </dataValidation>
    <dataValidation type="list" allowBlank="1" showDropDown="1" showErrorMessage="1" sqref="D4:D28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28">
      <formula1>"-,DP,Lunas"</formula1>
    </dataValidation>
    <dataValidation type="list" allowBlank="1" showDropDown="1" showErrorMessage="1" sqref="J4:K28">
      <formula1>"-,Pending,Uploaded"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2"/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 t="s">
        <v>77</v>
      </c>
      <c r="D4" s="17" t="s">
        <v>40</v>
      </c>
      <c r="E4" s="18"/>
      <c r="F4" s="19">
        <v>46190.0</v>
      </c>
      <c r="G4" s="20"/>
      <c r="H4" s="21">
        <v>100000.0</v>
      </c>
      <c r="I4" s="22" t="s">
        <v>21</v>
      </c>
      <c r="J4" s="22"/>
      <c r="K4" s="22"/>
      <c r="L4" s="22" t="s">
        <v>22</v>
      </c>
      <c r="M4" s="22"/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 t="s">
        <v>78</v>
      </c>
      <c r="D5" s="17" t="s">
        <v>40</v>
      </c>
      <c r="E5" s="18"/>
      <c r="F5" s="19">
        <v>46179.0</v>
      </c>
      <c r="G5" s="20"/>
      <c r="H5" s="21">
        <v>100000.0</v>
      </c>
      <c r="I5" s="22" t="s">
        <v>21</v>
      </c>
      <c r="J5" s="22"/>
      <c r="K5" s="22"/>
      <c r="L5" s="22" t="s">
        <v>22</v>
      </c>
      <c r="M5" s="22"/>
      <c r="N5" s="25"/>
      <c r="O5" s="25"/>
      <c r="P5" s="26"/>
      <c r="Q5" s="2"/>
      <c r="R5" s="2"/>
    </row>
    <row r="6">
      <c r="A6" s="2"/>
      <c r="B6" s="15">
        <v>3.0</v>
      </c>
      <c r="C6" s="16" t="s">
        <v>79</v>
      </c>
      <c r="D6" s="17" t="s">
        <v>20</v>
      </c>
      <c r="E6" s="18"/>
      <c r="F6" s="27">
        <v>46176.0</v>
      </c>
      <c r="G6" s="20">
        <v>775000.0</v>
      </c>
      <c r="H6" s="21"/>
      <c r="I6" s="22" t="s">
        <v>25</v>
      </c>
      <c r="J6" s="22" t="s">
        <v>26</v>
      </c>
      <c r="K6" s="22" t="s">
        <v>26</v>
      </c>
      <c r="L6" s="22" t="s">
        <v>22</v>
      </c>
      <c r="M6" s="22" t="s">
        <v>62</v>
      </c>
      <c r="N6" s="25"/>
      <c r="O6" s="25"/>
      <c r="P6" s="26"/>
      <c r="Q6" s="2"/>
      <c r="R6" s="2"/>
    </row>
    <row r="7">
      <c r="A7" s="2"/>
      <c r="B7" s="15">
        <v>4.0</v>
      </c>
      <c r="C7" s="16" t="s">
        <v>80</v>
      </c>
      <c r="D7" s="17" t="s">
        <v>42</v>
      </c>
      <c r="E7" s="18"/>
      <c r="F7" s="27">
        <v>46185.0</v>
      </c>
      <c r="G7" s="20"/>
      <c r="H7" s="21">
        <v>100000.0</v>
      </c>
      <c r="I7" s="22" t="s">
        <v>21</v>
      </c>
      <c r="J7" s="22"/>
      <c r="K7" s="22"/>
      <c r="L7" s="22" t="s">
        <v>22</v>
      </c>
      <c r="M7" s="29"/>
      <c r="N7" s="25"/>
      <c r="O7" s="25"/>
      <c r="P7" s="26"/>
      <c r="Q7" s="2"/>
      <c r="R7" s="2"/>
    </row>
    <row r="8">
      <c r="A8" s="2"/>
      <c r="B8" s="15">
        <v>5.0</v>
      </c>
      <c r="C8" s="16" t="s">
        <v>66</v>
      </c>
      <c r="D8" s="17" t="s">
        <v>20</v>
      </c>
      <c r="E8" s="18"/>
      <c r="F8" s="27">
        <v>46176.0</v>
      </c>
      <c r="G8" s="20">
        <v>650000.0</v>
      </c>
      <c r="H8" s="30"/>
      <c r="I8" s="22" t="s">
        <v>25</v>
      </c>
      <c r="J8" s="22" t="s">
        <v>26</v>
      </c>
      <c r="K8" s="22" t="s">
        <v>26</v>
      </c>
      <c r="L8" s="22" t="s">
        <v>22</v>
      </c>
      <c r="M8" s="22" t="s">
        <v>62</v>
      </c>
      <c r="N8" s="25"/>
      <c r="O8" s="26"/>
      <c r="P8" s="26"/>
      <c r="Q8" s="2"/>
      <c r="R8" s="2"/>
    </row>
    <row r="9">
      <c r="A9" s="2"/>
      <c r="B9" s="15">
        <v>6.0</v>
      </c>
      <c r="C9" s="16" t="s">
        <v>59</v>
      </c>
      <c r="D9" s="17" t="s">
        <v>40</v>
      </c>
      <c r="E9" s="18"/>
      <c r="F9" s="27">
        <v>46176.0</v>
      </c>
      <c r="G9" s="20">
        <v>250000.0</v>
      </c>
      <c r="H9" s="30"/>
      <c r="I9" s="22" t="s">
        <v>25</v>
      </c>
      <c r="J9" s="22" t="s">
        <v>26</v>
      </c>
      <c r="K9" s="22" t="s">
        <v>30</v>
      </c>
      <c r="L9" s="22" t="s">
        <v>22</v>
      </c>
      <c r="M9" s="22" t="s">
        <v>62</v>
      </c>
      <c r="N9" s="25"/>
      <c r="O9" s="26"/>
      <c r="P9" s="26"/>
      <c r="Q9" s="2"/>
      <c r="R9" s="2"/>
    </row>
    <row r="10">
      <c r="A10" s="2"/>
      <c r="B10" s="15">
        <v>7.0</v>
      </c>
      <c r="C10" s="16" t="s">
        <v>81</v>
      </c>
      <c r="D10" s="17" t="s">
        <v>82</v>
      </c>
      <c r="E10" s="18"/>
      <c r="F10" s="27">
        <v>46176.0</v>
      </c>
      <c r="G10" s="20"/>
      <c r="H10" s="21">
        <v>400000.0</v>
      </c>
      <c r="I10" s="22" t="s">
        <v>25</v>
      </c>
      <c r="J10" s="22" t="s">
        <v>26</v>
      </c>
      <c r="K10" s="22" t="s">
        <v>30</v>
      </c>
      <c r="L10" s="22" t="s">
        <v>22</v>
      </c>
      <c r="M10" s="22" t="s">
        <v>62</v>
      </c>
      <c r="N10" s="25"/>
      <c r="O10" s="26"/>
      <c r="P10" s="26"/>
      <c r="Q10" s="2"/>
      <c r="R10" s="2"/>
    </row>
    <row r="11">
      <c r="A11" s="2"/>
      <c r="B11" s="15">
        <v>8.0</v>
      </c>
      <c r="C11" s="16" t="s">
        <v>75</v>
      </c>
      <c r="D11" s="17" t="s">
        <v>40</v>
      </c>
      <c r="E11" s="18"/>
      <c r="F11" s="27">
        <v>46176.0</v>
      </c>
      <c r="G11" s="20"/>
      <c r="H11" s="21">
        <v>250000.0</v>
      </c>
      <c r="I11" s="22" t="s">
        <v>25</v>
      </c>
      <c r="J11" s="22" t="s">
        <v>26</v>
      </c>
      <c r="K11" s="22" t="s">
        <v>30</v>
      </c>
      <c r="L11" s="22" t="s">
        <v>22</v>
      </c>
      <c r="M11" s="22" t="s">
        <v>83</v>
      </c>
      <c r="N11" s="25"/>
      <c r="O11" s="26"/>
      <c r="P11" s="26"/>
      <c r="Q11" s="2"/>
      <c r="R11" s="2"/>
    </row>
    <row r="12">
      <c r="A12" s="2"/>
      <c r="B12" s="15">
        <v>9.0</v>
      </c>
      <c r="C12" s="16" t="s">
        <v>84</v>
      </c>
      <c r="D12" s="17" t="s">
        <v>85</v>
      </c>
      <c r="E12" s="18"/>
      <c r="F12" s="27">
        <v>46180.0</v>
      </c>
      <c r="G12" s="20"/>
      <c r="H12" s="21">
        <v>300000.0</v>
      </c>
      <c r="I12" s="22" t="s">
        <v>21</v>
      </c>
      <c r="J12" s="22"/>
      <c r="K12" s="22"/>
      <c r="L12" s="22" t="s">
        <v>22</v>
      </c>
      <c r="M12" s="29"/>
      <c r="N12" s="25"/>
      <c r="O12" s="26"/>
      <c r="P12" s="26"/>
      <c r="Q12" s="2"/>
      <c r="R12" s="2"/>
    </row>
    <row r="13">
      <c r="A13" s="2"/>
      <c r="B13" s="15">
        <v>10.0</v>
      </c>
      <c r="C13" s="16" t="s">
        <v>86</v>
      </c>
      <c r="D13" s="17" t="s">
        <v>40</v>
      </c>
      <c r="E13" s="18"/>
      <c r="F13" s="27">
        <v>46177.0</v>
      </c>
      <c r="G13" s="20"/>
      <c r="H13" s="21">
        <v>100000.0</v>
      </c>
      <c r="I13" s="22" t="s">
        <v>21</v>
      </c>
      <c r="J13" s="22"/>
      <c r="K13" s="22"/>
      <c r="L13" s="22" t="s">
        <v>22</v>
      </c>
      <c r="M13" s="29"/>
      <c r="N13" s="25"/>
      <c r="O13" s="26"/>
      <c r="P13" s="26"/>
      <c r="Q13" s="2"/>
      <c r="R13" s="2"/>
    </row>
    <row r="14">
      <c r="A14" s="2"/>
      <c r="B14" s="31"/>
      <c r="C14" s="16" t="s">
        <v>87</v>
      </c>
      <c r="D14" s="17" t="s">
        <v>40</v>
      </c>
      <c r="E14" s="18"/>
      <c r="F14" s="27">
        <v>46176.0</v>
      </c>
      <c r="G14" s="20">
        <v>290000.0</v>
      </c>
      <c r="H14" s="30"/>
      <c r="I14" s="22" t="s">
        <v>25</v>
      </c>
      <c r="J14" s="22" t="s">
        <v>26</v>
      </c>
      <c r="K14" s="22" t="s">
        <v>30</v>
      </c>
      <c r="L14" s="22" t="s">
        <v>22</v>
      </c>
      <c r="M14" s="22" t="s">
        <v>62</v>
      </c>
      <c r="N14" s="25"/>
      <c r="O14" s="26"/>
      <c r="P14" s="26"/>
      <c r="Q14" s="2"/>
      <c r="R14" s="2"/>
    </row>
    <row r="15">
      <c r="A15" s="2"/>
      <c r="B15" s="31"/>
      <c r="C15" s="16" t="s">
        <v>35</v>
      </c>
      <c r="D15" s="17" t="s">
        <v>20</v>
      </c>
      <c r="E15" s="18"/>
      <c r="F15" s="27">
        <v>46176.0</v>
      </c>
      <c r="G15" s="20">
        <v>75000.0</v>
      </c>
      <c r="H15" s="30"/>
      <c r="I15" s="22" t="s">
        <v>25</v>
      </c>
      <c r="J15" s="22" t="s">
        <v>26</v>
      </c>
      <c r="K15" s="22" t="s">
        <v>30</v>
      </c>
      <c r="L15" s="22" t="s">
        <v>22</v>
      </c>
      <c r="M15" s="22" t="s">
        <v>83</v>
      </c>
      <c r="N15" s="25"/>
      <c r="O15" s="26"/>
      <c r="P15" s="26"/>
      <c r="Q15" s="2"/>
      <c r="R15" s="2"/>
    </row>
    <row r="16">
      <c r="A16" s="2"/>
      <c r="B16" s="31"/>
      <c r="C16" s="16" t="s">
        <v>63</v>
      </c>
      <c r="D16" s="17" t="s">
        <v>40</v>
      </c>
      <c r="E16" s="18"/>
      <c r="F16" s="27">
        <v>46176.0</v>
      </c>
      <c r="G16" s="20">
        <v>250000.0</v>
      </c>
      <c r="H16" s="30"/>
      <c r="I16" s="22" t="s">
        <v>25</v>
      </c>
      <c r="J16" s="22" t="s">
        <v>26</v>
      </c>
      <c r="K16" s="22" t="s">
        <v>30</v>
      </c>
      <c r="L16" s="22" t="s">
        <v>22</v>
      </c>
      <c r="M16" s="22" t="s">
        <v>62</v>
      </c>
      <c r="N16" s="25"/>
      <c r="O16" s="26"/>
      <c r="P16" s="26"/>
      <c r="Q16" s="2"/>
      <c r="R16" s="2"/>
    </row>
    <row r="17">
      <c r="A17" s="2"/>
      <c r="B17" s="31"/>
      <c r="C17" s="16" t="s">
        <v>88</v>
      </c>
      <c r="D17" s="17" t="s">
        <v>20</v>
      </c>
      <c r="E17" s="18"/>
      <c r="F17" s="27">
        <v>46177.0</v>
      </c>
      <c r="G17" s="20"/>
      <c r="H17" s="21">
        <v>100000.0</v>
      </c>
      <c r="I17" s="22" t="s">
        <v>21</v>
      </c>
      <c r="J17" s="22"/>
      <c r="K17" s="22"/>
      <c r="L17" s="22" t="s">
        <v>22</v>
      </c>
      <c r="M17" s="29"/>
      <c r="N17" s="25"/>
      <c r="O17" s="26"/>
      <c r="P17" s="26"/>
      <c r="Q17" s="2"/>
      <c r="R17" s="2"/>
    </row>
    <row r="18">
      <c r="A18" s="2"/>
      <c r="B18" s="31"/>
      <c r="C18" s="16" t="s">
        <v>89</v>
      </c>
      <c r="D18" s="17" t="s">
        <v>82</v>
      </c>
      <c r="E18" s="18"/>
      <c r="F18" s="27">
        <v>46176.0</v>
      </c>
      <c r="G18" s="20">
        <v>500000.0</v>
      </c>
      <c r="H18" s="30"/>
      <c r="I18" s="22" t="s">
        <v>25</v>
      </c>
      <c r="J18" s="22" t="s">
        <v>26</v>
      </c>
      <c r="K18" s="22" t="s">
        <v>30</v>
      </c>
      <c r="L18" s="22" t="s">
        <v>22</v>
      </c>
      <c r="M18" s="22" t="s">
        <v>62</v>
      </c>
      <c r="N18" s="25"/>
      <c r="O18" s="26"/>
      <c r="P18" s="26"/>
      <c r="Q18" s="2"/>
      <c r="R18" s="2"/>
    </row>
    <row r="19">
      <c r="A19" s="2"/>
      <c r="B19" s="31"/>
      <c r="C19" s="16" t="s">
        <v>90</v>
      </c>
      <c r="D19" s="17" t="s">
        <v>20</v>
      </c>
      <c r="E19" s="18"/>
      <c r="F19" s="27">
        <v>46176.0</v>
      </c>
      <c r="G19" s="20"/>
      <c r="H19" s="21">
        <v>200000.0</v>
      </c>
      <c r="I19" s="22" t="s">
        <v>25</v>
      </c>
      <c r="J19" s="22" t="s">
        <v>26</v>
      </c>
      <c r="K19" s="22" t="s">
        <v>26</v>
      </c>
      <c r="L19" s="22" t="s">
        <v>22</v>
      </c>
      <c r="M19" s="22" t="s">
        <v>62</v>
      </c>
      <c r="N19" s="25"/>
      <c r="O19" s="26"/>
      <c r="P19" s="26"/>
      <c r="Q19" s="2"/>
      <c r="R19" s="2"/>
    </row>
    <row r="20">
      <c r="A20" s="2"/>
      <c r="B20" s="64"/>
      <c r="C20" s="60" t="s">
        <v>91</v>
      </c>
      <c r="D20" s="61" t="s">
        <v>92</v>
      </c>
      <c r="E20" s="62"/>
      <c r="F20" s="63">
        <v>46177.0</v>
      </c>
      <c r="G20" s="65"/>
      <c r="H20" s="66">
        <v>100000.0</v>
      </c>
      <c r="I20" s="67" t="s">
        <v>25</v>
      </c>
      <c r="J20" s="68"/>
      <c r="K20" s="68"/>
      <c r="L20" s="69" t="s">
        <v>22</v>
      </c>
      <c r="M20" s="29"/>
      <c r="N20" s="25"/>
      <c r="O20" s="26"/>
      <c r="P20" s="26"/>
      <c r="Q20" s="2"/>
      <c r="R20" s="2"/>
    </row>
    <row r="21">
      <c r="A21" s="2"/>
      <c r="B21" s="64"/>
      <c r="C21" s="60" t="s">
        <v>93</v>
      </c>
      <c r="D21" s="61" t="s">
        <v>40</v>
      </c>
      <c r="E21" s="62"/>
      <c r="F21" s="63">
        <v>46179.0</v>
      </c>
      <c r="G21" s="65"/>
      <c r="H21" s="66">
        <v>100000.0</v>
      </c>
      <c r="I21" s="67" t="s">
        <v>21</v>
      </c>
      <c r="J21" s="68"/>
      <c r="K21" s="68"/>
      <c r="L21" s="69" t="s">
        <v>22</v>
      </c>
      <c r="M21" s="29"/>
      <c r="N21" s="25"/>
      <c r="O21" s="26"/>
      <c r="P21" s="26"/>
      <c r="Q21" s="2"/>
      <c r="R21" s="2"/>
    </row>
    <row r="22">
      <c r="A22" s="2"/>
      <c r="B22" s="64"/>
      <c r="C22" s="60" t="s">
        <v>94</v>
      </c>
      <c r="D22" s="61" t="s">
        <v>20</v>
      </c>
      <c r="E22" s="62"/>
      <c r="F22" s="63">
        <v>46188.0</v>
      </c>
      <c r="G22" s="65"/>
      <c r="H22" s="66">
        <v>100000.0</v>
      </c>
      <c r="I22" s="67" t="s">
        <v>21</v>
      </c>
      <c r="J22" s="68"/>
      <c r="K22" s="68"/>
      <c r="L22" s="69" t="s">
        <v>22</v>
      </c>
      <c r="M22" s="29"/>
      <c r="N22" s="25"/>
      <c r="O22" s="26"/>
      <c r="P22" s="26"/>
      <c r="Q22" s="2"/>
      <c r="R22" s="2"/>
    </row>
    <row r="23">
      <c r="A23" s="2"/>
      <c r="B23" s="31"/>
      <c r="C23" s="16" t="s">
        <v>95</v>
      </c>
      <c r="D23" s="17" t="s">
        <v>20</v>
      </c>
      <c r="E23" s="18"/>
      <c r="F23" s="27">
        <v>46176.0</v>
      </c>
      <c r="G23" s="20"/>
      <c r="H23" s="21">
        <v>300000.0</v>
      </c>
      <c r="I23" s="22" t="s">
        <v>25</v>
      </c>
      <c r="J23" s="22" t="s">
        <v>26</v>
      </c>
      <c r="K23" s="22" t="s">
        <v>30</v>
      </c>
      <c r="L23" s="22" t="s">
        <v>22</v>
      </c>
      <c r="M23" s="22" t="s">
        <v>62</v>
      </c>
      <c r="N23" s="25"/>
      <c r="O23" s="26"/>
      <c r="P23" s="26"/>
      <c r="Q23" s="2"/>
      <c r="R23" s="2"/>
    </row>
    <row r="24">
      <c r="A24" s="2"/>
      <c r="B24" s="31"/>
      <c r="C24" s="16"/>
      <c r="D24" s="17"/>
      <c r="E24" s="18"/>
      <c r="F24" s="31"/>
      <c r="G24" s="20"/>
      <c r="H24" s="30"/>
      <c r="I24" s="22"/>
      <c r="J24" s="22"/>
      <c r="K24" s="22"/>
      <c r="L24" s="29"/>
      <c r="M24" s="29"/>
      <c r="N24" s="25"/>
      <c r="O24" s="26"/>
      <c r="P24" s="26"/>
      <c r="Q24" s="2"/>
      <c r="R24" s="2"/>
    </row>
    <row r="25">
      <c r="A25" s="2"/>
      <c r="B25" s="31"/>
      <c r="C25" s="16"/>
      <c r="D25" s="17"/>
      <c r="E25" s="18"/>
      <c r="F25" s="31"/>
      <c r="G25" s="20"/>
      <c r="H25" s="30"/>
      <c r="I25" s="22"/>
      <c r="J25" s="22"/>
      <c r="K25" s="22"/>
      <c r="L25" s="29"/>
      <c r="M25" s="29"/>
      <c r="N25" s="25"/>
      <c r="O25" s="26"/>
      <c r="P25" s="26"/>
      <c r="Q25" s="2"/>
      <c r="R25" s="2"/>
    </row>
    <row r="26">
      <c r="A26" s="2"/>
      <c r="B26" s="31"/>
      <c r="C26" s="32"/>
      <c r="D26" s="17"/>
      <c r="E26" s="18"/>
      <c r="F26" s="31"/>
      <c r="G26" s="28"/>
      <c r="H26" s="30"/>
      <c r="I26" s="29"/>
      <c r="J26" s="29"/>
      <c r="K26" s="29"/>
      <c r="L26" s="29"/>
      <c r="M26" s="29"/>
      <c r="N26" s="33"/>
      <c r="O26" s="33"/>
      <c r="P26" s="33"/>
      <c r="Q26" s="2"/>
      <c r="R26" s="2"/>
    </row>
    <row r="27" ht="18.75" customHeight="1">
      <c r="A27" s="2"/>
      <c r="B27" s="2"/>
      <c r="C27" s="3"/>
      <c r="D27" s="3"/>
      <c r="E27" s="2"/>
      <c r="F27" s="2"/>
      <c r="G27" s="34">
        <f t="shared" ref="G27:H27" si="1">SUM(G4:G26)</f>
        <v>2790000</v>
      </c>
      <c r="H27" s="35">
        <f t="shared" si="1"/>
        <v>2250000</v>
      </c>
      <c r="I27" s="2"/>
      <c r="J27" s="2"/>
      <c r="K27" s="2"/>
      <c r="L27" s="2"/>
      <c r="M27" s="2"/>
      <c r="N27" s="2"/>
      <c r="O27" s="2"/>
      <c r="P27" s="2"/>
      <c r="Q27" s="2"/>
      <c r="R27" s="2"/>
    </row>
    <row r="28" ht="23.25" customHeight="1">
      <c r="A28" s="2"/>
      <c r="B28" s="2"/>
      <c r="C28" s="3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>
      <c r="A29" s="2"/>
      <c r="B29" s="2"/>
      <c r="C29" s="3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>
      <c r="A30" s="2"/>
      <c r="B30" s="36" t="s">
        <v>1</v>
      </c>
      <c r="C30" s="37" t="s">
        <v>7</v>
      </c>
      <c r="D30" s="37" t="s">
        <v>45</v>
      </c>
      <c r="E30" s="1"/>
      <c r="F30" s="2"/>
      <c r="G30" s="2"/>
      <c r="H30" s="2"/>
      <c r="I30" s="2"/>
      <c r="J30" s="2"/>
      <c r="K30" s="2"/>
      <c r="L30" s="2"/>
      <c r="M30" s="2"/>
      <c r="N30" s="37" t="s">
        <v>46</v>
      </c>
      <c r="O30" s="37" t="s">
        <v>2</v>
      </c>
      <c r="P30" s="2"/>
      <c r="Q30" s="2"/>
      <c r="R30" s="2"/>
    </row>
    <row r="31">
      <c r="A31" s="2"/>
      <c r="B31" s="38">
        <v>1.0</v>
      </c>
      <c r="C31" s="39" t="s">
        <v>47</v>
      </c>
      <c r="D31" s="40">
        <f>SUM(G27)</f>
        <v>2790000</v>
      </c>
      <c r="E31" s="41"/>
      <c r="F31" s="2"/>
      <c r="G31" s="2"/>
      <c r="H31" s="2"/>
      <c r="I31" s="2"/>
      <c r="J31" s="2"/>
      <c r="K31" s="2"/>
      <c r="L31" s="2"/>
      <c r="M31" s="2"/>
      <c r="N31" s="42" t="s">
        <v>48</v>
      </c>
      <c r="O31" s="23" t="s">
        <v>22</v>
      </c>
      <c r="P31" s="2"/>
      <c r="Q31" s="2"/>
      <c r="R31" s="2"/>
    </row>
    <row r="32">
      <c r="A32" s="2"/>
      <c r="B32" s="43">
        <v>2.0</v>
      </c>
      <c r="C32" s="44" t="s">
        <v>96</v>
      </c>
      <c r="D32" s="45">
        <v>-10000.0</v>
      </c>
      <c r="E32" s="46"/>
      <c r="F32" s="2"/>
      <c r="G32" s="2"/>
      <c r="H32" s="2"/>
      <c r="I32" s="2"/>
      <c r="J32" s="2"/>
      <c r="K32" s="2"/>
      <c r="L32" s="2"/>
      <c r="M32" s="2"/>
      <c r="N32" s="47" t="s">
        <v>50</v>
      </c>
      <c r="O32" s="48" t="s">
        <v>22</v>
      </c>
      <c r="P32" s="2"/>
      <c r="Q32" s="2"/>
      <c r="R32" s="2"/>
    </row>
    <row r="33">
      <c r="A33" s="2"/>
      <c r="B33" s="38">
        <v>3.0</v>
      </c>
      <c r="C33" s="39" t="s">
        <v>76</v>
      </c>
      <c r="D33" s="49">
        <v>-65000.0</v>
      </c>
      <c r="E33" s="46"/>
      <c r="F33" s="2"/>
      <c r="G33" s="2"/>
      <c r="H33" s="2"/>
      <c r="I33" s="2"/>
      <c r="J33" s="2"/>
      <c r="K33" s="2"/>
      <c r="L33" s="2"/>
      <c r="M33" s="2"/>
      <c r="N33" s="50" t="s">
        <v>52</v>
      </c>
      <c r="O33" s="25" t="s">
        <v>62</v>
      </c>
      <c r="P33" s="2"/>
      <c r="Q33" s="2"/>
      <c r="R33" s="2"/>
    </row>
    <row r="34">
      <c r="A34" s="2"/>
      <c r="B34" s="43">
        <v>4.0</v>
      </c>
      <c r="C34" s="44" t="s">
        <v>97</v>
      </c>
      <c r="D34" s="45">
        <v>-15000.0</v>
      </c>
      <c r="E34" s="46"/>
      <c r="F34" s="2"/>
      <c r="G34" s="2"/>
      <c r="H34" s="2"/>
      <c r="I34" s="2"/>
      <c r="J34" s="2"/>
      <c r="K34" s="2"/>
      <c r="L34" s="2"/>
      <c r="M34" s="2"/>
      <c r="N34" s="51" t="s">
        <v>54</v>
      </c>
      <c r="O34" s="48" t="s">
        <v>62</v>
      </c>
      <c r="P34" s="2"/>
      <c r="Q34" s="2"/>
      <c r="R34" s="2"/>
    </row>
    <row r="35">
      <c r="A35" s="2"/>
      <c r="B35" s="38"/>
      <c r="C35" s="52"/>
      <c r="D35" s="40"/>
      <c r="E35" s="41"/>
      <c r="F35" s="2"/>
      <c r="G35" s="2"/>
      <c r="H35" s="2"/>
      <c r="I35" s="2"/>
      <c r="J35" s="2"/>
      <c r="K35" s="2"/>
      <c r="L35" s="2"/>
      <c r="M35" s="2"/>
      <c r="N35" s="53"/>
      <c r="O35" s="1"/>
      <c r="P35" s="2"/>
      <c r="Q35" s="2"/>
      <c r="R35" s="2"/>
    </row>
    <row r="36">
      <c r="A36" s="2"/>
      <c r="B36" s="43"/>
      <c r="C36" s="54"/>
      <c r="D36" s="55"/>
      <c r="E36" s="4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/>
      <c r="B37" s="38"/>
      <c r="C37" s="52"/>
      <c r="D37" s="40"/>
      <c r="E37" s="4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43"/>
      <c r="C38" s="54"/>
      <c r="D38" s="55"/>
      <c r="E38" s="4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38"/>
      <c r="C39" s="52"/>
      <c r="D39" s="40"/>
      <c r="E39" s="4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43"/>
      <c r="C40" s="54"/>
      <c r="D40" s="55"/>
      <c r="E40" s="4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56"/>
      <c r="C41" s="57"/>
      <c r="D41" s="58"/>
      <c r="E41" s="4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2"/>
      <c r="B42" s="2"/>
      <c r="C42" s="3"/>
      <c r="D42" s="59">
        <f>SUM(D31:D41)</f>
        <v>2700000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2"/>
      <c r="B43" s="2"/>
      <c r="C43" s="3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>
      <c r="A44" s="2"/>
      <c r="B44" s="2"/>
      <c r="C44" s="3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2"/>
      <c r="B45" s="2"/>
      <c r="C45" s="3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>
      <c r="A46" s="2"/>
      <c r="B46" s="2"/>
      <c r="C46" s="3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9 L23:L26 O31:O32">
      <formula1>"-,JIJANG,AXEL,PENTIL,FAHME,INDAH"</formula1>
    </dataValidation>
    <dataValidation type="list" allowBlank="1" showDropDown="1" showErrorMessage="1" sqref="L20:L22">
      <formula1>"-,JIJANG,ADDEL ,PENTIL,FAHME,INDAH"</formula1>
    </dataValidation>
    <dataValidation type="list" allowBlank="1" showDropDown="1" showErrorMessage="1" sqref="M4:M26 O33:O34">
      <formula1>"-,VERO,FADEL,PENTIL,FAHME,ADIF,JISA"</formula1>
    </dataValidation>
    <dataValidation type="list" allowBlank="1" showErrorMessage="1" sqref="N4:N26">
      <formula1>"-,Pending,Progress,Uploaded"</formula1>
    </dataValidation>
    <dataValidation type="list" allowBlank="1" showDropDown="1" showErrorMessage="1" sqref="D4:D19 D23:D26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26">
      <formula1>"-,In Pikako,In Foxe"</formula1>
    </dataValidation>
    <dataValidation type="list" allowBlank="1" showDropDown="1" showErrorMessage="1" sqref="D20:D22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26">
      <formula1>"-,DP,Lunas"</formula1>
    </dataValidation>
    <dataValidation type="list" allowBlank="1" showDropDown="1" showErrorMessage="1" sqref="J4:K26">
      <formula1>"-,Pending,Uploaded"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2"/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 t="s">
        <v>98</v>
      </c>
      <c r="D4" s="17" t="s">
        <v>82</v>
      </c>
      <c r="E4" s="18"/>
      <c r="F4" s="19">
        <v>46177.0</v>
      </c>
      <c r="G4" s="20"/>
      <c r="H4" s="21">
        <v>400000.0</v>
      </c>
      <c r="I4" s="22" t="s">
        <v>25</v>
      </c>
      <c r="J4" s="22"/>
      <c r="K4" s="22"/>
      <c r="L4" s="22" t="s">
        <v>22</v>
      </c>
      <c r="M4" s="22"/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 t="s">
        <v>99</v>
      </c>
      <c r="D5" s="17" t="s">
        <v>40</v>
      </c>
      <c r="E5" s="18"/>
      <c r="F5" s="19">
        <v>46190.0</v>
      </c>
      <c r="G5" s="20"/>
      <c r="H5" s="21">
        <v>250000.0</v>
      </c>
      <c r="I5" s="22" t="s">
        <v>25</v>
      </c>
      <c r="J5" s="22"/>
      <c r="K5" s="22"/>
      <c r="L5" s="22" t="s">
        <v>22</v>
      </c>
      <c r="M5" s="22"/>
      <c r="N5" s="25"/>
      <c r="O5" s="25"/>
      <c r="P5" s="26"/>
      <c r="Q5" s="2"/>
      <c r="R5" s="2"/>
    </row>
    <row r="6">
      <c r="A6" s="2"/>
      <c r="B6" s="15">
        <v>3.0</v>
      </c>
      <c r="C6" s="16" t="s">
        <v>100</v>
      </c>
      <c r="D6" s="17" t="s">
        <v>20</v>
      </c>
      <c r="E6" s="18"/>
      <c r="F6" s="27">
        <v>46177.0</v>
      </c>
      <c r="G6" s="28"/>
      <c r="H6" s="21">
        <v>100000.0</v>
      </c>
      <c r="I6" s="22" t="s">
        <v>21</v>
      </c>
      <c r="J6" s="22"/>
      <c r="K6" s="22"/>
      <c r="L6" s="22" t="s">
        <v>22</v>
      </c>
      <c r="M6" s="29"/>
      <c r="N6" s="25"/>
      <c r="O6" s="25"/>
      <c r="P6" s="26"/>
      <c r="Q6" s="2"/>
      <c r="R6" s="2"/>
    </row>
    <row r="7">
      <c r="A7" s="2"/>
      <c r="B7" s="15">
        <v>4.0</v>
      </c>
      <c r="C7" s="16" t="s">
        <v>101</v>
      </c>
      <c r="D7" s="17" t="s">
        <v>92</v>
      </c>
      <c r="E7" s="18"/>
      <c r="F7" s="27">
        <v>46177.0</v>
      </c>
      <c r="G7" s="20">
        <v>0.0</v>
      </c>
      <c r="H7" s="21">
        <v>0.0</v>
      </c>
      <c r="I7" s="22" t="s">
        <v>25</v>
      </c>
      <c r="J7" s="22" t="s">
        <v>26</v>
      </c>
      <c r="K7" s="22" t="s">
        <v>26</v>
      </c>
      <c r="L7" s="22" t="s">
        <v>22</v>
      </c>
      <c r="M7" s="22" t="s">
        <v>62</v>
      </c>
      <c r="N7" s="25"/>
      <c r="O7" s="25"/>
      <c r="P7" s="26"/>
      <c r="Q7" s="2"/>
      <c r="R7" s="2"/>
    </row>
    <row r="8">
      <c r="A8" s="2"/>
      <c r="B8" s="15">
        <v>5.0</v>
      </c>
      <c r="C8" s="16" t="s">
        <v>102</v>
      </c>
      <c r="D8" s="17" t="s">
        <v>103</v>
      </c>
      <c r="E8" s="18"/>
      <c r="F8" s="27">
        <v>46165.0</v>
      </c>
      <c r="G8" s="20"/>
      <c r="H8" s="21">
        <v>100000.0</v>
      </c>
      <c r="I8" s="22" t="s">
        <v>25</v>
      </c>
      <c r="J8" s="22"/>
      <c r="K8" s="22"/>
      <c r="L8" s="22" t="s">
        <v>22</v>
      </c>
      <c r="M8" s="29"/>
      <c r="N8" s="25"/>
      <c r="O8" s="26"/>
      <c r="P8" s="26"/>
      <c r="Q8" s="2"/>
      <c r="R8" s="2"/>
    </row>
    <row r="9">
      <c r="A9" s="2"/>
      <c r="B9" s="15">
        <v>6.0</v>
      </c>
      <c r="C9" s="16" t="s">
        <v>57</v>
      </c>
      <c r="D9" s="17" t="s">
        <v>40</v>
      </c>
      <c r="E9" s="18"/>
      <c r="F9" s="27">
        <v>46177.0</v>
      </c>
      <c r="G9" s="20">
        <v>250000.0</v>
      </c>
      <c r="H9" s="30"/>
      <c r="I9" s="22" t="s">
        <v>25</v>
      </c>
      <c r="J9" s="22" t="s">
        <v>26</v>
      </c>
      <c r="K9" s="22" t="s">
        <v>30</v>
      </c>
      <c r="L9" s="22" t="s">
        <v>22</v>
      </c>
      <c r="M9" s="22" t="s">
        <v>62</v>
      </c>
      <c r="N9" s="25"/>
      <c r="O9" s="26"/>
      <c r="P9" s="26"/>
      <c r="Q9" s="2"/>
      <c r="R9" s="2"/>
    </row>
    <row r="10">
      <c r="A10" s="2"/>
      <c r="B10" s="15">
        <v>7.0</v>
      </c>
      <c r="C10" s="16" t="s">
        <v>98</v>
      </c>
      <c r="D10" s="17" t="s">
        <v>82</v>
      </c>
      <c r="E10" s="18"/>
      <c r="F10" s="27">
        <v>46177.0</v>
      </c>
      <c r="G10" s="20">
        <v>0.0</v>
      </c>
      <c r="H10" s="21">
        <v>0.0</v>
      </c>
      <c r="I10" s="22" t="s">
        <v>25</v>
      </c>
      <c r="J10" s="22" t="s">
        <v>26</v>
      </c>
      <c r="K10" s="22" t="s">
        <v>30</v>
      </c>
      <c r="L10" s="22" t="s">
        <v>22</v>
      </c>
      <c r="M10" s="22" t="s">
        <v>62</v>
      </c>
      <c r="N10" s="25"/>
      <c r="O10" s="26"/>
      <c r="P10" s="26"/>
      <c r="Q10" s="2"/>
      <c r="R10" s="2"/>
    </row>
    <row r="11">
      <c r="A11" s="2"/>
      <c r="B11" s="15">
        <v>8.0</v>
      </c>
      <c r="C11" s="16" t="s">
        <v>100</v>
      </c>
      <c r="D11" s="17" t="s">
        <v>20</v>
      </c>
      <c r="E11" s="18"/>
      <c r="F11" s="27">
        <v>46177.0</v>
      </c>
      <c r="G11" s="20">
        <v>150000.0</v>
      </c>
      <c r="H11" s="30"/>
      <c r="I11" s="22" t="s">
        <v>25</v>
      </c>
      <c r="J11" s="22" t="s">
        <v>26</v>
      </c>
      <c r="K11" s="22" t="s">
        <v>30</v>
      </c>
      <c r="L11" s="22" t="s">
        <v>22</v>
      </c>
      <c r="M11" s="22" t="s">
        <v>62</v>
      </c>
      <c r="N11" s="25"/>
      <c r="O11" s="26"/>
      <c r="P11" s="26"/>
      <c r="Q11" s="2"/>
      <c r="R11" s="2"/>
    </row>
    <row r="12">
      <c r="A12" s="2"/>
      <c r="B12" s="15">
        <v>9.0</v>
      </c>
      <c r="C12" s="16" t="s">
        <v>104</v>
      </c>
      <c r="D12" s="17" t="s">
        <v>20</v>
      </c>
      <c r="E12" s="18"/>
      <c r="F12" s="27">
        <v>46194.0</v>
      </c>
      <c r="G12" s="20"/>
      <c r="H12" s="21">
        <v>375000.0</v>
      </c>
      <c r="I12" s="22" t="s">
        <v>21</v>
      </c>
      <c r="J12" s="22"/>
      <c r="K12" s="22"/>
      <c r="L12" s="22" t="s">
        <v>22</v>
      </c>
      <c r="M12" s="29"/>
      <c r="N12" s="25"/>
      <c r="O12" s="26"/>
      <c r="P12" s="26"/>
      <c r="Q12" s="2"/>
      <c r="R12" s="2"/>
    </row>
    <row r="13">
      <c r="A13" s="2"/>
      <c r="B13" s="15">
        <v>10.0</v>
      </c>
      <c r="C13" s="16" t="s">
        <v>105</v>
      </c>
      <c r="D13" s="17" t="s">
        <v>20</v>
      </c>
      <c r="E13" s="18"/>
      <c r="F13" s="27">
        <v>46177.0</v>
      </c>
      <c r="G13" s="20">
        <v>550000.0</v>
      </c>
      <c r="H13" s="30"/>
      <c r="I13" s="22" t="s">
        <v>25</v>
      </c>
      <c r="J13" s="22" t="s">
        <v>26</v>
      </c>
      <c r="K13" s="22" t="s">
        <v>30</v>
      </c>
      <c r="L13" s="22" t="s">
        <v>22</v>
      </c>
      <c r="M13" s="22" t="s">
        <v>62</v>
      </c>
      <c r="N13" s="25"/>
      <c r="O13" s="26"/>
      <c r="P13" s="26"/>
      <c r="Q13" s="2"/>
      <c r="R13" s="2"/>
    </row>
    <row r="14">
      <c r="A14" s="2"/>
      <c r="B14" s="31"/>
      <c r="C14" s="16" t="s">
        <v>106</v>
      </c>
      <c r="D14" s="17" t="s">
        <v>40</v>
      </c>
      <c r="E14" s="18"/>
      <c r="F14" s="27">
        <v>46177.0</v>
      </c>
      <c r="G14" s="20"/>
      <c r="H14" s="21">
        <v>250000.0</v>
      </c>
      <c r="I14" s="22" t="s">
        <v>25</v>
      </c>
      <c r="J14" s="22" t="s">
        <v>26</v>
      </c>
      <c r="K14" s="22" t="s">
        <v>30</v>
      </c>
      <c r="L14" s="22" t="s">
        <v>22</v>
      </c>
      <c r="M14" s="22" t="s">
        <v>27</v>
      </c>
      <c r="N14" s="25"/>
      <c r="O14" s="26"/>
      <c r="P14" s="26"/>
      <c r="Q14" s="2"/>
      <c r="R14" s="2"/>
    </row>
    <row r="15">
      <c r="A15" s="2"/>
      <c r="B15" s="31"/>
      <c r="C15" s="16" t="s">
        <v>107</v>
      </c>
      <c r="D15" s="17" t="s">
        <v>20</v>
      </c>
      <c r="E15" s="18"/>
      <c r="F15" s="27">
        <v>46177.0</v>
      </c>
      <c r="G15" s="20">
        <v>700000.0</v>
      </c>
      <c r="H15" s="30"/>
      <c r="I15" s="22" t="s">
        <v>25</v>
      </c>
      <c r="J15" s="22" t="s">
        <v>26</v>
      </c>
      <c r="K15" s="22" t="s">
        <v>30</v>
      </c>
      <c r="L15" s="22" t="s">
        <v>22</v>
      </c>
      <c r="M15" s="22" t="s">
        <v>62</v>
      </c>
      <c r="N15" s="25"/>
      <c r="O15" s="26"/>
      <c r="P15" s="26"/>
      <c r="Q15" s="2"/>
      <c r="R15" s="2"/>
    </row>
    <row r="16">
      <c r="A16" s="2"/>
      <c r="B16" s="31"/>
      <c r="C16" s="16" t="s">
        <v>108</v>
      </c>
      <c r="D16" s="17" t="s">
        <v>20</v>
      </c>
      <c r="E16" s="18"/>
      <c r="F16" s="27">
        <v>46177.0</v>
      </c>
      <c r="G16" s="20">
        <v>175000.0</v>
      </c>
      <c r="H16" s="30"/>
      <c r="I16" s="22" t="s">
        <v>25</v>
      </c>
      <c r="J16" s="22" t="s">
        <v>26</v>
      </c>
      <c r="K16" s="22" t="s">
        <v>30</v>
      </c>
      <c r="L16" s="22" t="s">
        <v>22</v>
      </c>
      <c r="M16" s="22" t="s">
        <v>27</v>
      </c>
      <c r="N16" s="25"/>
      <c r="O16" s="26"/>
      <c r="P16" s="26"/>
      <c r="Q16" s="2"/>
      <c r="R16" s="2"/>
    </row>
    <row r="17">
      <c r="A17" s="2"/>
      <c r="B17" s="31"/>
      <c r="C17" s="16" t="s">
        <v>109</v>
      </c>
      <c r="D17" s="17" t="s">
        <v>20</v>
      </c>
      <c r="E17" s="18"/>
      <c r="F17" s="27">
        <v>46183.0</v>
      </c>
      <c r="G17" s="20"/>
      <c r="H17" s="21">
        <v>100000.0</v>
      </c>
      <c r="I17" s="22" t="s">
        <v>21</v>
      </c>
      <c r="J17" s="22"/>
      <c r="K17" s="22"/>
      <c r="L17" s="22" t="s">
        <v>22</v>
      </c>
      <c r="M17" s="29"/>
      <c r="N17" s="25"/>
      <c r="O17" s="26"/>
      <c r="P17" s="26"/>
      <c r="Q17" s="2"/>
      <c r="R17" s="2"/>
    </row>
    <row r="18">
      <c r="A18" s="2"/>
      <c r="B18" s="31"/>
      <c r="C18" s="16" t="s">
        <v>88</v>
      </c>
      <c r="D18" s="17" t="s">
        <v>20</v>
      </c>
      <c r="E18" s="18"/>
      <c r="F18" s="27">
        <v>46177.0</v>
      </c>
      <c r="G18" s="20">
        <v>125000.0</v>
      </c>
      <c r="H18" s="30"/>
      <c r="I18" s="22" t="s">
        <v>25</v>
      </c>
      <c r="J18" s="22" t="s">
        <v>26</v>
      </c>
      <c r="K18" s="22" t="s">
        <v>30</v>
      </c>
      <c r="L18" s="22" t="s">
        <v>22</v>
      </c>
      <c r="M18" s="22" t="s">
        <v>27</v>
      </c>
      <c r="N18" s="25"/>
      <c r="O18" s="26"/>
      <c r="P18" s="26"/>
      <c r="Q18" s="2"/>
      <c r="R18" s="2"/>
    </row>
    <row r="19">
      <c r="A19" s="2"/>
      <c r="B19" s="31"/>
      <c r="C19" s="16" t="s">
        <v>110</v>
      </c>
      <c r="D19" s="17" t="s">
        <v>20</v>
      </c>
      <c r="E19" s="18"/>
      <c r="F19" s="27">
        <v>46178.0</v>
      </c>
      <c r="G19" s="20"/>
      <c r="H19" s="21">
        <v>100000.0</v>
      </c>
      <c r="I19" s="22" t="s">
        <v>21</v>
      </c>
      <c r="J19" s="22"/>
      <c r="K19" s="22"/>
      <c r="L19" s="22" t="s">
        <v>22</v>
      </c>
      <c r="M19" s="29"/>
      <c r="N19" s="25"/>
      <c r="O19" s="26"/>
      <c r="P19" s="26"/>
      <c r="Q19" s="2"/>
      <c r="R19" s="2"/>
    </row>
    <row r="20">
      <c r="A20" s="2"/>
      <c r="B20" s="31"/>
      <c r="C20" s="16" t="s">
        <v>111</v>
      </c>
      <c r="D20" s="17" t="s">
        <v>40</v>
      </c>
      <c r="E20" s="18"/>
      <c r="F20" s="27">
        <v>46182.0</v>
      </c>
      <c r="G20" s="20"/>
      <c r="H20" s="21">
        <v>100000.0</v>
      </c>
      <c r="I20" s="22" t="s">
        <v>21</v>
      </c>
      <c r="J20" s="22"/>
      <c r="K20" s="22"/>
      <c r="L20" s="22" t="s">
        <v>22</v>
      </c>
      <c r="M20" s="29"/>
      <c r="N20" s="25"/>
      <c r="O20" s="26"/>
      <c r="P20" s="26"/>
      <c r="Q20" s="2"/>
      <c r="R20" s="2"/>
    </row>
    <row r="21">
      <c r="A21" s="2"/>
      <c r="B21" s="31"/>
      <c r="C21" s="16" t="s">
        <v>112</v>
      </c>
      <c r="D21" s="17" t="s">
        <v>40</v>
      </c>
      <c r="E21" s="18"/>
      <c r="F21" s="27">
        <v>46177.0</v>
      </c>
      <c r="G21" s="20"/>
      <c r="H21" s="21">
        <v>350000.0</v>
      </c>
      <c r="I21" s="22" t="s">
        <v>25</v>
      </c>
      <c r="J21" s="22" t="s">
        <v>26</v>
      </c>
      <c r="K21" s="22" t="s">
        <v>30</v>
      </c>
      <c r="L21" s="22" t="s">
        <v>22</v>
      </c>
      <c r="M21" s="22" t="s">
        <v>27</v>
      </c>
      <c r="N21" s="25"/>
      <c r="O21" s="26"/>
      <c r="P21" s="26"/>
      <c r="Q21" s="2"/>
      <c r="R21" s="2"/>
    </row>
    <row r="22">
      <c r="A22" s="2"/>
      <c r="B22" s="31"/>
      <c r="C22" s="16" t="s">
        <v>113</v>
      </c>
      <c r="D22" s="17" t="s">
        <v>40</v>
      </c>
      <c r="E22" s="18"/>
      <c r="F22" s="27">
        <v>46182.0</v>
      </c>
      <c r="G22" s="20"/>
      <c r="H22" s="21">
        <v>100000.0</v>
      </c>
      <c r="I22" s="22" t="s">
        <v>21</v>
      </c>
      <c r="J22" s="22"/>
      <c r="K22" s="22"/>
      <c r="L22" s="22" t="s">
        <v>22</v>
      </c>
      <c r="M22" s="29"/>
      <c r="N22" s="25"/>
      <c r="O22" s="26"/>
      <c r="P22" s="26"/>
      <c r="Q22" s="2"/>
      <c r="R22" s="2"/>
    </row>
    <row r="23">
      <c r="A23" s="2"/>
      <c r="B23" s="31"/>
      <c r="C23" s="16" t="s">
        <v>114</v>
      </c>
      <c r="D23" s="17" t="s">
        <v>20</v>
      </c>
      <c r="E23" s="18"/>
      <c r="F23" s="27">
        <v>46177.0</v>
      </c>
      <c r="G23" s="20"/>
      <c r="H23" s="21">
        <v>325000.0</v>
      </c>
      <c r="I23" s="22" t="s">
        <v>25</v>
      </c>
      <c r="J23" s="22" t="s">
        <v>26</v>
      </c>
      <c r="K23" s="22" t="s">
        <v>30</v>
      </c>
      <c r="L23" s="22" t="s">
        <v>22</v>
      </c>
      <c r="M23" s="22" t="s">
        <v>27</v>
      </c>
      <c r="N23" s="25"/>
      <c r="O23" s="26"/>
      <c r="P23" s="26"/>
      <c r="Q23" s="2"/>
      <c r="R23" s="2"/>
    </row>
    <row r="24">
      <c r="A24" s="2"/>
      <c r="B24" s="31"/>
      <c r="C24" s="16" t="s">
        <v>115</v>
      </c>
      <c r="D24" s="17" t="s">
        <v>40</v>
      </c>
      <c r="E24" s="18"/>
      <c r="F24" s="27">
        <v>46182.0</v>
      </c>
      <c r="G24" s="20"/>
      <c r="H24" s="21">
        <v>100000.0</v>
      </c>
      <c r="I24" s="22" t="s">
        <v>21</v>
      </c>
      <c r="J24" s="22"/>
      <c r="K24" s="22"/>
      <c r="L24" s="22" t="s">
        <v>22</v>
      </c>
      <c r="M24" s="29"/>
      <c r="N24" s="25"/>
      <c r="O24" s="26"/>
      <c r="P24" s="26"/>
      <c r="Q24" s="2"/>
      <c r="R24" s="2"/>
    </row>
    <row r="25">
      <c r="A25" s="2"/>
      <c r="B25" s="31"/>
      <c r="C25" s="16" t="s">
        <v>116</v>
      </c>
      <c r="D25" s="17" t="s">
        <v>82</v>
      </c>
      <c r="E25" s="18"/>
      <c r="F25" s="27">
        <v>46192.0</v>
      </c>
      <c r="G25" s="20"/>
      <c r="H25" s="21">
        <v>100000.0</v>
      </c>
      <c r="I25" s="22" t="s">
        <v>21</v>
      </c>
      <c r="J25" s="22"/>
      <c r="K25" s="22"/>
      <c r="L25" s="22" t="s">
        <v>22</v>
      </c>
      <c r="M25" s="29"/>
      <c r="N25" s="25"/>
      <c r="O25" s="26"/>
      <c r="P25" s="26"/>
      <c r="Q25" s="2"/>
      <c r="R25" s="2"/>
    </row>
    <row r="26">
      <c r="A26" s="2"/>
      <c r="B26" s="31"/>
      <c r="C26" s="16" t="s">
        <v>117</v>
      </c>
      <c r="D26" s="17" t="s">
        <v>20</v>
      </c>
      <c r="E26" s="18"/>
      <c r="F26" s="27">
        <v>46177.0</v>
      </c>
      <c r="G26" s="20"/>
      <c r="H26" s="21">
        <v>200000.0</v>
      </c>
      <c r="I26" s="22" t="s">
        <v>25</v>
      </c>
      <c r="J26" s="22" t="s">
        <v>26</v>
      </c>
      <c r="K26" s="22" t="s">
        <v>30</v>
      </c>
      <c r="L26" s="22" t="s">
        <v>22</v>
      </c>
      <c r="M26" s="22" t="s">
        <v>27</v>
      </c>
      <c r="N26" s="25"/>
      <c r="O26" s="26"/>
      <c r="P26" s="26"/>
      <c r="Q26" s="2"/>
      <c r="R26" s="2"/>
    </row>
    <row r="27">
      <c r="A27" s="2"/>
      <c r="B27" s="31"/>
      <c r="C27" s="16"/>
      <c r="D27" s="17"/>
      <c r="E27" s="18"/>
      <c r="F27" s="31"/>
      <c r="G27" s="20"/>
      <c r="H27" s="30"/>
      <c r="I27" s="22"/>
      <c r="J27" s="22"/>
      <c r="K27" s="22"/>
      <c r="L27" s="29"/>
      <c r="M27" s="29"/>
      <c r="N27" s="25"/>
      <c r="O27" s="26"/>
      <c r="P27" s="26"/>
      <c r="Q27" s="2"/>
      <c r="R27" s="2"/>
    </row>
    <row r="28">
      <c r="A28" s="2"/>
      <c r="B28" s="31"/>
      <c r="C28" s="32"/>
      <c r="D28" s="17"/>
      <c r="E28" s="18"/>
      <c r="F28" s="31"/>
      <c r="G28" s="28"/>
      <c r="H28" s="30"/>
      <c r="I28" s="29"/>
      <c r="J28" s="29"/>
      <c r="K28" s="29"/>
      <c r="L28" s="29"/>
      <c r="M28" s="29"/>
      <c r="N28" s="33"/>
      <c r="O28" s="33"/>
      <c r="P28" s="33"/>
      <c r="Q28" s="2"/>
      <c r="R28" s="2"/>
    </row>
    <row r="29" ht="18.75" customHeight="1">
      <c r="A29" s="2"/>
      <c r="B29" s="2"/>
      <c r="C29" s="3"/>
      <c r="D29" s="3"/>
      <c r="E29" s="2"/>
      <c r="F29" s="2"/>
      <c r="G29" s="34">
        <f t="shared" ref="G29:H29" si="1">SUM(G4:G28)</f>
        <v>1950000</v>
      </c>
      <c r="H29" s="35">
        <f t="shared" si="1"/>
        <v>2950000</v>
      </c>
      <c r="I29" s="2"/>
      <c r="J29" s="2"/>
      <c r="K29" s="2"/>
      <c r="L29" s="2"/>
      <c r="M29" s="2"/>
      <c r="N29" s="2"/>
      <c r="O29" s="2"/>
      <c r="P29" s="2"/>
      <c r="Q29" s="2"/>
      <c r="R29" s="2"/>
    </row>
    <row r="30" ht="23.25" customHeight="1">
      <c r="A30" s="2"/>
      <c r="B30" s="2"/>
      <c r="C30" s="3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>
      <c r="A31" s="2"/>
      <c r="B31" s="2"/>
      <c r="C31" s="3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2"/>
      <c r="B32" s="36" t="s">
        <v>1</v>
      </c>
      <c r="C32" s="37" t="s">
        <v>7</v>
      </c>
      <c r="D32" s="37" t="s">
        <v>45</v>
      </c>
      <c r="E32" s="1"/>
      <c r="F32" s="2"/>
      <c r="G32" s="2"/>
      <c r="H32" s="2"/>
      <c r="I32" s="2"/>
      <c r="J32" s="2"/>
      <c r="K32" s="2"/>
      <c r="L32" s="2"/>
      <c r="M32" s="2"/>
      <c r="N32" s="37" t="s">
        <v>46</v>
      </c>
      <c r="O32" s="37" t="s">
        <v>2</v>
      </c>
      <c r="P32" s="2"/>
      <c r="Q32" s="2"/>
      <c r="R32" s="2"/>
    </row>
    <row r="33">
      <c r="A33" s="2"/>
      <c r="B33" s="38">
        <v>1.0</v>
      </c>
      <c r="C33" s="39" t="s">
        <v>47</v>
      </c>
      <c r="D33" s="40">
        <f>SUM(G29)</f>
        <v>1950000</v>
      </c>
      <c r="E33" s="41"/>
      <c r="F33" s="2"/>
      <c r="G33" s="2"/>
      <c r="H33" s="2"/>
      <c r="I33" s="2"/>
      <c r="J33" s="2"/>
      <c r="K33" s="2"/>
      <c r="L33" s="2"/>
      <c r="M33" s="2"/>
      <c r="N33" s="42" t="s">
        <v>48</v>
      </c>
      <c r="O33" s="23" t="s">
        <v>22</v>
      </c>
      <c r="P33" s="2"/>
      <c r="Q33" s="2"/>
      <c r="R33" s="2"/>
    </row>
    <row r="34">
      <c r="A34" s="2"/>
      <c r="B34" s="43">
        <v>2.0</v>
      </c>
      <c r="C34" s="44" t="s">
        <v>51</v>
      </c>
      <c r="D34" s="45">
        <v>-248000.0</v>
      </c>
      <c r="E34" s="46"/>
      <c r="F34" s="2"/>
      <c r="G34" s="2"/>
      <c r="H34" s="2"/>
      <c r="I34" s="2"/>
      <c r="J34" s="2"/>
      <c r="K34" s="2"/>
      <c r="L34" s="2"/>
      <c r="M34" s="2"/>
      <c r="N34" s="47" t="s">
        <v>50</v>
      </c>
      <c r="O34" s="48" t="s">
        <v>22</v>
      </c>
      <c r="P34" s="2"/>
      <c r="Q34" s="2"/>
      <c r="R34" s="2"/>
    </row>
    <row r="35">
      <c r="A35" s="2"/>
      <c r="B35" s="38">
        <v>3.0</v>
      </c>
      <c r="C35" s="70" t="s">
        <v>118</v>
      </c>
      <c r="D35" s="45">
        <v>-90000.0</v>
      </c>
      <c r="E35" s="46"/>
      <c r="F35" s="2"/>
      <c r="G35" s="2"/>
      <c r="H35" s="2"/>
      <c r="I35" s="2"/>
      <c r="J35" s="2"/>
      <c r="K35" s="2"/>
      <c r="L35" s="2"/>
      <c r="M35" s="2"/>
      <c r="N35" s="50" t="s">
        <v>52</v>
      </c>
      <c r="O35" s="25" t="s">
        <v>62</v>
      </c>
      <c r="P35" s="2"/>
      <c r="Q35" s="2"/>
      <c r="R35" s="2"/>
    </row>
    <row r="36">
      <c r="A36" s="2"/>
      <c r="B36" s="43">
        <v>4.0</v>
      </c>
      <c r="C36" s="44" t="s">
        <v>76</v>
      </c>
      <c r="D36" s="45">
        <v>-50000.0</v>
      </c>
      <c r="E36" s="46"/>
      <c r="F36" s="71">
        <f>D34+D36+D37</f>
        <v>-350000</v>
      </c>
      <c r="G36" s="2"/>
      <c r="H36" s="2"/>
      <c r="I36" s="2"/>
      <c r="J36" s="2"/>
      <c r="K36" s="2"/>
      <c r="L36" s="2"/>
      <c r="M36" s="2"/>
      <c r="N36" s="51" t="s">
        <v>54</v>
      </c>
      <c r="O36" s="48" t="s">
        <v>27</v>
      </c>
      <c r="P36" s="2"/>
      <c r="Q36" s="2"/>
      <c r="R36" s="2"/>
    </row>
    <row r="37">
      <c r="A37" s="2"/>
      <c r="B37" s="38"/>
      <c r="C37" s="39" t="s">
        <v>49</v>
      </c>
      <c r="D37" s="49">
        <v>-52000.0</v>
      </c>
      <c r="E37" s="41"/>
      <c r="F37" s="2"/>
      <c r="G37" s="2"/>
      <c r="H37" s="2"/>
      <c r="I37" s="2"/>
      <c r="J37" s="2"/>
      <c r="K37" s="2"/>
      <c r="L37" s="2"/>
      <c r="M37" s="2"/>
      <c r="N37" s="53"/>
      <c r="O37" s="2"/>
      <c r="P37" s="2"/>
      <c r="Q37" s="2"/>
      <c r="R37" s="2"/>
    </row>
    <row r="38">
      <c r="A38" s="2"/>
      <c r="B38" s="43"/>
      <c r="C38" s="54"/>
      <c r="D38" s="55"/>
      <c r="E38" s="4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38"/>
      <c r="C39" s="52"/>
      <c r="D39" s="40"/>
      <c r="E39" s="4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43"/>
      <c r="C40" s="54"/>
      <c r="D40" s="55"/>
      <c r="E40" s="4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38"/>
      <c r="C41" s="52"/>
      <c r="D41" s="40"/>
      <c r="E41" s="4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2"/>
      <c r="B42" s="43"/>
      <c r="C42" s="54"/>
      <c r="D42" s="55"/>
      <c r="E42" s="4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2"/>
      <c r="B43" s="56"/>
      <c r="C43" s="57"/>
      <c r="D43" s="58"/>
      <c r="E43" s="4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>
      <c r="A44" s="2"/>
      <c r="B44" s="2"/>
      <c r="C44" s="3"/>
      <c r="D44" s="59">
        <f>SUM(D33:D43)</f>
        <v>1510000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2"/>
      <c r="B45" s="2"/>
      <c r="C45" s="3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>
      <c r="A46" s="2"/>
      <c r="B46" s="2"/>
      <c r="C46" s="3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>
      <c r="A47" s="2"/>
      <c r="B47" s="2"/>
      <c r="C47" s="3"/>
      <c r="D47" s="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>
      <c r="A48" s="2"/>
      <c r="B48" s="2"/>
      <c r="C48" s="3"/>
      <c r="D48" s="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8 O33:O34">
      <formula1>"-,JIJANG,AXEL,PENTIL,FAHME,INDAH"</formula1>
    </dataValidation>
    <dataValidation type="list" allowBlank="1" showErrorMessage="1" sqref="N4:N28">
      <formula1>"-,Pending,Progress,Uploaded"</formula1>
    </dataValidation>
    <dataValidation type="list" allowBlank="1" showErrorMessage="1" sqref="O4:O28">
      <formula1>"-,In Pikako,In Foxe"</formula1>
    </dataValidation>
    <dataValidation type="list" allowBlank="1" showDropDown="1" showErrorMessage="1" sqref="D4:D28">
      <formula1>"-,Single,Couple A,Couple B,Group A,Group B,Group C,Large Group,Graduation,Graduation Premium,Family A,Family B,Maternity,Concept,Studio Rent,Pas Foto,Single,Add Person ,Add Edit,Add 10R"</formula1>
    </dataValidation>
    <dataValidation type="list" allowBlank="1" showDropDown="1" showErrorMessage="1" sqref="I4:I28">
      <formula1>"-,DP,Lunas"</formula1>
    </dataValidation>
    <dataValidation type="list" allowBlank="1" showDropDown="1" showErrorMessage="1" sqref="J4:K28">
      <formula1>"-,Pending,Uploaded"</formula1>
    </dataValidation>
    <dataValidation type="list" allowBlank="1" showDropDown="1" showErrorMessage="1" sqref="M4:M28 O35:O36">
      <formula1>"-,VERO,FADEL,PENTIL,FAHME,ADIF,HANIF"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40.75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2"/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 t="s">
        <v>119</v>
      </c>
      <c r="D4" s="17" t="s">
        <v>20</v>
      </c>
      <c r="E4" s="18"/>
      <c r="F4" s="19">
        <v>46181.0</v>
      </c>
      <c r="G4" s="20"/>
      <c r="H4" s="21">
        <v>100000.0</v>
      </c>
      <c r="I4" s="22" t="s">
        <v>21</v>
      </c>
      <c r="J4" s="22"/>
      <c r="K4" s="22"/>
      <c r="L4" s="22" t="s">
        <v>33</v>
      </c>
      <c r="M4" s="22"/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 t="s">
        <v>120</v>
      </c>
      <c r="D5" s="17" t="s">
        <v>20</v>
      </c>
      <c r="E5" s="18"/>
      <c r="F5" s="19">
        <v>46178.0</v>
      </c>
      <c r="G5" s="20"/>
      <c r="H5" s="72">
        <v>100000.0</v>
      </c>
      <c r="I5" s="22" t="s">
        <v>21</v>
      </c>
      <c r="J5" s="22"/>
      <c r="K5" s="22"/>
      <c r="L5" s="22" t="s">
        <v>33</v>
      </c>
      <c r="M5" s="22"/>
      <c r="N5" s="25"/>
      <c r="O5" s="25"/>
      <c r="P5" s="26"/>
      <c r="Q5" s="2"/>
      <c r="R5" s="2"/>
    </row>
    <row r="6">
      <c r="A6" s="2"/>
      <c r="B6" s="15">
        <v>3.0</v>
      </c>
      <c r="C6" s="16" t="s">
        <v>121</v>
      </c>
      <c r="D6" s="17" t="s">
        <v>92</v>
      </c>
      <c r="E6" s="18"/>
      <c r="F6" s="27">
        <v>46179.0</v>
      </c>
      <c r="G6" s="28"/>
      <c r="H6" s="21">
        <v>100000.0</v>
      </c>
      <c r="I6" s="22" t="s">
        <v>21</v>
      </c>
      <c r="J6" s="22"/>
      <c r="K6" s="22"/>
      <c r="L6" s="22" t="s">
        <v>33</v>
      </c>
      <c r="M6" s="29"/>
      <c r="N6" s="25"/>
      <c r="O6" s="25"/>
      <c r="P6" s="26"/>
      <c r="Q6" s="2"/>
      <c r="R6" s="2"/>
    </row>
    <row r="7">
      <c r="A7" s="2"/>
      <c r="B7" s="15">
        <v>4.0</v>
      </c>
      <c r="C7" s="16" t="s">
        <v>122</v>
      </c>
      <c r="D7" s="17" t="s">
        <v>20</v>
      </c>
      <c r="E7" s="18"/>
      <c r="F7" s="27">
        <v>46185.0</v>
      </c>
      <c r="G7" s="20"/>
      <c r="H7" s="21">
        <v>100000.0</v>
      </c>
      <c r="I7" s="22" t="s">
        <v>21</v>
      </c>
      <c r="J7" s="22"/>
      <c r="K7" s="22"/>
      <c r="L7" s="22" t="s">
        <v>33</v>
      </c>
      <c r="M7" s="29"/>
      <c r="N7" s="25"/>
      <c r="O7" s="25"/>
      <c r="P7" s="26"/>
      <c r="Q7" s="2"/>
      <c r="R7" s="2"/>
    </row>
    <row r="8">
      <c r="A8" s="2"/>
      <c r="B8" s="15">
        <v>5.0</v>
      </c>
      <c r="C8" s="16" t="s">
        <v>123</v>
      </c>
      <c r="D8" s="17" t="s">
        <v>20</v>
      </c>
      <c r="E8" s="18"/>
      <c r="F8" s="27">
        <v>46180.0</v>
      </c>
      <c r="G8" s="20"/>
      <c r="H8" s="21">
        <v>100000.0</v>
      </c>
      <c r="I8" s="22" t="s">
        <v>21</v>
      </c>
      <c r="J8" s="22"/>
      <c r="K8" s="22"/>
      <c r="L8" s="22" t="s">
        <v>33</v>
      </c>
      <c r="M8" s="29"/>
      <c r="N8" s="25"/>
      <c r="O8" s="26"/>
      <c r="P8" s="26"/>
      <c r="Q8" s="2"/>
      <c r="R8" s="2"/>
    </row>
    <row r="9">
      <c r="A9" s="2"/>
      <c r="B9" s="15">
        <v>6.0</v>
      </c>
      <c r="C9" s="16" t="s">
        <v>124</v>
      </c>
      <c r="D9" s="17" t="s">
        <v>125</v>
      </c>
      <c r="E9" s="18"/>
      <c r="F9" s="27">
        <v>46177.0</v>
      </c>
      <c r="G9" s="20"/>
      <c r="H9" s="21">
        <v>10000.0</v>
      </c>
      <c r="I9" s="22" t="s">
        <v>25</v>
      </c>
      <c r="J9" s="22"/>
      <c r="K9" s="22"/>
      <c r="L9" s="22" t="s">
        <v>33</v>
      </c>
      <c r="M9" s="29"/>
      <c r="N9" s="25"/>
      <c r="O9" s="26"/>
      <c r="P9" s="26"/>
      <c r="Q9" s="2"/>
      <c r="R9" s="2"/>
    </row>
    <row r="10">
      <c r="A10" s="2"/>
      <c r="B10" s="15">
        <v>7.0</v>
      </c>
      <c r="C10" s="16" t="s">
        <v>126</v>
      </c>
      <c r="D10" s="17" t="s">
        <v>20</v>
      </c>
      <c r="E10" s="18"/>
      <c r="F10" s="27">
        <v>46178.0</v>
      </c>
      <c r="G10" s="20">
        <v>150000.0</v>
      </c>
      <c r="H10" s="21">
        <v>25000.0</v>
      </c>
      <c r="I10" s="22" t="s">
        <v>25</v>
      </c>
      <c r="J10" s="22" t="s">
        <v>26</v>
      </c>
      <c r="K10" s="22" t="s">
        <v>26</v>
      </c>
      <c r="L10" s="22" t="s">
        <v>33</v>
      </c>
      <c r="M10" s="22" t="s">
        <v>127</v>
      </c>
      <c r="N10" s="25"/>
      <c r="O10" s="26"/>
      <c r="P10" s="26"/>
      <c r="Q10" s="2"/>
      <c r="R10" s="2"/>
    </row>
    <row r="11">
      <c r="A11" s="2"/>
      <c r="B11" s="15">
        <v>8.0</v>
      </c>
      <c r="C11" s="16" t="s">
        <v>128</v>
      </c>
      <c r="D11" s="17" t="s">
        <v>40</v>
      </c>
      <c r="E11" s="18"/>
      <c r="F11" s="27">
        <v>46191.0</v>
      </c>
      <c r="G11" s="20"/>
      <c r="H11" s="21">
        <v>100000.0</v>
      </c>
      <c r="I11" s="22" t="s">
        <v>21</v>
      </c>
      <c r="J11" s="22"/>
      <c r="K11" s="22"/>
      <c r="L11" s="22" t="s">
        <v>33</v>
      </c>
      <c r="M11" s="29"/>
      <c r="N11" s="25"/>
      <c r="O11" s="26"/>
      <c r="P11" s="26"/>
      <c r="Q11" s="2"/>
      <c r="R11" s="2"/>
    </row>
    <row r="12">
      <c r="A12" s="2"/>
      <c r="B12" s="15">
        <v>9.0</v>
      </c>
      <c r="C12" s="16" t="s">
        <v>129</v>
      </c>
      <c r="D12" s="17" t="s">
        <v>38</v>
      </c>
      <c r="E12" s="18"/>
      <c r="F12" s="27">
        <v>46178.0</v>
      </c>
      <c r="G12" s="20"/>
      <c r="H12" s="21">
        <v>125000.0</v>
      </c>
      <c r="I12" s="22" t="s">
        <v>25</v>
      </c>
      <c r="J12" s="22" t="s">
        <v>26</v>
      </c>
      <c r="K12" s="22" t="s">
        <v>26</v>
      </c>
      <c r="L12" s="22" t="s">
        <v>33</v>
      </c>
      <c r="M12" s="22" t="s">
        <v>127</v>
      </c>
      <c r="N12" s="25"/>
      <c r="O12" s="26"/>
      <c r="P12" s="26"/>
      <c r="Q12" s="2"/>
      <c r="R12" s="2"/>
    </row>
    <row r="13">
      <c r="A13" s="2"/>
      <c r="B13" s="15">
        <v>10.0</v>
      </c>
      <c r="C13" s="16" t="s">
        <v>130</v>
      </c>
      <c r="D13" s="17" t="s">
        <v>20</v>
      </c>
      <c r="E13" s="18"/>
      <c r="F13" s="27">
        <v>46186.0</v>
      </c>
      <c r="G13" s="20"/>
      <c r="H13" s="21">
        <v>100000.0</v>
      </c>
      <c r="I13" s="22" t="s">
        <v>21</v>
      </c>
      <c r="J13" s="22"/>
      <c r="K13" s="22"/>
      <c r="L13" s="22" t="s">
        <v>33</v>
      </c>
      <c r="M13" s="29"/>
      <c r="N13" s="25"/>
      <c r="O13" s="26"/>
      <c r="P13" s="26"/>
      <c r="Q13" s="2"/>
      <c r="R13" s="2"/>
    </row>
    <row r="14">
      <c r="A14" s="2"/>
      <c r="B14" s="31"/>
      <c r="C14" s="16" t="s">
        <v>131</v>
      </c>
      <c r="D14" s="17" t="s">
        <v>132</v>
      </c>
      <c r="E14" s="18"/>
      <c r="F14" s="27">
        <v>46178.0</v>
      </c>
      <c r="G14" s="20">
        <v>100000.0</v>
      </c>
      <c r="H14" s="30"/>
      <c r="I14" s="22" t="s">
        <v>25</v>
      </c>
      <c r="J14" s="22" t="s">
        <v>26</v>
      </c>
      <c r="K14" s="22" t="s">
        <v>30</v>
      </c>
      <c r="L14" s="22" t="s">
        <v>33</v>
      </c>
      <c r="M14" s="22" t="s">
        <v>127</v>
      </c>
      <c r="N14" s="25"/>
      <c r="O14" s="26"/>
      <c r="P14" s="26"/>
      <c r="Q14" s="2"/>
      <c r="R14" s="2"/>
    </row>
    <row r="15">
      <c r="A15" s="2"/>
      <c r="B15" s="31"/>
      <c r="C15" s="16" t="s">
        <v>133</v>
      </c>
      <c r="D15" s="17" t="s">
        <v>20</v>
      </c>
      <c r="E15" s="18"/>
      <c r="F15" s="27">
        <v>46182.0</v>
      </c>
      <c r="G15" s="20"/>
      <c r="H15" s="21">
        <v>100000.0</v>
      </c>
      <c r="I15" s="22" t="s">
        <v>21</v>
      </c>
      <c r="J15" s="22"/>
      <c r="K15" s="22"/>
      <c r="L15" s="22" t="s">
        <v>33</v>
      </c>
      <c r="M15" s="29"/>
      <c r="N15" s="25"/>
      <c r="O15" s="26"/>
      <c r="P15" s="26"/>
      <c r="Q15" s="2"/>
      <c r="R15" s="2"/>
    </row>
    <row r="16">
      <c r="A16" s="2"/>
      <c r="B16" s="31"/>
      <c r="C16" s="73" t="s">
        <v>31</v>
      </c>
      <c r="D16" s="17" t="s">
        <v>20</v>
      </c>
      <c r="E16" s="18"/>
      <c r="F16" s="27">
        <v>46178.0</v>
      </c>
      <c r="G16" s="20"/>
      <c r="H16" s="21">
        <v>700000.0</v>
      </c>
      <c r="I16" s="22" t="s">
        <v>25</v>
      </c>
      <c r="J16" s="22" t="s">
        <v>26</v>
      </c>
      <c r="K16" s="22" t="s">
        <v>26</v>
      </c>
      <c r="L16" s="22" t="s">
        <v>33</v>
      </c>
      <c r="M16" s="22" t="s">
        <v>127</v>
      </c>
      <c r="N16" s="25"/>
      <c r="O16" s="26"/>
      <c r="P16" s="26"/>
      <c r="Q16" s="2"/>
      <c r="R16" s="2"/>
    </row>
    <row r="17">
      <c r="A17" s="2"/>
      <c r="B17" s="31"/>
      <c r="C17" s="16" t="s">
        <v>134</v>
      </c>
      <c r="D17" s="17" t="s">
        <v>58</v>
      </c>
      <c r="E17" s="18"/>
      <c r="F17" s="27">
        <v>46184.0</v>
      </c>
      <c r="G17" s="20"/>
      <c r="H17" s="21">
        <v>150000.0</v>
      </c>
      <c r="I17" s="22" t="s">
        <v>25</v>
      </c>
      <c r="J17" s="22"/>
      <c r="K17" s="22"/>
      <c r="L17" s="22" t="s">
        <v>33</v>
      </c>
      <c r="M17" s="29"/>
      <c r="N17" s="25"/>
      <c r="O17" s="26"/>
      <c r="P17" s="26"/>
      <c r="Q17" s="2"/>
      <c r="R17" s="2"/>
    </row>
    <row r="18">
      <c r="A18" s="2"/>
      <c r="B18" s="31"/>
      <c r="C18" s="16" t="s">
        <v>135</v>
      </c>
      <c r="D18" s="17" t="s">
        <v>40</v>
      </c>
      <c r="E18" s="18"/>
      <c r="F18" s="27">
        <v>46191.0</v>
      </c>
      <c r="G18" s="28"/>
      <c r="H18" s="21">
        <v>100000.0</v>
      </c>
      <c r="I18" s="22" t="s">
        <v>21</v>
      </c>
      <c r="J18" s="29"/>
      <c r="K18" s="29"/>
      <c r="L18" s="22" t="s">
        <v>33</v>
      </c>
      <c r="M18" s="29"/>
      <c r="N18" s="26"/>
      <c r="O18" s="26"/>
      <c r="P18" s="26"/>
      <c r="Q18" s="2"/>
      <c r="R18" s="2"/>
    </row>
    <row r="19">
      <c r="A19" s="2"/>
      <c r="B19" s="31"/>
      <c r="C19" s="16" t="s">
        <v>110</v>
      </c>
      <c r="D19" s="17" t="s">
        <v>20</v>
      </c>
      <c r="E19" s="18"/>
      <c r="F19" s="27">
        <v>46178.0</v>
      </c>
      <c r="G19" s="28"/>
      <c r="H19" s="21">
        <v>175000.0</v>
      </c>
      <c r="I19" s="22" t="s">
        <v>25</v>
      </c>
      <c r="J19" s="22" t="s">
        <v>26</v>
      </c>
      <c r="K19" s="22" t="s">
        <v>26</v>
      </c>
      <c r="L19" s="22" t="s">
        <v>33</v>
      </c>
      <c r="M19" s="22" t="s">
        <v>34</v>
      </c>
      <c r="N19" s="26"/>
      <c r="O19" s="26"/>
      <c r="P19" s="26"/>
      <c r="Q19" s="2"/>
      <c r="R19" s="2"/>
    </row>
    <row r="20">
      <c r="A20" s="2"/>
      <c r="B20" s="31"/>
      <c r="C20" s="16" t="s">
        <v>136</v>
      </c>
      <c r="D20" s="17" t="s">
        <v>40</v>
      </c>
      <c r="E20" s="18"/>
      <c r="F20" s="27">
        <v>46190.0</v>
      </c>
      <c r="G20" s="28"/>
      <c r="H20" s="21">
        <v>100000.0</v>
      </c>
      <c r="I20" s="22" t="s">
        <v>21</v>
      </c>
      <c r="J20" s="29"/>
      <c r="K20" s="29"/>
      <c r="L20" s="22" t="s">
        <v>33</v>
      </c>
      <c r="M20" s="29"/>
      <c r="N20" s="26"/>
      <c r="O20" s="26"/>
      <c r="P20" s="26"/>
      <c r="Q20" s="2"/>
      <c r="R20" s="2"/>
    </row>
    <row r="21">
      <c r="A21" s="2"/>
      <c r="B21" s="31"/>
      <c r="C21" s="16" t="s">
        <v>137</v>
      </c>
      <c r="D21" s="17" t="s">
        <v>42</v>
      </c>
      <c r="E21" s="18"/>
      <c r="F21" s="74">
        <v>46179.0</v>
      </c>
      <c r="G21" s="28"/>
      <c r="H21" s="21">
        <v>100000.0</v>
      </c>
      <c r="I21" s="22" t="s">
        <v>21</v>
      </c>
      <c r="J21" s="29"/>
      <c r="K21" s="29"/>
      <c r="L21" s="22" t="s">
        <v>33</v>
      </c>
      <c r="M21" s="29"/>
      <c r="N21" s="26"/>
      <c r="O21" s="26"/>
      <c r="P21" s="26"/>
      <c r="Q21" s="2"/>
      <c r="R21" s="2"/>
    </row>
    <row r="22">
      <c r="A22" s="2"/>
      <c r="B22" s="31"/>
      <c r="C22" s="16" t="s">
        <v>138</v>
      </c>
      <c r="D22" s="17" t="s">
        <v>20</v>
      </c>
      <c r="E22" s="18"/>
      <c r="F22" s="27">
        <v>46184.0</v>
      </c>
      <c r="G22" s="28"/>
      <c r="H22" s="21">
        <v>100000.0</v>
      </c>
      <c r="I22" s="22" t="s">
        <v>21</v>
      </c>
      <c r="J22" s="29"/>
      <c r="K22" s="29"/>
      <c r="L22" s="22" t="s">
        <v>33</v>
      </c>
      <c r="M22" s="29"/>
      <c r="N22" s="26"/>
      <c r="O22" s="26"/>
      <c r="P22" s="26"/>
      <c r="Q22" s="2"/>
      <c r="R22" s="2"/>
    </row>
    <row r="23">
      <c r="A23" s="2"/>
      <c r="B23" s="31"/>
      <c r="C23" s="16" t="s">
        <v>120</v>
      </c>
      <c r="D23" s="17" t="s">
        <v>20</v>
      </c>
      <c r="E23" s="18"/>
      <c r="F23" s="27">
        <v>46178.0</v>
      </c>
      <c r="G23" s="20">
        <v>900000.0</v>
      </c>
      <c r="H23" s="30"/>
      <c r="I23" s="22" t="s">
        <v>25</v>
      </c>
      <c r="J23" s="22" t="s">
        <v>26</v>
      </c>
      <c r="K23" s="22" t="s">
        <v>26</v>
      </c>
      <c r="L23" s="22" t="s">
        <v>33</v>
      </c>
      <c r="M23" s="22" t="s">
        <v>34</v>
      </c>
      <c r="N23" s="26"/>
      <c r="O23" s="26"/>
      <c r="P23" s="26"/>
      <c r="Q23" s="2"/>
      <c r="R23" s="2"/>
    </row>
    <row r="24">
      <c r="A24" s="2"/>
      <c r="B24" s="31"/>
      <c r="C24" s="32"/>
      <c r="D24" s="17"/>
      <c r="E24" s="18"/>
      <c r="F24" s="31"/>
      <c r="G24" s="28"/>
      <c r="H24" s="30"/>
      <c r="I24" s="29"/>
      <c r="J24" s="29"/>
      <c r="K24" s="29"/>
      <c r="L24" s="29"/>
      <c r="M24" s="29"/>
      <c r="N24" s="33"/>
      <c r="O24" s="33"/>
      <c r="P24" s="33"/>
      <c r="Q24" s="2"/>
      <c r="R24" s="2"/>
    </row>
    <row r="25" ht="18.75" customHeight="1">
      <c r="A25" s="2"/>
      <c r="B25" s="2"/>
      <c r="C25" s="3"/>
      <c r="D25" s="3"/>
      <c r="E25" s="2"/>
      <c r="F25" s="2"/>
      <c r="G25" s="34">
        <f t="shared" ref="G25:H25" si="1">SUM(G4:G24)</f>
        <v>1150000</v>
      </c>
      <c r="H25" s="35">
        <f t="shared" si="1"/>
        <v>2385000</v>
      </c>
      <c r="I25" s="2"/>
      <c r="J25" s="2"/>
      <c r="K25" s="2"/>
      <c r="L25" s="2"/>
      <c r="M25" s="2"/>
      <c r="N25" s="2"/>
      <c r="O25" s="2"/>
      <c r="P25" s="2"/>
      <c r="Q25" s="2"/>
      <c r="R25" s="2"/>
    </row>
    <row r="26" ht="23.25" customHeight="1">
      <c r="A26" s="2"/>
      <c r="B26" s="2"/>
      <c r="C26" s="3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2"/>
      <c r="B27" s="2"/>
      <c r="C27" s="3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>
      <c r="A28" s="2"/>
      <c r="B28" s="36" t="s">
        <v>1</v>
      </c>
      <c r="C28" s="37" t="s">
        <v>7</v>
      </c>
      <c r="D28" s="37" t="s">
        <v>45</v>
      </c>
      <c r="E28" s="1"/>
      <c r="F28" s="2"/>
      <c r="G28" s="2"/>
      <c r="H28" s="2"/>
      <c r="I28" s="2"/>
      <c r="J28" s="2"/>
      <c r="K28" s="2"/>
      <c r="L28" s="2"/>
      <c r="M28" s="2"/>
      <c r="N28" s="37" t="s">
        <v>46</v>
      </c>
      <c r="O28" s="37" t="s">
        <v>2</v>
      </c>
      <c r="P28" s="2"/>
      <c r="Q28" s="2"/>
      <c r="R28" s="2"/>
    </row>
    <row r="29">
      <c r="A29" s="2"/>
      <c r="B29" s="38">
        <v>1.0</v>
      </c>
      <c r="C29" s="39" t="s">
        <v>47</v>
      </c>
      <c r="D29" s="40">
        <f>SUM(G25)</f>
        <v>1150000</v>
      </c>
      <c r="E29" s="41"/>
      <c r="F29" s="2"/>
      <c r="G29" s="2"/>
      <c r="H29" s="2"/>
      <c r="I29" s="2"/>
      <c r="J29" s="2"/>
      <c r="K29" s="2"/>
      <c r="L29" s="2"/>
      <c r="M29" s="2"/>
      <c r="N29" s="42" t="s">
        <v>48</v>
      </c>
      <c r="O29" s="23" t="s">
        <v>33</v>
      </c>
      <c r="P29" s="2"/>
      <c r="Q29" s="2"/>
      <c r="R29" s="2"/>
    </row>
    <row r="30">
      <c r="A30" s="2"/>
      <c r="B30" s="43">
        <v>2.0</v>
      </c>
      <c r="C30" s="44" t="s">
        <v>49</v>
      </c>
      <c r="D30" s="45">
        <v>-50000.0</v>
      </c>
      <c r="E30" s="46"/>
      <c r="F30" s="2"/>
      <c r="G30" s="2"/>
      <c r="H30" s="2"/>
      <c r="I30" s="2"/>
      <c r="J30" s="2"/>
      <c r="K30" s="2"/>
      <c r="L30" s="2"/>
      <c r="M30" s="2"/>
      <c r="N30" s="47" t="s">
        <v>50</v>
      </c>
      <c r="O30" s="48" t="s">
        <v>33</v>
      </c>
      <c r="P30" s="2"/>
      <c r="Q30" s="2"/>
      <c r="R30" s="2"/>
    </row>
    <row r="31">
      <c r="A31" s="2"/>
      <c r="B31" s="38">
        <v>3.0</v>
      </c>
      <c r="C31" s="39" t="s">
        <v>76</v>
      </c>
      <c r="D31" s="49">
        <v>-100000.0</v>
      </c>
      <c r="E31" s="46"/>
      <c r="F31" s="2"/>
      <c r="G31" s="2"/>
      <c r="H31" s="2"/>
      <c r="I31" s="2"/>
      <c r="J31" s="2"/>
      <c r="K31" s="2"/>
      <c r="L31" s="2"/>
      <c r="M31" s="2"/>
      <c r="N31" s="50" t="s">
        <v>52</v>
      </c>
      <c r="O31" s="25" t="s">
        <v>127</v>
      </c>
      <c r="P31" s="2"/>
      <c r="Q31" s="2"/>
      <c r="R31" s="2"/>
    </row>
    <row r="32">
      <c r="A32" s="2"/>
      <c r="B32" s="43">
        <v>4.0</v>
      </c>
      <c r="C32" s="44" t="s">
        <v>139</v>
      </c>
      <c r="D32" s="45">
        <v>-100000.0</v>
      </c>
      <c r="E32" s="46"/>
      <c r="F32" s="2"/>
      <c r="G32" s="2"/>
      <c r="H32" s="2"/>
      <c r="I32" s="2"/>
      <c r="J32" s="2"/>
      <c r="K32" s="2"/>
      <c r="L32" s="2"/>
      <c r="M32" s="2"/>
      <c r="N32" s="51" t="s">
        <v>54</v>
      </c>
      <c r="O32" s="48" t="s">
        <v>34</v>
      </c>
      <c r="P32" s="2"/>
      <c r="Q32" s="2"/>
      <c r="R32" s="2"/>
    </row>
    <row r="33">
      <c r="A33" s="2"/>
      <c r="B33" s="38"/>
      <c r="C33" s="52"/>
      <c r="D33" s="40"/>
      <c r="E33" s="41"/>
      <c r="F33" s="2"/>
      <c r="G33" s="2"/>
      <c r="H33" s="2"/>
      <c r="I33" s="2"/>
      <c r="J33" s="2"/>
      <c r="K33" s="2"/>
      <c r="L33" s="2"/>
      <c r="M33" s="2"/>
      <c r="N33" s="53"/>
      <c r="O33" s="2"/>
      <c r="P33" s="2"/>
      <c r="Q33" s="2"/>
      <c r="R33" s="2"/>
    </row>
    <row r="34">
      <c r="A34" s="2"/>
      <c r="B34" s="43"/>
      <c r="C34" s="54"/>
      <c r="D34" s="55"/>
      <c r="E34" s="4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2"/>
      <c r="B35" s="38"/>
      <c r="C35" s="52"/>
      <c r="D35" s="40"/>
      <c r="E35" s="4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2"/>
      <c r="B36" s="43"/>
      <c r="C36" s="54"/>
      <c r="D36" s="55"/>
      <c r="E36" s="4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/>
      <c r="B37" s="38"/>
      <c r="C37" s="52"/>
      <c r="D37" s="40"/>
      <c r="E37" s="4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43"/>
      <c r="C38" s="54"/>
      <c r="D38" s="55"/>
      <c r="E38" s="4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56"/>
      <c r="C39" s="57"/>
      <c r="D39" s="58"/>
      <c r="E39" s="4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2"/>
      <c r="C40" s="3"/>
      <c r="D40" s="59">
        <f>SUM(D29:D39)</f>
        <v>900000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2"/>
      <c r="C41" s="3"/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2"/>
      <c r="B42" s="2"/>
      <c r="C42" s="3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2"/>
      <c r="B43" s="2"/>
      <c r="C43" s="3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>
      <c r="A44" s="2"/>
      <c r="B44" s="2"/>
      <c r="C44" s="3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M4:M24 O31:O32">
      <formula1>"-,VERO,ADIF ,PENTIL,FAHME"</formula1>
    </dataValidation>
    <dataValidation type="list" allowBlank="1" showErrorMessage="1" sqref="N4:N24">
      <formula1>"-,Pending,Progress,Uploaded"</formula1>
    </dataValidation>
    <dataValidation type="list" allowBlank="1" showErrorMessage="1" sqref="O4:O24">
      <formula1>"-,In Pikako,In Foxe"</formula1>
    </dataValidation>
    <dataValidation type="list" allowBlank="1" showDropDown="1" showErrorMessage="1" sqref="D4:D24">
      <formula1>"-,Single,Couple A,Couple B,Group A,Group B,Group C,Large Group,Graduation,Graduation Premium,Family A,Family B,Maternity,Concept,Studio Rent,Pas Foto,Single,Add Person ,Add Edit,Add Cetak 5R,Photofox"</formula1>
    </dataValidation>
    <dataValidation type="list" allowBlank="1" showDropDown="1" showErrorMessage="1" sqref="L4:L24 O29:O30">
      <formula1>"-,ADDEL ,AXEL,PENTIL,FAHME"</formula1>
    </dataValidation>
    <dataValidation type="list" allowBlank="1" showDropDown="1" showErrorMessage="1" sqref="I4:I24">
      <formula1>"-,DP,Lunas"</formula1>
    </dataValidation>
    <dataValidation type="list" allowBlank="1" showDropDown="1" showErrorMessage="1" sqref="J4:K24">
      <formula1>"-,Pending,Uploaded"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33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2"/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 t="s">
        <v>140</v>
      </c>
      <c r="D4" s="17" t="s">
        <v>103</v>
      </c>
      <c r="E4" s="18"/>
      <c r="F4" s="19">
        <v>46177.0</v>
      </c>
      <c r="G4" s="20"/>
      <c r="H4" s="21">
        <v>50000.0</v>
      </c>
      <c r="I4" s="22" t="s">
        <v>25</v>
      </c>
      <c r="J4" s="22"/>
      <c r="K4" s="22"/>
      <c r="L4" s="22" t="s">
        <v>33</v>
      </c>
      <c r="M4" s="22"/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 t="s">
        <v>141</v>
      </c>
      <c r="D5" s="17" t="s">
        <v>92</v>
      </c>
      <c r="E5" s="18"/>
      <c r="F5" s="19">
        <v>46179.0</v>
      </c>
      <c r="G5" s="20"/>
      <c r="H5" s="21">
        <v>100000.0</v>
      </c>
      <c r="I5" s="22" t="s">
        <v>21</v>
      </c>
      <c r="J5" s="22"/>
      <c r="K5" s="22"/>
      <c r="L5" s="22" t="s">
        <v>33</v>
      </c>
      <c r="M5" s="22"/>
      <c r="N5" s="25"/>
      <c r="O5" s="25"/>
      <c r="P5" s="26"/>
      <c r="Q5" s="2"/>
      <c r="R5" s="2"/>
    </row>
    <row r="6">
      <c r="A6" s="2"/>
      <c r="B6" s="15">
        <v>3.0</v>
      </c>
      <c r="C6" s="75" t="s">
        <v>142</v>
      </c>
      <c r="D6" s="17" t="s">
        <v>20</v>
      </c>
      <c r="E6" s="18"/>
      <c r="F6" s="27">
        <v>46179.0</v>
      </c>
      <c r="G6" s="20">
        <v>975000.0</v>
      </c>
      <c r="H6" s="21"/>
      <c r="I6" s="22" t="s">
        <v>25</v>
      </c>
      <c r="J6" s="22" t="s">
        <v>26</v>
      </c>
      <c r="K6" s="22" t="s">
        <v>26</v>
      </c>
      <c r="L6" s="22" t="s">
        <v>33</v>
      </c>
      <c r="M6" s="22" t="s">
        <v>127</v>
      </c>
      <c r="N6" s="25"/>
      <c r="O6" s="25"/>
      <c r="P6" s="26"/>
      <c r="Q6" s="2"/>
      <c r="R6" s="2"/>
    </row>
    <row r="7">
      <c r="A7" s="2"/>
      <c r="B7" s="15">
        <v>4.0</v>
      </c>
      <c r="C7" s="16" t="s">
        <v>143</v>
      </c>
      <c r="D7" s="17" t="s">
        <v>20</v>
      </c>
      <c r="E7" s="18"/>
      <c r="F7" s="27">
        <v>46180.0</v>
      </c>
      <c r="G7" s="20"/>
      <c r="H7" s="21">
        <v>100000.0</v>
      </c>
      <c r="I7" s="22" t="s">
        <v>21</v>
      </c>
      <c r="J7" s="22"/>
      <c r="K7" s="22"/>
      <c r="L7" s="22" t="s">
        <v>33</v>
      </c>
      <c r="M7" s="29"/>
      <c r="N7" s="25"/>
      <c r="O7" s="25"/>
      <c r="P7" s="26"/>
      <c r="Q7" s="2"/>
      <c r="R7" s="2"/>
    </row>
    <row r="8">
      <c r="A8" s="2"/>
      <c r="B8" s="15">
        <v>5.0</v>
      </c>
      <c r="C8" s="16" t="s">
        <v>137</v>
      </c>
      <c r="D8" s="17" t="s">
        <v>42</v>
      </c>
      <c r="E8" s="18"/>
      <c r="F8" s="27">
        <v>46179.0</v>
      </c>
      <c r="G8" s="20">
        <v>350000.0</v>
      </c>
      <c r="H8" s="30"/>
      <c r="I8" s="22" t="s">
        <v>25</v>
      </c>
      <c r="J8" s="22"/>
      <c r="K8" s="22"/>
      <c r="L8" s="22" t="s">
        <v>33</v>
      </c>
      <c r="M8" s="29"/>
      <c r="N8" s="25"/>
      <c r="O8" s="26"/>
      <c r="P8" s="26"/>
      <c r="Q8" s="2"/>
      <c r="R8" s="2"/>
    </row>
    <row r="9">
      <c r="A9" s="2"/>
      <c r="B9" s="15">
        <v>6.0</v>
      </c>
      <c r="C9" s="16" t="s">
        <v>60</v>
      </c>
      <c r="D9" s="17" t="s">
        <v>20</v>
      </c>
      <c r="E9" s="18"/>
      <c r="F9" s="27">
        <v>46179.0</v>
      </c>
      <c r="G9" s="20">
        <v>75000.0</v>
      </c>
      <c r="H9" s="30"/>
      <c r="I9" s="22" t="s">
        <v>25</v>
      </c>
      <c r="J9" s="22" t="s">
        <v>26</v>
      </c>
      <c r="K9" s="22" t="s">
        <v>26</v>
      </c>
      <c r="L9" s="22" t="s">
        <v>33</v>
      </c>
      <c r="M9" s="22" t="s">
        <v>127</v>
      </c>
      <c r="N9" s="25"/>
      <c r="O9" s="26"/>
      <c r="P9" s="26"/>
      <c r="Q9" s="2"/>
      <c r="R9" s="2"/>
    </row>
    <row r="10">
      <c r="A10" s="2"/>
      <c r="B10" s="15">
        <v>7.0</v>
      </c>
      <c r="C10" s="16" t="s">
        <v>144</v>
      </c>
      <c r="D10" s="17" t="s">
        <v>20</v>
      </c>
      <c r="E10" s="18"/>
      <c r="F10" s="27">
        <v>46179.0</v>
      </c>
      <c r="G10" s="20"/>
      <c r="H10" s="21">
        <v>600000.0</v>
      </c>
      <c r="I10" s="22" t="s">
        <v>25</v>
      </c>
      <c r="J10" s="22" t="s">
        <v>26</v>
      </c>
      <c r="K10" s="22" t="s">
        <v>26</v>
      </c>
      <c r="L10" s="22" t="s">
        <v>33</v>
      </c>
      <c r="M10" s="22" t="s">
        <v>127</v>
      </c>
      <c r="N10" s="25"/>
      <c r="O10" s="26"/>
      <c r="P10" s="26"/>
      <c r="Q10" s="2"/>
      <c r="R10" s="2"/>
    </row>
    <row r="11">
      <c r="A11" s="2"/>
      <c r="B11" s="15">
        <v>8.0</v>
      </c>
      <c r="C11" s="16" t="s">
        <v>145</v>
      </c>
      <c r="D11" s="17" t="s">
        <v>40</v>
      </c>
      <c r="E11" s="18"/>
      <c r="F11" s="31"/>
      <c r="G11" s="20">
        <v>250000.0</v>
      </c>
      <c r="H11" s="30"/>
      <c r="I11" s="22" t="s">
        <v>25</v>
      </c>
      <c r="J11" s="22" t="s">
        <v>26</v>
      </c>
      <c r="K11" s="22" t="s">
        <v>30</v>
      </c>
      <c r="L11" s="22" t="s">
        <v>33</v>
      </c>
      <c r="M11" s="22" t="s">
        <v>127</v>
      </c>
      <c r="N11" s="25"/>
      <c r="O11" s="26"/>
      <c r="P11" s="26"/>
      <c r="Q11" s="2"/>
      <c r="R11" s="2"/>
    </row>
    <row r="12">
      <c r="A12" s="2"/>
      <c r="B12" s="15">
        <v>9.0</v>
      </c>
      <c r="C12" s="16" t="s">
        <v>146</v>
      </c>
      <c r="D12" s="17" t="s">
        <v>40</v>
      </c>
      <c r="E12" s="18"/>
      <c r="F12" s="31"/>
      <c r="G12" s="20">
        <v>250000.0</v>
      </c>
      <c r="H12" s="30"/>
      <c r="I12" s="22" t="s">
        <v>25</v>
      </c>
      <c r="J12" s="22" t="s">
        <v>26</v>
      </c>
      <c r="K12" s="22" t="s">
        <v>30</v>
      </c>
      <c r="L12" s="22" t="s">
        <v>33</v>
      </c>
      <c r="M12" s="22" t="s">
        <v>127</v>
      </c>
      <c r="N12" s="25"/>
      <c r="O12" s="26"/>
      <c r="P12" s="26"/>
      <c r="Q12" s="2"/>
      <c r="R12" s="2"/>
    </row>
    <row r="13">
      <c r="A13" s="2"/>
      <c r="B13" s="15">
        <v>10.0</v>
      </c>
      <c r="C13" s="16" t="s">
        <v>147</v>
      </c>
      <c r="D13" s="17" t="s">
        <v>58</v>
      </c>
      <c r="E13" s="18"/>
      <c r="F13" s="27">
        <v>46180.0</v>
      </c>
      <c r="G13" s="20"/>
      <c r="H13" s="21">
        <v>100000.0</v>
      </c>
      <c r="I13" s="22" t="s">
        <v>21</v>
      </c>
      <c r="J13" s="22"/>
      <c r="K13" s="22"/>
      <c r="L13" s="22" t="s">
        <v>22</v>
      </c>
      <c r="M13" s="22"/>
      <c r="N13" s="25"/>
      <c r="O13" s="26"/>
      <c r="P13" s="26"/>
      <c r="Q13" s="2"/>
      <c r="R13" s="2"/>
    </row>
    <row r="14">
      <c r="A14" s="2"/>
      <c r="B14" s="31"/>
      <c r="C14" s="16" t="s">
        <v>148</v>
      </c>
      <c r="D14" s="17" t="s">
        <v>14</v>
      </c>
      <c r="E14" s="18"/>
      <c r="F14" s="27">
        <v>46179.0</v>
      </c>
      <c r="G14" s="20"/>
      <c r="H14" s="21">
        <v>50000.0</v>
      </c>
      <c r="I14" s="22" t="s">
        <v>25</v>
      </c>
      <c r="J14" s="22" t="s">
        <v>26</v>
      </c>
      <c r="K14" s="22" t="s">
        <v>30</v>
      </c>
      <c r="L14" s="22" t="s">
        <v>22</v>
      </c>
      <c r="M14" s="22" t="s">
        <v>127</v>
      </c>
      <c r="N14" s="25"/>
      <c r="O14" s="26"/>
      <c r="P14" s="26"/>
      <c r="Q14" s="2"/>
      <c r="R14" s="2"/>
    </row>
    <row r="15">
      <c r="A15" s="2"/>
      <c r="B15" s="31"/>
      <c r="C15" s="16" t="s">
        <v>149</v>
      </c>
      <c r="D15" s="17" t="s">
        <v>40</v>
      </c>
      <c r="E15" s="18"/>
      <c r="F15" s="27">
        <v>46179.0</v>
      </c>
      <c r="G15" s="20">
        <v>310000.0</v>
      </c>
      <c r="H15" s="30"/>
      <c r="I15" s="22" t="s">
        <v>25</v>
      </c>
      <c r="J15" s="22" t="s">
        <v>26</v>
      </c>
      <c r="K15" s="22" t="s">
        <v>30</v>
      </c>
      <c r="L15" s="22" t="s">
        <v>22</v>
      </c>
      <c r="M15" s="22" t="s">
        <v>127</v>
      </c>
      <c r="N15" s="25"/>
      <c r="O15" s="26"/>
      <c r="P15" s="26"/>
      <c r="Q15" s="2"/>
      <c r="R15" s="2"/>
    </row>
    <row r="16">
      <c r="A16" s="2"/>
      <c r="B16" s="31"/>
      <c r="C16" s="16" t="s">
        <v>150</v>
      </c>
      <c r="D16" s="17" t="s">
        <v>20</v>
      </c>
      <c r="E16" s="18"/>
      <c r="F16" s="27">
        <v>46179.0</v>
      </c>
      <c r="G16" s="20"/>
      <c r="H16" s="21">
        <v>100000.0</v>
      </c>
      <c r="I16" s="22" t="s">
        <v>21</v>
      </c>
      <c r="J16" s="22"/>
      <c r="K16" s="22"/>
      <c r="L16" s="22" t="s">
        <v>22</v>
      </c>
      <c r="M16" s="29"/>
      <c r="N16" s="25"/>
      <c r="O16" s="26"/>
      <c r="P16" s="26"/>
      <c r="Q16" s="2"/>
      <c r="R16" s="2"/>
    </row>
    <row r="17">
      <c r="A17" s="2"/>
      <c r="B17" s="31"/>
      <c r="C17" s="16" t="s">
        <v>151</v>
      </c>
      <c r="D17" s="17" t="s">
        <v>20</v>
      </c>
      <c r="E17" s="18"/>
      <c r="F17" s="27">
        <v>46179.0</v>
      </c>
      <c r="G17" s="20"/>
      <c r="H17" s="21">
        <v>525000.0</v>
      </c>
      <c r="I17" s="22" t="s">
        <v>25</v>
      </c>
      <c r="J17" s="22" t="s">
        <v>26</v>
      </c>
      <c r="K17" s="22" t="s">
        <v>30</v>
      </c>
      <c r="L17" s="22" t="s">
        <v>22</v>
      </c>
      <c r="M17" s="22" t="s">
        <v>127</v>
      </c>
      <c r="N17" s="25"/>
      <c r="O17" s="26"/>
      <c r="P17" s="26"/>
      <c r="Q17" s="2"/>
      <c r="R17" s="2"/>
    </row>
    <row r="18">
      <c r="A18" s="2"/>
      <c r="B18" s="31"/>
      <c r="C18" s="16" t="s">
        <v>152</v>
      </c>
      <c r="D18" s="17" t="s">
        <v>20</v>
      </c>
      <c r="E18" s="18"/>
      <c r="F18" s="27">
        <v>46179.0</v>
      </c>
      <c r="G18" s="20"/>
      <c r="H18" s="21">
        <v>75000.0</v>
      </c>
      <c r="I18" s="22" t="s">
        <v>25</v>
      </c>
      <c r="J18" s="22" t="s">
        <v>26</v>
      </c>
      <c r="K18" s="22" t="s">
        <v>26</v>
      </c>
      <c r="L18" s="22" t="s">
        <v>22</v>
      </c>
      <c r="M18" s="22" t="s">
        <v>127</v>
      </c>
      <c r="N18" s="25"/>
      <c r="O18" s="26"/>
      <c r="P18" s="26"/>
      <c r="Q18" s="2"/>
      <c r="R18" s="2"/>
    </row>
    <row r="19">
      <c r="A19" s="2"/>
      <c r="B19" s="31"/>
      <c r="C19" s="16" t="s">
        <v>153</v>
      </c>
      <c r="D19" s="17" t="s">
        <v>14</v>
      </c>
      <c r="E19" s="18"/>
      <c r="F19" s="27">
        <v>46179.0</v>
      </c>
      <c r="G19" s="20"/>
      <c r="H19" s="21">
        <v>50000.0</v>
      </c>
      <c r="I19" s="22" t="s">
        <v>25</v>
      </c>
      <c r="J19" s="22" t="s">
        <v>26</v>
      </c>
      <c r="K19" s="22" t="s">
        <v>26</v>
      </c>
      <c r="L19" s="22" t="s">
        <v>22</v>
      </c>
      <c r="M19" s="22" t="s">
        <v>127</v>
      </c>
      <c r="N19" s="25"/>
      <c r="O19" s="26"/>
      <c r="P19" s="26"/>
      <c r="Q19" s="2"/>
      <c r="R19" s="2"/>
    </row>
    <row r="20">
      <c r="A20" s="2"/>
      <c r="B20" s="31"/>
      <c r="C20" s="16" t="s">
        <v>154</v>
      </c>
      <c r="D20" s="17" t="s">
        <v>20</v>
      </c>
      <c r="E20" s="18"/>
      <c r="F20" s="27">
        <v>46180.0</v>
      </c>
      <c r="G20" s="20"/>
      <c r="H20" s="21">
        <v>100000.0</v>
      </c>
      <c r="I20" s="22" t="s">
        <v>21</v>
      </c>
      <c r="J20" s="22"/>
      <c r="K20" s="22"/>
      <c r="L20" s="22" t="s">
        <v>22</v>
      </c>
      <c r="M20" s="29"/>
      <c r="N20" s="25"/>
      <c r="O20" s="26"/>
      <c r="P20" s="26"/>
      <c r="Q20" s="2"/>
      <c r="R20" s="2"/>
    </row>
    <row r="21">
      <c r="A21" s="2"/>
      <c r="B21" s="31"/>
      <c r="C21" s="16" t="s">
        <v>155</v>
      </c>
      <c r="D21" s="17" t="s">
        <v>20</v>
      </c>
      <c r="E21" s="18"/>
      <c r="F21" s="27">
        <v>46179.0</v>
      </c>
      <c r="G21" s="20">
        <v>475000.0</v>
      </c>
      <c r="H21" s="30"/>
      <c r="I21" s="22" t="s">
        <v>25</v>
      </c>
      <c r="J21" s="22" t="s">
        <v>26</v>
      </c>
      <c r="K21" s="22" t="s">
        <v>26</v>
      </c>
      <c r="L21" s="22" t="s">
        <v>22</v>
      </c>
      <c r="M21" s="22" t="s">
        <v>127</v>
      </c>
      <c r="N21" s="25"/>
      <c r="O21" s="26"/>
      <c r="P21" s="26"/>
      <c r="Q21" s="2"/>
      <c r="R21" s="2"/>
    </row>
    <row r="22">
      <c r="A22" s="2"/>
      <c r="B22" s="31"/>
      <c r="C22" s="16" t="s">
        <v>150</v>
      </c>
      <c r="D22" s="17" t="s">
        <v>20</v>
      </c>
      <c r="E22" s="18"/>
      <c r="F22" s="27">
        <v>46179.0</v>
      </c>
      <c r="G22" s="20">
        <v>20000.0</v>
      </c>
      <c r="H22" s="21">
        <v>180000.0</v>
      </c>
      <c r="I22" s="22" t="s">
        <v>25</v>
      </c>
      <c r="J22" s="22" t="s">
        <v>26</v>
      </c>
      <c r="K22" s="22" t="s">
        <v>26</v>
      </c>
      <c r="L22" s="22" t="s">
        <v>22</v>
      </c>
      <c r="M22" s="22" t="s">
        <v>127</v>
      </c>
      <c r="N22" s="25"/>
      <c r="O22" s="26"/>
      <c r="P22" s="26"/>
      <c r="Q22" s="2"/>
      <c r="R22" s="2"/>
    </row>
    <row r="23">
      <c r="A23" s="2"/>
      <c r="B23" s="31"/>
      <c r="C23" s="16" t="s">
        <v>156</v>
      </c>
      <c r="D23" s="17" t="s">
        <v>42</v>
      </c>
      <c r="E23" s="18"/>
      <c r="F23" s="27">
        <v>46181.0</v>
      </c>
      <c r="G23" s="20"/>
      <c r="H23" s="21">
        <v>100000.0</v>
      </c>
      <c r="I23" s="22" t="s">
        <v>21</v>
      </c>
      <c r="J23" s="22"/>
      <c r="K23" s="22"/>
      <c r="L23" s="22" t="s">
        <v>22</v>
      </c>
      <c r="M23" s="29"/>
      <c r="N23" s="25"/>
      <c r="O23" s="26"/>
      <c r="P23" s="26"/>
      <c r="Q23" s="2"/>
      <c r="R23" s="2"/>
    </row>
    <row r="24">
      <c r="A24" s="2"/>
      <c r="B24" s="31"/>
      <c r="C24" s="16" t="s">
        <v>157</v>
      </c>
      <c r="D24" s="17" t="s">
        <v>20</v>
      </c>
      <c r="E24" s="18"/>
      <c r="F24" s="27">
        <v>46184.0</v>
      </c>
      <c r="G24" s="28"/>
      <c r="H24" s="21">
        <v>100000.0</v>
      </c>
      <c r="I24" s="22" t="s">
        <v>21</v>
      </c>
      <c r="J24" s="29"/>
      <c r="K24" s="29"/>
      <c r="L24" s="22" t="s">
        <v>22</v>
      </c>
      <c r="M24" s="29"/>
      <c r="N24" s="26"/>
      <c r="O24" s="26"/>
      <c r="P24" s="26"/>
      <c r="Q24" s="2"/>
      <c r="R24" s="2"/>
    </row>
    <row r="25">
      <c r="A25" s="2"/>
      <c r="B25" s="31"/>
      <c r="C25" s="16" t="s">
        <v>158</v>
      </c>
      <c r="D25" s="17" t="s">
        <v>24</v>
      </c>
      <c r="E25" s="18"/>
      <c r="F25" s="27">
        <v>46180.0</v>
      </c>
      <c r="G25" s="28"/>
      <c r="H25" s="21">
        <v>50000.0</v>
      </c>
      <c r="I25" s="22" t="s">
        <v>25</v>
      </c>
      <c r="J25" s="29"/>
      <c r="K25" s="29"/>
      <c r="L25" s="22" t="s">
        <v>22</v>
      </c>
      <c r="M25" s="29"/>
      <c r="N25" s="26"/>
      <c r="O25" s="26"/>
      <c r="P25" s="26"/>
      <c r="Q25" s="2"/>
      <c r="R25" s="2"/>
    </row>
    <row r="26">
      <c r="A26" s="2"/>
      <c r="B26" s="31"/>
      <c r="C26" s="32"/>
      <c r="D26" s="17"/>
      <c r="E26" s="18"/>
      <c r="F26" s="31"/>
      <c r="G26" s="28"/>
      <c r="H26" s="30"/>
      <c r="I26" s="29"/>
      <c r="J26" s="29"/>
      <c r="K26" s="29"/>
      <c r="L26" s="29"/>
      <c r="M26" s="29"/>
      <c r="N26" s="33"/>
      <c r="O26" s="33"/>
      <c r="P26" s="33"/>
      <c r="Q26" s="2"/>
      <c r="R26" s="2"/>
    </row>
    <row r="27" ht="18.75" customHeight="1">
      <c r="A27" s="2"/>
      <c r="B27" s="2"/>
      <c r="C27" s="3"/>
      <c r="D27" s="3"/>
      <c r="E27" s="2"/>
      <c r="F27" s="2"/>
      <c r="G27" s="34">
        <f t="shared" ref="G27:H27" si="1">SUM(G4:G26)</f>
        <v>2705000</v>
      </c>
      <c r="H27" s="35">
        <f t="shared" si="1"/>
        <v>2280000</v>
      </c>
      <c r="I27" s="2"/>
      <c r="J27" s="2"/>
      <c r="K27" s="2"/>
      <c r="L27" s="2"/>
      <c r="M27" s="2"/>
      <c r="N27" s="2"/>
      <c r="O27" s="2"/>
      <c r="P27" s="2"/>
      <c r="Q27" s="2"/>
      <c r="R27" s="2"/>
    </row>
    <row r="28" ht="23.25" customHeight="1">
      <c r="A28" s="2"/>
      <c r="B28" s="2"/>
      <c r="C28" s="3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>
      <c r="A29" s="2"/>
      <c r="B29" s="2"/>
      <c r="C29" s="3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>
      <c r="A30" s="2"/>
      <c r="B30" s="36" t="s">
        <v>1</v>
      </c>
      <c r="C30" s="37" t="s">
        <v>7</v>
      </c>
      <c r="D30" s="37" t="s">
        <v>45</v>
      </c>
      <c r="E30" s="1"/>
      <c r="F30" s="2"/>
      <c r="G30" s="2"/>
      <c r="H30" s="2"/>
      <c r="I30" s="2"/>
      <c r="J30" s="2"/>
      <c r="K30" s="2"/>
      <c r="L30" s="2"/>
      <c r="M30" s="2"/>
      <c r="N30" s="37" t="s">
        <v>46</v>
      </c>
      <c r="O30" s="37" t="s">
        <v>2</v>
      </c>
      <c r="P30" s="2"/>
      <c r="Q30" s="2"/>
      <c r="R30" s="2"/>
    </row>
    <row r="31">
      <c r="A31" s="2"/>
      <c r="B31" s="38">
        <v>1.0</v>
      </c>
      <c r="C31" s="39" t="s">
        <v>47</v>
      </c>
      <c r="D31" s="40">
        <f>SUM(G27)</f>
        <v>2705000</v>
      </c>
      <c r="E31" s="41"/>
      <c r="F31" s="2"/>
      <c r="G31" s="2"/>
      <c r="H31" s="2"/>
      <c r="I31" s="2"/>
      <c r="J31" s="2"/>
      <c r="K31" s="2"/>
      <c r="L31" s="2"/>
      <c r="M31" s="2"/>
      <c r="N31" s="42" t="s">
        <v>48</v>
      </c>
      <c r="O31" s="23" t="s">
        <v>33</v>
      </c>
      <c r="P31" s="2"/>
      <c r="Q31" s="2"/>
      <c r="R31" s="2"/>
    </row>
    <row r="32">
      <c r="A32" s="2"/>
      <c r="B32" s="43">
        <v>2.0</v>
      </c>
      <c r="C32" s="44" t="s">
        <v>139</v>
      </c>
      <c r="D32" s="45">
        <v>-45000.0</v>
      </c>
      <c r="E32" s="46"/>
      <c r="F32" s="2"/>
      <c r="G32" s="2"/>
      <c r="H32" s="2"/>
      <c r="I32" s="2"/>
      <c r="J32" s="2"/>
      <c r="K32" s="2"/>
      <c r="L32" s="2"/>
      <c r="M32" s="2"/>
      <c r="N32" s="47" t="s">
        <v>50</v>
      </c>
      <c r="O32" s="48" t="s">
        <v>22</v>
      </c>
      <c r="P32" s="2"/>
      <c r="Q32" s="2"/>
      <c r="R32" s="2"/>
    </row>
    <row r="33">
      <c r="A33" s="2"/>
      <c r="B33" s="38">
        <v>3.0</v>
      </c>
      <c r="C33" s="39" t="s">
        <v>49</v>
      </c>
      <c r="D33" s="49">
        <v>-60000.0</v>
      </c>
      <c r="E33" s="46"/>
      <c r="F33" s="2"/>
      <c r="G33" s="2"/>
      <c r="H33" s="2"/>
      <c r="I33" s="2"/>
      <c r="J33" s="2"/>
      <c r="K33" s="2"/>
      <c r="L33" s="2"/>
      <c r="M33" s="2"/>
      <c r="N33" s="50" t="s">
        <v>52</v>
      </c>
      <c r="O33" s="25" t="s">
        <v>127</v>
      </c>
      <c r="P33" s="2"/>
      <c r="Q33" s="2"/>
      <c r="R33" s="2"/>
    </row>
    <row r="34">
      <c r="A34" s="2"/>
      <c r="B34" s="43">
        <v>4.0</v>
      </c>
      <c r="C34" s="44" t="s">
        <v>76</v>
      </c>
      <c r="D34" s="45">
        <v>-50000.0</v>
      </c>
      <c r="E34" s="46"/>
      <c r="F34" s="71">
        <f>D32+D33+D34</f>
        <v>-155000</v>
      </c>
      <c r="G34" s="2"/>
      <c r="H34" s="2"/>
      <c r="I34" s="2"/>
      <c r="J34" s="2"/>
      <c r="K34" s="2"/>
      <c r="L34" s="2"/>
      <c r="M34" s="2"/>
      <c r="N34" s="51" t="s">
        <v>54</v>
      </c>
      <c r="O34" s="48" t="s">
        <v>127</v>
      </c>
      <c r="P34" s="2"/>
      <c r="Q34" s="2"/>
      <c r="R34" s="2"/>
    </row>
    <row r="35">
      <c r="A35" s="2"/>
      <c r="B35" s="38"/>
      <c r="C35" s="39" t="s">
        <v>159</v>
      </c>
      <c r="D35" s="40"/>
      <c r="E35" s="41"/>
      <c r="F35" s="2"/>
      <c r="G35" s="2"/>
      <c r="H35" s="2"/>
      <c r="I35" s="2"/>
      <c r="J35" s="2"/>
      <c r="K35" s="2"/>
      <c r="L35" s="2"/>
      <c r="M35" s="2"/>
      <c r="N35" s="53"/>
      <c r="O35" s="2"/>
      <c r="P35" s="2"/>
      <c r="Q35" s="2"/>
      <c r="R35" s="2"/>
    </row>
    <row r="36">
      <c r="A36" s="2"/>
      <c r="B36" s="43"/>
      <c r="C36" s="54"/>
      <c r="D36" s="55"/>
      <c r="E36" s="4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/>
      <c r="B37" s="38"/>
      <c r="C37" s="52"/>
      <c r="D37" s="40"/>
      <c r="E37" s="4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43"/>
      <c r="C38" s="54"/>
      <c r="D38" s="55"/>
      <c r="E38" s="4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38"/>
      <c r="C39" s="52"/>
      <c r="D39" s="40"/>
      <c r="E39" s="4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43"/>
      <c r="C40" s="54"/>
      <c r="D40" s="55"/>
      <c r="E40" s="4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56"/>
      <c r="C41" s="57"/>
      <c r="D41" s="58"/>
      <c r="E41" s="4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2"/>
      <c r="B42" s="2"/>
      <c r="C42" s="3"/>
      <c r="D42" s="59">
        <f>SUM(D31:D41)</f>
        <v>2550000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2"/>
      <c r="B43" s="2"/>
      <c r="C43" s="3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>
      <c r="A44" s="2"/>
      <c r="B44" s="2"/>
      <c r="C44" s="3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2"/>
      <c r="B45" s="2"/>
      <c r="C45" s="3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>
      <c r="A46" s="2"/>
      <c r="B46" s="2"/>
      <c r="C46" s="3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6 O31:O32">
      <formula1>"-,JIJANG,ADDEL ,PENTIL,FAHME,INDAH"</formula1>
    </dataValidation>
    <dataValidation type="list" allowBlank="1" showDropDown="1" showErrorMessage="1" sqref="D4:D26">
      <formula1>"-,Single,Couple A,Couple B,Group A,Group B,Group C,Large Group,Graduation,Graduation Premium,Family A,Family B,Maternity,Concept,Studio Rent,Pas Foto,Single,Add Person ,Add Edit,Add 10R,All File"</formula1>
    </dataValidation>
    <dataValidation type="list" allowBlank="1" showErrorMessage="1" sqref="N4:N26">
      <formula1>"-,Pending,Progress,Uploaded"</formula1>
    </dataValidation>
    <dataValidation type="list" allowBlank="1" showErrorMessage="1" sqref="O4:O26">
      <formula1>"-,In Pikako,In Foxe"</formula1>
    </dataValidation>
    <dataValidation type="list" allowBlank="1" showDropDown="1" showErrorMessage="1" sqref="M4:M26 O33:O34">
      <formula1>"-,VERO,FADEL,HANIF ,FAHME"</formula1>
    </dataValidation>
    <dataValidation type="list" allowBlank="1" showDropDown="1" showErrorMessage="1" sqref="I4:I26">
      <formula1>"-,DP,Lunas"</formula1>
    </dataValidation>
    <dataValidation type="list" allowBlank="1" showDropDown="1" showErrorMessage="1" sqref="J4:K26">
      <formula1>"-,Pending,Uploaded"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25.3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2"/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 t="s">
        <v>147</v>
      </c>
      <c r="D4" s="17" t="s">
        <v>58</v>
      </c>
      <c r="E4" s="18"/>
      <c r="F4" s="19">
        <v>46180.0</v>
      </c>
      <c r="G4" s="20"/>
      <c r="H4" s="21">
        <v>300000.0</v>
      </c>
      <c r="I4" s="22" t="s">
        <v>25</v>
      </c>
      <c r="J4" s="22" t="s">
        <v>26</v>
      </c>
      <c r="K4" s="22" t="s">
        <v>30</v>
      </c>
      <c r="L4" s="22" t="s">
        <v>33</v>
      </c>
      <c r="M4" s="22" t="s">
        <v>127</v>
      </c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 t="s">
        <v>160</v>
      </c>
      <c r="D5" s="17" t="s">
        <v>40</v>
      </c>
      <c r="E5" s="18"/>
      <c r="F5" s="19">
        <v>46182.0</v>
      </c>
      <c r="G5" s="20"/>
      <c r="H5" s="21">
        <v>100000.0</v>
      </c>
      <c r="I5" s="22" t="s">
        <v>21</v>
      </c>
      <c r="J5" s="22"/>
      <c r="K5" s="22"/>
      <c r="L5" s="22" t="s">
        <v>33</v>
      </c>
      <c r="M5" s="22"/>
      <c r="N5" s="25"/>
      <c r="O5" s="25"/>
      <c r="P5" s="26"/>
      <c r="Q5" s="2"/>
      <c r="R5" s="2"/>
    </row>
    <row r="6">
      <c r="A6" s="2"/>
      <c r="B6" s="15">
        <v>3.0</v>
      </c>
      <c r="C6" s="73" t="s">
        <v>161</v>
      </c>
      <c r="D6" s="17" t="s">
        <v>42</v>
      </c>
      <c r="E6" s="18"/>
      <c r="F6" s="27">
        <v>46180.0</v>
      </c>
      <c r="G6" s="20">
        <v>100000.0</v>
      </c>
      <c r="H6" s="21"/>
      <c r="I6" s="22" t="s">
        <v>21</v>
      </c>
      <c r="J6" s="22"/>
      <c r="K6" s="22"/>
      <c r="L6" s="22" t="s">
        <v>33</v>
      </c>
      <c r="M6" s="29"/>
      <c r="N6" s="25"/>
      <c r="O6" s="25"/>
      <c r="P6" s="26"/>
      <c r="Q6" s="2"/>
      <c r="R6" s="2"/>
    </row>
    <row r="7">
      <c r="A7" s="2"/>
      <c r="B7" s="15">
        <v>4.0</v>
      </c>
      <c r="C7" s="16" t="s">
        <v>154</v>
      </c>
      <c r="D7" s="17" t="s">
        <v>20</v>
      </c>
      <c r="E7" s="18"/>
      <c r="F7" s="27">
        <v>46180.0</v>
      </c>
      <c r="G7" s="20"/>
      <c r="H7" s="21">
        <v>150000.0</v>
      </c>
      <c r="I7" s="22" t="s">
        <v>25</v>
      </c>
      <c r="J7" s="22" t="s">
        <v>26</v>
      </c>
      <c r="K7" s="22" t="s">
        <v>26</v>
      </c>
      <c r="L7" s="22" t="s">
        <v>33</v>
      </c>
      <c r="M7" s="22" t="s">
        <v>127</v>
      </c>
      <c r="N7" s="25"/>
      <c r="O7" s="25"/>
      <c r="P7" s="26"/>
      <c r="Q7" s="2"/>
      <c r="R7" s="2"/>
    </row>
    <row r="8">
      <c r="A8" s="2"/>
      <c r="B8" s="15">
        <v>5.0</v>
      </c>
      <c r="C8" s="16" t="s">
        <v>162</v>
      </c>
      <c r="D8" s="17" t="s">
        <v>20</v>
      </c>
      <c r="E8" s="18"/>
      <c r="F8" s="27">
        <v>46180.0</v>
      </c>
      <c r="G8" s="20"/>
      <c r="H8" s="21">
        <v>150000.0</v>
      </c>
      <c r="I8" s="22" t="s">
        <v>25</v>
      </c>
      <c r="J8" s="22" t="s">
        <v>26</v>
      </c>
      <c r="K8" s="22" t="s">
        <v>26</v>
      </c>
      <c r="L8" s="22" t="s">
        <v>33</v>
      </c>
      <c r="M8" s="22" t="s">
        <v>127</v>
      </c>
      <c r="N8" s="25"/>
      <c r="O8" s="26"/>
      <c r="P8" s="26"/>
      <c r="Q8" s="2"/>
      <c r="R8" s="2"/>
    </row>
    <row r="9">
      <c r="A9" s="2"/>
      <c r="B9" s="15">
        <v>6.0</v>
      </c>
      <c r="C9" s="16" t="s">
        <v>163</v>
      </c>
      <c r="D9" s="17" t="s">
        <v>42</v>
      </c>
      <c r="E9" s="18"/>
      <c r="F9" s="27">
        <v>46186.0</v>
      </c>
      <c r="G9" s="20"/>
      <c r="H9" s="21">
        <v>100000.0</v>
      </c>
      <c r="I9" s="22" t="s">
        <v>21</v>
      </c>
      <c r="J9" s="22"/>
      <c r="K9" s="22"/>
      <c r="L9" s="22" t="s">
        <v>33</v>
      </c>
      <c r="M9" s="29"/>
      <c r="N9" s="25"/>
      <c r="O9" s="26"/>
      <c r="P9" s="26"/>
      <c r="Q9" s="2"/>
      <c r="R9" s="2"/>
    </row>
    <row r="10">
      <c r="A10" s="2"/>
      <c r="B10" s="15">
        <v>7.0</v>
      </c>
      <c r="C10" s="16" t="s">
        <v>164</v>
      </c>
      <c r="D10" s="17" t="s">
        <v>20</v>
      </c>
      <c r="E10" s="18"/>
      <c r="F10" s="27">
        <v>46181.0</v>
      </c>
      <c r="G10" s="20"/>
      <c r="H10" s="21">
        <v>100000.0</v>
      </c>
      <c r="I10" s="22" t="s">
        <v>21</v>
      </c>
      <c r="J10" s="22"/>
      <c r="K10" s="22"/>
      <c r="L10" s="22" t="s">
        <v>22</v>
      </c>
      <c r="M10" s="29"/>
      <c r="N10" s="25"/>
      <c r="O10" s="26"/>
      <c r="P10" s="26"/>
      <c r="Q10" s="2"/>
      <c r="R10" s="2"/>
    </row>
    <row r="11">
      <c r="A11" s="2"/>
      <c r="B11" s="15">
        <v>8.0</v>
      </c>
      <c r="C11" s="16" t="s">
        <v>165</v>
      </c>
      <c r="D11" s="17" t="s">
        <v>166</v>
      </c>
      <c r="E11" s="18"/>
      <c r="F11" s="27">
        <v>46181.0</v>
      </c>
      <c r="G11" s="20"/>
      <c r="H11" s="21">
        <v>1600000.0</v>
      </c>
      <c r="I11" s="22" t="s">
        <v>25</v>
      </c>
      <c r="J11" s="22" t="s">
        <v>26</v>
      </c>
      <c r="K11" s="22" t="s">
        <v>30</v>
      </c>
      <c r="L11" s="22" t="s">
        <v>22</v>
      </c>
      <c r="M11" s="22" t="s">
        <v>167</v>
      </c>
      <c r="N11" s="25"/>
      <c r="O11" s="26"/>
      <c r="P11" s="26"/>
      <c r="Q11" s="2"/>
      <c r="R11" s="2"/>
    </row>
    <row r="12">
      <c r="A12" s="2"/>
      <c r="B12" s="15">
        <v>9.0</v>
      </c>
      <c r="C12" s="16" t="s">
        <v>161</v>
      </c>
      <c r="D12" s="17" t="s">
        <v>168</v>
      </c>
      <c r="E12" s="18"/>
      <c r="F12" s="27">
        <v>46180.0</v>
      </c>
      <c r="G12" s="20">
        <v>350000.0</v>
      </c>
      <c r="H12" s="30"/>
      <c r="I12" s="22" t="s">
        <v>25</v>
      </c>
      <c r="J12" s="22" t="s">
        <v>26</v>
      </c>
      <c r="K12" s="22" t="s">
        <v>30</v>
      </c>
      <c r="L12" s="22" t="s">
        <v>22</v>
      </c>
      <c r="M12" s="22" t="s">
        <v>62</v>
      </c>
      <c r="N12" s="25"/>
      <c r="O12" s="26"/>
      <c r="P12" s="26"/>
      <c r="Q12" s="2"/>
      <c r="R12" s="2"/>
    </row>
    <row r="13">
      <c r="A13" s="2"/>
      <c r="B13" s="15">
        <v>10.0</v>
      </c>
      <c r="C13" s="16" t="s">
        <v>123</v>
      </c>
      <c r="D13" s="17" t="s">
        <v>20</v>
      </c>
      <c r="E13" s="18"/>
      <c r="F13" s="27">
        <v>46180.0</v>
      </c>
      <c r="G13" s="20"/>
      <c r="H13" s="21">
        <v>150000.0</v>
      </c>
      <c r="I13" s="22" t="s">
        <v>25</v>
      </c>
      <c r="J13" s="22" t="s">
        <v>26</v>
      </c>
      <c r="K13" s="22" t="s">
        <v>26</v>
      </c>
      <c r="L13" s="22" t="s">
        <v>22</v>
      </c>
      <c r="M13" s="22" t="s">
        <v>62</v>
      </c>
      <c r="N13" s="25"/>
      <c r="O13" s="26"/>
      <c r="P13" s="26"/>
      <c r="Q13" s="2"/>
      <c r="R13" s="2"/>
    </row>
    <row r="14">
      <c r="A14" s="2"/>
      <c r="B14" s="31"/>
      <c r="C14" s="16" t="s">
        <v>84</v>
      </c>
      <c r="D14" s="17" t="s">
        <v>85</v>
      </c>
      <c r="E14" s="18"/>
      <c r="F14" s="27">
        <v>46180.0</v>
      </c>
      <c r="G14" s="20"/>
      <c r="H14" s="21">
        <v>1150000.0</v>
      </c>
      <c r="I14" s="22" t="s">
        <v>25</v>
      </c>
      <c r="J14" s="22"/>
      <c r="K14" s="22"/>
      <c r="L14" s="22" t="s">
        <v>22</v>
      </c>
      <c r="M14" s="29"/>
      <c r="N14" s="25"/>
      <c r="O14" s="26"/>
      <c r="P14" s="26"/>
      <c r="Q14" s="2"/>
      <c r="R14" s="2"/>
    </row>
    <row r="15">
      <c r="A15" s="2"/>
      <c r="B15" s="31"/>
      <c r="C15" s="16" t="s">
        <v>169</v>
      </c>
      <c r="D15" s="17" t="s">
        <v>82</v>
      </c>
      <c r="E15" s="18"/>
      <c r="F15" s="27">
        <v>46190.0</v>
      </c>
      <c r="G15" s="20"/>
      <c r="H15" s="21">
        <v>100000.0</v>
      </c>
      <c r="I15" s="22" t="s">
        <v>21</v>
      </c>
      <c r="J15" s="22"/>
      <c r="K15" s="22"/>
      <c r="L15" s="22" t="s">
        <v>22</v>
      </c>
      <c r="M15" s="29"/>
      <c r="N15" s="25"/>
      <c r="O15" s="26"/>
      <c r="P15" s="26"/>
      <c r="Q15" s="2"/>
      <c r="R15" s="2"/>
    </row>
    <row r="16">
      <c r="A16" s="2"/>
      <c r="B16" s="31"/>
      <c r="C16" s="16" t="s">
        <v>170</v>
      </c>
      <c r="D16" s="17" t="s">
        <v>20</v>
      </c>
      <c r="E16" s="18"/>
      <c r="F16" s="27">
        <v>46181.0</v>
      </c>
      <c r="G16" s="20"/>
      <c r="H16" s="21">
        <v>100000.0</v>
      </c>
      <c r="I16" s="22" t="s">
        <v>21</v>
      </c>
      <c r="J16" s="22"/>
      <c r="K16" s="22"/>
      <c r="L16" s="22" t="s">
        <v>22</v>
      </c>
      <c r="M16" s="29"/>
      <c r="N16" s="25"/>
      <c r="O16" s="26"/>
      <c r="P16" s="26"/>
      <c r="Q16" s="2"/>
      <c r="R16" s="2"/>
    </row>
    <row r="17">
      <c r="A17" s="2"/>
      <c r="B17" s="31"/>
      <c r="C17" s="16"/>
      <c r="D17" s="17"/>
      <c r="E17" s="18"/>
      <c r="F17" s="31"/>
      <c r="G17" s="20"/>
      <c r="H17" s="30"/>
      <c r="I17" s="22"/>
      <c r="J17" s="22"/>
      <c r="K17" s="22"/>
      <c r="L17" s="29"/>
      <c r="M17" s="29"/>
      <c r="N17" s="25"/>
      <c r="O17" s="26"/>
      <c r="P17" s="26"/>
      <c r="Q17" s="2"/>
      <c r="R17" s="2"/>
    </row>
    <row r="18">
      <c r="A18" s="2"/>
      <c r="B18" s="31"/>
      <c r="C18" s="32"/>
      <c r="D18" s="17"/>
      <c r="E18" s="18"/>
      <c r="F18" s="31"/>
      <c r="G18" s="28"/>
      <c r="H18" s="30"/>
      <c r="I18" s="29"/>
      <c r="J18" s="29"/>
      <c r="K18" s="29"/>
      <c r="L18" s="29"/>
      <c r="M18" s="29"/>
      <c r="N18" s="33"/>
      <c r="O18" s="33"/>
      <c r="P18" s="33"/>
      <c r="Q18" s="2"/>
      <c r="R18" s="2"/>
    </row>
    <row r="19" ht="18.75" customHeight="1">
      <c r="A19" s="2"/>
      <c r="B19" s="2"/>
      <c r="C19" s="3"/>
      <c r="D19" s="3"/>
      <c r="E19" s="2"/>
      <c r="F19" s="2"/>
      <c r="G19" s="34">
        <f t="shared" ref="G19:H19" si="1">SUM(G4:G18)</f>
        <v>450000</v>
      </c>
      <c r="H19" s="35">
        <f t="shared" si="1"/>
        <v>4000000</v>
      </c>
      <c r="I19" s="2"/>
      <c r="J19" s="2"/>
      <c r="K19" s="2"/>
      <c r="L19" s="2"/>
      <c r="M19" s="2"/>
      <c r="N19" s="2"/>
      <c r="O19" s="2"/>
      <c r="P19" s="2"/>
      <c r="Q19" s="2"/>
      <c r="R19" s="2"/>
    </row>
    <row r="20" ht="23.25" customHeight="1">
      <c r="A20" s="2"/>
      <c r="B20" s="2"/>
      <c r="C20" s="3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>
      <c r="A21" s="2"/>
      <c r="B21" s="2"/>
      <c r="C21" s="3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>
      <c r="A22" s="2"/>
      <c r="B22" s="36" t="s">
        <v>1</v>
      </c>
      <c r="C22" s="37" t="s">
        <v>7</v>
      </c>
      <c r="D22" s="37" t="s">
        <v>45</v>
      </c>
      <c r="E22" s="1"/>
      <c r="F22" s="2"/>
      <c r="G22" s="2"/>
      <c r="H22" s="2"/>
      <c r="I22" s="2"/>
      <c r="J22" s="2"/>
      <c r="K22" s="2"/>
      <c r="L22" s="2"/>
      <c r="M22" s="2"/>
      <c r="N22" s="37" t="s">
        <v>46</v>
      </c>
      <c r="O22" s="37" t="s">
        <v>2</v>
      </c>
      <c r="P22" s="2"/>
      <c r="Q22" s="2"/>
      <c r="R22" s="2"/>
    </row>
    <row r="23">
      <c r="A23" s="2"/>
      <c r="B23" s="38">
        <v>1.0</v>
      </c>
      <c r="C23" s="39" t="s">
        <v>47</v>
      </c>
      <c r="D23" s="40">
        <f>SUM(G19)</f>
        <v>450000</v>
      </c>
      <c r="E23" s="41"/>
      <c r="F23" s="2"/>
      <c r="G23" s="2"/>
      <c r="H23" s="2"/>
      <c r="I23" s="2"/>
      <c r="J23" s="2"/>
      <c r="K23" s="2"/>
      <c r="L23" s="2"/>
      <c r="M23" s="2"/>
      <c r="N23" s="42" t="s">
        <v>48</v>
      </c>
      <c r="O23" s="23" t="s">
        <v>33</v>
      </c>
      <c r="P23" s="2"/>
      <c r="Q23" s="2"/>
      <c r="R23" s="2"/>
    </row>
    <row r="24">
      <c r="A24" s="2"/>
      <c r="B24" s="43">
        <v>2.0</v>
      </c>
      <c r="C24" s="44" t="s">
        <v>76</v>
      </c>
      <c r="D24" s="45">
        <v>-100000.0</v>
      </c>
      <c r="E24" s="46"/>
      <c r="F24" s="2"/>
      <c r="G24" s="2"/>
      <c r="H24" s="2"/>
      <c r="I24" s="2"/>
      <c r="J24" s="2"/>
      <c r="K24" s="2"/>
      <c r="L24" s="2"/>
      <c r="M24" s="2"/>
      <c r="N24" s="47" t="s">
        <v>50</v>
      </c>
      <c r="O24" s="48" t="s">
        <v>22</v>
      </c>
      <c r="P24" s="2"/>
      <c r="Q24" s="2"/>
      <c r="R24" s="2"/>
    </row>
    <row r="25">
      <c r="A25" s="2"/>
      <c r="B25" s="38">
        <v>3.0</v>
      </c>
      <c r="C25" s="39" t="s">
        <v>53</v>
      </c>
      <c r="D25" s="49">
        <v>-50000.0</v>
      </c>
      <c r="E25" s="46"/>
      <c r="F25" s="2"/>
      <c r="G25" s="2"/>
      <c r="H25" s="2"/>
      <c r="I25" s="2"/>
      <c r="J25" s="2"/>
      <c r="K25" s="2"/>
      <c r="L25" s="2"/>
      <c r="M25" s="2"/>
      <c r="N25" s="50" t="s">
        <v>52</v>
      </c>
      <c r="O25" s="25" t="s">
        <v>127</v>
      </c>
      <c r="P25" s="2"/>
      <c r="Q25" s="2"/>
      <c r="R25" s="2"/>
    </row>
    <row r="26">
      <c r="A26" s="2"/>
      <c r="B26" s="43">
        <v>4.0</v>
      </c>
      <c r="C26" s="44" t="s">
        <v>49</v>
      </c>
      <c r="D26" s="45">
        <v>-70000.0</v>
      </c>
      <c r="E26" s="46"/>
      <c r="F26" s="2"/>
      <c r="G26" s="2"/>
      <c r="H26" s="2"/>
      <c r="I26" s="2"/>
      <c r="J26" s="2"/>
      <c r="K26" s="2"/>
      <c r="L26" s="2"/>
      <c r="M26" s="2"/>
      <c r="N26" s="51" t="s">
        <v>54</v>
      </c>
      <c r="O26" s="48" t="s">
        <v>62</v>
      </c>
      <c r="P26" s="2"/>
      <c r="Q26" s="2"/>
      <c r="R26" s="2"/>
    </row>
    <row r="27">
      <c r="A27" s="2"/>
      <c r="B27" s="38"/>
      <c r="C27" s="39" t="s">
        <v>171</v>
      </c>
      <c r="D27" s="49">
        <v>-30000.0</v>
      </c>
      <c r="E27" s="41"/>
      <c r="F27" s="2"/>
      <c r="G27" s="2"/>
      <c r="H27" s="2"/>
      <c r="I27" s="2"/>
      <c r="J27" s="2"/>
      <c r="K27" s="2"/>
      <c r="L27" s="2"/>
      <c r="M27" s="2"/>
      <c r="N27" s="53"/>
      <c r="O27" s="2"/>
      <c r="P27" s="2"/>
      <c r="Q27" s="2"/>
      <c r="R27" s="2"/>
    </row>
    <row r="28">
      <c r="A28" s="2"/>
      <c r="B28" s="43"/>
      <c r="C28" s="54"/>
      <c r="D28" s="55"/>
      <c r="E28" s="4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>
      <c r="A29" s="2"/>
      <c r="B29" s="38"/>
      <c r="C29" s="52"/>
      <c r="D29" s="40"/>
      <c r="E29" s="4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>
      <c r="A30" s="2"/>
      <c r="B30" s="43"/>
      <c r="C30" s="54"/>
      <c r="D30" s="55"/>
      <c r="E30" s="4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>
      <c r="A31" s="2"/>
      <c r="B31" s="38"/>
      <c r="C31" s="52"/>
      <c r="D31" s="40"/>
      <c r="E31" s="4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2"/>
      <c r="B32" s="43"/>
      <c r="C32" s="54"/>
      <c r="D32" s="55"/>
      <c r="E32" s="4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2"/>
      <c r="B33" s="56"/>
      <c r="C33" s="57"/>
      <c r="D33" s="58"/>
      <c r="E33" s="4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2"/>
      <c r="B34" s="2"/>
      <c r="C34" s="3"/>
      <c r="D34" s="59">
        <f>SUM(D23:D33)</f>
        <v>200000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2"/>
      <c r="B35" s="2"/>
      <c r="C35" s="3"/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2"/>
      <c r="B36" s="2"/>
      <c r="C36" s="3"/>
      <c r="D36" s="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/>
      <c r="B37" s="2"/>
      <c r="C37" s="3"/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2"/>
      <c r="C38" s="3"/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 ,PENTIL,FAHME,INDAH"</formula1>
    </dataValidation>
    <dataValidation type="list" allowBlank="1" showDropDown="1" showErrorMessage="1" sqref="M4:M18 O25:O26">
      <formula1>"-,VERO,HANIF ,PENTIL,FAHME,ADIF,HANIF, VERO"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Edit,Prewed 1.7jt"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2"/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 t="s">
        <v>172</v>
      </c>
      <c r="D4" s="17" t="s">
        <v>24</v>
      </c>
      <c r="E4" s="18"/>
      <c r="F4" s="27">
        <v>46181.0</v>
      </c>
      <c r="G4" s="20">
        <v>50000.0</v>
      </c>
      <c r="H4" s="21"/>
      <c r="I4" s="22" t="s">
        <v>25</v>
      </c>
      <c r="J4" s="22" t="s">
        <v>26</v>
      </c>
      <c r="K4" s="22" t="s">
        <v>26</v>
      </c>
      <c r="L4" s="22" t="s">
        <v>22</v>
      </c>
      <c r="M4" s="22" t="s">
        <v>62</v>
      </c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 t="s">
        <v>173</v>
      </c>
      <c r="D5" s="17" t="s">
        <v>40</v>
      </c>
      <c r="E5" s="18"/>
      <c r="F5" s="19">
        <v>46185.0</v>
      </c>
      <c r="G5" s="20"/>
      <c r="H5" s="21">
        <v>100000.0</v>
      </c>
      <c r="I5" s="22" t="s">
        <v>21</v>
      </c>
      <c r="J5" s="22"/>
      <c r="K5" s="22"/>
      <c r="L5" s="22" t="s">
        <v>22</v>
      </c>
      <c r="M5" s="22"/>
      <c r="N5" s="25"/>
      <c r="O5" s="25"/>
      <c r="P5" s="26"/>
      <c r="Q5" s="2"/>
      <c r="R5" s="2"/>
    </row>
    <row r="6">
      <c r="A6" s="2"/>
      <c r="B6" s="15">
        <v>3.0</v>
      </c>
      <c r="C6" s="16" t="s">
        <v>74</v>
      </c>
      <c r="D6" s="17" t="s">
        <v>20</v>
      </c>
      <c r="E6" s="18"/>
      <c r="F6" s="27">
        <v>46181.0</v>
      </c>
      <c r="G6" s="20">
        <v>150000.0</v>
      </c>
      <c r="H6" s="21"/>
      <c r="I6" s="22" t="s">
        <v>25</v>
      </c>
      <c r="J6" s="22" t="s">
        <v>26</v>
      </c>
      <c r="K6" s="22" t="s">
        <v>26</v>
      </c>
      <c r="L6" s="22" t="s">
        <v>22</v>
      </c>
      <c r="M6" s="22" t="s">
        <v>62</v>
      </c>
      <c r="N6" s="25"/>
      <c r="O6" s="25"/>
      <c r="P6" s="26"/>
      <c r="Q6" s="2"/>
      <c r="R6" s="2"/>
    </row>
    <row r="7">
      <c r="A7" s="2"/>
      <c r="B7" s="15">
        <v>4.0</v>
      </c>
      <c r="C7" s="16" t="s">
        <v>174</v>
      </c>
      <c r="D7" s="17" t="s">
        <v>20</v>
      </c>
      <c r="E7" s="18"/>
      <c r="F7" s="27">
        <v>46189.0</v>
      </c>
      <c r="G7" s="20"/>
      <c r="H7" s="21">
        <v>100000.0</v>
      </c>
      <c r="I7" s="22" t="s">
        <v>21</v>
      </c>
      <c r="J7" s="22"/>
      <c r="K7" s="22"/>
      <c r="L7" s="22" t="s">
        <v>22</v>
      </c>
      <c r="M7" s="29"/>
      <c r="N7" s="25"/>
      <c r="O7" s="25"/>
      <c r="P7" s="26"/>
      <c r="Q7" s="2"/>
      <c r="R7" s="2"/>
    </row>
    <row r="8">
      <c r="A8" s="2"/>
      <c r="B8" s="15">
        <v>5.0</v>
      </c>
      <c r="C8" s="16" t="s">
        <v>175</v>
      </c>
      <c r="D8" s="17" t="s">
        <v>40</v>
      </c>
      <c r="E8" s="18"/>
      <c r="F8" s="27">
        <v>46182.0</v>
      </c>
      <c r="G8" s="20"/>
      <c r="H8" s="21">
        <v>100000.0</v>
      </c>
      <c r="I8" s="22" t="s">
        <v>21</v>
      </c>
      <c r="J8" s="22"/>
      <c r="K8" s="22"/>
      <c r="L8" s="22" t="s">
        <v>22</v>
      </c>
      <c r="M8" s="29"/>
      <c r="N8" s="25"/>
      <c r="O8" s="26"/>
      <c r="P8" s="26"/>
      <c r="Q8" s="2"/>
      <c r="R8" s="2"/>
    </row>
    <row r="9">
      <c r="A9" s="2"/>
      <c r="B9" s="15">
        <v>6.0</v>
      </c>
      <c r="C9" s="16" t="s">
        <v>176</v>
      </c>
      <c r="D9" s="17" t="s">
        <v>40</v>
      </c>
      <c r="E9" s="18"/>
      <c r="F9" s="27">
        <v>46191.0</v>
      </c>
      <c r="G9" s="20"/>
      <c r="H9" s="21">
        <v>100000.0</v>
      </c>
      <c r="I9" s="22" t="s">
        <v>21</v>
      </c>
      <c r="J9" s="22"/>
      <c r="K9" s="22"/>
      <c r="L9" s="22" t="s">
        <v>22</v>
      </c>
      <c r="M9" s="29"/>
      <c r="N9" s="25"/>
      <c r="O9" s="26"/>
      <c r="P9" s="26"/>
      <c r="Q9" s="2"/>
      <c r="R9" s="2"/>
    </row>
    <row r="10">
      <c r="A10" s="2"/>
      <c r="B10" s="15">
        <v>7.0</v>
      </c>
      <c r="C10" s="16" t="s">
        <v>177</v>
      </c>
      <c r="D10" s="17" t="s">
        <v>92</v>
      </c>
      <c r="E10" s="18"/>
      <c r="F10" s="27">
        <v>46185.0</v>
      </c>
      <c r="G10" s="20"/>
      <c r="H10" s="21">
        <v>100000.0</v>
      </c>
      <c r="I10" s="22" t="s">
        <v>25</v>
      </c>
      <c r="J10" s="22"/>
      <c r="K10" s="22"/>
      <c r="L10" s="22" t="s">
        <v>22</v>
      </c>
      <c r="M10" s="29"/>
      <c r="N10" s="25"/>
      <c r="O10" s="26"/>
      <c r="P10" s="26"/>
      <c r="Q10" s="2"/>
      <c r="R10" s="2"/>
    </row>
    <row r="11">
      <c r="A11" s="2"/>
      <c r="B11" s="15">
        <v>8.0</v>
      </c>
      <c r="C11" s="16" t="s">
        <v>119</v>
      </c>
      <c r="D11" s="17" t="s">
        <v>20</v>
      </c>
      <c r="E11" s="18"/>
      <c r="F11" s="27">
        <v>46181.0</v>
      </c>
      <c r="G11" s="20">
        <v>1000000.0</v>
      </c>
      <c r="H11" s="30"/>
      <c r="I11" s="22" t="s">
        <v>25</v>
      </c>
      <c r="J11" s="22" t="s">
        <v>26</v>
      </c>
      <c r="K11" s="22" t="s">
        <v>26</v>
      </c>
      <c r="L11" s="22" t="s">
        <v>178</v>
      </c>
      <c r="M11" s="22" t="s">
        <v>62</v>
      </c>
      <c r="N11" s="25"/>
      <c r="O11" s="26"/>
      <c r="P11" s="26"/>
      <c r="Q11" s="2"/>
      <c r="R11" s="2"/>
    </row>
    <row r="12">
      <c r="A12" s="2"/>
      <c r="B12" s="15">
        <v>9.0</v>
      </c>
      <c r="C12" s="16" t="s">
        <v>156</v>
      </c>
      <c r="D12" s="17" t="s">
        <v>20</v>
      </c>
      <c r="E12" s="18"/>
      <c r="F12" s="27">
        <v>46181.0</v>
      </c>
      <c r="G12" s="20"/>
      <c r="H12" s="21">
        <v>250000.0</v>
      </c>
      <c r="I12" s="22" t="s">
        <v>25</v>
      </c>
      <c r="J12" s="22" t="s">
        <v>26</v>
      </c>
      <c r="K12" s="22" t="s">
        <v>26</v>
      </c>
      <c r="L12" s="22" t="s">
        <v>178</v>
      </c>
      <c r="M12" s="22" t="s">
        <v>62</v>
      </c>
      <c r="N12" s="25"/>
      <c r="O12" s="26"/>
      <c r="P12" s="26"/>
      <c r="Q12" s="2"/>
      <c r="R12" s="2"/>
    </row>
    <row r="13">
      <c r="A13" s="2"/>
      <c r="B13" s="15">
        <v>10.0</v>
      </c>
      <c r="C13" s="16" t="s">
        <v>164</v>
      </c>
      <c r="D13" s="17" t="s">
        <v>20</v>
      </c>
      <c r="E13" s="18"/>
      <c r="F13" s="27">
        <v>46181.0</v>
      </c>
      <c r="G13" s="20"/>
      <c r="H13" s="21">
        <v>175000.0</v>
      </c>
      <c r="I13" s="22" t="s">
        <v>25</v>
      </c>
      <c r="J13" s="22" t="s">
        <v>26</v>
      </c>
      <c r="K13" s="22" t="s">
        <v>26</v>
      </c>
      <c r="L13" s="22" t="s">
        <v>178</v>
      </c>
      <c r="M13" s="22" t="s">
        <v>62</v>
      </c>
      <c r="N13" s="25"/>
      <c r="O13" s="26"/>
      <c r="P13" s="26"/>
      <c r="Q13" s="2"/>
      <c r="R13" s="2"/>
    </row>
    <row r="14">
      <c r="A14" s="2"/>
      <c r="B14" s="31"/>
      <c r="C14" s="16" t="s">
        <v>179</v>
      </c>
      <c r="D14" s="17" t="s">
        <v>20</v>
      </c>
      <c r="E14" s="18"/>
      <c r="F14" s="27">
        <v>46189.0</v>
      </c>
      <c r="G14" s="20"/>
      <c r="H14" s="21">
        <v>100000.0</v>
      </c>
      <c r="I14" s="22" t="s">
        <v>21</v>
      </c>
      <c r="J14" s="22"/>
      <c r="K14" s="22"/>
      <c r="L14" s="22" t="s">
        <v>178</v>
      </c>
      <c r="M14" s="29"/>
      <c r="N14" s="25"/>
      <c r="O14" s="26"/>
      <c r="P14" s="26"/>
      <c r="Q14" s="2"/>
      <c r="R14" s="2"/>
    </row>
    <row r="15">
      <c r="A15" s="2"/>
      <c r="B15" s="31"/>
      <c r="C15" s="16" t="s">
        <v>180</v>
      </c>
      <c r="D15" s="17" t="s">
        <v>20</v>
      </c>
      <c r="E15" s="18"/>
      <c r="F15" s="27">
        <v>46181.0</v>
      </c>
      <c r="G15" s="20">
        <v>1300000.0</v>
      </c>
      <c r="H15" s="30"/>
      <c r="I15" s="22" t="s">
        <v>25</v>
      </c>
      <c r="J15" s="22" t="s">
        <v>26</v>
      </c>
      <c r="K15" s="22" t="s">
        <v>26</v>
      </c>
      <c r="L15" s="22" t="s">
        <v>178</v>
      </c>
      <c r="M15" s="22" t="s">
        <v>62</v>
      </c>
      <c r="N15" s="25"/>
      <c r="O15" s="26"/>
      <c r="P15" s="26"/>
      <c r="Q15" s="2"/>
      <c r="R15" s="2"/>
    </row>
    <row r="16">
      <c r="A16" s="2"/>
      <c r="B16" s="31"/>
      <c r="C16" s="16" t="s">
        <v>181</v>
      </c>
      <c r="D16" s="17" t="s">
        <v>20</v>
      </c>
      <c r="E16" s="18"/>
      <c r="F16" s="27">
        <v>46181.0</v>
      </c>
      <c r="G16" s="20"/>
      <c r="H16" s="21">
        <v>100000.0</v>
      </c>
      <c r="I16" s="22" t="s">
        <v>25</v>
      </c>
      <c r="J16" s="22" t="s">
        <v>26</v>
      </c>
      <c r="K16" s="22" t="s">
        <v>26</v>
      </c>
      <c r="L16" s="22" t="s">
        <v>178</v>
      </c>
      <c r="M16" s="22" t="s">
        <v>62</v>
      </c>
      <c r="N16" s="25"/>
      <c r="O16" s="26"/>
      <c r="P16" s="26"/>
      <c r="Q16" s="2"/>
      <c r="R16" s="2"/>
    </row>
    <row r="17">
      <c r="A17" s="2"/>
      <c r="B17" s="31"/>
      <c r="C17" s="16" t="s">
        <v>182</v>
      </c>
      <c r="D17" s="17" t="s">
        <v>40</v>
      </c>
      <c r="E17" s="18"/>
      <c r="F17" s="27">
        <v>46182.0</v>
      </c>
      <c r="G17" s="20"/>
      <c r="H17" s="21">
        <v>350000.0</v>
      </c>
      <c r="I17" s="22" t="s">
        <v>25</v>
      </c>
      <c r="J17" s="22"/>
      <c r="K17" s="22"/>
      <c r="L17" s="22" t="s">
        <v>178</v>
      </c>
      <c r="M17" s="29"/>
      <c r="N17" s="25"/>
      <c r="O17" s="26"/>
      <c r="P17" s="26"/>
      <c r="Q17" s="2"/>
      <c r="R17" s="2"/>
    </row>
    <row r="18">
      <c r="A18" s="2"/>
      <c r="B18" s="31"/>
      <c r="C18" s="16" t="s">
        <v>183</v>
      </c>
      <c r="D18" s="17" t="s">
        <v>42</v>
      </c>
      <c r="E18" s="18"/>
      <c r="F18" s="27">
        <v>46181.0</v>
      </c>
      <c r="G18" s="28"/>
      <c r="H18" s="21">
        <v>350000.0</v>
      </c>
      <c r="I18" s="22" t="s">
        <v>25</v>
      </c>
      <c r="J18" s="22" t="s">
        <v>26</v>
      </c>
      <c r="K18" s="22" t="s">
        <v>184</v>
      </c>
      <c r="L18" s="22" t="s">
        <v>178</v>
      </c>
      <c r="M18" s="22" t="s">
        <v>62</v>
      </c>
      <c r="N18" s="33"/>
      <c r="O18" s="33"/>
      <c r="P18" s="33"/>
      <c r="Q18" s="2"/>
      <c r="R18" s="2"/>
    </row>
    <row r="19" ht="18.75" customHeight="1">
      <c r="A19" s="2"/>
      <c r="B19" s="2"/>
      <c r="C19" s="3"/>
      <c r="D19" s="3"/>
      <c r="E19" s="2"/>
      <c r="F19" s="2"/>
      <c r="G19" s="34">
        <f t="shared" ref="G19:H19" si="1">SUM(G4:G18)</f>
        <v>2500000</v>
      </c>
      <c r="H19" s="35">
        <f t="shared" si="1"/>
        <v>1825000</v>
      </c>
      <c r="I19" s="2"/>
      <c r="J19" s="2"/>
      <c r="K19" s="2"/>
      <c r="L19" s="2"/>
      <c r="M19" s="2"/>
      <c r="N19" s="2"/>
      <c r="O19" s="2"/>
      <c r="P19" s="2"/>
      <c r="Q19" s="2"/>
      <c r="R19" s="2"/>
    </row>
    <row r="20" ht="23.25" customHeight="1">
      <c r="A20" s="2"/>
      <c r="B20" s="2"/>
      <c r="C20" s="3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>
      <c r="A21" s="2"/>
      <c r="B21" s="2"/>
      <c r="C21" s="3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>
      <c r="A22" s="2"/>
      <c r="B22" s="36" t="s">
        <v>1</v>
      </c>
      <c r="C22" s="37" t="s">
        <v>7</v>
      </c>
      <c r="D22" s="37" t="s">
        <v>45</v>
      </c>
      <c r="E22" s="1"/>
      <c r="F22" s="2"/>
      <c r="G22" s="2"/>
      <c r="H22" s="2"/>
      <c r="I22" s="2"/>
      <c r="J22" s="2"/>
      <c r="K22" s="2"/>
      <c r="L22" s="2"/>
      <c r="M22" s="2"/>
      <c r="N22" s="37" t="s">
        <v>46</v>
      </c>
      <c r="O22" s="37" t="s">
        <v>2</v>
      </c>
      <c r="P22" s="2"/>
      <c r="Q22" s="2"/>
      <c r="R22" s="2"/>
    </row>
    <row r="23">
      <c r="A23" s="2"/>
      <c r="B23" s="38">
        <v>1.0</v>
      </c>
      <c r="C23" s="39" t="s">
        <v>47</v>
      </c>
      <c r="D23" s="40">
        <f>SUM(G19)</f>
        <v>2500000</v>
      </c>
      <c r="E23" s="41"/>
      <c r="F23" s="2"/>
      <c r="G23" s="2"/>
      <c r="H23" s="2"/>
      <c r="I23" s="2"/>
      <c r="J23" s="2"/>
      <c r="K23" s="2"/>
      <c r="L23" s="2"/>
      <c r="M23" s="2"/>
      <c r="N23" s="42" t="s">
        <v>48</v>
      </c>
      <c r="O23" s="23" t="s">
        <v>22</v>
      </c>
      <c r="P23" s="2"/>
      <c r="Q23" s="2"/>
      <c r="R23" s="2"/>
    </row>
    <row r="24">
      <c r="A24" s="2"/>
      <c r="B24" s="43">
        <v>2.0</v>
      </c>
      <c r="C24" s="44" t="s">
        <v>51</v>
      </c>
      <c r="D24" s="45">
        <v>-15000.0</v>
      </c>
      <c r="E24" s="46"/>
      <c r="F24" s="71">
        <f>D24+D25+D28+D30</f>
        <v>-134000</v>
      </c>
      <c r="G24" s="2"/>
      <c r="H24" s="2"/>
      <c r="I24" s="2"/>
      <c r="J24" s="2"/>
      <c r="K24" s="2"/>
      <c r="L24" s="2"/>
      <c r="M24" s="2"/>
      <c r="N24" s="47" t="s">
        <v>50</v>
      </c>
      <c r="O24" s="48" t="s">
        <v>178</v>
      </c>
      <c r="P24" s="2"/>
      <c r="Q24" s="2"/>
      <c r="R24" s="2"/>
    </row>
    <row r="25">
      <c r="A25" s="2"/>
      <c r="B25" s="38">
        <v>3.0</v>
      </c>
      <c r="C25" s="39" t="s">
        <v>76</v>
      </c>
      <c r="D25" s="49">
        <v>-50000.0</v>
      </c>
      <c r="E25" s="46"/>
      <c r="F25" s="71">
        <f>D26+D27+D29+D31</f>
        <v>-266000</v>
      </c>
      <c r="G25" s="2"/>
      <c r="H25" s="2"/>
      <c r="I25" s="2"/>
      <c r="J25" s="2"/>
      <c r="K25" s="2"/>
      <c r="L25" s="2"/>
      <c r="M25" s="2"/>
      <c r="N25" s="50" t="s">
        <v>52</v>
      </c>
      <c r="O25" s="25" t="s">
        <v>62</v>
      </c>
      <c r="P25" s="2"/>
      <c r="Q25" s="2"/>
      <c r="R25" s="2"/>
    </row>
    <row r="26">
      <c r="A26" s="2"/>
      <c r="B26" s="43">
        <v>4.0</v>
      </c>
      <c r="C26" s="44" t="s">
        <v>185</v>
      </c>
      <c r="D26" s="45">
        <v>-16000.0</v>
      </c>
      <c r="E26" s="46"/>
      <c r="F26" s="2"/>
      <c r="G26" s="2"/>
      <c r="H26" s="2"/>
      <c r="I26" s="2"/>
      <c r="J26" s="2"/>
      <c r="K26" s="2"/>
      <c r="L26" s="2"/>
      <c r="M26" s="2"/>
      <c r="N26" s="51" t="s">
        <v>54</v>
      </c>
      <c r="O26" s="48" t="s">
        <v>62</v>
      </c>
      <c r="P26" s="2"/>
      <c r="Q26" s="2"/>
      <c r="R26" s="2"/>
    </row>
    <row r="27">
      <c r="A27" s="2"/>
      <c r="B27" s="38"/>
      <c r="C27" s="39" t="s">
        <v>186</v>
      </c>
      <c r="D27" s="49">
        <v>-100000.0</v>
      </c>
      <c r="E27" s="41"/>
      <c r="F27" s="2"/>
      <c r="G27" s="2"/>
      <c r="H27" s="2"/>
      <c r="I27" s="2"/>
      <c r="J27" s="2"/>
      <c r="K27" s="2"/>
      <c r="L27" s="2"/>
      <c r="M27" s="2"/>
      <c r="N27" s="53"/>
      <c r="O27" s="2"/>
      <c r="P27" s="2"/>
      <c r="Q27" s="2"/>
      <c r="R27" s="2"/>
    </row>
    <row r="28">
      <c r="A28" s="2"/>
      <c r="B28" s="43"/>
      <c r="C28" s="44" t="s">
        <v>139</v>
      </c>
      <c r="D28" s="45">
        <v>-19000.0</v>
      </c>
      <c r="E28" s="4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>
      <c r="A29" s="2"/>
      <c r="B29" s="38"/>
      <c r="C29" s="39" t="s">
        <v>187</v>
      </c>
      <c r="D29" s="49">
        <v>-50000.0</v>
      </c>
      <c r="E29" s="4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>
      <c r="A30" s="2"/>
      <c r="B30" s="43"/>
      <c r="C30" s="44" t="s">
        <v>49</v>
      </c>
      <c r="D30" s="45">
        <v>-50000.0</v>
      </c>
      <c r="E30" s="4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>
      <c r="A31" s="2"/>
      <c r="B31" s="38"/>
      <c r="C31" s="39" t="s">
        <v>188</v>
      </c>
      <c r="D31" s="49">
        <v>-100000.0</v>
      </c>
      <c r="E31" s="4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2"/>
      <c r="B32" s="43"/>
      <c r="C32" s="54"/>
      <c r="D32" s="55"/>
      <c r="E32" s="4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2"/>
      <c r="B33" s="56"/>
      <c r="C33" s="57"/>
      <c r="D33" s="58"/>
      <c r="E33" s="4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2"/>
      <c r="B34" s="2"/>
      <c r="C34" s="3"/>
      <c r="D34" s="59">
        <f>SUM(D23:D33)</f>
        <v>2100000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2"/>
      <c r="B35" s="2"/>
      <c r="C35" s="3"/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2"/>
      <c r="B36" s="2"/>
      <c r="C36" s="3"/>
      <c r="D36" s="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/>
      <c r="B37" s="2"/>
      <c r="C37" s="3"/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2"/>
      <c r="C38" s="3"/>
      <c r="D38" s="3"/>
      <c r="E38" s="2"/>
      <c r="F38" s="1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"-,JIJANG,AXEL,ADDEL,FAHME,INDAH"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"-,VERO,FADEL,PENTIL,FAHME,ADIF"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11.88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2"/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 t="s">
        <v>67</v>
      </c>
      <c r="D4" s="17" t="s">
        <v>20</v>
      </c>
      <c r="E4" s="18"/>
      <c r="F4" s="19">
        <v>46194.0</v>
      </c>
      <c r="G4" s="20"/>
      <c r="H4" s="21">
        <v>100000.0</v>
      </c>
      <c r="I4" s="22" t="s">
        <v>21</v>
      </c>
      <c r="J4" s="22"/>
      <c r="K4" s="22"/>
      <c r="L4" s="22" t="s">
        <v>33</v>
      </c>
      <c r="M4" s="22"/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 t="s">
        <v>189</v>
      </c>
      <c r="D5" s="17" t="s">
        <v>40</v>
      </c>
      <c r="E5" s="18"/>
      <c r="F5" s="19">
        <v>46191.0</v>
      </c>
      <c r="G5" s="20"/>
      <c r="H5" s="21">
        <v>100000.0</v>
      </c>
      <c r="I5" s="22" t="s">
        <v>21</v>
      </c>
      <c r="J5" s="22"/>
      <c r="K5" s="22"/>
      <c r="L5" s="22" t="s">
        <v>33</v>
      </c>
      <c r="M5" s="22"/>
      <c r="N5" s="25"/>
      <c r="O5" s="25"/>
      <c r="P5" s="26"/>
      <c r="Q5" s="2"/>
      <c r="R5" s="2"/>
    </row>
    <row r="6">
      <c r="A6" s="2"/>
      <c r="B6" s="15">
        <v>3.0</v>
      </c>
      <c r="C6" s="16" t="s">
        <v>190</v>
      </c>
      <c r="D6" s="17" t="s">
        <v>20</v>
      </c>
      <c r="E6" s="18"/>
      <c r="F6" s="27">
        <v>46183.0</v>
      </c>
      <c r="G6" s="28"/>
      <c r="H6" s="21">
        <v>100000.0</v>
      </c>
      <c r="I6" s="22" t="s">
        <v>21</v>
      </c>
      <c r="J6" s="22"/>
      <c r="K6" s="22"/>
      <c r="L6" s="22" t="s">
        <v>33</v>
      </c>
      <c r="M6" s="29"/>
      <c r="N6" s="25"/>
      <c r="O6" s="25"/>
      <c r="P6" s="26"/>
      <c r="Q6" s="2"/>
      <c r="R6" s="2"/>
    </row>
    <row r="7">
      <c r="A7" s="2"/>
      <c r="B7" s="15">
        <v>4.0</v>
      </c>
      <c r="C7" s="16" t="s">
        <v>191</v>
      </c>
      <c r="D7" s="17" t="s">
        <v>24</v>
      </c>
      <c r="E7" s="18" t="s">
        <v>192</v>
      </c>
      <c r="F7" s="27">
        <v>46182.0</v>
      </c>
      <c r="G7" s="20"/>
      <c r="H7" s="21">
        <v>70000.0</v>
      </c>
      <c r="I7" s="22" t="s">
        <v>25</v>
      </c>
      <c r="J7" s="22" t="s">
        <v>26</v>
      </c>
      <c r="K7" s="22" t="s">
        <v>26</v>
      </c>
      <c r="L7" s="22" t="s">
        <v>33</v>
      </c>
      <c r="M7" s="22" t="s">
        <v>127</v>
      </c>
      <c r="N7" s="25"/>
      <c r="O7" s="25"/>
      <c r="P7" s="26"/>
      <c r="Q7" s="2"/>
      <c r="R7" s="2"/>
    </row>
    <row r="8">
      <c r="A8" s="2"/>
      <c r="B8" s="15">
        <v>5.0</v>
      </c>
      <c r="C8" s="16" t="s">
        <v>193</v>
      </c>
      <c r="D8" s="17" t="s">
        <v>20</v>
      </c>
      <c r="E8" s="18"/>
      <c r="F8" s="27">
        <v>46184.0</v>
      </c>
      <c r="G8" s="20"/>
      <c r="H8" s="21">
        <v>100000.0</v>
      </c>
      <c r="I8" s="22" t="s">
        <v>21</v>
      </c>
      <c r="J8" s="22"/>
      <c r="K8" s="22"/>
      <c r="L8" s="22" t="s">
        <v>33</v>
      </c>
      <c r="M8" s="29"/>
      <c r="N8" s="25"/>
      <c r="O8" s="26"/>
      <c r="P8" s="26"/>
      <c r="Q8" s="2"/>
      <c r="R8" s="2"/>
    </row>
    <row r="9">
      <c r="A9" s="2"/>
      <c r="B9" s="15">
        <v>6.0</v>
      </c>
      <c r="C9" s="16" t="s">
        <v>194</v>
      </c>
      <c r="D9" s="17" t="s">
        <v>40</v>
      </c>
      <c r="E9" s="18"/>
      <c r="F9" s="27">
        <v>46182.0</v>
      </c>
      <c r="G9" s="20">
        <v>250000.0</v>
      </c>
      <c r="H9" s="30"/>
      <c r="I9" s="22" t="s">
        <v>25</v>
      </c>
      <c r="J9" s="22" t="s">
        <v>26</v>
      </c>
      <c r="K9" s="22" t="s">
        <v>30</v>
      </c>
      <c r="L9" s="22" t="s">
        <v>33</v>
      </c>
      <c r="M9" s="22" t="s">
        <v>34</v>
      </c>
      <c r="N9" s="25"/>
      <c r="O9" s="26"/>
      <c r="P9" s="26"/>
      <c r="Q9" s="2"/>
      <c r="R9" s="2"/>
    </row>
    <row r="10">
      <c r="A10" s="2"/>
      <c r="B10" s="15">
        <v>7.0</v>
      </c>
      <c r="C10" s="16" t="s">
        <v>195</v>
      </c>
      <c r="D10" s="17" t="s">
        <v>40</v>
      </c>
      <c r="E10" s="18"/>
      <c r="F10" s="27">
        <v>46182.0</v>
      </c>
      <c r="G10" s="21">
        <v>290000.0</v>
      </c>
      <c r="H10" s="21"/>
      <c r="I10" s="22" t="s">
        <v>25</v>
      </c>
      <c r="J10" s="22" t="s">
        <v>26</v>
      </c>
      <c r="K10" s="22" t="s">
        <v>30</v>
      </c>
      <c r="L10" s="22" t="s">
        <v>33</v>
      </c>
      <c r="M10" s="22" t="s">
        <v>127</v>
      </c>
      <c r="N10" s="25"/>
      <c r="O10" s="26"/>
      <c r="P10" s="26"/>
      <c r="Q10" s="2"/>
      <c r="R10" s="2"/>
    </row>
    <row r="11">
      <c r="A11" s="2"/>
      <c r="B11" s="15">
        <v>8.0</v>
      </c>
      <c r="C11" s="16" t="s">
        <v>196</v>
      </c>
      <c r="D11" s="17" t="s">
        <v>40</v>
      </c>
      <c r="E11" s="18"/>
      <c r="F11" s="27">
        <v>46191.0</v>
      </c>
      <c r="G11" s="20"/>
      <c r="H11" s="21">
        <v>100000.0</v>
      </c>
      <c r="I11" s="22" t="s">
        <v>21</v>
      </c>
      <c r="J11" s="22"/>
      <c r="K11" s="22"/>
      <c r="L11" s="22" t="s">
        <v>33</v>
      </c>
      <c r="M11" s="29"/>
      <c r="N11" s="25"/>
      <c r="O11" s="26"/>
      <c r="P11" s="26"/>
      <c r="Q11" s="2"/>
      <c r="R11" s="2"/>
    </row>
    <row r="12">
      <c r="A12" s="2"/>
      <c r="B12" s="15">
        <v>9.0</v>
      </c>
      <c r="C12" s="16" t="s">
        <v>197</v>
      </c>
      <c r="D12" s="17" t="s">
        <v>20</v>
      </c>
      <c r="E12" s="18"/>
      <c r="F12" s="27">
        <v>46186.0</v>
      </c>
      <c r="G12" s="20"/>
      <c r="H12" s="21">
        <v>100000.0</v>
      </c>
      <c r="I12" s="22" t="s">
        <v>21</v>
      </c>
      <c r="J12" s="22"/>
      <c r="K12" s="22"/>
      <c r="L12" s="22" t="s">
        <v>33</v>
      </c>
      <c r="M12" s="29"/>
      <c r="N12" s="25"/>
      <c r="O12" s="26"/>
      <c r="P12" s="26"/>
      <c r="Q12" s="2"/>
      <c r="R12" s="2"/>
    </row>
    <row r="13">
      <c r="A13" s="2"/>
      <c r="B13" s="15">
        <v>10.0</v>
      </c>
      <c r="C13" s="16" t="s">
        <v>198</v>
      </c>
      <c r="D13" s="17" t="s">
        <v>40</v>
      </c>
      <c r="E13" s="18"/>
      <c r="F13" s="27">
        <v>46182.0</v>
      </c>
      <c r="G13" s="20">
        <v>250000.0</v>
      </c>
      <c r="H13" s="30"/>
      <c r="I13" s="22" t="s">
        <v>25</v>
      </c>
      <c r="J13" s="22" t="s">
        <v>26</v>
      </c>
      <c r="K13" s="22" t="s">
        <v>30</v>
      </c>
      <c r="L13" s="22" t="s">
        <v>33</v>
      </c>
      <c r="M13" s="22" t="s">
        <v>34</v>
      </c>
      <c r="N13" s="25"/>
      <c r="O13" s="26"/>
      <c r="P13" s="26"/>
      <c r="Q13" s="2"/>
      <c r="R13" s="2"/>
    </row>
    <row r="14">
      <c r="A14" s="2"/>
      <c r="B14" s="31"/>
      <c r="C14" s="16" t="s">
        <v>199</v>
      </c>
      <c r="D14" s="17" t="s">
        <v>40</v>
      </c>
      <c r="E14" s="18"/>
      <c r="F14" s="27">
        <v>46182.0</v>
      </c>
      <c r="G14" s="20">
        <v>350000.0</v>
      </c>
      <c r="H14" s="30"/>
      <c r="I14" s="22" t="s">
        <v>25</v>
      </c>
      <c r="J14" s="22" t="s">
        <v>26</v>
      </c>
      <c r="K14" s="22" t="s">
        <v>30</v>
      </c>
      <c r="L14" s="22" t="s">
        <v>33</v>
      </c>
      <c r="M14" s="22" t="s">
        <v>127</v>
      </c>
      <c r="N14" s="25"/>
      <c r="O14" s="26"/>
      <c r="P14" s="26"/>
      <c r="Q14" s="2"/>
      <c r="R14" s="2"/>
    </row>
    <row r="15">
      <c r="A15" s="2"/>
      <c r="B15" s="31"/>
      <c r="C15" s="16" t="s">
        <v>200</v>
      </c>
      <c r="D15" s="17" t="s">
        <v>40</v>
      </c>
      <c r="E15" s="18"/>
      <c r="F15" s="27">
        <v>46182.0</v>
      </c>
      <c r="G15" s="20"/>
      <c r="H15" s="21">
        <v>250000.0</v>
      </c>
      <c r="I15" s="22" t="s">
        <v>25</v>
      </c>
      <c r="J15" s="22" t="s">
        <v>26</v>
      </c>
      <c r="K15" s="22" t="s">
        <v>30</v>
      </c>
      <c r="L15" s="22" t="s">
        <v>33</v>
      </c>
      <c r="M15" s="22" t="s">
        <v>34</v>
      </c>
      <c r="N15" s="25"/>
      <c r="O15" s="26"/>
      <c r="P15" s="26"/>
      <c r="Q15" s="2"/>
      <c r="R15" s="2"/>
    </row>
    <row r="16">
      <c r="A16" s="2"/>
      <c r="B16" s="31"/>
      <c r="C16" s="16" t="s">
        <v>201</v>
      </c>
      <c r="D16" s="17" t="s">
        <v>40</v>
      </c>
      <c r="E16" s="18"/>
      <c r="F16" s="27">
        <v>46182.0</v>
      </c>
      <c r="G16" s="20">
        <v>0.0</v>
      </c>
      <c r="H16" s="21">
        <v>0.0</v>
      </c>
      <c r="I16" s="22" t="s">
        <v>25</v>
      </c>
      <c r="J16" s="22" t="s">
        <v>26</v>
      </c>
      <c r="K16" s="22" t="s">
        <v>30</v>
      </c>
      <c r="L16" s="22" t="s">
        <v>33</v>
      </c>
      <c r="M16" s="22" t="s">
        <v>127</v>
      </c>
      <c r="N16" s="25"/>
      <c r="O16" s="26"/>
      <c r="P16" s="26"/>
      <c r="Q16" s="2"/>
      <c r="R16" s="2"/>
    </row>
    <row r="17">
      <c r="A17" s="2"/>
      <c r="B17" s="31"/>
      <c r="C17" s="16" t="s">
        <v>202</v>
      </c>
      <c r="D17" s="17" t="s">
        <v>40</v>
      </c>
      <c r="E17" s="18"/>
      <c r="F17" s="27">
        <v>46182.0</v>
      </c>
      <c r="G17" s="20">
        <v>510000.0</v>
      </c>
      <c r="H17" s="30"/>
      <c r="I17" s="22" t="s">
        <v>25</v>
      </c>
      <c r="J17" s="22" t="s">
        <v>26</v>
      </c>
      <c r="K17" s="22" t="s">
        <v>30</v>
      </c>
      <c r="L17" s="22" t="s">
        <v>22</v>
      </c>
      <c r="M17" s="22" t="s">
        <v>34</v>
      </c>
      <c r="N17" s="25"/>
      <c r="O17" s="26"/>
      <c r="P17" s="26"/>
      <c r="Q17" s="2"/>
      <c r="R17" s="2"/>
    </row>
    <row r="18">
      <c r="A18" s="2"/>
      <c r="B18" s="31"/>
      <c r="C18" s="16" t="s">
        <v>203</v>
      </c>
      <c r="D18" s="17" t="s">
        <v>40</v>
      </c>
      <c r="E18" s="18"/>
      <c r="F18" s="27">
        <v>46182.0</v>
      </c>
      <c r="G18" s="20">
        <v>270000.0</v>
      </c>
      <c r="H18" s="30"/>
      <c r="I18" s="22" t="s">
        <v>25</v>
      </c>
      <c r="J18" s="22" t="s">
        <v>26</v>
      </c>
      <c r="K18" s="22" t="s">
        <v>30</v>
      </c>
      <c r="L18" s="22" t="s">
        <v>22</v>
      </c>
      <c r="M18" s="22" t="s">
        <v>127</v>
      </c>
      <c r="N18" s="25"/>
      <c r="O18" s="26"/>
      <c r="P18" s="26"/>
      <c r="Q18" s="2"/>
      <c r="R18" s="2"/>
    </row>
    <row r="19">
      <c r="A19" s="2"/>
      <c r="B19" s="31"/>
      <c r="C19" s="16" t="s">
        <v>204</v>
      </c>
      <c r="D19" s="17" t="s">
        <v>40</v>
      </c>
      <c r="E19" s="18"/>
      <c r="F19" s="27">
        <v>46182.0</v>
      </c>
      <c r="G19" s="20"/>
      <c r="H19" s="21">
        <v>250000.0</v>
      </c>
      <c r="I19" s="22" t="s">
        <v>25</v>
      </c>
      <c r="J19" s="22" t="s">
        <v>26</v>
      </c>
      <c r="K19" s="22" t="s">
        <v>30</v>
      </c>
      <c r="L19" s="22" t="s">
        <v>22</v>
      </c>
      <c r="M19" s="22" t="s">
        <v>34</v>
      </c>
      <c r="N19" s="25"/>
      <c r="O19" s="26"/>
      <c r="P19" s="26"/>
      <c r="Q19" s="2"/>
      <c r="R19" s="2"/>
    </row>
    <row r="20">
      <c r="A20" s="2"/>
      <c r="B20" s="31"/>
      <c r="C20" s="16" t="s">
        <v>205</v>
      </c>
      <c r="D20" s="17" t="s">
        <v>40</v>
      </c>
      <c r="E20" s="18"/>
      <c r="F20" s="27">
        <v>46182.0</v>
      </c>
      <c r="G20" s="20">
        <v>250000.0</v>
      </c>
      <c r="H20" s="30"/>
      <c r="I20" s="22" t="s">
        <v>25</v>
      </c>
      <c r="J20" s="22" t="s">
        <v>26</v>
      </c>
      <c r="K20" s="22" t="s">
        <v>30</v>
      </c>
      <c r="L20" s="22" t="s">
        <v>22</v>
      </c>
      <c r="M20" s="22" t="s">
        <v>127</v>
      </c>
      <c r="N20" s="25"/>
      <c r="O20" s="26"/>
      <c r="P20" s="26"/>
      <c r="Q20" s="2"/>
      <c r="R20" s="2"/>
    </row>
    <row r="21">
      <c r="A21" s="2"/>
      <c r="B21" s="31"/>
      <c r="C21" s="16" t="s">
        <v>206</v>
      </c>
      <c r="D21" s="17" t="s">
        <v>40</v>
      </c>
      <c r="E21" s="18"/>
      <c r="F21" s="27">
        <v>46182.0</v>
      </c>
      <c r="G21" s="20">
        <v>250000.0</v>
      </c>
      <c r="H21" s="21"/>
      <c r="I21" s="22" t="s">
        <v>25</v>
      </c>
      <c r="J21" s="22" t="s">
        <v>26</v>
      </c>
      <c r="K21" s="22" t="s">
        <v>30</v>
      </c>
      <c r="L21" s="22" t="s">
        <v>22</v>
      </c>
      <c r="M21" s="22" t="s">
        <v>34</v>
      </c>
      <c r="N21" s="25"/>
      <c r="O21" s="26"/>
      <c r="P21" s="26"/>
      <c r="Q21" s="2"/>
      <c r="R21" s="2"/>
    </row>
    <row r="22">
      <c r="A22" s="2"/>
      <c r="B22" s="31"/>
      <c r="C22" s="16" t="s">
        <v>207</v>
      </c>
      <c r="D22" s="17" t="s">
        <v>40</v>
      </c>
      <c r="E22" s="18"/>
      <c r="F22" s="27">
        <v>46182.0</v>
      </c>
      <c r="G22" s="20">
        <v>50000.0</v>
      </c>
      <c r="H22" s="21">
        <v>200000.0</v>
      </c>
      <c r="I22" s="22" t="s">
        <v>25</v>
      </c>
      <c r="J22" s="22" t="s">
        <v>26</v>
      </c>
      <c r="K22" s="22" t="s">
        <v>30</v>
      </c>
      <c r="L22" s="22" t="s">
        <v>22</v>
      </c>
      <c r="M22" s="22" t="s">
        <v>127</v>
      </c>
      <c r="N22" s="25"/>
      <c r="O22" s="26"/>
      <c r="P22" s="26"/>
      <c r="Q22" s="2"/>
      <c r="R22" s="2"/>
    </row>
    <row r="23">
      <c r="A23" s="2"/>
      <c r="B23" s="31"/>
      <c r="C23" s="16" t="s">
        <v>208</v>
      </c>
      <c r="D23" s="17" t="s">
        <v>40</v>
      </c>
      <c r="E23" s="18"/>
      <c r="F23" s="27">
        <v>46182.0</v>
      </c>
      <c r="G23" s="20">
        <v>250000.0</v>
      </c>
      <c r="H23" s="30"/>
      <c r="I23" s="22" t="s">
        <v>25</v>
      </c>
      <c r="J23" s="22" t="s">
        <v>26</v>
      </c>
      <c r="K23" s="22" t="s">
        <v>30</v>
      </c>
      <c r="L23" s="22" t="s">
        <v>22</v>
      </c>
      <c r="M23" s="22" t="s">
        <v>127</v>
      </c>
      <c r="N23" s="25"/>
      <c r="O23" s="26"/>
      <c r="P23" s="26"/>
      <c r="Q23" s="2"/>
      <c r="R23" s="2"/>
    </row>
    <row r="24">
      <c r="A24" s="2"/>
      <c r="B24" s="31"/>
      <c r="C24" s="16" t="s">
        <v>209</v>
      </c>
      <c r="D24" s="17" t="s">
        <v>40</v>
      </c>
      <c r="E24" s="18"/>
      <c r="F24" s="27">
        <v>46182.0</v>
      </c>
      <c r="G24" s="20">
        <v>0.0</v>
      </c>
      <c r="H24" s="21">
        <v>0.0</v>
      </c>
      <c r="I24" s="22" t="s">
        <v>25</v>
      </c>
      <c r="J24" s="22" t="s">
        <v>26</v>
      </c>
      <c r="K24" s="22" t="s">
        <v>30</v>
      </c>
      <c r="L24" s="22" t="s">
        <v>22</v>
      </c>
      <c r="M24" s="22" t="s">
        <v>34</v>
      </c>
      <c r="N24" s="25"/>
      <c r="O24" s="26"/>
      <c r="P24" s="26"/>
      <c r="Q24" s="2"/>
      <c r="R24" s="2"/>
    </row>
    <row r="25">
      <c r="A25" s="2"/>
      <c r="B25" s="31"/>
      <c r="C25" s="16" t="s">
        <v>210</v>
      </c>
      <c r="D25" s="17" t="s">
        <v>40</v>
      </c>
      <c r="E25" s="18"/>
      <c r="F25" s="27">
        <v>46182.0</v>
      </c>
      <c r="G25" s="20">
        <v>250000.0</v>
      </c>
      <c r="H25" s="30"/>
      <c r="I25" s="22" t="s">
        <v>25</v>
      </c>
      <c r="J25" s="22" t="s">
        <v>26</v>
      </c>
      <c r="K25" s="22" t="s">
        <v>30</v>
      </c>
      <c r="L25" s="22" t="s">
        <v>22</v>
      </c>
      <c r="M25" s="22" t="s">
        <v>34</v>
      </c>
      <c r="N25" s="25"/>
      <c r="O25" s="26"/>
      <c r="P25" s="26"/>
      <c r="Q25" s="2"/>
      <c r="R25" s="2"/>
    </row>
    <row r="26">
      <c r="A26" s="2"/>
      <c r="B26" s="31"/>
      <c r="C26" s="16" t="s">
        <v>211</v>
      </c>
      <c r="D26" s="17" t="s">
        <v>40</v>
      </c>
      <c r="E26" s="18"/>
      <c r="F26" s="27">
        <v>46182.0</v>
      </c>
      <c r="G26" s="20">
        <v>250000.0</v>
      </c>
      <c r="H26" s="30"/>
      <c r="I26" s="22" t="s">
        <v>25</v>
      </c>
      <c r="J26" s="22" t="s">
        <v>26</v>
      </c>
      <c r="K26" s="22" t="s">
        <v>30</v>
      </c>
      <c r="L26" s="22" t="s">
        <v>22</v>
      </c>
      <c r="M26" s="22" t="s">
        <v>127</v>
      </c>
      <c r="N26" s="25"/>
      <c r="O26" s="26"/>
      <c r="P26" s="26"/>
      <c r="Q26" s="2"/>
      <c r="R26" s="2"/>
    </row>
    <row r="27">
      <c r="A27" s="2"/>
      <c r="B27" s="31"/>
      <c r="C27" s="16" t="s">
        <v>212</v>
      </c>
      <c r="D27" s="17" t="s">
        <v>40</v>
      </c>
      <c r="E27" s="18"/>
      <c r="F27" s="27">
        <v>46182.0</v>
      </c>
      <c r="G27" s="20">
        <v>250000.0</v>
      </c>
      <c r="H27" s="30"/>
      <c r="I27" s="22" t="s">
        <v>25</v>
      </c>
      <c r="J27" s="22" t="s">
        <v>26</v>
      </c>
      <c r="K27" s="22" t="s">
        <v>30</v>
      </c>
      <c r="L27" s="22" t="s">
        <v>22</v>
      </c>
      <c r="M27" s="22" t="s">
        <v>127</v>
      </c>
      <c r="N27" s="25"/>
      <c r="O27" s="26"/>
      <c r="P27" s="26"/>
      <c r="Q27" s="2"/>
      <c r="R27" s="2"/>
    </row>
    <row r="28">
      <c r="A28" s="2"/>
      <c r="B28" s="31"/>
      <c r="C28" s="16" t="s">
        <v>213</v>
      </c>
      <c r="D28" s="17" t="s">
        <v>40</v>
      </c>
      <c r="E28" s="18"/>
      <c r="F28" s="27">
        <v>46182.0</v>
      </c>
      <c r="G28" s="20"/>
      <c r="H28" s="21">
        <v>80000.0</v>
      </c>
      <c r="I28" s="22" t="s">
        <v>25</v>
      </c>
      <c r="J28" s="22" t="s">
        <v>26</v>
      </c>
      <c r="K28" s="22" t="s">
        <v>30</v>
      </c>
      <c r="L28" s="22" t="s">
        <v>22</v>
      </c>
      <c r="M28" s="22" t="s">
        <v>34</v>
      </c>
      <c r="N28" s="25"/>
      <c r="O28" s="26"/>
      <c r="P28" s="26"/>
      <c r="Q28" s="2"/>
      <c r="R28" s="2"/>
    </row>
    <row r="29">
      <c r="A29" s="2"/>
      <c r="B29" s="31"/>
      <c r="C29" s="16" t="s">
        <v>214</v>
      </c>
      <c r="D29" s="17" t="s">
        <v>82</v>
      </c>
      <c r="E29" s="18"/>
      <c r="F29" s="27">
        <v>46182.0</v>
      </c>
      <c r="G29" s="20"/>
      <c r="H29" s="21">
        <v>440000.0</v>
      </c>
      <c r="I29" s="22" t="s">
        <v>25</v>
      </c>
      <c r="J29" s="22" t="s">
        <v>26</v>
      </c>
      <c r="K29" s="22" t="s">
        <v>30</v>
      </c>
      <c r="L29" s="22" t="s">
        <v>22</v>
      </c>
      <c r="M29" s="22" t="s">
        <v>34</v>
      </c>
      <c r="N29" s="25"/>
      <c r="O29" s="26"/>
      <c r="P29" s="26"/>
      <c r="Q29" s="2"/>
      <c r="R29" s="2"/>
    </row>
    <row r="30">
      <c r="A30" s="2"/>
      <c r="B30" s="31"/>
      <c r="C30" s="16" t="s">
        <v>215</v>
      </c>
      <c r="D30" s="17" t="s">
        <v>40</v>
      </c>
      <c r="E30" s="18"/>
      <c r="F30" s="27">
        <v>46182.0</v>
      </c>
      <c r="G30" s="20">
        <v>390000.0</v>
      </c>
      <c r="H30" s="30"/>
      <c r="I30" s="22" t="s">
        <v>25</v>
      </c>
      <c r="J30" s="22" t="s">
        <v>26</v>
      </c>
      <c r="K30" s="22" t="s">
        <v>30</v>
      </c>
      <c r="L30" s="22" t="s">
        <v>22</v>
      </c>
      <c r="M30" s="22" t="s">
        <v>34</v>
      </c>
      <c r="N30" s="25"/>
      <c r="O30" s="26"/>
      <c r="P30" s="26"/>
      <c r="Q30" s="2"/>
      <c r="R30" s="2"/>
    </row>
    <row r="31">
      <c r="A31" s="2"/>
      <c r="B31" s="31"/>
      <c r="C31" s="16" t="s">
        <v>216</v>
      </c>
      <c r="D31" s="17" t="s">
        <v>40</v>
      </c>
      <c r="E31" s="18"/>
      <c r="F31" s="27">
        <v>46185.0</v>
      </c>
      <c r="G31" s="20"/>
      <c r="H31" s="21">
        <v>100000.0</v>
      </c>
      <c r="I31" s="22" t="s">
        <v>21</v>
      </c>
      <c r="J31" s="22"/>
      <c r="K31" s="22"/>
      <c r="L31" s="22" t="s">
        <v>22</v>
      </c>
      <c r="M31" s="29"/>
      <c r="N31" s="25"/>
      <c r="O31" s="26"/>
      <c r="P31" s="26"/>
      <c r="Q31" s="2"/>
      <c r="R31" s="2"/>
    </row>
    <row r="32">
      <c r="A32" s="2"/>
      <c r="B32" s="31"/>
      <c r="C32" s="16" t="s">
        <v>217</v>
      </c>
      <c r="D32" s="17" t="s">
        <v>20</v>
      </c>
      <c r="E32" s="18"/>
      <c r="F32" s="27">
        <v>46182.0</v>
      </c>
      <c r="G32" s="20"/>
      <c r="H32" s="21">
        <v>500000.0</v>
      </c>
      <c r="I32" s="22" t="s">
        <v>25</v>
      </c>
      <c r="J32" s="22" t="s">
        <v>26</v>
      </c>
      <c r="K32" s="22" t="s">
        <v>26</v>
      </c>
      <c r="L32" s="22" t="s">
        <v>22</v>
      </c>
      <c r="M32" s="22" t="s">
        <v>34</v>
      </c>
      <c r="N32" s="25"/>
      <c r="O32" s="26"/>
      <c r="P32" s="26"/>
      <c r="Q32" s="2"/>
      <c r="R32" s="2"/>
    </row>
    <row r="33">
      <c r="A33" s="2"/>
      <c r="B33" s="31"/>
      <c r="C33" s="16" t="s">
        <v>218</v>
      </c>
      <c r="D33" s="17" t="s">
        <v>20</v>
      </c>
      <c r="E33" s="18"/>
      <c r="F33" s="27">
        <v>46183.0</v>
      </c>
      <c r="G33" s="20"/>
      <c r="H33" s="21">
        <v>100000.0</v>
      </c>
      <c r="I33" s="22" t="s">
        <v>21</v>
      </c>
      <c r="J33" s="22"/>
      <c r="K33" s="22"/>
      <c r="L33" s="22" t="s">
        <v>22</v>
      </c>
      <c r="M33" s="29"/>
      <c r="N33" s="25"/>
      <c r="O33" s="26"/>
      <c r="P33" s="26"/>
      <c r="Q33" s="2"/>
      <c r="R33" s="2"/>
    </row>
    <row r="34">
      <c r="A34" s="2"/>
      <c r="B34" s="31"/>
      <c r="C34" s="16" t="s">
        <v>219</v>
      </c>
      <c r="D34" s="17" t="s">
        <v>92</v>
      </c>
      <c r="E34" s="18"/>
      <c r="F34" s="27">
        <v>46185.0</v>
      </c>
      <c r="G34" s="20"/>
      <c r="H34" s="21">
        <v>100000.0</v>
      </c>
      <c r="I34" s="22" t="s">
        <v>25</v>
      </c>
      <c r="J34" s="22"/>
      <c r="K34" s="22"/>
      <c r="L34" s="22" t="s">
        <v>22</v>
      </c>
      <c r="M34" s="29"/>
      <c r="N34" s="25"/>
      <c r="O34" s="26"/>
      <c r="P34" s="26"/>
      <c r="Q34" s="2"/>
      <c r="R34" s="2"/>
    </row>
    <row r="35">
      <c r="A35" s="2"/>
      <c r="B35" s="31"/>
      <c r="C35" s="16"/>
      <c r="D35" s="17"/>
      <c r="E35" s="18"/>
      <c r="F35" s="31"/>
      <c r="G35" s="20"/>
      <c r="H35" s="30"/>
      <c r="I35" s="22"/>
      <c r="J35" s="22"/>
      <c r="K35" s="22"/>
      <c r="L35" s="29"/>
      <c r="M35" s="29"/>
      <c r="N35" s="25"/>
      <c r="O35" s="26"/>
      <c r="P35" s="26"/>
      <c r="Q35" s="2"/>
      <c r="R35" s="2"/>
    </row>
    <row r="36">
      <c r="A36" s="2"/>
      <c r="B36" s="31"/>
      <c r="C36" s="16"/>
      <c r="D36" s="17"/>
      <c r="E36" s="18"/>
      <c r="F36" s="31"/>
      <c r="G36" s="20"/>
      <c r="H36" s="30"/>
      <c r="I36" s="22"/>
      <c r="J36" s="22"/>
      <c r="K36" s="22"/>
      <c r="L36" s="29"/>
      <c r="M36" s="29"/>
      <c r="N36" s="25"/>
      <c r="O36" s="26"/>
      <c r="P36" s="26"/>
      <c r="Q36" s="2"/>
      <c r="R36" s="2"/>
    </row>
    <row r="37">
      <c r="A37" s="2"/>
      <c r="B37" s="31"/>
      <c r="C37" s="16"/>
      <c r="D37" s="17"/>
      <c r="E37" s="18"/>
      <c r="F37" s="31"/>
      <c r="G37" s="20"/>
      <c r="H37" s="30"/>
      <c r="I37" s="22"/>
      <c r="J37" s="22"/>
      <c r="K37" s="22"/>
      <c r="L37" s="29"/>
      <c r="M37" s="29"/>
      <c r="N37" s="25"/>
      <c r="O37" s="26"/>
      <c r="P37" s="26"/>
      <c r="Q37" s="2"/>
      <c r="R37" s="2"/>
    </row>
    <row r="38">
      <c r="A38" s="2"/>
      <c r="B38" s="31"/>
      <c r="C38" s="32"/>
      <c r="D38" s="17"/>
      <c r="E38" s="18"/>
      <c r="F38" s="31"/>
      <c r="G38" s="28"/>
      <c r="H38" s="30"/>
      <c r="I38" s="29"/>
      <c r="J38" s="29"/>
      <c r="K38" s="29"/>
      <c r="L38" s="29"/>
      <c r="M38" s="29"/>
      <c r="N38" s="33"/>
      <c r="O38" s="33"/>
      <c r="P38" s="33"/>
      <c r="Q38" s="2"/>
      <c r="R38" s="2"/>
    </row>
    <row r="39" ht="18.75" customHeight="1">
      <c r="A39" s="2"/>
      <c r="B39" s="2"/>
      <c r="C39" s="3"/>
      <c r="D39" s="3"/>
      <c r="E39" s="2"/>
      <c r="F39" s="2"/>
      <c r="G39" s="34">
        <f t="shared" ref="G39:H39" si="1">SUM(G4:G38)</f>
        <v>3860000</v>
      </c>
      <c r="H39" s="35">
        <f t="shared" si="1"/>
        <v>2690000</v>
      </c>
      <c r="I39" s="2"/>
      <c r="J39" s="2"/>
      <c r="K39" s="2"/>
      <c r="L39" s="2"/>
      <c r="M39" s="2"/>
      <c r="N39" s="2"/>
      <c r="O39" s="2"/>
      <c r="P39" s="2"/>
      <c r="Q39" s="2"/>
      <c r="R39" s="2"/>
    </row>
    <row r="40" ht="23.25" customHeight="1">
      <c r="A40" s="2"/>
      <c r="B40" s="2"/>
      <c r="C40" s="3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2"/>
      <c r="C41" s="3"/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2"/>
      <c r="B42" s="36" t="s">
        <v>1</v>
      </c>
      <c r="C42" s="37" t="s">
        <v>7</v>
      </c>
      <c r="D42" s="37" t="s">
        <v>45</v>
      </c>
      <c r="E42" s="1"/>
      <c r="F42" s="2"/>
      <c r="G42" s="2"/>
      <c r="H42" s="2"/>
      <c r="I42" s="2"/>
      <c r="J42" s="2"/>
      <c r="K42" s="2"/>
      <c r="L42" s="2"/>
      <c r="M42" s="2"/>
      <c r="N42" s="37" t="s">
        <v>46</v>
      </c>
      <c r="O42" s="37" t="s">
        <v>2</v>
      </c>
      <c r="P42" s="2"/>
      <c r="Q42" s="2"/>
      <c r="R42" s="2"/>
    </row>
    <row r="43">
      <c r="A43" s="2"/>
      <c r="B43" s="38">
        <v>1.0</v>
      </c>
      <c r="C43" s="39" t="s">
        <v>47</v>
      </c>
      <c r="D43" s="40">
        <f>SUM(G39)</f>
        <v>3860000</v>
      </c>
      <c r="E43" s="41"/>
      <c r="F43" s="2"/>
      <c r="G43" s="2"/>
      <c r="H43" s="2"/>
      <c r="I43" s="2"/>
      <c r="J43" s="2"/>
      <c r="K43" s="2"/>
      <c r="L43" s="2"/>
      <c r="M43" s="2"/>
      <c r="N43" s="42" t="s">
        <v>48</v>
      </c>
      <c r="O43" s="23"/>
      <c r="P43" s="2"/>
      <c r="Q43" s="2"/>
      <c r="R43" s="2"/>
    </row>
    <row r="44">
      <c r="A44" s="2"/>
      <c r="B44" s="43">
        <v>2.0</v>
      </c>
      <c r="C44" s="44" t="s">
        <v>76</v>
      </c>
      <c r="D44" s="45">
        <v>-50000.0</v>
      </c>
      <c r="E44" s="46"/>
      <c r="F44" s="2"/>
      <c r="G44" s="2"/>
      <c r="H44" s="2"/>
      <c r="I44" s="2"/>
      <c r="J44" s="2"/>
      <c r="K44" s="2"/>
      <c r="L44" s="2"/>
      <c r="M44" s="2"/>
      <c r="N44" s="47" t="s">
        <v>50</v>
      </c>
      <c r="O44" s="48"/>
      <c r="P44" s="2"/>
      <c r="Q44" s="2"/>
      <c r="R44" s="2"/>
    </row>
    <row r="45">
      <c r="A45" s="2"/>
      <c r="B45" s="38">
        <v>3.0</v>
      </c>
      <c r="C45" s="39" t="s">
        <v>49</v>
      </c>
      <c r="D45" s="49">
        <v>-24000.0</v>
      </c>
      <c r="E45" s="46"/>
      <c r="F45" s="2"/>
      <c r="G45" s="2"/>
      <c r="H45" s="2"/>
      <c r="I45" s="2"/>
      <c r="J45" s="2"/>
      <c r="K45" s="2"/>
      <c r="L45" s="2"/>
      <c r="M45" s="2"/>
      <c r="N45" s="50" t="s">
        <v>52</v>
      </c>
      <c r="O45" s="25"/>
      <c r="P45" s="2"/>
      <c r="Q45" s="2"/>
      <c r="R45" s="2"/>
    </row>
    <row r="46">
      <c r="A46" s="2"/>
      <c r="B46" s="43">
        <v>4.0</v>
      </c>
      <c r="C46" s="44" t="s">
        <v>220</v>
      </c>
      <c r="D46" s="45">
        <v>-36000.0</v>
      </c>
      <c r="E46" s="46"/>
      <c r="F46" s="2"/>
      <c r="G46" s="2"/>
      <c r="H46" s="2"/>
      <c r="I46" s="2"/>
      <c r="J46" s="2"/>
      <c r="K46" s="2"/>
      <c r="L46" s="2"/>
      <c r="M46" s="2"/>
      <c r="N46" s="51" t="s">
        <v>54</v>
      </c>
      <c r="O46" s="48"/>
      <c r="P46" s="2"/>
      <c r="Q46" s="2"/>
      <c r="R46" s="2"/>
    </row>
    <row r="47">
      <c r="A47" s="2"/>
      <c r="B47" s="38"/>
      <c r="C47" s="52"/>
      <c r="D47" s="40"/>
      <c r="E47" s="41"/>
      <c r="F47" s="2"/>
      <c r="G47" s="2"/>
      <c r="H47" s="2"/>
      <c r="I47" s="2"/>
      <c r="J47" s="2"/>
      <c r="K47" s="2"/>
      <c r="L47" s="2"/>
      <c r="M47" s="2"/>
      <c r="N47" s="53"/>
      <c r="O47" s="2"/>
      <c r="P47" s="2"/>
      <c r="Q47" s="2"/>
      <c r="R47" s="2"/>
    </row>
    <row r="48">
      <c r="A48" s="2"/>
      <c r="B48" s="43"/>
      <c r="C48" s="54"/>
      <c r="D48" s="55"/>
      <c r="E48" s="41"/>
      <c r="F48" s="2"/>
      <c r="G48" s="2"/>
      <c r="H48" s="2"/>
      <c r="I48" s="2"/>
      <c r="J48" s="2"/>
      <c r="K48" s="2"/>
      <c r="L48" s="2"/>
      <c r="M48" s="1" t="s">
        <v>221</v>
      </c>
      <c r="N48" s="2"/>
      <c r="O48" s="2"/>
      <c r="P48" s="2"/>
      <c r="Q48" s="2"/>
      <c r="R48" s="2"/>
    </row>
    <row r="49">
      <c r="A49" s="2"/>
      <c r="B49" s="38"/>
      <c r="C49" s="52"/>
      <c r="D49" s="40"/>
      <c r="E49" s="4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>
      <c r="A50" s="2"/>
      <c r="B50" s="43"/>
      <c r="C50" s="54"/>
      <c r="D50" s="55"/>
      <c r="E50" s="4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>
      <c r="A51" s="2"/>
      <c r="B51" s="38"/>
      <c r="C51" s="52"/>
      <c r="D51" s="40"/>
      <c r="E51" s="41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>
      <c r="A52" s="2"/>
      <c r="B52" s="43"/>
      <c r="C52" s="54"/>
      <c r="D52" s="55"/>
      <c r="E52" s="4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>
      <c r="A53" s="2"/>
      <c r="B53" s="56"/>
      <c r="C53" s="57"/>
      <c r="D53" s="58"/>
      <c r="E53" s="41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>
      <c r="A54" s="2"/>
      <c r="B54" s="2"/>
      <c r="C54" s="3"/>
      <c r="D54" s="59">
        <f>SUM(D43:D53)</f>
        <v>3750000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>
      <c r="A55" s="2"/>
      <c r="B55" s="2"/>
      <c r="C55" s="3"/>
      <c r="D55" s="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>
      <c r="A56" s="2"/>
      <c r="B56" s="2"/>
      <c r="C56" s="3"/>
      <c r="D56" s="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>
      <c r="A57" s="2"/>
      <c r="B57" s="2"/>
      <c r="C57" s="3"/>
      <c r="D57" s="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>
      <c r="A58" s="2"/>
      <c r="B58" s="2"/>
      <c r="C58" s="3"/>
      <c r="D58" s="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38 O43:O44">
      <formula1>"-,JIJANG,AXEL,ADDEL ,FAHME,INDAH"</formula1>
    </dataValidation>
    <dataValidation type="list" allowBlank="1" showErrorMessage="1" sqref="N4:N38">
      <formula1>"-,Pending,Progress,Uploaded"</formula1>
    </dataValidation>
    <dataValidation type="list" allowBlank="1" showDropDown="1" showErrorMessage="1" sqref="D4:D3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DropDown="1" showErrorMessage="1" sqref="M4:M38 O45:O46">
      <formula1>"-,VERO,HANIF ,ADIF ,FAHME"</formula1>
    </dataValidation>
    <dataValidation type="list" allowBlank="1" showErrorMessage="1" sqref="O4:O38">
      <formula1>"-,In Pikako,In Foxe"</formula1>
    </dataValidation>
    <dataValidation type="list" allowBlank="1" showDropDown="1" showErrorMessage="1" sqref="I4:I38">
      <formula1>"-,DP,Lunas"</formula1>
    </dataValidation>
    <dataValidation type="list" allowBlank="1" showDropDown="1" showErrorMessage="1" sqref="J4:K38">
      <formula1>"-,Pending,Uploaded"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12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2"/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 t="s">
        <v>222</v>
      </c>
      <c r="D4" s="17" t="s">
        <v>223</v>
      </c>
      <c r="E4" s="18"/>
      <c r="F4" s="19">
        <v>46165.0</v>
      </c>
      <c r="G4" s="20"/>
      <c r="H4" s="21">
        <v>10000.0</v>
      </c>
      <c r="I4" s="22" t="s">
        <v>25</v>
      </c>
      <c r="J4" s="22"/>
      <c r="K4" s="22"/>
      <c r="L4" s="22" t="s">
        <v>22</v>
      </c>
      <c r="M4" s="22"/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 t="s">
        <v>224</v>
      </c>
      <c r="D5" s="17" t="s">
        <v>40</v>
      </c>
      <c r="E5" s="18"/>
      <c r="F5" s="19">
        <v>46185.0</v>
      </c>
      <c r="G5" s="20"/>
      <c r="H5" s="21">
        <v>100000.0</v>
      </c>
      <c r="I5" s="22" t="s">
        <v>21</v>
      </c>
      <c r="J5" s="22"/>
      <c r="K5" s="22"/>
      <c r="L5" s="22" t="s">
        <v>22</v>
      </c>
      <c r="M5" s="22"/>
      <c r="N5" s="25"/>
      <c r="O5" s="25"/>
      <c r="P5" s="26"/>
      <c r="Q5" s="2"/>
      <c r="R5" s="2"/>
    </row>
    <row r="6">
      <c r="A6" s="2"/>
      <c r="B6" s="15">
        <v>3.0</v>
      </c>
      <c r="C6" s="16" t="s">
        <v>225</v>
      </c>
      <c r="D6" s="17" t="s">
        <v>20</v>
      </c>
      <c r="E6" s="18"/>
      <c r="F6" s="27">
        <v>46194.0</v>
      </c>
      <c r="G6" s="28"/>
      <c r="H6" s="21">
        <v>100000.0</v>
      </c>
      <c r="I6" s="22" t="s">
        <v>21</v>
      </c>
      <c r="J6" s="22"/>
      <c r="K6" s="22"/>
      <c r="L6" s="22" t="s">
        <v>22</v>
      </c>
      <c r="M6" s="29"/>
      <c r="N6" s="25"/>
      <c r="O6" s="25"/>
      <c r="P6" s="26"/>
      <c r="Q6" s="2"/>
      <c r="R6" s="2"/>
    </row>
    <row r="7">
      <c r="A7" s="2"/>
      <c r="B7" s="15">
        <v>4.0</v>
      </c>
      <c r="C7" s="16" t="s">
        <v>226</v>
      </c>
      <c r="D7" s="17" t="s">
        <v>40</v>
      </c>
      <c r="E7" s="18"/>
      <c r="F7" s="27">
        <v>46184.0</v>
      </c>
      <c r="G7" s="20"/>
      <c r="H7" s="21">
        <v>100000.0</v>
      </c>
      <c r="I7" s="22" t="s">
        <v>21</v>
      </c>
      <c r="J7" s="22"/>
      <c r="K7" s="22"/>
      <c r="L7" s="22" t="s">
        <v>22</v>
      </c>
      <c r="M7" s="29"/>
      <c r="N7" s="25"/>
      <c r="O7" s="25"/>
      <c r="P7" s="26"/>
      <c r="Q7" s="2"/>
      <c r="R7" s="2"/>
    </row>
    <row r="8">
      <c r="A8" s="2"/>
      <c r="B8" s="15">
        <v>5.0</v>
      </c>
      <c r="C8" s="16" t="s">
        <v>138</v>
      </c>
      <c r="D8" s="17" t="s">
        <v>20</v>
      </c>
      <c r="E8" s="18"/>
      <c r="F8" s="27">
        <v>46183.0</v>
      </c>
      <c r="G8" s="20"/>
      <c r="H8" s="21">
        <v>125000.0</v>
      </c>
      <c r="I8" s="22" t="s">
        <v>25</v>
      </c>
      <c r="J8" s="22" t="s">
        <v>26</v>
      </c>
      <c r="K8" s="22" t="s">
        <v>26</v>
      </c>
      <c r="L8" s="22" t="s">
        <v>22</v>
      </c>
      <c r="M8" s="22" t="s">
        <v>27</v>
      </c>
      <c r="N8" s="25"/>
      <c r="O8" s="26"/>
      <c r="P8" s="26"/>
      <c r="Q8" s="2"/>
      <c r="R8" s="2"/>
    </row>
    <row r="9">
      <c r="A9" s="2"/>
      <c r="B9" s="15">
        <v>6.0</v>
      </c>
      <c r="C9" s="16" t="s">
        <v>227</v>
      </c>
      <c r="D9" s="17" t="s">
        <v>20</v>
      </c>
      <c r="E9" s="18"/>
      <c r="F9" s="27">
        <v>46194.0</v>
      </c>
      <c r="G9" s="20"/>
      <c r="H9" s="21">
        <v>100000.0</v>
      </c>
      <c r="I9" s="22" t="s">
        <v>21</v>
      </c>
      <c r="J9" s="22"/>
      <c r="K9" s="22"/>
      <c r="L9" s="22" t="s">
        <v>22</v>
      </c>
      <c r="M9" s="29"/>
      <c r="N9" s="25"/>
      <c r="O9" s="26"/>
      <c r="P9" s="26"/>
      <c r="Q9" s="2"/>
      <c r="R9" s="2"/>
    </row>
    <row r="10">
      <c r="A10" s="2"/>
      <c r="B10" s="15">
        <v>7.0</v>
      </c>
      <c r="C10" s="16" t="s">
        <v>228</v>
      </c>
      <c r="D10" s="17" t="s">
        <v>20</v>
      </c>
      <c r="E10" s="18"/>
      <c r="F10" s="27">
        <v>46183.0</v>
      </c>
      <c r="G10" s="20">
        <v>175000.0</v>
      </c>
      <c r="H10" s="30"/>
      <c r="I10" s="22" t="s">
        <v>25</v>
      </c>
      <c r="J10" s="22" t="s">
        <v>26</v>
      </c>
      <c r="K10" s="22" t="s">
        <v>26</v>
      </c>
      <c r="L10" s="22" t="s">
        <v>22</v>
      </c>
      <c r="M10" s="22" t="s">
        <v>27</v>
      </c>
      <c r="N10" s="25"/>
      <c r="O10" s="26"/>
      <c r="P10" s="26"/>
      <c r="Q10" s="2"/>
      <c r="R10" s="2"/>
    </row>
    <row r="11">
      <c r="A11" s="2"/>
      <c r="B11" s="15">
        <v>8.0</v>
      </c>
      <c r="C11" s="16" t="s">
        <v>229</v>
      </c>
      <c r="D11" s="17" t="s">
        <v>20</v>
      </c>
      <c r="E11" s="18"/>
      <c r="F11" s="27">
        <v>46185.0</v>
      </c>
      <c r="G11" s="20"/>
      <c r="H11" s="21">
        <v>100000.0</v>
      </c>
      <c r="I11" s="22" t="s">
        <v>21</v>
      </c>
      <c r="J11" s="22"/>
      <c r="K11" s="22"/>
      <c r="L11" s="22" t="s">
        <v>22</v>
      </c>
      <c r="M11" s="29"/>
      <c r="N11" s="25"/>
      <c r="O11" s="26"/>
      <c r="P11" s="26"/>
      <c r="Q11" s="2"/>
      <c r="R11" s="2"/>
    </row>
    <row r="12">
      <c r="A12" s="2"/>
      <c r="B12" s="15">
        <v>9.0</v>
      </c>
      <c r="C12" s="16" t="s">
        <v>230</v>
      </c>
      <c r="D12" s="17" t="s">
        <v>223</v>
      </c>
      <c r="E12" s="18"/>
      <c r="F12" s="27">
        <v>46182.0</v>
      </c>
      <c r="G12" s="20"/>
      <c r="H12" s="21">
        <v>10000.0</v>
      </c>
      <c r="I12" s="22" t="s">
        <v>25</v>
      </c>
      <c r="J12" s="22"/>
      <c r="K12" s="22"/>
      <c r="L12" s="22" t="s">
        <v>22</v>
      </c>
      <c r="M12" s="29"/>
      <c r="N12" s="25"/>
      <c r="O12" s="26"/>
      <c r="P12" s="26"/>
      <c r="Q12" s="2"/>
      <c r="R12" s="2"/>
    </row>
    <row r="13">
      <c r="A13" s="2"/>
      <c r="B13" s="15">
        <v>10.0</v>
      </c>
      <c r="C13" s="16" t="s">
        <v>231</v>
      </c>
      <c r="D13" s="17" t="s">
        <v>40</v>
      </c>
      <c r="E13" s="18"/>
      <c r="F13" s="27">
        <v>46190.0</v>
      </c>
      <c r="G13" s="20"/>
      <c r="H13" s="21">
        <v>100000.0</v>
      </c>
      <c r="I13" s="22" t="s">
        <v>21</v>
      </c>
      <c r="J13" s="22"/>
      <c r="K13" s="22"/>
      <c r="L13" s="22" t="s">
        <v>22</v>
      </c>
      <c r="M13" s="29"/>
      <c r="N13" s="25"/>
      <c r="O13" s="26"/>
      <c r="P13" s="26"/>
      <c r="Q13" s="2"/>
      <c r="R13" s="2"/>
    </row>
    <row r="14">
      <c r="A14" s="2"/>
      <c r="B14" s="31"/>
      <c r="C14" s="16" t="s">
        <v>232</v>
      </c>
      <c r="D14" s="17" t="s">
        <v>20</v>
      </c>
      <c r="E14" s="18"/>
      <c r="F14" s="27">
        <v>46183.0</v>
      </c>
      <c r="G14" s="20">
        <v>600000.0</v>
      </c>
      <c r="H14" s="30"/>
      <c r="I14" s="22" t="s">
        <v>25</v>
      </c>
      <c r="J14" s="22" t="s">
        <v>26</v>
      </c>
      <c r="K14" s="22" t="s">
        <v>30</v>
      </c>
      <c r="L14" s="22" t="s">
        <v>22</v>
      </c>
      <c r="M14" s="22" t="s">
        <v>62</v>
      </c>
      <c r="N14" s="25"/>
      <c r="O14" s="26"/>
      <c r="P14" s="26"/>
      <c r="Q14" s="2"/>
      <c r="R14" s="2"/>
    </row>
    <row r="15">
      <c r="A15" s="2"/>
      <c r="B15" s="31"/>
      <c r="C15" s="16" t="s">
        <v>190</v>
      </c>
      <c r="D15" s="17" t="s">
        <v>20</v>
      </c>
      <c r="E15" s="18" t="s">
        <v>233</v>
      </c>
      <c r="F15" s="27">
        <v>46183.0</v>
      </c>
      <c r="G15" s="20"/>
      <c r="H15" s="21">
        <v>375000.0</v>
      </c>
      <c r="I15" s="22" t="s">
        <v>25</v>
      </c>
      <c r="J15" s="22" t="s">
        <v>26</v>
      </c>
      <c r="K15" s="22" t="s">
        <v>30</v>
      </c>
      <c r="L15" s="22" t="s">
        <v>22</v>
      </c>
      <c r="M15" s="22" t="s">
        <v>62</v>
      </c>
      <c r="N15" s="25"/>
      <c r="O15" s="26"/>
      <c r="P15" s="26"/>
      <c r="Q15" s="2"/>
      <c r="R15" s="2"/>
    </row>
    <row r="16">
      <c r="A16" s="2"/>
      <c r="B16" s="31"/>
      <c r="C16" s="16" t="s">
        <v>234</v>
      </c>
      <c r="D16" s="17" t="s">
        <v>20</v>
      </c>
      <c r="E16" s="18"/>
      <c r="F16" s="27">
        <v>46184.0</v>
      </c>
      <c r="G16" s="20"/>
      <c r="H16" s="21">
        <v>100000.0</v>
      </c>
      <c r="I16" s="22" t="s">
        <v>21</v>
      </c>
      <c r="J16" s="22"/>
      <c r="K16" s="22"/>
      <c r="L16" s="22" t="s">
        <v>22</v>
      </c>
      <c r="M16" s="29"/>
      <c r="N16" s="25"/>
      <c r="O16" s="26"/>
      <c r="P16" s="26"/>
      <c r="Q16" s="2"/>
      <c r="R16" s="2"/>
    </row>
    <row r="17">
      <c r="A17" s="2"/>
      <c r="B17" s="31"/>
      <c r="C17" s="16" t="s">
        <v>218</v>
      </c>
      <c r="D17" s="17" t="s">
        <v>20</v>
      </c>
      <c r="E17" s="18"/>
      <c r="F17" s="27">
        <v>46183.0</v>
      </c>
      <c r="G17" s="20"/>
      <c r="H17" s="21">
        <v>100000.0</v>
      </c>
      <c r="I17" s="22" t="s">
        <v>25</v>
      </c>
      <c r="J17" s="22" t="s">
        <v>26</v>
      </c>
      <c r="K17" s="22" t="s">
        <v>26</v>
      </c>
      <c r="L17" s="22" t="s">
        <v>22</v>
      </c>
      <c r="M17" s="22" t="s">
        <v>62</v>
      </c>
      <c r="N17" s="25"/>
      <c r="O17" s="26"/>
      <c r="P17" s="26"/>
      <c r="Q17" s="2"/>
      <c r="R17" s="2"/>
    </row>
    <row r="18">
      <c r="A18" s="2"/>
      <c r="B18" s="31"/>
      <c r="C18" s="16" t="s">
        <v>235</v>
      </c>
      <c r="D18" s="17" t="s">
        <v>20</v>
      </c>
      <c r="E18" s="18"/>
      <c r="F18" s="27">
        <v>46183.0</v>
      </c>
      <c r="G18" s="20"/>
      <c r="H18" s="21">
        <v>1025000.0</v>
      </c>
      <c r="I18" s="22" t="s">
        <v>25</v>
      </c>
      <c r="J18" s="22" t="s">
        <v>26</v>
      </c>
      <c r="K18" s="22" t="s">
        <v>30</v>
      </c>
      <c r="L18" s="22" t="s">
        <v>22</v>
      </c>
      <c r="M18" s="22" t="s">
        <v>62</v>
      </c>
      <c r="N18" s="25"/>
      <c r="O18" s="26"/>
      <c r="P18" s="26"/>
      <c r="Q18" s="2"/>
      <c r="R18" s="2"/>
    </row>
    <row r="19">
      <c r="A19" s="2"/>
      <c r="B19" s="31"/>
      <c r="C19" s="16"/>
      <c r="D19" s="17"/>
      <c r="E19" s="18"/>
      <c r="F19" s="31"/>
      <c r="G19" s="20"/>
      <c r="H19" s="30"/>
      <c r="I19" s="22"/>
      <c r="J19" s="22"/>
      <c r="K19" s="22"/>
      <c r="L19" s="29"/>
      <c r="M19" s="29"/>
      <c r="N19" s="25"/>
      <c r="O19" s="26"/>
      <c r="P19" s="26"/>
      <c r="Q19" s="2"/>
      <c r="R19" s="2"/>
    </row>
    <row r="20">
      <c r="A20" s="2"/>
      <c r="B20" s="31"/>
      <c r="C20" s="16"/>
      <c r="D20" s="17"/>
      <c r="E20" s="18"/>
      <c r="F20" s="31"/>
      <c r="G20" s="20"/>
      <c r="H20" s="30"/>
      <c r="I20" s="22"/>
      <c r="J20" s="22"/>
      <c r="K20" s="22"/>
      <c r="L20" s="29"/>
      <c r="M20" s="29"/>
      <c r="N20" s="25"/>
      <c r="O20" s="26"/>
      <c r="P20" s="26"/>
      <c r="Q20" s="2"/>
      <c r="R20" s="2"/>
    </row>
    <row r="21">
      <c r="A21" s="2"/>
      <c r="B21" s="31"/>
      <c r="C21" s="32"/>
      <c r="D21" s="17"/>
      <c r="E21" s="18"/>
      <c r="F21" s="31"/>
      <c r="G21" s="28"/>
      <c r="H21" s="30"/>
      <c r="I21" s="29"/>
      <c r="J21" s="29"/>
      <c r="K21" s="29"/>
      <c r="L21" s="29"/>
      <c r="M21" s="29"/>
      <c r="N21" s="33"/>
      <c r="O21" s="33"/>
      <c r="P21" s="33"/>
      <c r="Q21" s="2"/>
      <c r="R21" s="2"/>
    </row>
    <row r="22" ht="18.75" customHeight="1">
      <c r="A22" s="2"/>
      <c r="B22" s="2"/>
      <c r="C22" s="3"/>
      <c r="D22" s="3"/>
      <c r="E22" s="2"/>
      <c r="F22" s="2"/>
      <c r="G22" s="34">
        <f t="shared" ref="G22:H22" si="1">SUM(G4:G21)</f>
        <v>775000</v>
      </c>
      <c r="H22" s="35">
        <f t="shared" si="1"/>
        <v>2345000</v>
      </c>
      <c r="I22" s="2"/>
      <c r="J22" s="2"/>
      <c r="K22" s="2"/>
      <c r="L22" s="2"/>
      <c r="M22" s="2"/>
      <c r="N22" s="2"/>
      <c r="O22" s="2"/>
      <c r="P22" s="2"/>
      <c r="Q22" s="2"/>
      <c r="R22" s="2"/>
    </row>
    <row r="23" ht="23.25" customHeight="1">
      <c r="A23" s="2"/>
      <c r="B23" s="2"/>
      <c r="C23" s="3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>
      <c r="A24" s="2"/>
      <c r="B24" s="2"/>
      <c r="C24" s="3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>
      <c r="A25" s="2"/>
      <c r="B25" s="36" t="s">
        <v>1</v>
      </c>
      <c r="C25" s="37" t="s">
        <v>7</v>
      </c>
      <c r="D25" s="37" t="s">
        <v>45</v>
      </c>
      <c r="E25" s="1"/>
      <c r="F25" s="2"/>
      <c r="G25" s="2"/>
      <c r="H25" s="2"/>
      <c r="I25" s="2"/>
      <c r="J25" s="2"/>
      <c r="K25" s="2"/>
      <c r="L25" s="2"/>
      <c r="M25" s="2"/>
      <c r="N25" s="37" t="s">
        <v>46</v>
      </c>
      <c r="O25" s="37" t="s">
        <v>2</v>
      </c>
      <c r="P25" s="2"/>
      <c r="Q25" s="2"/>
      <c r="R25" s="2"/>
    </row>
    <row r="26">
      <c r="A26" s="2"/>
      <c r="B26" s="38">
        <v>1.0</v>
      </c>
      <c r="C26" s="39" t="s">
        <v>47</v>
      </c>
      <c r="D26" s="40">
        <f>SUM(G22)</f>
        <v>775000</v>
      </c>
      <c r="E26" s="41"/>
      <c r="F26" s="2"/>
      <c r="G26" s="2"/>
      <c r="H26" s="2"/>
      <c r="I26" s="2"/>
      <c r="J26" s="2"/>
      <c r="K26" s="2"/>
      <c r="L26" s="2"/>
      <c r="M26" s="2"/>
      <c r="N26" s="42" t="s">
        <v>48</v>
      </c>
      <c r="O26" s="23" t="s">
        <v>22</v>
      </c>
      <c r="P26" s="2"/>
      <c r="Q26" s="2"/>
      <c r="R26" s="2"/>
    </row>
    <row r="27">
      <c r="A27" s="2"/>
      <c r="B27" s="43">
        <v>2.0</v>
      </c>
      <c r="C27" s="44" t="s">
        <v>139</v>
      </c>
      <c r="D27" s="45">
        <v>-100000.0</v>
      </c>
      <c r="E27" s="46"/>
      <c r="F27" s="2"/>
      <c r="G27" s="2"/>
      <c r="H27" s="2"/>
      <c r="I27" s="2"/>
      <c r="J27" s="2"/>
      <c r="K27" s="2"/>
      <c r="L27" s="2"/>
      <c r="M27" s="2"/>
      <c r="N27" s="47" t="s">
        <v>50</v>
      </c>
      <c r="O27" s="48" t="s">
        <v>22</v>
      </c>
      <c r="P27" s="2"/>
      <c r="Q27" s="2"/>
      <c r="R27" s="2"/>
    </row>
    <row r="28">
      <c r="A28" s="2"/>
      <c r="B28" s="38">
        <v>3.0</v>
      </c>
      <c r="C28" s="39" t="s">
        <v>49</v>
      </c>
      <c r="D28" s="49">
        <v>-25000.0</v>
      </c>
      <c r="E28" s="46"/>
      <c r="F28" s="2"/>
      <c r="G28" s="2"/>
      <c r="H28" s="2"/>
      <c r="I28" s="2"/>
      <c r="J28" s="2"/>
      <c r="K28" s="2"/>
      <c r="L28" s="2"/>
      <c r="M28" s="2"/>
      <c r="N28" s="50" t="s">
        <v>52</v>
      </c>
      <c r="O28" s="25" t="s">
        <v>27</v>
      </c>
      <c r="P28" s="2"/>
      <c r="Q28" s="2"/>
      <c r="R28" s="2"/>
    </row>
    <row r="29">
      <c r="A29" s="2"/>
      <c r="B29" s="43">
        <v>4.0</v>
      </c>
      <c r="C29" s="44"/>
      <c r="D29" s="45"/>
      <c r="E29" s="46"/>
      <c r="F29" s="2"/>
      <c r="G29" s="2"/>
      <c r="H29" s="2"/>
      <c r="I29" s="2"/>
      <c r="J29" s="2"/>
      <c r="K29" s="2"/>
      <c r="L29" s="2"/>
      <c r="M29" s="2"/>
      <c r="N29" s="51" t="s">
        <v>54</v>
      </c>
      <c r="O29" s="48" t="s">
        <v>62</v>
      </c>
      <c r="P29" s="2"/>
      <c r="Q29" s="2"/>
      <c r="R29" s="2"/>
    </row>
    <row r="30">
      <c r="A30" s="2"/>
      <c r="B30" s="38"/>
      <c r="C30" s="52"/>
      <c r="D30" s="40"/>
      <c r="E30" s="41"/>
      <c r="F30" s="2"/>
      <c r="G30" s="2"/>
      <c r="H30" s="2"/>
      <c r="I30" s="2"/>
      <c r="J30" s="2"/>
      <c r="K30" s="2"/>
      <c r="L30" s="2"/>
      <c r="M30" s="2"/>
      <c r="N30" s="53"/>
      <c r="O30" s="2"/>
      <c r="P30" s="2"/>
      <c r="Q30" s="2"/>
      <c r="R30" s="2"/>
    </row>
    <row r="31">
      <c r="A31" s="2"/>
      <c r="B31" s="43"/>
      <c r="C31" s="54"/>
      <c r="D31" s="55"/>
      <c r="E31" s="4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2"/>
      <c r="B32" s="38"/>
      <c r="C32" s="52"/>
      <c r="D32" s="40"/>
      <c r="E32" s="4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2"/>
      <c r="B33" s="43"/>
      <c r="C33" s="54"/>
      <c r="D33" s="55"/>
      <c r="E33" s="4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2"/>
      <c r="B34" s="38"/>
      <c r="C34" s="52"/>
      <c r="D34" s="40"/>
      <c r="E34" s="4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2"/>
      <c r="B35" s="43"/>
      <c r="C35" s="54"/>
      <c r="D35" s="55"/>
      <c r="E35" s="4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2"/>
      <c r="B36" s="56"/>
      <c r="C36" s="57"/>
      <c r="D36" s="58"/>
      <c r="E36" s="4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/>
      <c r="B37" s="2"/>
      <c r="C37" s="3"/>
      <c r="D37" s="59">
        <f>SUM(D26:D36)</f>
        <v>650000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2"/>
      <c r="C38" s="3"/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2"/>
      <c r="C39" s="3"/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2"/>
      <c r="C40" s="3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2"/>
      <c r="C41" s="3"/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1 O26:O27">
      <formula1>"-,JIJANG,AXEL,PENTIL,FAHME,INDAH"</formula1>
    </dataValidation>
    <dataValidation type="list" allowBlank="1" showErrorMessage="1" sqref="N4:N21">
      <formula1>"-,Pending,Progress,Uploaded"</formula1>
    </dataValidation>
    <dataValidation type="list" allowBlank="1" showDropDown="1" showErrorMessage="1" sqref="D4:D21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21">
      <formula1>"-,In Pikako,In Foxe"</formula1>
    </dataValidation>
    <dataValidation type="list" allowBlank="1" showDropDown="1" showErrorMessage="1" sqref="I4:I21">
      <formula1>"-,DP,Lunas"</formula1>
    </dataValidation>
    <dataValidation type="list" allowBlank="1" showDropDown="1" showErrorMessage="1" sqref="J4:K21">
      <formula1>"-,Pending,Uploaded"</formula1>
    </dataValidation>
    <dataValidation type="list" allowBlank="1" showDropDown="1" showErrorMessage="1" sqref="M4:M21 O28:O29">
      <formula1>"-,VERO,FADEL,PENTIL,FAHME,ADIF,HANIF"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2"/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 t="s">
        <v>236</v>
      </c>
      <c r="D4" s="17" t="s">
        <v>40</v>
      </c>
      <c r="E4" s="18"/>
      <c r="F4" s="19">
        <v>46190.0</v>
      </c>
      <c r="G4" s="20"/>
      <c r="H4" s="21">
        <v>100000.0</v>
      </c>
      <c r="I4" s="22" t="s">
        <v>21</v>
      </c>
      <c r="J4" s="22"/>
      <c r="K4" s="22"/>
      <c r="L4" s="22" t="s">
        <v>33</v>
      </c>
      <c r="M4" s="22"/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 t="s">
        <v>237</v>
      </c>
      <c r="D5" s="17" t="s">
        <v>20</v>
      </c>
      <c r="E5" s="18"/>
      <c r="F5" s="19">
        <v>46185.0</v>
      </c>
      <c r="G5" s="20"/>
      <c r="H5" s="21">
        <v>100000.0</v>
      </c>
      <c r="I5" s="22" t="s">
        <v>21</v>
      </c>
      <c r="J5" s="22"/>
      <c r="K5" s="22"/>
      <c r="L5" s="22" t="s">
        <v>33</v>
      </c>
      <c r="M5" s="22"/>
      <c r="N5" s="25"/>
      <c r="O5" s="25"/>
      <c r="P5" s="26"/>
      <c r="Q5" s="2"/>
      <c r="R5" s="2"/>
    </row>
    <row r="6">
      <c r="A6" s="2"/>
      <c r="B6" s="15">
        <v>3.0</v>
      </c>
      <c r="C6" s="16" t="s">
        <v>238</v>
      </c>
      <c r="D6" s="17" t="s">
        <v>38</v>
      </c>
      <c r="E6" s="18"/>
      <c r="F6" s="27">
        <v>46184.0</v>
      </c>
      <c r="G6" s="28"/>
      <c r="H6" s="21">
        <v>100000.0</v>
      </c>
      <c r="I6" s="22" t="s">
        <v>21</v>
      </c>
      <c r="J6" s="22"/>
      <c r="K6" s="22"/>
      <c r="L6" s="22" t="s">
        <v>33</v>
      </c>
      <c r="M6" s="29"/>
      <c r="N6" s="25"/>
      <c r="O6" s="25"/>
      <c r="P6" s="26"/>
      <c r="Q6" s="2"/>
      <c r="R6" s="2"/>
    </row>
    <row r="7">
      <c r="A7" s="2"/>
      <c r="B7" s="15">
        <v>4.0</v>
      </c>
      <c r="C7" s="16" t="s">
        <v>239</v>
      </c>
      <c r="D7" s="17" t="s">
        <v>20</v>
      </c>
      <c r="E7" s="18"/>
      <c r="F7" s="27">
        <v>46192.0</v>
      </c>
      <c r="G7" s="20"/>
      <c r="H7" s="21">
        <v>100000.0</v>
      </c>
      <c r="I7" s="22" t="s">
        <v>21</v>
      </c>
      <c r="J7" s="22"/>
      <c r="K7" s="22"/>
      <c r="L7" s="22" t="s">
        <v>33</v>
      </c>
      <c r="M7" s="29"/>
      <c r="N7" s="25"/>
      <c r="O7" s="25"/>
      <c r="P7" s="26"/>
      <c r="Q7" s="2"/>
      <c r="R7" s="2"/>
    </row>
    <row r="8">
      <c r="A8" s="2"/>
      <c r="B8" s="15">
        <v>5.0</v>
      </c>
      <c r="C8" s="16" t="s">
        <v>240</v>
      </c>
      <c r="D8" s="17" t="s">
        <v>40</v>
      </c>
      <c r="E8" s="18"/>
      <c r="F8" s="27">
        <v>46184.0</v>
      </c>
      <c r="G8" s="20">
        <v>350000.0</v>
      </c>
      <c r="H8" s="30"/>
      <c r="I8" s="22" t="s">
        <v>25</v>
      </c>
      <c r="J8" s="22" t="s">
        <v>26</v>
      </c>
      <c r="K8" s="22" t="s">
        <v>30</v>
      </c>
      <c r="L8" s="22" t="s">
        <v>33</v>
      </c>
      <c r="M8" s="22" t="s">
        <v>127</v>
      </c>
      <c r="N8" s="25"/>
      <c r="O8" s="26"/>
      <c r="P8" s="26"/>
      <c r="Q8" s="2"/>
      <c r="R8" s="2"/>
    </row>
    <row r="9">
      <c r="A9" s="2"/>
      <c r="B9" s="15">
        <v>6.0</v>
      </c>
      <c r="C9" s="16" t="s">
        <v>134</v>
      </c>
      <c r="D9" s="17" t="s">
        <v>58</v>
      </c>
      <c r="E9" s="18"/>
      <c r="F9" s="27">
        <v>46184.0</v>
      </c>
      <c r="G9" s="20">
        <v>0.0</v>
      </c>
      <c r="H9" s="21">
        <v>0.0</v>
      </c>
      <c r="I9" s="22" t="s">
        <v>25</v>
      </c>
      <c r="J9" s="22" t="s">
        <v>26</v>
      </c>
      <c r="K9" s="22" t="s">
        <v>30</v>
      </c>
      <c r="L9" s="22" t="s">
        <v>33</v>
      </c>
      <c r="M9" s="22" t="s">
        <v>127</v>
      </c>
      <c r="N9" s="25"/>
      <c r="O9" s="26"/>
      <c r="P9" s="26"/>
      <c r="Q9" s="2"/>
      <c r="R9" s="2"/>
    </row>
    <row r="10">
      <c r="A10" s="2"/>
      <c r="B10" s="15">
        <v>7.0</v>
      </c>
      <c r="C10" s="16" t="s">
        <v>241</v>
      </c>
      <c r="D10" s="17" t="s">
        <v>24</v>
      </c>
      <c r="E10" s="18"/>
      <c r="F10" s="27">
        <v>46184.0</v>
      </c>
      <c r="G10" s="20"/>
      <c r="H10" s="21">
        <v>50000.0</v>
      </c>
      <c r="I10" s="22" t="s">
        <v>25</v>
      </c>
      <c r="J10" s="22"/>
      <c r="K10" s="22"/>
      <c r="L10" s="22" t="s">
        <v>33</v>
      </c>
      <c r="M10" s="29"/>
      <c r="N10" s="25"/>
      <c r="O10" s="26"/>
      <c r="P10" s="26"/>
      <c r="Q10" s="2"/>
      <c r="R10" s="2"/>
    </row>
    <row r="11">
      <c r="A11" s="2"/>
      <c r="B11" s="15">
        <v>8.0</v>
      </c>
      <c r="C11" s="16" t="s">
        <v>242</v>
      </c>
      <c r="D11" s="17" t="s">
        <v>20</v>
      </c>
      <c r="E11" s="18"/>
      <c r="F11" s="27">
        <v>46184.0</v>
      </c>
      <c r="G11" s="20">
        <v>750000.0</v>
      </c>
      <c r="H11" s="30"/>
      <c r="I11" s="22" t="s">
        <v>25</v>
      </c>
      <c r="J11" s="22" t="s">
        <v>26</v>
      </c>
      <c r="K11" s="22" t="s">
        <v>26</v>
      </c>
      <c r="L11" s="22" t="s">
        <v>33</v>
      </c>
      <c r="M11" s="22" t="s">
        <v>127</v>
      </c>
      <c r="N11" s="25"/>
      <c r="O11" s="26"/>
      <c r="P11" s="26"/>
      <c r="Q11" s="2"/>
      <c r="R11" s="2"/>
    </row>
    <row r="12">
      <c r="A12" s="2"/>
      <c r="B12" s="15">
        <v>9.0</v>
      </c>
      <c r="C12" s="16" t="s">
        <v>243</v>
      </c>
      <c r="D12" s="17" t="s">
        <v>24</v>
      </c>
      <c r="E12" s="18"/>
      <c r="F12" s="27">
        <v>46184.0</v>
      </c>
      <c r="G12" s="20"/>
      <c r="H12" s="21">
        <v>50000.0</v>
      </c>
      <c r="I12" s="22" t="s">
        <v>25</v>
      </c>
      <c r="J12" s="22"/>
      <c r="K12" s="22"/>
      <c r="L12" s="22" t="s">
        <v>33</v>
      </c>
      <c r="M12" s="29"/>
      <c r="N12" s="25"/>
      <c r="O12" s="26"/>
      <c r="P12" s="26"/>
      <c r="Q12" s="2"/>
      <c r="R12" s="2"/>
    </row>
    <row r="13">
      <c r="A13" s="2"/>
      <c r="B13" s="15">
        <v>10.0</v>
      </c>
      <c r="C13" s="16" t="s">
        <v>241</v>
      </c>
      <c r="D13" s="17" t="s">
        <v>24</v>
      </c>
      <c r="E13" s="18"/>
      <c r="F13" s="27">
        <v>46184.0</v>
      </c>
      <c r="G13" s="20">
        <v>0.0</v>
      </c>
      <c r="H13" s="21">
        <v>0.0</v>
      </c>
      <c r="I13" s="22" t="s">
        <v>25</v>
      </c>
      <c r="J13" s="22" t="s">
        <v>26</v>
      </c>
      <c r="K13" s="22" t="s">
        <v>26</v>
      </c>
      <c r="L13" s="22" t="s">
        <v>33</v>
      </c>
      <c r="M13" s="22" t="s">
        <v>127</v>
      </c>
      <c r="N13" s="25"/>
      <c r="O13" s="26"/>
      <c r="P13" s="26"/>
      <c r="Q13" s="2"/>
      <c r="R13" s="2"/>
    </row>
    <row r="14">
      <c r="A14" s="2"/>
      <c r="B14" s="31"/>
      <c r="C14" s="16" t="s">
        <v>244</v>
      </c>
      <c r="D14" s="17" t="s">
        <v>20</v>
      </c>
      <c r="E14" s="18"/>
      <c r="F14" s="27">
        <v>46184.0</v>
      </c>
      <c r="G14" s="20">
        <v>275000.0</v>
      </c>
      <c r="H14" s="30"/>
      <c r="I14" s="22" t="s">
        <v>25</v>
      </c>
      <c r="J14" s="22" t="s">
        <v>26</v>
      </c>
      <c r="K14" s="22" t="s">
        <v>26</v>
      </c>
      <c r="L14" s="22" t="s">
        <v>33</v>
      </c>
      <c r="M14" s="22" t="s">
        <v>127</v>
      </c>
      <c r="N14" s="25"/>
      <c r="O14" s="26"/>
      <c r="P14" s="26"/>
      <c r="Q14" s="2"/>
      <c r="R14" s="2"/>
    </row>
    <row r="15">
      <c r="A15" s="2"/>
      <c r="B15" s="31"/>
      <c r="C15" s="16" t="s">
        <v>226</v>
      </c>
      <c r="D15" s="17" t="s">
        <v>40</v>
      </c>
      <c r="E15" s="18"/>
      <c r="F15" s="27">
        <v>46184.0</v>
      </c>
      <c r="G15" s="20"/>
      <c r="H15" s="21">
        <v>250000.0</v>
      </c>
      <c r="I15" s="22" t="s">
        <v>25</v>
      </c>
      <c r="J15" s="22" t="s">
        <v>26</v>
      </c>
      <c r="K15" s="22" t="s">
        <v>30</v>
      </c>
      <c r="L15" s="22" t="s">
        <v>33</v>
      </c>
      <c r="M15" s="22" t="s">
        <v>34</v>
      </c>
      <c r="N15" s="25"/>
      <c r="O15" s="26"/>
      <c r="P15" s="26"/>
      <c r="Q15" s="2"/>
      <c r="R15" s="2"/>
    </row>
    <row r="16">
      <c r="A16" s="2"/>
      <c r="B16" s="31"/>
      <c r="C16" s="16" t="s">
        <v>157</v>
      </c>
      <c r="D16" s="17" t="s">
        <v>20</v>
      </c>
      <c r="E16" s="18"/>
      <c r="F16" s="27">
        <v>46184.0</v>
      </c>
      <c r="G16" s="20">
        <v>100000.0</v>
      </c>
      <c r="H16" s="30"/>
      <c r="I16" s="22" t="s">
        <v>25</v>
      </c>
      <c r="J16" s="22" t="s">
        <v>26</v>
      </c>
      <c r="K16" s="22" t="s">
        <v>26</v>
      </c>
      <c r="L16" s="22" t="s">
        <v>33</v>
      </c>
      <c r="M16" s="22" t="s">
        <v>34</v>
      </c>
      <c r="N16" s="25"/>
      <c r="O16" s="26"/>
      <c r="P16" s="26"/>
      <c r="Q16" s="2"/>
      <c r="R16" s="2"/>
    </row>
    <row r="17">
      <c r="A17" s="2"/>
      <c r="B17" s="31"/>
      <c r="C17" s="16" t="s">
        <v>245</v>
      </c>
      <c r="D17" s="17" t="s">
        <v>20</v>
      </c>
      <c r="E17" s="18"/>
      <c r="F17" s="27">
        <v>46184.0</v>
      </c>
      <c r="G17" s="20"/>
      <c r="H17" s="21">
        <v>225000.0</v>
      </c>
      <c r="I17" s="22" t="s">
        <v>25</v>
      </c>
      <c r="J17" s="22" t="s">
        <v>26</v>
      </c>
      <c r="K17" s="22" t="s">
        <v>26</v>
      </c>
      <c r="L17" s="22" t="s">
        <v>33</v>
      </c>
      <c r="M17" s="22" t="s">
        <v>34</v>
      </c>
      <c r="N17" s="25"/>
      <c r="O17" s="26"/>
      <c r="P17" s="26"/>
      <c r="Q17" s="2"/>
      <c r="R17" s="2"/>
    </row>
    <row r="18">
      <c r="A18" s="2"/>
      <c r="B18" s="31"/>
      <c r="C18" s="16" t="s">
        <v>246</v>
      </c>
      <c r="D18" s="17" t="s">
        <v>20</v>
      </c>
      <c r="E18" s="18"/>
      <c r="F18" s="27">
        <v>46184.0</v>
      </c>
      <c r="G18" s="20"/>
      <c r="H18" s="21">
        <v>125000.0</v>
      </c>
      <c r="I18" s="22" t="s">
        <v>25</v>
      </c>
      <c r="J18" s="22" t="s">
        <v>26</v>
      </c>
      <c r="K18" s="22" t="s">
        <v>30</v>
      </c>
      <c r="L18" s="22" t="s">
        <v>33</v>
      </c>
      <c r="M18" s="22" t="s">
        <v>34</v>
      </c>
      <c r="N18" s="25"/>
      <c r="O18" s="26"/>
      <c r="P18" s="26"/>
      <c r="Q18" s="2"/>
      <c r="R18" s="2"/>
    </row>
    <row r="19">
      <c r="A19" s="2"/>
      <c r="B19" s="31"/>
      <c r="C19" s="16" t="s">
        <v>247</v>
      </c>
      <c r="D19" s="17" t="s">
        <v>20</v>
      </c>
      <c r="E19" s="18"/>
      <c r="F19" s="27">
        <v>46185.0</v>
      </c>
      <c r="G19" s="20"/>
      <c r="H19" s="21">
        <v>100000.0</v>
      </c>
      <c r="I19" s="22" t="s">
        <v>21</v>
      </c>
      <c r="J19" s="22"/>
      <c r="K19" s="22"/>
      <c r="L19" s="22" t="s">
        <v>33</v>
      </c>
      <c r="M19" s="29"/>
      <c r="N19" s="25"/>
      <c r="O19" s="26"/>
      <c r="P19" s="26"/>
      <c r="Q19" s="2"/>
      <c r="R19" s="2"/>
    </row>
    <row r="20">
      <c r="A20" s="2"/>
      <c r="B20" s="31"/>
      <c r="C20" s="16" t="s">
        <v>61</v>
      </c>
      <c r="D20" s="17" t="s">
        <v>42</v>
      </c>
      <c r="E20" s="18"/>
      <c r="F20" s="27">
        <v>46189.0</v>
      </c>
      <c r="G20" s="20"/>
      <c r="H20" s="21">
        <v>100000.0</v>
      </c>
      <c r="I20" s="22" t="s">
        <v>21</v>
      </c>
      <c r="J20" s="22"/>
      <c r="K20" s="22"/>
      <c r="L20" s="22" t="s">
        <v>33</v>
      </c>
      <c r="M20" s="29"/>
      <c r="N20" s="25"/>
      <c r="O20" s="26"/>
      <c r="P20" s="26"/>
      <c r="Q20" s="2"/>
      <c r="R20" s="2"/>
    </row>
    <row r="21">
      <c r="A21" s="2"/>
      <c r="B21" s="31"/>
      <c r="C21" s="16" t="s">
        <v>141</v>
      </c>
      <c r="D21" s="17" t="s">
        <v>40</v>
      </c>
      <c r="E21" s="18"/>
      <c r="F21" s="27">
        <v>46184.0</v>
      </c>
      <c r="G21" s="20"/>
      <c r="H21" s="21">
        <v>100000.0</v>
      </c>
      <c r="I21" s="22" t="s">
        <v>21</v>
      </c>
      <c r="J21" s="22"/>
      <c r="K21" s="22"/>
      <c r="L21" s="22" t="s">
        <v>33</v>
      </c>
      <c r="M21" s="29"/>
      <c r="N21" s="25"/>
      <c r="O21" s="26"/>
      <c r="P21" s="26"/>
      <c r="Q21" s="2"/>
      <c r="R21" s="2"/>
    </row>
    <row r="22">
      <c r="A22" s="2"/>
      <c r="B22" s="31"/>
      <c r="C22" s="16" t="s">
        <v>248</v>
      </c>
      <c r="D22" s="17" t="s">
        <v>20</v>
      </c>
      <c r="E22" s="18"/>
      <c r="F22" s="27">
        <v>46184.0</v>
      </c>
      <c r="G22" s="20"/>
      <c r="H22" s="21">
        <v>400000.0</v>
      </c>
      <c r="I22" s="22" t="s">
        <v>25</v>
      </c>
      <c r="J22" s="22" t="s">
        <v>26</v>
      </c>
      <c r="K22" s="22" t="s">
        <v>30</v>
      </c>
      <c r="L22" s="22" t="s">
        <v>33</v>
      </c>
      <c r="M22" s="22" t="s">
        <v>34</v>
      </c>
      <c r="N22" s="25"/>
      <c r="O22" s="26"/>
      <c r="P22" s="26"/>
      <c r="Q22" s="2"/>
      <c r="R22" s="2"/>
    </row>
    <row r="23">
      <c r="A23" s="2"/>
      <c r="B23" s="31"/>
      <c r="C23" s="16" t="s">
        <v>148</v>
      </c>
      <c r="D23" s="17" t="s">
        <v>40</v>
      </c>
      <c r="E23" s="18"/>
      <c r="F23" s="27">
        <v>46184.0</v>
      </c>
      <c r="G23" s="20"/>
      <c r="H23" s="21">
        <v>270000.0</v>
      </c>
      <c r="I23" s="22" t="s">
        <v>25</v>
      </c>
      <c r="J23" s="22" t="s">
        <v>26</v>
      </c>
      <c r="K23" s="22" t="s">
        <v>26</v>
      </c>
      <c r="L23" s="22" t="s">
        <v>33</v>
      </c>
      <c r="M23" s="22" t="s">
        <v>34</v>
      </c>
      <c r="N23" s="25"/>
      <c r="O23" s="26"/>
      <c r="P23" s="26"/>
      <c r="Q23" s="2"/>
      <c r="R23" s="2"/>
    </row>
    <row r="24">
      <c r="A24" s="2"/>
      <c r="B24" s="31"/>
      <c r="C24" s="16"/>
      <c r="D24" s="17"/>
      <c r="E24" s="18"/>
      <c r="F24" s="31"/>
      <c r="G24" s="20"/>
      <c r="H24" s="30"/>
      <c r="I24" s="22"/>
      <c r="J24" s="22"/>
      <c r="K24" s="22"/>
      <c r="L24" s="29"/>
      <c r="M24" s="29"/>
      <c r="N24" s="25"/>
      <c r="O24" s="26"/>
      <c r="P24" s="26"/>
      <c r="Q24" s="2"/>
      <c r="R24" s="2"/>
    </row>
    <row r="25">
      <c r="A25" s="2"/>
      <c r="B25" s="31"/>
      <c r="C25" s="32"/>
      <c r="D25" s="17"/>
      <c r="E25" s="18"/>
      <c r="F25" s="31"/>
      <c r="G25" s="28"/>
      <c r="H25" s="30"/>
      <c r="I25" s="29"/>
      <c r="J25" s="29"/>
      <c r="K25" s="29"/>
      <c r="L25" s="29"/>
      <c r="M25" s="29"/>
      <c r="N25" s="33"/>
      <c r="O25" s="33"/>
      <c r="P25" s="33"/>
      <c r="Q25" s="2"/>
      <c r="R25" s="2"/>
    </row>
    <row r="26" ht="18.75" customHeight="1">
      <c r="A26" s="2"/>
      <c r="B26" s="2"/>
      <c r="C26" s="3"/>
      <c r="D26" s="3"/>
      <c r="E26" s="2"/>
      <c r="F26" s="2"/>
      <c r="G26" s="34">
        <f t="shared" ref="G26:H26" si="1">SUM(G4:G25)</f>
        <v>1475000</v>
      </c>
      <c r="H26" s="35">
        <f t="shared" si="1"/>
        <v>2070000</v>
      </c>
      <c r="I26" s="2"/>
      <c r="J26" s="2"/>
      <c r="K26" s="2"/>
      <c r="L26" s="2"/>
      <c r="M26" s="2"/>
      <c r="N26" s="2"/>
      <c r="O26" s="2"/>
      <c r="P26" s="2"/>
      <c r="Q26" s="2"/>
      <c r="R26" s="2"/>
    </row>
    <row r="27" ht="23.25" customHeight="1">
      <c r="A27" s="2"/>
      <c r="B27" s="2"/>
      <c r="C27" s="3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>
      <c r="A28" s="2"/>
      <c r="B28" s="2"/>
      <c r="C28" s="3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>
      <c r="A29" s="2"/>
      <c r="B29" s="36" t="s">
        <v>1</v>
      </c>
      <c r="C29" s="37" t="s">
        <v>7</v>
      </c>
      <c r="D29" s="37" t="s">
        <v>45</v>
      </c>
      <c r="E29" s="1"/>
      <c r="F29" s="2"/>
      <c r="G29" s="2"/>
      <c r="H29" s="2"/>
      <c r="I29" s="2"/>
      <c r="J29" s="2"/>
      <c r="K29" s="2"/>
      <c r="L29" s="2"/>
      <c r="M29" s="2"/>
      <c r="N29" s="37" t="s">
        <v>46</v>
      </c>
      <c r="O29" s="37" t="s">
        <v>2</v>
      </c>
      <c r="P29" s="2"/>
      <c r="Q29" s="2"/>
      <c r="R29" s="2"/>
    </row>
    <row r="30">
      <c r="A30" s="2"/>
      <c r="B30" s="38">
        <v>1.0</v>
      </c>
      <c r="C30" s="39" t="s">
        <v>47</v>
      </c>
      <c r="D30" s="40">
        <f>SUM(G26)</f>
        <v>1475000</v>
      </c>
      <c r="E30" s="41"/>
      <c r="F30" s="2"/>
      <c r="G30" s="2"/>
      <c r="H30" s="2"/>
      <c r="I30" s="2"/>
      <c r="J30" s="2"/>
      <c r="K30" s="2"/>
      <c r="L30" s="2"/>
      <c r="M30" s="2"/>
      <c r="N30" s="42" t="s">
        <v>48</v>
      </c>
      <c r="O30" s="23" t="s">
        <v>33</v>
      </c>
      <c r="P30" s="2"/>
      <c r="Q30" s="2"/>
      <c r="R30" s="2"/>
    </row>
    <row r="31">
      <c r="A31" s="2"/>
      <c r="B31" s="43">
        <v>2.0</v>
      </c>
      <c r="C31" s="44" t="s">
        <v>49</v>
      </c>
      <c r="D31" s="45">
        <v>-50000.0</v>
      </c>
      <c r="E31" s="46"/>
      <c r="F31" s="2"/>
      <c r="G31" s="2"/>
      <c r="H31" s="2"/>
      <c r="I31" s="2"/>
      <c r="J31" s="2"/>
      <c r="K31" s="2"/>
      <c r="L31" s="2"/>
      <c r="M31" s="2"/>
      <c r="N31" s="47" t="s">
        <v>50</v>
      </c>
      <c r="O31" s="48" t="s">
        <v>33</v>
      </c>
      <c r="P31" s="2"/>
      <c r="Q31" s="2"/>
      <c r="R31" s="2"/>
    </row>
    <row r="32">
      <c r="A32" s="2"/>
      <c r="B32" s="38">
        <v>3.0</v>
      </c>
      <c r="C32" s="39" t="s">
        <v>51</v>
      </c>
      <c r="D32" s="49">
        <v>-35000.0</v>
      </c>
      <c r="E32" s="46"/>
      <c r="F32" s="2"/>
      <c r="G32" s="2"/>
      <c r="H32" s="2"/>
      <c r="I32" s="2"/>
      <c r="J32" s="2"/>
      <c r="K32" s="2"/>
      <c r="L32" s="2"/>
      <c r="M32" s="2"/>
      <c r="N32" s="50" t="s">
        <v>52</v>
      </c>
      <c r="O32" s="25" t="s">
        <v>127</v>
      </c>
      <c r="P32" s="2"/>
      <c r="Q32" s="2"/>
      <c r="R32" s="2"/>
    </row>
    <row r="33">
      <c r="A33" s="2"/>
      <c r="B33" s="43">
        <v>4.0</v>
      </c>
      <c r="C33" s="44" t="s">
        <v>249</v>
      </c>
      <c r="D33" s="45">
        <v>-100000.0</v>
      </c>
      <c r="E33" s="46"/>
      <c r="F33" s="2"/>
      <c r="G33" s="2"/>
      <c r="H33" s="2"/>
      <c r="I33" s="2"/>
      <c r="J33" s="2"/>
      <c r="K33" s="2"/>
      <c r="L33" s="2"/>
      <c r="M33" s="2"/>
      <c r="N33" s="51" t="s">
        <v>54</v>
      </c>
      <c r="O33" s="48" t="s">
        <v>34</v>
      </c>
      <c r="P33" s="2"/>
      <c r="Q33" s="2"/>
      <c r="R33" s="2"/>
    </row>
    <row r="34">
      <c r="A34" s="2"/>
      <c r="B34" s="38"/>
      <c r="C34" s="52"/>
      <c r="D34" s="40"/>
      <c r="E34" s="41"/>
      <c r="F34" s="2"/>
      <c r="G34" s="2"/>
      <c r="H34" s="2"/>
      <c r="I34" s="2"/>
      <c r="J34" s="2"/>
      <c r="K34" s="2"/>
      <c r="L34" s="2"/>
      <c r="M34" s="2"/>
      <c r="N34" s="53"/>
      <c r="O34" s="2"/>
      <c r="P34" s="2"/>
      <c r="Q34" s="2"/>
      <c r="R34" s="2"/>
    </row>
    <row r="35">
      <c r="A35" s="2"/>
      <c r="B35" s="43"/>
      <c r="C35" s="54"/>
      <c r="D35" s="55"/>
      <c r="E35" s="4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2"/>
      <c r="B36" s="38"/>
      <c r="C36" s="52"/>
      <c r="D36" s="40"/>
      <c r="E36" s="4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/>
      <c r="B37" s="43"/>
      <c r="C37" s="54"/>
      <c r="D37" s="55"/>
      <c r="E37" s="4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38"/>
      <c r="C38" s="52"/>
      <c r="D38" s="40"/>
      <c r="E38" s="4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43"/>
      <c r="C39" s="54"/>
      <c r="D39" s="55"/>
      <c r="E39" s="4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56"/>
      <c r="C40" s="57"/>
      <c r="D40" s="58"/>
      <c r="E40" s="4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2"/>
      <c r="C41" s="3"/>
      <c r="D41" s="59">
        <f>SUM(D30:D40)</f>
        <v>1290000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2"/>
      <c r="B42" s="2"/>
      <c r="C42" s="3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2"/>
      <c r="B43" s="2"/>
      <c r="C43" s="3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>
      <c r="A44" s="2"/>
      <c r="B44" s="2"/>
      <c r="C44" s="3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2"/>
      <c r="B45" s="2"/>
      <c r="C45" s="3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M4:M25 O32:O33">
      <formula1>"-,VERO,FADEL,ADIF ,HANIF "</formula1>
    </dataValidation>
    <dataValidation type="list" allowBlank="1" showErrorMessage="1" sqref="N4:N25">
      <formula1>"-,Pending,Progress,Uploaded"</formula1>
    </dataValidation>
    <dataValidation type="list" allowBlank="1" showErrorMessage="1" sqref="O4:O25">
      <formula1>"-,In Pikako,In Foxe"</formula1>
    </dataValidation>
    <dataValidation type="list" allowBlank="1" showDropDown="1" showErrorMessage="1" sqref="D4:D25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L4:L25 O30:O31">
      <formula1>"-,ADDEL ,AXEL,PENTIL,FAHME"</formula1>
    </dataValidation>
    <dataValidation type="list" allowBlank="1" showDropDown="1" showErrorMessage="1" sqref="I4:I25">
      <formula1>"-,DP,Lunas"</formula1>
    </dataValidation>
    <dataValidation type="list" allowBlank="1" showDropDown="1" showErrorMessage="1" sqref="J4:K25">
      <formula1>"-,Pending,Uploaded"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2"/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 t="s">
        <v>250</v>
      </c>
      <c r="D4" s="17" t="s">
        <v>20</v>
      </c>
      <c r="E4" s="18"/>
      <c r="F4" s="19">
        <v>46185.0</v>
      </c>
      <c r="G4" s="20"/>
      <c r="H4" s="21">
        <v>575000.0</v>
      </c>
      <c r="I4" s="22" t="s">
        <v>25</v>
      </c>
      <c r="J4" s="22" t="s">
        <v>26</v>
      </c>
      <c r="K4" s="22" t="s">
        <v>26</v>
      </c>
      <c r="L4" s="22" t="s">
        <v>33</v>
      </c>
      <c r="M4" s="22" t="s">
        <v>127</v>
      </c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 t="s">
        <v>251</v>
      </c>
      <c r="D5" s="17" t="s">
        <v>20</v>
      </c>
      <c r="E5" s="18"/>
      <c r="F5" s="19">
        <v>46186.0</v>
      </c>
      <c r="G5" s="20"/>
      <c r="H5" s="21">
        <v>100000.0</v>
      </c>
      <c r="I5" s="22" t="s">
        <v>21</v>
      </c>
      <c r="J5" s="22"/>
      <c r="K5" s="22"/>
      <c r="L5" s="22" t="s">
        <v>33</v>
      </c>
      <c r="M5" s="22"/>
      <c r="N5" s="25"/>
      <c r="O5" s="25"/>
      <c r="P5" s="26"/>
      <c r="Q5" s="2"/>
      <c r="R5" s="2"/>
    </row>
    <row r="6">
      <c r="A6" s="2"/>
      <c r="B6" s="15">
        <v>3.0</v>
      </c>
      <c r="C6" s="16" t="s">
        <v>219</v>
      </c>
      <c r="D6" s="17" t="s">
        <v>92</v>
      </c>
      <c r="E6" s="18"/>
      <c r="F6" s="27">
        <v>46185.0</v>
      </c>
      <c r="G6" s="28"/>
      <c r="H6" s="21">
        <v>50000.0</v>
      </c>
      <c r="I6" s="22" t="s">
        <v>25</v>
      </c>
      <c r="J6" s="22" t="s">
        <v>26</v>
      </c>
      <c r="K6" s="22" t="s">
        <v>30</v>
      </c>
      <c r="L6" s="22" t="s">
        <v>33</v>
      </c>
      <c r="M6" s="22" t="s">
        <v>127</v>
      </c>
      <c r="N6" s="25"/>
      <c r="O6" s="25"/>
      <c r="P6" s="26"/>
      <c r="Q6" s="2"/>
      <c r="R6" s="2"/>
    </row>
    <row r="7">
      <c r="A7" s="2"/>
      <c r="B7" s="15">
        <v>4.0</v>
      </c>
      <c r="C7" s="16" t="s">
        <v>252</v>
      </c>
      <c r="D7" s="17" t="s">
        <v>58</v>
      </c>
      <c r="E7" s="18"/>
      <c r="F7" s="27">
        <v>46185.0</v>
      </c>
      <c r="G7" s="20"/>
      <c r="H7" s="21">
        <v>150000.0</v>
      </c>
      <c r="I7" s="22" t="s">
        <v>25</v>
      </c>
      <c r="J7" s="22" t="s">
        <v>26</v>
      </c>
      <c r="K7" s="22" t="s">
        <v>26</v>
      </c>
      <c r="L7" s="22" t="s">
        <v>33</v>
      </c>
      <c r="M7" s="22" t="s">
        <v>127</v>
      </c>
      <c r="N7" s="25"/>
      <c r="O7" s="25"/>
      <c r="P7" s="26"/>
      <c r="Q7" s="2"/>
      <c r="R7" s="2"/>
    </row>
    <row r="8">
      <c r="A8" s="2"/>
      <c r="B8" s="15">
        <v>5.0</v>
      </c>
      <c r="C8" s="16" t="s">
        <v>253</v>
      </c>
      <c r="D8" s="17" t="s">
        <v>20</v>
      </c>
      <c r="E8" s="18"/>
      <c r="F8" s="27">
        <v>46188.0</v>
      </c>
      <c r="G8" s="20"/>
      <c r="H8" s="21">
        <v>100000.0</v>
      </c>
      <c r="I8" s="22" t="s">
        <v>21</v>
      </c>
      <c r="J8" s="22"/>
      <c r="K8" s="22"/>
      <c r="L8" s="22" t="s">
        <v>33</v>
      </c>
      <c r="M8" s="29"/>
      <c r="N8" s="25"/>
      <c r="O8" s="26"/>
      <c r="P8" s="26"/>
      <c r="Q8" s="2"/>
      <c r="R8" s="2"/>
    </row>
    <row r="9">
      <c r="A9" s="2"/>
      <c r="B9" s="15">
        <v>6.0</v>
      </c>
      <c r="C9" s="16" t="s">
        <v>216</v>
      </c>
      <c r="D9" s="17" t="s">
        <v>40</v>
      </c>
      <c r="E9" s="18"/>
      <c r="F9" s="27">
        <v>46185.0</v>
      </c>
      <c r="G9" s="20"/>
      <c r="H9" s="21">
        <v>400000.0</v>
      </c>
      <c r="I9" s="22" t="s">
        <v>25</v>
      </c>
      <c r="J9" s="22" t="s">
        <v>26</v>
      </c>
      <c r="K9" s="22" t="s">
        <v>30</v>
      </c>
      <c r="L9" s="22" t="s">
        <v>33</v>
      </c>
      <c r="M9" s="22" t="s">
        <v>127</v>
      </c>
      <c r="N9" s="25"/>
      <c r="O9" s="26"/>
      <c r="P9" s="26"/>
      <c r="Q9" s="2"/>
      <c r="R9" s="2"/>
    </row>
    <row r="10">
      <c r="A10" s="2"/>
      <c r="B10" s="15">
        <v>7.0</v>
      </c>
      <c r="C10" s="16" t="s">
        <v>254</v>
      </c>
      <c r="D10" s="17" t="s">
        <v>92</v>
      </c>
      <c r="E10" s="18"/>
      <c r="F10" s="27">
        <v>46186.0</v>
      </c>
      <c r="G10" s="20"/>
      <c r="H10" s="21">
        <v>100000.0</v>
      </c>
      <c r="I10" s="22" t="s">
        <v>21</v>
      </c>
      <c r="J10" s="22"/>
      <c r="K10" s="22"/>
      <c r="L10" s="22" t="s">
        <v>33</v>
      </c>
      <c r="M10" s="29"/>
      <c r="N10" s="25"/>
      <c r="O10" s="26"/>
      <c r="P10" s="26"/>
      <c r="Q10" s="2"/>
      <c r="R10" s="2"/>
    </row>
    <row r="11">
      <c r="A11" s="2"/>
      <c r="B11" s="15">
        <v>8.0</v>
      </c>
      <c r="C11" s="16" t="s">
        <v>80</v>
      </c>
      <c r="D11" s="17" t="s">
        <v>42</v>
      </c>
      <c r="E11" s="18"/>
      <c r="F11" s="27">
        <v>46185.0</v>
      </c>
      <c r="G11" s="20"/>
      <c r="H11" s="21">
        <v>250000.0</v>
      </c>
      <c r="I11" s="22" t="s">
        <v>25</v>
      </c>
      <c r="J11" s="22" t="s">
        <v>26</v>
      </c>
      <c r="K11" s="22" t="s">
        <v>30</v>
      </c>
      <c r="L11" s="22" t="s">
        <v>33</v>
      </c>
      <c r="M11" s="22" t="s">
        <v>127</v>
      </c>
      <c r="N11" s="25"/>
      <c r="O11" s="26"/>
      <c r="P11" s="26"/>
      <c r="Q11" s="2"/>
      <c r="R11" s="2"/>
    </row>
    <row r="12">
      <c r="A12" s="2"/>
      <c r="B12" s="15">
        <v>9.0</v>
      </c>
      <c r="C12" s="16" t="s">
        <v>255</v>
      </c>
      <c r="D12" s="17" t="s">
        <v>20</v>
      </c>
      <c r="E12" s="18"/>
      <c r="F12" s="27">
        <v>46185.0</v>
      </c>
      <c r="G12" s="20">
        <v>725000.0</v>
      </c>
      <c r="H12" s="30"/>
      <c r="I12" s="22" t="s">
        <v>25</v>
      </c>
      <c r="J12" s="22" t="s">
        <v>26</v>
      </c>
      <c r="K12" s="22" t="s">
        <v>30</v>
      </c>
      <c r="L12" s="22" t="s">
        <v>33</v>
      </c>
      <c r="M12" s="22" t="s">
        <v>127</v>
      </c>
      <c r="N12" s="25"/>
      <c r="O12" s="26"/>
      <c r="P12" s="26"/>
      <c r="Q12" s="2"/>
      <c r="R12" s="2"/>
    </row>
    <row r="13">
      <c r="A13" s="2"/>
      <c r="B13" s="15">
        <v>10.0</v>
      </c>
      <c r="C13" s="16" t="s">
        <v>256</v>
      </c>
      <c r="D13" s="17" t="s">
        <v>20</v>
      </c>
      <c r="E13" s="18"/>
      <c r="F13" s="27">
        <v>46189.0</v>
      </c>
      <c r="G13" s="20"/>
      <c r="H13" s="21">
        <v>100000.0</v>
      </c>
      <c r="I13" s="22" t="s">
        <v>21</v>
      </c>
      <c r="J13" s="22"/>
      <c r="K13" s="22"/>
      <c r="L13" s="22" t="s">
        <v>33</v>
      </c>
      <c r="M13" s="29"/>
      <c r="N13" s="25"/>
      <c r="O13" s="26"/>
      <c r="P13" s="26"/>
      <c r="Q13" s="2"/>
      <c r="R13" s="2"/>
    </row>
    <row r="14">
      <c r="A14" s="2"/>
      <c r="B14" s="31"/>
      <c r="C14" s="16" t="s">
        <v>247</v>
      </c>
      <c r="D14" s="17" t="s">
        <v>20</v>
      </c>
      <c r="E14" s="18"/>
      <c r="F14" s="27">
        <v>46185.0</v>
      </c>
      <c r="G14" s="20"/>
      <c r="H14" s="21">
        <v>125000.0</v>
      </c>
      <c r="I14" s="22" t="s">
        <v>25</v>
      </c>
      <c r="J14" s="22" t="s">
        <v>26</v>
      </c>
      <c r="K14" s="22" t="s">
        <v>26</v>
      </c>
      <c r="L14" s="22" t="s">
        <v>33</v>
      </c>
      <c r="M14" s="22" t="s">
        <v>127</v>
      </c>
      <c r="N14" s="25"/>
      <c r="O14" s="26"/>
      <c r="P14" s="26"/>
      <c r="Q14" s="2"/>
      <c r="R14" s="2"/>
    </row>
    <row r="15">
      <c r="A15" s="2"/>
      <c r="B15" s="31"/>
      <c r="C15" s="16" t="s">
        <v>257</v>
      </c>
      <c r="D15" s="17" t="s">
        <v>20</v>
      </c>
      <c r="E15" s="18"/>
      <c r="F15" s="27">
        <v>46185.0</v>
      </c>
      <c r="G15" s="20">
        <v>175000.0</v>
      </c>
      <c r="H15" s="30"/>
      <c r="I15" s="22" t="s">
        <v>25</v>
      </c>
      <c r="J15" s="22" t="s">
        <v>26</v>
      </c>
      <c r="K15" s="22" t="s">
        <v>26</v>
      </c>
      <c r="L15" s="22" t="s">
        <v>33</v>
      </c>
      <c r="M15" s="22" t="s">
        <v>34</v>
      </c>
      <c r="N15" s="25"/>
      <c r="O15" s="26"/>
      <c r="P15" s="26"/>
      <c r="Q15" s="2"/>
      <c r="R15" s="2"/>
    </row>
    <row r="16">
      <c r="A16" s="2"/>
      <c r="B16" s="31"/>
      <c r="C16" s="16" t="s">
        <v>258</v>
      </c>
      <c r="D16" s="17" t="s">
        <v>223</v>
      </c>
      <c r="E16" s="18"/>
      <c r="F16" s="27">
        <v>46185.0</v>
      </c>
      <c r="G16" s="20"/>
      <c r="H16" s="21">
        <v>50000.0</v>
      </c>
      <c r="I16" s="22" t="s">
        <v>25</v>
      </c>
      <c r="J16" s="22" t="s">
        <v>184</v>
      </c>
      <c r="K16" s="22" t="s">
        <v>26</v>
      </c>
      <c r="L16" s="22" t="s">
        <v>33</v>
      </c>
      <c r="M16" s="29"/>
      <c r="N16" s="25"/>
      <c r="O16" s="26"/>
      <c r="P16" s="26"/>
      <c r="Q16" s="2"/>
      <c r="R16" s="2"/>
    </row>
    <row r="17">
      <c r="A17" s="2"/>
      <c r="B17" s="31"/>
      <c r="C17" s="16" t="s">
        <v>259</v>
      </c>
      <c r="D17" s="17" t="s">
        <v>40</v>
      </c>
      <c r="E17" s="18"/>
      <c r="F17" s="27">
        <v>46185.0</v>
      </c>
      <c r="G17" s="20"/>
      <c r="H17" s="21">
        <v>250000.0</v>
      </c>
      <c r="I17" s="22" t="s">
        <v>25</v>
      </c>
      <c r="J17" s="22" t="s">
        <v>26</v>
      </c>
      <c r="K17" s="22" t="s">
        <v>30</v>
      </c>
      <c r="L17" s="22" t="s">
        <v>33</v>
      </c>
      <c r="M17" s="22" t="s">
        <v>34</v>
      </c>
      <c r="N17" s="25"/>
      <c r="O17" s="26"/>
      <c r="P17" s="26"/>
      <c r="Q17" s="2"/>
      <c r="R17" s="2"/>
    </row>
    <row r="18">
      <c r="A18" s="2"/>
      <c r="B18" s="31"/>
      <c r="C18" s="16" t="s">
        <v>224</v>
      </c>
      <c r="D18" s="17" t="s">
        <v>40</v>
      </c>
      <c r="E18" s="18"/>
      <c r="F18" s="27">
        <v>46185.0</v>
      </c>
      <c r="G18" s="20"/>
      <c r="H18" s="21">
        <v>250000.0</v>
      </c>
      <c r="I18" s="22" t="s">
        <v>25</v>
      </c>
      <c r="J18" s="22" t="s">
        <v>26</v>
      </c>
      <c r="K18" s="22" t="s">
        <v>30</v>
      </c>
      <c r="L18" s="22" t="s">
        <v>33</v>
      </c>
      <c r="M18" s="22" t="s">
        <v>34</v>
      </c>
      <c r="N18" s="25"/>
      <c r="O18" s="26"/>
      <c r="P18" s="26"/>
      <c r="Q18" s="2"/>
      <c r="R18" s="2"/>
    </row>
    <row r="19">
      <c r="A19" s="2"/>
      <c r="B19" s="31"/>
      <c r="C19" s="16" t="s">
        <v>177</v>
      </c>
      <c r="D19" s="17" t="s">
        <v>92</v>
      </c>
      <c r="E19" s="18"/>
      <c r="F19" s="27">
        <v>46185.0</v>
      </c>
      <c r="G19" s="20">
        <v>0.0</v>
      </c>
      <c r="H19" s="21">
        <v>0.0</v>
      </c>
      <c r="I19" s="22" t="s">
        <v>25</v>
      </c>
      <c r="J19" s="22" t="s">
        <v>26</v>
      </c>
      <c r="K19" s="22" t="s">
        <v>26</v>
      </c>
      <c r="L19" s="22" t="s">
        <v>33</v>
      </c>
      <c r="M19" s="22" t="s">
        <v>34</v>
      </c>
      <c r="N19" s="25"/>
      <c r="O19" s="26"/>
      <c r="P19" s="26"/>
      <c r="Q19" s="2"/>
      <c r="R19" s="2"/>
    </row>
    <row r="20">
      <c r="A20" s="2"/>
      <c r="B20" s="31"/>
      <c r="C20" s="16"/>
      <c r="D20" s="17"/>
      <c r="E20" s="18"/>
      <c r="F20" s="31"/>
      <c r="G20" s="20"/>
      <c r="H20" s="30"/>
      <c r="I20" s="22"/>
      <c r="J20" s="22"/>
      <c r="K20" s="22"/>
      <c r="L20" s="29"/>
      <c r="M20" s="29"/>
      <c r="N20" s="25"/>
      <c r="O20" s="26"/>
      <c r="P20" s="26"/>
      <c r="Q20" s="2"/>
      <c r="R20" s="2"/>
    </row>
    <row r="21">
      <c r="A21" s="2"/>
      <c r="B21" s="31"/>
      <c r="C21" s="16"/>
      <c r="D21" s="17"/>
      <c r="E21" s="18"/>
      <c r="F21" s="31"/>
      <c r="G21" s="20"/>
      <c r="H21" s="30"/>
      <c r="I21" s="22"/>
      <c r="J21" s="22"/>
      <c r="K21" s="22"/>
      <c r="L21" s="29"/>
      <c r="M21" s="29"/>
      <c r="N21" s="25"/>
      <c r="O21" s="26"/>
      <c r="P21" s="26"/>
      <c r="Q21" s="2"/>
      <c r="R21" s="2"/>
    </row>
    <row r="22">
      <c r="A22" s="2"/>
      <c r="B22" s="31"/>
      <c r="C22" s="16"/>
      <c r="D22" s="17"/>
      <c r="E22" s="18"/>
      <c r="F22" s="31"/>
      <c r="G22" s="20"/>
      <c r="H22" s="30"/>
      <c r="I22" s="22"/>
      <c r="J22" s="22"/>
      <c r="K22" s="22"/>
      <c r="L22" s="29"/>
      <c r="M22" s="29"/>
      <c r="N22" s="25"/>
      <c r="O22" s="26"/>
      <c r="P22" s="26"/>
      <c r="Q22" s="2"/>
      <c r="R22" s="2"/>
    </row>
    <row r="23">
      <c r="A23" s="2"/>
      <c r="B23" s="31"/>
      <c r="C23" s="16"/>
      <c r="D23" s="17"/>
      <c r="E23" s="18"/>
      <c r="F23" s="31"/>
      <c r="G23" s="20"/>
      <c r="H23" s="30"/>
      <c r="I23" s="22"/>
      <c r="J23" s="22"/>
      <c r="K23" s="22"/>
      <c r="L23" s="29"/>
      <c r="M23" s="29"/>
      <c r="N23" s="25"/>
      <c r="O23" s="26"/>
      <c r="P23" s="26"/>
      <c r="Q23" s="2"/>
      <c r="R23" s="2"/>
    </row>
    <row r="24">
      <c r="A24" s="2"/>
      <c r="B24" s="31"/>
      <c r="C24" s="32"/>
      <c r="D24" s="17"/>
      <c r="E24" s="18"/>
      <c r="F24" s="31"/>
      <c r="G24" s="28"/>
      <c r="H24" s="30"/>
      <c r="I24" s="29"/>
      <c r="J24" s="29"/>
      <c r="K24" s="29"/>
      <c r="L24" s="29"/>
      <c r="M24" s="29"/>
      <c r="N24" s="33"/>
      <c r="O24" s="33"/>
      <c r="P24" s="33"/>
      <c r="Q24" s="2"/>
      <c r="R24" s="2"/>
    </row>
    <row r="25" ht="18.75" customHeight="1">
      <c r="A25" s="2"/>
      <c r="B25" s="2"/>
      <c r="C25" s="3"/>
      <c r="D25" s="3"/>
      <c r="E25" s="2"/>
      <c r="F25" s="2"/>
      <c r="G25" s="34">
        <f t="shared" ref="G25:H25" si="1">SUM(G4:G24)</f>
        <v>900000</v>
      </c>
      <c r="H25" s="35">
        <f t="shared" si="1"/>
        <v>2500000</v>
      </c>
      <c r="I25" s="2"/>
      <c r="J25" s="2"/>
      <c r="K25" s="2"/>
      <c r="L25" s="2"/>
      <c r="M25" s="2"/>
      <c r="N25" s="2"/>
      <c r="O25" s="2"/>
      <c r="P25" s="2"/>
      <c r="Q25" s="2"/>
      <c r="R25" s="2"/>
    </row>
    <row r="26" ht="23.25" customHeight="1">
      <c r="A26" s="2"/>
      <c r="B26" s="2"/>
      <c r="C26" s="3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2"/>
      <c r="B27" s="2"/>
      <c r="C27" s="3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>
      <c r="A28" s="2"/>
      <c r="B28" s="36" t="s">
        <v>1</v>
      </c>
      <c r="C28" s="37" t="s">
        <v>7</v>
      </c>
      <c r="D28" s="37" t="s">
        <v>45</v>
      </c>
      <c r="E28" s="1"/>
      <c r="F28" s="2"/>
      <c r="G28" s="2"/>
      <c r="H28" s="2"/>
      <c r="I28" s="2"/>
      <c r="J28" s="2"/>
      <c r="K28" s="2"/>
      <c r="L28" s="2"/>
      <c r="M28" s="2"/>
      <c r="N28" s="37" t="s">
        <v>46</v>
      </c>
      <c r="O28" s="37" t="s">
        <v>2</v>
      </c>
      <c r="P28" s="2"/>
      <c r="Q28" s="2"/>
      <c r="R28" s="2"/>
    </row>
    <row r="29">
      <c r="A29" s="2"/>
      <c r="B29" s="38">
        <v>1.0</v>
      </c>
      <c r="C29" s="39" t="s">
        <v>47</v>
      </c>
      <c r="D29" s="40">
        <f>SUM(G25)</f>
        <v>900000</v>
      </c>
      <c r="E29" s="41"/>
      <c r="F29" s="2"/>
      <c r="G29" s="2"/>
      <c r="H29" s="2"/>
      <c r="I29" s="2"/>
      <c r="J29" s="2"/>
      <c r="K29" s="2"/>
      <c r="L29" s="2"/>
      <c r="M29" s="2"/>
      <c r="N29" s="42" t="s">
        <v>48</v>
      </c>
      <c r="O29" s="23" t="s">
        <v>33</v>
      </c>
      <c r="P29" s="2"/>
      <c r="Q29" s="2"/>
      <c r="R29" s="2"/>
    </row>
    <row r="30">
      <c r="A30" s="2"/>
      <c r="B30" s="43">
        <v>2.0</v>
      </c>
      <c r="C30" s="44" t="s">
        <v>76</v>
      </c>
      <c r="D30" s="45">
        <v>-50000.0</v>
      </c>
      <c r="E30" s="46"/>
      <c r="F30" s="2"/>
      <c r="G30" s="2"/>
      <c r="H30" s="2"/>
      <c r="I30" s="2"/>
      <c r="J30" s="2"/>
      <c r="K30" s="2"/>
      <c r="L30" s="2"/>
      <c r="M30" s="2"/>
      <c r="N30" s="47" t="s">
        <v>50</v>
      </c>
      <c r="O30" s="48" t="s">
        <v>33</v>
      </c>
      <c r="P30" s="2"/>
      <c r="Q30" s="2"/>
      <c r="R30" s="2"/>
    </row>
    <row r="31">
      <c r="A31" s="2"/>
      <c r="B31" s="38">
        <v>3.0</v>
      </c>
      <c r="C31" s="39" t="s">
        <v>49</v>
      </c>
      <c r="D31" s="49">
        <v>-100000.0</v>
      </c>
      <c r="E31" s="46"/>
      <c r="F31" s="2"/>
      <c r="G31" s="2"/>
      <c r="H31" s="2"/>
      <c r="I31" s="2"/>
      <c r="J31" s="2"/>
      <c r="K31" s="2"/>
      <c r="L31" s="2"/>
      <c r="M31" s="2"/>
      <c r="N31" s="50" t="s">
        <v>52</v>
      </c>
      <c r="O31" s="25" t="s">
        <v>127</v>
      </c>
      <c r="P31" s="2"/>
      <c r="Q31" s="2"/>
      <c r="R31" s="2"/>
    </row>
    <row r="32">
      <c r="A32" s="2"/>
      <c r="B32" s="43">
        <v>4.0</v>
      </c>
      <c r="C32" s="44" t="s">
        <v>51</v>
      </c>
      <c r="D32" s="45">
        <v>-30000.0</v>
      </c>
      <c r="E32" s="46"/>
      <c r="F32" s="2"/>
      <c r="G32" s="2"/>
      <c r="H32" s="2"/>
      <c r="I32" s="2"/>
      <c r="J32" s="2"/>
      <c r="K32" s="2"/>
      <c r="L32" s="2"/>
      <c r="M32" s="2"/>
      <c r="N32" s="51" t="s">
        <v>54</v>
      </c>
      <c r="O32" s="48" t="s">
        <v>34</v>
      </c>
      <c r="P32" s="2"/>
      <c r="Q32" s="2"/>
      <c r="R32" s="2"/>
    </row>
    <row r="33">
      <c r="A33" s="2"/>
      <c r="B33" s="38"/>
      <c r="C33" s="52"/>
      <c r="D33" s="40"/>
      <c r="E33" s="41"/>
      <c r="F33" s="2"/>
      <c r="G33" s="2"/>
      <c r="H33" s="2"/>
      <c r="I33" s="2"/>
      <c r="J33" s="2"/>
      <c r="K33" s="2"/>
      <c r="L33" s="2"/>
      <c r="M33" s="2"/>
      <c r="N33" s="53"/>
      <c r="O33" s="2"/>
      <c r="P33" s="2"/>
      <c r="Q33" s="2"/>
      <c r="R33" s="2"/>
    </row>
    <row r="34">
      <c r="A34" s="2"/>
      <c r="B34" s="43"/>
      <c r="C34" s="54"/>
      <c r="D34" s="55"/>
      <c r="E34" s="4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2"/>
      <c r="B35" s="38"/>
      <c r="C35" s="52"/>
      <c r="D35" s="40"/>
      <c r="E35" s="4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2"/>
      <c r="B36" s="43"/>
      <c r="C36" s="54"/>
      <c r="D36" s="55"/>
      <c r="E36" s="4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/>
      <c r="B37" s="38"/>
      <c r="C37" s="52"/>
      <c r="D37" s="40"/>
      <c r="E37" s="4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43"/>
      <c r="C38" s="54"/>
      <c r="D38" s="55"/>
      <c r="E38" s="4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56"/>
      <c r="C39" s="57"/>
      <c r="D39" s="58"/>
      <c r="E39" s="4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2"/>
      <c r="C40" s="3"/>
      <c r="D40" s="59">
        <f>SUM(D29:D39)</f>
        <v>720000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2"/>
      <c r="C41" s="3"/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2"/>
      <c r="B42" s="2"/>
      <c r="C42" s="3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2"/>
      <c r="B43" s="2"/>
      <c r="C43" s="3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>
      <c r="A44" s="2"/>
      <c r="B44" s="2"/>
      <c r="C44" s="3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M4:M24 O31:O32">
      <formula1>"-,VERO,FADEL,HANIF ,ADIF "</formula1>
    </dataValidation>
    <dataValidation type="list" allowBlank="1" showDropDown="1" showErrorMessage="1" sqref="L4:L24 O29:O30">
      <formula1>"-,JIJANG,AXEL,ADDEL ,FAHME"</formula1>
    </dataValidation>
    <dataValidation type="list" allowBlank="1" showErrorMessage="1" sqref="N4:N24">
      <formula1>"-,Pending,Progress,Uploaded"</formula1>
    </dataValidation>
    <dataValidation type="list" allowBlank="1" showDropDown="1" showErrorMessage="1" sqref="D4:D24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24">
      <formula1>"-,In Pikako,In Foxe"</formula1>
    </dataValidation>
    <dataValidation type="list" allowBlank="1" showDropDown="1" showErrorMessage="1" sqref="I4:I24">
      <formula1>"-,DP,Lunas"</formula1>
    </dataValidation>
    <dataValidation type="list" allowBlank="1" showDropDown="1" showErrorMessage="1" sqref="J4:K24">
      <formula1>"-,Pending,Uploaded"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24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2"/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 t="s">
        <v>260</v>
      </c>
      <c r="D4" s="17" t="s">
        <v>20</v>
      </c>
      <c r="E4" s="18"/>
      <c r="F4" s="19">
        <v>46186.0</v>
      </c>
      <c r="G4" s="20"/>
      <c r="H4" s="21">
        <v>100000.0</v>
      </c>
      <c r="I4" s="22" t="s">
        <v>21</v>
      </c>
      <c r="J4" s="22"/>
      <c r="K4" s="22"/>
      <c r="L4" s="22" t="s">
        <v>33</v>
      </c>
      <c r="M4" s="22"/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 t="s">
        <v>261</v>
      </c>
      <c r="D5" s="17" t="s">
        <v>92</v>
      </c>
      <c r="E5" s="18"/>
      <c r="F5" s="27">
        <v>46186.0</v>
      </c>
      <c r="G5" s="20">
        <v>50000.0</v>
      </c>
      <c r="H5" s="21"/>
      <c r="I5" s="22" t="s">
        <v>25</v>
      </c>
      <c r="J5" s="22" t="s">
        <v>26</v>
      </c>
      <c r="K5" s="22" t="s">
        <v>30</v>
      </c>
      <c r="L5" s="22" t="s">
        <v>33</v>
      </c>
      <c r="M5" s="22" t="s">
        <v>127</v>
      </c>
      <c r="N5" s="25"/>
      <c r="O5" s="25"/>
      <c r="P5" s="26"/>
      <c r="Q5" s="2"/>
      <c r="R5" s="2"/>
    </row>
    <row r="6">
      <c r="A6" s="2"/>
      <c r="B6" s="15">
        <v>3.0</v>
      </c>
      <c r="C6" s="16" t="s">
        <v>262</v>
      </c>
      <c r="D6" s="17" t="s">
        <v>20</v>
      </c>
      <c r="E6" s="18"/>
      <c r="F6" s="27">
        <v>46186.0</v>
      </c>
      <c r="G6" s="28"/>
      <c r="H6" s="21">
        <v>100000.0</v>
      </c>
      <c r="I6" s="22" t="s">
        <v>21</v>
      </c>
      <c r="J6" s="22"/>
      <c r="K6" s="22"/>
      <c r="L6" s="22" t="s">
        <v>33</v>
      </c>
      <c r="M6" s="29"/>
      <c r="N6" s="25"/>
      <c r="O6" s="25"/>
      <c r="P6" s="26"/>
      <c r="Q6" s="2"/>
      <c r="R6" s="2"/>
    </row>
    <row r="7">
      <c r="A7" s="2"/>
      <c r="B7" s="15">
        <v>4.0</v>
      </c>
      <c r="C7" s="16" t="s">
        <v>37</v>
      </c>
      <c r="D7" s="17" t="s">
        <v>38</v>
      </c>
      <c r="E7" s="18"/>
      <c r="F7" s="27">
        <v>46186.0</v>
      </c>
      <c r="G7" s="20"/>
      <c r="H7" s="21">
        <v>100000.0</v>
      </c>
      <c r="I7" s="22" t="s">
        <v>21</v>
      </c>
      <c r="J7" s="22"/>
      <c r="K7" s="22"/>
      <c r="L7" s="22" t="s">
        <v>33</v>
      </c>
      <c r="M7" s="29"/>
      <c r="N7" s="25"/>
      <c r="O7" s="25"/>
      <c r="P7" s="26"/>
      <c r="Q7" s="2"/>
      <c r="R7" s="2"/>
    </row>
    <row r="8">
      <c r="A8" s="2"/>
      <c r="B8" s="15">
        <v>5.0</v>
      </c>
      <c r="C8" s="16" t="s">
        <v>59</v>
      </c>
      <c r="D8" s="17" t="s">
        <v>263</v>
      </c>
      <c r="E8" s="18"/>
      <c r="F8" s="27">
        <v>46186.0</v>
      </c>
      <c r="G8" s="20"/>
      <c r="H8" s="21">
        <v>20000.0</v>
      </c>
      <c r="I8" s="22" t="s">
        <v>25</v>
      </c>
      <c r="J8" s="22"/>
      <c r="K8" s="22"/>
      <c r="L8" s="22" t="s">
        <v>33</v>
      </c>
      <c r="M8" s="29"/>
      <c r="N8" s="25"/>
      <c r="O8" s="26"/>
      <c r="P8" s="26"/>
      <c r="Q8" s="2"/>
      <c r="R8" s="2"/>
    </row>
    <row r="9">
      <c r="A9" s="2"/>
      <c r="B9" s="15">
        <v>6.0</v>
      </c>
      <c r="C9" s="16" t="s">
        <v>264</v>
      </c>
      <c r="D9" s="17" t="s">
        <v>40</v>
      </c>
      <c r="E9" s="18"/>
      <c r="F9" s="27">
        <v>46191.0</v>
      </c>
      <c r="G9" s="20"/>
      <c r="H9" s="21">
        <v>250000.0</v>
      </c>
      <c r="I9" s="22" t="s">
        <v>25</v>
      </c>
      <c r="J9" s="22"/>
      <c r="K9" s="22"/>
      <c r="L9" s="22" t="s">
        <v>33</v>
      </c>
      <c r="M9" s="29"/>
      <c r="N9" s="25"/>
      <c r="O9" s="26"/>
      <c r="P9" s="26"/>
      <c r="Q9" s="2"/>
      <c r="R9" s="2"/>
    </row>
    <row r="10">
      <c r="A10" s="2"/>
      <c r="B10" s="15">
        <v>7.0</v>
      </c>
      <c r="C10" s="16" t="s">
        <v>265</v>
      </c>
      <c r="D10" s="17" t="s">
        <v>40</v>
      </c>
      <c r="E10" s="18"/>
      <c r="F10" s="27">
        <v>46190.0</v>
      </c>
      <c r="G10" s="20"/>
      <c r="H10" s="21">
        <v>100000.0</v>
      </c>
      <c r="I10" s="22" t="s">
        <v>21</v>
      </c>
      <c r="J10" s="22"/>
      <c r="K10" s="22"/>
      <c r="L10" s="22" t="s">
        <v>33</v>
      </c>
      <c r="M10" s="29"/>
      <c r="N10" s="25"/>
      <c r="O10" s="26"/>
      <c r="P10" s="26"/>
      <c r="Q10" s="2"/>
      <c r="R10" s="2"/>
    </row>
    <row r="11">
      <c r="A11" s="2"/>
      <c r="B11" s="15">
        <v>8.0</v>
      </c>
      <c r="C11" s="16" t="s">
        <v>266</v>
      </c>
      <c r="D11" s="17" t="s">
        <v>20</v>
      </c>
      <c r="E11" s="18"/>
      <c r="F11" s="27">
        <v>46186.0</v>
      </c>
      <c r="G11" s="20"/>
      <c r="H11" s="21">
        <v>650000.0</v>
      </c>
      <c r="I11" s="22" t="s">
        <v>25</v>
      </c>
      <c r="J11" s="22" t="s">
        <v>26</v>
      </c>
      <c r="K11" s="22" t="s">
        <v>30</v>
      </c>
      <c r="L11" s="22" t="s">
        <v>33</v>
      </c>
      <c r="M11" s="22" t="s">
        <v>127</v>
      </c>
      <c r="N11" s="25"/>
      <c r="O11" s="26"/>
      <c r="P11" s="26"/>
      <c r="Q11" s="2"/>
      <c r="R11" s="2"/>
    </row>
    <row r="12">
      <c r="A12" s="2"/>
      <c r="B12" s="15">
        <v>9.0</v>
      </c>
      <c r="C12" s="76" t="s">
        <v>267</v>
      </c>
      <c r="D12" s="17" t="s">
        <v>40</v>
      </c>
      <c r="E12" s="18"/>
      <c r="F12" s="27">
        <v>46186.0</v>
      </c>
      <c r="G12" s="20">
        <v>100000.0</v>
      </c>
      <c r="H12" s="30"/>
      <c r="I12" s="22" t="s">
        <v>21</v>
      </c>
      <c r="J12" s="22"/>
      <c r="K12" s="22"/>
      <c r="L12" s="22" t="s">
        <v>33</v>
      </c>
      <c r="M12" s="29"/>
      <c r="N12" s="25"/>
      <c r="O12" s="26"/>
      <c r="P12" s="26"/>
      <c r="Q12" s="2"/>
      <c r="R12" s="2"/>
    </row>
    <row r="13">
      <c r="A13" s="2"/>
      <c r="B13" s="15">
        <v>10.0</v>
      </c>
      <c r="C13" s="76" t="s">
        <v>268</v>
      </c>
      <c r="D13" s="17" t="s">
        <v>40</v>
      </c>
      <c r="E13" s="18"/>
      <c r="F13" s="27">
        <v>46186.0</v>
      </c>
      <c r="G13" s="20">
        <v>100000.0</v>
      </c>
      <c r="H13" s="30"/>
      <c r="I13" s="22" t="s">
        <v>21</v>
      </c>
      <c r="J13" s="22"/>
      <c r="K13" s="22"/>
      <c r="L13" s="22" t="s">
        <v>33</v>
      </c>
      <c r="M13" s="29"/>
      <c r="N13" s="25"/>
      <c r="O13" s="26"/>
      <c r="P13" s="26"/>
      <c r="Q13" s="2"/>
      <c r="R13" s="2"/>
    </row>
    <row r="14">
      <c r="A14" s="2"/>
      <c r="B14" s="31"/>
      <c r="C14" s="16" t="s">
        <v>269</v>
      </c>
      <c r="D14" s="17" t="s">
        <v>20</v>
      </c>
      <c r="E14" s="18"/>
      <c r="F14" s="27">
        <v>46186.0</v>
      </c>
      <c r="G14" s="20"/>
      <c r="H14" s="21">
        <v>625000.0</v>
      </c>
      <c r="I14" s="22" t="s">
        <v>25</v>
      </c>
      <c r="J14" s="22" t="s">
        <v>26</v>
      </c>
      <c r="K14" s="22" t="s">
        <v>30</v>
      </c>
      <c r="L14" s="22" t="s">
        <v>33</v>
      </c>
      <c r="M14" s="22" t="s">
        <v>127</v>
      </c>
      <c r="N14" s="25"/>
      <c r="O14" s="26"/>
      <c r="P14" s="26"/>
      <c r="Q14" s="2"/>
      <c r="R14" s="2"/>
    </row>
    <row r="15">
      <c r="A15" s="2"/>
      <c r="B15" s="31"/>
      <c r="C15" s="16" t="s">
        <v>37</v>
      </c>
      <c r="D15" s="17" t="s">
        <v>38</v>
      </c>
      <c r="E15" s="18"/>
      <c r="F15" s="27">
        <v>46186.0</v>
      </c>
      <c r="G15" s="20"/>
      <c r="H15" s="21">
        <v>100000.0</v>
      </c>
      <c r="I15" s="22" t="s">
        <v>25</v>
      </c>
      <c r="J15" s="22" t="s">
        <v>26</v>
      </c>
      <c r="K15" s="22" t="s">
        <v>26</v>
      </c>
      <c r="L15" s="22" t="s">
        <v>22</v>
      </c>
      <c r="M15" s="22" t="s">
        <v>127</v>
      </c>
      <c r="N15" s="25"/>
      <c r="O15" s="26"/>
      <c r="P15" s="26"/>
      <c r="Q15" s="2"/>
      <c r="R15" s="2"/>
    </row>
    <row r="16">
      <c r="A16" s="2"/>
      <c r="B16" s="31"/>
      <c r="C16" s="16" t="s">
        <v>267</v>
      </c>
      <c r="D16" s="17" t="s">
        <v>40</v>
      </c>
      <c r="E16" s="18"/>
      <c r="F16" s="27">
        <v>46186.0</v>
      </c>
      <c r="G16" s="20"/>
      <c r="H16" s="21">
        <v>250000.0</v>
      </c>
      <c r="I16" s="22" t="s">
        <v>25</v>
      </c>
      <c r="J16" s="22" t="s">
        <v>26</v>
      </c>
      <c r="K16" s="22" t="s">
        <v>30</v>
      </c>
      <c r="L16" s="22" t="s">
        <v>22</v>
      </c>
      <c r="M16" s="22" t="s">
        <v>127</v>
      </c>
      <c r="N16" s="25"/>
      <c r="O16" s="26"/>
      <c r="P16" s="26"/>
      <c r="Q16" s="2"/>
      <c r="R16" s="2"/>
    </row>
    <row r="17">
      <c r="A17" s="2"/>
      <c r="B17" s="31"/>
      <c r="C17" s="16" t="s">
        <v>268</v>
      </c>
      <c r="D17" s="17" t="s">
        <v>40</v>
      </c>
      <c r="E17" s="18"/>
      <c r="F17" s="27">
        <v>46186.0</v>
      </c>
      <c r="G17" s="20"/>
      <c r="H17" s="21">
        <v>250000.0</v>
      </c>
      <c r="I17" s="22" t="s">
        <v>25</v>
      </c>
      <c r="J17" s="22" t="s">
        <v>26</v>
      </c>
      <c r="K17" s="22" t="s">
        <v>30</v>
      </c>
      <c r="L17" s="22" t="s">
        <v>22</v>
      </c>
      <c r="M17" s="22" t="s">
        <v>127</v>
      </c>
      <c r="N17" s="25"/>
      <c r="O17" s="26"/>
      <c r="P17" s="26"/>
      <c r="Q17" s="2"/>
      <c r="R17" s="2"/>
    </row>
    <row r="18">
      <c r="A18" s="2"/>
      <c r="B18" s="31"/>
      <c r="C18" s="16" t="s">
        <v>270</v>
      </c>
      <c r="D18" s="17" t="s">
        <v>24</v>
      </c>
      <c r="E18" s="18"/>
      <c r="F18" s="27">
        <v>46189.0</v>
      </c>
      <c r="G18" s="20"/>
      <c r="H18" s="21">
        <v>50000.0</v>
      </c>
      <c r="I18" s="22" t="s">
        <v>25</v>
      </c>
      <c r="J18" s="22"/>
      <c r="K18" s="22"/>
      <c r="L18" s="22" t="s">
        <v>22</v>
      </c>
      <c r="M18" s="29"/>
      <c r="N18" s="25"/>
      <c r="O18" s="26"/>
      <c r="P18" s="26"/>
      <c r="Q18" s="2"/>
      <c r="R18" s="2"/>
    </row>
    <row r="19">
      <c r="A19" s="2"/>
      <c r="B19" s="31"/>
      <c r="C19" s="16" t="s">
        <v>271</v>
      </c>
      <c r="D19" s="17" t="s">
        <v>42</v>
      </c>
      <c r="E19" s="18"/>
      <c r="F19" s="27">
        <v>46187.0</v>
      </c>
      <c r="G19" s="20"/>
      <c r="H19" s="21">
        <v>100000.0</v>
      </c>
      <c r="I19" s="22" t="s">
        <v>21</v>
      </c>
      <c r="J19" s="22"/>
      <c r="K19" s="22"/>
      <c r="L19" s="22" t="s">
        <v>22</v>
      </c>
      <c r="M19" s="29"/>
      <c r="N19" s="25"/>
      <c r="O19" s="26"/>
      <c r="P19" s="26"/>
      <c r="Q19" s="2"/>
      <c r="R19" s="2"/>
    </row>
    <row r="20">
      <c r="A20" s="2"/>
      <c r="B20" s="31"/>
      <c r="C20" s="16" t="s">
        <v>272</v>
      </c>
      <c r="D20" s="17" t="s">
        <v>20</v>
      </c>
      <c r="E20" s="18"/>
      <c r="F20" s="27">
        <v>46188.0</v>
      </c>
      <c r="G20" s="20"/>
      <c r="H20" s="21">
        <v>100000.0</v>
      </c>
      <c r="I20" s="22" t="s">
        <v>21</v>
      </c>
      <c r="J20" s="22"/>
      <c r="K20" s="22"/>
      <c r="L20" s="22" t="s">
        <v>22</v>
      </c>
      <c r="M20" s="29"/>
      <c r="N20" s="25"/>
      <c r="O20" s="26"/>
      <c r="P20" s="26"/>
      <c r="Q20" s="2"/>
      <c r="R20" s="2"/>
    </row>
    <row r="21">
      <c r="A21" s="2"/>
      <c r="B21" s="31"/>
      <c r="C21" s="16" t="s">
        <v>273</v>
      </c>
      <c r="D21" s="17" t="s">
        <v>92</v>
      </c>
      <c r="E21" s="18"/>
      <c r="F21" s="27">
        <v>46186.0</v>
      </c>
      <c r="G21" s="20"/>
      <c r="H21" s="21">
        <v>150000.0</v>
      </c>
      <c r="I21" s="22" t="s">
        <v>25</v>
      </c>
      <c r="J21" s="22" t="s">
        <v>26</v>
      </c>
      <c r="K21" s="22" t="s">
        <v>30</v>
      </c>
      <c r="L21" s="22" t="s">
        <v>22</v>
      </c>
      <c r="M21" s="22" t="s">
        <v>127</v>
      </c>
      <c r="N21" s="25"/>
      <c r="O21" s="26"/>
      <c r="P21" s="26"/>
      <c r="Q21" s="2"/>
      <c r="R21" s="2"/>
    </row>
    <row r="22">
      <c r="A22" s="2"/>
      <c r="B22" s="31"/>
      <c r="C22" s="16" t="s">
        <v>262</v>
      </c>
      <c r="D22" s="17" t="s">
        <v>38</v>
      </c>
      <c r="E22" s="18"/>
      <c r="F22" s="27">
        <v>46186.0</v>
      </c>
      <c r="G22" s="20"/>
      <c r="H22" s="21">
        <v>100000.0</v>
      </c>
      <c r="I22" s="22" t="s">
        <v>25</v>
      </c>
      <c r="J22" s="22" t="s">
        <v>26</v>
      </c>
      <c r="K22" s="22" t="s">
        <v>26</v>
      </c>
      <c r="L22" s="22" t="s">
        <v>22</v>
      </c>
      <c r="M22" s="22" t="s">
        <v>127</v>
      </c>
      <c r="N22" s="25"/>
      <c r="O22" s="26"/>
      <c r="P22" s="26"/>
      <c r="Q22" s="2"/>
      <c r="R22" s="2"/>
    </row>
    <row r="23">
      <c r="A23" s="2"/>
      <c r="B23" s="31"/>
      <c r="C23" s="16" t="s">
        <v>260</v>
      </c>
      <c r="D23" s="17" t="s">
        <v>20</v>
      </c>
      <c r="E23" s="18"/>
      <c r="F23" s="27">
        <v>46186.0</v>
      </c>
      <c r="G23" s="20"/>
      <c r="H23" s="21">
        <v>125000.0</v>
      </c>
      <c r="I23" s="22" t="s">
        <v>25</v>
      </c>
      <c r="J23" s="22" t="s">
        <v>26</v>
      </c>
      <c r="K23" s="22" t="s">
        <v>26</v>
      </c>
      <c r="L23" s="22" t="s">
        <v>22</v>
      </c>
      <c r="M23" s="22" t="s">
        <v>127</v>
      </c>
      <c r="N23" s="25"/>
      <c r="O23" s="26"/>
      <c r="P23" s="26"/>
      <c r="Q23" s="2"/>
      <c r="R23" s="2"/>
    </row>
    <row r="24">
      <c r="A24" s="2"/>
      <c r="B24" s="31"/>
      <c r="C24" s="16"/>
      <c r="D24" s="17"/>
      <c r="E24" s="18"/>
      <c r="F24" s="31"/>
      <c r="G24" s="20"/>
      <c r="H24" s="30"/>
      <c r="I24" s="22"/>
      <c r="J24" s="22"/>
      <c r="K24" s="22"/>
      <c r="L24" s="29"/>
      <c r="M24" s="29"/>
      <c r="N24" s="25"/>
      <c r="O24" s="26"/>
      <c r="P24" s="26"/>
      <c r="Q24" s="2"/>
      <c r="R24" s="2"/>
    </row>
    <row r="25">
      <c r="A25" s="2"/>
      <c r="B25" s="31"/>
      <c r="C25" s="16"/>
      <c r="D25" s="17"/>
      <c r="E25" s="18"/>
      <c r="F25" s="31"/>
      <c r="G25" s="20"/>
      <c r="H25" s="30"/>
      <c r="I25" s="22"/>
      <c r="J25" s="22"/>
      <c r="K25" s="22"/>
      <c r="L25" s="29"/>
      <c r="M25" s="29"/>
      <c r="N25" s="25"/>
      <c r="O25" s="26"/>
      <c r="P25" s="26"/>
      <c r="Q25" s="2"/>
      <c r="R25" s="2"/>
    </row>
    <row r="26">
      <c r="A26" s="2"/>
      <c r="B26" s="31"/>
      <c r="C26" s="32"/>
      <c r="D26" s="17"/>
      <c r="E26" s="18"/>
      <c r="F26" s="31"/>
      <c r="G26" s="28"/>
      <c r="H26" s="30"/>
      <c r="I26" s="29"/>
      <c r="J26" s="29"/>
      <c r="K26" s="29"/>
      <c r="L26" s="29"/>
      <c r="M26" s="29"/>
      <c r="N26" s="33"/>
      <c r="O26" s="33"/>
      <c r="P26" s="33"/>
      <c r="Q26" s="2"/>
      <c r="R26" s="2"/>
    </row>
    <row r="27" ht="18.75" customHeight="1">
      <c r="A27" s="2"/>
      <c r="B27" s="2"/>
      <c r="C27" s="3"/>
      <c r="D27" s="3"/>
      <c r="E27" s="2"/>
      <c r="F27" s="2"/>
      <c r="G27" s="34">
        <f t="shared" ref="G27:H27" si="1">SUM(G4:G26)</f>
        <v>250000</v>
      </c>
      <c r="H27" s="35">
        <f t="shared" si="1"/>
        <v>3170000</v>
      </c>
      <c r="I27" s="2"/>
      <c r="J27" s="2"/>
      <c r="K27" s="2"/>
      <c r="L27" s="2"/>
      <c r="M27" s="2"/>
      <c r="N27" s="2"/>
      <c r="O27" s="2"/>
      <c r="P27" s="2"/>
      <c r="Q27" s="2"/>
      <c r="R27" s="2"/>
    </row>
    <row r="28" ht="23.25" customHeight="1">
      <c r="A28" s="2"/>
      <c r="B28" s="2"/>
      <c r="C28" s="3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>
      <c r="A29" s="2"/>
      <c r="B29" s="2"/>
      <c r="C29" s="3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>
      <c r="A30" s="2"/>
      <c r="B30" s="36" t="s">
        <v>1</v>
      </c>
      <c r="C30" s="37" t="s">
        <v>7</v>
      </c>
      <c r="D30" s="37" t="s">
        <v>45</v>
      </c>
      <c r="E30" s="1"/>
      <c r="F30" s="2"/>
      <c r="G30" s="2"/>
      <c r="H30" s="2"/>
      <c r="I30" s="2"/>
      <c r="J30" s="2"/>
      <c r="K30" s="2"/>
      <c r="L30" s="2"/>
      <c r="M30" s="2"/>
      <c r="N30" s="37" t="s">
        <v>46</v>
      </c>
      <c r="O30" s="37" t="s">
        <v>2</v>
      </c>
      <c r="P30" s="2"/>
      <c r="Q30" s="2"/>
      <c r="R30" s="2"/>
    </row>
    <row r="31">
      <c r="A31" s="2"/>
      <c r="B31" s="38">
        <v>1.0</v>
      </c>
      <c r="C31" s="39" t="s">
        <v>47</v>
      </c>
      <c r="D31" s="40">
        <f>SUM(G27)</f>
        <v>250000</v>
      </c>
      <c r="E31" s="41"/>
      <c r="F31" s="2"/>
      <c r="G31" s="2"/>
      <c r="H31" s="2"/>
      <c r="I31" s="2"/>
      <c r="J31" s="2"/>
      <c r="K31" s="2"/>
      <c r="L31" s="2"/>
      <c r="M31" s="2"/>
      <c r="N31" s="42" t="s">
        <v>48</v>
      </c>
      <c r="O31" s="23" t="s">
        <v>33</v>
      </c>
      <c r="P31" s="2"/>
      <c r="Q31" s="2"/>
      <c r="R31" s="2"/>
    </row>
    <row r="32">
      <c r="A32" s="2"/>
      <c r="B32" s="43">
        <v>2.0</v>
      </c>
      <c r="C32" s="44"/>
      <c r="D32" s="45"/>
      <c r="E32" s="46"/>
      <c r="F32" s="2"/>
      <c r="G32" s="2"/>
      <c r="H32" s="2"/>
      <c r="I32" s="2"/>
      <c r="J32" s="2"/>
      <c r="K32" s="2"/>
      <c r="L32" s="2"/>
      <c r="M32" s="2"/>
      <c r="N32" s="47" t="s">
        <v>50</v>
      </c>
      <c r="O32" s="48" t="s">
        <v>22</v>
      </c>
      <c r="P32" s="2"/>
      <c r="Q32" s="2"/>
      <c r="R32" s="2"/>
    </row>
    <row r="33">
      <c r="A33" s="2"/>
      <c r="B33" s="38">
        <v>3.0</v>
      </c>
      <c r="C33" s="39"/>
      <c r="D33" s="49"/>
      <c r="E33" s="46"/>
      <c r="F33" s="2"/>
      <c r="G33" s="2"/>
      <c r="H33" s="2"/>
      <c r="I33" s="2"/>
      <c r="J33" s="2"/>
      <c r="K33" s="2"/>
      <c r="L33" s="2"/>
      <c r="M33" s="2"/>
      <c r="N33" s="50" t="s">
        <v>52</v>
      </c>
      <c r="O33" s="25" t="s">
        <v>127</v>
      </c>
      <c r="P33" s="2"/>
      <c r="Q33" s="2"/>
      <c r="R33" s="2"/>
    </row>
    <row r="34">
      <c r="A34" s="2"/>
      <c r="B34" s="43">
        <v>4.0</v>
      </c>
      <c r="C34" s="44"/>
      <c r="D34" s="45"/>
      <c r="E34" s="46"/>
      <c r="F34" s="2"/>
      <c r="G34" s="2"/>
      <c r="H34" s="2"/>
      <c r="I34" s="2"/>
      <c r="J34" s="2"/>
      <c r="K34" s="2"/>
      <c r="L34" s="2"/>
      <c r="M34" s="2"/>
      <c r="N34" s="51" t="s">
        <v>54</v>
      </c>
      <c r="O34" s="48" t="s">
        <v>127</v>
      </c>
      <c r="P34" s="2"/>
      <c r="Q34" s="2"/>
      <c r="R34" s="2"/>
    </row>
    <row r="35">
      <c r="A35" s="2"/>
      <c r="B35" s="38"/>
      <c r="C35" s="52"/>
      <c r="D35" s="40"/>
      <c r="E35" s="41"/>
      <c r="F35" s="2"/>
      <c r="G35" s="2"/>
      <c r="H35" s="2"/>
      <c r="I35" s="2"/>
      <c r="J35" s="2"/>
      <c r="K35" s="2"/>
      <c r="L35" s="2"/>
      <c r="M35" s="2"/>
      <c r="N35" s="53"/>
      <c r="O35" s="2"/>
      <c r="P35" s="2"/>
      <c r="Q35" s="2"/>
      <c r="R35" s="2"/>
    </row>
    <row r="36">
      <c r="A36" s="2"/>
      <c r="B36" s="43"/>
      <c r="C36" s="54"/>
      <c r="D36" s="55"/>
      <c r="E36" s="4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/>
      <c r="B37" s="38"/>
      <c r="C37" s="52"/>
      <c r="D37" s="40"/>
      <c r="E37" s="4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43"/>
      <c r="C38" s="54"/>
      <c r="D38" s="55"/>
      <c r="E38" s="4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38"/>
      <c r="C39" s="52"/>
      <c r="D39" s="40"/>
      <c r="E39" s="4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43"/>
      <c r="C40" s="54"/>
      <c r="D40" s="55"/>
      <c r="E40" s="4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56"/>
      <c r="C41" s="57"/>
      <c r="D41" s="58"/>
      <c r="E41" s="4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2"/>
      <c r="B42" s="2"/>
      <c r="C42" s="3"/>
      <c r="D42" s="59">
        <f>SUM(D31:D41)</f>
        <v>250000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2"/>
      <c r="B43" s="2"/>
      <c r="C43" s="3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>
      <c r="A44" s="2"/>
      <c r="B44" s="2"/>
      <c r="C44" s="3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2"/>
      <c r="B45" s="2"/>
      <c r="C45" s="3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>
      <c r="A46" s="2"/>
      <c r="B46" s="2"/>
      <c r="C46" s="3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M4:M26 O33:O34">
      <formula1>"-,VERO,FADEL,PENTIL,HANIF "</formula1>
    </dataValidation>
    <dataValidation type="list" allowBlank="1" showErrorMessage="1" sqref="N4:N26">
      <formula1>"-,Pending,Progress,Uploaded"</formula1>
    </dataValidation>
    <dataValidation type="list" allowBlank="1" showErrorMessage="1" sqref="O4:O26">
      <formula1>"-,In Pikako,In Foxe"</formula1>
    </dataValidation>
    <dataValidation type="list" allowBlank="1" showDropDown="1" showErrorMessage="1" sqref="D4:D26">
      <formula1>"-,Single,Couple A,Couple B,Group A,Group B,Group C,Large Group,Graduation,Graduation Premium,Family A,Family B,Maternity,Concept,Studio Rent,Pas Foto,Single,Add Person ,Add Edit,Photofox,Packing"</formula1>
    </dataValidation>
    <dataValidation type="list" allowBlank="1" showDropDown="1" showErrorMessage="1" sqref="I4:I26">
      <formula1>"-,DP,Lunas"</formula1>
    </dataValidation>
    <dataValidation type="list" allowBlank="1" showDropDown="1" showErrorMessage="1" sqref="L4:L26 O31:O32">
      <formula1>"-,ADDEL ,AXEL,PENTIL,FAHME,INDAH"</formula1>
    </dataValidation>
    <dataValidation type="list" allowBlank="1" showDropDown="1" showErrorMessage="1" sqref="J4:K26">
      <formula1>"-,Pending,Uploaded"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13.25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2"/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 t="s">
        <v>274</v>
      </c>
      <c r="D4" s="17" t="s">
        <v>20</v>
      </c>
      <c r="E4" s="18"/>
      <c r="F4" s="19">
        <v>46188.0</v>
      </c>
      <c r="G4" s="20"/>
      <c r="H4" s="21">
        <v>100000.0</v>
      </c>
      <c r="I4" s="22" t="s">
        <v>21</v>
      </c>
      <c r="J4" s="22"/>
      <c r="K4" s="22"/>
      <c r="L4" s="22" t="s">
        <v>22</v>
      </c>
      <c r="M4" s="22"/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 t="s">
        <v>275</v>
      </c>
      <c r="D5" s="17" t="s">
        <v>20</v>
      </c>
      <c r="E5" s="18"/>
      <c r="F5" s="19">
        <v>46187.0</v>
      </c>
      <c r="G5" s="20"/>
      <c r="H5" s="21">
        <v>100000.0</v>
      </c>
      <c r="I5" s="22" t="s">
        <v>21</v>
      </c>
      <c r="J5" s="22"/>
      <c r="K5" s="22"/>
      <c r="L5" s="22" t="s">
        <v>22</v>
      </c>
      <c r="M5" s="22"/>
      <c r="N5" s="25"/>
      <c r="O5" s="25"/>
      <c r="P5" s="26"/>
      <c r="Q5" s="2"/>
      <c r="R5" s="2"/>
    </row>
    <row r="6">
      <c r="A6" s="2"/>
      <c r="B6" s="15">
        <v>3.0</v>
      </c>
      <c r="C6" s="16" t="s">
        <v>276</v>
      </c>
      <c r="D6" s="17" t="s">
        <v>20</v>
      </c>
      <c r="E6" s="18"/>
      <c r="F6" s="27">
        <v>46189.0</v>
      </c>
      <c r="G6" s="28"/>
      <c r="H6" s="21">
        <v>100000.0</v>
      </c>
      <c r="I6" s="22" t="s">
        <v>21</v>
      </c>
      <c r="J6" s="22"/>
      <c r="K6" s="22"/>
      <c r="L6" s="22" t="s">
        <v>22</v>
      </c>
      <c r="M6" s="29"/>
      <c r="N6" s="25"/>
      <c r="O6" s="25"/>
      <c r="P6" s="26"/>
      <c r="Q6" s="2"/>
      <c r="R6" s="2"/>
    </row>
    <row r="7">
      <c r="A7" s="2"/>
      <c r="B7" s="15">
        <v>4.0</v>
      </c>
      <c r="C7" s="16" t="s">
        <v>277</v>
      </c>
      <c r="D7" s="17" t="s">
        <v>20</v>
      </c>
      <c r="E7" s="18"/>
      <c r="F7" s="27">
        <v>46187.0</v>
      </c>
      <c r="G7" s="20">
        <v>700000.0</v>
      </c>
      <c r="H7" s="30"/>
      <c r="I7" s="22" t="s">
        <v>25</v>
      </c>
      <c r="J7" s="22" t="s">
        <v>26</v>
      </c>
      <c r="K7" s="22" t="s">
        <v>30</v>
      </c>
      <c r="L7" s="22" t="s">
        <v>22</v>
      </c>
      <c r="M7" s="22" t="s">
        <v>27</v>
      </c>
      <c r="N7" s="25"/>
      <c r="O7" s="25"/>
      <c r="P7" s="26"/>
      <c r="Q7" s="2"/>
      <c r="R7" s="2"/>
    </row>
    <row r="8">
      <c r="A8" s="2"/>
      <c r="B8" s="15">
        <v>5.0</v>
      </c>
      <c r="C8" s="16" t="s">
        <v>278</v>
      </c>
      <c r="D8" s="17" t="s">
        <v>279</v>
      </c>
      <c r="E8" s="18" t="s">
        <v>280</v>
      </c>
      <c r="F8" s="27">
        <v>46186.0</v>
      </c>
      <c r="G8" s="20">
        <v>250000.0</v>
      </c>
      <c r="H8" s="30"/>
      <c r="I8" s="22" t="s">
        <v>25</v>
      </c>
      <c r="J8" s="22"/>
      <c r="K8" s="22"/>
      <c r="L8" s="22" t="s">
        <v>22</v>
      </c>
      <c r="M8" s="29"/>
      <c r="N8" s="25"/>
      <c r="O8" s="26"/>
      <c r="P8" s="26"/>
      <c r="Q8" s="2"/>
      <c r="R8" s="2"/>
    </row>
    <row r="9">
      <c r="A9" s="2"/>
      <c r="B9" s="15">
        <v>6.0</v>
      </c>
      <c r="C9" s="16" t="s">
        <v>271</v>
      </c>
      <c r="D9" s="17" t="s">
        <v>42</v>
      </c>
      <c r="E9" s="18"/>
      <c r="F9" s="27">
        <v>46187.0</v>
      </c>
      <c r="G9" s="20"/>
      <c r="H9" s="21">
        <v>250000.0</v>
      </c>
      <c r="I9" s="22" t="s">
        <v>25</v>
      </c>
      <c r="J9" s="22" t="s">
        <v>26</v>
      </c>
      <c r="K9" s="22" t="s">
        <v>30</v>
      </c>
      <c r="L9" s="22" t="s">
        <v>22</v>
      </c>
      <c r="M9" s="22" t="s">
        <v>27</v>
      </c>
      <c r="N9" s="25"/>
      <c r="O9" s="26"/>
      <c r="P9" s="26"/>
      <c r="Q9" s="2"/>
      <c r="R9" s="2"/>
    </row>
    <row r="10">
      <c r="A10" s="2"/>
      <c r="B10" s="15">
        <v>7.0</v>
      </c>
      <c r="C10" s="16" t="s">
        <v>275</v>
      </c>
      <c r="D10" s="17" t="s">
        <v>20</v>
      </c>
      <c r="E10" s="18"/>
      <c r="F10" s="27">
        <v>46187.0</v>
      </c>
      <c r="G10" s="20">
        <v>475000.0</v>
      </c>
      <c r="H10" s="30"/>
      <c r="I10" s="22" t="s">
        <v>25</v>
      </c>
      <c r="J10" s="22" t="s">
        <v>26</v>
      </c>
      <c r="K10" s="22" t="s">
        <v>26</v>
      </c>
      <c r="L10" s="22" t="s">
        <v>22</v>
      </c>
      <c r="M10" s="22" t="s">
        <v>27</v>
      </c>
      <c r="N10" s="25"/>
      <c r="O10" s="26"/>
      <c r="P10" s="26"/>
      <c r="Q10" s="2"/>
      <c r="R10" s="2"/>
    </row>
    <row r="11">
      <c r="A11" s="2"/>
      <c r="B11" s="15">
        <v>8.0</v>
      </c>
      <c r="C11" s="16" t="s">
        <v>273</v>
      </c>
      <c r="D11" s="17" t="s">
        <v>24</v>
      </c>
      <c r="E11" s="18"/>
      <c r="F11" s="27">
        <v>46187.0</v>
      </c>
      <c r="G11" s="20"/>
      <c r="H11" s="21">
        <v>100000.0</v>
      </c>
      <c r="I11" s="22" t="s">
        <v>25</v>
      </c>
      <c r="J11" s="22" t="s">
        <v>26</v>
      </c>
      <c r="K11" s="22" t="s">
        <v>26</v>
      </c>
      <c r="L11" s="22" t="s">
        <v>22</v>
      </c>
      <c r="M11" s="22" t="s">
        <v>27</v>
      </c>
      <c r="N11" s="25"/>
      <c r="O11" s="26"/>
      <c r="P11" s="26"/>
      <c r="Q11" s="2"/>
      <c r="R11" s="2"/>
    </row>
    <row r="12">
      <c r="A12" s="2"/>
      <c r="B12" s="15">
        <v>9.0</v>
      </c>
      <c r="C12" s="16" t="s">
        <v>281</v>
      </c>
      <c r="D12" s="17" t="s">
        <v>38</v>
      </c>
      <c r="E12" s="18"/>
      <c r="F12" s="27">
        <v>46189.0</v>
      </c>
      <c r="G12" s="20"/>
      <c r="H12" s="21">
        <v>100000.0</v>
      </c>
      <c r="I12" s="22" t="s">
        <v>21</v>
      </c>
      <c r="J12" s="22"/>
      <c r="K12" s="22"/>
      <c r="L12" s="22" t="s">
        <v>22</v>
      </c>
      <c r="M12" s="29"/>
      <c r="N12" s="25"/>
      <c r="O12" s="26"/>
      <c r="P12" s="26"/>
      <c r="Q12" s="2"/>
      <c r="R12" s="2"/>
    </row>
    <row r="13">
      <c r="A13" s="2"/>
      <c r="B13" s="15">
        <v>10.0</v>
      </c>
      <c r="C13" s="16" t="s">
        <v>282</v>
      </c>
      <c r="D13" s="17" t="s">
        <v>20</v>
      </c>
      <c r="E13" s="18"/>
      <c r="F13" s="27">
        <v>46190.0</v>
      </c>
      <c r="G13" s="20"/>
      <c r="H13" s="21">
        <v>100000.0</v>
      </c>
      <c r="I13" s="22" t="s">
        <v>21</v>
      </c>
      <c r="J13" s="22"/>
      <c r="K13" s="22"/>
      <c r="L13" s="22" t="s">
        <v>33</v>
      </c>
      <c r="M13" s="29"/>
      <c r="N13" s="25"/>
      <c r="O13" s="26"/>
      <c r="P13" s="26"/>
      <c r="Q13" s="2"/>
      <c r="R13" s="2"/>
    </row>
    <row r="14">
      <c r="A14" s="2"/>
      <c r="B14" s="31"/>
      <c r="C14" s="16" t="s">
        <v>283</v>
      </c>
      <c r="D14" s="17" t="s">
        <v>92</v>
      </c>
      <c r="E14" s="18"/>
      <c r="F14" s="27">
        <v>46187.0</v>
      </c>
      <c r="G14" s="20"/>
      <c r="H14" s="21">
        <v>150000.0</v>
      </c>
      <c r="I14" s="22" t="s">
        <v>25</v>
      </c>
      <c r="J14" s="22" t="s">
        <v>26</v>
      </c>
      <c r="K14" s="22" t="s">
        <v>30</v>
      </c>
      <c r="L14" s="22" t="s">
        <v>33</v>
      </c>
      <c r="M14" s="22" t="s">
        <v>34</v>
      </c>
      <c r="N14" s="25"/>
      <c r="O14" s="26"/>
      <c r="P14" s="26"/>
      <c r="Q14" s="2"/>
      <c r="R14" s="2"/>
    </row>
    <row r="15">
      <c r="A15" s="2"/>
      <c r="B15" s="31"/>
      <c r="C15" s="16" t="s">
        <v>284</v>
      </c>
      <c r="D15" s="17" t="s">
        <v>20</v>
      </c>
      <c r="E15" s="18"/>
      <c r="F15" s="27">
        <v>46189.0</v>
      </c>
      <c r="G15" s="20"/>
      <c r="H15" s="21">
        <v>100000.0</v>
      </c>
      <c r="I15" s="22" t="s">
        <v>21</v>
      </c>
      <c r="J15" s="22"/>
      <c r="K15" s="22"/>
      <c r="L15" s="22" t="s">
        <v>33</v>
      </c>
      <c r="M15" s="29"/>
      <c r="N15" s="25"/>
      <c r="O15" s="26"/>
      <c r="P15" s="26"/>
      <c r="Q15" s="2"/>
      <c r="R15" s="2"/>
    </row>
    <row r="16">
      <c r="A16" s="2"/>
      <c r="B16" s="31"/>
      <c r="C16" s="16" t="s">
        <v>285</v>
      </c>
      <c r="D16" s="17" t="s">
        <v>40</v>
      </c>
      <c r="E16" s="18"/>
      <c r="F16" s="27">
        <v>46191.0</v>
      </c>
      <c r="G16" s="20"/>
      <c r="H16" s="21">
        <v>100000.0</v>
      </c>
      <c r="I16" s="22" t="s">
        <v>21</v>
      </c>
      <c r="J16" s="22"/>
      <c r="K16" s="22"/>
      <c r="L16" s="22" t="s">
        <v>33</v>
      </c>
      <c r="M16" s="29"/>
      <c r="N16" s="25"/>
      <c r="O16" s="26"/>
      <c r="P16" s="26"/>
      <c r="Q16" s="2"/>
      <c r="R16" s="2"/>
    </row>
    <row r="17">
      <c r="A17" s="2"/>
      <c r="B17" s="31"/>
      <c r="C17" s="16"/>
      <c r="D17" s="17"/>
      <c r="E17" s="18"/>
      <c r="F17" s="27"/>
      <c r="G17" s="20"/>
      <c r="H17" s="21"/>
      <c r="I17" s="22"/>
      <c r="J17" s="22"/>
      <c r="K17" s="22"/>
      <c r="L17" s="29"/>
      <c r="M17" s="29"/>
      <c r="N17" s="25"/>
      <c r="O17" s="26"/>
      <c r="P17" s="26"/>
      <c r="Q17" s="2"/>
      <c r="R17" s="2"/>
    </row>
    <row r="18">
      <c r="A18" s="2"/>
      <c r="B18" s="31"/>
      <c r="C18" s="16"/>
      <c r="D18" s="17"/>
      <c r="E18" s="18"/>
      <c r="F18" s="31"/>
      <c r="G18" s="20"/>
      <c r="H18" s="30"/>
      <c r="I18" s="22"/>
      <c r="J18" s="22"/>
      <c r="K18" s="22"/>
      <c r="L18" s="29"/>
      <c r="M18" s="29"/>
      <c r="N18" s="25"/>
      <c r="O18" s="26"/>
      <c r="P18" s="26"/>
      <c r="Q18" s="2"/>
      <c r="R18" s="2"/>
    </row>
    <row r="19">
      <c r="A19" s="2"/>
      <c r="B19" s="31"/>
      <c r="C19" s="16"/>
      <c r="D19" s="17"/>
      <c r="E19" s="18"/>
      <c r="F19" s="31"/>
      <c r="G19" s="20"/>
      <c r="H19" s="30"/>
      <c r="I19" s="22"/>
      <c r="J19" s="22"/>
      <c r="K19" s="22"/>
      <c r="L19" s="29"/>
      <c r="M19" s="29"/>
      <c r="N19" s="25"/>
      <c r="O19" s="26"/>
      <c r="P19" s="26"/>
      <c r="Q19" s="2"/>
      <c r="R19" s="2"/>
    </row>
    <row r="20">
      <c r="A20" s="2"/>
      <c r="B20" s="31"/>
      <c r="C20" s="16"/>
      <c r="D20" s="17"/>
      <c r="E20" s="18"/>
      <c r="F20" s="31"/>
      <c r="G20" s="20"/>
      <c r="H20" s="30"/>
      <c r="I20" s="22"/>
      <c r="J20" s="22"/>
      <c r="K20" s="22"/>
      <c r="L20" s="29"/>
      <c r="M20" s="29"/>
      <c r="N20" s="25"/>
      <c r="O20" s="26"/>
      <c r="P20" s="26"/>
      <c r="Q20" s="2"/>
      <c r="R20" s="2"/>
    </row>
    <row r="21">
      <c r="A21" s="2"/>
      <c r="B21" s="31"/>
      <c r="C21" s="16"/>
      <c r="D21" s="17"/>
      <c r="E21" s="18"/>
      <c r="F21" s="31"/>
      <c r="G21" s="20"/>
      <c r="H21" s="30"/>
      <c r="I21" s="22"/>
      <c r="J21" s="22"/>
      <c r="K21" s="22"/>
      <c r="L21" s="29"/>
      <c r="M21" s="29"/>
      <c r="N21" s="25"/>
      <c r="O21" s="26"/>
      <c r="P21" s="26"/>
      <c r="Q21" s="2"/>
      <c r="R21" s="2"/>
    </row>
    <row r="22">
      <c r="A22" s="2"/>
      <c r="B22" s="31"/>
      <c r="C22" s="32"/>
      <c r="D22" s="17"/>
      <c r="E22" s="18"/>
      <c r="F22" s="31"/>
      <c r="G22" s="28"/>
      <c r="H22" s="30"/>
      <c r="I22" s="29"/>
      <c r="J22" s="29"/>
      <c r="K22" s="29"/>
      <c r="L22" s="29"/>
      <c r="M22" s="29"/>
      <c r="N22" s="33"/>
      <c r="O22" s="33"/>
      <c r="P22" s="33"/>
      <c r="Q22" s="2"/>
      <c r="R22" s="2"/>
    </row>
    <row r="23" ht="18.75" customHeight="1">
      <c r="A23" s="2"/>
      <c r="B23" s="2"/>
      <c r="C23" s="3"/>
      <c r="D23" s="3"/>
      <c r="E23" s="2"/>
      <c r="F23" s="2"/>
      <c r="G23" s="34">
        <f t="shared" ref="G23:H23" si="1">SUM(G4:G22)</f>
        <v>1425000</v>
      </c>
      <c r="H23" s="35">
        <f t="shared" si="1"/>
        <v>1200000</v>
      </c>
      <c r="I23" s="2"/>
      <c r="J23" s="2"/>
      <c r="K23" s="2"/>
      <c r="L23" s="2"/>
      <c r="M23" s="2"/>
      <c r="N23" s="2"/>
      <c r="O23" s="2"/>
      <c r="P23" s="2"/>
      <c r="Q23" s="2"/>
      <c r="R23" s="2"/>
    </row>
    <row r="24" ht="23.25" customHeight="1">
      <c r="A24" s="2"/>
      <c r="B24" s="2"/>
      <c r="C24" s="3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>
      <c r="A25" s="2"/>
      <c r="B25" s="2"/>
      <c r="C25" s="3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>
      <c r="A26" s="2"/>
      <c r="B26" s="36" t="s">
        <v>1</v>
      </c>
      <c r="C26" s="37" t="s">
        <v>7</v>
      </c>
      <c r="D26" s="37" t="s">
        <v>45</v>
      </c>
      <c r="E26" s="1"/>
      <c r="F26" s="2"/>
      <c r="G26" s="2"/>
      <c r="H26" s="2"/>
      <c r="I26" s="2"/>
      <c r="J26" s="2"/>
      <c r="K26" s="2"/>
      <c r="L26" s="2"/>
      <c r="M26" s="2"/>
      <c r="N26" s="37" t="s">
        <v>46</v>
      </c>
      <c r="O26" s="37" t="s">
        <v>2</v>
      </c>
      <c r="P26" s="2"/>
      <c r="Q26" s="2"/>
      <c r="R26" s="2"/>
    </row>
    <row r="27">
      <c r="A27" s="2"/>
      <c r="B27" s="38">
        <v>1.0</v>
      </c>
      <c r="C27" s="39" t="s">
        <v>47</v>
      </c>
      <c r="D27" s="40">
        <f>SUM(G23)</f>
        <v>1425000</v>
      </c>
      <c r="E27" s="41"/>
      <c r="F27" s="2"/>
      <c r="G27" s="2"/>
      <c r="H27" s="2"/>
      <c r="I27" s="2"/>
      <c r="J27" s="2"/>
      <c r="K27" s="2"/>
      <c r="L27" s="2"/>
      <c r="M27" s="2"/>
      <c r="N27" s="42" t="s">
        <v>48</v>
      </c>
      <c r="O27" s="23" t="s">
        <v>22</v>
      </c>
      <c r="P27" s="2"/>
      <c r="Q27" s="2"/>
      <c r="R27" s="2"/>
    </row>
    <row r="28">
      <c r="A28" s="2"/>
      <c r="B28" s="43">
        <v>2.0</v>
      </c>
      <c r="C28" s="44" t="s">
        <v>76</v>
      </c>
      <c r="D28" s="45">
        <v>-50000.0</v>
      </c>
      <c r="E28" s="46"/>
      <c r="F28" s="2"/>
      <c r="G28" s="2"/>
      <c r="H28" s="2"/>
      <c r="I28" s="2"/>
      <c r="J28" s="2"/>
      <c r="K28" s="2"/>
      <c r="L28" s="2"/>
      <c r="M28" s="2"/>
      <c r="N28" s="47" t="s">
        <v>50</v>
      </c>
      <c r="O28" s="48" t="s">
        <v>33</v>
      </c>
      <c r="P28" s="2"/>
      <c r="Q28" s="2"/>
      <c r="R28" s="2"/>
    </row>
    <row r="29">
      <c r="A29" s="2"/>
      <c r="B29" s="38">
        <v>3.0</v>
      </c>
      <c r="C29" s="39" t="s">
        <v>49</v>
      </c>
      <c r="D29" s="49">
        <v>-75000.0</v>
      </c>
      <c r="E29" s="46"/>
      <c r="F29" s="2"/>
      <c r="G29" s="2"/>
      <c r="H29" s="2"/>
      <c r="I29" s="2"/>
      <c r="J29" s="2"/>
      <c r="K29" s="2"/>
      <c r="L29" s="2"/>
      <c r="M29" s="2"/>
      <c r="N29" s="50" t="s">
        <v>52</v>
      </c>
      <c r="O29" s="25" t="s">
        <v>27</v>
      </c>
      <c r="P29" s="2"/>
      <c r="Q29" s="2"/>
      <c r="R29" s="2"/>
    </row>
    <row r="30">
      <c r="A30" s="2"/>
      <c r="B30" s="43">
        <v>4.0</v>
      </c>
      <c r="C30" s="44" t="s">
        <v>139</v>
      </c>
      <c r="D30" s="45">
        <v>-100000.0</v>
      </c>
      <c r="E30" s="46"/>
      <c r="F30" s="2"/>
      <c r="G30" s="2"/>
      <c r="H30" s="2"/>
      <c r="I30" s="2"/>
      <c r="J30" s="2"/>
      <c r="K30" s="2"/>
      <c r="L30" s="2"/>
      <c r="M30" s="2"/>
      <c r="N30" s="51" t="s">
        <v>54</v>
      </c>
      <c r="O30" s="48" t="s">
        <v>34</v>
      </c>
      <c r="P30" s="2"/>
      <c r="Q30" s="2"/>
      <c r="R30" s="2"/>
    </row>
    <row r="31">
      <c r="A31" s="2"/>
      <c r="B31" s="38"/>
      <c r="C31" s="52"/>
      <c r="D31" s="40"/>
      <c r="E31" s="41"/>
      <c r="F31" s="2"/>
      <c r="G31" s="2"/>
      <c r="H31" s="2"/>
      <c r="I31" s="2"/>
      <c r="J31" s="2"/>
      <c r="K31" s="2"/>
      <c r="L31" s="2"/>
      <c r="M31" s="2"/>
      <c r="N31" s="53"/>
      <c r="O31" s="2"/>
      <c r="P31" s="2"/>
      <c r="Q31" s="2"/>
      <c r="R31" s="2"/>
    </row>
    <row r="32">
      <c r="A32" s="2"/>
      <c r="B32" s="43"/>
      <c r="C32" s="54"/>
      <c r="D32" s="55"/>
      <c r="E32" s="4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2"/>
      <c r="B33" s="38"/>
      <c r="C33" s="52"/>
      <c r="D33" s="40"/>
      <c r="E33" s="4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2"/>
      <c r="B34" s="43"/>
      <c r="C34" s="54"/>
      <c r="D34" s="55"/>
      <c r="E34" s="4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2"/>
      <c r="B35" s="38"/>
      <c r="C35" s="52"/>
      <c r="D35" s="40"/>
      <c r="E35" s="4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2"/>
      <c r="B36" s="43"/>
      <c r="C36" s="54"/>
      <c r="D36" s="55"/>
      <c r="E36" s="4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/>
      <c r="B37" s="56"/>
      <c r="C37" s="57"/>
      <c r="D37" s="58"/>
      <c r="E37" s="4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2"/>
      <c r="C38" s="3"/>
      <c r="D38" s="59">
        <f>SUM(D27:D37)</f>
        <v>1200000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2"/>
      <c r="C39" s="3"/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2"/>
      <c r="C40" s="3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2"/>
      <c r="C41" s="3"/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2"/>
      <c r="B42" s="2"/>
      <c r="C42" s="3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2 O27:O28">
      <formula1>"-,JIJANG,AXEL,ADDEL ,FAHME,INDAH"</formula1>
    </dataValidation>
    <dataValidation type="list" allowBlank="1" showDropDown="1" showErrorMessage="1" sqref="M4:M22 O29:O30">
      <formula1>"-,VERO,FADEL,PENTIL,ADIF ,HANIF"</formula1>
    </dataValidation>
    <dataValidation type="list" allowBlank="1" showDropDown="1" showErrorMessage="1" sqref="D4:D22">
      <formula1>"-,Single,Couple A,Couple B,Group A,Group B,Group C,Large Group,Graduation,Graduation Premium,Family A,Family B,Maternity,Concept,Studio Rent,Pas Foto,Single,Add Person ,Add Edit,Add Cetak 16R,Photofox"</formula1>
    </dataValidation>
    <dataValidation type="list" allowBlank="1" showErrorMessage="1" sqref="N4:N22">
      <formula1>"-,Pending,Progress,Uploaded"</formula1>
    </dataValidation>
    <dataValidation type="list" allowBlank="1" showErrorMessage="1" sqref="O4:O22">
      <formula1>"-,In Pikako,In Foxe"</formula1>
    </dataValidation>
    <dataValidation type="list" allowBlank="1" showDropDown="1" showErrorMessage="1" sqref="I4:I22">
      <formula1>"-,DP,Lunas"</formula1>
    </dataValidation>
    <dataValidation type="list" allowBlank="1" showDropDown="1" showErrorMessage="1" sqref="J4:K22">
      <formula1>"-,Pending,Uploaded"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2"/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 t="s">
        <v>286</v>
      </c>
      <c r="D4" s="17" t="s">
        <v>38</v>
      </c>
      <c r="E4" s="18"/>
      <c r="F4" s="19">
        <v>46188.0</v>
      </c>
      <c r="G4" s="20"/>
      <c r="H4" s="21">
        <v>100000.0</v>
      </c>
      <c r="I4" s="22" t="s">
        <v>21</v>
      </c>
      <c r="J4" s="22"/>
      <c r="K4" s="22"/>
      <c r="L4" s="22" t="s">
        <v>22</v>
      </c>
      <c r="M4" s="22"/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 t="s">
        <v>287</v>
      </c>
      <c r="D5" s="17" t="s">
        <v>58</v>
      </c>
      <c r="E5" s="18"/>
      <c r="F5" s="19">
        <v>46189.0</v>
      </c>
      <c r="G5" s="20"/>
      <c r="H5" s="21">
        <v>150000.0</v>
      </c>
      <c r="I5" s="22" t="s">
        <v>25</v>
      </c>
      <c r="J5" s="22"/>
      <c r="K5" s="22"/>
      <c r="L5" s="22" t="s">
        <v>22</v>
      </c>
      <c r="M5" s="22"/>
      <c r="N5" s="25"/>
      <c r="O5" s="25"/>
      <c r="P5" s="26"/>
      <c r="Q5" s="2"/>
      <c r="R5" s="2"/>
    </row>
    <row r="6">
      <c r="A6" s="2"/>
      <c r="B6" s="15">
        <v>3.0</v>
      </c>
      <c r="C6" s="16" t="s">
        <v>288</v>
      </c>
      <c r="D6" s="17" t="s">
        <v>20</v>
      </c>
      <c r="E6" s="18"/>
      <c r="F6" s="27">
        <v>46189.0</v>
      </c>
      <c r="G6" s="28"/>
      <c r="H6" s="21">
        <v>100000.0</v>
      </c>
      <c r="I6" s="22" t="s">
        <v>21</v>
      </c>
      <c r="J6" s="22"/>
      <c r="K6" s="22"/>
      <c r="L6" s="22" t="s">
        <v>22</v>
      </c>
      <c r="M6" s="29"/>
      <c r="N6" s="25"/>
      <c r="O6" s="25"/>
      <c r="P6" s="26"/>
      <c r="Q6" s="2"/>
      <c r="R6" s="2"/>
    </row>
    <row r="7">
      <c r="A7" s="2"/>
      <c r="B7" s="15">
        <v>4.0</v>
      </c>
      <c r="C7" s="16" t="s">
        <v>289</v>
      </c>
      <c r="D7" s="17" t="s">
        <v>20</v>
      </c>
      <c r="E7" s="18"/>
      <c r="F7" s="27">
        <v>46195.0</v>
      </c>
      <c r="G7" s="20"/>
      <c r="H7" s="21">
        <v>100000.0</v>
      </c>
      <c r="I7" s="22" t="s">
        <v>21</v>
      </c>
      <c r="J7" s="22"/>
      <c r="K7" s="22"/>
      <c r="L7" s="22" t="s">
        <v>22</v>
      </c>
      <c r="M7" s="29"/>
      <c r="N7" s="25"/>
      <c r="O7" s="25"/>
      <c r="P7" s="26"/>
      <c r="Q7" s="2"/>
      <c r="R7" s="2"/>
    </row>
    <row r="8">
      <c r="A8" s="2"/>
      <c r="B8" s="15">
        <v>5.0</v>
      </c>
      <c r="C8" s="16" t="s">
        <v>290</v>
      </c>
      <c r="D8" s="17" t="s">
        <v>20</v>
      </c>
      <c r="E8" s="18"/>
      <c r="F8" s="27">
        <v>46188.0</v>
      </c>
      <c r="G8" s="20">
        <v>400000.0</v>
      </c>
      <c r="H8" s="21"/>
      <c r="I8" s="22" t="s">
        <v>25</v>
      </c>
      <c r="J8" s="22" t="s">
        <v>26</v>
      </c>
      <c r="K8" s="22" t="s">
        <v>26</v>
      </c>
      <c r="L8" s="22" t="s">
        <v>22</v>
      </c>
      <c r="M8" s="22" t="s">
        <v>62</v>
      </c>
      <c r="N8" s="25"/>
      <c r="O8" s="26"/>
      <c r="P8" s="26"/>
      <c r="Q8" s="2"/>
      <c r="R8" s="2"/>
    </row>
    <row r="9">
      <c r="A9" s="2"/>
      <c r="B9" s="15">
        <v>6.0</v>
      </c>
      <c r="C9" s="16" t="s">
        <v>291</v>
      </c>
      <c r="D9" s="17" t="s">
        <v>92</v>
      </c>
      <c r="E9" s="18"/>
      <c r="F9" s="27">
        <v>46188.0</v>
      </c>
      <c r="G9" s="20"/>
      <c r="H9" s="21">
        <v>100000.0</v>
      </c>
      <c r="I9" s="22" t="s">
        <v>25</v>
      </c>
      <c r="J9" s="22" t="s">
        <v>26</v>
      </c>
      <c r="K9" s="22" t="s">
        <v>30</v>
      </c>
      <c r="L9" s="22" t="s">
        <v>22</v>
      </c>
      <c r="M9" s="22" t="s">
        <v>62</v>
      </c>
      <c r="N9" s="25"/>
      <c r="O9" s="26"/>
      <c r="P9" s="26"/>
      <c r="Q9" s="2"/>
      <c r="R9" s="2"/>
    </row>
    <row r="10">
      <c r="A10" s="2"/>
      <c r="B10" s="15">
        <v>7.0</v>
      </c>
      <c r="C10" s="16" t="s">
        <v>292</v>
      </c>
      <c r="D10" s="17" t="s">
        <v>20</v>
      </c>
      <c r="E10" s="18"/>
      <c r="F10" s="27">
        <v>46192.0</v>
      </c>
      <c r="G10" s="20"/>
      <c r="H10" s="21">
        <v>100000.0</v>
      </c>
      <c r="I10" s="22" t="s">
        <v>21</v>
      </c>
      <c r="J10" s="22"/>
      <c r="K10" s="22"/>
      <c r="L10" s="22" t="s">
        <v>22</v>
      </c>
      <c r="M10" s="29"/>
      <c r="N10" s="25"/>
      <c r="O10" s="26"/>
      <c r="P10" s="26"/>
      <c r="Q10" s="2"/>
      <c r="R10" s="2"/>
    </row>
    <row r="11">
      <c r="A11" s="2"/>
      <c r="B11" s="15">
        <v>8.0</v>
      </c>
      <c r="C11" s="16" t="s">
        <v>293</v>
      </c>
      <c r="D11" s="17" t="s">
        <v>20</v>
      </c>
      <c r="E11" s="18"/>
      <c r="F11" s="27">
        <v>46188.0</v>
      </c>
      <c r="G11" s="20">
        <v>250000.0</v>
      </c>
      <c r="H11" s="30"/>
      <c r="I11" s="22" t="s">
        <v>25</v>
      </c>
      <c r="J11" s="22" t="s">
        <v>26</v>
      </c>
      <c r="K11" s="22" t="s">
        <v>26</v>
      </c>
      <c r="L11" s="22" t="s">
        <v>22</v>
      </c>
      <c r="M11" s="22" t="s">
        <v>62</v>
      </c>
      <c r="N11" s="25"/>
      <c r="O11" s="26"/>
      <c r="P11" s="26"/>
      <c r="Q11" s="2"/>
      <c r="R11" s="2"/>
    </row>
    <row r="12">
      <c r="A12" s="2"/>
      <c r="B12" s="15">
        <v>9.0</v>
      </c>
      <c r="C12" s="16" t="s">
        <v>294</v>
      </c>
      <c r="D12" s="17" t="s">
        <v>42</v>
      </c>
      <c r="E12" s="18"/>
      <c r="F12" s="27">
        <v>46188.0</v>
      </c>
      <c r="G12" s="20"/>
      <c r="H12" s="21">
        <v>200000.0</v>
      </c>
      <c r="I12" s="22" t="s">
        <v>25</v>
      </c>
      <c r="J12" s="22" t="s">
        <v>26</v>
      </c>
      <c r="K12" s="22" t="s">
        <v>30</v>
      </c>
      <c r="L12" s="22" t="s">
        <v>33</v>
      </c>
      <c r="M12" s="22" t="s">
        <v>62</v>
      </c>
      <c r="N12" s="25"/>
      <c r="O12" s="26"/>
      <c r="P12" s="26"/>
      <c r="Q12" s="2"/>
      <c r="R12" s="2"/>
    </row>
    <row r="13">
      <c r="A13" s="2"/>
      <c r="B13" s="15">
        <v>10.0</v>
      </c>
      <c r="C13" s="60" t="s">
        <v>274</v>
      </c>
      <c r="D13" s="61" t="s">
        <v>20</v>
      </c>
      <c r="E13" s="62"/>
      <c r="F13" s="63">
        <v>46188.0</v>
      </c>
      <c r="G13" s="65"/>
      <c r="H13" s="66">
        <v>125000.0</v>
      </c>
      <c r="I13" s="22" t="s">
        <v>25</v>
      </c>
      <c r="J13" s="22" t="s">
        <v>26</v>
      </c>
      <c r="K13" s="22" t="s">
        <v>26</v>
      </c>
      <c r="L13" s="22" t="s">
        <v>33</v>
      </c>
      <c r="M13" s="22" t="s">
        <v>62</v>
      </c>
      <c r="N13" s="25"/>
      <c r="O13" s="26"/>
      <c r="P13" s="26"/>
      <c r="Q13" s="2"/>
      <c r="R13" s="2"/>
    </row>
    <row r="14">
      <c r="A14" s="2"/>
      <c r="B14" s="31"/>
      <c r="C14" s="16" t="s">
        <v>295</v>
      </c>
      <c r="D14" s="17" t="s">
        <v>20</v>
      </c>
      <c r="E14" s="18"/>
      <c r="F14" s="27">
        <v>46188.0</v>
      </c>
      <c r="G14" s="20"/>
      <c r="H14" s="21">
        <v>100000.0</v>
      </c>
      <c r="I14" s="22" t="s">
        <v>25</v>
      </c>
      <c r="J14" s="22" t="s">
        <v>26</v>
      </c>
      <c r="K14" s="22" t="s">
        <v>26</v>
      </c>
      <c r="L14" s="22" t="s">
        <v>33</v>
      </c>
      <c r="M14" s="22" t="s">
        <v>62</v>
      </c>
      <c r="N14" s="25"/>
      <c r="O14" s="26"/>
      <c r="P14" s="26"/>
      <c r="Q14" s="2"/>
      <c r="R14" s="2"/>
    </row>
    <row r="15">
      <c r="A15" s="2"/>
      <c r="B15" s="31"/>
      <c r="C15" s="16" t="s">
        <v>296</v>
      </c>
      <c r="D15" s="17" t="s">
        <v>20</v>
      </c>
      <c r="E15" s="18"/>
      <c r="F15" s="27">
        <v>46189.0</v>
      </c>
      <c r="G15" s="20"/>
      <c r="H15" s="21">
        <v>100000.0</v>
      </c>
      <c r="I15" s="22" t="s">
        <v>21</v>
      </c>
      <c r="J15" s="22"/>
      <c r="K15" s="22"/>
      <c r="L15" s="22" t="s">
        <v>33</v>
      </c>
      <c r="M15" s="29"/>
      <c r="N15" s="25"/>
      <c r="O15" s="26"/>
      <c r="P15" s="26"/>
      <c r="Q15" s="2"/>
      <c r="R15" s="2"/>
    </row>
    <row r="16">
      <c r="A16" s="2"/>
      <c r="B16" s="31"/>
      <c r="C16" s="16" t="s">
        <v>297</v>
      </c>
      <c r="D16" s="17" t="s">
        <v>20</v>
      </c>
      <c r="E16" s="18"/>
      <c r="F16" s="27">
        <v>46188.0</v>
      </c>
      <c r="G16" s="20"/>
      <c r="H16" s="21">
        <v>900000.0</v>
      </c>
      <c r="I16" s="22" t="s">
        <v>25</v>
      </c>
      <c r="J16" s="22" t="s">
        <v>26</v>
      </c>
      <c r="K16" s="22" t="s">
        <v>30</v>
      </c>
      <c r="L16" s="22" t="s">
        <v>33</v>
      </c>
      <c r="M16" s="22" t="s">
        <v>62</v>
      </c>
      <c r="N16" s="25"/>
      <c r="O16" s="26"/>
      <c r="P16" s="26"/>
      <c r="Q16" s="2"/>
      <c r="R16" s="2"/>
    </row>
    <row r="17">
      <c r="A17" s="2"/>
      <c r="B17" s="31"/>
      <c r="C17" s="16" t="s">
        <v>298</v>
      </c>
      <c r="D17" s="17" t="s">
        <v>20</v>
      </c>
      <c r="E17" s="18"/>
      <c r="F17" s="27">
        <v>46194.0</v>
      </c>
      <c r="G17" s="20"/>
      <c r="H17" s="21">
        <v>100000.0</v>
      </c>
      <c r="I17" s="22" t="s">
        <v>21</v>
      </c>
      <c r="J17" s="22"/>
      <c r="K17" s="22"/>
      <c r="L17" s="22" t="s">
        <v>33</v>
      </c>
      <c r="M17" s="29"/>
      <c r="N17" s="25"/>
      <c r="O17" s="26"/>
      <c r="P17" s="26"/>
      <c r="Q17" s="2"/>
      <c r="R17" s="2"/>
    </row>
    <row r="18">
      <c r="A18" s="2"/>
      <c r="B18" s="31"/>
      <c r="C18" s="16" t="s">
        <v>286</v>
      </c>
      <c r="D18" s="17" t="s">
        <v>38</v>
      </c>
      <c r="E18" s="18"/>
      <c r="F18" s="27">
        <v>46188.0</v>
      </c>
      <c r="G18" s="28"/>
      <c r="H18" s="21">
        <v>100000.0</v>
      </c>
      <c r="I18" s="22" t="s">
        <v>25</v>
      </c>
      <c r="J18" s="22" t="s">
        <v>26</v>
      </c>
      <c r="K18" s="22" t="s">
        <v>30</v>
      </c>
      <c r="L18" s="22" t="s">
        <v>33</v>
      </c>
      <c r="M18" s="22" t="s">
        <v>62</v>
      </c>
      <c r="N18" s="26"/>
      <c r="O18" s="26"/>
      <c r="P18" s="26"/>
      <c r="Q18" s="2"/>
      <c r="R18" s="2"/>
    </row>
    <row r="19">
      <c r="A19" s="2"/>
      <c r="B19" s="31"/>
      <c r="C19" s="16" t="s">
        <v>299</v>
      </c>
      <c r="D19" s="17" t="s">
        <v>20</v>
      </c>
      <c r="E19" s="18"/>
      <c r="F19" s="27">
        <v>46191.0</v>
      </c>
      <c r="G19" s="28"/>
      <c r="H19" s="21">
        <v>100000.0</v>
      </c>
      <c r="I19" s="22" t="s">
        <v>21</v>
      </c>
      <c r="J19" s="29"/>
      <c r="K19" s="29"/>
      <c r="L19" s="22" t="s">
        <v>33</v>
      </c>
      <c r="M19" s="29"/>
      <c r="N19" s="33"/>
      <c r="O19" s="33"/>
      <c r="P19" s="33"/>
      <c r="Q19" s="2"/>
      <c r="R19" s="2"/>
    </row>
    <row r="20" ht="18.75" customHeight="1">
      <c r="A20" s="2"/>
      <c r="B20" s="2"/>
      <c r="C20" s="3"/>
      <c r="D20" s="3"/>
      <c r="E20" s="2"/>
      <c r="F20" s="2"/>
      <c r="G20" s="34">
        <f t="shared" ref="G20:H20" si="1">SUM(G4:G19)</f>
        <v>650000</v>
      </c>
      <c r="H20" s="35">
        <f t="shared" si="1"/>
        <v>2375000</v>
      </c>
      <c r="I20" s="2"/>
      <c r="J20" s="2"/>
      <c r="K20" s="2"/>
      <c r="L20" s="2"/>
      <c r="M20" s="2"/>
      <c r="N20" s="2"/>
      <c r="O20" s="2"/>
      <c r="P20" s="2"/>
      <c r="Q20" s="2"/>
      <c r="R20" s="2"/>
    </row>
    <row r="21" ht="23.25" customHeight="1">
      <c r="A21" s="2"/>
      <c r="B21" s="2"/>
      <c r="C21" s="3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>
      <c r="A22" s="2"/>
      <c r="B22" s="2"/>
      <c r="C22" s="3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>
      <c r="A23" s="2"/>
      <c r="B23" s="36" t="s">
        <v>1</v>
      </c>
      <c r="C23" s="37" t="s">
        <v>7</v>
      </c>
      <c r="D23" s="37" t="s">
        <v>45</v>
      </c>
      <c r="E23" s="1"/>
      <c r="F23" s="2"/>
      <c r="G23" s="2"/>
      <c r="H23" s="2"/>
      <c r="I23" s="2"/>
      <c r="J23" s="2"/>
      <c r="K23" s="2"/>
      <c r="L23" s="2"/>
      <c r="M23" s="2"/>
      <c r="N23" s="37" t="s">
        <v>46</v>
      </c>
      <c r="O23" s="37" t="s">
        <v>2</v>
      </c>
      <c r="P23" s="2"/>
      <c r="Q23" s="2"/>
      <c r="R23" s="2"/>
    </row>
    <row r="24">
      <c r="A24" s="2"/>
      <c r="B24" s="38">
        <v>1.0</v>
      </c>
      <c r="C24" s="39" t="s">
        <v>47</v>
      </c>
      <c r="D24" s="40">
        <f>SUM(G20)</f>
        <v>650000</v>
      </c>
      <c r="E24" s="41"/>
      <c r="F24" s="2"/>
      <c r="G24" s="2"/>
      <c r="H24" s="2"/>
      <c r="I24" s="2"/>
      <c r="J24" s="2"/>
      <c r="K24" s="2"/>
      <c r="L24" s="2"/>
      <c r="M24" s="2"/>
      <c r="N24" s="42" t="s">
        <v>48</v>
      </c>
      <c r="O24" s="23" t="s">
        <v>22</v>
      </c>
      <c r="P24" s="2"/>
      <c r="Q24" s="2"/>
      <c r="R24" s="2"/>
    </row>
    <row r="25">
      <c r="A25" s="2"/>
      <c r="B25" s="43">
        <v>2.0</v>
      </c>
      <c r="C25" s="44" t="s">
        <v>76</v>
      </c>
      <c r="D25" s="45">
        <v>-100000.0</v>
      </c>
      <c r="E25" s="46"/>
      <c r="F25" s="2"/>
      <c r="G25" s="2"/>
      <c r="H25" s="2"/>
      <c r="I25" s="2"/>
      <c r="J25" s="2"/>
      <c r="K25" s="2"/>
      <c r="L25" s="2"/>
      <c r="M25" s="2"/>
      <c r="N25" s="47" t="s">
        <v>50</v>
      </c>
      <c r="O25" s="48" t="s">
        <v>33</v>
      </c>
      <c r="P25" s="2"/>
      <c r="Q25" s="2"/>
      <c r="R25" s="2"/>
    </row>
    <row r="26">
      <c r="A26" s="2"/>
      <c r="B26" s="38">
        <v>3.0</v>
      </c>
      <c r="C26" s="39"/>
      <c r="D26" s="49"/>
      <c r="E26" s="46"/>
      <c r="F26" s="2"/>
      <c r="G26" s="2"/>
      <c r="H26" s="2"/>
      <c r="I26" s="2"/>
      <c r="J26" s="2"/>
      <c r="K26" s="2"/>
      <c r="L26" s="2"/>
      <c r="M26" s="2"/>
      <c r="N26" s="50" t="s">
        <v>52</v>
      </c>
      <c r="O26" s="25" t="s">
        <v>62</v>
      </c>
      <c r="P26" s="2"/>
      <c r="Q26" s="2"/>
      <c r="R26" s="2"/>
    </row>
    <row r="27">
      <c r="A27" s="2"/>
      <c r="B27" s="43">
        <v>4.0</v>
      </c>
      <c r="C27" s="44"/>
      <c r="D27" s="45"/>
      <c r="E27" s="46"/>
      <c r="F27" s="2"/>
      <c r="G27" s="2"/>
      <c r="H27" s="2"/>
      <c r="I27" s="2"/>
      <c r="J27" s="2"/>
      <c r="K27" s="2"/>
      <c r="L27" s="2"/>
      <c r="M27" s="2"/>
      <c r="N27" s="51" t="s">
        <v>54</v>
      </c>
      <c r="O27" s="48" t="s">
        <v>62</v>
      </c>
      <c r="P27" s="2"/>
      <c r="Q27" s="2"/>
      <c r="R27" s="2"/>
    </row>
    <row r="28">
      <c r="A28" s="2"/>
      <c r="B28" s="38"/>
      <c r="C28" s="52"/>
      <c r="D28" s="40"/>
      <c r="E28" s="41"/>
      <c r="F28" s="2"/>
      <c r="G28" s="2"/>
      <c r="H28" s="2"/>
      <c r="I28" s="2"/>
      <c r="J28" s="2"/>
      <c r="K28" s="2"/>
      <c r="L28" s="2"/>
      <c r="M28" s="2"/>
      <c r="N28" s="53"/>
      <c r="O28" s="2"/>
      <c r="P28" s="2"/>
      <c r="Q28" s="2"/>
      <c r="R28" s="2"/>
    </row>
    <row r="29">
      <c r="A29" s="2"/>
      <c r="B29" s="43"/>
      <c r="C29" s="54"/>
      <c r="D29" s="55"/>
      <c r="E29" s="4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>
      <c r="A30" s="2"/>
      <c r="B30" s="38"/>
      <c r="C30" s="52"/>
      <c r="D30" s="40"/>
      <c r="E30" s="4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>
      <c r="A31" s="2"/>
      <c r="B31" s="43"/>
      <c r="C31" s="54"/>
      <c r="D31" s="55"/>
      <c r="E31" s="4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2"/>
      <c r="B32" s="38"/>
      <c r="C32" s="52"/>
      <c r="D32" s="40"/>
      <c r="E32" s="4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2"/>
      <c r="B33" s="43"/>
      <c r="C33" s="54"/>
      <c r="D33" s="55"/>
      <c r="E33" s="4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2"/>
      <c r="B34" s="56"/>
      <c r="C34" s="57"/>
      <c r="D34" s="58"/>
      <c r="E34" s="4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2"/>
      <c r="B35" s="2"/>
      <c r="C35" s="3"/>
      <c r="D35" s="59">
        <f>SUM(D24:D34)</f>
        <v>550000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2"/>
      <c r="B36" s="2"/>
      <c r="C36" s="3"/>
      <c r="D36" s="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/>
      <c r="B37" s="2"/>
      <c r="C37" s="3"/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2"/>
      <c r="C38" s="3"/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2"/>
      <c r="C39" s="3"/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9 O24:O25">
      <formula1>"-,JIJANG,ADDEL ,PENTIL,FAHME,INDAH"</formula1>
    </dataValidation>
    <dataValidation type="list" allowBlank="1" showDropDown="1" showErrorMessage="1" sqref="D13">
      <formula1>"-,Single,Couple A,Couple B,Group A,Group B,Group C,Large Group,Graduation,Graduation Premium,Family A,Family B,Maternity,Concept,Studio Rent,Pas Foto,Single,Add Person ,Add Edit,Add Cetak 16R,Photofox"</formula1>
    </dataValidation>
    <dataValidation type="list" allowBlank="1" showErrorMessage="1" sqref="N4:N19">
      <formula1>"-,Pending,Progress,Uploaded"</formula1>
    </dataValidation>
    <dataValidation type="list" allowBlank="1" showErrorMessage="1" sqref="O4:O19">
      <formula1>"-,In Pikako,In Foxe"</formula1>
    </dataValidation>
    <dataValidation type="list" allowBlank="1" showDropDown="1" showErrorMessage="1" sqref="D4:D12 D14:D19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M4:M19 O26:O27">
      <formula1>"-,VERO,FADEL,PENTIL,FAHME,ADIF"</formula1>
    </dataValidation>
    <dataValidation type="list" allowBlank="1" showDropDown="1" showErrorMessage="1" sqref="I4:I19">
      <formula1>"-,DP,Lunas"</formula1>
    </dataValidation>
    <dataValidation type="list" allowBlank="1" showDropDown="1" showErrorMessage="1" sqref="J4:K19">
      <formula1>"-,Pending,Uploaded"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2"/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 t="s">
        <v>300</v>
      </c>
      <c r="D4" s="17" t="s">
        <v>20</v>
      </c>
      <c r="E4" s="18"/>
      <c r="F4" s="19">
        <v>46192.0</v>
      </c>
      <c r="G4" s="20"/>
      <c r="H4" s="21">
        <v>100000.0</v>
      </c>
      <c r="I4" s="22" t="s">
        <v>21</v>
      </c>
      <c r="J4" s="22"/>
      <c r="K4" s="22"/>
      <c r="L4" s="22" t="s">
        <v>33</v>
      </c>
      <c r="M4" s="22"/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 t="s">
        <v>301</v>
      </c>
      <c r="D5" s="17" t="s">
        <v>42</v>
      </c>
      <c r="E5" s="18"/>
      <c r="F5" s="19">
        <v>46189.0</v>
      </c>
      <c r="G5" s="20"/>
      <c r="H5" s="21">
        <v>100000.0</v>
      </c>
      <c r="I5" s="22" t="s">
        <v>21</v>
      </c>
      <c r="J5" s="22"/>
      <c r="K5" s="22"/>
      <c r="L5" s="22" t="s">
        <v>33</v>
      </c>
      <c r="M5" s="22"/>
      <c r="N5" s="25"/>
      <c r="O5" s="25"/>
      <c r="P5" s="26"/>
      <c r="Q5" s="2"/>
      <c r="R5" s="2"/>
    </row>
    <row r="6">
      <c r="A6" s="2"/>
      <c r="B6" s="15">
        <v>3.0</v>
      </c>
      <c r="C6" s="16" t="s">
        <v>302</v>
      </c>
      <c r="D6" s="17" t="s">
        <v>20</v>
      </c>
      <c r="E6" s="18"/>
      <c r="F6" s="27">
        <v>46190.0</v>
      </c>
      <c r="G6" s="28"/>
      <c r="H6" s="21">
        <v>100000.0</v>
      </c>
      <c r="I6" s="22" t="s">
        <v>21</v>
      </c>
      <c r="J6" s="22"/>
      <c r="K6" s="22"/>
      <c r="L6" s="22" t="s">
        <v>33</v>
      </c>
      <c r="M6" s="29"/>
      <c r="N6" s="25"/>
      <c r="O6" s="25"/>
      <c r="P6" s="26"/>
      <c r="Q6" s="2"/>
      <c r="R6" s="2"/>
    </row>
    <row r="7">
      <c r="A7" s="2"/>
      <c r="B7" s="15">
        <v>4.0</v>
      </c>
      <c r="C7" s="16" t="s">
        <v>303</v>
      </c>
      <c r="D7" s="17" t="s">
        <v>82</v>
      </c>
      <c r="E7" s="18"/>
      <c r="F7" s="27">
        <v>46190.0</v>
      </c>
      <c r="G7" s="20"/>
      <c r="H7" s="21">
        <v>100000.0</v>
      </c>
      <c r="I7" s="22" t="s">
        <v>21</v>
      </c>
      <c r="J7" s="22"/>
      <c r="K7" s="22"/>
      <c r="L7" s="22" t="s">
        <v>33</v>
      </c>
      <c r="M7" s="29"/>
      <c r="N7" s="25"/>
      <c r="O7" s="25"/>
      <c r="P7" s="26"/>
      <c r="Q7" s="2"/>
      <c r="R7" s="2"/>
    </row>
    <row r="8">
      <c r="A8" s="2"/>
      <c r="B8" s="15">
        <v>5.0</v>
      </c>
      <c r="C8" s="16" t="s">
        <v>304</v>
      </c>
      <c r="D8" s="17" t="s">
        <v>40</v>
      </c>
      <c r="E8" s="18"/>
      <c r="F8" s="27">
        <v>46190.0</v>
      </c>
      <c r="G8" s="20"/>
      <c r="H8" s="21">
        <v>100000.0</v>
      </c>
      <c r="I8" s="22" t="s">
        <v>21</v>
      </c>
      <c r="J8" s="22"/>
      <c r="K8" s="22"/>
      <c r="L8" s="22" t="s">
        <v>33</v>
      </c>
      <c r="M8" s="29"/>
      <c r="N8" s="25"/>
      <c r="O8" s="26"/>
      <c r="P8" s="26"/>
      <c r="Q8" s="2"/>
      <c r="R8" s="2"/>
    </row>
    <row r="9">
      <c r="A9" s="2"/>
      <c r="B9" s="15">
        <v>6.0</v>
      </c>
      <c r="C9" s="16" t="s">
        <v>305</v>
      </c>
      <c r="D9" s="17" t="s">
        <v>20</v>
      </c>
      <c r="E9" s="18"/>
      <c r="F9" s="27">
        <v>46189.0</v>
      </c>
      <c r="G9" s="20">
        <v>225000.0</v>
      </c>
      <c r="H9" s="30"/>
      <c r="I9" s="22" t="s">
        <v>25</v>
      </c>
      <c r="J9" s="22" t="s">
        <v>26</v>
      </c>
      <c r="K9" s="22" t="s">
        <v>26</v>
      </c>
      <c r="L9" s="22" t="s">
        <v>33</v>
      </c>
      <c r="M9" s="22" t="s">
        <v>34</v>
      </c>
      <c r="N9" s="25"/>
      <c r="O9" s="26"/>
      <c r="P9" s="26"/>
      <c r="Q9" s="2"/>
      <c r="R9" s="2"/>
    </row>
    <row r="10">
      <c r="A10" s="2"/>
      <c r="B10" s="15">
        <v>7.0</v>
      </c>
      <c r="C10" s="16" t="s">
        <v>306</v>
      </c>
      <c r="D10" s="17" t="s">
        <v>307</v>
      </c>
      <c r="E10" s="18"/>
      <c r="F10" s="27">
        <v>46182.0</v>
      </c>
      <c r="G10" s="20"/>
      <c r="H10" s="21">
        <v>255000.0</v>
      </c>
      <c r="I10" s="22" t="s">
        <v>25</v>
      </c>
      <c r="J10" s="22" t="s">
        <v>184</v>
      </c>
      <c r="K10" s="22" t="s">
        <v>26</v>
      </c>
      <c r="L10" s="22" t="s">
        <v>33</v>
      </c>
      <c r="M10" s="22"/>
      <c r="N10" s="25"/>
      <c r="O10" s="26"/>
      <c r="P10" s="26"/>
      <c r="Q10" s="2"/>
      <c r="R10" s="2"/>
    </row>
    <row r="11">
      <c r="A11" s="2"/>
      <c r="B11" s="15">
        <v>8.0</v>
      </c>
      <c r="C11" s="16" t="s">
        <v>308</v>
      </c>
      <c r="D11" s="17" t="s">
        <v>263</v>
      </c>
      <c r="E11" s="18"/>
      <c r="F11" s="27">
        <v>46189.0</v>
      </c>
      <c r="G11" s="20"/>
      <c r="H11" s="21">
        <v>20000.0</v>
      </c>
      <c r="I11" s="22" t="s">
        <v>25</v>
      </c>
      <c r="J11" s="22"/>
      <c r="K11" s="22"/>
      <c r="L11" s="22" t="s">
        <v>33</v>
      </c>
      <c r="M11" s="29"/>
      <c r="N11" s="25"/>
      <c r="O11" s="26"/>
      <c r="P11" s="26"/>
      <c r="Q11" s="2"/>
      <c r="R11" s="2"/>
    </row>
    <row r="12">
      <c r="A12" s="2"/>
      <c r="B12" s="15">
        <v>9.0</v>
      </c>
      <c r="C12" s="16" t="s">
        <v>131</v>
      </c>
      <c r="D12" s="17" t="s">
        <v>263</v>
      </c>
      <c r="E12" s="18"/>
      <c r="F12" s="27">
        <v>46189.0</v>
      </c>
      <c r="G12" s="20"/>
      <c r="H12" s="21">
        <v>20000.0</v>
      </c>
      <c r="I12" s="22" t="s">
        <v>25</v>
      </c>
      <c r="J12" s="22"/>
      <c r="K12" s="22"/>
      <c r="L12" s="22" t="s">
        <v>33</v>
      </c>
      <c r="M12" s="29"/>
      <c r="N12" s="25"/>
      <c r="O12" s="26"/>
      <c r="P12" s="26"/>
      <c r="Q12" s="2"/>
      <c r="R12" s="2"/>
    </row>
    <row r="13">
      <c r="A13" s="2"/>
      <c r="B13" s="15">
        <v>10.0</v>
      </c>
      <c r="C13" s="16" t="s">
        <v>256</v>
      </c>
      <c r="D13" s="17" t="s">
        <v>20</v>
      </c>
      <c r="E13" s="18"/>
      <c r="F13" s="27">
        <v>46189.0</v>
      </c>
      <c r="G13" s="20"/>
      <c r="H13" s="21">
        <v>825000.0</v>
      </c>
      <c r="I13" s="22" t="s">
        <v>25</v>
      </c>
      <c r="J13" s="22" t="s">
        <v>26</v>
      </c>
      <c r="K13" s="22" t="s">
        <v>26</v>
      </c>
      <c r="L13" s="22" t="s">
        <v>33</v>
      </c>
      <c r="M13" s="22" t="s">
        <v>34</v>
      </c>
      <c r="N13" s="25"/>
      <c r="O13" s="26"/>
      <c r="P13" s="26"/>
      <c r="Q13" s="2"/>
      <c r="R13" s="2"/>
    </row>
    <row r="14">
      <c r="A14" s="2"/>
      <c r="B14" s="31"/>
      <c r="C14" s="16" t="s">
        <v>309</v>
      </c>
      <c r="D14" s="17" t="s">
        <v>92</v>
      </c>
      <c r="E14" s="18"/>
      <c r="F14" s="27">
        <v>46189.0</v>
      </c>
      <c r="G14" s="20"/>
      <c r="H14" s="21">
        <v>100000.0</v>
      </c>
      <c r="I14" s="22" t="s">
        <v>21</v>
      </c>
      <c r="J14" s="22"/>
      <c r="K14" s="22"/>
      <c r="L14" s="22" t="s">
        <v>33</v>
      </c>
      <c r="M14" s="29"/>
      <c r="N14" s="25"/>
      <c r="O14" s="26"/>
      <c r="P14" s="26"/>
      <c r="Q14" s="2"/>
      <c r="R14" s="2"/>
    </row>
    <row r="15">
      <c r="A15" s="2"/>
      <c r="B15" s="31"/>
      <c r="C15" s="16" t="s">
        <v>281</v>
      </c>
      <c r="D15" s="17" t="s">
        <v>38</v>
      </c>
      <c r="E15" s="18"/>
      <c r="F15" s="27">
        <v>46189.0</v>
      </c>
      <c r="G15" s="20">
        <v>100000.0</v>
      </c>
      <c r="H15" s="30"/>
      <c r="I15" s="22" t="s">
        <v>25</v>
      </c>
      <c r="J15" s="22" t="s">
        <v>26</v>
      </c>
      <c r="K15" s="22" t="s">
        <v>26</v>
      </c>
      <c r="L15" s="22" t="s">
        <v>33</v>
      </c>
      <c r="M15" s="22" t="s">
        <v>34</v>
      </c>
      <c r="N15" s="25"/>
      <c r="O15" s="26"/>
      <c r="P15" s="26"/>
      <c r="Q15" s="2"/>
      <c r="R15" s="2"/>
    </row>
    <row r="16">
      <c r="A16" s="2"/>
      <c r="B16" s="31"/>
      <c r="C16" s="16" t="s">
        <v>310</v>
      </c>
      <c r="D16" s="17" t="s">
        <v>40</v>
      </c>
      <c r="E16" s="18"/>
      <c r="F16" s="27">
        <v>46189.0</v>
      </c>
      <c r="G16" s="20"/>
      <c r="H16" s="21">
        <v>100000.0</v>
      </c>
      <c r="I16" s="22" t="s">
        <v>21</v>
      </c>
      <c r="J16" s="22"/>
      <c r="K16" s="22"/>
      <c r="L16" s="22" t="s">
        <v>33</v>
      </c>
      <c r="M16" s="29"/>
      <c r="N16" s="25"/>
      <c r="O16" s="26"/>
      <c r="P16" s="26"/>
      <c r="Q16" s="2"/>
      <c r="R16" s="2"/>
    </row>
    <row r="17">
      <c r="A17" s="2"/>
      <c r="B17" s="31"/>
      <c r="C17" s="16" t="s">
        <v>311</v>
      </c>
      <c r="D17" s="17" t="s">
        <v>40</v>
      </c>
      <c r="E17" s="18"/>
      <c r="F17" s="27">
        <v>46189.0</v>
      </c>
      <c r="G17" s="20"/>
      <c r="H17" s="21">
        <v>100000.0</v>
      </c>
      <c r="I17" s="22" t="s">
        <v>21</v>
      </c>
      <c r="J17" s="22"/>
      <c r="K17" s="22"/>
      <c r="L17" s="22" t="s">
        <v>33</v>
      </c>
      <c r="M17" s="29"/>
      <c r="N17" s="25"/>
      <c r="O17" s="26"/>
      <c r="P17" s="26"/>
      <c r="Q17" s="2"/>
      <c r="R17" s="2"/>
    </row>
    <row r="18">
      <c r="A18" s="2"/>
      <c r="B18" s="31"/>
      <c r="C18" s="16" t="s">
        <v>312</v>
      </c>
      <c r="D18" s="17" t="s">
        <v>20</v>
      </c>
      <c r="E18" s="18"/>
      <c r="F18" s="27">
        <v>46192.0</v>
      </c>
      <c r="G18" s="20"/>
      <c r="H18" s="21">
        <v>100000.0</v>
      </c>
      <c r="I18" s="22" t="s">
        <v>21</v>
      </c>
      <c r="J18" s="22"/>
      <c r="K18" s="22"/>
      <c r="L18" s="22" t="s">
        <v>33</v>
      </c>
      <c r="M18" s="29"/>
      <c r="N18" s="25"/>
      <c r="O18" s="26"/>
      <c r="P18" s="26"/>
      <c r="Q18" s="2"/>
      <c r="R18" s="2"/>
    </row>
    <row r="19">
      <c r="A19" s="2"/>
      <c r="B19" s="31"/>
      <c r="C19" s="16" t="s">
        <v>313</v>
      </c>
      <c r="D19" s="17" t="s">
        <v>20</v>
      </c>
      <c r="E19" s="18"/>
      <c r="F19" s="27">
        <v>46193.0</v>
      </c>
      <c r="G19" s="20"/>
      <c r="H19" s="21">
        <v>100000.0</v>
      </c>
      <c r="I19" s="22" t="s">
        <v>21</v>
      </c>
      <c r="J19" s="22"/>
      <c r="K19" s="22"/>
      <c r="L19" s="22" t="s">
        <v>22</v>
      </c>
      <c r="M19" s="29"/>
      <c r="N19" s="25"/>
      <c r="O19" s="26"/>
      <c r="P19" s="26"/>
      <c r="Q19" s="2"/>
      <c r="R19" s="2"/>
    </row>
    <row r="20">
      <c r="A20" s="2"/>
      <c r="B20" s="31"/>
      <c r="C20" s="16" t="s">
        <v>296</v>
      </c>
      <c r="D20" s="17" t="s">
        <v>20</v>
      </c>
      <c r="E20" s="18"/>
      <c r="F20" s="27">
        <v>46189.0</v>
      </c>
      <c r="G20" s="20">
        <v>500000.0</v>
      </c>
      <c r="H20" s="30"/>
      <c r="I20" s="22" t="s">
        <v>25</v>
      </c>
      <c r="J20" s="22" t="s">
        <v>26</v>
      </c>
      <c r="K20" s="22" t="s">
        <v>26</v>
      </c>
      <c r="L20" s="22" t="s">
        <v>22</v>
      </c>
      <c r="M20" s="22" t="s">
        <v>34</v>
      </c>
      <c r="N20" s="25"/>
      <c r="O20" s="26"/>
      <c r="P20" s="26"/>
      <c r="Q20" s="2"/>
      <c r="R20" s="2"/>
    </row>
    <row r="21">
      <c r="A21" s="2"/>
      <c r="B21" s="31"/>
      <c r="C21" s="16" t="s">
        <v>314</v>
      </c>
      <c r="D21" s="17" t="s">
        <v>20</v>
      </c>
      <c r="E21" s="18"/>
      <c r="F21" s="27">
        <v>46190.0</v>
      </c>
      <c r="G21" s="20"/>
      <c r="H21" s="21">
        <v>100000.0</v>
      </c>
      <c r="I21" s="22" t="s">
        <v>21</v>
      </c>
      <c r="J21" s="22"/>
      <c r="K21" s="22"/>
      <c r="L21" s="22" t="s">
        <v>22</v>
      </c>
      <c r="M21" s="29"/>
      <c r="N21" s="25"/>
      <c r="O21" s="26"/>
      <c r="P21" s="26"/>
      <c r="Q21" s="2"/>
      <c r="R21" s="2"/>
    </row>
    <row r="22">
      <c r="A22" s="2"/>
      <c r="B22" s="31"/>
      <c r="C22" s="16" t="s">
        <v>315</v>
      </c>
      <c r="D22" s="17" t="s">
        <v>20</v>
      </c>
      <c r="E22" s="18"/>
      <c r="F22" s="27">
        <v>46189.0</v>
      </c>
      <c r="G22" s="20">
        <v>375000.0</v>
      </c>
      <c r="H22" s="30"/>
      <c r="I22" s="22" t="s">
        <v>25</v>
      </c>
      <c r="J22" s="22" t="s">
        <v>26</v>
      </c>
      <c r="K22" s="22" t="s">
        <v>26</v>
      </c>
      <c r="L22" s="22" t="s">
        <v>22</v>
      </c>
      <c r="M22" s="22" t="s">
        <v>27</v>
      </c>
      <c r="N22" s="25"/>
      <c r="O22" s="26"/>
      <c r="P22" s="26"/>
      <c r="Q22" s="2"/>
      <c r="R22" s="2"/>
    </row>
    <row r="23">
      <c r="A23" s="2"/>
      <c r="B23" s="31"/>
      <c r="C23" s="16" t="s">
        <v>316</v>
      </c>
      <c r="D23" s="17" t="s">
        <v>42</v>
      </c>
      <c r="E23" s="18"/>
      <c r="F23" s="27">
        <v>46189.0</v>
      </c>
      <c r="G23" s="20"/>
      <c r="H23" s="21">
        <v>250000.0</v>
      </c>
      <c r="I23" s="22" t="s">
        <v>25</v>
      </c>
      <c r="J23" s="22" t="s">
        <v>26</v>
      </c>
      <c r="K23" s="22" t="s">
        <v>26</v>
      </c>
      <c r="L23" s="22" t="s">
        <v>22</v>
      </c>
      <c r="M23" s="22" t="s">
        <v>27</v>
      </c>
      <c r="N23" s="25"/>
      <c r="O23" s="26"/>
      <c r="P23" s="26"/>
      <c r="Q23" s="2"/>
      <c r="R23" s="2"/>
    </row>
    <row r="24">
      <c r="A24" s="2"/>
      <c r="B24" s="31"/>
      <c r="C24" s="16" t="s">
        <v>287</v>
      </c>
      <c r="D24" s="17" t="s">
        <v>58</v>
      </c>
      <c r="E24" s="18"/>
      <c r="F24" s="27">
        <v>46189.0</v>
      </c>
      <c r="G24" s="20">
        <v>0.0</v>
      </c>
      <c r="H24" s="21">
        <v>0.0</v>
      </c>
      <c r="I24" s="22" t="s">
        <v>25</v>
      </c>
      <c r="J24" s="22" t="s">
        <v>26</v>
      </c>
      <c r="K24" s="22" t="s">
        <v>26</v>
      </c>
      <c r="L24" s="22" t="s">
        <v>22</v>
      </c>
      <c r="M24" s="22" t="s">
        <v>27</v>
      </c>
      <c r="N24" s="25"/>
      <c r="O24" s="26"/>
      <c r="P24" s="26"/>
      <c r="Q24" s="2"/>
      <c r="R24" s="2"/>
    </row>
    <row r="25">
      <c r="A25" s="2"/>
      <c r="B25" s="31"/>
      <c r="C25" s="16" t="s">
        <v>284</v>
      </c>
      <c r="D25" s="17" t="s">
        <v>20</v>
      </c>
      <c r="E25" s="18"/>
      <c r="F25" s="27">
        <v>46189.0</v>
      </c>
      <c r="G25" s="20"/>
      <c r="H25" s="21">
        <v>175000.0</v>
      </c>
      <c r="I25" s="22" t="s">
        <v>25</v>
      </c>
      <c r="J25" s="22" t="s">
        <v>26</v>
      </c>
      <c r="K25" s="22" t="s">
        <v>26</v>
      </c>
      <c r="L25" s="22" t="s">
        <v>22</v>
      </c>
      <c r="M25" s="22" t="s">
        <v>27</v>
      </c>
      <c r="N25" s="25"/>
      <c r="O25" s="26"/>
      <c r="P25" s="26"/>
      <c r="Q25" s="2"/>
      <c r="R25" s="2"/>
    </row>
    <row r="26">
      <c r="A26" s="2"/>
      <c r="B26" s="31"/>
      <c r="C26" s="16" t="s">
        <v>317</v>
      </c>
      <c r="D26" s="17" t="s">
        <v>20</v>
      </c>
      <c r="E26" s="18"/>
      <c r="F26" s="27">
        <v>46194.0</v>
      </c>
      <c r="G26" s="20"/>
      <c r="H26" s="21">
        <v>100000.0</v>
      </c>
      <c r="I26" s="22" t="s">
        <v>21</v>
      </c>
      <c r="J26" s="22"/>
      <c r="K26" s="22"/>
      <c r="L26" s="22" t="s">
        <v>22</v>
      </c>
      <c r="M26" s="29"/>
      <c r="N26" s="25"/>
      <c r="O26" s="26"/>
      <c r="P26" s="26"/>
      <c r="Q26" s="2"/>
      <c r="R26" s="2"/>
    </row>
    <row r="27">
      <c r="A27" s="2"/>
      <c r="B27" s="31"/>
      <c r="C27" s="16" t="s">
        <v>318</v>
      </c>
      <c r="D27" s="17" t="s">
        <v>20</v>
      </c>
      <c r="E27" s="18"/>
      <c r="F27" s="27">
        <v>46200.0</v>
      </c>
      <c r="G27" s="20"/>
      <c r="H27" s="21">
        <v>100000.0</v>
      </c>
      <c r="I27" s="22" t="s">
        <v>21</v>
      </c>
      <c r="J27" s="22"/>
      <c r="K27" s="22"/>
      <c r="L27" s="22" t="s">
        <v>22</v>
      </c>
      <c r="M27" s="29"/>
      <c r="N27" s="25"/>
      <c r="O27" s="26"/>
      <c r="P27" s="26"/>
      <c r="Q27" s="2"/>
      <c r="R27" s="2"/>
    </row>
    <row r="28">
      <c r="A28" s="2"/>
      <c r="B28" s="31"/>
      <c r="C28" s="16" t="s">
        <v>319</v>
      </c>
      <c r="D28" s="17" t="s">
        <v>20</v>
      </c>
      <c r="E28" s="18"/>
      <c r="F28" s="27">
        <v>46189.0</v>
      </c>
      <c r="G28" s="20"/>
      <c r="H28" s="21">
        <v>675000.0</v>
      </c>
      <c r="I28" s="22" t="s">
        <v>25</v>
      </c>
      <c r="J28" s="22" t="s">
        <v>26</v>
      </c>
      <c r="K28" s="22" t="s">
        <v>30</v>
      </c>
      <c r="L28" s="22" t="s">
        <v>22</v>
      </c>
      <c r="M28" s="22" t="s">
        <v>27</v>
      </c>
      <c r="N28" s="25"/>
      <c r="O28" s="26"/>
      <c r="P28" s="26"/>
      <c r="Q28" s="2"/>
      <c r="R28" s="2"/>
    </row>
    <row r="29">
      <c r="A29" s="2"/>
      <c r="B29" s="31"/>
      <c r="C29" s="16" t="s">
        <v>320</v>
      </c>
      <c r="D29" s="17" t="s">
        <v>40</v>
      </c>
      <c r="E29" s="18"/>
      <c r="F29" s="27">
        <v>46190.0</v>
      </c>
      <c r="G29" s="20"/>
      <c r="H29" s="21">
        <v>100000.0</v>
      </c>
      <c r="I29" s="22" t="s">
        <v>21</v>
      </c>
      <c r="J29" s="22"/>
      <c r="K29" s="22"/>
      <c r="L29" s="22" t="s">
        <v>22</v>
      </c>
      <c r="M29" s="29"/>
      <c r="N29" s="25"/>
      <c r="O29" s="26"/>
      <c r="P29" s="26"/>
      <c r="Q29" s="2"/>
      <c r="R29" s="2"/>
    </row>
    <row r="30">
      <c r="A30" s="2"/>
      <c r="B30" s="31"/>
      <c r="C30" s="16" t="s">
        <v>321</v>
      </c>
      <c r="D30" s="17" t="s">
        <v>42</v>
      </c>
      <c r="E30" s="18"/>
      <c r="F30" s="27">
        <v>46193.0</v>
      </c>
      <c r="G30" s="20"/>
      <c r="H30" s="21">
        <v>100000.0</v>
      </c>
      <c r="I30" s="22" t="s">
        <v>21</v>
      </c>
      <c r="J30" s="22"/>
      <c r="K30" s="22"/>
      <c r="L30" s="22" t="s">
        <v>22</v>
      </c>
      <c r="M30" s="29"/>
      <c r="N30" s="25"/>
      <c r="O30" s="26"/>
      <c r="P30" s="26"/>
      <c r="Q30" s="2"/>
      <c r="R30" s="2"/>
    </row>
    <row r="31">
      <c r="A31" s="2"/>
      <c r="B31" s="31"/>
      <c r="C31" s="16" t="s">
        <v>288</v>
      </c>
      <c r="D31" s="17" t="s">
        <v>20</v>
      </c>
      <c r="E31" s="18"/>
      <c r="F31" s="27">
        <v>46189.0</v>
      </c>
      <c r="G31" s="20">
        <v>25000.0</v>
      </c>
      <c r="H31" s="21">
        <v>75000.0</v>
      </c>
      <c r="I31" s="22" t="s">
        <v>25</v>
      </c>
      <c r="J31" s="22" t="s">
        <v>26</v>
      </c>
      <c r="K31" s="22" t="s">
        <v>30</v>
      </c>
      <c r="L31" s="22" t="s">
        <v>22</v>
      </c>
      <c r="M31" s="22" t="s">
        <v>27</v>
      </c>
      <c r="N31" s="25"/>
      <c r="O31" s="26"/>
      <c r="P31" s="26"/>
      <c r="Q31" s="2"/>
      <c r="R31" s="2"/>
    </row>
    <row r="32">
      <c r="A32" s="2"/>
      <c r="B32" s="31"/>
      <c r="C32" s="16" t="s">
        <v>309</v>
      </c>
      <c r="D32" s="17" t="s">
        <v>14</v>
      </c>
      <c r="E32" s="18"/>
      <c r="F32" s="27">
        <v>46189.0</v>
      </c>
      <c r="G32" s="20"/>
      <c r="H32" s="21">
        <v>50000.0</v>
      </c>
      <c r="I32" s="22" t="s">
        <v>25</v>
      </c>
      <c r="J32" s="22" t="s">
        <v>26</v>
      </c>
      <c r="K32" s="22" t="s">
        <v>30</v>
      </c>
      <c r="L32" s="22" t="s">
        <v>22</v>
      </c>
      <c r="M32" s="22" t="s">
        <v>27</v>
      </c>
      <c r="N32" s="25"/>
      <c r="O32" s="26"/>
      <c r="P32" s="26"/>
      <c r="Q32" s="2"/>
      <c r="R32" s="2"/>
    </row>
    <row r="33">
      <c r="A33" s="2"/>
      <c r="B33" s="31"/>
      <c r="C33" s="32"/>
      <c r="D33" s="17"/>
      <c r="E33" s="18"/>
      <c r="F33" s="31"/>
      <c r="G33" s="28"/>
      <c r="H33" s="30"/>
      <c r="I33" s="29"/>
      <c r="J33" s="29"/>
      <c r="K33" s="29"/>
      <c r="L33" s="29"/>
      <c r="M33" s="29"/>
      <c r="N33" s="33"/>
      <c r="O33" s="33"/>
      <c r="P33" s="33"/>
      <c r="Q33" s="2"/>
      <c r="R33" s="2"/>
    </row>
    <row r="34" ht="18.75" customHeight="1">
      <c r="A34" s="2"/>
      <c r="B34" s="2"/>
      <c r="C34" s="3"/>
      <c r="D34" s="3"/>
      <c r="E34" s="2"/>
      <c r="F34" s="2"/>
      <c r="G34" s="34">
        <f t="shared" ref="G34:H34" si="1">SUM(G4:G33)</f>
        <v>1225000</v>
      </c>
      <c r="H34" s="35">
        <f t="shared" si="1"/>
        <v>3845000</v>
      </c>
      <c r="I34" s="2"/>
      <c r="J34" s="2"/>
      <c r="K34" s="2"/>
      <c r="L34" s="2"/>
      <c r="M34" s="2"/>
      <c r="N34" s="2"/>
      <c r="O34" s="2"/>
      <c r="P34" s="2"/>
      <c r="Q34" s="2"/>
      <c r="R34" s="2"/>
    </row>
    <row r="35" ht="23.25" customHeight="1">
      <c r="A35" s="2"/>
      <c r="B35" s="2"/>
      <c r="C35" s="3"/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2"/>
      <c r="B36" s="2"/>
      <c r="C36" s="3"/>
      <c r="D36" s="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/>
      <c r="B37" s="36" t="s">
        <v>1</v>
      </c>
      <c r="C37" s="37" t="s">
        <v>7</v>
      </c>
      <c r="D37" s="37" t="s">
        <v>45</v>
      </c>
      <c r="E37" s="1"/>
      <c r="F37" s="2"/>
      <c r="G37" s="2"/>
      <c r="H37" s="2"/>
      <c r="I37" s="2"/>
      <c r="J37" s="2"/>
      <c r="K37" s="2"/>
      <c r="L37" s="2"/>
      <c r="M37" s="2"/>
      <c r="N37" s="37" t="s">
        <v>46</v>
      </c>
      <c r="O37" s="37" t="s">
        <v>2</v>
      </c>
      <c r="P37" s="2"/>
      <c r="Q37" s="2"/>
      <c r="R37" s="2"/>
    </row>
    <row r="38">
      <c r="A38" s="2"/>
      <c r="B38" s="38">
        <v>1.0</v>
      </c>
      <c r="C38" s="39" t="s">
        <v>47</v>
      </c>
      <c r="D38" s="40">
        <f>SUM(G34)</f>
        <v>1225000</v>
      </c>
      <c r="E38" s="41"/>
      <c r="F38" s="2"/>
      <c r="G38" s="2"/>
      <c r="H38" s="2"/>
      <c r="I38" s="2"/>
      <c r="J38" s="2"/>
      <c r="K38" s="2"/>
      <c r="L38" s="2"/>
      <c r="M38" s="2"/>
      <c r="N38" s="42" t="s">
        <v>48</v>
      </c>
      <c r="O38" s="23" t="s">
        <v>33</v>
      </c>
      <c r="P38" s="2"/>
      <c r="Q38" s="2"/>
      <c r="R38" s="2"/>
    </row>
    <row r="39">
      <c r="A39" s="2"/>
      <c r="B39" s="43">
        <v>2.0</v>
      </c>
      <c r="C39" s="44" t="s">
        <v>322</v>
      </c>
      <c r="D39" s="45">
        <v>-16000.0</v>
      </c>
      <c r="E39" s="46"/>
      <c r="F39" s="2"/>
      <c r="G39" s="2"/>
      <c r="H39" s="2"/>
      <c r="I39" s="2"/>
      <c r="J39" s="2"/>
      <c r="K39" s="2"/>
      <c r="L39" s="2"/>
      <c r="M39" s="2"/>
      <c r="N39" s="47" t="s">
        <v>50</v>
      </c>
      <c r="O39" s="48" t="s">
        <v>22</v>
      </c>
      <c r="P39" s="2"/>
      <c r="Q39" s="2"/>
      <c r="R39" s="2"/>
    </row>
    <row r="40">
      <c r="A40" s="2"/>
      <c r="B40" s="38">
        <v>3.0</v>
      </c>
      <c r="C40" s="39" t="s">
        <v>76</v>
      </c>
      <c r="D40" s="49">
        <v>-50000.0</v>
      </c>
      <c r="E40" s="46"/>
      <c r="F40" s="2"/>
      <c r="G40" s="2"/>
      <c r="H40" s="2"/>
      <c r="I40" s="2"/>
      <c r="J40" s="2"/>
      <c r="K40" s="2"/>
      <c r="L40" s="2"/>
      <c r="M40" s="2"/>
      <c r="N40" s="50" t="s">
        <v>52</v>
      </c>
      <c r="O40" s="25" t="s">
        <v>34</v>
      </c>
      <c r="P40" s="2"/>
      <c r="Q40" s="2"/>
      <c r="R40" s="2"/>
    </row>
    <row r="41">
      <c r="A41" s="2"/>
      <c r="B41" s="43">
        <v>4.0</v>
      </c>
      <c r="C41" s="44" t="s">
        <v>97</v>
      </c>
      <c r="D41" s="45">
        <v>-9000.0</v>
      </c>
      <c r="E41" s="46"/>
      <c r="F41" s="2"/>
      <c r="G41" s="2"/>
      <c r="H41" s="2"/>
      <c r="I41" s="2"/>
      <c r="J41" s="2"/>
      <c r="K41" s="2"/>
      <c r="L41" s="2"/>
      <c r="M41" s="2"/>
      <c r="N41" s="51" t="s">
        <v>54</v>
      </c>
      <c r="O41" s="48" t="s">
        <v>27</v>
      </c>
      <c r="P41" s="2"/>
      <c r="Q41" s="2"/>
      <c r="R41" s="2"/>
    </row>
    <row r="42">
      <c r="A42" s="2"/>
      <c r="B42" s="38"/>
      <c r="C42" s="39" t="s">
        <v>139</v>
      </c>
      <c r="D42" s="49">
        <v>-75000.0</v>
      </c>
      <c r="E42" s="41"/>
      <c r="F42" s="2"/>
      <c r="G42" s="2"/>
      <c r="H42" s="2"/>
      <c r="I42" s="2"/>
      <c r="J42" s="2"/>
      <c r="K42" s="2"/>
      <c r="L42" s="2"/>
      <c r="M42" s="2"/>
      <c r="N42" s="53"/>
      <c r="O42" s="2"/>
      <c r="P42" s="2"/>
      <c r="Q42" s="2"/>
      <c r="R42" s="2"/>
    </row>
    <row r="43">
      <c r="A43" s="2"/>
      <c r="B43" s="43"/>
      <c r="C43" s="44" t="s">
        <v>49</v>
      </c>
      <c r="D43" s="45">
        <v>-85500.0</v>
      </c>
      <c r="E43" s="41"/>
      <c r="F43" s="71">
        <f>D39+D44+D45</f>
        <v>-196500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>
      <c r="A44" s="2"/>
      <c r="B44" s="38"/>
      <c r="C44" s="39" t="s">
        <v>323</v>
      </c>
      <c r="D44" s="49">
        <v>-41000.0</v>
      </c>
      <c r="E44" s="41"/>
      <c r="F44" s="71">
        <f>D40+D41+D42+D43</f>
        <v>-219500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2"/>
      <c r="B45" s="43"/>
      <c r="C45" s="39" t="s">
        <v>324</v>
      </c>
      <c r="D45" s="45">
        <v>-139500.0</v>
      </c>
      <c r="E45" s="4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>
      <c r="A46" s="2"/>
      <c r="B46" s="38"/>
      <c r="D46" s="40"/>
      <c r="E46" s="4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>
      <c r="A47" s="2"/>
      <c r="B47" s="43"/>
      <c r="C47" s="54"/>
      <c r="D47" s="55"/>
      <c r="E47" s="4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>
      <c r="A48" s="2"/>
      <c r="B48" s="56"/>
      <c r="C48" s="57"/>
      <c r="D48" s="58"/>
      <c r="E48" s="4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>
      <c r="A49" s="2"/>
      <c r="B49" s="2"/>
      <c r="C49" s="3"/>
      <c r="D49" s="59">
        <f>SUM(D38:D48)</f>
        <v>809000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>
      <c r="A50" s="2"/>
      <c r="B50" s="2"/>
      <c r="C50" s="3"/>
      <c r="D50" s="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>
      <c r="A51" s="2"/>
      <c r="B51" s="2"/>
      <c r="C51" s="3"/>
      <c r="D51" s="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>
      <c r="A52" s="2"/>
      <c r="B52" s="2"/>
      <c r="C52" s="3"/>
      <c r="D52" s="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>
      <c r="A53" s="2"/>
      <c r="B53" s="2"/>
      <c r="C53" s="3"/>
      <c r="D53" s="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33 O38:O39">
      <formula1>"-,JIJANG,AXEL,ADDEL ,FAHME,INDAH"</formula1>
    </dataValidation>
    <dataValidation type="list" allowBlank="1" showDropDown="1" showErrorMessage="1" sqref="D4:D33">
      <formula1>"-,Single,Couple A,Couple B,Group A,Group B,Group C,Large Group,Graduation,Graduation Premium,Family A,Family B,Maternity,Concept,Studio Rent,Pas Foto,Single,Add Person ,Add Edit,Canvas 16RS,Packing,Photofox,All File"</formula1>
    </dataValidation>
    <dataValidation type="list" allowBlank="1" showDropDown="1" showErrorMessage="1" sqref="M4:M33 O40:O41">
      <formula1>"-,VERO,FADEL,ADIF ,FAHME,HANIF"</formula1>
    </dataValidation>
    <dataValidation type="list" allowBlank="1" showErrorMessage="1" sqref="N4:N33">
      <formula1>"-,Pending,Progress,Uploaded"</formula1>
    </dataValidation>
    <dataValidation type="list" allowBlank="1" showErrorMessage="1" sqref="O4:O33">
      <formula1>"-,In Pikako,In Foxe"</formula1>
    </dataValidation>
    <dataValidation type="list" allowBlank="1" showDropDown="1" showErrorMessage="1" sqref="I4:I33">
      <formula1>"-,DP,Lunas"</formula1>
    </dataValidation>
    <dataValidation type="list" allowBlank="1" showDropDown="1" showErrorMessage="1" sqref="J4:K33">
      <formula1>"-,Pending,Uploaded"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27.88"/>
    <col customWidth="1" min="5" max="5" width="6.0"/>
    <col customWidth="1" min="6" max="6" width="16.0"/>
    <col customWidth="1" min="7" max="8" width="14.88"/>
    <col customWidth="1" min="9" max="11" width="12.38"/>
    <col customWidth="1" min="12" max="12" width="15.0"/>
    <col customWidth="1" min="13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2"/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 t="s">
        <v>325</v>
      </c>
      <c r="D4" s="17" t="s">
        <v>82</v>
      </c>
      <c r="E4" s="18"/>
      <c r="F4" s="19">
        <v>46190.0</v>
      </c>
      <c r="G4" s="20"/>
      <c r="H4" s="21">
        <v>100000.0</v>
      </c>
      <c r="I4" s="22" t="s">
        <v>21</v>
      </c>
      <c r="J4" s="22"/>
      <c r="K4" s="22"/>
      <c r="L4" s="22" t="s">
        <v>22</v>
      </c>
      <c r="M4" s="22"/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 t="s">
        <v>314</v>
      </c>
      <c r="D5" s="17" t="s">
        <v>20</v>
      </c>
      <c r="E5" s="18"/>
      <c r="F5" s="19">
        <v>46190.0</v>
      </c>
      <c r="G5" s="20"/>
      <c r="H5" s="21">
        <v>100000.0</v>
      </c>
      <c r="I5" s="22" t="s">
        <v>25</v>
      </c>
      <c r="J5" s="22" t="s">
        <v>26</v>
      </c>
      <c r="K5" s="22" t="s">
        <v>30</v>
      </c>
      <c r="L5" s="22" t="s">
        <v>178</v>
      </c>
      <c r="M5" s="22" t="s">
        <v>27</v>
      </c>
      <c r="N5" s="25"/>
      <c r="O5" s="25"/>
      <c r="P5" s="26"/>
      <c r="Q5" s="2"/>
      <c r="R5" s="2"/>
    </row>
    <row r="6">
      <c r="A6" s="2"/>
      <c r="B6" s="15">
        <v>3.0</v>
      </c>
      <c r="C6" s="16" t="s">
        <v>326</v>
      </c>
      <c r="D6" s="17" t="s">
        <v>40</v>
      </c>
      <c r="E6" s="18"/>
      <c r="F6" s="27">
        <v>46190.0</v>
      </c>
      <c r="G6" s="28"/>
      <c r="H6" s="21">
        <v>100000.0</v>
      </c>
      <c r="I6" s="22" t="s">
        <v>21</v>
      </c>
      <c r="J6" s="22"/>
      <c r="K6" s="22"/>
      <c r="L6" s="22" t="s">
        <v>178</v>
      </c>
      <c r="M6" s="29"/>
      <c r="N6" s="25"/>
      <c r="O6" s="25"/>
      <c r="P6" s="26"/>
      <c r="Q6" s="2"/>
      <c r="R6" s="2"/>
    </row>
    <row r="7">
      <c r="A7" s="2"/>
      <c r="B7" s="15">
        <v>4.0</v>
      </c>
      <c r="C7" s="16" t="s">
        <v>327</v>
      </c>
      <c r="D7" s="17" t="s">
        <v>20</v>
      </c>
      <c r="E7" s="18"/>
      <c r="F7" s="27">
        <v>46190.0</v>
      </c>
      <c r="G7" s="20"/>
      <c r="H7" s="21">
        <v>200000.0</v>
      </c>
      <c r="I7" s="22" t="s">
        <v>25</v>
      </c>
      <c r="J7" s="22" t="s">
        <v>26</v>
      </c>
      <c r="K7" s="22" t="s">
        <v>30</v>
      </c>
      <c r="L7" s="22" t="s">
        <v>178</v>
      </c>
      <c r="M7" s="22" t="s">
        <v>27</v>
      </c>
      <c r="N7" s="25"/>
      <c r="O7" s="25"/>
      <c r="P7" s="26"/>
      <c r="Q7" s="2"/>
      <c r="R7" s="2"/>
    </row>
    <row r="8">
      <c r="A8" s="2"/>
      <c r="B8" s="15">
        <v>5.0</v>
      </c>
      <c r="C8" s="16" t="s">
        <v>328</v>
      </c>
      <c r="D8" s="17" t="s">
        <v>82</v>
      </c>
      <c r="E8" s="18"/>
      <c r="F8" s="19">
        <v>46190.0</v>
      </c>
      <c r="G8" s="20"/>
      <c r="H8" s="21">
        <v>400000.0</v>
      </c>
      <c r="I8" s="22" t="s">
        <v>25</v>
      </c>
      <c r="J8" s="22" t="s">
        <v>26</v>
      </c>
      <c r="K8" s="22" t="s">
        <v>30</v>
      </c>
      <c r="L8" s="22" t="s">
        <v>178</v>
      </c>
      <c r="M8" s="22" t="s">
        <v>27</v>
      </c>
      <c r="N8" s="25"/>
      <c r="O8" s="26"/>
      <c r="P8" s="26"/>
      <c r="Q8" s="2"/>
      <c r="R8" s="2"/>
    </row>
    <row r="9">
      <c r="A9" s="2"/>
      <c r="B9" s="15">
        <v>6.0</v>
      </c>
      <c r="C9" s="16" t="s">
        <v>329</v>
      </c>
      <c r="D9" s="17" t="s">
        <v>40</v>
      </c>
      <c r="E9" s="18"/>
      <c r="F9" s="19">
        <v>46190.0</v>
      </c>
      <c r="G9" s="20">
        <v>0.0</v>
      </c>
      <c r="H9" s="21">
        <v>0.0</v>
      </c>
      <c r="I9" s="22" t="s">
        <v>25</v>
      </c>
      <c r="J9" s="22" t="s">
        <v>26</v>
      </c>
      <c r="K9" s="22" t="s">
        <v>30</v>
      </c>
      <c r="L9" s="22" t="s">
        <v>178</v>
      </c>
      <c r="M9" s="22" t="s">
        <v>62</v>
      </c>
      <c r="N9" s="25"/>
      <c r="O9" s="26"/>
      <c r="P9" s="26"/>
      <c r="Q9" s="2"/>
      <c r="R9" s="2"/>
    </row>
    <row r="10">
      <c r="A10" s="2"/>
      <c r="B10" s="15">
        <v>7.0</v>
      </c>
      <c r="C10" s="16" t="s">
        <v>330</v>
      </c>
      <c r="D10" s="17" t="s">
        <v>82</v>
      </c>
      <c r="E10" s="18"/>
      <c r="F10" s="27">
        <v>46190.0</v>
      </c>
      <c r="G10" s="20">
        <v>400000.0</v>
      </c>
      <c r="H10" s="30"/>
      <c r="I10" s="22" t="s">
        <v>25</v>
      </c>
      <c r="J10" s="22" t="s">
        <v>26</v>
      </c>
      <c r="K10" s="22" t="s">
        <v>30</v>
      </c>
      <c r="L10" s="22" t="s">
        <v>178</v>
      </c>
      <c r="M10" s="22" t="s">
        <v>331</v>
      </c>
      <c r="N10" s="25"/>
      <c r="O10" s="26"/>
      <c r="P10" s="26"/>
      <c r="Q10" s="2"/>
      <c r="R10" s="2"/>
    </row>
    <row r="11">
      <c r="A11" s="2"/>
      <c r="B11" s="15">
        <v>8.0</v>
      </c>
      <c r="C11" s="16" t="s">
        <v>332</v>
      </c>
      <c r="D11" s="17" t="s">
        <v>40</v>
      </c>
      <c r="E11" s="18"/>
      <c r="F11" s="27">
        <v>46190.0</v>
      </c>
      <c r="G11" s="20">
        <v>250000.0</v>
      </c>
      <c r="H11" s="30"/>
      <c r="I11" s="22" t="s">
        <v>25</v>
      </c>
      <c r="J11" s="22" t="s">
        <v>26</v>
      </c>
      <c r="K11" s="22" t="s">
        <v>30</v>
      </c>
      <c r="L11" s="22" t="s">
        <v>178</v>
      </c>
      <c r="M11" s="22" t="s">
        <v>333</v>
      </c>
      <c r="N11" s="25"/>
      <c r="O11" s="26"/>
      <c r="P11" s="26"/>
      <c r="Q11" s="2"/>
      <c r="R11" s="2"/>
    </row>
    <row r="12">
      <c r="A12" s="2"/>
      <c r="B12" s="15">
        <v>9.0</v>
      </c>
      <c r="C12" s="16" t="s">
        <v>334</v>
      </c>
      <c r="D12" s="17" t="s">
        <v>40</v>
      </c>
      <c r="E12" s="18"/>
      <c r="F12" s="19">
        <v>46190.0</v>
      </c>
      <c r="G12" s="20"/>
      <c r="H12" s="21">
        <v>370000.0</v>
      </c>
      <c r="I12" s="22" t="s">
        <v>25</v>
      </c>
      <c r="J12" s="22" t="s">
        <v>26</v>
      </c>
      <c r="K12" s="22" t="s">
        <v>30</v>
      </c>
      <c r="L12" s="22" t="s">
        <v>178</v>
      </c>
      <c r="M12" s="22" t="s">
        <v>333</v>
      </c>
      <c r="N12" s="25"/>
      <c r="O12" s="26"/>
      <c r="P12" s="26"/>
      <c r="Q12" s="2"/>
      <c r="R12" s="2"/>
    </row>
    <row r="13">
      <c r="A13" s="2"/>
      <c r="B13" s="15">
        <v>10.0</v>
      </c>
      <c r="C13" s="16" t="s">
        <v>335</v>
      </c>
      <c r="D13" s="17" t="s">
        <v>82</v>
      </c>
      <c r="E13" s="18"/>
      <c r="F13" s="19">
        <v>46190.0</v>
      </c>
      <c r="G13" s="20"/>
      <c r="H13" s="21">
        <v>40000.0</v>
      </c>
      <c r="I13" s="22" t="s">
        <v>25</v>
      </c>
      <c r="J13" s="22" t="s">
        <v>26</v>
      </c>
      <c r="K13" s="22" t="s">
        <v>30</v>
      </c>
      <c r="L13" s="22" t="s">
        <v>178</v>
      </c>
      <c r="M13" s="22" t="s">
        <v>331</v>
      </c>
      <c r="N13" s="25"/>
      <c r="O13" s="26"/>
      <c r="P13" s="26"/>
      <c r="Q13" s="2"/>
      <c r="R13" s="2"/>
    </row>
    <row r="14">
      <c r="A14" s="2"/>
      <c r="B14" s="15">
        <v>11.0</v>
      </c>
      <c r="C14" s="16" t="s">
        <v>336</v>
      </c>
      <c r="D14" s="17" t="s">
        <v>40</v>
      </c>
      <c r="E14" s="18"/>
      <c r="F14" s="27">
        <v>46190.0</v>
      </c>
      <c r="G14" s="20"/>
      <c r="H14" s="21">
        <v>350000.0</v>
      </c>
      <c r="I14" s="22" t="s">
        <v>25</v>
      </c>
      <c r="J14" s="22" t="s">
        <v>26</v>
      </c>
      <c r="K14" s="22" t="s">
        <v>30</v>
      </c>
      <c r="L14" s="22" t="s">
        <v>178</v>
      </c>
      <c r="M14" s="22" t="s">
        <v>333</v>
      </c>
      <c r="N14" s="25"/>
      <c r="O14" s="26"/>
      <c r="P14" s="26"/>
      <c r="Q14" s="2"/>
      <c r="R14" s="2"/>
    </row>
    <row r="15">
      <c r="A15" s="2"/>
      <c r="B15" s="15">
        <v>12.0</v>
      </c>
      <c r="C15" s="16" t="s">
        <v>337</v>
      </c>
      <c r="D15" s="17" t="s">
        <v>40</v>
      </c>
      <c r="E15" s="18"/>
      <c r="F15" s="27">
        <v>46190.0</v>
      </c>
      <c r="G15" s="20">
        <v>250000.0</v>
      </c>
      <c r="H15" s="30"/>
      <c r="I15" s="22" t="s">
        <v>25</v>
      </c>
      <c r="J15" s="22" t="s">
        <v>26</v>
      </c>
      <c r="K15" s="22" t="s">
        <v>30</v>
      </c>
      <c r="L15" s="22" t="s">
        <v>178</v>
      </c>
      <c r="M15" s="22" t="s">
        <v>27</v>
      </c>
      <c r="N15" s="25"/>
      <c r="O15" s="26"/>
      <c r="P15" s="26"/>
      <c r="Q15" s="2"/>
      <c r="R15" s="2"/>
    </row>
    <row r="16">
      <c r="A16" s="2"/>
      <c r="B16" s="15">
        <v>13.0</v>
      </c>
      <c r="C16" s="16" t="s">
        <v>338</v>
      </c>
      <c r="D16" s="17" t="s">
        <v>40</v>
      </c>
      <c r="E16" s="18"/>
      <c r="F16" s="19">
        <v>46190.0</v>
      </c>
      <c r="G16" s="20">
        <v>350000.0</v>
      </c>
      <c r="H16" s="30"/>
      <c r="I16" s="22" t="s">
        <v>25</v>
      </c>
      <c r="J16" s="22" t="s">
        <v>26</v>
      </c>
      <c r="K16" s="22" t="s">
        <v>30</v>
      </c>
      <c r="L16" s="22" t="s">
        <v>178</v>
      </c>
      <c r="M16" s="22" t="s">
        <v>331</v>
      </c>
      <c r="N16" s="25"/>
      <c r="O16" s="26"/>
      <c r="P16" s="26"/>
      <c r="Q16" s="2"/>
      <c r="R16" s="2"/>
    </row>
    <row r="17">
      <c r="A17" s="2"/>
      <c r="B17" s="15">
        <v>14.0</v>
      </c>
      <c r="C17" s="16" t="s">
        <v>339</v>
      </c>
      <c r="D17" s="17" t="s">
        <v>40</v>
      </c>
      <c r="E17" s="18"/>
      <c r="F17" s="19">
        <v>46190.0</v>
      </c>
      <c r="G17" s="20">
        <v>250000.0</v>
      </c>
      <c r="H17" s="30"/>
      <c r="I17" s="22" t="s">
        <v>25</v>
      </c>
      <c r="J17" s="22" t="s">
        <v>26</v>
      </c>
      <c r="K17" s="22" t="s">
        <v>30</v>
      </c>
      <c r="L17" s="22" t="s">
        <v>178</v>
      </c>
      <c r="M17" s="22" t="s">
        <v>62</v>
      </c>
      <c r="N17" s="25"/>
      <c r="O17" s="26"/>
      <c r="P17" s="26"/>
      <c r="Q17" s="2"/>
      <c r="R17" s="2"/>
    </row>
    <row r="18">
      <c r="A18" s="2"/>
      <c r="B18" s="15">
        <v>15.0</v>
      </c>
      <c r="C18" s="16" t="s">
        <v>340</v>
      </c>
      <c r="D18" s="17" t="s">
        <v>40</v>
      </c>
      <c r="E18" s="18"/>
      <c r="F18" s="27">
        <v>46190.0</v>
      </c>
      <c r="G18" s="20"/>
      <c r="H18" s="21">
        <v>270000.0</v>
      </c>
      <c r="I18" s="22" t="s">
        <v>25</v>
      </c>
      <c r="J18" s="22" t="s">
        <v>26</v>
      </c>
      <c r="K18" s="22" t="s">
        <v>30</v>
      </c>
      <c r="L18" s="22" t="s">
        <v>178</v>
      </c>
      <c r="M18" s="22" t="s">
        <v>27</v>
      </c>
      <c r="N18" s="25"/>
      <c r="O18" s="26"/>
      <c r="P18" s="26"/>
      <c r="Q18" s="2"/>
      <c r="R18" s="2"/>
    </row>
    <row r="19">
      <c r="A19" s="2"/>
      <c r="B19" s="15">
        <v>16.0</v>
      </c>
      <c r="C19" s="16" t="s">
        <v>341</v>
      </c>
      <c r="D19" s="17" t="s">
        <v>40</v>
      </c>
      <c r="E19" s="18"/>
      <c r="F19" s="27">
        <v>46190.0</v>
      </c>
      <c r="G19" s="20">
        <v>250000.0</v>
      </c>
      <c r="H19" s="30"/>
      <c r="I19" s="22" t="s">
        <v>25</v>
      </c>
      <c r="J19" s="22" t="s">
        <v>26</v>
      </c>
      <c r="K19" s="22" t="s">
        <v>30</v>
      </c>
      <c r="L19" s="22" t="s">
        <v>178</v>
      </c>
      <c r="M19" s="22" t="s">
        <v>27</v>
      </c>
      <c r="N19" s="25"/>
      <c r="O19" s="26"/>
      <c r="P19" s="26"/>
      <c r="Q19" s="2"/>
      <c r="R19" s="2"/>
    </row>
    <row r="20">
      <c r="A20" s="2"/>
      <c r="B20" s="15">
        <v>17.0</v>
      </c>
      <c r="C20" s="16" t="s">
        <v>342</v>
      </c>
      <c r="D20" s="17" t="s">
        <v>40</v>
      </c>
      <c r="E20" s="18"/>
      <c r="F20" s="27">
        <v>46190.0</v>
      </c>
      <c r="G20" s="20"/>
      <c r="H20" s="21">
        <v>350000.0</v>
      </c>
      <c r="I20" s="22" t="s">
        <v>25</v>
      </c>
      <c r="J20" s="22" t="s">
        <v>26</v>
      </c>
      <c r="K20" s="22" t="s">
        <v>30</v>
      </c>
      <c r="L20" s="22" t="s">
        <v>178</v>
      </c>
      <c r="M20" s="22" t="s">
        <v>62</v>
      </c>
      <c r="N20" s="25"/>
      <c r="O20" s="26"/>
      <c r="P20" s="26"/>
      <c r="Q20" s="2"/>
      <c r="R20" s="2"/>
    </row>
    <row r="21">
      <c r="A21" s="2"/>
      <c r="B21" s="15">
        <v>18.0</v>
      </c>
      <c r="C21" s="16" t="s">
        <v>343</v>
      </c>
      <c r="D21" s="17" t="s">
        <v>40</v>
      </c>
      <c r="E21" s="18"/>
      <c r="F21" s="27">
        <v>46190.0</v>
      </c>
      <c r="G21" s="20"/>
      <c r="H21" s="21">
        <v>290000.0</v>
      </c>
      <c r="I21" s="22" t="s">
        <v>25</v>
      </c>
      <c r="J21" s="22" t="s">
        <v>26</v>
      </c>
      <c r="K21" s="22" t="s">
        <v>30</v>
      </c>
      <c r="L21" s="22" t="s">
        <v>178</v>
      </c>
      <c r="M21" s="22" t="s">
        <v>333</v>
      </c>
      <c r="N21" s="25"/>
      <c r="O21" s="26"/>
      <c r="P21" s="26"/>
      <c r="Q21" s="2"/>
      <c r="R21" s="2"/>
    </row>
    <row r="22">
      <c r="A22" s="2"/>
      <c r="B22" s="15">
        <v>19.0</v>
      </c>
      <c r="C22" s="16" t="s">
        <v>344</v>
      </c>
      <c r="D22" s="17" t="s">
        <v>40</v>
      </c>
      <c r="E22" s="18"/>
      <c r="F22" s="19">
        <v>46190.0</v>
      </c>
      <c r="G22" s="20"/>
      <c r="H22" s="30"/>
      <c r="I22" s="22" t="s">
        <v>25</v>
      </c>
      <c r="J22" s="22" t="s">
        <v>26</v>
      </c>
      <c r="K22" s="22" t="s">
        <v>30</v>
      </c>
      <c r="L22" s="22" t="s">
        <v>178</v>
      </c>
      <c r="M22" s="22" t="s">
        <v>62</v>
      </c>
      <c r="N22" s="25"/>
      <c r="O22" s="26"/>
      <c r="P22" s="26"/>
      <c r="Q22" s="2"/>
      <c r="R22" s="2"/>
    </row>
    <row r="23">
      <c r="A23" s="2"/>
      <c r="B23" s="15">
        <v>20.0</v>
      </c>
      <c r="C23" s="16" t="s">
        <v>345</v>
      </c>
      <c r="D23" s="17" t="s">
        <v>40</v>
      </c>
      <c r="E23" s="18"/>
      <c r="F23" s="19">
        <v>46190.0</v>
      </c>
      <c r="G23" s="20"/>
      <c r="H23" s="21">
        <v>250000.0</v>
      </c>
      <c r="I23" s="22" t="s">
        <v>25</v>
      </c>
      <c r="J23" s="22" t="s">
        <v>26</v>
      </c>
      <c r="K23" s="22" t="s">
        <v>30</v>
      </c>
      <c r="L23" s="22" t="s">
        <v>178</v>
      </c>
      <c r="M23" s="22" t="s">
        <v>27</v>
      </c>
      <c r="N23" s="25"/>
      <c r="O23" s="26"/>
      <c r="P23" s="26"/>
      <c r="Q23" s="2"/>
      <c r="R23" s="2"/>
    </row>
    <row r="24">
      <c r="A24" s="2"/>
      <c r="B24" s="15">
        <v>21.0</v>
      </c>
      <c r="C24" s="16" t="s">
        <v>346</v>
      </c>
      <c r="D24" s="17" t="s">
        <v>40</v>
      </c>
      <c r="E24" s="18"/>
      <c r="F24" s="27">
        <v>46190.0</v>
      </c>
      <c r="G24" s="20">
        <v>250000.0</v>
      </c>
      <c r="H24" s="30"/>
      <c r="I24" s="22" t="s">
        <v>25</v>
      </c>
      <c r="J24" s="22" t="s">
        <v>26</v>
      </c>
      <c r="K24" s="22" t="s">
        <v>30</v>
      </c>
      <c r="L24" s="22" t="s">
        <v>178</v>
      </c>
      <c r="M24" s="22" t="s">
        <v>331</v>
      </c>
      <c r="N24" s="25"/>
      <c r="O24" s="26"/>
      <c r="P24" s="26"/>
      <c r="Q24" s="2"/>
      <c r="R24" s="2"/>
    </row>
    <row r="25">
      <c r="A25" s="2"/>
      <c r="B25" s="15">
        <v>22.0</v>
      </c>
      <c r="C25" s="16" t="s">
        <v>347</v>
      </c>
      <c r="D25" s="17" t="s">
        <v>40</v>
      </c>
      <c r="E25" s="18"/>
      <c r="F25" s="27">
        <v>46190.0</v>
      </c>
      <c r="G25" s="20"/>
      <c r="H25" s="21">
        <v>330000.0</v>
      </c>
      <c r="I25" s="22" t="s">
        <v>25</v>
      </c>
      <c r="J25" s="22" t="s">
        <v>26</v>
      </c>
      <c r="K25" s="22" t="s">
        <v>30</v>
      </c>
      <c r="L25" s="22" t="s">
        <v>178</v>
      </c>
      <c r="M25" s="22" t="s">
        <v>333</v>
      </c>
      <c r="N25" s="25"/>
      <c r="O25" s="26"/>
      <c r="P25" s="26"/>
      <c r="Q25" s="2"/>
      <c r="R25" s="2"/>
    </row>
    <row r="26">
      <c r="A26" s="2"/>
      <c r="B26" s="15">
        <v>23.0</v>
      </c>
      <c r="C26" s="16" t="s">
        <v>348</v>
      </c>
      <c r="D26" s="17" t="s">
        <v>40</v>
      </c>
      <c r="E26" s="18"/>
      <c r="F26" s="27">
        <v>46190.0</v>
      </c>
      <c r="G26" s="20">
        <v>270000.0</v>
      </c>
      <c r="H26" s="30"/>
      <c r="I26" s="22" t="s">
        <v>25</v>
      </c>
      <c r="J26" s="22" t="s">
        <v>26</v>
      </c>
      <c r="K26" s="22" t="s">
        <v>30</v>
      </c>
      <c r="L26" s="22" t="s">
        <v>178</v>
      </c>
      <c r="M26" s="22" t="s">
        <v>62</v>
      </c>
      <c r="N26" s="25"/>
      <c r="O26" s="26"/>
      <c r="P26" s="26"/>
      <c r="Q26" s="2"/>
      <c r="R26" s="2"/>
    </row>
    <row r="27">
      <c r="A27" s="2"/>
      <c r="B27" s="15">
        <v>24.0</v>
      </c>
      <c r="C27" s="16" t="s">
        <v>349</v>
      </c>
      <c r="D27" s="17" t="s">
        <v>40</v>
      </c>
      <c r="E27" s="18"/>
      <c r="F27" s="27">
        <v>46190.0</v>
      </c>
      <c r="G27" s="20"/>
      <c r="H27" s="21">
        <v>250000.0</v>
      </c>
      <c r="I27" s="22" t="s">
        <v>25</v>
      </c>
      <c r="J27" s="22" t="s">
        <v>26</v>
      </c>
      <c r="K27" s="22" t="s">
        <v>30</v>
      </c>
      <c r="L27" s="22" t="s">
        <v>178</v>
      </c>
      <c r="M27" s="22" t="s">
        <v>27</v>
      </c>
      <c r="N27" s="25"/>
      <c r="O27" s="26"/>
      <c r="P27" s="26"/>
      <c r="Q27" s="2"/>
      <c r="R27" s="2"/>
    </row>
    <row r="28">
      <c r="A28" s="2"/>
      <c r="B28" s="15">
        <v>25.0</v>
      </c>
      <c r="C28" s="16" t="s">
        <v>350</v>
      </c>
      <c r="D28" s="17" t="s">
        <v>40</v>
      </c>
      <c r="E28" s="18"/>
      <c r="F28" s="19">
        <v>46190.0</v>
      </c>
      <c r="G28" s="20">
        <v>250000.0</v>
      </c>
      <c r="H28" s="30"/>
      <c r="I28" s="22" t="s">
        <v>25</v>
      </c>
      <c r="J28" s="22" t="s">
        <v>26</v>
      </c>
      <c r="K28" s="22" t="s">
        <v>30</v>
      </c>
      <c r="L28" s="22" t="s">
        <v>178</v>
      </c>
      <c r="M28" s="22" t="s">
        <v>62</v>
      </c>
      <c r="N28" s="25"/>
      <c r="O28" s="26"/>
      <c r="P28" s="26"/>
      <c r="Q28" s="2"/>
      <c r="R28" s="2"/>
    </row>
    <row r="29">
      <c r="A29" s="2"/>
      <c r="B29" s="15">
        <v>26.0</v>
      </c>
      <c r="C29" s="16" t="s">
        <v>351</v>
      </c>
      <c r="D29" s="17" t="s">
        <v>40</v>
      </c>
      <c r="E29" s="18"/>
      <c r="F29" s="19">
        <v>46190.0</v>
      </c>
      <c r="G29" s="20">
        <v>270000.0</v>
      </c>
      <c r="H29" s="30"/>
      <c r="I29" s="22" t="s">
        <v>25</v>
      </c>
      <c r="J29" s="22" t="s">
        <v>26</v>
      </c>
      <c r="K29" s="22" t="s">
        <v>30</v>
      </c>
      <c r="L29" s="22" t="s">
        <v>178</v>
      </c>
      <c r="M29" s="22" t="s">
        <v>331</v>
      </c>
      <c r="N29" s="25"/>
      <c r="O29" s="26"/>
      <c r="P29" s="26"/>
      <c r="Q29" s="2"/>
      <c r="R29" s="2"/>
    </row>
    <row r="30">
      <c r="A30" s="2"/>
      <c r="B30" s="15">
        <v>27.0</v>
      </c>
      <c r="C30" s="16" t="s">
        <v>352</v>
      </c>
      <c r="D30" s="17" t="s">
        <v>40</v>
      </c>
      <c r="E30" s="18"/>
      <c r="F30" s="27">
        <v>46190.0</v>
      </c>
      <c r="G30" s="20">
        <v>250000.0</v>
      </c>
      <c r="H30" s="30"/>
      <c r="I30" s="22" t="s">
        <v>25</v>
      </c>
      <c r="J30" s="22" t="s">
        <v>26</v>
      </c>
      <c r="K30" s="22" t="s">
        <v>30</v>
      </c>
      <c r="L30" s="22" t="s">
        <v>178</v>
      </c>
      <c r="M30" s="22" t="s">
        <v>27</v>
      </c>
      <c r="N30" s="25"/>
      <c r="O30" s="26"/>
      <c r="P30" s="26"/>
      <c r="Q30" s="2"/>
      <c r="R30" s="2"/>
    </row>
    <row r="31">
      <c r="A31" s="2"/>
      <c r="B31" s="15">
        <v>28.0</v>
      </c>
      <c r="C31" s="16" t="s">
        <v>353</v>
      </c>
      <c r="D31" s="17" t="s">
        <v>40</v>
      </c>
      <c r="E31" s="18"/>
      <c r="F31" s="27">
        <v>46190.0</v>
      </c>
      <c r="G31" s="20">
        <v>250000.0</v>
      </c>
      <c r="H31" s="30"/>
      <c r="I31" s="22" t="s">
        <v>25</v>
      </c>
      <c r="J31" s="22" t="s">
        <v>26</v>
      </c>
      <c r="K31" s="22" t="s">
        <v>30</v>
      </c>
      <c r="L31" s="22" t="s">
        <v>22</v>
      </c>
      <c r="M31" s="22" t="s">
        <v>62</v>
      </c>
      <c r="N31" s="25"/>
      <c r="O31" s="26"/>
      <c r="P31" s="26"/>
      <c r="Q31" s="2"/>
      <c r="R31" s="2"/>
    </row>
    <row r="32">
      <c r="A32" s="2"/>
      <c r="B32" s="15">
        <v>29.0</v>
      </c>
      <c r="C32" s="16" t="s">
        <v>354</v>
      </c>
      <c r="D32" s="17" t="s">
        <v>40</v>
      </c>
      <c r="E32" s="18"/>
      <c r="F32" s="27">
        <v>46190.0</v>
      </c>
      <c r="G32" s="20"/>
      <c r="H32" s="21">
        <v>270000.0</v>
      </c>
      <c r="I32" s="22" t="s">
        <v>25</v>
      </c>
      <c r="J32" s="22" t="s">
        <v>26</v>
      </c>
      <c r="K32" s="22" t="s">
        <v>30</v>
      </c>
      <c r="L32" s="22" t="s">
        <v>178</v>
      </c>
      <c r="M32" s="22" t="s">
        <v>331</v>
      </c>
      <c r="N32" s="25"/>
      <c r="O32" s="26"/>
      <c r="P32" s="26"/>
      <c r="Q32" s="2"/>
      <c r="R32" s="2"/>
    </row>
    <row r="33">
      <c r="A33" s="2"/>
      <c r="B33" s="15">
        <v>30.0</v>
      </c>
      <c r="C33" s="16" t="s">
        <v>355</v>
      </c>
      <c r="D33" s="17" t="s">
        <v>40</v>
      </c>
      <c r="E33" s="18"/>
      <c r="F33" s="27">
        <v>46190.0</v>
      </c>
      <c r="G33" s="20">
        <v>250000.0</v>
      </c>
      <c r="H33" s="30"/>
      <c r="I33" s="22" t="s">
        <v>25</v>
      </c>
      <c r="J33" s="22" t="s">
        <v>26</v>
      </c>
      <c r="K33" s="22" t="s">
        <v>30</v>
      </c>
      <c r="L33" s="22" t="s">
        <v>178</v>
      </c>
      <c r="M33" s="22" t="s">
        <v>27</v>
      </c>
      <c r="N33" s="25"/>
      <c r="O33" s="26"/>
      <c r="P33" s="26"/>
      <c r="Q33" s="2"/>
      <c r="R33" s="2"/>
    </row>
    <row r="34">
      <c r="A34" s="2"/>
      <c r="B34" s="15">
        <v>31.0</v>
      </c>
      <c r="C34" s="16" t="s">
        <v>356</v>
      </c>
      <c r="D34" s="17" t="s">
        <v>82</v>
      </c>
      <c r="E34" s="18"/>
      <c r="F34" s="27">
        <v>46190.0</v>
      </c>
      <c r="G34" s="20">
        <v>400000.0</v>
      </c>
      <c r="H34" s="30"/>
      <c r="I34" s="22" t="s">
        <v>25</v>
      </c>
      <c r="J34" s="22" t="s">
        <v>26</v>
      </c>
      <c r="K34" s="22" t="s">
        <v>30</v>
      </c>
      <c r="L34" s="22" t="s">
        <v>178</v>
      </c>
      <c r="M34" s="22" t="s">
        <v>62</v>
      </c>
      <c r="N34" s="25"/>
      <c r="O34" s="26"/>
      <c r="P34" s="26"/>
      <c r="Q34" s="2"/>
      <c r="R34" s="2"/>
    </row>
    <row r="35">
      <c r="A35" s="2"/>
      <c r="B35" s="15">
        <v>32.0</v>
      </c>
      <c r="C35" s="16" t="s">
        <v>357</v>
      </c>
      <c r="D35" s="17" t="s">
        <v>82</v>
      </c>
      <c r="E35" s="18"/>
      <c r="F35" s="27">
        <v>46190.0</v>
      </c>
      <c r="G35" s="20"/>
      <c r="H35" s="21">
        <v>480000.0</v>
      </c>
      <c r="I35" s="22" t="s">
        <v>25</v>
      </c>
      <c r="J35" s="22" t="s">
        <v>26</v>
      </c>
      <c r="K35" s="22" t="s">
        <v>30</v>
      </c>
      <c r="L35" s="22" t="s">
        <v>178</v>
      </c>
      <c r="M35" s="22" t="s">
        <v>27</v>
      </c>
      <c r="N35" s="25"/>
      <c r="O35" s="26"/>
      <c r="P35" s="26"/>
      <c r="Q35" s="2"/>
      <c r="R35" s="2"/>
    </row>
    <row r="36">
      <c r="A36" s="2"/>
      <c r="B36" s="15">
        <v>33.0</v>
      </c>
      <c r="C36" s="16" t="s">
        <v>358</v>
      </c>
      <c r="D36" s="17" t="s">
        <v>92</v>
      </c>
      <c r="E36" s="18"/>
      <c r="F36" s="27">
        <v>46194.0</v>
      </c>
      <c r="G36" s="20"/>
      <c r="H36" s="21">
        <v>100000.0</v>
      </c>
      <c r="I36" s="22" t="s">
        <v>21</v>
      </c>
      <c r="J36" s="22"/>
      <c r="K36" s="22"/>
      <c r="L36" s="22" t="s">
        <v>178</v>
      </c>
      <c r="M36" s="29"/>
      <c r="N36" s="25"/>
      <c r="O36" s="26"/>
      <c r="P36" s="26"/>
      <c r="Q36" s="2"/>
      <c r="R36" s="2"/>
    </row>
    <row r="37">
      <c r="A37" s="2"/>
      <c r="B37" s="15">
        <v>34.0</v>
      </c>
      <c r="C37" s="16" t="s">
        <v>359</v>
      </c>
      <c r="D37" s="17" t="s">
        <v>40</v>
      </c>
      <c r="E37" s="18"/>
      <c r="F37" s="27">
        <v>46190.0</v>
      </c>
      <c r="G37" s="20">
        <v>250000.0</v>
      </c>
      <c r="H37" s="30"/>
      <c r="I37" s="22" t="s">
        <v>25</v>
      </c>
      <c r="J37" s="22" t="s">
        <v>26</v>
      </c>
      <c r="K37" s="22" t="s">
        <v>30</v>
      </c>
      <c r="L37" s="22" t="s">
        <v>178</v>
      </c>
      <c r="M37" s="22" t="s">
        <v>27</v>
      </c>
      <c r="N37" s="25"/>
      <c r="O37" s="26"/>
      <c r="P37" s="26"/>
      <c r="Q37" s="2"/>
      <c r="R37" s="2"/>
    </row>
    <row r="38">
      <c r="A38" s="2"/>
      <c r="B38" s="15">
        <v>35.0</v>
      </c>
      <c r="C38" s="16" t="s">
        <v>360</v>
      </c>
      <c r="D38" s="17" t="s">
        <v>361</v>
      </c>
      <c r="E38" s="18"/>
      <c r="F38" s="27">
        <v>46190.0</v>
      </c>
      <c r="G38" s="20"/>
      <c r="H38" s="21">
        <v>125000.0</v>
      </c>
      <c r="I38" s="22" t="s">
        <v>25</v>
      </c>
      <c r="J38" s="22"/>
      <c r="K38" s="22"/>
      <c r="L38" s="22" t="s">
        <v>178</v>
      </c>
      <c r="M38" s="29"/>
      <c r="N38" s="25"/>
      <c r="O38" s="26"/>
      <c r="P38" s="26"/>
      <c r="Q38" s="2"/>
      <c r="R38" s="2"/>
    </row>
    <row r="39">
      <c r="A39" s="2"/>
      <c r="B39" s="15">
        <v>36.0</v>
      </c>
      <c r="C39" s="16" t="s">
        <v>282</v>
      </c>
      <c r="D39" s="17" t="s">
        <v>20</v>
      </c>
      <c r="E39" s="18"/>
      <c r="F39" s="27">
        <v>46190.0</v>
      </c>
      <c r="G39" s="20"/>
      <c r="H39" s="21">
        <v>575000.0</v>
      </c>
      <c r="I39" s="22" t="s">
        <v>25</v>
      </c>
      <c r="J39" s="22" t="s">
        <v>26</v>
      </c>
      <c r="K39" s="22" t="s">
        <v>30</v>
      </c>
      <c r="L39" s="22" t="s">
        <v>22</v>
      </c>
      <c r="M39" s="22" t="s">
        <v>62</v>
      </c>
      <c r="N39" s="25"/>
      <c r="O39" s="26"/>
      <c r="P39" s="26"/>
      <c r="Q39" s="2"/>
      <c r="R39" s="2"/>
    </row>
    <row r="40">
      <c r="A40" s="2"/>
      <c r="B40" s="15">
        <v>37.0</v>
      </c>
      <c r="C40" s="16" t="s">
        <v>362</v>
      </c>
      <c r="D40" s="17" t="s">
        <v>20</v>
      </c>
      <c r="E40" s="18"/>
      <c r="F40" s="27">
        <v>46191.0</v>
      </c>
      <c r="G40" s="20"/>
      <c r="H40" s="21">
        <v>100000.0</v>
      </c>
      <c r="I40" s="22" t="s">
        <v>21</v>
      </c>
      <c r="J40" s="22"/>
      <c r="K40" s="22"/>
      <c r="L40" s="22" t="s">
        <v>178</v>
      </c>
      <c r="M40" s="29"/>
      <c r="N40" s="25"/>
      <c r="O40" s="26"/>
      <c r="P40" s="26"/>
      <c r="Q40" s="2"/>
      <c r="R40" s="2"/>
    </row>
    <row r="41">
      <c r="A41" s="2"/>
      <c r="B41" s="15">
        <v>38.0</v>
      </c>
      <c r="C41" s="16"/>
      <c r="D41" s="17"/>
      <c r="E41" s="18"/>
      <c r="F41" s="31"/>
      <c r="G41" s="20"/>
      <c r="H41" s="30"/>
      <c r="I41" s="22"/>
      <c r="J41" s="22"/>
      <c r="K41" s="22"/>
      <c r="L41" s="29"/>
      <c r="M41" s="29"/>
      <c r="N41" s="25"/>
      <c r="O41" s="26"/>
      <c r="P41" s="26"/>
      <c r="Q41" s="2"/>
      <c r="R41" s="2"/>
    </row>
    <row r="42">
      <c r="A42" s="2"/>
      <c r="B42" s="15">
        <v>39.0</v>
      </c>
      <c r="C42" s="16"/>
      <c r="D42" s="17"/>
      <c r="E42" s="18"/>
      <c r="F42" s="31"/>
      <c r="G42" s="20"/>
      <c r="H42" s="30"/>
      <c r="I42" s="22"/>
      <c r="J42" s="22"/>
      <c r="K42" s="22"/>
      <c r="L42" s="29"/>
      <c r="M42" s="29"/>
      <c r="N42" s="25"/>
      <c r="O42" s="26"/>
      <c r="P42" s="26"/>
      <c r="Q42" s="2"/>
      <c r="R42" s="2"/>
    </row>
    <row r="43">
      <c r="A43" s="2"/>
      <c r="B43" s="15">
        <v>40.0</v>
      </c>
      <c r="C43" s="16"/>
      <c r="D43" s="17"/>
      <c r="E43" s="18"/>
      <c r="F43" s="31"/>
      <c r="G43" s="20"/>
      <c r="H43" s="30"/>
      <c r="I43" s="22"/>
      <c r="J43" s="22"/>
      <c r="K43" s="22"/>
      <c r="L43" s="29"/>
      <c r="M43" s="29"/>
      <c r="N43" s="25"/>
      <c r="O43" s="26"/>
      <c r="P43" s="26"/>
      <c r="Q43" s="2"/>
      <c r="R43" s="2"/>
    </row>
    <row r="44">
      <c r="A44" s="2"/>
      <c r="B44" s="31"/>
      <c r="C44" s="32"/>
      <c r="D44" s="17"/>
      <c r="E44" s="18"/>
      <c r="F44" s="31"/>
      <c r="G44" s="28"/>
      <c r="H44" s="30"/>
      <c r="I44" s="29"/>
      <c r="J44" s="29"/>
      <c r="K44" s="29"/>
      <c r="L44" s="29"/>
      <c r="M44" s="29"/>
      <c r="N44" s="33"/>
      <c r="O44" s="33"/>
      <c r="P44" s="33"/>
      <c r="Q44" s="2"/>
      <c r="R44" s="2"/>
    </row>
    <row r="45" ht="18.75" customHeight="1">
      <c r="A45" s="2"/>
      <c r="B45" s="2"/>
      <c r="C45" s="3"/>
      <c r="D45" s="3"/>
      <c r="E45" s="2"/>
      <c r="F45" s="2"/>
      <c r="G45" s="34">
        <f t="shared" ref="G45:H45" si="1">SUM(G4:G44)</f>
        <v>4190000</v>
      </c>
      <c r="H45" s="35">
        <f t="shared" si="1"/>
        <v>5050000</v>
      </c>
      <c r="I45" s="2"/>
      <c r="J45" s="2"/>
      <c r="K45" s="2"/>
      <c r="L45" s="2"/>
      <c r="M45" s="2"/>
      <c r="N45" s="2"/>
      <c r="O45" s="2"/>
      <c r="P45" s="2"/>
      <c r="Q45" s="2"/>
      <c r="R45" s="2"/>
    </row>
    <row r="46" ht="23.25" customHeight="1">
      <c r="A46" s="2"/>
      <c r="B46" s="2"/>
      <c r="C46" s="3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>
      <c r="A47" s="2"/>
      <c r="B47" s="2"/>
      <c r="C47" s="3"/>
      <c r="D47" s="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>
      <c r="A48" s="2"/>
      <c r="B48" s="36" t="s">
        <v>1</v>
      </c>
      <c r="C48" s="37" t="s">
        <v>7</v>
      </c>
      <c r="D48" s="37" t="s">
        <v>45</v>
      </c>
      <c r="E48" s="1"/>
      <c r="F48" s="2"/>
      <c r="G48" s="2"/>
      <c r="H48" s="2"/>
      <c r="I48" s="2"/>
      <c r="J48" s="2"/>
      <c r="K48" s="2"/>
      <c r="L48" s="2"/>
      <c r="M48" s="2"/>
      <c r="N48" s="37" t="s">
        <v>46</v>
      </c>
      <c r="O48" s="37" t="s">
        <v>2</v>
      </c>
      <c r="P48" s="2"/>
      <c r="Q48" s="2"/>
      <c r="R48" s="2"/>
    </row>
    <row r="49">
      <c r="A49" s="2"/>
      <c r="B49" s="38">
        <v>1.0</v>
      </c>
      <c r="C49" s="39" t="s">
        <v>47</v>
      </c>
      <c r="D49" s="40">
        <f>SUM(G45)</f>
        <v>4190000</v>
      </c>
      <c r="E49" s="41"/>
      <c r="F49" s="2"/>
      <c r="G49" s="2"/>
      <c r="H49" s="2"/>
      <c r="I49" s="2"/>
      <c r="J49" s="2"/>
      <c r="K49" s="2"/>
      <c r="L49" s="2"/>
      <c r="M49" s="2"/>
      <c r="N49" s="42" t="s">
        <v>48</v>
      </c>
      <c r="O49" s="23"/>
      <c r="P49" s="2"/>
      <c r="Q49" s="2"/>
      <c r="R49" s="2"/>
    </row>
    <row r="50">
      <c r="A50" s="2"/>
      <c r="B50" s="43">
        <v>2.0</v>
      </c>
      <c r="C50" s="44" t="s">
        <v>51</v>
      </c>
      <c r="D50" s="45"/>
      <c r="E50" s="46"/>
      <c r="F50" s="2"/>
      <c r="G50" s="2"/>
      <c r="H50" s="2"/>
      <c r="I50" s="2"/>
      <c r="J50" s="2"/>
      <c r="K50" s="2"/>
      <c r="L50" s="1" t="s">
        <v>363</v>
      </c>
      <c r="M50" s="1" t="s">
        <v>364</v>
      </c>
      <c r="N50" s="47" t="s">
        <v>50</v>
      </c>
      <c r="O50" s="48"/>
      <c r="P50" s="2"/>
      <c r="Q50" s="2"/>
      <c r="R50" s="2"/>
    </row>
    <row r="51">
      <c r="A51" s="2"/>
      <c r="B51" s="38">
        <v>3.0</v>
      </c>
      <c r="C51" s="39" t="s">
        <v>139</v>
      </c>
      <c r="D51" s="49">
        <v>-50000.0</v>
      </c>
      <c r="E51" s="46"/>
      <c r="F51" s="2"/>
      <c r="G51" s="2"/>
      <c r="H51" s="2"/>
      <c r="I51" s="2"/>
      <c r="J51" s="2"/>
      <c r="K51" s="2"/>
      <c r="L51" s="1" t="s">
        <v>365</v>
      </c>
      <c r="M51" s="2"/>
      <c r="N51" s="50" t="s">
        <v>52</v>
      </c>
      <c r="O51" s="25"/>
      <c r="P51" s="2"/>
      <c r="Q51" s="2"/>
      <c r="R51" s="2"/>
    </row>
    <row r="52">
      <c r="A52" s="2"/>
      <c r="B52" s="43">
        <v>4.0</v>
      </c>
      <c r="C52" s="44" t="s">
        <v>76</v>
      </c>
      <c r="D52" s="45">
        <v>-90000.0</v>
      </c>
      <c r="E52" s="46"/>
      <c r="F52" s="2"/>
      <c r="G52" s="2"/>
      <c r="H52" s="2"/>
      <c r="I52" s="2"/>
      <c r="J52" s="2"/>
      <c r="K52" s="2"/>
      <c r="L52" s="2"/>
      <c r="M52" s="2"/>
      <c r="N52" s="51" t="s">
        <v>54</v>
      </c>
      <c r="O52" s="48"/>
      <c r="P52" s="2"/>
      <c r="Q52" s="2"/>
      <c r="R52" s="2"/>
    </row>
    <row r="53">
      <c r="A53" s="2"/>
      <c r="B53" s="38"/>
      <c r="C53" s="39" t="s">
        <v>366</v>
      </c>
      <c r="D53" s="49">
        <v>-145000.0</v>
      </c>
      <c r="E53" s="41"/>
      <c r="F53" s="2"/>
      <c r="G53" s="2"/>
      <c r="H53" s="2"/>
      <c r="I53" s="2"/>
      <c r="J53" s="2"/>
      <c r="K53" s="2"/>
      <c r="L53" s="2"/>
      <c r="M53" s="2"/>
      <c r="N53" s="53"/>
      <c r="O53" s="2"/>
      <c r="P53" s="2"/>
      <c r="Q53" s="2"/>
      <c r="R53" s="2"/>
    </row>
    <row r="54">
      <c r="A54" s="2"/>
      <c r="B54" s="43"/>
      <c r="C54" s="54"/>
      <c r="D54" s="55"/>
      <c r="E54" s="4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>
      <c r="A55" s="2"/>
      <c r="B55" s="38"/>
      <c r="C55" s="52"/>
      <c r="D55" s="40"/>
      <c r="E55" s="4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>
      <c r="A56" s="2"/>
      <c r="B56" s="43"/>
      <c r="C56" s="54"/>
      <c r="D56" s="55"/>
      <c r="E56" s="41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>
      <c r="A57" s="2"/>
      <c r="B57" s="38"/>
      <c r="C57" s="52"/>
      <c r="D57" s="40"/>
      <c r="E57" s="41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>
      <c r="A58" s="2"/>
      <c r="B58" s="43"/>
      <c r="C58" s="54"/>
      <c r="D58" s="55"/>
      <c r="E58" s="41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>
      <c r="A59" s="2"/>
      <c r="B59" s="56"/>
      <c r="C59" s="57"/>
      <c r="D59" s="58"/>
      <c r="E59" s="41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>
      <c r="A60" s="2"/>
      <c r="B60" s="2"/>
      <c r="C60" s="3"/>
      <c r="D60" s="59">
        <f>SUM(D49:D59)</f>
        <v>3905000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>
      <c r="A61" s="2"/>
      <c r="B61" s="2"/>
      <c r="C61" s="3"/>
      <c r="D61" s="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>
      <c r="A62" s="2"/>
      <c r="B62" s="2"/>
      <c r="C62" s="3"/>
      <c r="D62" s="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>
      <c r="A63" s="2"/>
      <c r="B63" s="2"/>
      <c r="C63" s="3"/>
      <c r="D63" s="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>
      <c r="A64" s="2"/>
      <c r="B64" s="2"/>
      <c r="C64" s="3"/>
      <c r="D64" s="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D4:D44">
      <formula1>"-,Single,Couple A,Couple B,Group A,Group B,Group C,Large Group,Graduation,Graduation Premium,Family A,Family B,Maternity,Concept,Studio Rent,Pas Foto,Single,Add Person ,Add Edit,Frame 16R"</formula1>
    </dataValidation>
    <dataValidation type="list" allowBlank="1" showErrorMessage="1" sqref="N4:N44">
      <formula1>"-,Pending,Progress,Uploaded"</formula1>
    </dataValidation>
    <dataValidation type="list" allowBlank="1" showErrorMessage="1" sqref="O4:O44">
      <formula1>"-,In Pikako,In Foxe"</formula1>
    </dataValidation>
    <dataValidation type="list" allowBlank="1" showDropDown="1" showErrorMessage="1" sqref="L4:L44 O49:O50">
      <formula1>"-,JIJANG,AXEL,PENTIL,FAHME,INDAH,ADDEL"</formula1>
    </dataValidation>
    <dataValidation type="list" allowBlank="1" showDropDown="1" showErrorMessage="1" sqref="I4:I44">
      <formula1>"-,DP,Lunas"</formula1>
    </dataValidation>
    <dataValidation type="list" allowBlank="1" showDropDown="1" showErrorMessage="1" sqref="J4:K44">
      <formula1>"-,Pending,Uploaded"</formula1>
    </dataValidation>
    <dataValidation type="list" allowBlank="1" showDropDown="1" showErrorMessage="1" sqref="M4:M44 O51:O52">
      <formula1>"-,VERO,FADEL,PENTIL,FAHME,ADIF,HANIF"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26.5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2"/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 t="s">
        <v>303</v>
      </c>
      <c r="D4" s="17" t="s">
        <v>367</v>
      </c>
      <c r="E4" s="18" t="s">
        <v>368</v>
      </c>
      <c r="F4" s="19">
        <v>46190.0</v>
      </c>
      <c r="G4" s="20"/>
      <c r="H4" s="21">
        <v>20000.0</v>
      </c>
      <c r="I4" s="22" t="s">
        <v>25</v>
      </c>
      <c r="J4" s="22"/>
      <c r="K4" s="22"/>
      <c r="L4" s="22" t="s">
        <v>22</v>
      </c>
      <c r="M4" s="22"/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 t="s">
        <v>369</v>
      </c>
      <c r="D5" s="17" t="s">
        <v>20</v>
      </c>
      <c r="E5" s="18"/>
      <c r="F5" s="19">
        <v>46192.0</v>
      </c>
      <c r="G5" s="20"/>
      <c r="H5" s="21">
        <v>150000.0</v>
      </c>
      <c r="I5" s="22" t="s">
        <v>21</v>
      </c>
      <c r="J5" s="22"/>
      <c r="K5" s="22"/>
      <c r="L5" s="22" t="s">
        <v>22</v>
      </c>
      <c r="M5" s="22"/>
      <c r="N5" s="25"/>
      <c r="O5" s="25"/>
      <c r="P5" s="26"/>
      <c r="Q5" s="2"/>
      <c r="R5" s="2"/>
    </row>
    <row r="6">
      <c r="A6" s="2"/>
      <c r="B6" s="15">
        <v>3.0</v>
      </c>
      <c r="C6" s="16" t="s">
        <v>370</v>
      </c>
      <c r="D6" s="17" t="s">
        <v>20</v>
      </c>
      <c r="E6" s="18"/>
      <c r="F6" s="27">
        <v>46175.0</v>
      </c>
      <c r="G6" s="28"/>
      <c r="H6" s="21">
        <v>100000.0</v>
      </c>
      <c r="I6" s="22" t="s">
        <v>21</v>
      </c>
      <c r="J6" s="22"/>
      <c r="K6" s="22"/>
      <c r="L6" s="22" t="s">
        <v>22</v>
      </c>
      <c r="M6" s="29"/>
      <c r="N6" s="25"/>
      <c r="O6" s="25"/>
      <c r="P6" s="26"/>
      <c r="Q6" s="2"/>
      <c r="R6" s="2"/>
    </row>
    <row r="7">
      <c r="A7" s="2"/>
      <c r="B7" s="15">
        <v>4.0</v>
      </c>
      <c r="C7" s="16" t="s">
        <v>371</v>
      </c>
      <c r="D7" s="17" t="s">
        <v>38</v>
      </c>
      <c r="E7" s="18"/>
      <c r="F7" s="27">
        <v>46191.0</v>
      </c>
      <c r="G7" s="20"/>
      <c r="H7" s="21">
        <v>100000.0</v>
      </c>
      <c r="I7" s="22" t="s">
        <v>21</v>
      </c>
      <c r="J7" s="22"/>
      <c r="K7" s="22"/>
      <c r="L7" s="22" t="s">
        <v>22</v>
      </c>
      <c r="M7" s="29"/>
      <c r="N7" s="25"/>
      <c r="O7" s="25"/>
      <c r="P7" s="26"/>
      <c r="Q7" s="2"/>
      <c r="R7" s="2"/>
    </row>
    <row r="8">
      <c r="A8" s="2"/>
      <c r="B8" s="15">
        <v>5.0</v>
      </c>
      <c r="C8" s="16" t="s">
        <v>372</v>
      </c>
      <c r="D8" s="17" t="s">
        <v>20</v>
      </c>
      <c r="E8" s="18"/>
      <c r="F8" s="27">
        <v>46191.0</v>
      </c>
      <c r="G8" s="20"/>
      <c r="H8" s="21">
        <v>100000.0</v>
      </c>
      <c r="I8" s="22" t="s">
        <v>21</v>
      </c>
      <c r="J8" s="22"/>
      <c r="K8" s="22"/>
      <c r="L8" s="22" t="s">
        <v>22</v>
      </c>
      <c r="M8" s="29"/>
      <c r="N8" s="25"/>
      <c r="O8" s="26"/>
      <c r="P8" s="26"/>
      <c r="Q8" s="2"/>
      <c r="R8" s="2"/>
    </row>
    <row r="9">
      <c r="A9" s="2"/>
      <c r="B9" s="15"/>
      <c r="C9" s="16" t="s">
        <v>373</v>
      </c>
      <c r="D9" s="17" t="s">
        <v>20</v>
      </c>
      <c r="E9" s="18"/>
      <c r="F9" s="27">
        <v>46191.0</v>
      </c>
      <c r="G9" s="20">
        <v>350000.0</v>
      </c>
      <c r="H9" s="21"/>
      <c r="I9" s="22" t="s">
        <v>25</v>
      </c>
      <c r="J9" s="22" t="s">
        <v>26</v>
      </c>
      <c r="K9" s="22" t="s">
        <v>30</v>
      </c>
      <c r="L9" s="22" t="s">
        <v>178</v>
      </c>
      <c r="M9" s="22" t="s">
        <v>62</v>
      </c>
      <c r="N9" s="25"/>
      <c r="O9" s="26"/>
      <c r="P9" s="26"/>
      <c r="Q9" s="2"/>
      <c r="R9" s="2"/>
    </row>
    <row r="10">
      <c r="A10" s="2"/>
      <c r="B10" s="15">
        <v>6.0</v>
      </c>
      <c r="C10" s="16" t="s">
        <v>374</v>
      </c>
      <c r="D10" s="17" t="s">
        <v>92</v>
      </c>
      <c r="E10" s="18"/>
      <c r="F10" s="27">
        <v>46191.0</v>
      </c>
      <c r="G10" s="20"/>
      <c r="H10" s="21">
        <v>100000.0</v>
      </c>
      <c r="I10" s="22" t="s">
        <v>21</v>
      </c>
      <c r="J10" s="22"/>
      <c r="K10" s="22"/>
      <c r="L10" s="22" t="s">
        <v>22</v>
      </c>
      <c r="M10" s="29"/>
      <c r="N10" s="25"/>
      <c r="O10" s="26"/>
      <c r="P10" s="26"/>
      <c r="Q10" s="2"/>
      <c r="R10" s="2"/>
    </row>
    <row r="11">
      <c r="A11" s="2"/>
      <c r="B11" s="15">
        <v>7.0</v>
      </c>
      <c r="C11" s="16" t="s">
        <v>375</v>
      </c>
      <c r="D11" s="17" t="s">
        <v>40</v>
      </c>
      <c r="E11" s="18"/>
      <c r="F11" s="27">
        <v>46191.0</v>
      </c>
      <c r="G11" s="20">
        <v>250000.0</v>
      </c>
      <c r="H11" s="30"/>
      <c r="I11" s="22" t="s">
        <v>25</v>
      </c>
      <c r="J11" s="22" t="s">
        <v>26</v>
      </c>
      <c r="K11" s="22" t="s">
        <v>30</v>
      </c>
      <c r="L11" s="22" t="s">
        <v>178</v>
      </c>
      <c r="M11" s="22" t="s">
        <v>62</v>
      </c>
      <c r="N11" s="25"/>
      <c r="O11" s="26"/>
      <c r="P11" s="26"/>
      <c r="Q11" s="2"/>
      <c r="R11" s="2"/>
    </row>
    <row r="12">
      <c r="A12" s="2"/>
      <c r="B12" s="15">
        <v>8.0</v>
      </c>
      <c r="C12" s="16" t="s">
        <v>376</v>
      </c>
      <c r="D12" s="17" t="s">
        <v>40</v>
      </c>
      <c r="E12" s="18"/>
      <c r="F12" s="27">
        <v>46191.0</v>
      </c>
      <c r="G12" s="20"/>
      <c r="H12" s="21">
        <v>290000.0</v>
      </c>
      <c r="I12" s="22" t="s">
        <v>25</v>
      </c>
      <c r="J12" s="22" t="s">
        <v>26</v>
      </c>
      <c r="K12" s="22" t="s">
        <v>30</v>
      </c>
      <c r="L12" s="22" t="s">
        <v>178</v>
      </c>
      <c r="M12" s="22" t="s">
        <v>27</v>
      </c>
      <c r="N12" s="25"/>
      <c r="O12" s="26"/>
      <c r="P12" s="26"/>
      <c r="Q12" s="2"/>
      <c r="R12" s="2"/>
    </row>
    <row r="13">
      <c r="A13" s="2"/>
      <c r="B13" s="15">
        <v>9.0</v>
      </c>
      <c r="C13" s="16" t="s">
        <v>377</v>
      </c>
      <c r="D13" s="17" t="s">
        <v>92</v>
      </c>
      <c r="E13" s="18"/>
      <c r="F13" s="27">
        <v>46195.0</v>
      </c>
      <c r="G13" s="20"/>
      <c r="H13" s="21">
        <v>100000.0</v>
      </c>
      <c r="I13" s="22" t="s">
        <v>21</v>
      </c>
      <c r="J13" s="22"/>
      <c r="K13" s="22"/>
      <c r="L13" s="22" t="s">
        <v>178</v>
      </c>
      <c r="M13" s="29"/>
      <c r="N13" s="25"/>
      <c r="O13" s="26"/>
      <c r="P13" s="26"/>
      <c r="Q13" s="2"/>
      <c r="R13" s="2"/>
    </row>
    <row r="14">
      <c r="A14" s="2"/>
      <c r="B14" s="15">
        <v>10.0</v>
      </c>
      <c r="C14" s="16" t="s">
        <v>378</v>
      </c>
      <c r="D14" s="17" t="s">
        <v>40</v>
      </c>
      <c r="E14" s="18"/>
      <c r="F14" s="27">
        <v>46191.0</v>
      </c>
      <c r="G14" s="20"/>
      <c r="H14" s="21">
        <v>250000.0</v>
      </c>
      <c r="I14" s="22" t="s">
        <v>25</v>
      </c>
      <c r="J14" s="22" t="s">
        <v>26</v>
      </c>
      <c r="K14" s="22" t="s">
        <v>30</v>
      </c>
      <c r="L14" s="22" t="s">
        <v>178</v>
      </c>
      <c r="M14" s="22" t="s">
        <v>62</v>
      </c>
      <c r="N14" s="25"/>
      <c r="O14" s="26"/>
      <c r="P14" s="26"/>
      <c r="Q14" s="2"/>
      <c r="R14" s="2"/>
    </row>
    <row r="15">
      <c r="A15" s="2"/>
      <c r="B15" s="15">
        <v>11.0</v>
      </c>
      <c r="C15" s="16" t="s">
        <v>379</v>
      </c>
      <c r="D15" s="17" t="s">
        <v>40</v>
      </c>
      <c r="E15" s="18"/>
      <c r="F15" s="27">
        <v>46191.0</v>
      </c>
      <c r="G15" s="20"/>
      <c r="H15" s="21">
        <v>270000.0</v>
      </c>
      <c r="I15" s="22" t="s">
        <v>25</v>
      </c>
      <c r="J15" s="22" t="s">
        <v>26</v>
      </c>
      <c r="K15" s="22" t="s">
        <v>30</v>
      </c>
      <c r="L15" s="22" t="s">
        <v>178</v>
      </c>
      <c r="M15" s="22" t="s">
        <v>331</v>
      </c>
      <c r="N15" s="25"/>
      <c r="O15" s="26"/>
      <c r="P15" s="26"/>
      <c r="Q15" s="2"/>
      <c r="R15" s="2"/>
    </row>
    <row r="16">
      <c r="A16" s="2"/>
      <c r="B16" s="15">
        <v>12.0</v>
      </c>
      <c r="C16" s="16" t="s">
        <v>380</v>
      </c>
      <c r="D16" s="17" t="s">
        <v>40</v>
      </c>
      <c r="E16" s="18"/>
      <c r="F16" s="27">
        <v>46191.0</v>
      </c>
      <c r="G16" s="20"/>
      <c r="H16" s="21">
        <v>250000.0</v>
      </c>
      <c r="I16" s="22" t="s">
        <v>25</v>
      </c>
      <c r="J16" s="22" t="s">
        <v>26</v>
      </c>
      <c r="K16" s="22" t="s">
        <v>30</v>
      </c>
      <c r="L16" s="22" t="s">
        <v>178</v>
      </c>
      <c r="M16" s="22" t="s">
        <v>331</v>
      </c>
      <c r="N16" s="25"/>
      <c r="O16" s="26"/>
      <c r="P16" s="26"/>
      <c r="Q16" s="2"/>
      <c r="R16" s="2"/>
    </row>
    <row r="17">
      <c r="A17" s="2"/>
      <c r="B17" s="15">
        <v>13.0</v>
      </c>
      <c r="C17" s="16" t="s">
        <v>381</v>
      </c>
      <c r="D17" s="17" t="s">
        <v>40</v>
      </c>
      <c r="E17" s="18"/>
      <c r="F17" s="27">
        <v>46191.0</v>
      </c>
      <c r="G17" s="20"/>
      <c r="H17" s="21">
        <v>250000.0</v>
      </c>
      <c r="I17" s="22" t="s">
        <v>25</v>
      </c>
      <c r="J17" s="22" t="s">
        <v>26</v>
      </c>
      <c r="K17" s="22" t="s">
        <v>30</v>
      </c>
      <c r="L17" s="22" t="s">
        <v>178</v>
      </c>
      <c r="M17" s="22" t="s">
        <v>333</v>
      </c>
      <c r="N17" s="25"/>
      <c r="O17" s="26"/>
      <c r="P17" s="26"/>
      <c r="Q17" s="2"/>
      <c r="R17" s="2"/>
    </row>
    <row r="18">
      <c r="A18" s="2"/>
      <c r="B18" s="15">
        <v>14.0</v>
      </c>
      <c r="C18" s="16" t="s">
        <v>382</v>
      </c>
      <c r="D18" s="17" t="s">
        <v>40</v>
      </c>
      <c r="E18" s="18"/>
      <c r="F18" s="27">
        <v>46191.0</v>
      </c>
      <c r="G18" s="20"/>
      <c r="H18" s="21">
        <v>250000.0</v>
      </c>
      <c r="I18" s="22" t="s">
        <v>25</v>
      </c>
      <c r="J18" s="22" t="s">
        <v>26</v>
      </c>
      <c r="K18" s="22" t="s">
        <v>30</v>
      </c>
      <c r="L18" s="22" t="s">
        <v>178</v>
      </c>
      <c r="M18" s="22" t="s">
        <v>62</v>
      </c>
      <c r="N18" s="25"/>
      <c r="O18" s="26"/>
      <c r="P18" s="26"/>
      <c r="Q18" s="2"/>
      <c r="R18" s="2"/>
    </row>
    <row r="19">
      <c r="A19" s="2"/>
      <c r="B19" s="15">
        <v>15.0</v>
      </c>
      <c r="C19" s="16" t="s">
        <v>383</v>
      </c>
      <c r="D19" s="17" t="s">
        <v>40</v>
      </c>
      <c r="E19" s="18"/>
      <c r="F19" s="27">
        <v>46191.0</v>
      </c>
      <c r="G19" s="20"/>
      <c r="H19" s="21">
        <v>310000.0</v>
      </c>
      <c r="I19" s="22" t="s">
        <v>25</v>
      </c>
      <c r="J19" s="22" t="s">
        <v>26</v>
      </c>
      <c r="K19" s="22" t="s">
        <v>30</v>
      </c>
      <c r="L19" s="22" t="s">
        <v>178</v>
      </c>
      <c r="M19" s="22" t="s">
        <v>27</v>
      </c>
      <c r="N19" s="25"/>
      <c r="O19" s="26"/>
      <c r="P19" s="26"/>
      <c r="Q19" s="2"/>
      <c r="R19" s="2"/>
    </row>
    <row r="20">
      <c r="A20" s="2"/>
      <c r="B20" s="15">
        <v>16.0</v>
      </c>
      <c r="C20" s="16" t="s">
        <v>384</v>
      </c>
      <c r="D20" s="17" t="s">
        <v>40</v>
      </c>
      <c r="E20" s="18"/>
      <c r="F20" s="27">
        <v>46191.0</v>
      </c>
      <c r="G20" s="20">
        <v>0.0</v>
      </c>
      <c r="H20" s="21">
        <v>0.0</v>
      </c>
      <c r="I20" s="22" t="s">
        <v>25</v>
      </c>
      <c r="J20" s="22" t="s">
        <v>26</v>
      </c>
      <c r="K20" s="22" t="s">
        <v>30</v>
      </c>
      <c r="L20" s="22" t="s">
        <v>178</v>
      </c>
      <c r="M20" s="22" t="s">
        <v>62</v>
      </c>
      <c r="N20" s="25"/>
      <c r="O20" s="26"/>
      <c r="P20" s="26"/>
      <c r="Q20" s="2"/>
      <c r="R20" s="2"/>
    </row>
    <row r="21">
      <c r="A21" s="2"/>
      <c r="B21" s="15">
        <v>17.0</v>
      </c>
      <c r="C21" s="16" t="s">
        <v>385</v>
      </c>
      <c r="D21" s="17" t="s">
        <v>40</v>
      </c>
      <c r="E21" s="18"/>
      <c r="F21" s="27">
        <v>46191.0</v>
      </c>
      <c r="G21" s="20"/>
      <c r="H21" s="21">
        <v>390000.0</v>
      </c>
      <c r="I21" s="22" t="s">
        <v>25</v>
      </c>
      <c r="J21" s="22" t="s">
        <v>26</v>
      </c>
      <c r="K21" s="22" t="s">
        <v>30</v>
      </c>
      <c r="L21" s="22" t="s">
        <v>178</v>
      </c>
      <c r="M21" s="22" t="s">
        <v>27</v>
      </c>
      <c r="N21" s="25"/>
      <c r="O21" s="26"/>
      <c r="P21" s="26"/>
      <c r="Q21" s="2"/>
      <c r="R21" s="2"/>
    </row>
    <row r="22">
      <c r="A22" s="2"/>
      <c r="B22" s="15">
        <v>18.0</v>
      </c>
      <c r="C22" s="16" t="s">
        <v>386</v>
      </c>
      <c r="D22" s="17" t="s">
        <v>40</v>
      </c>
      <c r="E22" s="18"/>
      <c r="F22" s="27">
        <v>46191.0</v>
      </c>
      <c r="G22" s="20"/>
      <c r="H22" s="21">
        <v>290000.0</v>
      </c>
      <c r="I22" s="22" t="s">
        <v>25</v>
      </c>
      <c r="J22" s="22" t="s">
        <v>26</v>
      </c>
      <c r="K22" s="22" t="s">
        <v>30</v>
      </c>
      <c r="L22" s="22" t="s">
        <v>178</v>
      </c>
      <c r="M22" s="22" t="s">
        <v>331</v>
      </c>
      <c r="N22" s="25"/>
      <c r="O22" s="26"/>
      <c r="P22" s="26"/>
      <c r="Q22" s="2"/>
      <c r="R22" s="2"/>
    </row>
    <row r="23">
      <c r="A23" s="2"/>
      <c r="B23" s="15">
        <v>19.0</v>
      </c>
      <c r="C23" s="16" t="s">
        <v>387</v>
      </c>
      <c r="D23" s="17" t="s">
        <v>40</v>
      </c>
      <c r="E23" s="18"/>
      <c r="F23" s="27">
        <v>46191.0</v>
      </c>
      <c r="G23" s="20">
        <v>250000.0</v>
      </c>
      <c r="H23" s="30"/>
      <c r="I23" s="22" t="s">
        <v>25</v>
      </c>
      <c r="J23" s="22" t="s">
        <v>26</v>
      </c>
      <c r="K23" s="22" t="s">
        <v>30</v>
      </c>
      <c r="L23" s="22" t="s">
        <v>178</v>
      </c>
      <c r="M23" s="22" t="s">
        <v>333</v>
      </c>
      <c r="N23" s="25"/>
      <c r="O23" s="26"/>
      <c r="P23" s="26"/>
      <c r="Q23" s="2"/>
      <c r="R23" s="2"/>
    </row>
    <row r="24">
      <c r="A24" s="2"/>
      <c r="B24" s="15">
        <v>20.0</v>
      </c>
      <c r="C24" s="16" t="s">
        <v>388</v>
      </c>
      <c r="D24" s="17" t="s">
        <v>40</v>
      </c>
      <c r="E24" s="18"/>
      <c r="F24" s="27">
        <v>46191.0</v>
      </c>
      <c r="G24" s="20"/>
      <c r="H24" s="21">
        <v>250000.0</v>
      </c>
      <c r="I24" s="22" t="s">
        <v>25</v>
      </c>
      <c r="J24" s="22" t="s">
        <v>26</v>
      </c>
      <c r="K24" s="22" t="s">
        <v>30</v>
      </c>
      <c r="L24" s="22" t="s">
        <v>178</v>
      </c>
      <c r="M24" s="22" t="s">
        <v>27</v>
      </c>
      <c r="N24" s="25"/>
      <c r="O24" s="26"/>
      <c r="P24" s="26"/>
      <c r="Q24" s="2"/>
      <c r="R24" s="2"/>
    </row>
    <row r="25">
      <c r="A25" s="2"/>
      <c r="B25" s="15">
        <v>21.0</v>
      </c>
      <c r="C25" s="16" t="s">
        <v>389</v>
      </c>
      <c r="D25" s="17" t="s">
        <v>40</v>
      </c>
      <c r="E25" s="18"/>
      <c r="F25" s="27">
        <v>46191.0</v>
      </c>
      <c r="G25" s="20"/>
      <c r="H25" s="21">
        <v>470000.0</v>
      </c>
      <c r="I25" s="22" t="s">
        <v>25</v>
      </c>
      <c r="J25" s="22" t="s">
        <v>26</v>
      </c>
      <c r="K25" s="22" t="s">
        <v>30</v>
      </c>
      <c r="L25" s="22" t="s">
        <v>178</v>
      </c>
      <c r="M25" s="22" t="s">
        <v>27</v>
      </c>
      <c r="N25" s="25"/>
      <c r="O25" s="26"/>
      <c r="P25" s="26"/>
      <c r="Q25" s="2"/>
      <c r="R25" s="2"/>
    </row>
    <row r="26">
      <c r="A26" s="2"/>
      <c r="B26" s="15">
        <v>22.0</v>
      </c>
      <c r="C26" s="16" t="s">
        <v>390</v>
      </c>
      <c r="D26" s="17" t="s">
        <v>40</v>
      </c>
      <c r="E26" s="18"/>
      <c r="F26" s="27">
        <v>46191.0</v>
      </c>
      <c r="G26" s="20"/>
      <c r="H26" s="21">
        <v>270000.0</v>
      </c>
      <c r="I26" s="22" t="s">
        <v>25</v>
      </c>
      <c r="J26" s="22" t="s">
        <v>26</v>
      </c>
      <c r="K26" s="22" t="s">
        <v>30</v>
      </c>
      <c r="L26" s="22" t="s">
        <v>178</v>
      </c>
      <c r="M26" s="22" t="s">
        <v>62</v>
      </c>
      <c r="N26" s="25"/>
      <c r="O26" s="26"/>
      <c r="P26" s="26"/>
      <c r="Q26" s="2"/>
      <c r="R26" s="2"/>
    </row>
    <row r="27">
      <c r="A27" s="2"/>
      <c r="B27" s="15">
        <v>23.0</v>
      </c>
      <c r="C27" s="16" t="s">
        <v>391</v>
      </c>
      <c r="D27" s="17" t="s">
        <v>40</v>
      </c>
      <c r="E27" s="18"/>
      <c r="F27" s="27">
        <v>46191.0</v>
      </c>
      <c r="G27" s="20"/>
      <c r="H27" s="21">
        <v>330000.0</v>
      </c>
      <c r="I27" s="22" t="s">
        <v>25</v>
      </c>
      <c r="J27" s="22" t="s">
        <v>26</v>
      </c>
      <c r="K27" s="22" t="s">
        <v>30</v>
      </c>
      <c r="L27" s="22" t="s">
        <v>178</v>
      </c>
      <c r="M27" s="22" t="s">
        <v>331</v>
      </c>
      <c r="N27" s="25"/>
      <c r="O27" s="26"/>
      <c r="P27" s="26"/>
      <c r="Q27" s="2"/>
      <c r="R27" s="2"/>
    </row>
    <row r="28">
      <c r="A28" s="2"/>
      <c r="B28" s="15">
        <v>24.0</v>
      </c>
      <c r="C28" s="16" t="s">
        <v>392</v>
      </c>
      <c r="D28" s="17" t="s">
        <v>40</v>
      </c>
      <c r="E28" s="18"/>
      <c r="F28" s="27">
        <v>46191.0</v>
      </c>
      <c r="G28" s="20"/>
      <c r="H28" s="20">
        <v>250000.0</v>
      </c>
      <c r="I28" s="22" t="s">
        <v>25</v>
      </c>
      <c r="J28" s="22" t="s">
        <v>26</v>
      </c>
      <c r="K28" s="22" t="s">
        <v>30</v>
      </c>
      <c r="L28" s="22" t="s">
        <v>178</v>
      </c>
      <c r="M28" s="22" t="s">
        <v>27</v>
      </c>
      <c r="N28" s="25"/>
      <c r="O28" s="26"/>
      <c r="P28" s="26"/>
      <c r="Q28" s="2"/>
      <c r="R28" s="2"/>
    </row>
    <row r="29">
      <c r="A29" s="2"/>
      <c r="B29" s="15">
        <v>25.0</v>
      </c>
      <c r="C29" s="16" t="s">
        <v>393</v>
      </c>
      <c r="D29" s="17" t="s">
        <v>40</v>
      </c>
      <c r="E29" s="18"/>
      <c r="F29" s="27">
        <v>46191.0</v>
      </c>
      <c r="G29" s="20">
        <v>270000.0</v>
      </c>
      <c r="H29" s="30"/>
      <c r="I29" s="22" t="s">
        <v>25</v>
      </c>
      <c r="J29" s="22" t="s">
        <v>26</v>
      </c>
      <c r="K29" s="22" t="s">
        <v>30</v>
      </c>
      <c r="L29" s="22" t="s">
        <v>178</v>
      </c>
      <c r="M29" s="22" t="s">
        <v>62</v>
      </c>
      <c r="N29" s="25"/>
      <c r="O29" s="26"/>
      <c r="P29" s="26"/>
      <c r="Q29" s="2"/>
      <c r="R29" s="2"/>
    </row>
    <row r="30">
      <c r="A30" s="2"/>
      <c r="B30" s="15">
        <v>26.0</v>
      </c>
      <c r="C30" s="16" t="s">
        <v>394</v>
      </c>
      <c r="D30" s="17" t="s">
        <v>40</v>
      </c>
      <c r="E30" s="18"/>
      <c r="F30" s="27">
        <v>46191.0</v>
      </c>
      <c r="G30" s="20">
        <v>0.0</v>
      </c>
      <c r="H30" s="21">
        <v>0.0</v>
      </c>
      <c r="I30" s="22" t="s">
        <v>25</v>
      </c>
      <c r="J30" s="22" t="s">
        <v>26</v>
      </c>
      <c r="K30" s="22" t="s">
        <v>30</v>
      </c>
      <c r="L30" s="22" t="s">
        <v>22</v>
      </c>
      <c r="M30" s="22" t="s">
        <v>27</v>
      </c>
      <c r="N30" s="25"/>
      <c r="O30" s="26"/>
      <c r="P30" s="26"/>
      <c r="Q30" s="2"/>
      <c r="R30" s="2"/>
    </row>
    <row r="31">
      <c r="A31" s="2"/>
      <c r="B31" s="15">
        <v>27.0</v>
      </c>
      <c r="C31" s="16" t="s">
        <v>395</v>
      </c>
      <c r="D31" s="17" t="s">
        <v>40</v>
      </c>
      <c r="E31" s="18"/>
      <c r="F31" s="27">
        <v>46191.0</v>
      </c>
      <c r="G31" s="20">
        <v>0.0</v>
      </c>
      <c r="H31" s="21">
        <v>0.0</v>
      </c>
      <c r="I31" s="22" t="s">
        <v>25</v>
      </c>
      <c r="J31" s="22" t="s">
        <v>26</v>
      </c>
      <c r="K31" s="22" t="s">
        <v>30</v>
      </c>
      <c r="L31" s="22" t="s">
        <v>22</v>
      </c>
      <c r="M31" s="22" t="s">
        <v>27</v>
      </c>
      <c r="N31" s="25"/>
      <c r="O31" s="26"/>
      <c r="P31" s="26"/>
      <c r="Q31" s="2"/>
      <c r="R31" s="2"/>
    </row>
    <row r="32">
      <c r="A32" s="2"/>
      <c r="B32" s="15">
        <v>28.0</v>
      </c>
      <c r="C32" s="16" t="s">
        <v>396</v>
      </c>
      <c r="D32" s="17" t="s">
        <v>40</v>
      </c>
      <c r="E32" s="18"/>
      <c r="F32" s="27">
        <v>46191.0</v>
      </c>
      <c r="G32" s="20"/>
      <c r="H32" s="21">
        <v>250000.0</v>
      </c>
      <c r="I32" s="22" t="s">
        <v>25</v>
      </c>
      <c r="J32" s="22" t="s">
        <v>26</v>
      </c>
      <c r="K32" s="22" t="s">
        <v>30</v>
      </c>
      <c r="L32" s="22" t="s">
        <v>22</v>
      </c>
      <c r="M32" s="22" t="s">
        <v>27</v>
      </c>
      <c r="N32" s="25"/>
      <c r="O32" s="26"/>
      <c r="P32" s="26"/>
      <c r="Q32" s="2"/>
      <c r="R32" s="2"/>
    </row>
    <row r="33">
      <c r="A33" s="2"/>
      <c r="B33" s="15">
        <v>29.0</v>
      </c>
      <c r="C33" s="16" t="s">
        <v>397</v>
      </c>
      <c r="D33" s="17" t="s">
        <v>40</v>
      </c>
      <c r="E33" s="18"/>
      <c r="F33" s="27">
        <v>46191.0</v>
      </c>
      <c r="G33" s="20"/>
      <c r="H33" s="21">
        <v>250000.0</v>
      </c>
      <c r="I33" s="22" t="s">
        <v>25</v>
      </c>
      <c r="J33" s="22" t="s">
        <v>26</v>
      </c>
      <c r="K33" s="22" t="s">
        <v>30</v>
      </c>
      <c r="L33" s="22" t="s">
        <v>22</v>
      </c>
      <c r="M33" s="22" t="s">
        <v>62</v>
      </c>
      <c r="N33" s="25"/>
      <c r="O33" s="26"/>
      <c r="P33" s="26"/>
      <c r="Q33" s="2"/>
      <c r="R33" s="2"/>
    </row>
    <row r="34">
      <c r="A34" s="2"/>
      <c r="B34" s="15">
        <v>30.0</v>
      </c>
      <c r="C34" s="16" t="s">
        <v>398</v>
      </c>
      <c r="D34" s="17" t="s">
        <v>20</v>
      </c>
      <c r="E34" s="18"/>
      <c r="F34" s="27">
        <v>46192.0</v>
      </c>
      <c r="G34" s="20"/>
      <c r="H34" s="21">
        <v>100000.0</v>
      </c>
      <c r="I34" s="22" t="s">
        <v>21</v>
      </c>
      <c r="J34" s="22"/>
      <c r="K34" s="22"/>
      <c r="L34" s="22" t="s">
        <v>22</v>
      </c>
      <c r="M34" s="29"/>
      <c r="N34" s="25"/>
      <c r="O34" s="26"/>
      <c r="P34" s="26"/>
      <c r="Q34" s="2"/>
      <c r="R34" s="2"/>
    </row>
    <row r="35">
      <c r="A35" s="2"/>
      <c r="B35" s="15">
        <v>31.0</v>
      </c>
      <c r="C35" s="16" t="s">
        <v>399</v>
      </c>
      <c r="D35" s="17" t="s">
        <v>40</v>
      </c>
      <c r="E35" s="18"/>
      <c r="F35" s="27">
        <v>46191.0</v>
      </c>
      <c r="G35" s="20">
        <v>250000.0</v>
      </c>
      <c r="H35" s="30"/>
      <c r="I35" s="22" t="s">
        <v>25</v>
      </c>
      <c r="J35" s="22" t="s">
        <v>26</v>
      </c>
      <c r="K35" s="22" t="s">
        <v>30</v>
      </c>
      <c r="L35" s="22" t="s">
        <v>22</v>
      </c>
      <c r="M35" s="22" t="s">
        <v>62</v>
      </c>
      <c r="N35" s="25"/>
      <c r="O35" s="26"/>
      <c r="P35" s="26"/>
      <c r="Q35" s="2"/>
      <c r="R35" s="2"/>
    </row>
    <row r="36">
      <c r="A36" s="2"/>
      <c r="B36" s="15">
        <v>32.0</v>
      </c>
      <c r="C36" s="16" t="s">
        <v>371</v>
      </c>
      <c r="D36" s="17" t="s">
        <v>38</v>
      </c>
      <c r="E36" s="18"/>
      <c r="F36" s="27">
        <v>46191.0</v>
      </c>
      <c r="G36" s="20">
        <v>100000.0</v>
      </c>
      <c r="H36" s="30"/>
      <c r="I36" s="22" t="s">
        <v>25</v>
      </c>
      <c r="J36" s="22" t="s">
        <v>26</v>
      </c>
      <c r="K36" s="22" t="s">
        <v>26</v>
      </c>
      <c r="L36" s="22" t="s">
        <v>22</v>
      </c>
      <c r="M36" s="22" t="s">
        <v>62</v>
      </c>
      <c r="N36" s="25"/>
      <c r="O36" s="26"/>
      <c r="P36" s="26"/>
      <c r="Q36" s="2"/>
      <c r="R36" s="2"/>
    </row>
    <row r="37">
      <c r="A37" s="2"/>
      <c r="B37" s="15">
        <v>33.0</v>
      </c>
      <c r="C37" s="16" t="s">
        <v>400</v>
      </c>
      <c r="D37" s="17" t="s">
        <v>20</v>
      </c>
      <c r="E37" s="18"/>
      <c r="F37" s="27">
        <v>46191.0</v>
      </c>
      <c r="G37" s="20">
        <v>475000.0</v>
      </c>
      <c r="H37" s="30"/>
      <c r="I37" s="22" t="s">
        <v>25</v>
      </c>
      <c r="J37" s="22" t="s">
        <v>26</v>
      </c>
      <c r="K37" s="22" t="s">
        <v>30</v>
      </c>
      <c r="L37" s="22" t="s">
        <v>22</v>
      </c>
      <c r="M37" s="22" t="s">
        <v>27</v>
      </c>
      <c r="N37" s="25"/>
      <c r="O37" s="26"/>
      <c r="P37" s="26"/>
      <c r="Q37" s="2"/>
      <c r="R37" s="2"/>
    </row>
    <row r="38">
      <c r="A38" s="2"/>
      <c r="B38" s="15">
        <v>34.0</v>
      </c>
      <c r="C38" s="16" t="s">
        <v>401</v>
      </c>
      <c r="D38" s="17" t="s">
        <v>20</v>
      </c>
      <c r="E38" s="18"/>
      <c r="F38" s="27">
        <v>46194.0</v>
      </c>
      <c r="G38" s="28"/>
      <c r="H38" s="21">
        <v>100000.0</v>
      </c>
      <c r="I38" s="22" t="s">
        <v>21</v>
      </c>
      <c r="J38" s="29"/>
      <c r="K38" s="29"/>
      <c r="L38" s="22" t="s">
        <v>22</v>
      </c>
      <c r="M38" s="29"/>
      <c r="N38" s="26"/>
      <c r="O38" s="26"/>
      <c r="P38" s="26"/>
      <c r="Q38" s="2"/>
      <c r="R38" s="2"/>
    </row>
    <row r="39">
      <c r="A39" s="2"/>
      <c r="B39" s="15"/>
      <c r="C39" s="16" t="s">
        <v>402</v>
      </c>
      <c r="D39" s="17" t="s">
        <v>20</v>
      </c>
      <c r="E39" s="18"/>
      <c r="F39" s="27">
        <v>46191.0</v>
      </c>
      <c r="G39" s="28"/>
      <c r="H39" s="21">
        <v>150000.0</v>
      </c>
      <c r="I39" s="22" t="s">
        <v>25</v>
      </c>
      <c r="J39" s="22" t="s">
        <v>26</v>
      </c>
      <c r="K39" s="22" t="s">
        <v>30</v>
      </c>
      <c r="L39" s="22" t="s">
        <v>22</v>
      </c>
      <c r="M39" s="22" t="s">
        <v>27</v>
      </c>
      <c r="N39" s="26"/>
      <c r="O39" s="26"/>
      <c r="P39" s="26"/>
      <c r="Q39" s="2"/>
      <c r="R39" s="2"/>
    </row>
    <row r="40">
      <c r="A40" s="2"/>
      <c r="B40" s="15"/>
      <c r="C40" s="32"/>
      <c r="D40" s="17"/>
      <c r="E40" s="18"/>
      <c r="F40" s="31"/>
      <c r="G40" s="28"/>
      <c r="H40" s="30"/>
      <c r="I40" s="29"/>
      <c r="J40" s="29"/>
      <c r="K40" s="29"/>
      <c r="L40" s="29"/>
      <c r="M40" s="29"/>
      <c r="N40" s="26"/>
      <c r="O40" s="26"/>
      <c r="P40" s="26"/>
      <c r="Q40" s="2"/>
      <c r="R40" s="2"/>
    </row>
    <row r="41">
      <c r="A41" s="2"/>
      <c r="B41" s="15"/>
      <c r="C41" s="32"/>
      <c r="D41" s="17"/>
      <c r="E41" s="18"/>
      <c r="F41" s="31"/>
      <c r="G41" s="28"/>
      <c r="H41" s="30"/>
      <c r="I41" s="29"/>
      <c r="J41" s="29"/>
      <c r="K41" s="29"/>
      <c r="L41" s="29"/>
      <c r="M41" s="29"/>
      <c r="N41" s="26"/>
      <c r="O41" s="26"/>
      <c r="P41" s="26"/>
      <c r="Q41" s="2"/>
      <c r="R41" s="2"/>
    </row>
    <row r="42">
      <c r="A42" s="2"/>
      <c r="B42" s="15"/>
      <c r="C42" s="32"/>
      <c r="D42" s="17"/>
      <c r="E42" s="18"/>
      <c r="F42" s="31"/>
      <c r="G42" s="28"/>
      <c r="H42" s="30"/>
      <c r="I42" s="29"/>
      <c r="J42" s="29"/>
      <c r="K42" s="29"/>
      <c r="L42" s="29"/>
      <c r="M42" s="29"/>
      <c r="N42" s="33"/>
      <c r="O42" s="33"/>
      <c r="P42" s="33"/>
      <c r="Q42" s="2"/>
      <c r="R42" s="2"/>
    </row>
    <row r="43" ht="18.75" customHeight="1">
      <c r="A43" s="2"/>
      <c r="B43" s="2"/>
      <c r="C43" s="3"/>
      <c r="D43" s="3"/>
      <c r="E43" s="2"/>
      <c r="F43" s="2"/>
      <c r="G43" s="34">
        <f t="shared" ref="G43:H43" si="1">SUM(G4:G42)</f>
        <v>1945000</v>
      </c>
      <c r="H43" s="35">
        <f t="shared" si="1"/>
        <v>5640000</v>
      </c>
      <c r="I43" s="2"/>
      <c r="J43" s="2"/>
      <c r="K43" s="2"/>
      <c r="L43" s="2"/>
      <c r="M43" s="2"/>
      <c r="N43" s="2"/>
      <c r="O43" s="2"/>
      <c r="P43" s="2"/>
      <c r="Q43" s="2"/>
      <c r="R43" s="2"/>
    </row>
    <row r="44" ht="23.25" customHeight="1">
      <c r="A44" s="2"/>
      <c r="B44" s="2"/>
      <c r="C44" s="3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2"/>
      <c r="B45" s="2"/>
      <c r="C45" s="3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>
      <c r="A46" s="2"/>
      <c r="B46" s="36" t="s">
        <v>1</v>
      </c>
      <c r="C46" s="37" t="s">
        <v>7</v>
      </c>
      <c r="D46" s="37" t="s">
        <v>45</v>
      </c>
      <c r="E46" s="1"/>
      <c r="F46" s="2"/>
      <c r="G46" s="2"/>
      <c r="H46" s="2"/>
      <c r="I46" s="2"/>
      <c r="J46" s="2"/>
      <c r="K46" s="2"/>
      <c r="L46" s="2"/>
      <c r="M46" s="2"/>
      <c r="N46" s="37" t="s">
        <v>46</v>
      </c>
      <c r="O46" s="37" t="s">
        <v>2</v>
      </c>
      <c r="P46" s="2"/>
      <c r="Q46" s="2"/>
      <c r="R46" s="2"/>
    </row>
    <row r="47">
      <c r="A47" s="2"/>
      <c r="B47" s="38">
        <v>1.0</v>
      </c>
      <c r="C47" s="39" t="s">
        <v>47</v>
      </c>
      <c r="D47" s="40">
        <f>SUM(G43)</f>
        <v>1945000</v>
      </c>
      <c r="E47" s="41"/>
      <c r="F47" s="2"/>
      <c r="G47" s="2"/>
      <c r="H47" s="2"/>
      <c r="I47" s="2"/>
      <c r="J47" s="2"/>
      <c r="K47" s="2"/>
      <c r="L47" s="2"/>
      <c r="M47" s="2"/>
      <c r="N47" s="42" t="s">
        <v>48</v>
      </c>
      <c r="O47" s="23"/>
      <c r="P47" s="2"/>
      <c r="Q47" s="2"/>
      <c r="R47" s="2"/>
    </row>
    <row r="48">
      <c r="A48" s="2"/>
      <c r="B48" s="43">
        <v>2.0</v>
      </c>
      <c r="C48" s="44" t="s">
        <v>76</v>
      </c>
      <c r="D48" s="45">
        <v>-60000.0</v>
      </c>
      <c r="E48" s="46"/>
      <c r="F48" s="2"/>
      <c r="G48" s="2"/>
      <c r="H48" s="2"/>
      <c r="I48" s="2"/>
      <c r="J48" s="2"/>
      <c r="K48" s="2"/>
      <c r="L48" s="2"/>
      <c r="M48" s="2"/>
      <c r="N48" s="47" t="s">
        <v>50</v>
      </c>
      <c r="O48" s="48"/>
      <c r="P48" s="2"/>
      <c r="Q48" s="2"/>
      <c r="R48" s="2"/>
    </row>
    <row r="49">
      <c r="A49" s="2"/>
      <c r="B49" s="38">
        <v>3.0</v>
      </c>
      <c r="C49" s="39" t="s">
        <v>366</v>
      </c>
      <c r="D49" s="49">
        <v>-148000.0</v>
      </c>
      <c r="E49" s="46"/>
      <c r="F49" s="2"/>
      <c r="G49" s="2"/>
      <c r="H49" s="2"/>
      <c r="I49" s="2"/>
      <c r="J49" s="2"/>
      <c r="K49" s="2"/>
      <c r="L49" s="2"/>
      <c r="M49" s="2"/>
      <c r="N49" s="50" t="s">
        <v>52</v>
      </c>
      <c r="O49" s="25"/>
      <c r="P49" s="2"/>
      <c r="Q49" s="2"/>
      <c r="R49" s="2"/>
    </row>
    <row r="50">
      <c r="A50" s="2"/>
      <c r="B50" s="43">
        <v>4.0</v>
      </c>
      <c r="C50" s="44" t="s">
        <v>403</v>
      </c>
      <c r="D50" s="45">
        <v>-405000.0</v>
      </c>
      <c r="E50" s="46"/>
      <c r="F50" s="2"/>
      <c r="G50" s="2"/>
      <c r="H50" s="2"/>
      <c r="I50" s="2"/>
      <c r="J50" s="2"/>
      <c r="K50" s="2"/>
      <c r="L50" s="1" t="s">
        <v>404</v>
      </c>
      <c r="M50" s="1" t="s">
        <v>405</v>
      </c>
      <c r="N50" s="51" t="s">
        <v>54</v>
      </c>
      <c r="O50" s="48"/>
      <c r="P50" s="2"/>
      <c r="Q50" s="2"/>
      <c r="R50" s="2"/>
    </row>
    <row r="51">
      <c r="A51" s="2"/>
      <c r="B51" s="38"/>
      <c r="C51" s="39" t="s">
        <v>406</v>
      </c>
      <c r="D51" s="49">
        <v>-126000.0</v>
      </c>
      <c r="E51" s="41"/>
      <c r="F51" s="71">
        <f>D49+D50+D51</f>
        <v>-679000</v>
      </c>
      <c r="G51" s="2"/>
      <c r="H51" s="2"/>
      <c r="I51" s="2"/>
      <c r="J51" s="2"/>
      <c r="K51" s="2"/>
      <c r="L51" s="2"/>
      <c r="M51" s="1" t="s">
        <v>407</v>
      </c>
      <c r="N51" s="53"/>
      <c r="O51" s="2"/>
      <c r="P51" s="2"/>
      <c r="Q51" s="2"/>
      <c r="R51" s="2"/>
    </row>
    <row r="52">
      <c r="A52" s="2"/>
      <c r="B52" s="43"/>
      <c r="C52" s="44" t="s">
        <v>76</v>
      </c>
      <c r="D52" s="45">
        <v>-56000.0</v>
      </c>
      <c r="E52" s="41"/>
      <c r="F52" s="71">
        <f>D48+D52+D53</f>
        <v>-166000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>
      <c r="A53" s="2"/>
      <c r="B53" s="38"/>
      <c r="C53" s="39" t="s">
        <v>49</v>
      </c>
      <c r="D53" s="49">
        <v>-50000.0</v>
      </c>
      <c r="E53" s="41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>
      <c r="A54" s="2"/>
      <c r="B54" s="43"/>
      <c r="C54" s="54"/>
      <c r="D54" s="55"/>
      <c r="E54" s="4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>
      <c r="A55" s="2"/>
      <c r="B55" s="38"/>
      <c r="C55" s="52"/>
      <c r="D55" s="40"/>
      <c r="E55" s="4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>
      <c r="A56" s="2"/>
      <c r="B56" s="43"/>
      <c r="C56" s="54"/>
      <c r="D56" s="55"/>
      <c r="E56" s="41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>
      <c r="A57" s="2"/>
      <c r="B57" s="56"/>
      <c r="C57" s="57"/>
      <c r="D57" s="58"/>
      <c r="E57" s="41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>
      <c r="A58" s="2"/>
      <c r="B58" s="2"/>
      <c r="C58" s="3"/>
      <c r="D58" s="59">
        <f>SUM(D47:D57)</f>
        <v>1100000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>
      <c r="A59" s="2"/>
      <c r="B59" s="2"/>
      <c r="C59" s="3"/>
      <c r="D59" s="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>
      <c r="A60" s="2"/>
      <c r="B60" s="2"/>
      <c r="C60" s="3"/>
      <c r="D60" s="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>
      <c r="A61" s="2"/>
      <c r="B61" s="2"/>
      <c r="C61" s="3"/>
      <c r="D61" s="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>
      <c r="A62" s="2"/>
      <c r="B62" s="2"/>
      <c r="C62" s="3"/>
      <c r="D62" s="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M4:M42 O49:O50">
      <formula1>"-,VERO,FADEL,PENTIL,FAHME,HANIF,ADIF"</formula1>
    </dataValidation>
    <dataValidation type="list" allowBlank="1" showErrorMessage="1" sqref="N4:N42">
      <formula1>"-,Pending,Progress,Uploaded"</formula1>
    </dataValidation>
    <dataValidation type="list" allowBlank="1" showErrorMessage="1" sqref="O4:O42">
      <formula1>"-,In Pikako,In Foxe"</formula1>
    </dataValidation>
    <dataValidation type="list" allowBlank="1" showDropDown="1" showErrorMessage="1" sqref="D4:D42">
      <formula1>"-,Single,Couple A,Couple B,Group A,Group B,Group C,Large Group,Graduation,Graduation Premium,Family A,Family B,Maternity,Concept,Studio Rent,Pas Foto,Single,Add Person ,Add Edit,Add Cetak,Photofox"</formula1>
    </dataValidation>
    <dataValidation type="list" allowBlank="1" showDropDown="1" showErrorMessage="1" sqref="L4:L42 O47:O48">
      <formula1>"-,JIJANG,AXEL,PENTIL,FAHME,INDAH,ADDEL"</formula1>
    </dataValidation>
    <dataValidation type="list" allowBlank="1" showDropDown="1" showErrorMessage="1" sqref="I4:I42">
      <formula1>"-,DP,Lunas"</formula1>
    </dataValidation>
    <dataValidation type="list" allowBlank="1" showDropDown="1" showErrorMessage="1" sqref="J4:K42">
      <formula1>"-,Pending,Uploaded"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20.38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2"/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 t="s">
        <v>239</v>
      </c>
      <c r="D4" s="17" t="s">
        <v>20</v>
      </c>
      <c r="E4" s="18"/>
      <c r="F4" s="19">
        <v>46192.0</v>
      </c>
      <c r="G4" s="20">
        <v>250000.0</v>
      </c>
      <c r="H4" s="21"/>
      <c r="I4" s="22" t="s">
        <v>25</v>
      </c>
      <c r="J4" s="22" t="s">
        <v>26</v>
      </c>
      <c r="K4" s="22" t="s">
        <v>30</v>
      </c>
      <c r="L4" s="22" t="s">
        <v>22</v>
      </c>
      <c r="M4" s="22" t="s">
        <v>62</v>
      </c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 t="s">
        <v>408</v>
      </c>
      <c r="D5" s="17" t="s">
        <v>20</v>
      </c>
      <c r="E5" s="18"/>
      <c r="F5" s="19">
        <v>46194.0</v>
      </c>
      <c r="G5" s="20"/>
      <c r="H5" s="21">
        <v>100000.0</v>
      </c>
      <c r="I5" s="22" t="s">
        <v>21</v>
      </c>
      <c r="J5" s="22"/>
      <c r="K5" s="22"/>
      <c r="L5" s="22" t="s">
        <v>22</v>
      </c>
      <c r="M5" s="22"/>
      <c r="N5" s="25"/>
      <c r="O5" s="25"/>
      <c r="P5" s="26"/>
      <c r="Q5" s="2"/>
      <c r="R5" s="2"/>
    </row>
    <row r="6">
      <c r="A6" s="2"/>
      <c r="B6" s="15">
        <v>3.0</v>
      </c>
      <c r="C6" s="16" t="s">
        <v>409</v>
      </c>
      <c r="D6" s="17" t="s">
        <v>20</v>
      </c>
      <c r="E6" s="18"/>
      <c r="F6" s="27">
        <v>46193.0</v>
      </c>
      <c r="G6" s="28"/>
      <c r="H6" s="21">
        <v>100000.0</v>
      </c>
      <c r="I6" s="22" t="s">
        <v>21</v>
      </c>
      <c r="J6" s="22"/>
      <c r="K6" s="22"/>
      <c r="L6" s="22" t="s">
        <v>22</v>
      </c>
      <c r="M6" s="29"/>
      <c r="N6" s="25"/>
      <c r="O6" s="25"/>
      <c r="P6" s="26"/>
      <c r="Q6" s="2"/>
      <c r="R6" s="2"/>
    </row>
    <row r="7">
      <c r="A7" s="2"/>
      <c r="B7" s="15">
        <v>4.0</v>
      </c>
      <c r="C7" s="16" t="s">
        <v>61</v>
      </c>
      <c r="D7" s="17" t="s">
        <v>223</v>
      </c>
      <c r="E7" s="18"/>
      <c r="F7" s="27">
        <v>46175.0</v>
      </c>
      <c r="G7" s="20">
        <v>10000.0</v>
      </c>
      <c r="H7" s="30"/>
      <c r="I7" s="22" t="s">
        <v>25</v>
      </c>
      <c r="J7" s="22"/>
      <c r="K7" s="22"/>
      <c r="L7" s="22" t="s">
        <v>22</v>
      </c>
      <c r="M7" s="29"/>
      <c r="N7" s="25"/>
      <c r="O7" s="25"/>
      <c r="P7" s="26"/>
      <c r="Q7" s="2"/>
      <c r="R7" s="2"/>
    </row>
    <row r="8">
      <c r="A8" s="2"/>
      <c r="B8" s="15">
        <v>5.0</v>
      </c>
      <c r="C8" s="16" t="s">
        <v>410</v>
      </c>
      <c r="D8" s="17" t="s">
        <v>20</v>
      </c>
      <c r="E8" s="18"/>
      <c r="F8" s="27">
        <v>46193.0</v>
      </c>
      <c r="G8" s="20"/>
      <c r="H8" s="21">
        <v>100000.0</v>
      </c>
      <c r="I8" s="22" t="s">
        <v>21</v>
      </c>
      <c r="J8" s="22"/>
      <c r="K8" s="22"/>
      <c r="L8" s="22" t="s">
        <v>22</v>
      </c>
      <c r="M8" s="29"/>
      <c r="N8" s="25"/>
      <c r="O8" s="26"/>
      <c r="P8" s="26"/>
      <c r="Q8" s="2"/>
      <c r="R8" s="2"/>
    </row>
    <row r="9">
      <c r="A9" s="2"/>
      <c r="B9" s="15">
        <v>6.0</v>
      </c>
      <c r="C9" s="16" t="s">
        <v>369</v>
      </c>
      <c r="D9" s="17" t="s">
        <v>20</v>
      </c>
      <c r="E9" s="18"/>
      <c r="F9" s="27">
        <v>46192.0</v>
      </c>
      <c r="G9" s="20">
        <v>750000.0</v>
      </c>
      <c r="H9" s="30"/>
      <c r="I9" s="22" t="s">
        <v>25</v>
      </c>
      <c r="J9" s="22" t="s">
        <v>26</v>
      </c>
      <c r="K9" s="22" t="s">
        <v>26</v>
      </c>
      <c r="L9" s="22" t="s">
        <v>22</v>
      </c>
      <c r="M9" s="22" t="s">
        <v>62</v>
      </c>
      <c r="N9" s="25"/>
      <c r="O9" s="26"/>
      <c r="P9" s="26"/>
      <c r="Q9" s="2"/>
      <c r="R9" s="2"/>
    </row>
    <row r="10">
      <c r="A10" s="2"/>
      <c r="B10" s="15">
        <v>7.0</v>
      </c>
      <c r="C10" s="16" t="s">
        <v>411</v>
      </c>
      <c r="D10" s="17" t="s">
        <v>20</v>
      </c>
      <c r="E10" s="18"/>
      <c r="F10" s="27">
        <v>46192.0</v>
      </c>
      <c r="G10" s="20" t="s">
        <v>0</v>
      </c>
      <c r="H10" s="21">
        <v>125000.0</v>
      </c>
      <c r="I10" s="22" t="s">
        <v>25</v>
      </c>
      <c r="J10" s="22" t="s">
        <v>26</v>
      </c>
      <c r="K10" s="22" t="s">
        <v>26</v>
      </c>
      <c r="L10" s="22" t="s">
        <v>22</v>
      </c>
      <c r="M10" s="22" t="s">
        <v>62</v>
      </c>
      <c r="N10" s="25"/>
      <c r="O10" s="26"/>
      <c r="P10" s="26"/>
      <c r="Q10" s="2"/>
      <c r="R10" s="2"/>
    </row>
    <row r="11">
      <c r="A11" s="2"/>
      <c r="B11" s="15">
        <v>8.0</v>
      </c>
      <c r="C11" s="16" t="s">
        <v>412</v>
      </c>
      <c r="D11" s="17" t="s">
        <v>58</v>
      </c>
      <c r="E11" s="18"/>
      <c r="F11" s="27">
        <v>46192.0</v>
      </c>
      <c r="G11" s="20"/>
      <c r="H11" s="21">
        <v>150000.0</v>
      </c>
      <c r="I11" s="22" t="s">
        <v>25</v>
      </c>
      <c r="J11" s="22" t="s">
        <v>26</v>
      </c>
      <c r="K11" s="22" t="s">
        <v>30</v>
      </c>
      <c r="L11" s="22" t="s">
        <v>22</v>
      </c>
      <c r="M11" s="22" t="s">
        <v>62</v>
      </c>
      <c r="N11" s="25"/>
      <c r="O11" s="26"/>
      <c r="P11" s="26"/>
      <c r="Q11" s="2"/>
      <c r="R11" s="2"/>
    </row>
    <row r="12">
      <c r="A12" s="2"/>
      <c r="B12" s="15">
        <v>9.0</v>
      </c>
      <c r="C12" s="16" t="s">
        <v>413</v>
      </c>
      <c r="D12" s="17" t="s">
        <v>20</v>
      </c>
      <c r="E12" s="18"/>
      <c r="F12" s="27">
        <v>46192.0</v>
      </c>
      <c r="G12" s="20">
        <v>125000.0</v>
      </c>
      <c r="H12" s="30"/>
      <c r="I12" s="22" t="s">
        <v>25</v>
      </c>
      <c r="J12" s="22" t="s">
        <v>26</v>
      </c>
      <c r="K12" s="22" t="s">
        <v>26</v>
      </c>
      <c r="L12" s="22" t="s">
        <v>22</v>
      </c>
      <c r="M12" s="22" t="s">
        <v>62</v>
      </c>
      <c r="N12" s="25"/>
      <c r="O12" s="26"/>
      <c r="P12" s="26"/>
      <c r="Q12" s="2"/>
      <c r="R12" s="2"/>
    </row>
    <row r="13">
      <c r="A13" s="2"/>
      <c r="B13" s="15">
        <v>10.0</v>
      </c>
      <c r="C13" s="16" t="s">
        <v>261</v>
      </c>
      <c r="D13" s="17" t="s">
        <v>414</v>
      </c>
      <c r="E13" s="18"/>
      <c r="F13" s="27">
        <v>46192.0</v>
      </c>
      <c r="G13" s="20"/>
      <c r="H13" s="21">
        <v>250000.0</v>
      </c>
      <c r="I13" s="22"/>
      <c r="J13" s="22"/>
      <c r="K13" s="22"/>
      <c r="L13" s="22" t="s">
        <v>33</v>
      </c>
      <c r="M13" s="29"/>
      <c r="N13" s="25"/>
      <c r="O13" s="26"/>
      <c r="P13" s="26"/>
      <c r="Q13" s="2"/>
      <c r="R13" s="2"/>
    </row>
    <row r="14">
      <c r="A14" s="2"/>
      <c r="B14" s="31"/>
      <c r="C14" s="16" t="s">
        <v>415</v>
      </c>
      <c r="D14" s="17" t="s">
        <v>20</v>
      </c>
      <c r="E14" s="18"/>
      <c r="F14" s="27">
        <v>46192.0</v>
      </c>
      <c r="G14" s="20">
        <v>1150000.0</v>
      </c>
      <c r="H14" s="30"/>
      <c r="I14" s="22" t="s">
        <v>25</v>
      </c>
      <c r="J14" s="22" t="s">
        <v>26</v>
      </c>
      <c r="K14" s="22" t="s">
        <v>26</v>
      </c>
      <c r="L14" s="22" t="s">
        <v>33</v>
      </c>
      <c r="M14" s="22" t="s">
        <v>62</v>
      </c>
      <c r="N14" s="25"/>
      <c r="O14" s="26"/>
      <c r="P14" s="26"/>
      <c r="Q14" s="2"/>
      <c r="R14" s="2"/>
    </row>
    <row r="15">
      <c r="A15" s="2"/>
      <c r="B15" s="31"/>
      <c r="C15" s="16" t="s">
        <v>416</v>
      </c>
      <c r="D15" s="17" t="s">
        <v>263</v>
      </c>
      <c r="E15" s="18"/>
      <c r="F15" s="27">
        <v>46192.0</v>
      </c>
      <c r="G15" s="20"/>
      <c r="H15" s="21">
        <v>20000.0</v>
      </c>
      <c r="I15" s="22" t="s">
        <v>25</v>
      </c>
      <c r="J15" s="22"/>
      <c r="K15" s="22"/>
      <c r="L15" s="22" t="s">
        <v>33</v>
      </c>
      <c r="M15" s="29"/>
      <c r="N15" s="25"/>
      <c r="O15" s="26"/>
      <c r="P15" s="26"/>
      <c r="Q15" s="2"/>
      <c r="R15" s="2"/>
    </row>
    <row r="16">
      <c r="A16" s="2"/>
      <c r="B16" s="31"/>
      <c r="C16" s="16" t="s">
        <v>417</v>
      </c>
      <c r="D16" s="17" t="s">
        <v>20</v>
      </c>
      <c r="E16" s="18"/>
      <c r="F16" s="27">
        <v>46192.0</v>
      </c>
      <c r="G16" s="20">
        <v>750000.0</v>
      </c>
      <c r="H16" s="30"/>
      <c r="I16" s="22" t="s">
        <v>25</v>
      </c>
      <c r="J16" s="22" t="s">
        <v>26</v>
      </c>
      <c r="K16" s="22" t="s">
        <v>26</v>
      </c>
      <c r="L16" s="22" t="s">
        <v>33</v>
      </c>
      <c r="M16" s="22" t="s">
        <v>127</v>
      </c>
      <c r="N16" s="25"/>
      <c r="O16" s="26"/>
      <c r="P16" s="26"/>
      <c r="Q16" s="2"/>
      <c r="R16" s="2"/>
    </row>
    <row r="17">
      <c r="A17" s="2"/>
      <c r="B17" s="31"/>
      <c r="C17" s="16" t="s">
        <v>418</v>
      </c>
      <c r="D17" s="17" t="s">
        <v>367</v>
      </c>
      <c r="E17" s="18"/>
      <c r="F17" s="27">
        <v>46192.0</v>
      </c>
      <c r="G17" s="20"/>
      <c r="H17" s="21">
        <v>25000.0</v>
      </c>
      <c r="I17" s="22" t="s">
        <v>25</v>
      </c>
      <c r="J17" s="22"/>
      <c r="K17" s="22"/>
      <c r="L17" s="22" t="s">
        <v>33</v>
      </c>
      <c r="M17" s="29"/>
      <c r="N17" s="25"/>
      <c r="O17" s="26"/>
      <c r="P17" s="26"/>
      <c r="Q17" s="2"/>
      <c r="R17" s="2"/>
    </row>
    <row r="18">
      <c r="A18" s="2"/>
      <c r="B18" s="31"/>
      <c r="C18" s="16" t="s">
        <v>419</v>
      </c>
      <c r="D18" s="17" t="s">
        <v>20</v>
      </c>
      <c r="E18" s="18"/>
      <c r="F18" s="27">
        <v>46192.0</v>
      </c>
      <c r="G18" s="20">
        <v>700000.0</v>
      </c>
      <c r="H18" s="30"/>
      <c r="I18" s="22" t="s">
        <v>25</v>
      </c>
      <c r="J18" s="22" t="s">
        <v>26</v>
      </c>
      <c r="K18" s="22" t="s">
        <v>26</v>
      </c>
      <c r="L18" s="22" t="s">
        <v>33</v>
      </c>
      <c r="M18" s="22" t="s">
        <v>127</v>
      </c>
      <c r="N18" s="26"/>
      <c r="O18" s="26"/>
      <c r="P18" s="26"/>
      <c r="Q18" s="2"/>
      <c r="R18" s="2"/>
    </row>
    <row r="19">
      <c r="A19" s="2"/>
      <c r="B19" s="31"/>
      <c r="C19" s="16" t="s">
        <v>420</v>
      </c>
      <c r="D19" s="17" t="s">
        <v>20</v>
      </c>
      <c r="E19" s="18"/>
      <c r="F19" s="27">
        <v>46193.0</v>
      </c>
      <c r="G19" s="28"/>
      <c r="H19" s="21">
        <v>100000.0</v>
      </c>
      <c r="I19" s="22" t="s">
        <v>21</v>
      </c>
      <c r="J19" s="29"/>
      <c r="K19" s="29"/>
      <c r="L19" s="22" t="s">
        <v>33</v>
      </c>
      <c r="M19" s="29"/>
      <c r="N19" s="26"/>
      <c r="O19" s="26"/>
      <c r="P19" s="26"/>
      <c r="Q19" s="2"/>
      <c r="R19" s="2"/>
    </row>
    <row r="20">
      <c r="A20" s="2"/>
      <c r="B20" s="31"/>
      <c r="C20" s="16" t="s">
        <v>421</v>
      </c>
      <c r="D20" s="17" t="s">
        <v>263</v>
      </c>
      <c r="E20" s="18"/>
      <c r="F20" s="27">
        <v>46192.0</v>
      </c>
      <c r="G20" s="28"/>
      <c r="H20" s="21">
        <v>20000.0</v>
      </c>
      <c r="I20" s="22" t="s">
        <v>25</v>
      </c>
      <c r="J20" s="29"/>
      <c r="K20" s="29"/>
      <c r="L20" s="22" t="s">
        <v>33</v>
      </c>
      <c r="M20" s="29"/>
      <c r="N20" s="26"/>
      <c r="O20" s="26"/>
      <c r="P20" s="26"/>
      <c r="Q20" s="2"/>
      <c r="R20" s="2"/>
    </row>
    <row r="21">
      <c r="A21" s="2"/>
      <c r="B21" s="31"/>
      <c r="C21" s="16" t="s">
        <v>422</v>
      </c>
      <c r="D21" s="17" t="s">
        <v>20</v>
      </c>
      <c r="E21" s="18"/>
      <c r="F21" s="27">
        <v>46193.0</v>
      </c>
      <c r="G21" s="28"/>
      <c r="H21" s="21">
        <v>100000.0</v>
      </c>
      <c r="I21" s="22" t="s">
        <v>21</v>
      </c>
      <c r="J21" s="29"/>
      <c r="K21" s="29"/>
      <c r="L21" s="22" t="s">
        <v>33</v>
      </c>
      <c r="M21" s="29"/>
      <c r="N21" s="26"/>
      <c r="O21" s="26"/>
      <c r="P21" s="26"/>
      <c r="Q21" s="2"/>
      <c r="R21" s="2"/>
    </row>
    <row r="22">
      <c r="A22" s="2"/>
      <c r="B22" s="31"/>
      <c r="C22" s="16" t="s">
        <v>423</v>
      </c>
      <c r="D22" s="17" t="s">
        <v>82</v>
      </c>
      <c r="E22" s="18"/>
      <c r="F22" s="27">
        <v>46192.0</v>
      </c>
      <c r="G22" s="28"/>
      <c r="H22" s="21">
        <v>400000.0</v>
      </c>
      <c r="I22" s="22" t="s">
        <v>25</v>
      </c>
      <c r="J22" s="22" t="s">
        <v>26</v>
      </c>
      <c r="K22" s="22" t="s">
        <v>30</v>
      </c>
      <c r="L22" s="22" t="s">
        <v>33</v>
      </c>
      <c r="M22" s="22" t="s">
        <v>127</v>
      </c>
      <c r="N22" s="26"/>
      <c r="O22" s="26"/>
      <c r="P22" s="26"/>
      <c r="Q22" s="2"/>
      <c r="R22" s="2"/>
    </row>
    <row r="23">
      <c r="A23" s="2"/>
      <c r="B23" s="31"/>
      <c r="C23" s="16" t="s">
        <v>424</v>
      </c>
      <c r="D23" s="17" t="s">
        <v>20</v>
      </c>
      <c r="E23" s="18"/>
      <c r="F23" s="27">
        <v>46194.0</v>
      </c>
      <c r="G23" s="28"/>
      <c r="H23" s="21">
        <v>100000.0</v>
      </c>
      <c r="I23" s="22" t="s">
        <v>21</v>
      </c>
      <c r="J23" s="29"/>
      <c r="K23" s="29"/>
      <c r="L23" s="22" t="s">
        <v>33</v>
      </c>
      <c r="M23" s="29"/>
      <c r="N23" s="26"/>
      <c r="O23" s="26"/>
      <c r="P23" s="26"/>
      <c r="Q23" s="2"/>
      <c r="R23" s="2"/>
    </row>
    <row r="24">
      <c r="A24" s="2"/>
      <c r="B24" s="31"/>
      <c r="C24" s="16" t="s">
        <v>425</v>
      </c>
      <c r="D24" s="17" t="s">
        <v>20</v>
      </c>
      <c r="E24" s="18"/>
      <c r="F24" s="27">
        <v>46192.0</v>
      </c>
      <c r="G24" s="28"/>
      <c r="H24" s="21">
        <v>1125000.0</v>
      </c>
      <c r="I24" s="22" t="s">
        <v>25</v>
      </c>
      <c r="J24" s="22" t="s">
        <v>26</v>
      </c>
      <c r="K24" s="22" t="s">
        <v>30</v>
      </c>
      <c r="L24" s="22" t="s">
        <v>33</v>
      </c>
      <c r="M24" s="22" t="s">
        <v>127</v>
      </c>
      <c r="N24" s="26"/>
      <c r="O24" s="26"/>
      <c r="P24" s="26"/>
      <c r="Q24" s="2"/>
      <c r="R24" s="2"/>
    </row>
    <row r="25">
      <c r="A25" s="2"/>
      <c r="B25" s="31"/>
      <c r="C25" s="16" t="s">
        <v>426</v>
      </c>
      <c r="D25" s="17" t="s">
        <v>20</v>
      </c>
      <c r="E25" s="18"/>
      <c r="F25" s="27">
        <v>46213.0</v>
      </c>
      <c r="G25" s="28"/>
      <c r="H25" s="21">
        <v>100000.0</v>
      </c>
      <c r="I25" s="22" t="s">
        <v>21</v>
      </c>
      <c r="J25" s="29"/>
      <c r="K25" s="29"/>
      <c r="L25" s="22" t="s">
        <v>33</v>
      </c>
      <c r="M25" s="29"/>
      <c r="N25" s="33"/>
      <c r="O25" s="33"/>
      <c r="P25" s="33"/>
      <c r="Q25" s="2"/>
      <c r="R25" s="2"/>
    </row>
    <row r="26" ht="18.75" customHeight="1">
      <c r="A26" s="2"/>
      <c r="B26" s="2"/>
      <c r="C26" s="3"/>
      <c r="D26" s="3"/>
      <c r="E26" s="2"/>
      <c r="F26" s="2"/>
      <c r="G26" s="34">
        <f t="shared" ref="G26:H26" si="1">SUM(G4:G25)</f>
        <v>3735000</v>
      </c>
      <c r="H26" s="35">
        <f t="shared" si="1"/>
        <v>2815000</v>
      </c>
      <c r="I26" s="2"/>
      <c r="J26" s="2"/>
      <c r="K26" s="2"/>
      <c r="L26" s="2"/>
      <c r="M26" s="2"/>
      <c r="N26" s="2"/>
      <c r="O26" s="2"/>
      <c r="P26" s="2"/>
      <c r="Q26" s="2"/>
      <c r="R26" s="2"/>
    </row>
    <row r="27" ht="23.25" customHeight="1">
      <c r="A27" s="2"/>
      <c r="B27" s="2"/>
      <c r="C27" s="3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>
      <c r="A28" s="2"/>
      <c r="B28" s="2"/>
      <c r="C28" s="3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>
      <c r="A29" s="2"/>
      <c r="B29" s="36" t="s">
        <v>1</v>
      </c>
      <c r="C29" s="37" t="s">
        <v>7</v>
      </c>
      <c r="D29" s="37" t="s">
        <v>45</v>
      </c>
      <c r="E29" s="1"/>
      <c r="F29" s="2"/>
      <c r="G29" s="2"/>
      <c r="H29" s="2"/>
      <c r="I29" s="2"/>
      <c r="J29" s="2"/>
      <c r="K29" s="2"/>
      <c r="L29" s="2"/>
      <c r="M29" s="2"/>
      <c r="N29" s="37" t="s">
        <v>46</v>
      </c>
      <c r="O29" s="37" t="s">
        <v>2</v>
      </c>
      <c r="P29" s="2"/>
      <c r="Q29" s="2"/>
      <c r="R29" s="2"/>
    </row>
    <row r="30">
      <c r="A30" s="2"/>
      <c r="B30" s="38">
        <v>1.0</v>
      </c>
      <c r="C30" s="39" t="s">
        <v>47</v>
      </c>
      <c r="D30" s="40">
        <f>SUM(G26)</f>
        <v>3735000</v>
      </c>
      <c r="E30" s="41"/>
      <c r="F30" s="2"/>
      <c r="G30" s="2"/>
      <c r="H30" s="2"/>
      <c r="I30" s="2"/>
      <c r="J30" s="2"/>
      <c r="K30" s="2"/>
      <c r="L30" s="2"/>
      <c r="M30" s="2"/>
      <c r="N30" s="42" t="s">
        <v>48</v>
      </c>
      <c r="O30" s="23" t="s">
        <v>22</v>
      </c>
      <c r="P30" s="2"/>
      <c r="Q30" s="2"/>
      <c r="R30" s="2"/>
    </row>
    <row r="31">
      <c r="A31" s="2"/>
      <c r="B31" s="43">
        <v>2.0</v>
      </c>
      <c r="C31" s="44" t="s">
        <v>76</v>
      </c>
      <c r="D31" s="45">
        <v>-100000.0</v>
      </c>
      <c r="E31" s="46"/>
      <c r="F31" s="2"/>
      <c r="G31" s="2"/>
      <c r="H31" s="2"/>
      <c r="I31" s="2"/>
      <c r="J31" s="2"/>
      <c r="K31" s="2"/>
      <c r="L31" s="2"/>
      <c r="M31" s="2"/>
      <c r="N31" s="47" t="s">
        <v>50</v>
      </c>
      <c r="O31" s="48" t="s">
        <v>33</v>
      </c>
      <c r="P31" s="2"/>
      <c r="Q31" s="2"/>
      <c r="R31" s="2"/>
    </row>
    <row r="32">
      <c r="A32" s="2"/>
      <c r="B32" s="38">
        <v>3.0</v>
      </c>
      <c r="C32" s="39" t="s">
        <v>49</v>
      </c>
      <c r="D32" s="49">
        <v>-185000.0</v>
      </c>
      <c r="E32" s="46"/>
      <c r="F32" s="2"/>
      <c r="G32" s="2"/>
      <c r="H32" s="2"/>
      <c r="I32" s="2"/>
      <c r="J32" s="2"/>
      <c r="K32" s="2"/>
      <c r="L32" s="2"/>
      <c r="M32" s="2"/>
      <c r="N32" s="50" t="s">
        <v>52</v>
      </c>
      <c r="O32" s="25" t="s">
        <v>62</v>
      </c>
      <c r="P32" s="2"/>
      <c r="Q32" s="2"/>
      <c r="R32" s="2"/>
    </row>
    <row r="33">
      <c r="A33" s="2"/>
      <c r="B33" s="43">
        <v>4.0</v>
      </c>
      <c r="C33" s="77" t="s">
        <v>51</v>
      </c>
      <c r="D33" s="78">
        <v>-50000.0</v>
      </c>
      <c r="E33" s="46"/>
      <c r="F33" s="71">
        <f>D31+D32+D33+D35</f>
        <v>-519000</v>
      </c>
      <c r="G33" s="2"/>
      <c r="H33" s="2"/>
      <c r="I33" s="2"/>
      <c r="J33" s="2"/>
      <c r="K33" s="2"/>
      <c r="L33" s="2"/>
      <c r="M33" s="2"/>
      <c r="N33" s="51" t="s">
        <v>54</v>
      </c>
      <c r="O33" s="48" t="s">
        <v>127</v>
      </c>
      <c r="P33" s="2"/>
      <c r="Q33" s="2"/>
      <c r="R33" s="2"/>
    </row>
    <row r="34">
      <c r="A34" s="2"/>
      <c r="B34" s="38"/>
      <c r="C34" s="39" t="s">
        <v>322</v>
      </c>
      <c r="D34" s="49">
        <v>-16000.0</v>
      </c>
      <c r="E34" s="41"/>
      <c r="F34" s="2"/>
      <c r="G34" s="2"/>
      <c r="H34" s="2"/>
      <c r="I34" s="2"/>
      <c r="J34" s="2"/>
      <c r="K34" s="2"/>
      <c r="L34" s="2"/>
      <c r="M34" s="2"/>
      <c r="N34" s="53"/>
      <c r="O34" s="2"/>
      <c r="P34" s="2"/>
      <c r="Q34" s="2"/>
      <c r="R34" s="2"/>
    </row>
    <row r="35">
      <c r="A35" s="2"/>
      <c r="B35" s="43"/>
      <c r="C35" s="44" t="s">
        <v>53</v>
      </c>
      <c r="D35" s="45">
        <v>-184000.0</v>
      </c>
      <c r="E35" s="4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2"/>
      <c r="B36" s="38"/>
      <c r="C36" s="52"/>
      <c r="D36" s="40"/>
      <c r="E36" s="4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/>
      <c r="B37" s="43"/>
      <c r="C37" s="54"/>
      <c r="D37" s="55"/>
      <c r="E37" s="4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38"/>
      <c r="C38" s="52"/>
      <c r="D38" s="40"/>
      <c r="E38" s="4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43"/>
      <c r="C39" s="54"/>
      <c r="D39" s="55"/>
      <c r="E39" s="4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56"/>
      <c r="C40" s="57"/>
      <c r="D40" s="58"/>
      <c r="E40" s="4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2"/>
      <c r="C41" s="3"/>
      <c r="D41" s="59">
        <f>SUM(D30:D40)</f>
        <v>3200000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2"/>
      <c r="B42" s="2"/>
      <c r="C42" s="3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2"/>
      <c r="B43" s="2"/>
      <c r="C43" s="3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>
      <c r="A44" s="2"/>
      <c r="B44" s="2"/>
      <c r="C44" s="3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2"/>
      <c r="B45" s="2"/>
      <c r="C45" s="3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5 O30:O31">
      <formula1>"-,JIJANG,AXEL,ADDEL ,FAHME,INDAH"</formula1>
    </dataValidation>
    <dataValidation type="list" allowBlank="1" showDropDown="1" showErrorMessage="1" sqref="D4:D25">
      <formula1>"-,Single,Couple A,Couple B,Group A,Group B,Group C,Large Group,Graduation,Graduation Premium,Family A,Family B,Maternity,Concept,Studio Rent,Pas Foto,Single,Add Person ,Add Edit,Canvas,Packing,Add Cetak"</formula1>
    </dataValidation>
    <dataValidation type="list" allowBlank="1" showDropDown="1" showErrorMessage="1" sqref="M4:M25 O32:O33">
      <formula1>"-,VERO,FADEL,HANIF ,FAHME,ADIF"</formula1>
    </dataValidation>
    <dataValidation type="list" allowBlank="1" showErrorMessage="1" sqref="N4:N25">
      <formula1>"-,Pending,Progress,Uploaded"</formula1>
    </dataValidation>
    <dataValidation type="list" allowBlank="1" showErrorMessage="1" sqref="O4:O25">
      <formula1>"-,In Pikako,In Foxe"</formula1>
    </dataValidation>
    <dataValidation type="list" allowBlank="1" showDropDown="1" showErrorMessage="1" sqref="I4:I25">
      <formula1>"-,DP,Lunas"</formula1>
    </dataValidation>
    <dataValidation type="list" allowBlank="1" showDropDown="1" showErrorMessage="1" sqref="J4:K25">
      <formula1>"-,Pending,Uploaded"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28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2"/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 t="s">
        <v>427</v>
      </c>
      <c r="D4" s="17" t="s">
        <v>132</v>
      </c>
      <c r="E4" s="18"/>
      <c r="F4" s="19">
        <v>46193.0</v>
      </c>
      <c r="G4" s="20"/>
      <c r="H4" s="21">
        <v>100000.0</v>
      </c>
      <c r="I4" s="22" t="s">
        <v>21</v>
      </c>
      <c r="J4" s="22"/>
      <c r="K4" s="22"/>
      <c r="L4" s="22" t="s">
        <v>33</v>
      </c>
      <c r="M4" s="22"/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 t="s">
        <v>428</v>
      </c>
      <c r="D5" s="17" t="s">
        <v>42</v>
      </c>
      <c r="E5" s="18"/>
      <c r="F5" s="19">
        <v>46193.0</v>
      </c>
      <c r="G5" s="20"/>
      <c r="H5" s="21">
        <v>100000.0</v>
      </c>
      <c r="I5" s="22" t="s">
        <v>21</v>
      </c>
      <c r="J5" s="22"/>
      <c r="K5" s="22"/>
      <c r="L5" s="22" t="s">
        <v>33</v>
      </c>
      <c r="M5" s="22"/>
      <c r="N5" s="25"/>
      <c r="O5" s="25"/>
      <c r="P5" s="26"/>
      <c r="Q5" s="2"/>
      <c r="R5" s="2"/>
    </row>
    <row r="6">
      <c r="A6" s="2"/>
      <c r="B6" s="15">
        <v>3.0</v>
      </c>
      <c r="C6" s="16" t="s">
        <v>429</v>
      </c>
      <c r="D6" s="17" t="s">
        <v>82</v>
      </c>
      <c r="E6" s="18"/>
      <c r="F6" s="27">
        <v>46207.0</v>
      </c>
      <c r="G6" s="28"/>
      <c r="H6" s="21">
        <v>100000.0</v>
      </c>
      <c r="I6" s="22" t="s">
        <v>21</v>
      </c>
      <c r="J6" s="22"/>
      <c r="K6" s="22"/>
      <c r="L6" s="22" t="s">
        <v>33</v>
      </c>
      <c r="M6" s="29"/>
      <c r="N6" s="25"/>
      <c r="O6" s="25"/>
      <c r="P6" s="26"/>
      <c r="Q6" s="2"/>
      <c r="R6" s="2"/>
    </row>
    <row r="7">
      <c r="A7" s="2"/>
      <c r="B7" s="15">
        <v>4.0</v>
      </c>
      <c r="C7" s="16" t="s">
        <v>430</v>
      </c>
      <c r="D7" s="17" t="s">
        <v>20</v>
      </c>
      <c r="E7" s="18"/>
      <c r="F7" s="27">
        <v>46196.0</v>
      </c>
      <c r="G7" s="20"/>
      <c r="H7" s="21">
        <v>100000.0</v>
      </c>
      <c r="I7" s="22" t="s">
        <v>21</v>
      </c>
      <c r="J7" s="22"/>
      <c r="K7" s="22"/>
      <c r="L7" s="22" t="s">
        <v>33</v>
      </c>
      <c r="M7" s="29"/>
      <c r="N7" s="25"/>
      <c r="O7" s="25"/>
      <c r="P7" s="26"/>
      <c r="Q7" s="2"/>
      <c r="R7" s="2"/>
    </row>
    <row r="8">
      <c r="A8" s="2"/>
      <c r="B8" s="15">
        <v>5.0</v>
      </c>
      <c r="C8" s="16" t="s">
        <v>431</v>
      </c>
      <c r="D8" s="17" t="s">
        <v>20</v>
      </c>
      <c r="E8" s="18"/>
      <c r="F8" s="27">
        <v>46195.0</v>
      </c>
      <c r="G8" s="20"/>
      <c r="H8" s="21">
        <v>100000.0</v>
      </c>
      <c r="I8" s="22" t="s">
        <v>21</v>
      </c>
      <c r="J8" s="22"/>
      <c r="K8" s="22"/>
      <c r="L8" s="22" t="s">
        <v>33</v>
      </c>
      <c r="M8" s="29"/>
      <c r="N8" s="25"/>
      <c r="O8" s="26"/>
      <c r="P8" s="26"/>
      <c r="Q8" s="2"/>
      <c r="R8" s="2"/>
    </row>
    <row r="9">
      <c r="A9" s="2"/>
      <c r="B9" s="15">
        <v>6.0</v>
      </c>
      <c r="C9" s="16" t="s">
        <v>432</v>
      </c>
      <c r="D9" s="17" t="s">
        <v>20</v>
      </c>
      <c r="E9" s="18"/>
      <c r="F9" s="27">
        <v>46195.0</v>
      </c>
      <c r="G9" s="20"/>
      <c r="H9" s="21">
        <v>100000.0</v>
      </c>
      <c r="I9" s="22" t="s">
        <v>21</v>
      </c>
      <c r="J9" s="22"/>
      <c r="K9" s="22"/>
      <c r="L9" s="22" t="s">
        <v>33</v>
      </c>
      <c r="M9" s="29"/>
      <c r="N9" s="25"/>
      <c r="O9" s="26"/>
      <c r="P9" s="26"/>
      <c r="Q9" s="2"/>
      <c r="R9" s="2"/>
    </row>
    <row r="10">
      <c r="A10" s="2"/>
      <c r="B10" s="15">
        <v>7.0</v>
      </c>
      <c r="C10" s="16" t="s">
        <v>433</v>
      </c>
      <c r="D10" s="17" t="s">
        <v>20</v>
      </c>
      <c r="E10" s="18"/>
      <c r="F10" s="27">
        <v>46194.0</v>
      </c>
      <c r="G10" s="20"/>
      <c r="H10" s="21">
        <v>100000.0</v>
      </c>
      <c r="I10" s="22" t="s">
        <v>25</v>
      </c>
      <c r="J10" s="22"/>
      <c r="K10" s="22"/>
      <c r="L10" s="22" t="s">
        <v>33</v>
      </c>
      <c r="M10" s="29"/>
      <c r="N10" s="25"/>
      <c r="O10" s="26"/>
      <c r="P10" s="26"/>
      <c r="Q10" s="2"/>
      <c r="R10" s="2"/>
    </row>
    <row r="11">
      <c r="A11" s="2"/>
      <c r="B11" s="15">
        <v>8.0</v>
      </c>
      <c r="C11" s="73" t="s">
        <v>434</v>
      </c>
      <c r="D11" s="17" t="s">
        <v>85</v>
      </c>
      <c r="E11" s="18"/>
      <c r="F11" s="27">
        <v>46193.0</v>
      </c>
      <c r="G11" s="20"/>
      <c r="H11" s="21">
        <v>300000.0</v>
      </c>
      <c r="I11" s="22" t="s">
        <v>25</v>
      </c>
      <c r="J11" s="22" t="s">
        <v>184</v>
      </c>
      <c r="K11" s="22" t="s">
        <v>184</v>
      </c>
      <c r="L11" s="22" t="s">
        <v>33</v>
      </c>
      <c r="M11" s="22" t="s">
        <v>127</v>
      </c>
      <c r="N11" s="25"/>
      <c r="O11" s="26"/>
      <c r="P11" s="26"/>
      <c r="Q11" s="2"/>
      <c r="R11" s="2"/>
    </row>
    <row r="12">
      <c r="A12" s="2"/>
      <c r="B12" s="15">
        <v>9.0</v>
      </c>
      <c r="C12" s="16" t="s">
        <v>409</v>
      </c>
      <c r="D12" s="17" t="s">
        <v>20</v>
      </c>
      <c r="E12" s="18"/>
      <c r="F12" s="27">
        <v>46193.0</v>
      </c>
      <c r="G12" s="20">
        <v>525000.0</v>
      </c>
      <c r="H12" s="30"/>
      <c r="I12" s="22" t="s">
        <v>25</v>
      </c>
      <c r="J12" s="22"/>
      <c r="K12" s="22"/>
      <c r="L12" s="22" t="s">
        <v>33</v>
      </c>
      <c r="M12" s="22" t="s">
        <v>127</v>
      </c>
      <c r="N12" s="25"/>
      <c r="O12" s="26"/>
      <c r="P12" s="26"/>
      <c r="Q12" s="2"/>
      <c r="R12" s="2"/>
    </row>
    <row r="13">
      <c r="A13" s="2"/>
      <c r="B13" s="15">
        <v>10.0</v>
      </c>
      <c r="C13" s="16" t="s">
        <v>435</v>
      </c>
      <c r="D13" s="17" t="s">
        <v>42</v>
      </c>
      <c r="E13" s="18"/>
      <c r="F13" s="27">
        <v>46193.0</v>
      </c>
      <c r="G13" s="20"/>
      <c r="H13" s="21">
        <v>250000.0</v>
      </c>
      <c r="I13" s="22" t="s">
        <v>25</v>
      </c>
      <c r="J13" s="22" t="s">
        <v>26</v>
      </c>
      <c r="K13" s="22" t="s">
        <v>30</v>
      </c>
      <c r="L13" s="22" t="s">
        <v>22</v>
      </c>
      <c r="M13" s="22" t="s">
        <v>127</v>
      </c>
      <c r="N13" s="25"/>
      <c r="O13" s="26"/>
      <c r="P13" s="26"/>
      <c r="Q13" s="2"/>
      <c r="R13" s="2"/>
    </row>
    <row r="14">
      <c r="A14" s="2"/>
      <c r="B14" s="31"/>
      <c r="C14" s="16" t="s">
        <v>436</v>
      </c>
      <c r="D14" s="17" t="s">
        <v>20</v>
      </c>
      <c r="E14" s="18"/>
      <c r="F14" s="27">
        <v>46198.0</v>
      </c>
      <c r="G14" s="20"/>
      <c r="H14" s="21">
        <v>100000.0</v>
      </c>
      <c r="I14" s="22" t="s">
        <v>21</v>
      </c>
      <c r="J14" s="22"/>
      <c r="K14" s="22"/>
      <c r="L14" s="22" t="s">
        <v>22</v>
      </c>
      <c r="M14" s="29"/>
      <c r="N14" s="25"/>
      <c r="O14" s="26"/>
      <c r="P14" s="26"/>
      <c r="Q14" s="2"/>
      <c r="R14" s="2"/>
    </row>
    <row r="15">
      <c r="A15" s="2"/>
      <c r="B15" s="31"/>
      <c r="C15" s="16" t="s">
        <v>437</v>
      </c>
      <c r="D15" s="17" t="s">
        <v>42</v>
      </c>
      <c r="E15" s="18"/>
      <c r="F15" s="27">
        <v>46194.0</v>
      </c>
      <c r="G15" s="20"/>
      <c r="H15" s="21">
        <v>100000.0</v>
      </c>
      <c r="I15" s="22" t="s">
        <v>21</v>
      </c>
      <c r="J15" s="22"/>
      <c r="K15" s="22"/>
      <c r="L15" s="22" t="s">
        <v>22</v>
      </c>
      <c r="M15" s="29"/>
      <c r="N15" s="25"/>
      <c r="O15" s="26"/>
      <c r="P15" s="26"/>
      <c r="Q15" s="2"/>
      <c r="R15" s="2"/>
    </row>
    <row r="16">
      <c r="A16" s="2"/>
      <c r="B16" s="31"/>
      <c r="C16" s="16" t="s">
        <v>313</v>
      </c>
      <c r="D16" s="17" t="s">
        <v>20</v>
      </c>
      <c r="E16" s="18"/>
      <c r="F16" s="27">
        <v>46193.0</v>
      </c>
      <c r="G16" s="20">
        <v>900000.0</v>
      </c>
      <c r="H16" s="30"/>
      <c r="I16" s="22" t="s">
        <v>25</v>
      </c>
      <c r="J16" s="22" t="s">
        <v>26</v>
      </c>
      <c r="K16" s="22" t="s">
        <v>30</v>
      </c>
      <c r="L16" s="22" t="s">
        <v>22</v>
      </c>
      <c r="M16" s="22" t="s">
        <v>62</v>
      </c>
      <c r="N16" s="25"/>
      <c r="O16" s="26"/>
      <c r="P16" s="26"/>
      <c r="Q16" s="2"/>
      <c r="R16" s="2"/>
    </row>
    <row r="17">
      <c r="A17" s="2"/>
      <c r="B17" s="31"/>
      <c r="C17" s="16" t="s">
        <v>358</v>
      </c>
      <c r="D17" s="17" t="s">
        <v>14</v>
      </c>
      <c r="E17" s="18"/>
      <c r="F17" s="27">
        <v>46193.0</v>
      </c>
      <c r="G17" s="20">
        <v>50000.0</v>
      </c>
      <c r="H17" s="21"/>
      <c r="I17" s="22" t="s">
        <v>25</v>
      </c>
      <c r="J17" s="22" t="s">
        <v>26</v>
      </c>
      <c r="K17" s="22" t="s">
        <v>30</v>
      </c>
      <c r="L17" s="22" t="s">
        <v>22</v>
      </c>
      <c r="M17" s="22" t="s">
        <v>62</v>
      </c>
      <c r="N17" s="25"/>
      <c r="O17" s="26"/>
      <c r="P17" s="26"/>
      <c r="Q17" s="2"/>
      <c r="R17" s="2"/>
    </row>
    <row r="18">
      <c r="A18" s="2"/>
      <c r="B18" s="31"/>
      <c r="C18" s="16" t="s">
        <v>438</v>
      </c>
      <c r="D18" s="17" t="s">
        <v>20</v>
      </c>
      <c r="E18" s="18"/>
      <c r="F18" s="27">
        <v>46193.0</v>
      </c>
      <c r="G18" s="20"/>
      <c r="H18" s="21">
        <v>100000.0</v>
      </c>
      <c r="I18" s="22" t="s">
        <v>21</v>
      </c>
      <c r="J18" s="22"/>
      <c r="K18" s="22"/>
      <c r="L18" s="22" t="s">
        <v>22</v>
      </c>
      <c r="M18" s="29"/>
      <c r="N18" s="25"/>
      <c r="O18" s="26"/>
      <c r="P18" s="26"/>
      <c r="Q18" s="2"/>
      <c r="R18" s="2"/>
    </row>
    <row r="19">
      <c r="A19" s="2"/>
      <c r="B19" s="31"/>
      <c r="C19" s="16" t="s">
        <v>439</v>
      </c>
      <c r="D19" s="17" t="s">
        <v>20</v>
      </c>
      <c r="E19" s="18"/>
      <c r="F19" s="27">
        <v>46193.0</v>
      </c>
      <c r="G19" s="20">
        <v>500000.0</v>
      </c>
      <c r="H19" s="30"/>
      <c r="I19" s="22" t="s">
        <v>25</v>
      </c>
      <c r="J19" s="22" t="s">
        <v>26</v>
      </c>
      <c r="K19" s="22" t="s">
        <v>26</v>
      </c>
      <c r="L19" s="22" t="s">
        <v>22</v>
      </c>
      <c r="M19" s="22" t="s">
        <v>62</v>
      </c>
      <c r="N19" s="25"/>
      <c r="O19" s="26"/>
      <c r="P19" s="26"/>
      <c r="Q19" s="2"/>
      <c r="R19" s="2"/>
    </row>
    <row r="20">
      <c r="A20" s="2"/>
      <c r="B20" s="31"/>
      <c r="C20" s="16" t="s">
        <v>420</v>
      </c>
      <c r="D20" s="17" t="s">
        <v>20</v>
      </c>
      <c r="E20" s="18"/>
      <c r="F20" s="27">
        <v>46193.0</v>
      </c>
      <c r="G20" s="20"/>
      <c r="H20" s="21">
        <v>250000.0</v>
      </c>
      <c r="I20" s="22" t="s">
        <v>25</v>
      </c>
      <c r="J20" s="22" t="s">
        <v>26</v>
      </c>
      <c r="K20" s="22" t="s">
        <v>26</v>
      </c>
      <c r="L20" s="22" t="s">
        <v>22</v>
      </c>
      <c r="M20" s="22" t="s">
        <v>62</v>
      </c>
      <c r="N20" s="25"/>
      <c r="O20" s="26"/>
      <c r="P20" s="26"/>
      <c r="Q20" s="2"/>
      <c r="R20" s="2"/>
    </row>
    <row r="21">
      <c r="A21" s="2"/>
      <c r="B21" s="31"/>
      <c r="C21" s="16" t="s">
        <v>440</v>
      </c>
      <c r="D21" s="17" t="s">
        <v>132</v>
      </c>
      <c r="E21" s="18"/>
      <c r="F21" s="27">
        <v>46193.0</v>
      </c>
      <c r="G21" s="20"/>
      <c r="H21" s="21">
        <v>100000.0</v>
      </c>
      <c r="I21" s="22" t="s">
        <v>25</v>
      </c>
      <c r="J21" s="22" t="s">
        <v>26</v>
      </c>
      <c r="K21" s="22" t="s">
        <v>26</v>
      </c>
      <c r="L21" s="22" t="s">
        <v>22</v>
      </c>
      <c r="M21" s="22" t="s">
        <v>62</v>
      </c>
      <c r="N21" s="25"/>
      <c r="O21" s="26"/>
      <c r="P21" s="26"/>
      <c r="Q21" s="2"/>
      <c r="R21" s="2"/>
    </row>
    <row r="22">
      <c r="A22" s="2"/>
      <c r="B22" s="31"/>
      <c r="C22" s="16" t="s">
        <v>428</v>
      </c>
      <c r="D22" s="17" t="s">
        <v>42</v>
      </c>
      <c r="E22" s="18"/>
      <c r="F22" s="27">
        <v>46193.0</v>
      </c>
      <c r="G22" s="20">
        <v>250000.0</v>
      </c>
      <c r="H22" s="30"/>
      <c r="I22" s="22" t="s">
        <v>25</v>
      </c>
      <c r="J22" s="22" t="s">
        <v>26</v>
      </c>
      <c r="K22" s="22" t="s">
        <v>30</v>
      </c>
      <c r="L22" s="22" t="s">
        <v>22</v>
      </c>
      <c r="M22" s="22" t="s">
        <v>62</v>
      </c>
      <c r="N22" s="25"/>
      <c r="O22" s="26"/>
      <c r="P22" s="26"/>
      <c r="Q22" s="2"/>
      <c r="R22" s="2"/>
    </row>
    <row r="23">
      <c r="A23" s="2"/>
      <c r="B23" s="31"/>
      <c r="C23" s="16" t="s">
        <v>410</v>
      </c>
      <c r="D23" s="17" t="s">
        <v>20</v>
      </c>
      <c r="E23" s="18"/>
      <c r="F23" s="27">
        <v>46193.0</v>
      </c>
      <c r="G23" s="20">
        <v>75000.0</v>
      </c>
      <c r="H23" s="30"/>
      <c r="I23" s="22" t="s">
        <v>25</v>
      </c>
      <c r="J23" s="22" t="s">
        <v>26</v>
      </c>
      <c r="K23" s="22" t="s">
        <v>26</v>
      </c>
      <c r="L23" s="22" t="s">
        <v>22</v>
      </c>
      <c r="M23" s="22" t="s">
        <v>62</v>
      </c>
      <c r="N23" s="33"/>
      <c r="O23" s="33"/>
      <c r="P23" s="33"/>
      <c r="Q23" s="2"/>
      <c r="R23" s="2"/>
    </row>
    <row r="24" ht="18.75" customHeight="1">
      <c r="A24" s="2"/>
      <c r="B24" s="2"/>
      <c r="C24" s="3"/>
      <c r="D24" s="3"/>
      <c r="E24" s="2"/>
      <c r="F24" s="2"/>
      <c r="G24" s="34">
        <f t="shared" ref="G24:H24" si="1">SUM(G4:G23)</f>
        <v>2300000</v>
      </c>
      <c r="H24" s="35">
        <f t="shared" si="1"/>
        <v>1900000</v>
      </c>
      <c r="I24" s="2"/>
      <c r="J24" s="2"/>
      <c r="K24" s="2"/>
      <c r="L24" s="2"/>
      <c r="M24" s="2"/>
      <c r="N24" s="2"/>
      <c r="O24" s="2"/>
      <c r="P24" s="2"/>
      <c r="Q24" s="2"/>
      <c r="R24" s="2"/>
    </row>
    <row r="25" ht="23.25" customHeight="1">
      <c r="A25" s="2"/>
      <c r="B25" s="2"/>
      <c r="C25" s="3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>
      <c r="A26" s="2"/>
      <c r="B26" s="2"/>
      <c r="C26" s="3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2"/>
      <c r="B27" s="36" t="s">
        <v>1</v>
      </c>
      <c r="C27" s="37" t="s">
        <v>7</v>
      </c>
      <c r="D27" s="37" t="s">
        <v>45</v>
      </c>
      <c r="E27" s="1"/>
      <c r="F27" s="2"/>
      <c r="G27" s="2"/>
      <c r="H27" s="2"/>
      <c r="I27" s="2"/>
      <c r="J27" s="2"/>
      <c r="K27" s="2"/>
      <c r="L27" s="2"/>
      <c r="M27" s="2"/>
      <c r="N27" s="37" t="s">
        <v>46</v>
      </c>
      <c r="O27" s="37" t="s">
        <v>2</v>
      </c>
      <c r="P27" s="2"/>
      <c r="Q27" s="2"/>
      <c r="R27" s="2"/>
    </row>
    <row r="28">
      <c r="A28" s="2"/>
      <c r="B28" s="38">
        <v>1.0</v>
      </c>
      <c r="C28" s="39" t="s">
        <v>47</v>
      </c>
      <c r="D28" s="40">
        <f>SUM(G24)</f>
        <v>2300000</v>
      </c>
      <c r="E28" s="41"/>
      <c r="F28" s="2"/>
      <c r="G28" s="2"/>
      <c r="H28" s="2"/>
      <c r="I28" s="2"/>
      <c r="J28" s="2"/>
      <c r="K28" s="2"/>
      <c r="L28" s="2"/>
      <c r="M28" s="2"/>
      <c r="N28" s="42" t="s">
        <v>48</v>
      </c>
      <c r="O28" s="23" t="s">
        <v>33</v>
      </c>
      <c r="P28" s="2"/>
      <c r="Q28" s="2"/>
      <c r="R28" s="2"/>
    </row>
    <row r="29">
      <c r="A29" s="2"/>
      <c r="B29" s="43">
        <v>2.0</v>
      </c>
      <c r="C29" s="44" t="s">
        <v>49</v>
      </c>
      <c r="D29" s="45">
        <v>-25000.0</v>
      </c>
      <c r="E29" s="46"/>
      <c r="F29" s="2"/>
      <c r="G29" s="2"/>
      <c r="H29" s="2"/>
      <c r="I29" s="2"/>
      <c r="J29" s="2"/>
      <c r="K29" s="2"/>
      <c r="L29" s="2"/>
      <c r="M29" s="2"/>
      <c r="N29" s="47" t="s">
        <v>50</v>
      </c>
      <c r="O29" s="48" t="s">
        <v>22</v>
      </c>
      <c r="P29" s="2"/>
      <c r="Q29" s="2"/>
      <c r="R29" s="2"/>
    </row>
    <row r="30">
      <c r="A30" s="2"/>
      <c r="B30" s="38">
        <v>3.0</v>
      </c>
      <c r="C30" s="39" t="s">
        <v>76</v>
      </c>
      <c r="D30" s="49">
        <v>-50000.0</v>
      </c>
      <c r="E30" s="46"/>
      <c r="F30" s="2"/>
      <c r="G30" s="2"/>
      <c r="H30" s="2"/>
      <c r="I30" s="2"/>
      <c r="J30" s="2"/>
      <c r="K30" s="2"/>
      <c r="L30" s="2"/>
      <c r="M30" s="2"/>
      <c r="N30" s="50" t="s">
        <v>52</v>
      </c>
      <c r="O30" s="25" t="s">
        <v>127</v>
      </c>
      <c r="P30" s="2"/>
      <c r="Q30" s="2"/>
      <c r="R30" s="2"/>
    </row>
    <row r="31">
      <c r="A31" s="2"/>
      <c r="B31" s="43">
        <v>4.0</v>
      </c>
      <c r="C31" s="44" t="s">
        <v>441</v>
      </c>
      <c r="D31" s="45">
        <v>-10000.0</v>
      </c>
      <c r="E31" s="46"/>
      <c r="F31" s="2"/>
      <c r="G31" s="2"/>
      <c r="H31" s="2"/>
      <c r="I31" s="2"/>
      <c r="J31" s="2"/>
      <c r="K31" s="2"/>
      <c r="L31" s="2"/>
      <c r="M31" s="2"/>
      <c r="N31" s="51" t="s">
        <v>54</v>
      </c>
      <c r="O31" s="48" t="s">
        <v>62</v>
      </c>
      <c r="P31" s="2"/>
      <c r="Q31" s="2"/>
      <c r="R31" s="2"/>
    </row>
    <row r="32">
      <c r="A32" s="2"/>
      <c r="B32" s="38"/>
      <c r="C32" s="52"/>
      <c r="D32" s="40"/>
      <c r="E32" s="41"/>
      <c r="F32" s="2"/>
      <c r="G32" s="2"/>
      <c r="H32" s="2"/>
      <c r="I32" s="2"/>
      <c r="J32" s="2"/>
      <c r="K32" s="2"/>
      <c r="L32" s="2"/>
      <c r="M32" s="2"/>
      <c r="N32" s="53"/>
      <c r="O32" s="2"/>
      <c r="P32" s="1"/>
      <c r="Q32" s="2"/>
      <c r="R32" s="2"/>
    </row>
    <row r="33">
      <c r="A33" s="2"/>
      <c r="B33" s="43"/>
      <c r="C33" s="54"/>
      <c r="D33" s="55"/>
      <c r="E33" s="4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2"/>
      <c r="B34" s="38"/>
      <c r="C34" s="52"/>
      <c r="D34" s="40"/>
      <c r="E34" s="4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2"/>
      <c r="B35" s="43"/>
      <c r="C35" s="54"/>
      <c r="D35" s="55"/>
      <c r="E35" s="4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2"/>
      <c r="B36" s="38"/>
      <c r="C36" s="52"/>
      <c r="D36" s="40"/>
      <c r="E36" s="4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/>
      <c r="B37" s="43"/>
      <c r="C37" s="54"/>
      <c r="D37" s="55"/>
      <c r="E37" s="4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56"/>
      <c r="C38" s="57"/>
      <c r="D38" s="58"/>
      <c r="E38" s="4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2"/>
      <c r="C39" s="3"/>
      <c r="D39" s="59">
        <f>SUM(D28:D38)</f>
        <v>2215000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2"/>
      <c r="C40" s="3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2"/>
      <c r="C41" s="3"/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2"/>
      <c r="B42" s="2"/>
      <c r="C42" s="3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2"/>
      <c r="B43" s="2"/>
      <c r="C43" s="3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3 O28:O29">
      <formula1>"-,JIJANG,ADDEL ,PENTIL,FAHME,INDAH"</formula1>
    </dataValidation>
    <dataValidation type="list" allowBlank="1" showDropDown="1" showErrorMessage="1" sqref="M4:M23 O30:O31">
      <formula1>"-,VERO,FADEL,HANIF ,FAHME,ADIF"</formula1>
    </dataValidation>
    <dataValidation type="list" allowBlank="1" showErrorMessage="1" sqref="N4:N23">
      <formula1>"-,Pending,Progress,Uploaded"</formula1>
    </dataValidation>
    <dataValidation type="list" allowBlank="1" showErrorMessage="1" sqref="O4:O23">
      <formula1>"-,In Pikako,In Foxe"</formula1>
    </dataValidation>
    <dataValidation type="list" allowBlank="1" showDropDown="1" showErrorMessage="1" sqref="D4:D23">
      <formula1>"-,Single,Couple A,Couple B,Group A,Group B,Group C,Large Group,Graduation,Graduation Premium,Family A,Family B,Maternity,Concept,Studio Rent,Pas Foto,Single,Add Person ,Add Edit,All File"</formula1>
    </dataValidation>
    <dataValidation type="list" allowBlank="1" showDropDown="1" showErrorMessage="1" sqref="I4:I23">
      <formula1>"-,DP,Lunas"</formula1>
    </dataValidation>
    <dataValidation type="list" allowBlank="1" showDropDown="1" showErrorMessage="1" sqref="J4:K23">
      <formula1>"-,Pending,Uploaded"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2"/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 t="s">
        <v>104</v>
      </c>
      <c r="D4" s="17" t="s">
        <v>20</v>
      </c>
      <c r="E4" s="18"/>
      <c r="F4" s="19">
        <v>46194.0</v>
      </c>
      <c r="G4" s="20">
        <v>0.0</v>
      </c>
      <c r="H4" s="21">
        <v>0.0</v>
      </c>
      <c r="I4" s="22" t="s">
        <v>25</v>
      </c>
      <c r="J4" s="22" t="s">
        <v>26</v>
      </c>
      <c r="K4" s="22" t="s">
        <v>30</v>
      </c>
      <c r="L4" s="22" t="s">
        <v>22</v>
      </c>
      <c r="M4" s="22" t="s">
        <v>27</v>
      </c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 t="s">
        <v>442</v>
      </c>
      <c r="D5" s="17" t="s">
        <v>20</v>
      </c>
      <c r="E5" s="18"/>
      <c r="F5" s="19">
        <v>46195.0</v>
      </c>
      <c r="G5" s="20"/>
      <c r="H5" s="21">
        <v>100000.0</v>
      </c>
      <c r="I5" s="22" t="s">
        <v>21</v>
      </c>
      <c r="J5" s="22"/>
      <c r="K5" s="22"/>
      <c r="L5" s="22" t="s">
        <v>22</v>
      </c>
      <c r="M5" s="22"/>
      <c r="N5" s="25"/>
      <c r="O5" s="25"/>
      <c r="P5" s="26"/>
      <c r="Q5" s="2"/>
      <c r="R5" s="2"/>
    </row>
    <row r="6">
      <c r="A6" s="2"/>
      <c r="B6" s="15">
        <v>3.0</v>
      </c>
      <c r="C6" s="16" t="s">
        <v>443</v>
      </c>
      <c r="D6" s="17" t="s">
        <v>20</v>
      </c>
      <c r="E6" s="18"/>
      <c r="F6" s="27">
        <v>46197.0</v>
      </c>
      <c r="G6" s="28"/>
      <c r="H6" s="21">
        <v>100000.0</v>
      </c>
      <c r="I6" s="22" t="s">
        <v>21</v>
      </c>
      <c r="J6" s="22"/>
      <c r="K6" s="22"/>
      <c r="L6" s="22" t="s">
        <v>22</v>
      </c>
      <c r="M6" s="29"/>
      <c r="N6" s="25"/>
      <c r="O6" s="25"/>
      <c r="P6" s="26"/>
      <c r="Q6" s="2"/>
      <c r="R6" s="2"/>
    </row>
    <row r="7">
      <c r="A7" s="2"/>
      <c r="B7" s="15">
        <v>4.0</v>
      </c>
      <c r="C7" s="16" t="s">
        <v>444</v>
      </c>
      <c r="D7" s="17" t="s">
        <v>20</v>
      </c>
      <c r="E7" s="18"/>
      <c r="F7" s="27">
        <v>46194.0</v>
      </c>
      <c r="G7" s="20">
        <v>975000.0</v>
      </c>
      <c r="H7" s="30"/>
      <c r="I7" s="22" t="s">
        <v>25</v>
      </c>
      <c r="J7" s="22" t="s">
        <v>26</v>
      </c>
      <c r="K7" s="22" t="s">
        <v>30</v>
      </c>
      <c r="L7" s="22" t="s">
        <v>22</v>
      </c>
      <c r="M7" s="22" t="s">
        <v>27</v>
      </c>
      <c r="N7" s="25"/>
      <c r="O7" s="25"/>
      <c r="P7" s="26"/>
      <c r="Q7" s="2"/>
      <c r="R7" s="2"/>
    </row>
    <row r="8">
      <c r="A8" s="2"/>
      <c r="B8" s="15">
        <v>5.0</v>
      </c>
      <c r="C8" s="16" t="s">
        <v>67</v>
      </c>
      <c r="D8" s="17" t="s">
        <v>20</v>
      </c>
      <c r="E8" s="18"/>
      <c r="F8" s="27">
        <v>46194.0</v>
      </c>
      <c r="G8" s="20">
        <v>420000.0</v>
      </c>
      <c r="H8" s="30"/>
      <c r="I8" s="22" t="s">
        <v>25</v>
      </c>
      <c r="J8" s="22" t="s">
        <v>26</v>
      </c>
      <c r="K8" s="22" t="s">
        <v>26</v>
      </c>
      <c r="L8" s="22" t="s">
        <v>22</v>
      </c>
      <c r="M8" s="22" t="s">
        <v>27</v>
      </c>
      <c r="N8" s="25"/>
      <c r="O8" s="26"/>
      <c r="P8" s="26"/>
      <c r="Q8" s="2"/>
      <c r="R8" s="2"/>
    </row>
    <row r="9">
      <c r="A9" s="2"/>
      <c r="B9" s="15">
        <v>6.0</v>
      </c>
      <c r="C9" s="16" t="s">
        <v>225</v>
      </c>
      <c r="D9" s="17" t="s">
        <v>20</v>
      </c>
      <c r="E9" s="18"/>
      <c r="F9" s="27">
        <v>46194.0</v>
      </c>
      <c r="G9" s="20"/>
      <c r="H9" s="21">
        <v>400000.0</v>
      </c>
      <c r="I9" s="22" t="s">
        <v>25</v>
      </c>
      <c r="J9" s="22" t="s">
        <v>26</v>
      </c>
      <c r="K9" s="22" t="s">
        <v>26</v>
      </c>
      <c r="L9" s="22" t="s">
        <v>22</v>
      </c>
      <c r="M9" s="22" t="s">
        <v>27</v>
      </c>
      <c r="N9" s="25"/>
      <c r="O9" s="26"/>
      <c r="P9" s="26"/>
      <c r="Q9" s="2"/>
      <c r="R9" s="2"/>
    </row>
    <row r="10">
      <c r="A10" s="2"/>
      <c r="B10" s="15">
        <v>7.0</v>
      </c>
      <c r="C10" s="16" t="s">
        <v>445</v>
      </c>
      <c r="D10" s="17" t="s">
        <v>20</v>
      </c>
      <c r="E10" s="18"/>
      <c r="F10" s="27">
        <v>46197.0</v>
      </c>
      <c r="G10" s="20"/>
      <c r="H10" s="21">
        <v>100000.0</v>
      </c>
      <c r="I10" s="22" t="s">
        <v>21</v>
      </c>
      <c r="J10" s="22"/>
      <c r="K10" s="22"/>
      <c r="L10" s="22" t="s">
        <v>22</v>
      </c>
      <c r="M10" s="29"/>
      <c r="N10" s="25"/>
      <c r="O10" s="26"/>
      <c r="P10" s="26"/>
      <c r="Q10" s="2"/>
      <c r="R10" s="2"/>
    </row>
    <row r="11">
      <c r="A11" s="2"/>
      <c r="B11" s="15">
        <v>8.0</v>
      </c>
      <c r="C11" s="16" t="s">
        <v>446</v>
      </c>
      <c r="D11" s="17" t="s">
        <v>20</v>
      </c>
      <c r="E11" s="18"/>
      <c r="F11" s="27">
        <v>46194.0</v>
      </c>
      <c r="G11" s="20">
        <v>675000.0</v>
      </c>
      <c r="H11" s="30"/>
      <c r="I11" s="22" t="s">
        <v>25</v>
      </c>
      <c r="J11" s="22" t="s">
        <v>26</v>
      </c>
      <c r="K11" s="22" t="s">
        <v>30</v>
      </c>
      <c r="L11" s="22" t="s">
        <v>22</v>
      </c>
      <c r="M11" s="22" t="s">
        <v>27</v>
      </c>
      <c r="N11" s="25"/>
      <c r="O11" s="26"/>
      <c r="P11" s="26"/>
      <c r="Q11" s="2"/>
      <c r="R11" s="2"/>
    </row>
    <row r="12">
      <c r="A12" s="2"/>
      <c r="B12" s="15">
        <v>9.0</v>
      </c>
      <c r="C12" s="16" t="s">
        <v>447</v>
      </c>
      <c r="D12" s="17" t="s">
        <v>20</v>
      </c>
      <c r="E12" s="18"/>
      <c r="F12" s="27">
        <v>46195.0</v>
      </c>
      <c r="G12" s="20"/>
      <c r="H12" s="21">
        <v>100000.0</v>
      </c>
      <c r="I12" s="22" t="s">
        <v>21</v>
      </c>
      <c r="J12" s="22"/>
      <c r="K12" s="22"/>
      <c r="L12" s="22" t="s">
        <v>22</v>
      </c>
      <c r="M12" s="29"/>
      <c r="N12" s="25"/>
      <c r="O12" s="26"/>
      <c r="P12" s="26"/>
      <c r="Q12" s="2"/>
      <c r="R12" s="2"/>
    </row>
    <row r="13">
      <c r="A13" s="2"/>
      <c r="B13" s="15">
        <v>10.0</v>
      </c>
      <c r="C13" s="16" t="s">
        <v>424</v>
      </c>
      <c r="D13" s="17" t="s">
        <v>20</v>
      </c>
      <c r="E13" s="18"/>
      <c r="F13" s="27">
        <v>46194.0</v>
      </c>
      <c r="G13" s="20">
        <v>800000.0</v>
      </c>
      <c r="H13" s="30"/>
      <c r="I13" s="22" t="s">
        <v>25</v>
      </c>
      <c r="J13" s="22" t="s">
        <v>26</v>
      </c>
      <c r="K13" s="22" t="s">
        <v>30</v>
      </c>
      <c r="L13" s="22" t="s">
        <v>22</v>
      </c>
      <c r="M13" s="22" t="s">
        <v>27</v>
      </c>
      <c r="N13" s="25"/>
      <c r="O13" s="26"/>
      <c r="P13" s="26"/>
      <c r="Q13" s="2"/>
      <c r="R13" s="2"/>
    </row>
    <row r="14">
      <c r="A14" s="2"/>
      <c r="B14" s="31"/>
      <c r="C14" s="16" t="s">
        <v>298</v>
      </c>
      <c r="D14" s="17" t="s">
        <v>20</v>
      </c>
      <c r="E14" s="18"/>
      <c r="F14" s="27">
        <v>46194.0</v>
      </c>
      <c r="G14" s="20">
        <v>75000.0</v>
      </c>
      <c r="H14" s="30"/>
      <c r="I14" s="22" t="s">
        <v>25</v>
      </c>
      <c r="J14" s="22" t="s">
        <v>26</v>
      </c>
      <c r="K14" s="22" t="s">
        <v>26</v>
      </c>
      <c r="L14" s="22" t="s">
        <v>22</v>
      </c>
      <c r="M14" s="22" t="s">
        <v>27</v>
      </c>
      <c r="N14" s="25"/>
      <c r="O14" s="26"/>
      <c r="P14" s="26"/>
      <c r="Q14" s="2"/>
      <c r="R14" s="2"/>
    </row>
    <row r="15">
      <c r="A15" s="2"/>
      <c r="B15" s="31"/>
      <c r="C15" s="16" t="s">
        <v>317</v>
      </c>
      <c r="D15" s="17" t="s">
        <v>20</v>
      </c>
      <c r="E15" s="18"/>
      <c r="F15" s="27">
        <v>46194.0</v>
      </c>
      <c r="G15" s="20"/>
      <c r="H15" s="21">
        <v>75000.0</v>
      </c>
      <c r="I15" s="22" t="s">
        <v>25</v>
      </c>
      <c r="J15" s="22" t="s">
        <v>26</v>
      </c>
      <c r="K15" s="22" t="s">
        <v>30</v>
      </c>
      <c r="L15" s="22" t="s">
        <v>22</v>
      </c>
      <c r="M15" s="22" t="s">
        <v>27</v>
      </c>
      <c r="N15" s="25"/>
      <c r="O15" s="26"/>
      <c r="P15" s="26"/>
      <c r="Q15" s="2"/>
      <c r="R15" s="2"/>
    </row>
    <row r="16">
      <c r="A16" s="2"/>
      <c r="B16" s="31"/>
      <c r="C16" s="16" t="s">
        <v>448</v>
      </c>
      <c r="D16" s="17" t="s">
        <v>20</v>
      </c>
      <c r="E16" s="18"/>
      <c r="F16" s="27">
        <v>46195.0</v>
      </c>
      <c r="G16" s="20"/>
      <c r="H16" s="21">
        <v>100000.0</v>
      </c>
      <c r="I16" s="22" t="s">
        <v>21</v>
      </c>
      <c r="J16" s="22"/>
      <c r="K16" s="22"/>
      <c r="L16" s="22" t="s">
        <v>22</v>
      </c>
      <c r="M16" s="29"/>
      <c r="N16" s="25"/>
      <c r="O16" s="26"/>
      <c r="P16" s="26"/>
      <c r="Q16" s="2"/>
      <c r="R16" s="2"/>
    </row>
    <row r="17">
      <c r="A17" s="2"/>
      <c r="B17" s="31"/>
      <c r="C17" s="16" t="s">
        <v>408</v>
      </c>
      <c r="D17" s="17" t="s">
        <v>20</v>
      </c>
      <c r="E17" s="18"/>
      <c r="F17" s="27">
        <v>46194.0</v>
      </c>
      <c r="G17" s="20"/>
      <c r="H17" s="21">
        <v>550000.0</v>
      </c>
      <c r="I17" s="22" t="s">
        <v>25</v>
      </c>
      <c r="J17" s="22" t="s">
        <v>26</v>
      </c>
      <c r="K17" s="22" t="s">
        <v>30</v>
      </c>
      <c r="L17" s="22" t="s">
        <v>22</v>
      </c>
      <c r="M17" s="22" t="s">
        <v>27</v>
      </c>
      <c r="N17" s="25"/>
      <c r="O17" s="26"/>
      <c r="P17" s="26"/>
      <c r="Q17" s="2"/>
      <c r="R17" s="2"/>
    </row>
    <row r="18">
      <c r="A18" s="2"/>
      <c r="B18" s="31"/>
      <c r="C18" s="16" t="s">
        <v>438</v>
      </c>
      <c r="D18" s="17" t="s">
        <v>20</v>
      </c>
      <c r="E18" s="18"/>
      <c r="F18" s="27">
        <v>46194.0</v>
      </c>
      <c r="G18" s="20">
        <v>100000.0</v>
      </c>
      <c r="H18" s="30"/>
      <c r="I18" s="22" t="s">
        <v>25</v>
      </c>
      <c r="J18" s="22" t="s">
        <v>26</v>
      </c>
      <c r="K18" s="22" t="s">
        <v>26</v>
      </c>
      <c r="L18" s="22" t="s">
        <v>22</v>
      </c>
      <c r="M18" s="22" t="s">
        <v>27</v>
      </c>
      <c r="N18" s="25"/>
      <c r="O18" s="26"/>
      <c r="P18" s="26"/>
      <c r="Q18" s="2"/>
      <c r="R18" s="2"/>
    </row>
    <row r="19">
      <c r="A19" s="2"/>
      <c r="B19" s="31"/>
      <c r="C19" s="16" t="s">
        <v>449</v>
      </c>
      <c r="D19" s="17" t="s">
        <v>24</v>
      </c>
      <c r="E19" s="18"/>
      <c r="F19" s="27">
        <v>46194.0</v>
      </c>
      <c r="G19" s="20"/>
      <c r="H19" s="21">
        <v>50000.0</v>
      </c>
      <c r="I19" s="22" t="s">
        <v>25</v>
      </c>
      <c r="J19" s="22" t="s">
        <v>26</v>
      </c>
      <c r="K19" s="22" t="s">
        <v>26</v>
      </c>
      <c r="L19" s="22" t="s">
        <v>22</v>
      </c>
      <c r="M19" s="22" t="s">
        <v>27</v>
      </c>
      <c r="N19" s="25"/>
      <c r="O19" s="26"/>
      <c r="P19" s="26"/>
      <c r="Q19" s="2"/>
      <c r="R19" s="2"/>
    </row>
    <row r="20">
      <c r="A20" s="2"/>
      <c r="B20" s="31"/>
      <c r="C20" s="16"/>
      <c r="D20" s="17"/>
      <c r="E20" s="18"/>
      <c r="F20" s="31"/>
      <c r="G20" s="20"/>
      <c r="H20" s="30"/>
      <c r="I20" s="22"/>
      <c r="J20" s="22"/>
      <c r="K20" s="22"/>
      <c r="L20" s="29"/>
      <c r="M20" s="29"/>
      <c r="N20" s="25"/>
      <c r="O20" s="26"/>
      <c r="P20" s="26"/>
      <c r="Q20" s="2"/>
      <c r="R20" s="2"/>
    </row>
    <row r="21">
      <c r="A21" s="2"/>
      <c r="B21" s="31"/>
      <c r="C21" s="32"/>
      <c r="D21" s="17"/>
      <c r="E21" s="18"/>
      <c r="F21" s="31"/>
      <c r="G21" s="28"/>
      <c r="H21" s="30"/>
      <c r="I21" s="29"/>
      <c r="J21" s="29"/>
      <c r="K21" s="29"/>
      <c r="L21" s="29"/>
      <c r="M21" s="29"/>
      <c r="N21" s="33"/>
      <c r="O21" s="33"/>
      <c r="P21" s="33"/>
      <c r="Q21" s="2"/>
      <c r="R21" s="2"/>
    </row>
    <row r="22" ht="18.75" customHeight="1">
      <c r="A22" s="2"/>
      <c r="B22" s="2"/>
      <c r="C22" s="3"/>
      <c r="D22" s="3"/>
      <c r="E22" s="2"/>
      <c r="F22" s="2"/>
      <c r="G22" s="34">
        <f t="shared" ref="G22:H22" si="1">SUM(G4:G21)</f>
        <v>3045000</v>
      </c>
      <c r="H22" s="35">
        <f t="shared" si="1"/>
        <v>1575000</v>
      </c>
      <c r="I22" s="2"/>
      <c r="J22" s="2"/>
      <c r="K22" s="2"/>
      <c r="L22" s="2"/>
      <c r="M22" s="2"/>
      <c r="N22" s="2"/>
      <c r="O22" s="2"/>
      <c r="P22" s="2"/>
      <c r="Q22" s="2"/>
      <c r="R22" s="2"/>
    </row>
    <row r="23" ht="23.25" customHeight="1">
      <c r="A23" s="2"/>
      <c r="B23" s="2"/>
      <c r="C23" s="3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>
      <c r="A24" s="2"/>
      <c r="B24" s="2"/>
      <c r="C24" s="3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>
      <c r="A25" s="2"/>
      <c r="B25" s="36" t="s">
        <v>1</v>
      </c>
      <c r="C25" s="37" t="s">
        <v>7</v>
      </c>
      <c r="D25" s="37" t="s">
        <v>45</v>
      </c>
      <c r="E25" s="1"/>
      <c r="F25" s="2"/>
      <c r="G25" s="2"/>
      <c r="H25" s="2"/>
      <c r="I25" s="2"/>
      <c r="J25" s="2"/>
      <c r="K25" s="2"/>
      <c r="L25" s="2"/>
      <c r="M25" s="2"/>
      <c r="N25" s="37" t="s">
        <v>46</v>
      </c>
      <c r="O25" s="37" t="s">
        <v>2</v>
      </c>
      <c r="P25" s="2"/>
      <c r="Q25" s="2"/>
      <c r="R25" s="2"/>
    </row>
    <row r="26">
      <c r="A26" s="2"/>
      <c r="B26" s="38">
        <v>1.0</v>
      </c>
      <c r="C26" s="39" t="s">
        <v>47</v>
      </c>
      <c r="D26" s="40">
        <f>SUM(G22)</f>
        <v>3045000</v>
      </c>
      <c r="E26" s="41"/>
      <c r="F26" s="2"/>
      <c r="G26" s="2"/>
      <c r="H26" s="2"/>
      <c r="I26" s="2"/>
      <c r="J26" s="2"/>
      <c r="K26" s="2"/>
      <c r="L26" s="2"/>
      <c r="M26" s="2"/>
      <c r="N26" s="42" t="s">
        <v>48</v>
      </c>
      <c r="O26" s="23" t="s">
        <v>22</v>
      </c>
      <c r="P26" s="2"/>
      <c r="Q26" s="2"/>
      <c r="R26" s="2"/>
    </row>
    <row r="27">
      <c r="A27" s="2"/>
      <c r="B27" s="43">
        <v>2.0</v>
      </c>
      <c r="C27" s="44" t="s">
        <v>139</v>
      </c>
      <c r="D27" s="45">
        <v>-100000.0</v>
      </c>
      <c r="E27" s="46"/>
      <c r="F27" s="2"/>
      <c r="G27" s="2"/>
      <c r="H27" s="2"/>
      <c r="I27" s="2"/>
      <c r="J27" s="2"/>
      <c r="K27" s="2"/>
      <c r="L27" s="2"/>
      <c r="M27" s="2"/>
      <c r="N27" s="47" t="s">
        <v>50</v>
      </c>
      <c r="O27" s="48" t="s">
        <v>22</v>
      </c>
      <c r="P27" s="2"/>
      <c r="Q27" s="2"/>
      <c r="R27" s="2"/>
    </row>
    <row r="28">
      <c r="A28" s="2"/>
      <c r="B28" s="38">
        <v>3.0</v>
      </c>
      <c r="C28" s="39" t="s">
        <v>76</v>
      </c>
      <c r="D28" s="49">
        <v>-50000.0</v>
      </c>
      <c r="E28" s="46"/>
      <c r="F28" s="2"/>
      <c r="G28" s="2"/>
      <c r="H28" s="2"/>
      <c r="I28" s="2"/>
      <c r="J28" s="2"/>
      <c r="K28" s="2"/>
      <c r="L28" s="2"/>
      <c r="M28" s="2"/>
      <c r="N28" s="50" t="s">
        <v>52</v>
      </c>
      <c r="O28" s="25" t="s">
        <v>27</v>
      </c>
      <c r="P28" s="2"/>
      <c r="Q28" s="2"/>
      <c r="R28" s="2"/>
    </row>
    <row r="29">
      <c r="A29" s="2"/>
      <c r="B29" s="43">
        <v>4.0</v>
      </c>
      <c r="C29" s="44" t="s">
        <v>49</v>
      </c>
      <c r="D29" s="45">
        <v>-70000.0</v>
      </c>
      <c r="E29" s="46"/>
      <c r="F29" s="2"/>
      <c r="G29" s="2"/>
      <c r="H29" s="2"/>
      <c r="I29" s="2"/>
      <c r="J29" s="2"/>
      <c r="K29" s="2"/>
      <c r="L29" s="2"/>
      <c r="M29" s="2"/>
      <c r="N29" s="51" t="s">
        <v>54</v>
      </c>
      <c r="O29" s="48" t="s">
        <v>27</v>
      </c>
      <c r="P29" s="2"/>
      <c r="Q29" s="2"/>
      <c r="R29" s="2"/>
    </row>
    <row r="30">
      <c r="A30" s="2"/>
      <c r="B30" s="38"/>
      <c r="C30" s="52"/>
      <c r="D30" s="40"/>
      <c r="E30" s="41"/>
      <c r="F30" s="2"/>
      <c r="G30" s="2"/>
      <c r="H30" s="2"/>
      <c r="I30" s="2"/>
      <c r="J30" s="2"/>
      <c r="K30" s="2"/>
      <c r="L30" s="2"/>
      <c r="M30" s="2"/>
      <c r="N30" s="53"/>
      <c r="O30" s="2"/>
      <c r="P30" s="2"/>
      <c r="Q30" s="2"/>
      <c r="R30" s="2"/>
    </row>
    <row r="31">
      <c r="A31" s="2"/>
      <c r="B31" s="43"/>
      <c r="C31" s="54"/>
      <c r="D31" s="55"/>
      <c r="E31" s="4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2"/>
      <c r="B32" s="38"/>
      <c r="C32" s="52"/>
      <c r="D32" s="40"/>
      <c r="E32" s="4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2"/>
      <c r="B33" s="43"/>
      <c r="C33" s="54"/>
      <c r="D33" s="55"/>
      <c r="E33" s="4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2"/>
      <c r="B34" s="38"/>
      <c r="C34" s="52"/>
      <c r="D34" s="40"/>
      <c r="E34" s="4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2"/>
      <c r="B35" s="43"/>
      <c r="C35" s="54"/>
      <c r="D35" s="55"/>
      <c r="E35" s="4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2"/>
      <c r="B36" s="56"/>
      <c r="C36" s="57"/>
      <c r="D36" s="58"/>
      <c r="E36" s="4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/>
      <c r="B37" s="2"/>
      <c r="C37" s="3"/>
      <c r="D37" s="59">
        <f>SUM(D26:D36)</f>
        <v>2825000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2"/>
      <c r="C38" s="3"/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2"/>
      <c r="C39" s="3"/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2"/>
      <c r="C40" s="3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2"/>
      <c r="C41" s="3"/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1 O26:O27">
      <formula1>"-,JIJANG,AXEL,PENTIL,FAHME,INDAH"</formula1>
    </dataValidation>
    <dataValidation type="list" allowBlank="1" showErrorMessage="1" sqref="N4:N21">
      <formula1>"-,Pending,Progress,Uploaded"</formula1>
    </dataValidation>
    <dataValidation type="list" allowBlank="1" showDropDown="1" showErrorMessage="1" sqref="D4:D21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21">
      <formula1>"-,In Pikako,In Foxe"</formula1>
    </dataValidation>
    <dataValidation type="list" allowBlank="1" showDropDown="1" showErrorMessage="1" sqref="M4:M21 O28:O29">
      <formula1>"-,VERO,FADEL,PENTIL,FAHME,HANIF"</formula1>
    </dataValidation>
    <dataValidation type="list" allowBlank="1" showDropDown="1" showErrorMessage="1" sqref="I4:I21">
      <formula1>"-,DP,Lunas"</formula1>
    </dataValidation>
    <dataValidation type="list" allowBlank="1" showDropDown="1" showErrorMessage="1" sqref="J4:K21">
      <formula1>"-,Pending,Uploaded"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2"/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 t="s">
        <v>450</v>
      </c>
      <c r="D4" s="17" t="s">
        <v>42</v>
      </c>
      <c r="E4" s="18" t="s">
        <v>43</v>
      </c>
      <c r="F4" s="19">
        <v>46195.0</v>
      </c>
      <c r="G4" s="20"/>
      <c r="H4" s="21">
        <v>350000.0</v>
      </c>
      <c r="I4" s="22" t="s">
        <v>25</v>
      </c>
      <c r="J4" s="22" t="s">
        <v>26</v>
      </c>
      <c r="K4" s="22" t="s">
        <v>30</v>
      </c>
      <c r="L4" s="22" t="s">
        <v>22</v>
      </c>
      <c r="M4" s="22" t="s">
        <v>62</v>
      </c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 t="s">
        <v>451</v>
      </c>
      <c r="D5" s="17" t="s">
        <v>24</v>
      </c>
      <c r="E5" s="18"/>
      <c r="F5" s="19">
        <v>46195.0</v>
      </c>
      <c r="G5" s="20">
        <v>0.0</v>
      </c>
      <c r="H5" s="21">
        <v>0.0</v>
      </c>
      <c r="I5" s="22" t="s">
        <v>25</v>
      </c>
      <c r="J5" s="22" t="s">
        <v>26</v>
      </c>
      <c r="K5" s="22" t="s">
        <v>26</v>
      </c>
      <c r="L5" s="22" t="s">
        <v>22</v>
      </c>
      <c r="M5" s="22" t="s">
        <v>62</v>
      </c>
      <c r="N5" s="25"/>
      <c r="O5" s="25"/>
      <c r="P5" s="26"/>
      <c r="Q5" s="2"/>
      <c r="R5" s="2"/>
    </row>
    <row r="6">
      <c r="A6" s="2"/>
      <c r="B6" s="15">
        <v>3.0</v>
      </c>
      <c r="C6" s="16" t="s">
        <v>452</v>
      </c>
      <c r="D6" s="17" t="s">
        <v>40</v>
      </c>
      <c r="E6" s="18"/>
      <c r="F6" s="27">
        <v>46201.0</v>
      </c>
      <c r="G6" s="28"/>
      <c r="H6" s="21">
        <v>100000.0</v>
      </c>
      <c r="I6" s="22" t="s">
        <v>21</v>
      </c>
      <c r="J6" s="22"/>
      <c r="K6" s="22"/>
      <c r="L6" s="22" t="s">
        <v>22</v>
      </c>
      <c r="M6" s="29"/>
      <c r="N6" s="25"/>
      <c r="O6" s="25"/>
      <c r="P6" s="26"/>
      <c r="Q6" s="2"/>
      <c r="R6" s="2"/>
    </row>
    <row r="7">
      <c r="A7" s="2"/>
      <c r="B7" s="15">
        <v>4.0</v>
      </c>
      <c r="C7" s="16" t="s">
        <v>453</v>
      </c>
      <c r="D7" s="17" t="s">
        <v>20</v>
      </c>
      <c r="E7" s="18"/>
      <c r="F7" s="27">
        <v>46199.0</v>
      </c>
      <c r="G7" s="20"/>
      <c r="H7" s="21">
        <v>100000.0</v>
      </c>
      <c r="I7" s="22" t="s">
        <v>21</v>
      </c>
      <c r="J7" s="22"/>
      <c r="K7" s="22"/>
      <c r="L7" s="22" t="s">
        <v>22</v>
      </c>
      <c r="M7" s="29"/>
      <c r="N7" s="25"/>
      <c r="O7" s="25"/>
      <c r="P7" s="26"/>
      <c r="Q7" s="2"/>
      <c r="R7" s="2"/>
    </row>
    <row r="8">
      <c r="A8" s="2"/>
      <c r="B8" s="15">
        <v>5.0</v>
      </c>
      <c r="C8" s="16" t="s">
        <v>454</v>
      </c>
      <c r="D8" s="17" t="s">
        <v>20</v>
      </c>
      <c r="E8" s="18"/>
      <c r="F8" s="27">
        <v>46197.0</v>
      </c>
      <c r="G8" s="20"/>
      <c r="H8" s="21">
        <v>100000.0</v>
      </c>
      <c r="I8" s="22" t="s">
        <v>21</v>
      </c>
      <c r="J8" s="22"/>
      <c r="K8" s="22"/>
      <c r="L8" s="22" t="s">
        <v>22</v>
      </c>
      <c r="M8" s="29"/>
      <c r="N8" s="25"/>
      <c r="O8" s="26"/>
      <c r="P8" s="26"/>
      <c r="Q8" s="2"/>
      <c r="R8" s="2"/>
    </row>
    <row r="9">
      <c r="A9" s="2"/>
      <c r="B9" s="15">
        <v>6.0</v>
      </c>
      <c r="C9" s="16" t="s">
        <v>447</v>
      </c>
      <c r="D9" s="17" t="s">
        <v>20</v>
      </c>
      <c r="E9" s="18"/>
      <c r="F9" s="27">
        <v>46195.0</v>
      </c>
      <c r="G9" s="20">
        <v>600000.0</v>
      </c>
      <c r="H9" s="30"/>
      <c r="I9" s="22" t="s">
        <v>25</v>
      </c>
      <c r="J9" s="22" t="s">
        <v>26</v>
      </c>
      <c r="K9" s="22" t="s">
        <v>30</v>
      </c>
      <c r="L9" s="22" t="s">
        <v>22</v>
      </c>
      <c r="M9" s="22" t="s">
        <v>62</v>
      </c>
      <c r="N9" s="25"/>
      <c r="O9" s="26"/>
      <c r="P9" s="26"/>
      <c r="Q9" s="2"/>
      <c r="R9" s="2"/>
    </row>
    <row r="10">
      <c r="A10" s="2"/>
      <c r="B10" s="15">
        <v>7.0</v>
      </c>
      <c r="C10" s="16" t="s">
        <v>455</v>
      </c>
      <c r="D10" s="17" t="s">
        <v>20</v>
      </c>
      <c r="E10" s="18"/>
      <c r="F10" s="27">
        <v>46198.0</v>
      </c>
      <c r="G10" s="20"/>
      <c r="H10" s="21">
        <v>100000.0</v>
      </c>
      <c r="I10" s="22" t="s">
        <v>21</v>
      </c>
      <c r="J10" s="22"/>
      <c r="K10" s="22"/>
      <c r="L10" s="22" t="s">
        <v>22</v>
      </c>
      <c r="M10" s="29"/>
      <c r="N10" s="25"/>
      <c r="O10" s="26"/>
      <c r="P10" s="26"/>
      <c r="Q10" s="2"/>
      <c r="R10" s="2"/>
    </row>
    <row r="11">
      <c r="A11" s="2"/>
      <c r="B11" s="15">
        <v>8.0</v>
      </c>
      <c r="C11" s="16" t="s">
        <v>456</v>
      </c>
      <c r="D11" s="17" t="s">
        <v>20</v>
      </c>
      <c r="E11" s="18"/>
      <c r="F11" s="27">
        <v>46195.0</v>
      </c>
      <c r="G11" s="20"/>
      <c r="H11" s="21">
        <v>175000.0</v>
      </c>
      <c r="I11" s="22" t="s">
        <v>25</v>
      </c>
      <c r="J11" s="22" t="s">
        <v>26</v>
      </c>
      <c r="K11" s="22" t="s">
        <v>26</v>
      </c>
      <c r="L11" s="22" t="s">
        <v>22</v>
      </c>
      <c r="M11" s="22" t="s">
        <v>62</v>
      </c>
      <c r="N11" s="25"/>
      <c r="O11" s="26"/>
      <c r="P11" s="26"/>
      <c r="Q11" s="2"/>
      <c r="R11" s="2"/>
    </row>
    <row r="12">
      <c r="A12" s="2"/>
      <c r="B12" s="15">
        <v>9.0</v>
      </c>
      <c r="C12" s="16" t="s">
        <v>457</v>
      </c>
      <c r="D12" s="17" t="s">
        <v>92</v>
      </c>
      <c r="E12" s="18" t="s">
        <v>458</v>
      </c>
      <c r="F12" s="27">
        <v>46195.0</v>
      </c>
      <c r="G12" s="20">
        <v>150000.0</v>
      </c>
      <c r="H12" s="30"/>
      <c r="I12" s="22" t="s">
        <v>25</v>
      </c>
      <c r="J12" s="22" t="s">
        <v>26</v>
      </c>
      <c r="K12" s="22" t="s">
        <v>26</v>
      </c>
      <c r="L12" s="22" t="s">
        <v>22</v>
      </c>
      <c r="M12" s="22" t="s">
        <v>62</v>
      </c>
      <c r="N12" s="25"/>
      <c r="O12" s="26"/>
      <c r="P12" s="26"/>
      <c r="Q12" s="2"/>
      <c r="R12" s="2"/>
    </row>
    <row r="13">
      <c r="A13" s="2"/>
      <c r="B13" s="15">
        <v>10.0</v>
      </c>
      <c r="C13" s="16" t="s">
        <v>459</v>
      </c>
      <c r="D13" s="17" t="s">
        <v>20</v>
      </c>
      <c r="E13" s="18"/>
      <c r="F13" s="27">
        <v>46195.0</v>
      </c>
      <c r="G13" s="20"/>
      <c r="H13" s="21">
        <v>250000.0</v>
      </c>
      <c r="I13" s="22" t="s">
        <v>25</v>
      </c>
      <c r="J13" s="22"/>
      <c r="K13" s="22"/>
      <c r="L13" s="22" t="s">
        <v>33</v>
      </c>
      <c r="M13" s="29"/>
      <c r="N13" s="25"/>
      <c r="O13" s="26"/>
      <c r="P13" s="26"/>
      <c r="Q13" s="2"/>
      <c r="R13" s="2"/>
    </row>
    <row r="14">
      <c r="A14" s="2"/>
      <c r="B14" s="31"/>
      <c r="C14" s="16" t="s">
        <v>460</v>
      </c>
      <c r="D14" s="17" t="s">
        <v>20</v>
      </c>
      <c r="E14" s="18"/>
      <c r="F14" s="27">
        <v>46195.0</v>
      </c>
      <c r="G14" s="20">
        <v>625000.0</v>
      </c>
      <c r="H14" s="30"/>
      <c r="I14" s="22" t="s">
        <v>25</v>
      </c>
      <c r="J14" s="22" t="s">
        <v>26</v>
      </c>
      <c r="K14" s="22" t="s">
        <v>26</v>
      </c>
      <c r="L14" s="22" t="s">
        <v>33</v>
      </c>
      <c r="M14" s="22" t="s">
        <v>62</v>
      </c>
      <c r="N14" s="25"/>
      <c r="O14" s="26"/>
      <c r="P14" s="26"/>
      <c r="Q14" s="2"/>
      <c r="R14" s="2"/>
    </row>
    <row r="15">
      <c r="A15" s="2"/>
      <c r="B15" s="31"/>
      <c r="C15" s="16" t="s">
        <v>461</v>
      </c>
      <c r="D15" s="17" t="s">
        <v>20</v>
      </c>
      <c r="E15" s="18"/>
      <c r="F15" s="27">
        <v>46198.0</v>
      </c>
      <c r="G15" s="20"/>
      <c r="H15" s="21">
        <v>100000.0</v>
      </c>
      <c r="I15" s="22" t="s">
        <v>21</v>
      </c>
      <c r="J15" s="22"/>
      <c r="K15" s="22"/>
      <c r="L15" s="22" t="s">
        <v>33</v>
      </c>
      <c r="M15" s="29"/>
      <c r="N15" s="25"/>
      <c r="O15" s="26"/>
      <c r="P15" s="26"/>
      <c r="Q15" s="2"/>
      <c r="R15" s="2"/>
    </row>
    <row r="16">
      <c r="A16" s="2"/>
      <c r="B16" s="31"/>
      <c r="C16" s="16" t="s">
        <v>289</v>
      </c>
      <c r="D16" s="17" t="s">
        <v>20</v>
      </c>
      <c r="E16" s="18"/>
      <c r="F16" s="27">
        <v>46195.0</v>
      </c>
      <c r="G16" s="20"/>
      <c r="H16" s="21">
        <v>275000.0</v>
      </c>
      <c r="I16" s="22" t="s">
        <v>25</v>
      </c>
      <c r="J16" s="22" t="s">
        <v>26</v>
      </c>
      <c r="K16" s="22" t="s">
        <v>26</v>
      </c>
      <c r="L16" s="22" t="s">
        <v>33</v>
      </c>
      <c r="M16" s="22" t="s">
        <v>62</v>
      </c>
      <c r="N16" s="25"/>
      <c r="O16" s="26"/>
      <c r="P16" s="26"/>
      <c r="Q16" s="2"/>
      <c r="R16" s="2"/>
    </row>
    <row r="17">
      <c r="A17" s="2"/>
      <c r="B17" s="31"/>
      <c r="C17" s="16" t="s">
        <v>462</v>
      </c>
      <c r="D17" s="17" t="s">
        <v>92</v>
      </c>
      <c r="E17" s="18" t="s">
        <v>458</v>
      </c>
      <c r="F17" s="27">
        <v>46195.0</v>
      </c>
      <c r="G17" s="20"/>
      <c r="H17" s="21">
        <v>50000.0</v>
      </c>
      <c r="I17" s="22" t="s">
        <v>25</v>
      </c>
      <c r="J17" s="22" t="s">
        <v>26</v>
      </c>
      <c r="K17" s="22" t="s">
        <v>26</v>
      </c>
      <c r="L17" s="22" t="s">
        <v>33</v>
      </c>
      <c r="M17" s="22" t="s">
        <v>62</v>
      </c>
      <c r="N17" s="25"/>
      <c r="O17" s="26"/>
      <c r="P17" s="26"/>
      <c r="Q17" s="2"/>
      <c r="R17" s="2"/>
    </row>
    <row r="18">
      <c r="A18" s="2"/>
      <c r="B18" s="31"/>
      <c r="C18" s="16" t="s">
        <v>442</v>
      </c>
      <c r="D18" s="17" t="s">
        <v>20</v>
      </c>
      <c r="E18" s="18"/>
      <c r="F18" s="27">
        <v>46195.0</v>
      </c>
      <c r="G18" s="20"/>
      <c r="H18" s="21">
        <v>725000.0</v>
      </c>
      <c r="I18" s="22" t="s">
        <v>25</v>
      </c>
      <c r="J18" s="22" t="s">
        <v>26</v>
      </c>
      <c r="K18" s="22" t="s">
        <v>26</v>
      </c>
      <c r="L18" s="22" t="s">
        <v>33</v>
      </c>
      <c r="M18" s="22" t="s">
        <v>62</v>
      </c>
      <c r="N18" s="25"/>
      <c r="O18" s="26"/>
      <c r="P18" s="26"/>
      <c r="Q18" s="2"/>
      <c r="R18" s="2"/>
    </row>
    <row r="19">
      <c r="A19" s="2"/>
      <c r="B19" s="31"/>
      <c r="C19" s="16" t="s">
        <v>463</v>
      </c>
      <c r="D19" s="17" t="s">
        <v>20</v>
      </c>
      <c r="E19" s="18"/>
      <c r="F19" s="27">
        <v>46195.0</v>
      </c>
      <c r="G19" s="21">
        <v>75000.0</v>
      </c>
      <c r="H19" s="21"/>
      <c r="I19" s="22" t="s">
        <v>25</v>
      </c>
      <c r="J19" s="22" t="s">
        <v>26</v>
      </c>
      <c r="K19" s="22" t="s">
        <v>26</v>
      </c>
      <c r="L19" s="22" t="s">
        <v>33</v>
      </c>
      <c r="M19" s="22" t="s">
        <v>62</v>
      </c>
      <c r="N19" s="25"/>
      <c r="O19" s="26"/>
      <c r="P19" s="26"/>
      <c r="Q19" s="2"/>
      <c r="R19" s="2"/>
    </row>
    <row r="20">
      <c r="A20" s="2"/>
      <c r="B20" s="31"/>
      <c r="C20" s="16" t="s">
        <v>464</v>
      </c>
      <c r="D20" s="17" t="s">
        <v>20</v>
      </c>
      <c r="E20" s="18"/>
      <c r="F20" s="27">
        <v>46195.0</v>
      </c>
      <c r="G20" s="20">
        <v>800000.0</v>
      </c>
      <c r="H20" s="30"/>
      <c r="I20" s="22" t="s">
        <v>25</v>
      </c>
      <c r="J20" s="22" t="s">
        <v>26</v>
      </c>
      <c r="K20" s="22" t="s">
        <v>26</v>
      </c>
      <c r="L20" s="22" t="s">
        <v>33</v>
      </c>
      <c r="M20" s="22" t="s">
        <v>62</v>
      </c>
      <c r="N20" s="25"/>
      <c r="O20" s="26"/>
      <c r="P20" s="26"/>
      <c r="Q20" s="2"/>
      <c r="R20" s="2"/>
    </row>
    <row r="21">
      <c r="A21" s="2"/>
      <c r="B21" s="31"/>
      <c r="C21" s="16" t="s">
        <v>459</v>
      </c>
      <c r="D21" s="17" t="s">
        <v>20</v>
      </c>
      <c r="E21" s="18"/>
      <c r="F21" s="27">
        <v>46195.0</v>
      </c>
      <c r="G21" s="20">
        <v>0.0</v>
      </c>
      <c r="H21" s="21">
        <v>0.0</v>
      </c>
      <c r="I21" s="22" t="s">
        <v>25</v>
      </c>
      <c r="J21" s="22" t="s">
        <v>26</v>
      </c>
      <c r="K21" s="22" t="s">
        <v>26</v>
      </c>
      <c r="L21" s="22" t="s">
        <v>33</v>
      </c>
      <c r="M21" s="22" t="s">
        <v>62</v>
      </c>
      <c r="N21" s="25"/>
      <c r="O21" s="26"/>
      <c r="P21" s="26"/>
      <c r="Q21" s="2"/>
      <c r="R21" s="2"/>
    </row>
    <row r="22">
      <c r="A22" s="2"/>
      <c r="B22" s="31"/>
      <c r="C22" s="32"/>
      <c r="D22" s="17"/>
      <c r="E22" s="18"/>
      <c r="F22" s="31"/>
      <c r="G22" s="28"/>
      <c r="H22" s="30"/>
      <c r="I22" s="29"/>
      <c r="J22" s="29"/>
      <c r="K22" s="29"/>
      <c r="L22" s="29"/>
      <c r="M22" s="29"/>
      <c r="N22" s="33"/>
      <c r="O22" s="33"/>
      <c r="P22" s="33"/>
      <c r="Q22" s="2"/>
      <c r="R22" s="2"/>
    </row>
    <row r="23" ht="18.75" customHeight="1">
      <c r="A23" s="2"/>
      <c r="B23" s="2"/>
      <c r="C23" s="3"/>
      <c r="D23" s="3"/>
      <c r="E23" s="2"/>
      <c r="F23" s="2"/>
      <c r="G23" s="34">
        <f t="shared" ref="G23:H23" si="1">SUM(G4:G22)</f>
        <v>2250000</v>
      </c>
      <c r="H23" s="35">
        <f t="shared" si="1"/>
        <v>2325000</v>
      </c>
      <c r="I23" s="2"/>
      <c r="J23" s="2"/>
      <c r="K23" s="2"/>
      <c r="L23" s="2"/>
      <c r="M23" s="2"/>
      <c r="N23" s="2"/>
      <c r="O23" s="2"/>
      <c r="P23" s="2"/>
      <c r="Q23" s="2"/>
      <c r="R23" s="2"/>
    </row>
    <row r="24" ht="23.25" customHeight="1">
      <c r="A24" s="2"/>
      <c r="B24" s="2"/>
      <c r="C24" s="3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>
      <c r="A25" s="2"/>
      <c r="B25" s="2"/>
      <c r="C25" s="3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>
      <c r="A26" s="2"/>
      <c r="B26" s="36" t="s">
        <v>1</v>
      </c>
      <c r="C26" s="37" t="s">
        <v>7</v>
      </c>
      <c r="D26" s="37" t="s">
        <v>45</v>
      </c>
      <c r="E26" s="1"/>
      <c r="F26" s="2"/>
      <c r="G26" s="2"/>
      <c r="H26" s="2"/>
      <c r="I26" s="2"/>
      <c r="J26" s="2"/>
      <c r="K26" s="2"/>
      <c r="L26" s="2"/>
      <c r="M26" s="2"/>
      <c r="N26" s="37" t="s">
        <v>46</v>
      </c>
      <c r="O26" s="37" t="s">
        <v>2</v>
      </c>
      <c r="P26" s="2"/>
      <c r="Q26" s="2"/>
      <c r="R26" s="2"/>
    </row>
    <row r="27">
      <c r="A27" s="2"/>
      <c r="B27" s="38">
        <v>1.0</v>
      </c>
      <c r="C27" s="39" t="s">
        <v>47</v>
      </c>
      <c r="D27" s="40">
        <f>SUM(G23)</f>
        <v>2250000</v>
      </c>
      <c r="E27" s="41"/>
      <c r="F27" s="2"/>
      <c r="G27" s="2"/>
      <c r="H27" s="2"/>
      <c r="I27" s="2"/>
      <c r="J27" s="2"/>
      <c r="K27" s="2"/>
      <c r="L27" s="2"/>
      <c r="M27" s="2"/>
      <c r="N27" s="42" t="s">
        <v>48</v>
      </c>
      <c r="O27" s="23" t="s">
        <v>22</v>
      </c>
      <c r="P27" s="2"/>
      <c r="Q27" s="2"/>
      <c r="R27" s="2"/>
    </row>
    <row r="28">
      <c r="A28" s="2"/>
      <c r="B28" s="43">
        <v>2.0</v>
      </c>
      <c r="C28" s="44" t="s">
        <v>441</v>
      </c>
      <c r="D28" s="45">
        <v>-90000.0</v>
      </c>
      <c r="E28" s="46"/>
      <c r="F28" s="2"/>
      <c r="G28" s="2"/>
      <c r="H28" s="2"/>
      <c r="I28" s="2"/>
      <c r="J28" s="2"/>
      <c r="K28" s="2"/>
      <c r="L28" s="2"/>
      <c r="M28" s="2"/>
      <c r="N28" s="47" t="s">
        <v>50</v>
      </c>
      <c r="O28" s="48" t="s">
        <v>33</v>
      </c>
      <c r="P28" s="2"/>
      <c r="Q28" s="2"/>
      <c r="R28" s="2"/>
    </row>
    <row r="29">
      <c r="A29" s="2"/>
      <c r="B29" s="38">
        <v>3.0</v>
      </c>
      <c r="C29" s="39" t="s">
        <v>97</v>
      </c>
      <c r="D29" s="49">
        <v>-10000.0</v>
      </c>
      <c r="E29" s="46"/>
      <c r="F29" s="2"/>
      <c r="G29" s="2"/>
      <c r="H29" s="2"/>
      <c r="I29" s="2"/>
      <c r="J29" s="2"/>
      <c r="K29" s="2"/>
      <c r="L29" s="2"/>
      <c r="M29" s="2"/>
      <c r="N29" s="50" t="s">
        <v>52</v>
      </c>
      <c r="O29" s="25" t="s">
        <v>62</v>
      </c>
      <c r="P29" s="2"/>
      <c r="Q29" s="2"/>
      <c r="R29" s="2"/>
    </row>
    <row r="30">
      <c r="A30" s="2"/>
      <c r="B30" s="43">
        <v>4.0</v>
      </c>
      <c r="C30" s="44" t="s">
        <v>322</v>
      </c>
      <c r="D30" s="45">
        <v>-16000.0</v>
      </c>
      <c r="E30" s="46"/>
      <c r="F30" s="2"/>
      <c r="G30" s="2"/>
      <c r="H30" s="2"/>
      <c r="I30" s="2"/>
      <c r="J30" s="2"/>
      <c r="K30" s="2"/>
      <c r="L30" s="2"/>
      <c r="M30" s="2"/>
      <c r="N30" s="51" t="s">
        <v>54</v>
      </c>
      <c r="O30" s="48" t="s">
        <v>62</v>
      </c>
      <c r="P30" s="2"/>
      <c r="Q30" s="2"/>
      <c r="R30" s="2"/>
    </row>
    <row r="31">
      <c r="A31" s="2"/>
      <c r="B31" s="38"/>
      <c r="C31" s="39" t="s">
        <v>76</v>
      </c>
      <c r="D31" s="49">
        <v>-100000.0</v>
      </c>
      <c r="E31" s="41"/>
      <c r="F31" s="2"/>
      <c r="G31" s="2"/>
      <c r="H31" s="2"/>
      <c r="I31" s="2"/>
      <c r="J31" s="2"/>
      <c r="K31" s="2"/>
      <c r="L31" s="2"/>
      <c r="M31" s="2"/>
      <c r="N31" s="53"/>
      <c r="O31" s="2"/>
      <c r="P31" s="2"/>
      <c r="Q31" s="2"/>
      <c r="R31" s="2"/>
    </row>
    <row r="32">
      <c r="A32" s="2"/>
      <c r="B32" s="43"/>
      <c r="C32" s="54"/>
      <c r="D32" s="55"/>
      <c r="E32" s="4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2"/>
      <c r="B33" s="38"/>
      <c r="C33" s="52"/>
      <c r="D33" s="40"/>
      <c r="E33" s="4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2"/>
      <c r="B34" s="43"/>
      <c r="C34" s="54"/>
      <c r="D34" s="55"/>
      <c r="E34" s="4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2"/>
      <c r="B35" s="38"/>
      <c r="C35" s="52"/>
      <c r="D35" s="40"/>
      <c r="E35" s="4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2"/>
      <c r="B36" s="43"/>
      <c r="C36" s="54"/>
      <c r="D36" s="55"/>
      <c r="E36" s="4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/>
      <c r="B37" s="56"/>
      <c r="C37" s="57"/>
      <c r="D37" s="58"/>
      <c r="E37" s="4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2"/>
      <c r="C38" s="3"/>
      <c r="D38" s="59">
        <f>SUM(D27:D37)</f>
        <v>2034000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2"/>
      <c r="C39" s="3"/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2"/>
      <c r="C40" s="3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2"/>
      <c r="C41" s="3"/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2"/>
      <c r="B42" s="2"/>
      <c r="C42" s="3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2 O27:O28">
      <formula1>"-,JIJANG,AXEL,PENTIL,ADDEL ,INDAH"</formula1>
    </dataValidation>
    <dataValidation type="list" allowBlank="1" showErrorMessage="1" sqref="N4:N22">
      <formula1>"-,Pending,Progress,Uploaded"</formula1>
    </dataValidation>
    <dataValidation type="list" allowBlank="1" showDropDown="1" showErrorMessage="1" sqref="D4:D22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22">
      <formula1>"-,In Pikako,In Foxe"</formula1>
    </dataValidation>
    <dataValidation type="list" allowBlank="1" showDropDown="1" showErrorMessage="1" sqref="M4:M22 O29:O30">
      <formula1>"-,VERO,FADEL,PENTIL,FAHME,ADIF"</formula1>
    </dataValidation>
    <dataValidation type="list" allowBlank="1" showDropDown="1" showErrorMessage="1" sqref="I4:I22">
      <formula1>"-,DP,Lunas"</formula1>
    </dataValidation>
    <dataValidation type="list" allowBlank="1" showDropDown="1" showErrorMessage="1" sqref="J4:K22">
      <formula1>"-,Pending,Uploaded"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>
        <v>2.0</v>
      </c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 t="s">
        <v>465</v>
      </c>
      <c r="D4" s="17" t="s">
        <v>58</v>
      </c>
      <c r="E4" s="18"/>
      <c r="F4" s="19">
        <v>46198.0</v>
      </c>
      <c r="G4" s="20"/>
      <c r="H4" s="21">
        <v>100000.0</v>
      </c>
      <c r="I4" s="22" t="s">
        <v>21</v>
      </c>
      <c r="J4" s="22"/>
      <c r="K4" s="22"/>
      <c r="L4" s="22" t="s">
        <v>22</v>
      </c>
      <c r="M4" s="22"/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 t="s">
        <v>466</v>
      </c>
      <c r="D5" s="17" t="s">
        <v>24</v>
      </c>
      <c r="E5" s="18"/>
      <c r="F5" s="19">
        <v>46200.0</v>
      </c>
      <c r="G5" s="20"/>
      <c r="H5" s="21">
        <v>100000.0</v>
      </c>
      <c r="I5" s="22" t="s">
        <v>25</v>
      </c>
      <c r="J5" s="22"/>
      <c r="K5" s="22"/>
      <c r="L5" s="22" t="s">
        <v>22</v>
      </c>
      <c r="M5" s="22"/>
      <c r="N5" s="25"/>
      <c r="O5" s="25"/>
      <c r="P5" s="26"/>
      <c r="Q5" s="2"/>
      <c r="R5" s="2"/>
    </row>
    <row r="6">
      <c r="A6" s="2"/>
      <c r="B6" s="15">
        <v>3.0</v>
      </c>
      <c r="C6" s="16" t="s">
        <v>467</v>
      </c>
      <c r="D6" s="17" t="s">
        <v>20</v>
      </c>
      <c r="E6" s="18"/>
      <c r="F6" s="27">
        <v>46196.0</v>
      </c>
      <c r="G6" s="28"/>
      <c r="H6" s="21">
        <v>100000.0</v>
      </c>
      <c r="I6" s="22" t="s">
        <v>21</v>
      </c>
      <c r="J6" s="22"/>
      <c r="K6" s="22"/>
      <c r="L6" s="22" t="s">
        <v>22</v>
      </c>
      <c r="M6" s="29"/>
      <c r="N6" s="25"/>
      <c r="O6" s="25"/>
      <c r="P6" s="26"/>
      <c r="Q6" s="2"/>
      <c r="R6" s="2"/>
    </row>
    <row r="7">
      <c r="A7" s="2"/>
      <c r="B7" s="15">
        <v>4.0</v>
      </c>
      <c r="C7" s="16" t="s">
        <v>468</v>
      </c>
      <c r="D7" s="17" t="s">
        <v>20</v>
      </c>
      <c r="E7" s="18"/>
      <c r="F7" s="27">
        <v>46197.0</v>
      </c>
      <c r="G7" s="20"/>
      <c r="H7" s="21">
        <v>100000.0</v>
      </c>
      <c r="I7" s="22" t="s">
        <v>21</v>
      </c>
      <c r="J7" s="22"/>
      <c r="K7" s="22"/>
      <c r="L7" s="22" t="s">
        <v>22</v>
      </c>
      <c r="M7" s="29"/>
      <c r="N7" s="25"/>
      <c r="O7" s="25"/>
      <c r="P7" s="26"/>
      <c r="Q7" s="2"/>
      <c r="R7" s="2"/>
    </row>
    <row r="8">
      <c r="A8" s="2"/>
      <c r="B8" s="15">
        <v>5.0</v>
      </c>
      <c r="C8" s="16" t="s">
        <v>469</v>
      </c>
      <c r="D8" s="17" t="s">
        <v>24</v>
      </c>
      <c r="E8" s="18" t="s">
        <v>43</v>
      </c>
      <c r="F8" s="27">
        <v>46196.0</v>
      </c>
      <c r="G8" s="20">
        <v>50000.0</v>
      </c>
      <c r="H8" s="30"/>
      <c r="I8" s="22" t="s">
        <v>25</v>
      </c>
      <c r="J8" s="22" t="s">
        <v>26</v>
      </c>
      <c r="K8" s="22" t="s">
        <v>26</v>
      </c>
      <c r="L8" s="22" t="s">
        <v>22</v>
      </c>
      <c r="M8" s="22" t="s">
        <v>27</v>
      </c>
      <c r="N8" s="25"/>
      <c r="O8" s="26"/>
      <c r="P8" s="26"/>
      <c r="Q8" s="2"/>
      <c r="R8" s="2"/>
    </row>
    <row r="9">
      <c r="A9" s="2"/>
      <c r="B9" s="15">
        <v>6.0</v>
      </c>
      <c r="C9" s="16" t="s">
        <v>268</v>
      </c>
      <c r="D9" s="17" t="s">
        <v>20</v>
      </c>
      <c r="E9" s="18"/>
      <c r="F9" s="27">
        <v>46199.0</v>
      </c>
      <c r="G9" s="20"/>
      <c r="H9" s="21">
        <v>100000.0</v>
      </c>
      <c r="I9" s="22" t="s">
        <v>21</v>
      </c>
      <c r="J9" s="22"/>
      <c r="K9" s="22"/>
      <c r="L9" s="22" t="s">
        <v>22</v>
      </c>
      <c r="M9" s="29"/>
      <c r="N9" s="25"/>
      <c r="O9" s="26"/>
      <c r="P9" s="26"/>
      <c r="Q9" s="2"/>
      <c r="R9" s="2"/>
    </row>
    <row r="10">
      <c r="A10" s="2"/>
      <c r="B10" s="15">
        <v>7.0</v>
      </c>
      <c r="C10" s="16" t="s">
        <v>470</v>
      </c>
      <c r="D10" s="17" t="s">
        <v>20</v>
      </c>
      <c r="E10" s="18"/>
      <c r="F10" s="27">
        <v>46196.0</v>
      </c>
      <c r="G10" s="20">
        <v>325000.0</v>
      </c>
      <c r="H10" s="30"/>
      <c r="I10" s="22" t="s">
        <v>25</v>
      </c>
      <c r="J10" s="22" t="s">
        <v>26</v>
      </c>
      <c r="K10" s="22" t="s">
        <v>26</v>
      </c>
      <c r="L10" s="22" t="s">
        <v>178</v>
      </c>
      <c r="M10" s="22" t="s">
        <v>34</v>
      </c>
      <c r="N10" s="25"/>
      <c r="O10" s="26"/>
      <c r="P10" s="26"/>
      <c r="Q10" s="2"/>
      <c r="R10" s="2"/>
    </row>
    <row r="11">
      <c r="A11" s="2"/>
      <c r="B11" s="15">
        <v>8.0</v>
      </c>
      <c r="C11" s="16" t="s">
        <v>471</v>
      </c>
      <c r="D11" s="17" t="s">
        <v>20</v>
      </c>
      <c r="E11" s="18"/>
      <c r="F11" s="27">
        <v>46196.0</v>
      </c>
      <c r="G11" s="20"/>
      <c r="H11" s="21">
        <v>100000.0</v>
      </c>
      <c r="I11" s="22" t="s">
        <v>21</v>
      </c>
      <c r="J11" s="22"/>
      <c r="K11" s="22"/>
      <c r="L11" s="22" t="s">
        <v>178</v>
      </c>
      <c r="M11" s="29"/>
      <c r="N11" s="25"/>
      <c r="O11" s="26"/>
      <c r="P11" s="26"/>
      <c r="Q11" s="2"/>
      <c r="R11" s="2"/>
    </row>
    <row r="12">
      <c r="A12" s="2"/>
      <c r="B12" s="15">
        <v>9.0</v>
      </c>
      <c r="C12" s="16" t="s">
        <v>472</v>
      </c>
      <c r="D12" s="17" t="s">
        <v>92</v>
      </c>
      <c r="E12" s="18"/>
      <c r="F12" s="27">
        <v>46196.0</v>
      </c>
      <c r="G12" s="20">
        <v>100000.0</v>
      </c>
      <c r="H12" s="30"/>
      <c r="I12" s="22" t="s">
        <v>25</v>
      </c>
      <c r="J12" s="22" t="s">
        <v>26</v>
      </c>
      <c r="K12" s="22" t="s">
        <v>30</v>
      </c>
      <c r="L12" s="22" t="s">
        <v>178</v>
      </c>
      <c r="M12" s="22" t="s">
        <v>34</v>
      </c>
      <c r="N12" s="25"/>
      <c r="O12" s="26"/>
      <c r="P12" s="26"/>
      <c r="Q12" s="2"/>
      <c r="R12" s="2"/>
    </row>
    <row r="13">
      <c r="A13" s="2"/>
      <c r="B13" s="15">
        <v>10.0</v>
      </c>
      <c r="C13" s="16"/>
      <c r="D13" s="17"/>
      <c r="E13" s="18"/>
      <c r="F13" s="31"/>
      <c r="G13" s="20"/>
      <c r="H13" s="30"/>
      <c r="I13" s="22"/>
      <c r="J13" s="22"/>
      <c r="K13" s="22"/>
      <c r="L13" s="29"/>
      <c r="M13" s="29"/>
      <c r="N13" s="25"/>
      <c r="O13" s="26"/>
      <c r="P13" s="26"/>
      <c r="Q13" s="2"/>
      <c r="R13" s="2"/>
    </row>
    <row r="14">
      <c r="A14" s="2"/>
      <c r="B14" s="31"/>
      <c r="C14" s="16"/>
      <c r="D14" s="17"/>
      <c r="E14" s="18"/>
      <c r="F14" s="31"/>
      <c r="G14" s="20"/>
      <c r="H14" s="30"/>
      <c r="I14" s="22"/>
      <c r="J14" s="22"/>
      <c r="K14" s="22"/>
      <c r="L14" s="29"/>
      <c r="M14" s="29"/>
      <c r="N14" s="25"/>
      <c r="O14" s="26"/>
      <c r="P14" s="26"/>
      <c r="Q14" s="2"/>
      <c r="R14" s="2"/>
    </row>
    <row r="15">
      <c r="A15" s="2"/>
      <c r="B15" s="31"/>
      <c r="C15" s="16"/>
      <c r="D15" s="17"/>
      <c r="E15" s="18"/>
      <c r="F15" s="31"/>
      <c r="G15" s="20"/>
      <c r="H15" s="30"/>
      <c r="I15" s="22"/>
      <c r="J15" s="22"/>
      <c r="K15" s="22"/>
      <c r="L15" s="29"/>
      <c r="M15" s="29"/>
      <c r="N15" s="25"/>
      <c r="O15" s="26"/>
      <c r="P15" s="26"/>
      <c r="Q15" s="2"/>
      <c r="R15" s="2"/>
    </row>
    <row r="16">
      <c r="A16" s="2"/>
      <c r="B16" s="31"/>
      <c r="C16" s="16"/>
      <c r="D16" s="17"/>
      <c r="E16" s="18"/>
      <c r="F16" s="31"/>
      <c r="G16" s="20"/>
      <c r="H16" s="30"/>
      <c r="I16" s="22"/>
      <c r="J16" s="22"/>
      <c r="K16" s="22"/>
      <c r="L16" s="29"/>
      <c r="M16" s="29"/>
      <c r="N16" s="25"/>
      <c r="O16" s="26"/>
      <c r="P16" s="26"/>
      <c r="Q16" s="2"/>
      <c r="R16" s="2"/>
    </row>
    <row r="17">
      <c r="A17" s="2"/>
      <c r="B17" s="31"/>
      <c r="C17" s="16"/>
      <c r="D17" s="17"/>
      <c r="E17" s="18"/>
      <c r="F17" s="31"/>
      <c r="G17" s="20"/>
      <c r="H17" s="30"/>
      <c r="I17" s="22"/>
      <c r="J17" s="22"/>
      <c r="K17" s="22"/>
      <c r="L17" s="29"/>
      <c r="M17" s="29"/>
      <c r="N17" s="25"/>
      <c r="O17" s="26"/>
      <c r="P17" s="26"/>
      <c r="Q17" s="2"/>
      <c r="R17" s="2"/>
    </row>
    <row r="18">
      <c r="A18" s="2"/>
      <c r="B18" s="31"/>
      <c r="C18" s="32"/>
      <c r="D18" s="17"/>
      <c r="E18" s="18"/>
      <c r="F18" s="31"/>
      <c r="G18" s="28"/>
      <c r="H18" s="30"/>
      <c r="I18" s="29"/>
      <c r="J18" s="29"/>
      <c r="K18" s="29"/>
      <c r="L18" s="29"/>
      <c r="M18" s="29"/>
      <c r="N18" s="33"/>
      <c r="O18" s="33"/>
      <c r="P18" s="33"/>
      <c r="Q18" s="2"/>
      <c r="R18" s="2"/>
    </row>
    <row r="19" ht="18.75" customHeight="1">
      <c r="A19" s="2"/>
      <c r="B19" s="2"/>
      <c r="C19" s="3"/>
      <c r="D19" s="3"/>
      <c r="E19" s="2"/>
      <c r="F19" s="2"/>
      <c r="G19" s="34">
        <f t="shared" ref="G19:H19" si="1">SUM(G4:G18)</f>
        <v>475000</v>
      </c>
      <c r="H19" s="35">
        <f t="shared" si="1"/>
        <v>600000</v>
      </c>
      <c r="I19" s="2"/>
      <c r="J19" s="2"/>
      <c r="K19" s="2"/>
      <c r="L19" s="2"/>
      <c r="M19" s="2"/>
      <c r="N19" s="2"/>
      <c r="O19" s="2"/>
      <c r="P19" s="2"/>
      <c r="Q19" s="2"/>
      <c r="R19" s="2"/>
    </row>
    <row r="20" ht="23.25" customHeight="1">
      <c r="A20" s="2"/>
      <c r="B20" s="2"/>
      <c r="C20" s="3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>
      <c r="A21" s="2"/>
      <c r="B21" s="2"/>
      <c r="C21" s="3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>
      <c r="A22" s="2"/>
      <c r="B22" s="36" t="s">
        <v>1</v>
      </c>
      <c r="C22" s="37" t="s">
        <v>7</v>
      </c>
      <c r="D22" s="37" t="s">
        <v>45</v>
      </c>
      <c r="E22" s="1"/>
      <c r="F22" s="2"/>
      <c r="G22" s="2"/>
      <c r="H22" s="2"/>
      <c r="I22" s="2"/>
      <c r="J22" s="2"/>
      <c r="K22" s="2"/>
      <c r="L22" s="2"/>
      <c r="M22" s="2"/>
      <c r="N22" s="37" t="s">
        <v>46</v>
      </c>
      <c r="O22" s="37" t="s">
        <v>2</v>
      </c>
      <c r="P22" s="2"/>
      <c r="Q22" s="2"/>
      <c r="R22" s="2"/>
    </row>
    <row r="23">
      <c r="A23" s="2"/>
      <c r="B23" s="38">
        <v>1.0</v>
      </c>
      <c r="C23" s="39" t="s">
        <v>47</v>
      </c>
      <c r="D23" s="40">
        <f>SUM(G19)</f>
        <v>475000</v>
      </c>
      <c r="E23" s="41"/>
      <c r="F23" s="2"/>
      <c r="G23" s="2"/>
      <c r="H23" s="2"/>
      <c r="I23" s="2"/>
      <c r="J23" s="2"/>
      <c r="K23" s="2"/>
      <c r="L23" s="2"/>
      <c r="M23" s="2"/>
      <c r="N23" s="42" t="s">
        <v>48</v>
      </c>
      <c r="O23" s="23" t="s">
        <v>22</v>
      </c>
      <c r="P23" s="2"/>
      <c r="Q23" s="2"/>
      <c r="R23" s="2"/>
    </row>
    <row r="24">
      <c r="A24" s="2"/>
      <c r="B24" s="43">
        <v>2.0</v>
      </c>
      <c r="C24" s="44" t="s">
        <v>473</v>
      </c>
      <c r="D24" s="45">
        <v>-56000.0</v>
      </c>
      <c r="E24" s="46"/>
      <c r="F24" s="2"/>
      <c r="G24" s="2"/>
      <c r="H24" s="2"/>
      <c r="I24" s="2"/>
      <c r="J24" s="2"/>
      <c r="K24" s="2"/>
      <c r="L24" s="2"/>
      <c r="M24" s="2"/>
      <c r="N24" s="47" t="s">
        <v>50</v>
      </c>
      <c r="O24" s="48" t="s">
        <v>178</v>
      </c>
      <c r="P24" s="2"/>
      <c r="Q24" s="2"/>
      <c r="R24" s="2"/>
    </row>
    <row r="25">
      <c r="A25" s="2"/>
      <c r="B25" s="38">
        <v>3.0</v>
      </c>
      <c r="C25" s="39" t="s">
        <v>76</v>
      </c>
      <c r="D25" s="49">
        <v>-69000.0</v>
      </c>
      <c r="E25" s="46"/>
      <c r="F25" s="2"/>
      <c r="G25" s="2"/>
      <c r="H25" s="2"/>
      <c r="I25" s="2"/>
      <c r="J25" s="2"/>
      <c r="K25" s="2"/>
      <c r="L25" s="2"/>
      <c r="M25" s="2"/>
      <c r="N25" s="50" t="s">
        <v>52</v>
      </c>
      <c r="O25" s="25" t="s">
        <v>27</v>
      </c>
      <c r="P25" s="2"/>
      <c r="Q25" s="2"/>
      <c r="R25" s="2"/>
    </row>
    <row r="26">
      <c r="A26" s="2"/>
      <c r="B26" s="43">
        <v>4.0</v>
      </c>
      <c r="C26" s="44"/>
      <c r="D26" s="45"/>
      <c r="E26" s="46"/>
      <c r="F26" s="2"/>
      <c r="G26" s="2"/>
      <c r="H26" s="2"/>
      <c r="I26" s="2"/>
      <c r="J26" s="2"/>
      <c r="K26" s="2"/>
      <c r="L26" s="2"/>
      <c r="M26" s="2"/>
      <c r="N26" s="51" t="s">
        <v>54</v>
      </c>
      <c r="O26" s="48" t="s">
        <v>34</v>
      </c>
      <c r="P26" s="2"/>
      <c r="Q26" s="2"/>
      <c r="R26" s="2"/>
    </row>
    <row r="27">
      <c r="A27" s="2"/>
      <c r="B27" s="38"/>
      <c r="C27" s="52"/>
      <c r="D27" s="40"/>
      <c r="E27" s="41"/>
      <c r="F27" s="2"/>
      <c r="G27" s="2"/>
      <c r="H27" s="2"/>
      <c r="I27" s="2"/>
      <c r="J27" s="2"/>
      <c r="K27" s="2"/>
      <c r="L27" s="2"/>
      <c r="M27" s="2"/>
      <c r="N27" s="53"/>
      <c r="O27" s="2"/>
      <c r="P27" s="2"/>
      <c r="Q27" s="2"/>
      <c r="R27" s="2"/>
    </row>
    <row r="28">
      <c r="A28" s="2"/>
      <c r="B28" s="43"/>
      <c r="C28" s="54"/>
      <c r="D28" s="55"/>
      <c r="E28" s="4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>
      <c r="A29" s="2"/>
      <c r="B29" s="38"/>
      <c r="C29" s="52"/>
      <c r="D29" s="40"/>
      <c r="E29" s="4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>
      <c r="A30" s="2"/>
      <c r="B30" s="43"/>
      <c r="C30" s="54"/>
      <c r="D30" s="55"/>
      <c r="E30" s="4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>
      <c r="A31" s="2"/>
      <c r="B31" s="38"/>
      <c r="C31" s="52"/>
      <c r="D31" s="40"/>
      <c r="E31" s="4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2"/>
      <c r="B32" s="43"/>
      <c r="C32" s="54"/>
      <c r="D32" s="55"/>
      <c r="E32" s="4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2"/>
      <c r="B33" s="56"/>
      <c r="C33" s="57"/>
      <c r="D33" s="58"/>
      <c r="E33" s="4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2"/>
      <c r="B34" s="2"/>
      <c r="C34" s="3"/>
      <c r="D34" s="59">
        <f>SUM(D23:D33)</f>
        <v>350000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2"/>
      <c r="B35" s="2"/>
      <c r="C35" s="3"/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2"/>
      <c r="B36" s="2"/>
      <c r="C36" s="3"/>
      <c r="D36" s="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/>
      <c r="B37" s="2"/>
      <c r="C37" s="3"/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2"/>
      <c r="C38" s="3"/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"-,JIJANG,AXEL,ADDEL,FAHME,INDAH"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"-,VERO,FADEL,ADDEL,FAHME,ADIF 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>
        <v>2.0</v>
      </c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 t="s">
        <v>474</v>
      </c>
      <c r="D4" s="17" t="s">
        <v>40</v>
      </c>
      <c r="E4" s="18"/>
      <c r="F4" s="27">
        <v>46207.0</v>
      </c>
      <c r="G4" s="20"/>
      <c r="H4" s="21">
        <v>100000.0</v>
      </c>
      <c r="I4" s="22" t="s">
        <v>21</v>
      </c>
      <c r="J4" s="22"/>
      <c r="K4" s="22"/>
      <c r="L4" s="22" t="s">
        <v>33</v>
      </c>
      <c r="M4" s="22"/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 t="s">
        <v>475</v>
      </c>
      <c r="D5" s="17" t="s">
        <v>20</v>
      </c>
      <c r="E5" s="18"/>
      <c r="F5" s="19">
        <v>46200.0</v>
      </c>
      <c r="G5" s="20"/>
      <c r="H5" s="21">
        <v>100000.0</v>
      </c>
      <c r="I5" s="22" t="s">
        <v>21</v>
      </c>
      <c r="J5" s="22"/>
      <c r="K5" s="22"/>
      <c r="L5" s="22" t="s">
        <v>33</v>
      </c>
      <c r="M5" s="22"/>
      <c r="N5" s="25"/>
      <c r="O5" s="25"/>
      <c r="P5" s="26"/>
      <c r="Q5" s="2"/>
      <c r="R5" s="2"/>
    </row>
    <row r="6">
      <c r="A6" s="2"/>
      <c r="B6" s="15">
        <v>3.0</v>
      </c>
      <c r="C6" s="16" t="s">
        <v>476</v>
      </c>
      <c r="D6" s="17" t="s">
        <v>20</v>
      </c>
      <c r="E6" s="18"/>
      <c r="F6" s="27">
        <v>46197.0</v>
      </c>
      <c r="G6" s="28"/>
      <c r="H6" s="21">
        <v>100000.0</v>
      </c>
      <c r="I6" s="22" t="s">
        <v>21</v>
      </c>
      <c r="J6" s="22"/>
      <c r="K6" s="22"/>
      <c r="L6" s="22" t="s">
        <v>33</v>
      </c>
      <c r="M6" s="29"/>
      <c r="N6" s="25"/>
      <c r="O6" s="25"/>
      <c r="P6" s="26"/>
      <c r="Q6" s="2"/>
      <c r="R6" s="2"/>
    </row>
    <row r="7">
      <c r="A7" s="2"/>
      <c r="B7" s="15">
        <v>4.0</v>
      </c>
      <c r="C7" s="16" t="s">
        <v>477</v>
      </c>
      <c r="D7" s="17" t="s">
        <v>20</v>
      </c>
      <c r="E7" s="18"/>
      <c r="F7" s="27">
        <v>46198.0</v>
      </c>
      <c r="G7" s="20"/>
      <c r="H7" s="21">
        <v>100000.0</v>
      </c>
      <c r="I7" s="22" t="s">
        <v>21</v>
      </c>
      <c r="J7" s="22"/>
      <c r="K7" s="22"/>
      <c r="L7" s="22" t="s">
        <v>33</v>
      </c>
      <c r="M7" s="29"/>
      <c r="N7" s="25"/>
      <c r="O7" s="25"/>
      <c r="P7" s="26"/>
      <c r="Q7" s="2"/>
      <c r="R7" s="2"/>
    </row>
    <row r="8">
      <c r="A8" s="2"/>
      <c r="B8" s="15">
        <v>5.0</v>
      </c>
      <c r="C8" s="16" t="s">
        <v>454</v>
      </c>
      <c r="D8" s="17" t="s">
        <v>20</v>
      </c>
      <c r="E8" s="18"/>
      <c r="F8" s="27">
        <v>46197.0</v>
      </c>
      <c r="G8" s="20">
        <v>775000.0</v>
      </c>
      <c r="H8" s="30"/>
      <c r="I8" s="22" t="s">
        <v>25</v>
      </c>
      <c r="J8" s="22" t="s">
        <v>26</v>
      </c>
      <c r="K8" s="22" t="s">
        <v>26</v>
      </c>
      <c r="L8" s="22" t="s">
        <v>33</v>
      </c>
      <c r="M8" s="22" t="s">
        <v>34</v>
      </c>
      <c r="N8" s="25"/>
      <c r="O8" s="26"/>
      <c r="P8" s="26"/>
      <c r="Q8" s="2"/>
      <c r="R8" s="2"/>
    </row>
    <row r="9">
      <c r="A9" s="2"/>
      <c r="B9" s="15">
        <v>6.0</v>
      </c>
      <c r="C9" s="16" t="s">
        <v>478</v>
      </c>
      <c r="D9" s="17" t="s">
        <v>361</v>
      </c>
      <c r="E9" s="18"/>
      <c r="F9" s="27">
        <v>46197.0</v>
      </c>
      <c r="G9" s="20"/>
      <c r="H9" s="21">
        <v>125000.0</v>
      </c>
      <c r="I9" s="22" t="s">
        <v>25</v>
      </c>
      <c r="J9" s="22"/>
      <c r="K9" s="22"/>
      <c r="L9" s="22" t="s">
        <v>33</v>
      </c>
      <c r="M9" s="29"/>
      <c r="N9" s="25"/>
      <c r="O9" s="26"/>
      <c r="P9" s="26"/>
      <c r="Q9" s="2"/>
      <c r="R9" s="2"/>
    </row>
    <row r="10">
      <c r="A10" s="2"/>
      <c r="B10" s="15">
        <v>7.0</v>
      </c>
      <c r="C10" s="16" t="s">
        <v>479</v>
      </c>
      <c r="D10" s="17" t="s">
        <v>40</v>
      </c>
      <c r="E10" s="18"/>
      <c r="F10" s="27">
        <v>46206.0</v>
      </c>
      <c r="G10" s="20"/>
      <c r="H10" s="21">
        <v>200000.0</v>
      </c>
      <c r="I10" s="22" t="s">
        <v>21</v>
      </c>
      <c r="J10" s="22"/>
      <c r="K10" s="22"/>
      <c r="L10" s="22" t="s">
        <v>33</v>
      </c>
      <c r="M10" s="29"/>
      <c r="N10" s="25"/>
      <c r="O10" s="26"/>
      <c r="P10" s="26"/>
      <c r="Q10" s="2"/>
      <c r="R10" s="2"/>
    </row>
    <row r="11">
      <c r="A11" s="2"/>
      <c r="B11" s="15">
        <v>8.0</v>
      </c>
      <c r="C11" s="16" t="s">
        <v>69</v>
      </c>
      <c r="D11" s="17" t="s">
        <v>20</v>
      </c>
      <c r="E11" s="18" t="s">
        <v>43</v>
      </c>
      <c r="F11" s="27">
        <v>46197.0</v>
      </c>
      <c r="G11" s="20"/>
      <c r="H11" s="21">
        <v>175000.0</v>
      </c>
      <c r="I11" s="22" t="s">
        <v>25</v>
      </c>
      <c r="J11" s="22" t="s">
        <v>26</v>
      </c>
      <c r="K11" s="22" t="s">
        <v>26</v>
      </c>
      <c r="L11" s="22" t="s">
        <v>33</v>
      </c>
      <c r="M11" s="22" t="s">
        <v>34</v>
      </c>
      <c r="N11" s="25"/>
      <c r="O11" s="26"/>
      <c r="P11" s="26"/>
      <c r="Q11" s="2"/>
      <c r="R11" s="2"/>
    </row>
    <row r="12">
      <c r="A12" s="2"/>
      <c r="B12" s="15">
        <v>9.0</v>
      </c>
      <c r="C12" s="16" t="s">
        <v>480</v>
      </c>
      <c r="D12" s="17" t="s">
        <v>20</v>
      </c>
      <c r="E12" s="18"/>
      <c r="F12" s="27">
        <v>46198.0</v>
      </c>
      <c r="G12" s="20"/>
      <c r="H12" s="21">
        <v>100000.0</v>
      </c>
      <c r="I12" s="22" t="s">
        <v>21</v>
      </c>
      <c r="J12" s="22"/>
      <c r="K12" s="22"/>
      <c r="L12" s="22" t="s">
        <v>33</v>
      </c>
      <c r="M12" s="29"/>
      <c r="N12" s="25"/>
      <c r="O12" s="26"/>
      <c r="P12" s="26"/>
      <c r="Q12" s="2"/>
      <c r="R12" s="2"/>
    </row>
    <row r="13">
      <c r="A13" s="2"/>
      <c r="B13" s="15">
        <v>10.0</v>
      </c>
      <c r="C13" s="16" t="s">
        <v>481</v>
      </c>
      <c r="D13" s="17" t="s">
        <v>20</v>
      </c>
      <c r="E13" s="18"/>
      <c r="F13" s="27">
        <v>46201.0</v>
      </c>
      <c r="G13" s="20"/>
      <c r="H13" s="21">
        <v>100000.0</v>
      </c>
      <c r="I13" s="22" t="s">
        <v>21</v>
      </c>
      <c r="J13" s="22"/>
      <c r="K13" s="22"/>
      <c r="L13" s="22" t="s">
        <v>33</v>
      </c>
      <c r="M13" s="29"/>
      <c r="N13" s="25"/>
      <c r="O13" s="26"/>
      <c r="P13" s="26"/>
      <c r="Q13" s="2"/>
      <c r="R13" s="2"/>
    </row>
    <row r="14">
      <c r="A14" s="2"/>
      <c r="B14" s="31"/>
      <c r="C14" s="16" t="s">
        <v>482</v>
      </c>
      <c r="D14" s="17" t="s">
        <v>82</v>
      </c>
      <c r="E14" s="18"/>
      <c r="F14" s="27">
        <v>46182.0</v>
      </c>
      <c r="G14" s="20"/>
      <c r="H14" s="21">
        <v>20000.0</v>
      </c>
      <c r="I14" s="22" t="s">
        <v>25</v>
      </c>
      <c r="J14" s="22"/>
      <c r="K14" s="22"/>
      <c r="L14" s="22" t="s">
        <v>33</v>
      </c>
      <c r="M14" s="29"/>
      <c r="N14" s="25"/>
      <c r="O14" s="26"/>
      <c r="P14" s="26"/>
      <c r="Q14" s="2"/>
      <c r="R14" s="2"/>
    </row>
    <row r="15">
      <c r="A15" s="2"/>
      <c r="B15" s="31"/>
      <c r="C15" s="16" t="s">
        <v>431</v>
      </c>
      <c r="D15" s="17" t="s">
        <v>20</v>
      </c>
      <c r="E15" s="18"/>
      <c r="F15" s="27">
        <v>46197.0</v>
      </c>
      <c r="G15" s="20">
        <v>225000.0</v>
      </c>
      <c r="H15" s="30"/>
      <c r="I15" s="22" t="s">
        <v>25</v>
      </c>
      <c r="J15" s="22" t="s">
        <v>26</v>
      </c>
      <c r="K15" s="22" t="s">
        <v>26</v>
      </c>
      <c r="L15" s="22" t="s">
        <v>33</v>
      </c>
      <c r="M15" s="22" t="s">
        <v>34</v>
      </c>
      <c r="N15" s="25"/>
      <c r="O15" s="26"/>
      <c r="P15" s="26"/>
      <c r="Q15" s="2"/>
      <c r="R15" s="2"/>
    </row>
    <row r="16">
      <c r="A16" s="2"/>
      <c r="B16" s="31"/>
      <c r="C16" s="16" t="s">
        <v>468</v>
      </c>
      <c r="D16" s="17" t="s">
        <v>20</v>
      </c>
      <c r="E16" s="18"/>
      <c r="F16" s="27">
        <v>46197.0</v>
      </c>
      <c r="G16" s="20">
        <v>75000.0</v>
      </c>
      <c r="H16" s="30"/>
      <c r="I16" s="22" t="s">
        <v>25</v>
      </c>
      <c r="J16" s="22" t="s">
        <v>26</v>
      </c>
      <c r="K16" s="22" t="s">
        <v>26</v>
      </c>
      <c r="L16" s="22" t="s">
        <v>33</v>
      </c>
      <c r="M16" s="22" t="s">
        <v>127</v>
      </c>
      <c r="N16" s="25"/>
      <c r="O16" s="26"/>
      <c r="P16" s="26"/>
      <c r="Q16" s="2"/>
      <c r="R16" s="2"/>
    </row>
    <row r="17">
      <c r="A17" s="2"/>
      <c r="B17" s="31"/>
      <c r="C17" s="16" t="s">
        <v>443</v>
      </c>
      <c r="D17" s="17" t="s">
        <v>20</v>
      </c>
      <c r="E17" s="18"/>
      <c r="F17" s="27">
        <v>46197.0</v>
      </c>
      <c r="G17" s="20"/>
      <c r="H17" s="21">
        <v>525000.0</v>
      </c>
      <c r="I17" s="22" t="s">
        <v>25</v>
      </c>
      <c r="J17" s="22" t="s">
        <v>26</v>
      </c>
      <c r="K17" s="22" t="s">
        <v>26</v>
      </c>
      <c r="L17" s="22" t="s">
        <v>33</v>
      </c>
      <c r="M17" s="22" t="s">
        <v>127</v>
      </c>
      <c r="N17" s="25"/>
      <c r="O17" s="26"/>
      <c r="P17" s="26"/>
      <c r="Q17" s="2"/>
      <c r="R17" s="2"/>
    </row>
    <row r="18">
      <c r="A18" s="2"/>
      <c r="B18" s="31"/>
      <c r="C18" s="79" t="s">
        <v>483</v>
      </c>
      <c r="D18" s="17" t="s">
        <v>20</v>
      </c>
      <c r="E18" s="18"/>
      <c r="F18" s="27">
        <v>46215.0</v>
      </c>
      <c r="G18" s="20"/>
      <c r="H18" s="21">
        <v>100000.0</v>
      </c>
      <c r="I18" s="22" t="s">
        <v>21</v>
      </c>
      <c r="J18" s="22"/>
      <c r="K18" s="22"/>
      <c r="L18" s="22" t="s">
        <v>33</v>
      </c>
      <c r="M18" s="29"/>
      <c r="N18" s="25"/>
      <c r="O18" s="26"/>
      <c r="P18" s="26"/>
      <c r="Q18" s="2"/>
      <c r="R18" s="2"/>
    </row>
    <row r="19">
      <c r="A19" s="2"/>
      <c r="B19" s="31"/>
      <c r="C19" s="16" t="s">
        <v>445</v>
      </c>
      <c r="D19" s="17" t="s">
        <v>20</v>
      </c>
      <c r="E19" s="18"/>
      <c r="F19" s="27">
        <v>46197.0</v>
      </c>
      <c r="G19" s="20"/>
      <c r="H19" s="21">
        <v>375000.0</v>
      </c>
      <c r="I19" s="22" t="s">
        <v>25</v>
      </c>
      <c r="J19" s="22" t="s">
        <v>26</v>
      </c>
      <c r="K19" s="22" t="s">
        <v>30</v>
      </c>
      <c r="L19" s="22" t="s">
        <v>33</v>
      </c>
      <c r="M19" s="22" t="s">
        <v>127</v>
      </c>
      <c r="N19" s="25"/>
      <c r="O19" s="26"/>
      <c r="P19" s="26"/>
      <c r="Q19" s="2"/>
      <c r="R19" s="2"/>
    </row>
    <row r="20">
      <c r="A20" s="2"/>
      <c r="B20" s="31"/>
      <c r="C20" s="16" t="s">
        <v>484</v>
      </c>
      <c r="D20" s="17" t="s">
        <v>20</v>
      </c>
      <c r="E20" s="18"/>
      <c r="F20" s="27">
        <v>46198.0</v>
      </c>
      <c r="G20" s="20"/>
      <c r="H20" s="21">
        <v>100000.0</v>
      </c>
      <c r="I20" s="22" t="s">
        <v>21</v>
      </c>
      <c r="J20" s="22"/>
      <c r="K20" s="22"/>
      <c r="L20" s="22" t="s">
        <v>33</v>
      </c>
      <c r="M20" s="29"/>
      <c r="N20" s="25"/>
      <c r="O20" s="26"/>
      <c r="P20" s="26"/>
      <c r="Q20" s="2"/>
      <c r="R20" s="2"/>
    </row>
    <row r="21">
      <c r="A21" s="2"/>
      <c r="B21" s="31"/>
      <c r="C21" s="16" t="s">
        <v>485</v>
      </c>
      <c r="D21" s="17" t="s">
        <v>20</v>
      </c>
      <c r="E21" s="18"/>
      <c r="F21" s="27">
        <v>46197.0</v>
      </c>
      <c r="G21" s="20">
        <v>225000.0</v>
      </c>
      <c r="H21" s="30"/>
      <c r="I21" s="22" t="s">
        <v>25</v>
      </c>
      <c r="J21" s="22" t="s">
        <v>26</v>
      </c>
      <c r="K21" s="22" t="s">
        <v>26</v>
      </c>
      <c r="L21" s="22" t="s">
        <v>33</v>
      </c>
      <c r="M21" s="22" t="s">
        <v>127</v>
      </c>
      <c r="N21" s="25"/>
      <c r="O21" s="26"/>
      <c r="P21" s="26"/>
      <c r="Q21" s="2"/>
      <c r="R21" s="2"/>
    </row>
    <row r="22">
      <c r="A22" s="2"/>
      <c r="B22" s="31"/>
      <c r="C22" s="32"/>
      <c r="D22" s="17"/>
      <c r="E22" s="18"/>
      <c r="F22" s="31"/>
      <c r="G22" s="28"/>
      <c r="H22" s="30"/>
      <c r="I22" s="29"/>
      <c r="J22" s="29"/>
      <c r="K22" s="29"/>
      <c r="L22" s="29"/>
      <c r="M22" s="29"/>
      <c r="N22" s="33"/>
      <c r="O22" s="33"/>
      <c r="P22" s="33"/>
      <c r="Q22" s="2"/>
      <c r="R22" s="2"/>
    </row>
    <row r="23" ht="18.75" customHeight="1">
      <c r="A23" s="2"/>
      <c r="B23" s="2"/>
      <c r="C23" s="3"/>
      <c r="D23" s="3"/>
      <c r="E23" s="2"/>
      <c r="F23" s="2"/>
      <c r="G23" s="34">
        <f t="shared" ref="G23:H23" si="1">SUM(G4:G22)</f>
        <v>1300000</v>
      </c>
      <c r="H23" s="35">
        <f t="shared" si="1"/>
        <v>2220000</v>
      </c>
      <c r="I23" s="2"/>
      <c r="J23" s="2"/>
      <c r="K23" s="2"/>
      <c r="L23" s="2"/>
      <c r="M23" s="2"/>
      <c r="N23" s="2"/>
      <c r="O23" s="2"/>
      <c r="P23" s="2"/>
      <c r="Q23" s="2"/>
      <c r="R23" s="2"/>
    </row>
    <row r="24" ht="23.25" customHeight="1">
      <c r="A24" s="2"/>
      <c r="B24" s="2"/>
      <c r="C24" s="3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>
      <c r="A25" s="2"/>
      <c r="B25" s="2"/>
      <c r="C25" s="3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>
      <c r="A26" s="2"/>
      <c r="B26" s="36" t="s">
        <v>1</v>
      </c>
      <c r="C26" s="37" t="s">
        <v>7</v>
      </c>
      <c r="D26" s="37" t="s">
        <v>45</v>
      </c>
      <c r="E26" s="1"/>
      <c r="F26" s="2"/>
      <c r="G26" s="2"/>
      <c r="H26" s="2"/>
      <c r="I26" s="2"/>
      <c r="J26" s="2"/>
      <c r="K26" s="2"/>
      <c r="L26" s="2"/>
      <c r="M26" s="2"/>
      <c r="N26" s="37" t="s">
        <v>46</v>
      </c>
      <c r="O26" s="37" t="s">
        <v>2</v>
      </c>
      <c r="P26" s="2"/>
      <c r="Q26" s="2"/>
      <c r="R26" s="2"/>
    </row>
    <row r="27">
      <c r="A27" s="2"/>
      <c r="B27" s="38">
        <v>1.0</v>
      </c>
      <c r="C27" s="39" t="s">
        <v>47</v>
      </c>
      <c r="D27" s="40">
        <f>SUM(G23)</f>
        <v>1300000</v>
      </c>
      <c r="E27" s="41"/>
      <c r="F27" s="2"/>
      <c r="G27" s="2"/>
      <c r="H27" s="2"/>
      <c r="I27" s="2"/>
      <c r="J27" s="2"/>
      <c r="K27" s="2"/>
      <c r="L27" s="2"/>
      <c r="M27" s="2"/>
      <c r="N27" s="42" t="s">
        <v>48</v>
      </c>
      <c r="O27" s="23" t="s">
        <v>33</v>
      </c>
      <c r="P27" s="2"/>
      <c r="Q27" s="2"/>
      <c r="R27" s="2"/>
    </row>
    <row r="28">
      <c r="A28" s="2"/>
      <c r="B28" s="43">
        <v>2.0</v>
      </c>
      <c r="C28" s="44" t="s">
        <v>49</v>
      </c>
      <c r="D28" s="45">
        <v>-144000.0</v>
      </c>
      <c r="E28" s="46"/>
      <c r="F28" s="2"/>
      <c r="G28" s="2"/>
      <c r="H28" s="2"/>
      <c r="I28" s="2"/>
      <c r="J28" s="2"/>
      <c r="K28" s="2"/>
      <c r="L28" s="2"/>
      <c r="M28" s="2"/>
      <c r="N28" s="47" t="s">
        <v>50</v>
      </c>
      <c r="O28" s="48" t="s">
        <v>33</v>
      </c>
      <c r="P28" s="2"/>
      <c r="Q28" s="2"/>
      <c r="R28" s="2"/>
    </row>
    <row r="29">
      <c r="A29" s="2"/>
      <c r="B29" s="38">
        <v>3.0</v>
      </c>
      <c r="C29" s="39" t="s">
        <v>76</v>
      </c>
      <c r="D29" s="49">
        <v>-150000.0</v>
      </c>
      <c r="E29" s="46"/>
      <c r="F29" s="2"/>
      <c r="G29" s="2"/>
      <c r="H29" s="2"/>
      <c r="I29" s="2"/>
      <c r="J29" s="2"/>
      <c r="K29" s="2"/>
      <c r="L29" s="2"/>
      <c r="M29" s="2"/>
      <c r="N29" s="50" t="s">
        <v>52</v>
      </c>
      <c r="O29" s="25" t="s">
        <v>34</v>
      </c>
      <c r="P29" s="2"/>
      <c r="Q29" s="2"/>
      <c r="R29" s="2"/>
    </row>
    <row r="30">
      <c r="A30" s="2"/>
      <c r="B30" s="43">
        <v>4.0</v>
      </c>
      <c r="C30" s="44" t="s">
        <v>486</v>
      </c>
      <c r="D30" s="45">
        <v>-26000.0</v>
      </c>
      <c r="E30" s="46"/>
      <c r="F30" s="2"/>
      <c r="G30" s="2"/>
      <c r="H30" s="2"/>
      <c r="I30" s="2"/>
      <c r="J30" s="2"/>
      <c r="K30" s="2"/>
      <c r="L30" s="2"/>
      <c r="M30" s="2"/>
      <c r="N30" s="51" t="s">
        <v>54</v>
      </c>
      <c r="O30" s="48" t="s">
        <v>127</v>
      </c>
      <c r="P30" s="2"/>
      <c r="Q30" s="2"/>
      <c r="R30" s="2"/>
    </row>
    <row r="31">
      <c r="A31" s="2"/>
      <c r="B31" s="38"/>
      <c r="C31" s="39" t="s">
        <v>487</v>
      </c>
      <c r="D31" s="49">
        <v>-80000.0</v>
      </c>
      <c r="E31" s="41"/>
      <c r="F31" s="2"/>
      <c r="G31" s="2"/>
      <c r="H31" s="2"/>
      <c r="I31" s="2"/>
      <c r="J31" s="2"/>
      <c r="K31" s="2"/>
      <c r="L31" s="2"/>
      <c r="M31" s="2"/>
      <c r="N31" s="53"/>
      <c r="O31" s="2"/>
      <c r="P31" s="2"/>
      <c r="Q31" s="2"/>
      <c r="R31" s="2"/>
    </row>
    <row r="32">
      <c r="A32" s="2"/>
      <c r="B32" s="43"/>
      <c r="C32" s="44" t="s">
        <v>488</v>
      </c>
      <c r="D32" s="45">
        <v>-50000.0</v>
      </c>
      <c r="E32" s="4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2"/>
      <c r="B33" s="38"/>
      <c r="C33" s="39" t="s">
        <v>53</v>
      </c>
      <c r="D33" s="49">
        <v>-100000.0</v>
      </c>
      <c r="E33" s="4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2"/>
      <c r="B34" s="43"/>
      <c r="C34" s="54"/>
      <c r="D34" s="55"/>
      <c r="E34" s="4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2"/>
      <c r="B35" s="38"/>
      <c r="C35" s="52"/>
      <c r="D35" s="40"/>
      <c r="E35" s="4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2"/>
      <c r="B36" s="43"/>
      <c r="C36" s="54"/>
      <c r="D36" s="55"/>
      <c r="E36" s="4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/>
      <c r="B37" s="56"/>
      <c r="C37" s="57"/>
      <c r="D37" s="58"/>
      <c r="E37" s="4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2"/>
      <c r="C38" s="3"/>
      <c r="D38" s="59">
        <f>SUM(D27:D37)</f>
        <v>750000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2"/>
      <c r="C39" s="3"/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2"/>
      <c r="C40" s="3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2"/>
      <c r="C41" s="3"/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2"/>
      <c r="B42" s="2"/>
      <c r="C42" s="3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D4:D22">
      <formula1>"-,Single,Couple A,Couple B,Group A,Group B,Group C,Large Group,Graduation,Graduation Premium,Family A,Family B,Maternity,Concept,Studio Rent,Pas Foto,Single,Add Person ,Add Edit,Frame 16R"</formula1>
    </dataValidation>
    <dataValidation type="list" allowBlank="1" showDropDown="1" showErrorMessage="1" sqref="M4:M22 O29:O30">
      <formula1>"-,VERO,FADEL,ADIF ,HANIF "</formula1>
    </dataValidation>
    <dataValidation type="list" allowBlank="1" showDropDown="1" showErrorMessage="1" sqref="L4:L22 O27:O28">
      <formula1>"-,JIJANG,AXEL,ADDEL ,FAHME"</formula1>
    </dataValidation>
    <dataValidation type="list" allowBlank="1" showErrorMessage="1" sqref="N4:N22">
      <formula1>"-,Pending,Progress,Uploaded"</formula1>
    </dataValidation>
    <dataValidation type="list" allowBlank="1" showErrorMessage="1" sqref="O4:O22">
      <formula1>"-,In Pikako,In Foxe"</formula1>
    </dataValidation>
    <dataValidation type="list" allowBlank="1" showDropDown="1" showErrorMessage="1" sqref="I4:I22">
      <formula1>"-,DP,Lunas"</formula1>
    </dataValidation>
    <dataValidation type="list" allowBlank="1" showDropDown="1" showErrorMessage="1" sqref="J4:K22">
      <formula1>"-,Pending,Uploaded"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>
        <v>2.0</v>
      </c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 t="s">
        <v>484</v>
      </c>
      <c r="D4" s="17" t="s">
        <v>20</v>
      </c>
      <c r="E4" s="18"/>
      <c r="F4" s="19">
        <v>46198.0</v>
      </c>
      <c r="G4" s="20"/>
      <c r="H4" s="21">
        <v>100000.0</v>
      </c>
      <c r="I4" s="22" t="s">
        <v>25</v>
      </c>
      <c r="J4" s="22" t="s">
        <v>26</v>
      </c>
      <c r="K4" s="22" t="s">
        <v>30</v>
      </c>
      <c r="L4" s="22" t="s">
        <v>22</v>
      </c>
      <c r="M4" s="22" t="s">
        <v>62</v>
      </c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 t="s">
        <v>489</v>
      </c>
      <c r="D5" s="17" t="s">
        <v>263</v>
      </c>
      <c r="E5" s="18"/>
      <c r="F5" s="19">
        <v>46182.0</v>
      </c>
      <c r="G5" s="20"/>
      <c r="H5" s="21">
        <v>20000.0</v>
      </c>
      <c r="I5" s="22" t="s">
        <v>25</v>
      </c>
      <c r="J5" s="22"/>
      <c r="K5" s="22"/>
      <c r="L5" s="22" t="s">
        <v>22</v>
      </c>
      <c r="M5" s="22"/>
      <c r="N5" s="25"/>
      <c r="O5" s="25"/>
      <c r="P5" s="26"/>
      <c r="Q5" s="2"/>
      <c r="R5" s="2"/>
    </row>
    <row r="6">
      <c r="A6" s="2"/>
      <c r="B6" s="15">
        <v>3.0</v>
      </c>
      <c r="C6" s="16" t="s">
        <v>147</v>
      </c>
      <c r="D6" s="17" t="s">
        <v>58</v>
      </c>
      <c r="E6" s="18" t="s">
        <v>490</v>
      </c>
      <c r="F6" s="27">
        <v>46198.0</v>
      </c>
      <c r="G6" s="28"/>
      <c r="H6" s="21">
        <v>300000.0</v>
      </c>
      <c r="I6" s="22" t="s">
        <v>25</v>
      </c>
      <c r="J6" s="22" t="s">
        <v>26</v>
      </c>
      <c r="K6" s="22" t="s">
        <v>26</v>
      </c>
      <c r="L6" s="22" t="s">
        <v>22</v>
      </c>
      <c r="M6" s="22" t="s">
        <v>62</v>
      </c>
      <c r="N6" s="25"/>
      <c r="O6" s="25"/>
      <c r="P6" s="26"/>
      <c r="Q6" s="2"/>
      <c r="R6" s="2"/>
    </row>
    <row r="7">
      <c r="A7" s="2"/>
      <c r="B7" s="15">
        <v>4.0</v>
      </c>
      <c r="C7" s="16" t="s">
        <v>153</v>
      </c>
      <c r="D7" s="17" t="s">
        <v>20</v>
      </c>
      <c r="E7" s="18"/>
      <c r="F7" s="27">
        <v>46198.0</v>
      </c>
      <c r="G7" s="20"/>
      <c r="H7" s="21">
        <v>400000.0</v>
      </c>
      <c r="I7" s="22" t="s">
        <v>25</v>
      </c>
      <c r="J7" s="22" t="s">
        <v>26</v>
      </c>
      <c r="K7" s="22" t="s">
        <v>26</v>
      </c>
      <c r="L7" s="22" t="s">
        <v>22</v>
      </c>
      <c r="M7" s="22" t="s">
        <v>62</v>
      </c>
      <c r="N7" s="25"/>
      <c r="O7" s="25"/>
      <c r="P7" s="26"/>
      <c r="Q7" s="2"/>
      <c r="R7" s="2"/>
    </row>
    <row r="8">
      <c r="A8" s="2"/>
      <c r="B8" s="15">
        <v>5.0</v>
      </c>
      <c r="C8" s="16" t="s">
        <v>491</v>
      </c>
      <c r="D8" s="17" t="s">
        <v>263</v>
      </c>
      <c r="E8" s="18"/>
      <c r="F8" s="27">
        <v>46190.0</v>
      </c>
      <c r="G8" s="20"/>
      <c r="H8" s="21">
        <v>20000.0</v>
      </c>
      <c r="I8" s="22" t="s">
        <v>25</v>
      </c>
      <c r="J8" s="22"/>
      <c r="K8" s="22"/>
      <c r="L8" s="22" t="s">
        <v>22</v>
      </c>
      <c r="M8" s="29"/>
      <c r="N8" s="25"/>
      <c r="O8" s="26"/>
      <c r="P8" s="26"/>
      <c r="Q8" s="2"/>
      <c r="R8" s="2"/>
    </row>
    <row r="9">
      <c r="A9" s="2"/>
      <c r="B9" s="15">
        <v>6.0</v>
      </c>
      <c r="C9" s="16" t="s">
        <v>492</v>
      </c>
      <c r="D9" s="17" t="s">
        <v>20</v>
      </c>
      <c r="E9" s="18"/>
      <c r="F9" s="27">
        <v>46198.0</v>
      </c>
      <c r="G9" s="20">
        <v>475000.0</v>
      </c>
      <c r="H9" s="30"/>
      <c r="I9" s="22" t="s">
        <v>25</v>
      </c>
      <c r="J9" s="22" t="s">
        <v>26</v>
      </c>
      <c r="K9" s="22" t="s">
        <v>30</v>
      </c>
      <c r="L9" s="22" t="s">
        <v>22</v>
      </c>
      <c r="M9" s="22" t="s">
        <v>62</v>
      </c>
      <c r="N9" s="25"/>
      <c r="O9" s="26"/>
      <c r="P9" s="26"/>
      <c r="Q9" s="2"/>
      <c r="R9" s="2"/>
    </row>
    <row r="10">
      <c r="A10" s="2"/>
      <c r="B10" s="15">
        <v>7.0</v>
      </c>
      <c r="C10" s="16" t="s">
        <v>493</v>
      </c>
      <c r="D10" s="17" t="s">
        <v>20</v>
      </c>
      <c r="E10" s="18"/>
      <c r="F10" s="27">
        <v>46198.0</v>
      </c>
      <c r="G10" s="20"/>
      <c r="H10" s="21">
        <v>625000.0</v>
      </c>
      <c r="I10" s="22" t="s">
        <v>25</v>
      </c>
      <c r="J10" s="22" t="s">
        <v>26</v>
      </c>
      <c r="K10" s="22" t="s">
        <v>26</v>
      </c>
      <c r="L10" s="22" t="s">
        <v>22</v>
      </c>
      <c r="M10" s="22" t="s">
        <v>62</v>
      </c>
      <c r="N10" s="25"/>
      <c r="O10" s="26"/>
      <c r="P10" s="26"/>
      <c r="Q10" s="2"/>
      <c r="R10" s="2"/>
    </row>
    <row r="11">
      <c r="A11" s="2"/>
      <c r="B11" s="15">
        <v>8.0</v>
      </c>
      <c r="C11" s="16" t="s">
        <v>477</v>
      </c>
      <c r="D11" s="17" t="s">
        <v>20</v>
      </c>
      <c r="E11" s="18"/>
      <c r="F11" s="27">
        <v>46198.0</v>
      </c>
      <c r="G11" s="20">
        <v>725000.0</v>
      </c>
      <c r="H11" s="30"/>
      <c r="I11" s="22" t="s">
        <v>25</v>
      </c>
      <c r="J11" s="22" t="s">
        <v>26</v>
      </c>
      <c r="K11" s="22" t="s">
        <v>30</v>
      </c>
      <c r="L11" s="22" t="s">
        <v>22</v>
      </c>
      <c r="M11" s="22" t="s">
        <v>27</v>
      </c>
      <c r="N11" s="25"/>
      <c r="O11" s="26"/>
      <c r="P11" s="26"/>
      <c r="Q11" s="2"/>
      <c r="R11" s="2"/>
    </row>
    <row r="12">
      <c r="A12" s="2"/>
      <c r="B12" s="15">
        <v>9.0</v>
      </c>
      <c r="C12" s="16" t="s">
        <v>494</v>
      </c>
      <c r="D12" s="17" t="s">
        <v>20</v>
      </c>
      <c r="E12" s="18"/>
      <c r="F12" s="27">
        <v>46202.0</v>
      </c>
      <c r="G12" s="20"/>
      <c r="H12" s="21">
        <v>100000.0</v>
      </c>
      <c r="I12" s="22" t="s">
        <v>21</v>
      </c>
      <c r="J12" s="22"/>
      <c r="K12" s="22"/>
      <c r="L12" s="22" t="s">
        <v>22</v>
      </c>
      <c r="M12" s="29"/>
      <c r="N12" s="25"/>
      <c r="O12" s="26"/>
      <c r="P12" s="26"/>
      <c r="Q12" s="2"/>
      <c r="R12" s="2"/>
    </row>
    <row r="13">
      <c r="A13" s="2"/>
      <c r="B13" s="15">
        <v>10.0</v>
      </c>
      <c r="C13" s="16" t="s">
        <v>495</v>
      </c>
      <c r="D13" s="17" t="s">
        <v>20</v>
      </c>
      <c r="E13" s="18"/>
      <c r="F13" s="27">
        <v>46198.0</v>
      </c>
      <c r="G13" s="20"/>
      <c r="H13" s="21">
        <v>100000.0</v>
      </c>
      <c r="I13" s="22" t="s">
        <v>25</v>
      </c>
      <c r="J13" s="22" t="s">
        <v>26</v>
      </c>
      <c r="K13" s="22" t="s">
        <v>26</v>
      </c>
      <c r="L13" s="22" t="s">
        <v>22</v>
      </c>
      <c r="M13" s="22" t="s">
        <v>27</v>
      </c>
      <c r="N13" s="25"/>
      <c r="O13" s="26"/>
      <c r="P13" s="26"/>
      <c r="Q13" s="2"/>
      <c r="R13" s="2"/>
    </row>
    <row r="14">
      <c r="A14" s="2"/>
      <c r="B14" s="31"/>
      <c r="C14" s="16" t="s">
        <v>471</v>
      </c>
      <c r="D14" s="17" t="s">
        <v>20</v>
      </c>
      <c r="E14" s="18"/>
      <c r="F14" s="27">
        <v>46198.0</v>
      </c>
      <c r="G14" s="20"/>
      <c r="H14" s="21">
        <v>75000.0</v>
      </c>
      <c r="I14" s="22" t="s">
        <v>25</v>
      </c>
      <c r="J14" s="22" t="s">
        <v>26</v>
      </c>
      <c r="K14" s="22" t="s">
        <v>26</v>
      </c>
      <c r="L14" s="22" t="s">
        <v>22</v>
      </c>
      <c r="M14" s="22" t="s">
        <v>27</v>
      </c>
      <c r="N14" s="25"/>
      <c r="O14" s="26"/>
      <c r="P14" s="26"/>
      <c r="Q14" s="2"/>
      <c r="R14" s="2"/>
    </row>
    <row r="15">
      <c r="A15" s="2"/>
      <c r="B15" s="31"/>
      <c r="C15" s="16" t="s">
        <v>496</v>
      </c>
      <c r="D15" s="17" t="s">
        <v>20</v>
      </c>
      <c r="E15" s="18"/>
      <c r="F15" s="27">
        <v>46200.0</v>
      </c>
      <c r="G15" s="20"/>
      <c r="H15" s="21">
        <v>100000.0</v>
      </c>
      <c r="I15" s="22" t="s">
        <v>21</v>
      </c>
      <c r="J15" s="22"/>
      <c r="K15" s="22"/>
      <c r="L15" s="22" t="s">
        <v>22</v>
      </c>
      <c r="M15" s="29"/>
      <c r="N15" s="25"/>
      <c r="O15" s="26"/>
      <c r="P15" s="26"/>
      <c r="Q15" s="2"/>
      <c r="R15" s="2"/>
    </row>
    <row r="16">
      <c r="A16" s="2"/>
      <c r="B16" s="31"/>
      <c r="C16" s="16" t="s">
        <v>467</v>
      </c>
      <c r="D16" s="17" t="s">
        <v>20</v>
      </c>
      <c r="E16" s="18"/>
      <c r="F16" s="27">
        <v>46198.0</v>
      </c>
      <c r="G16" s="20"/>
      <c r="H16" s="21">
        <v>225000.0</v>
      </c>
      <c r="I16" s="22" t="s">
        <v>25</v>
      </c>
      <c r="J16" s="22" t="s">
        <v>26</v>
      </c>
      <c r="K16" s="22" t="s">
        <v>30</v>
      </c>
      <c r="L16" s="22" t="s">
        <v>22</v>
      </c>
      <c r="M16" s="22" t="s">
        <v>27</v>
      </c>
      <c r="N16" s="25"/>
      <c r="O16" s="26"/>
      <c r="P16" s="26"/>
      <c r="Q16" s="2"/>
      <c r="R16" s="2"/>
    </row>
    <row r="17">
      <c r="A17" s="2"/>
      <c r="B17" s="31"/>
      <c r="C17" s="16" t="s">
        <v>497</v>
      </c>
      <c r="D17" s="17" t="s">
        <v>20</v>
      </c>
      <c r="E17" s="18"/>
      <c r="F17" s="27">
        <v>46198.0</v>
      </c>
      <c r="G17" s="20">
        <v>1000000.0</v>
      </c>
      <c r="H17" s="21">
        <v>300000.0</v>
      </c>
      <c r="I17" s="22" t="s">
        <v>25</v>
      </c>
      <c r="J17" s="22" t="s">
        <v>26</v>
      </c>
      <c r="K17" s="22" t="s">
        <v>30</v>
      </c>
      <c r="L17" s="22" t="s">
        <v>22</v>
      </c>
      <c r="M17" s="22" t="s">
        <v>27</v>
      </c>
      <c r="N17" s="25"/>
      <c r="O17" s="26"/>
      <c r="P17" s="26"/>
      <c r="Q17" s="2"/>
      <c r="R17" s="2"/>
    </row>
    <row r="18">
      <c r="A18" s="2"/>
      <c r="B18" s="31"/>
      <c r="C18" s="16" t="s">
        <v>498</v>
      </c>
      <c r="D18" s="17" t="s">
        <v>20</v>
      </c>
      <c r="E18" s="18"/>
      <c r="F18" s="27">
        <v>46199.0</v>
      </c>
      <c r="G18" s="20"/>
      <c r="H18" s="21">
        <v>100000.0</v>
      </c>
      <c r="I18" s="22" t="s">
        <v>21</v>
      </c>
      <c r="J18" s="22"/>
      <c r="K18" s="22"/>
      <c r="L18" s="22" t="s">
        <v>22</v>
      </c>
      <c r="M18" s="29"/>
      <c r="N18" s="25"/>
      <c r="O18" s="26"/>
      <c r="P18" s="26"/>
      <c r="Q18" s="2"/>
      <c r="R18" s="2"/>
    </row>
    <row r="19">
      <c r="A19" s="2"/>
      <c r="B19" s="31"/>
      <c r="C19" s="16" t="s">
        <v>499</v>
      </c>
      <c r="D19" s="17" t="s">
        <v>40</v>
      </c>
      <c r="E19" s="18"/>
      <c r="F19" s="27">
        <v>46207.0</v>
      </c>
      <c r="G19" s="20"/>
      <c r="H19" s="21">
        <v>100000.0</v>
      </c>
      <c r="I19" s="22" t="s">
        <v>21</v>
      </c>
      <c r="J19" s="22"/>
      <c r="K19" s="22"/>
      <c r="L19" s="22" t="s">
        <v>22</v>
      </c>
      <c r="M19" s="29"/>
      <c r="N19" s="25"/>
      <c r="O19" s="26"/>
      <c r="P19" s="26"/>
      <c r="Q19" s="2"/>
      <c r="R19" s="2"/>
    </row>
    <row r="20">
      <c r="A20" s="2"/>
      <c r="B20" s="31"/>
      <c r="C20" s="32"/>
      <c r="D20" s="17"/>
      <c r="E20" s="18"/>
      <c r="F20" s="31"/>
      <c r="G20" s="28"/>
      <c r="H20" s="30"/>
      <c r="I20" s="29"/>
      <c r="J20" s="29"/>
      <c r="K20" s="29"/>
      <c r="L20" s="29"/>
      <c r="M20" s="29"/>
      <c r="N20" s="33"/>
      <c r="O20" s="33"/>
      <c r="P20" s="33"/>
      <c r="Q20" s="2"/>
      <c r="R20" s="2"/>
    </row>
    <row r="21" ht="18.75" customHeight="1">
      <c r="A21" s="2"/>
      <c r="B21" s="2"/>
      <c r="C21" s="3"/>
      <c r="D21" s="3"/>
      <c r="E21" s="2"/>
      <c r="F21" s="2"/>
      <c r="G21" s="34">
        <f t="shared" ref="G21:H21" si="1">SUM(G4:G20)</f>
        <v>2200000</v>
      </c>
      <c r="H21" s="35">
        <f t="shared" si="1"/>
        <v>2565000</v>
      </c>
      <c r="I21" s="2"/>
      <c r="J21" s="2"/>
      <c r="K21" s="2"/>
      <c r="L21" s="2"/>
      <c r="M21" s="2"/>
      <c r="N21" s="2"/>
      <c r="O21" s="2"/>
      <c r="P21" s="2"/>
      <c r="Q21" s="2"/>
      <c r="R21" s="2"/>
    </row>
    <row r="22" ht="23.25" customHeight="1">
      <c r="A22" s="2"/>
      <c r="B22" s="2"/>
      <c r="C22" s="3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>
      <c r="A23" s="2"/>
      <c r="B23" s="2"/>
      <c r="C23" s="3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>
      <c r="A24" s="2"/>
      <c r="B24" s="36" t="s">
        <v>1</v>
      </c>
      <c r="C24" s="37" t="s">
        <v>7</v>
      </c>
      <c r="D24" s="37" t="s">
        <v>45</v>
      </c>
      <c r="E24" s="1"/>
      <c r="F24" s="2"/>
      <c r="G24" s="2"/>
      <c r="H24" s="2"/>
      <c r="I24" s="2"/>
      <c r="J24" s="2"/>
      <c r="K24" s="2"/>
      <c r="L24" s="2"/>
      <c r="M24" s="2"/>
      <c r="N24" s="37" t="s">
        <v>46</v>
      </c>
      <c r="O24" s="37" t="s">
        <v>2</v>
      </c>
      <c r="P24" s="2"/>
      <c r="Q24" s="2"/>
      <c r="R24" s="2"/>
    </row>
    <row r="25">
      <c r="A25" s="2"/>
      <c r="B25" s="38">
        <v>1.0</v>
      </c>
      <c r="C25" s="39" t="s">
        <v>47</v>
      </c>
      <c r="D25" s="40">
        <f>SUM(G21)</f>
        <v>2200000</v>
      </c>
      <c r="E25" s="41"/>
      <c r="F25" s="2"/>
      <c r="G25" s="2"/>
      <c r="H25" s="2"/>
      <c r="I25" s="2"/>
      <c r="J25" s="2"/>
      <c r="K25" s="2"/>
      <c r="L25" s="2"/>
      <c r="M25" s="2"/>
      <c r="N25" s="42" t="s">
        <v>48</v>
      </c>
      <c r="O25" s="23" t="s">
        <v>22</v>
      </c>
      <c r="P25" s="2"/>
      <c r="Q25" s="2"/>
      <c r="R25" s="2"/>
    </row>
    <row r="26">
      <c r="A26" s="2"/>
      <c r="B26" s="43">
        <v>2.0</v>
      </c>
      <c r="C26" s="44" t="s">
        <v>500</v>
      </c>
      <c r="D26" s="45">
        <v>-73000.0</v>
      </c>
      <c r="E26" s="46"/>
      <c r="F26" s="2"/>
      <c r="G26" s="2"/>
      <c r="H26" s="2"/>
      <c r="I26" s="2"/>
      <c r="J26" s="2"/>
      <c r="K26" s="2"/>
      <c r="L26" s="2"/>
      <c r="M26" s="2"/>
      <c r="N26" s="47" t="s">
        <v>50</v>
      </c>
      <c r="O26" s="48" t="s">
        <v>22</v>
      </c>
      <c r="P26" s="2"/>
      <c r="Q26" s="2"/>
      <c r="R26" s="2"/>
    </row>
    <row r="27">
      <c r="A27" s="2"/>
      <c r="B27" s="38">
        <v>3.0</v>
      </c>
      <c r="C27" s="39" t="s">
        <v>97</v>
      </c>
      <c r="D27" s="49">
        <v>-30000.0</v>
      </c>
      <c r="E27" s="46"/>
      <c r="F27" s="2"/>
      <c r="G27" s="2"/>
      <c r="H27" s="2"/>
      <c r="I27" s="2"/>
      <c r="J27" s="2"/>
      <c r="K27" s="2"/>
      <c r="L27" s="2"/>
      <c r="M27" s="2"/>
      <c r="N27" s="50" t="s">
        <v>52</v>
      </c>
      <c r="O27" s="25" t="s">
        <v>62</v>
      </c>
      <c r="P27" s="2"/>
      <c r="Q27" s="2"/>
      <c r="R27" s="2"/>
    </row>
    <row r="28">
      <c r="A28" s="2"/>
      <c r="B28" s="43">
        <v>4.0</v>
      </c>
      <c r="C28" s="44" t="s">
        <v>51</v>
      </c>
      <c r="D28" s="45">
        <v>-10000.0</v>
      </c>
      <c r="E28" s="46"/>
      <c r="F28" s="2"/>
      <c r="G28" s="2"/>
      <c r="H28" s="2"/>
      <c r="I28" s="2"/>
      <c r="J28" s="2"/>
      <c r="K28" s="2"/>
      <c r="L28" s="2"/>
      <c r="M28" s="2"/>
      <c r="N28" s="51" t="s">
        <v>54</v>
      </c>
      <c r="O28" s="48" t="s">
        <v>27</v>
      </c>
      <c r="P28" s="2"/>
      <c r="Q28" s="2"/>
      <c r="R28" s="2"/>
    </row>
    <row r="29">
      <c r="A29" s="2"/>
      <c r="B29" s="38"/>
      <c r="C29" s="39" t="s">
        <v>49</v>
      </c>
      <c r="D29" s="49">
        <v>-5000.0</v>
      </c>
      <c r="E29" s="41"/>
      <c r="F29" s="2"/>
      <c r="G29" s="2"/>
      <c r="H29" s="2"/>
      <c r="I29" s="2"/>
      <c r="J29" s="2"/>
      <c r="K29" s="2"/>
      <c r="L29" s="2"/>
      <c r="M29" s="2"/>
      <c r="N29" s="53"/>
      <c r="O29" s="2"/>
      <c r="P29" s="2"/>
      <c r="Q29" s="2"/>
      <c r="R29" s="2"/>
    </row>
    <row r="30">
      <c r="A30" s="2"/>
      <c r="B30" s="43"/>
      <c r="C30" s="44" t="s">
        <v>501</v>
      </c>
      <c r="D30" s="45">
        <v>-50000.0</v>
      </c>
      <c r="E30" s="4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>
      <c r="A31" s="2"/>
      <c r="B31" s="38"/>
      <c r="C31" s="39" t="s">
        <v>502</v>
      </c>
      <c r="D31" s="49">
        <v>-111000.0</v>
      </c>
      <c r="E31" s="4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2"/>
      <c r="B32" s="43"/>
      <c r="C32" s="54"/>
      <c r="D32" s="55"/>
      <c r="E32" s="4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2"/>
      <c r="B33" s="38"/>
      <c r="C33" s="52"/>
      <c r="D33" s="40"/>
      <c r="E33" s="4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2"/>
      <c r="B34" s="43"/>
      <c r="C34" s="54"/>
      <c r="D34" s="55"/>
      <c r="E34" s="4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2"/>
      <c r="B35" s="56"/>
      <c r="C35" s="57"/>
      <c r="D35" s="58"/>
      <c r="E35" s="4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2"/>
      <c r="B36" s="2"/>
      <c r="C36" s="3"/>
      <c r="D36" s="59">
        <f>SUM(D25:D35)</f>
        <v>1921000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/>
      <c r="B37" s="2"/>
      <c r="C37" s="3"/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2"/>
      <c r="C38" s="3"/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2"/>
      <c r="C39" s="3"/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2"/>
      <c r="C40" s="3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0 O25:O26">
      <formula1>"-,JIJANG,AXEL,PENTIL,FAHME,INDAH"</formula1>
    </dataValidation>
    <dataValidation type="list" allowBlank="1" showDropDown="1" showErrorMessage="1" sqref="D4:D20">
      <formula1>"-,Single,Couple A,Couple B,Group A,Group B,Group C,Large Group,Graduation,Graduation Premium,Family A,Family B,Maternity,Concept,Studio Rent,Pas Foto,Single,Add Person ,Add Edit,Packing"</formula1>
    </dataValidation>
    <dataValidation type="list" allowBlank="1" showErrorMessage="1" sqref="N4:N20">
      <formula1>"-,Pending,Progress,Uploaded"</formula1>
    </dataValidation>
    <dataValidation type="list" allowBlank="1" showErrorMessage="1" sqref="O4:O20">
      <formula1>"-,In Pikako,In Foxe"</formula1>
    </dataValidation>
    <dataValidation type="list" allowBlank="1" showDropDown="1" showErrorMessage="1" sqref="I4:I20">
      <formula1>"-,DP,Lunas"</formula1>
    </dataValidation>
    <dataValidation type="list" allowBlank="1" showDropDown="1" showErrorMessage="1" sqref="J4:K20">
      <formula1>"-,Pending,Uploaded"</formula1>
    </dataValidation>
    <dataValidation type="list" allowBlank="1" showDropDown="1" showErrorMessage="1" sqref="M4:M20 O27:O28">
      <formula1>"-,VERO,FADEL,PENTIL,FAHME,ADIF,HANIF"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>
        <v>2.0</v>
      </c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 t="s">
        <v>503</v>
      </c>
      <c r="D4" s="17" t="s">
        <v>20</v>
      </c>
      <c r="E4" s="18"/>
      <c r="F4" s="19">
        <v>46205.0</v>
      </c>
      <c r="G4" s="20"/>
      <c r="H4" s="21">
        <v>100000.0</v>
      </c>
      <c r="I4" s="22" t="s">
        <v>21</v>
      </c>
      <c r="J4" s="22"/>
      <c r="K4" s="22"/>
      <c r="L4" s="22" t="s">
        <v>33</v>
      </c>
      <c r="M4" s="22"/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 t="s">
        <v>504</v>
      </c>
      <c r="D5" s="17" t="s">
        <v>38</v>
      </c>
      <c r="E5" s="18"/>
      <c r="F5" s="19">
        <v>46199.0</v>
      </c>
      <c r="G5" s="20"/>
      <c r="H5" s="21">
        <v>100000.0</v>
      </c>
      <c r="I5" s="22" t="s">
        <v>21</v>
      </c>
      <c r="J5" s="22"/>
      <c r="K5" s="22"/>
      <c r="L5" s="22" t="s">
        <v>33</v>
      </c>
      <c r="M5" s="22"/>
      <c r="N5" s="25"/>
      <c r="O5" s="25"/>
      <c r="P5" s="26"/>
      <c r="Q5" s="2"/>
      <c r="R5" s="2"/>
    </row>
    <row r="6">
      <c r="A6" s="2"/>
      <c r="B6" s="15">
        <v>3.0</v>
      </c>
      <c r="C6" s="16" t="s">
        <v>424</v>
      </c>
      <c r="D6" s="17" t="s">
        <v>20</v>
      </c>
      <c r="E6" s="18"/>
      <c r="F6" s="27">
        <v>46200.0</v>
      </c>
      <c r="G6" s="28"/>
      <c r="H6" s="21">
        <v>100000.0</v>
      </c>
      <c r="I6" s="22" t="s">
        <v>21</v>
      </c>
      <c r="J6" s="22"/>
      <c r="K6" s="22"/>
      <c r="L6" s="22" t="s">
        <v>33</v>
      </c>
      <c r="M6" s="29"/>
      <c r="N6" s="25"/>
      <c r="O6" s="25"/>
      <c r="P6" s="26"/>
      <c r="Q6" s="2"/>
      <c r="R6" s="2"/>
    </row>
    <row r="7">
      <c r="A7" s="2"/>
      <c r="B7" s="15">
        <v>4.0</v>
      </c>
      <c r="C7" s="16" t="s">
        <v>505</v>
      </c>
      <c r="D7" s="17" t="s">
        <v>38</v>
      </c>
      <c r="E7" s="18"/>
      <c r="F7" s="27">
        <v>46200.0</v>
      </c>
      <c r="G7" s="20"/>
      <c r="H7" s="21">
        <v>100000.0</v>
      </c>
      <c r="I7" s="22" t="s">
        <v>21</v>
      </c>
      <c r="J7" s="22"/>
      <c r="K7" s="22"/>
      <c r="L7" s="22" t="s">
        <v>33</v>
      </c>
      <c r="M7" s="29"/>
      <c r="N7" s="25"/>
      <c r="O7" s="25"/>
      <c r="P7" s="26"/>
      <c r="Q7" s="2"/>
      <c r="R7" s="2"/>
    </row>
    <row r="8">
      <c r="A8" s="2"/>
      <c r="B8" s="15">
        <v>5.0</v>
      </c>
      <c r="C8" s="16" t="s">
        <v>504</v>
      </c>
      <c r="D8" s="17" t="s">
        <v>38</v>
      </c>
      <c r="E8" s="18"/>
      <c r="F8" s="27">
        <v>46189.0</v>
      </c>
      <c r="G8" s="20"/>
      <c r="H8" s="21">
        <v>100000.0</v>
      </c>
      <c r="I8" s="22" t="s">
        <v>25</v>
      </c>
      <c r="J8" s="22" t="s">
        <v>26</v>
      </c>
      <c r="K8" s="22" t="s">
        <v>30</v>
      </c>
      <c r="L8" s="22" t="s">
        <v>33</v>
      </c>
      <c r="M8" s="22" t="s">
        <v>34</v>
      </c>
      <c r="N8" s="25"/>
      <c r="O8" s="26"/>
      <c r="P8" s="26"/>
      <c r="Q8" s="2"/>
      <c r="R8" s="2"/>
    </row>
    <row r="9">
      <c r="A9" s="2"/>
      <c r="B9" s="15">
        <v>6.0</v>
      </c>
      <c r="C9" s="16" t="s">
        <v>453</v>
      </c>
      <c r="D9" s="17" t="s">
        <v>20</v>
      </c>
      <c r="E9" s="18"/>
      <c r="F9" s="80">
        <v>46199.0</v>
      </c>
      <c r="G9" s="20"/>
      <c r="H9" s="21">
        <v>400000.0</v>
      </c>
      <c r="I9" s="22" t="s">
        <v>25</v>
      </c>
      <c r="J9" s="22" t="s">
        <v>26</v>
      </c>
      <c r="K9" s="22" t="s">
        <v>26</v>
      </c>
      <c r="L9" s="22" t="s">
        <v>33</v>
      </c>
      <c r="M9" s="22" t="s">
        <v>34</v>
      </c>
      <c r="N9" s="25"/>
      <c r="O9" s="26"/>
      <c r="P9" s="26"/>
      <c r="Q9" s="2"/>
      <c r="R9" s="2"/>
    </row>
    <row r="10">
      <c r="A10" s="2"/>
      <c r="B10" s="15">
        <v>7.0</v>
      </c>
      <c r="C10" s="16" t="s">
        <v>506</v>
      </c>
      <c r="D10" s="17" t="s">
        <v>20</v>
      </c>
      <c r="E10" s="18" t="s">
        <v>43</v>
      </c>
      <c r="F10" s="27">
        <v>46199.0</v>
      </c>
      <c r="G10" s="20"/>
      <c r="H10" s="21">
        <v>350000.0</v>
      </c>
      <c r="I10" s="22" t="s">
        <v>25</v>
      </c>
      <c r="J10" s="22" t="s">
        <v>26</v>
      </c>
      <c r="K10" s="22" t="s">
        <v>26</v>
      </c>
      <c r="L10" s="22" t="s">
        <v>33</v>
      </c>
      <c r="M10" s="22" t="s">
        <v>34</v>
      </c>
      <c r="N10" s="25"/>
      <c r="O10" s="26"/>
      <c r="P10" s="26"/>
      <c r="Q10" s="2"/>
      <c r="R10" s="2"/>
    </row>
    <row r="11">
      <c r="A11" s="2"/>
      <c r="B11" s="15">
        <v>8.0</v>
      </c>
      <c r="C11" s="16" t="s">
        <v>507</v>
      </c>
      <c r="D11" s="17" t="s">
        <v>92</v>
      </c>
      <c r="E11" s="18" t="s">
        <v>43</v>
      </c>
      <c r="F11" s="27">
        <v>46199.0</v>
      </c>
      <c r="G11" s="20"/>
      <c r="H11" s="21">
        <v>100000.0</v>
      </c>
      <c r="I11" s="22" t="s">
        <v>25</v>
      </c>
      <c r="J11" s="22" t="s">
        <v>26</v>
      </c>
      <c r="K11" s="22" t="s">
        <v>30</v>
      </c>
      <c r="L11" s="22" t="s">
        <v>33</v>
      </c>
      <c r="M11" s="22" t="s">
        <v>34</v>
      </c>
      <c r="N11" s="25"/>
      <c r="O11" s="26"/>
      <c r="P11" s="26"/>
      <c r="Q11" s="2"/>
      <c r="R11" s="2"/>
    </row>
    <row r="12">
      <c r="A12" s="2"/>
      <c r="B12" s="15">
        <v>9.0</v>
      </c>
      <c r="C12" s="16" t="s">
        <v>268</v>
      </c>
      <c r="D12" s="17" t="s">
        <v>20</v>
      </c>
      <c r="E12" s="18"/>
      <c r="F12" s="27">
        <v>46199.0</v>
      </c>
      <c r="G12" s="20"/>
      <c r="H12" s="21">
        <v>75000.0</v>
      </c>
      <c r="I12" s="22" t="s">
        <v>25</v>
      </c>
      <c r="J12" s="22" t="s">
        <v>26</v>
      </c>
      <c r="K12" s="22" t="s">
        <v>26</v>
      </c>
      <c r="L12" s="22" t="s">
        <v>33</v>
      </c>
      <c r="M12" s="22" t="s">
        <v>34</v>
      </c>
      <c r="N12" s="25"/>
      <c r="O12" s="26"/>
      <c r="P12" s="26"/>
      <c r="Q12" s="2"/>
      <c r="R12" s="2"/>
    </row>
    <row r="13">
      <c r="A13" s="2"/>
      <c r="B13" s="15">
        <v>10.0</v>
      </c>
      <c r="C13" s="16" t="s">
        <v>508</v>
      </c>
      <c r="D13" s="17" t="s">
        <v>92</v>
      </c>
      <c r="E13" s="18" t="s">
        <v>43</v>
      </c>
      <c r="F13" s="27">
        <v>46199.0</v>
      </c>
      <c r="G13" s="20"/>
      <c r="H13" s="21">
        <v>150000.0</v>
      </c>
      <c r="I13" s="22" t="s">
        <v>25</v>
      </c>
      <c r="J13" s="22" t="s">
        <v>26</v>
      </c>
      <c r="K13" s="22" t="s">
        <v>30</v>
      </c>
      <c r="L13" s="22" t="s">
        <v>33</v>
      </c>
      <c r="M13" s="22" t="s">
        <v>34</v>
      </c>
      <c r="N13" s="25"/>
      <c r="O13" s="26"/>
      <c r="P13" s="26"/>
      <c r="Q13" s="2"/>
      <c r="R13" s="2"/>
    </row>
    <row r="14">
      <c r="A14" s="2"/>
      <c r="B14" s="31"/>
      <c r="C14" s="16" t="s">
        <v>264</v>
      </c>
      <c r="D14" s="17" t="s">
        <v>263</v>
      </c>
      <c r="E14" s="18"/>
      <c r="F14" s="27">
        <v>46199.0</v>
      </c>
      <c r="G14" s="20"/>
      <c r="H14" s="21">
        <v>20000.0</v>
      </c>
      <c r="I14" s="22" t="s">
        <v>25</v>
      </c>
      <c r="J14" s="22"/>
      <c r="K14" s="22"/>
      <c r="L14" s="22" t="s">
        <v>33</v>
      </c>
      <c r="M14" s="29"/>
      <c r="N14" s="25"/>
      <c r="O14" s="26"/>
      <c r="P14" s="26"/>
      <c r="Q14" s="2"/>
      <c r="R14" s="2"/>
    </row>
    <row r="15">
      <c r="A15" s="2"/>
      <c r="B15" s="31"/>
      <c r="C15" s="16" t="s">
        <v>509</v>
      </c>
      <c r="D15" s="17" t="s">
        <v>20</v>
      </c>
      <c r="E15" s="18"/>
      <c r="F15" s="27">
        <v>46208.0</v>
      </c>
      <c r="G15" s="20"/>
      <c r="H15" s="21">
        <v>100000.0</v>
      </c>
      <c r="I15" s="22" t="s">
        <v>21</v>
      </c>
      <c r="J15" s="22"/>
      <c r="K15" s="22"/>
      <c r="L15" s="22" t="s">
        <v>33</v>
      </c>
      <c r="M15" s="29"/>
      <c r="N15" s="25"/>
      <c r="O15" s="26"/>
      <c r="P15" s="26"/>
      <c r="Q15" s="2"/>
      <c r="R15" s="2"/>
    </row>
    <row r="16">
      <c r="A16" s="2"/>
      <c r="B16" s="31"/>
      <c r="C16" s="16" t="s">
        <v>498</v>
      </c>
      <c r="D16" s="17" t="s">
        <v>20</v>
      </c>
      <c r="E16" s="18"/>
      <c r="F16" s="27">
        <v>46199.0</v>
      </c>
      <c r="G16" s="20"/>
      <c r="H16" s="21">
        <v>125000.0</v>
      </c>
      <c r="I16" s="22" t="s">
        <v>25</v>
      </c>
      <c r="J16" s="22" t="s">
        <v>26</v>
      </c>
      <c r="K16" s="22" t="s">
        <v>26</v>
      </c>
      <c r="L16" s="22" t="s">
        <v>33</v>
      </c>
      <c r="M16" s="22" t="s">
        <v>127</v>
      </c>
      <c r="N16" s="25"/>
      <c r="O16" s="26"/>
      <c r="P16" s="26"/>
      <c r="Q16" s="2"/>
      <c r="R16" s="2"/>
    </row>
    <row r="17">
      <c r="A17" s="2"/>
      <c r="B17" s="31"/>
      <c r="C17" s="16" t="s">
        <v>510</v>
      </c>
      <c r="D17" s="17" t="s">
        <v>263</v>
      </c>
      <c r="E17" s="18"/>
      <c r="F17" s="27">
        <v>46199.0</v>
      </c>
      <c r="G17" s="20"/>
      <c r="H17" s="21">
        <v>20000.0</v>
      </c>
      <c r="I17" s="22" t="s">
        <v>25</v>
      </c>
      <c r="J17" s="22"/>
      <c r="K17" s="22"/>
      <c r="L17" s="22" t="s">
        <v>33</v>
      </c>
      <c r="M17" s="29"/>
      <c r="N17" s="25"/>
      <c r="O17" s="26"/>
      <c r="P17" s="26"/>
      <c r="Q17" s="2"/>
      <c r="R17" s="2"/>
    </row>
    <row r="18">
      <c r="A18" s="2"/>
      <c r="B18" s="31"/>
      <c r="C18" s="32"/>
      <c r="D18" s="17"/>
      <c r="E18" s="18"/>
      <c r="F18" s="31"/>
      <c r="G18" s="28"/>
      <c r="H18" s="30"/>
      <c r="I18" s="29"/>
      <c r="J18" s="29"/>
      <c r="K18" s="29"/>
      <c r="L18" s="29"/>
      <c r="M18" s="29"/>
      <c r="N18" s="33"/>
      <c r="O18" s="33"/>
      <c r="P18" s="33"/>
      <c r="Q18" s="2"/>
      <c r="R18" s="2"/>
    </row>
    <row r="19" ht="18.75" customHeight="1">
      <c r="A19" s="2"/>
      <c r="B19" s="2"/>
      <c r="C19" s="3"/>
      <c r="D19" s="3"/>
      <c r="E19" s="2"/>
      <c r="F19" s="2"/>
      <c r="G19" s="34">
        <f t="shared" ref="G19:H19" si="1">SUM(G4:G18)</f>
        <v>0</v>
      </c>
      <c r="H19" s="35">
        <f t="shared" si="1"/>
        <v>1840000</v>
      </c>
      <c r="I19" s="2"/>
      <c r="J19" s="2"/>
      <c r="K19" s="2"/>
      <c r="L19" s="2"/>
      <c r="M19" s="2"/>
      <c r="N19" s="2"/>
      <c r="O19" s="2"/>
      <c r="P19" s="2"/>
      <c r="Q19" s="2"/>
      <c r="R19" s="2"/>
    </row>
    <row r="20" ht="23.25" customHeight="1">
      <c r="A20" s="2"/>
      <c r="B20" s="2"/>
      <c r="C20" s="3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>
      <c r="A21" s="2"/>
      <c r="B21" s="2"/>
      <c r="C21" s="3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>
      <c r="A22" s="2"/>
      <c r="B22" s="36" t="s">
        <v>1</v>
      </c>
      <c r="C22" s="37" t="s">
        <v>7</v>
      </c>
      <c r="D22" s="37" t="s">
        <v>45</v>
      </c>
      <c r="E22" s="1"/>
      <c r="F22" s="2"/>
      <c r="G22" s="2"/>
      <c r="H22" s="2"/>
      <c r="I22" s="2"/>
      <c r="J22" s="2"/>
      <c r="K22" s="2"/>
      <c r="L22" s="2"/>
      <c r="M22" s="2"/>
      <c r="N22" s="37" t="s">
        <v>46</v>
      </c>
      <c r="O22" s="37" t="s">
        <v>2</v>
      </c>
      <c r="P22" s="2"/>
      <c r="Q22" s="2"/>
      <c r="R22" s="2"/>
    </row>
    <row r="23">
      <c r="A23" s="2"/>
      <c r="B23" s="38">
        <v>1.0</v>
      </c>
      <c r="C23" s="39" t="s">
        <v>47</v>
      </c>
      <c r="D23" s="40">
        <f>SUM(G19)</f>
        <v>0</v>
      </c>
      <c r="E23" s="41"/>
      <c r="F23" s="2"/>
      <c r="G23" s="2"/>
      <c r="H23" s="2"/>
      <c r="I23" s="2"/>
      <c r="J23" s="2"/>
      <c r="K23" s="2"/>
      <c r="L23" s="2"/>
      <c r="M23" s="2"/>
      <c r="N23" s="42" t="s">
        <v>48</v>
      </c>
      <c r="O23" s="23" t="s">
        <v>33</v>
      </c>
      <c r="P23" s="2"/>
      <c r="Q23" s="2"/>
      <c r="R23" s="2"/>
    </row>
    <row r="24">
      <c r="A24" s="2"/>
      <c r="B24" s="43">
        <v>2.0</v>
      </c>
      <c r="C24" s="44"/>
      <c r="D24" s="45"/>
      <c r="E24" s="46"/>
      <c r="F24" s="2"/>
      <c r="G24" s="2"/>
      <c r="H24" s="2"/>
      <c r="I24" s="2"/>
      <c r="J24" s="2"/>
      <c r="K24" s="2"/>
      <c r="L24" s="2"/>
      <c r="M24" s="2"/>
      <c r="N24" s="47" t="s">
        <v>50</v>
      </c>
      <c r="O24" s="48" t="s">
        <v>33</v>
      </c>
      <c r="P24" s="2"/>
      <c r="Q24" s="2"/>
      <c r="R24" s="2"/>
    </row>
    <row r="25">
      <c r="A25" s="2"/>
      <c r="B25" s="38">
        <v>3.0</v>
      </c>
      <c r="C25" s="39"/>
      <c r="D25" s="49"/>
      <c r="E25" s="46"/>
      <c r="F25" s="2"/>
      <c r="G25" s="2"/>
      <c r="H25" s="2"/>
      <c r="I25" s="2"/>
      <c r="J25" s="2"/>
      <c r="K25" s="2"/>
      <c r="L25" s="2"/>
      <c r="M25" s="2"/>
      <c r="N25" s="50" t="s">
        <v>52</v>
      </c>
      <c r="O25" s="25" t="s">
        <v>34</v>
      </c>
      <c r="P25" s="2"/>
      <c r="Q25" s="2"/>
      <c r="R25" s="2"/>
    </row>
    <row r="26">
      <c r="A26" s="2"/>
      <c r="B26" s="43">
        <v>4.0</v>
      </c>
      <c r="C26" s="44"/>
      <c r="D26" s="45"/>
      <c r="E26" s="46"/>
      <c r="F26" s="2"/>
      <c r="G26" s="2"/>
      <c r="H26" s="2"/>
      <c r="I26" s="2"/>
      <c r="J26" s="2"/>
      <c r="K26" s="2"/>
      <c r="L26" s="2"/>
      <c r="M26" s="2"/>
      <c r="N26" s="51" t="s">
        <v>54</v>
      </c>
      <c r="O26" s="48" t="s">
        <v>127</v>
      </c>
      <c r="P26" s="2"/>
      <c r="Q26" s="2"/>
      <c r="R26" s="2"/>
    </row>
    <row r="27">
      <c r="A27" s="2"/>
      <c r="B27" s="38"/>
      <c r="C27" s="52"/>
      <c r="D27" s="40"/>
      <c r="E27" s="41"/>
      <c r="F27" s="2"/>
      <c r="G27" s="2"/>
      <c r="H27" s="2"/>
      <c r="I27" s="2"/>
      <c r="J27" s="2"/>
      <c r="K27" s="2"/>
      <c r="L27" s="2"/>
      <c r="M27" s="2"/>
      <c r="N27" s="53"/>
      <c r="O27" s="2"/>
      <c r="P27" s="2"/>
      <c r="Q27" s="2"/>
      <c r="R27" s="2"/>
    </row>
    <row r="28">
      <c r="A28" s="2"/>
      <c r="B28" s="43"/>
      <c r="C28" s="54"/>
      <c r="D28" s="55"/>
      <c r="E28" s="4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>
      <c r="A29" s="2"/>
      <c r="B29" s="38"/>
      <c r="C29" s="52"/>
      <c r="D29" s="40"/>
      <c r="E29" s="4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>
      <c r="A30" s="2"/>
      <c r="B30" s="43"/>
      <c r="C30" s="54"/>
      <c r="D30" s="55"/>
      <c r="E30" s="4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>
      <c r="A31" s="2"/>
      <c r="B31" s="38"/>
      <c r="C31" s="52"/>
      <c r="D31" s="40"/>
      <c r="E31" s="4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2"/>
      <c r="B32" s="43"/>
      <c r="C32" s="54"/>
      <c r="D32" s="55"/>
      <c r="E32" s="4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2"/>
      <c r="B33" s="56"/>
      <c r="C33" s="57"/>
      <c r="D33" s="58"/>
      <c r="E33" s="4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2"/>
      <c r="B34" s="2"/>
      <c r="C34" s="3"/>
      <c r="D34" s="59">
        <f>SUM(D23:D33)</f>
        <v>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2"/>
      <c r="B35" s="2"/>
      <c r="C35" s="3"/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2"/>
      <c r="B36" s="2"/>
      <c r="C36" s="3"/>
      <c r="D36" s="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/>
      <c r="B37" s="2"/>
      <c r="C37" s="3"/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2"/>
      <c r="C38" s="3"/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"-,JIJANG,AXEL,ADDEL ,FAHME"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M4:M18 O25:O26">
      <formula1>"-,VERO,HANIF ,ADIF ,FAHME"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Edit,Photofox,Packing"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>
        <v>2.0</v>
      </c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 t="s">
        <v>496</v>
      </c>
      <c r="D4" s="17" t="s">
        <v>20</v>
      </c>
      <c r="E4" s="18"/>
      <c r="F4" s="19">
        <v>46200.0</v>
      </c>
      <c r="G4" s="20">
        <v>75000.0</v>
      </c>
      <c r="H4" s="21"/>
      <c r="I4" s="22" t="s">
        <v>25</v>
      </c>
      <c r="J4" s="22" t="s">
        <v>26</v>
      </c>
      <c r="K4" s="22" t="s">
        <v>30</v>
      </c>
      <c r="L4" s="22" t="s">
        <v>33</v>
      </c>
      <c r="M4" s="22"/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 t="s">
        <v>511</v>
      </c>
      <c r="D5" s="17" t="s">
        <v>20</v>
      </c>
      <c r="E5" s="18"/>
      <c r="F5" s="19">
        <v>46200.0</v>
      </c>
      <c r="G5" s="20"/>
      <c r="H5" s="21">
        <v>200000.0</v>
      </c>
      <c r="I5" s="22" t="s">
        <v>25</v>
      </c>
      <c r="J5" s="22" t="s">
        <v>26</v>
      </c>
      <c r="K5" s="22" t="s">
        <v>26</v>
      </c>
      <c r="L5" s="22" t="s">
        <v>33</v>
      </c>
      <c r="M5" s="22" t="s">
        <v>127</v>
      </c>
      <c r="N5" s="25"/>
      <c r="O5" s="25"/>
      <c r="P5" s="26"/>
      <c r="Q5" s="2"/>
      <c r="R5" s="2"/>
    </row>
    <row r="6">
      <c r="A6" s="2"/>
      <c r="B6" s="15">
        <v>3.0</v>
      </c>
      <c r="C6" s="16" t="s">
        <v>424</v>
      </c>
      <c r="D6" s="17" t="s">
        <v>20</v>
      </c>
      <c r="E6" s="18"/>
      <c r="F6" s="27">
        <v>46200.0</v>
      </c>
      <c r="G6" s="28"/>
      <c r="H6" s="21">
        <v>225000.0</v>
      </c>
      <c r="I6" s="22" t="s">
        <v>25</v>
      </c>
      <c r="J6" s="22" t="s">
        <v>26</v>
      </c>
      <c r="K6" s="22" t="s">
        <v>30</v>
      </c>
      <c r="L6" s="22" t="s">
        <v>22</v>
      </c>
      <c r="M6" s="22" t="s">
        <v>127</v>
      </c>
      <c r="N6" s="25"/>
      <c r="O6" s="25"/>
      <c r="P6" s="26"/>
      <c r="Q6" s="2"/>
      <c r="R6" s="2"/>
    </row>
    <row r="7">
      <c r="A7" s="2"/>
      <c r="B7" s="15">
        <v>4.0</v>
      </c>
      <c r="C7" s="16" t="s">
        <v>466</v>
      </c>
      <c r="D7" s="17" t="s">
        <v>24</v>
      </c>
      <c r="E7" s="18"/>
      <c r="F7" s="27">
        <v>46200.0</v>
      </c>
      <c r="G7" s="20">
        <v>0.0</v>
      </c>
      <c r="H7" s="21">
        <v>0.0</v>
      </c>
      <c r="I7" s="22" t="s">
        <v>25</v>
      </c>
      <c r="J7" s="22" t="s">
        <v>26</v>
      </c>
      <c r="K7" s="22" t="s">
        <v>26</v>
      </c>
      <c r="L7" s="22" t="s">
        <v>22</v>
      </c>
      <c r="M7" s="22" t="s">
        <v>127</v>
      </c>
      <c r="N7" s="25"/>
      <c r="O7" s="25"/>
      <c r="P7" s="26"/>
      <c r="Q7" s="2"/>
      <c r="R7" s="2"/>
    </row>
    <row r="8">
      <c r="A8" s="2"/>
      <c r="B8" s="15">
        <v>5.0</v>
      </c>
      <c r="C8" s="16" t="s">
        <v>512</v>
      </c>
      <c r="D8" s="17" t="s">
        <v>20</v>
      </c>
      <c r="E8" s="18" t="s">
        <v>513</v>
      </c>
      <c r="F8" s="27">
        <v>46200.0</v>
      </c>
      <c r="G8" s="20"/>
      <c r="H8" s="21">
        <v>100000.0</v>
      </c>
      <c r="I8" s="22" t="s">
        <v>25</v>
      </c>
      <c r="J8" s="22" t="s">
        <v>26</v>
      </c>
      <c r="K8" s="22" t="s">
        <v>26</v>
      </c>
      <c r="L8" s="22" t="s">
        <v>22</v>
      </c>
      <c r="M8" s="22" t="s">
        <v>127</v>
      </c>
      <c r="N8" s="25"/>
      <c r="O8" s="26"/>
      <c r="P8" s="26"/>
      <c r="Q8" s="2"/>
      <c r="R8" s="2"/>
    </row>
    <row r="9">
      <c r="A9" s="2"/>
      <c r="B9" s="15">
        <v>6.0</v>
      </c>
      <c r="C9" s="16" t="s">
        <v>514</v>
      </c>
      <c r="D9" s="17" t="s">
        <v>20</v>
      </c>
      <c r="E9" s="18"/>
      <c r="F9" s="27">
        <v>46200.0</v>
      </c>
      <c r="G9" s="20"/>
      <c r="H9" s="21">
        <v>300000.0</v>
      </c>
      <c r="I9" s="22" t="s">
        <v>25</v>
      </c>
      <c r="J9" s="22" t="s">
        <v>26</v>
      </c>
      <c r="K9" s="22" t="s">
        <v>30</v>
      </c>
      <c r="L9" s="22" t="s">
        <v>22</v>
      </c>
      <c r="M9" s="22" t="s">
        <v>127</v>
      </c>
      <c r="N9" s="25"/>
      <c r="O9" s="26"/>
      <c r="P9" s="26"/>
      <c r="Q9" s="2"/>
      <c r="R9" s="2"/>
    </row>
    <row r="10">
      <c r="A10" s="2"/>
      <c r="B10" s="15">
        <v>7.0</v>
      </c>
      <c r="C10" s="16" t="s">
        <v>515</v>
      </c>
      <c r="D10" s="17" t="s">
        <v>42</v>
      </c>
      <c r="E10" s="18"/>
      <c r="F10" s="27">
        <v>46201.0</v>
      </c>
      <c r="G10" s="20"/>
      <c r="H10" s="21">
        <v>100000.0</v>
      </c>
      <c r="I10" s="22" t="s">
        <v>21</v>
      </c>
      <c r="J10" s="22"/>
      <c r="K10" s="22"/>
      <c r="L10" s="22" t="s">
        <v>22</v>
      </c>
      <c r="M10" s="29"/>
      <c r="N10" s="25"/>
      <c r="O10" s="26"/>
      <c r="P10" s="26"/>
      <c r="Q10" s="2"/>
      <c r="R10" s="2"/>
    </row>
    <row r="11">
      <c r="A11" s="2"/>
      <c r="B11" s="15">
        <v>8.0</v>
      </c>
      <c r="C11" s="16" t="s">
        <v>102</v>
      </c>
      <c r="D11" s="17" t="s">
        <v>38</v>
      </c>
      <c r="E11" s="18"/>
      <c r="F11" s="27">
        <v>46202.0</v>
      </c>
      <c r="G11" s="20"/>
      <c r="H11" s="21">
        <v>100000.0</v>
      </c>
      <c r="I11" s="22" t="s">
        <v>21</v>
      </c>
      <c r="J11" s="22"/>
      <c r="K11" s="22"/>
      <c r="L11" s="22" t="s">
        <v>22</v>
      </c>
      <c r="M11" s="29"/>
      <c r="N11" s="25"/>
      <c r="O11" s="26"/>
      <c r="P11" s="26"/>
      <c r="Q11" s="2"/>
      <c r="R11" s="2"/>
    </row>
    <row r="12">
      <c r="A12" s="2"/>
      <c r="B12" s="15">
        <v>9.0</v>
      </c>
      <c r="C12" s="16" t="s">
        <v>516</v>
      </c>
      <c r="D12" s="17" t="s">
        <v>20</v>
      </c>
      <c r="E12" s="18"/>
      <c r="F12" s="27">
        <v>46203.0</v>
      </c>
      <c r="G12" s="20"/>
      <c r="H12" s="21">
        <v>100000.0</v>
      </c>
      <c r="I12" s="22" t="s">
        <v>21</v>
      </c>
      <c r="J12" s="22"/>
      <c r="K12" s="22"/>
      <c r="L12" s="22" t="s">
        <v>22</v>
      </c>
      <c r="M12" s="29"/>
      <c r="N12" s="25"/>
      <c r="O12" s="26"/>
      <c r="P12" s="26"/>
      <c r="Q12" s="2"/>
      <c r="R12" s="2"/>
    </row>
    <row r="13">
      <c r="A13" s="2"/>
      <c r="B13" s="15">
        <v>10.0</v>
      </c>
      <c r="C13" s="16"/>
      <c r="D13" s="17"/>
      <c r="E13" s="18"/>
      <c r="F13" s="31"/>
      <c r="G13" s="20"/>
      <c r="H13" s="30"/>
      <c r="I13" s="22"/>
      <c r="J13" s="22"/>
      <c r="K13" s="22"/>
      <c r="L13" s="29"/>
      <c r="M13" s="29"/>
      <c r="N13" s="25"/>
      <c r="O13" s="26"/>
      <c r="P13" s="26"/>
      <c r="Q13" s="2"/>
      <c r="R13" s="2"/>
    </row>
    <row r="14">
      <c r="A14" s="2"/>
      <c r="B14" s="31"/>
      <c r="C14" s="16"/>
      <c r="D14" s="17"/>
      <c r="E14" s="18"/>
      <c r="F14" s="31"/>
      <c r="G14" s="20"/>
      <c r="H14" s="30"/>
      <c r="I14" s="22"/>
      <c r="J14" s="22"/>
      <c r="K14" s="22"/>
      <c r="L14" s="29"/>
      <c r="M14" s="29"/>
      <c r="N14" s="25"/>
      <c r="O14" s="26"/>
      <c r="P14" s="26"/>
      <c r="Q14" s="2"/>
      <c r="R14" s="2"/>
    </row>
    <row r="15">
      <c r="A15" s="2"/>
      <c r="B15" s="31"/>
      <c r="C15" s="16"/>
      <c r="D15" s="17"/>
      <c r="E15" s="18"/>
      <c r="F15" s="31"/>
      <c r="G15" s="20"/>
      <c r="H15" s="30"/>
      <c r="I15" s="22"/>
      <c r="J15" s="22"/>
      <c r="K15" s="22"/>
      <c r="L15" s="29"/>
      <c r="M15" s="29"/>
      <c r="N15" s="25"/>
      <c r="O15" s="26"/>
      <c r="P15" s="26"/>
      <c r="Q15" s="2"/>
      <c r="R15" s="2"/>
    </row>
    <row r="16">
      <c r="A16" s="2"/>
      <c r="B16" s="31"/>
      <c r="C16" s="16"/>
      <c r="D16" s="17"/>
      <c r="E16" s="18"/>
      <c r="F16" s="31"/>
      <c r="G16" s="20"/>
      <c r="H16" s="30"/>
      <c r="I16" s="22"/>
      <c r="J16" s="22"/>
      <c r="K16" s="22"/>
      <c r="L16" s="29"/>
      <c r="M16" s="29"/>
      <c r="N16" s="25"/>
      <c r="O16" s="26"/>
      <c r="P16" s="26"/>
      <c r="Q16" s="2"/>
      <c r="R16" s="2"/>
    </row>
    <row r="17">
      <c r="A17" s="2"/>
      <c r="B17" s="31"/>
      <c r="C17" s="16"/>
      <c r="D17" s="17"/>
      <c r="E17" s="18"/>
      <c r="F17" s="31"/>
      <c r="G17" s="20"/>
      <c r="H17" s="30"/>
      <c r="I17" s="22"/>
      <c r="J17" s="22"/>
      <c r="K17" s="22"/>
      <c r="L17" s="29"/>
      <c r="M17" s="29"/>
      <c r="N17" s="25"/>
      <c r="O17" s="26"/>
      <c r="P17" s="26"/>
      <c r="Q17" s="2"/>
      <c r="R17" s="2"/>
    </row>
    <row r="18">
      <c r="A18" s="2"/>
      <c r="B18" s="31"/>
      <c r="C18" s="32"/>
      <c r="D18" s="17"/>
      <c r="E18" s="18"/>
      <c r="F18" s="31"/>
      <c r="G18" s="28"/>
      <c r="H18" s="30"/>
      <c r="I18" s="29"/>
      <c r="J18" s="29"/>
      <c r="K18" s="29"/>
      <c r="L18" s="29"/>
      <c r="M18" s="29"/>
      <c r="N18" s="33"/>
      <c r="O18" s="33"/>
      <c r="P18" s="33"/>
      <c r="Q18" s="2"/>
      <c r="R18" s="2"/>
    </row>
    <row r="19" ht="18.75" customHeight="1">
      <c r="A19" s="2"/>
      <c r="B19" s="2"/>
      <c r="C19" s="3"/>
      <c r="D19" s="3"/>
      <c r="E19" s="2"/>
      <c r="F19" s="2"/>
      <c r="G19" s="34">
        <f t="shared" ref="G19:H19" si="1">SUM(G4:G18)</f>
        <v>75000</v>
      </c>
      <c r="H19" s="35">
        <f t="shared" si="1"/>
        <v>1125000</v>
      </c>
      <c r="I19" s="2"/>
      <c r="J19" s="2"/>
      <c r="K19" s="2"/>
      <c r="L19" s="2"/>
      <c r="M19" s="2"/>
      <c r="N19" s="2"/>
      <c r="O19" s="2"/>
      <c r="P19" s="2"/>
      <c r="Q19" s="2"/>
      <c r="R19" s="2"/>
    </row>
    <row r="20" ht="23.25" customHeight="1">
      <c r="A20" s="2"/>
      <c r="B20" s="2"/>
      <c r="C20" s="3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>
      <c r="A21" s="2"/>
      <c r="B21" s="2"/>
      <c r="C21" s="3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>
      <c r="A22" s="2"/>
      <c r="B22" s="36" t="s">
        <v>1</v>
      </c>
      <c r="C22" s="37" t="s">
        <v>7</v>
      </c>
      <c r="D22" s="37" t="s">
        <v>45</v>
      </c>
      <c r="E22" s="1"/>
      <c r="F22" s="2"/>
      <c r="G22" s="2"/>
      <c r="H22" s="2"/>
      <c r="I22" s="2"/>
      <c r="J22" s="2"/>
      <c r="K22" s="2"/>
      <c r="L22" s="2"/>
      <c r="M22" s="2"/>
      <c r="N22" s="37" t="s">
        <v>46</v>
      </c>
      <c r="O22" s="37" t="s">
        <v>2</v>
      </c>
      <c r="P22" s="2"/>
      <c r="Q22" s="2"/>
      <c r="R22" s="2"/>
    </row>
    <row r="23">
      <c r="A23" s="2"/>
      <c r="B23" s="38">
        <v>1.0</v>
      </c>
      <c r="C23" s="39" t="s">
        <v>47</v>
      </c>
      <c r="D23" s="40">
        <f>SUM(G19)</f>
        <v>75000</v>
      </c>
      <c r="E23" s="41"/>
      <c r="F23" s="2"/>
      <c r="G23" s="2"/>
      <c r="H23" s="2"/>
      <c r="I23" s="2"/>
      <c r="J23" s="2"/>
      <c r="K23" s="2"/>
      <c r="L23" s="2"/>
      <c r="M23" s="2"/>
      <c r="N23" s="42" t="s">
        <v>48</v>
      </c>
      <c r="O23" s="23" t="s">
        <v>33</v>
      </c>
      <c r="P23" s="2"/>
      <c r="Q23" s="2"/>
      <c r="R23" s="2"/>
    </row>
    <row r="24">
      <c r="A24" s="2"/>
      <c r="B24" s="43">
        <v>2.0</v>
      </c>
      <c r="C24" s="44" t="s">
        <v>139</v>
      </c>
      <c r="D24" s="45">
        <v>-75000.0</v>
      </c>
      <c r="E24" s="46"/>
      <c r="F24" s="2"/>
      <c r="G24" s="2"/>
      <c r="H24" s="2"/>
      <c r="I24" s="2"/>
      <c r="J24" s="2"/>
      <c r="K24" s="2"/>
      <c r="L24" s="2"/>
      <c r="M24" s="2"/>
      <c r="N24" s="47" t="s">
        <v>50</v>
      </c>
      <c r="O24" s="48" t="s">
        <v>22</v>
      </c>
      <c r="P24" s="2"/>
      <c r="Q24" s="2"/>
      <c r="R24" s="2"/>
    </row>
    <row r="25">
      <c r="A25" s="2"/>
      <c r="B25" s="38">
        <v>3.0</v>
      </c>
      <c r="C25" s="39"/>
      <c r="D25" s="49"/>
      <c r="E25" s="46"/>
      <c r="F25" s="2"/>
      <c r="G25" s="2"/>
      <c r="H25" s="2"/>
      <c r="I25" s="2"/>
      <c r="J25" s="2"/>
      <c r="K25" s="2"/>
      <c r="L25" s="2"/>
      <c r="M25" s="2"/>
      <c r="N25" s="50" t="s">
        <v>52</v>
      </c>
      <c r="O25" s="25" t="s">
        <v>127</v>
      </c>
      <c r="P25" s="2"/>
      <c r="Q25" s="2"/>
      <c r="R25" s="2"/>
    </row>
    <row r="26">
      <c r="A26" s="2"/>
      <c r="B26" s="43">
        <v>4.0</v>
      </c>
      <c r="C26" s="44"/>
      <c r="D26" s="45"/>
      <c r="E26" s="46"/>
      <c r="F26" s="2"/>
      <c r="G26" s="2"/>
      <c r="H26" s="2"/>
      <c r="I26" s="2"/>
      <c r="J26" s="2"/>
      <c r="K26" s="2"/>
      <c r="L26" s="2"/>
      <c r="M26" s="2"/>
      <c r="N26" s="51" t="s">
        <v>54</v>
      </c>
      <c r="O26" s="48" t="s">
        <v>127</v>
      </c>
      <c r="P26" s="2"/>
      <c r="Q26" s="2"/>
      <c r="R26" s="2"/>
    </row>
    <row r="27">
      <c r="A27" s="2"/>
      <c r="B27" s="38"/>
      <c r="C27" s="52"/>
      <c r="D27" s="40"/>
      <c r="E27" s="41"/>
      <c r="F27" s="2"/>
      <c r="G27" s="2"/>
      <c r="H27" s="2"/>
      <c r="I27" s="2"/>
      <c r="J27" s="2"/>
      <c r="K27" s="2"/>
      <c r="L27" s="2"/>
      <c r="M27" s="2"/>
      <c r="N27" s="53"/>
      <c r="O27" s="2"/>
      <c r="P27" s="2"/>
      <c r="Q27" s="2"/>
      <c r="R27" s="2"/>
    </row>
    <row r="28">
      <c r="A28" s="2"/>
      <c r="B28" s="43"/>
      <c r="C28" s="54"/>
      <c r="D28" s="55"/>
      <c r="E28" s="4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>
      <c r="A29" s="2"/>
      <c r="B29" s="38"/>
      <c r="C29" s="52"/>
      <c r="D29" s="40"/>
      <c r="E29" s="4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>
      <c r="A30" s="2"/>
      <c r="B30" s="43"/>
      <c r="C30" s="54"/>
      <c r="D30" s="55"/>
      <c r="E30" s="4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>
      <c r="A31" s="2"/>
      <c r="B31" s="38"/>
      <c r="C31" s="52"/>
      <c r="D31" s="40"/>
      <c r="E31" s="4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2"/>
      <c r="B32" s="43"/>
      <c r="C32" s="54"/>
      <c r="D32" s="55"/>
      <c r="E32" s="4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2"/>
      <c r="B33" s="56"/>
      <c r="C33" s="57"/>
      <c r="D33" s="58"/>
      <c r="E33" s="4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2"/>
      <c r="B34" s="2"/>
      <c r="C34" s="3"/>
      <c r="D34" s="59">
        <f>SUM(D23:D33)</f>
        <v>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2"/>
      <c r="B35" s="2"/>
      <c r="C35" s="3"/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2"/>
      <c r="B36" s="2"/>
      <c r="C36" s="3"/>
      <c r="D36" s="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/>
      <c r="B37" s="2"/>
      <c r="C37" s="3"/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2"/>
      <c r="C38" s="3"/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 ,PENTIL,FAHME,INDAH"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"-,VERO,FADEL,HANIF ,FAHME"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>
        <v>2.0</v>
      </c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 t="s">
        <v>517</v>
      </c>
      <c r="D4" s="17" t="s">
        <v>40</v>
      </c>
      <c r="E4" s="18"/>
      <c r="F4" s="19">
        <v>46201.0</v>
      </c>
      <c r="G4" s="20">
        <v>250000.0</v>
      </c>
      <c r="H4" s="21"/>
      <c r="I4" s="22" t="s">
        <v>25</v>
      </c>
      <c r="J4" s="22" t="s">
        <v>26</v>
      </c>
      <c r="K4" s="22" t="s">
        <v>30</v>
      </c>
      <c r="L4" s="22" t="s">
        <v>22</v>
      </c>
      <c r="M4" s="22" t="s">
        <v>62</v>
      </c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 t="s">
        <v>518</v>
      </c>
      <c r="D5" s="17" t="s">
        <v>20</v>
      </c>
      <c r="E5" s="18"/>
      <c r="F5" s="19">
        <v>46201.0</v>
      </c>
      <c r="G5" s="20"/>
      <c r="H5" s="21">
        <v>100000.0</v>
      </c>
      <c r="I5" s="22" t="s">
        <v>21</v>
      </c>
      <c r="J5" s="22"/>
      <c r="K5" s="22"/>
      <c r="L5" s="22" t="s">
        <v>22</v>
      </c>
      <c r="M5" s="22"/>
      <c r="N5" s="25"/>
      <c r="O5" s="25"/>
      <c r="P5" s="26"/>
      <c r="Q5" s="2"/>
      <c r="R5" s="2"/>
    </row>
    <row r="6">
      <c r="A6" s="2"/>
      <c r="B6" s="15">
        <v>3.0</v>
      </c>
      <c r="C6" s="16" t="s">
        <v>519</v>
      </c>
      <c r="D6" s="17" t="s">
        <v>20</v>
      </c>
      <c r="E6" s="18"/>
      <c r="F6" s="27">
        <v>46209.0</v>
      </c>
      <c r="G6" s="28"/>
      <c r="H6" s="21">
        <v>100000.0</v>
      </c>
      <c r="I6" s="22" t="s">
        <v>21</v>
      </c>
      <c r="J6" s="22"/>
      <c r="K6" s="22"/>
      <c r="L6" s="22" t="s">
        <v>22</v>
      </c>
      <c r="M6" s="29"/>
      <c r="N6" s="25"/>
      <c r="O6" s="25"/>
      <c r="P6" s="26"/>
      <c r="Q6" s="2"/>
      <c r="R6" s="2"/>
    </row>
    <row r="7">
      <c r="A7" s="2"/>
      <c r="B7" s="15">
        <v>4.0</v>
      </c>
      <c r="C7" s="16" t="s">
        <v>520</v>
      </c>
      <c r="D7" s="17" t="s">
        <v>20</v>
      </c>
      <c r="E7" s="18"/>
      <c r="F7" s="27">
        <v>46201.0</v>
      </c>
      <c r="G7" s="20">
        <v>625000.0</v>
      </c>
      <c r="H7" s="30"/>
      <c r="I7" s="22" t="s">
        <v>25</v>
      </c>
      <c r="J7" s="22" t="s">
        <v>26</v>
      </c>
      <c r="K7" s="22" t="s">
        <v>26</v>
      </c>
      <c r="L7" s="22" t="s">
        <v>22</v>
      </c>
      <c r="M7" s="22" t="s">
        <v>62</v>
      </c>
      <c r="N7" s="25"/>
      <c r="O7" s="25"/>
      <c r="P7" s="26"/>
      <c r="Q7" s="2"/>
      <c r="R7" s="2"/>
    </row>
    <row r="8">
      <c r="A8" s="2"/>
      <c r="B8" s="15">
        <v>5.0</v>
      </c>
      <c r="C8" s="16" t="s">
        <v>521</v>
      </c>
      <c r="D8" s="17" t="s">
        <v>168</v>
      </c>
      <c r="E8" s="18"/>
      <c r="F8" s="27">
        <v>46201.0</v>
      </c>
      <c r="G8" s="20"/>
      <c r="H8" s="21">
        <v>100000.0</v>
      </c>
      <c r="I8" s="22" t="s">
        <v>21</v>
      </c>
      <c r="J8" s="22"/>
      <c r="K8" s="22"/>
      <c r="L8" s="22" t="s">
        <v>22</v>
      </c>
      <c r="M8" s="29"/>
      <c r="N8" s="25"/>
      <c r="O8" s="26"/>
      <c r="P8" s="26"/>
      <c r="Q8" s="2"/>
      <c r="R8" s="2"/>
    </row>
    <row r="9">
      <c r="A9" s="2"/>
      <c r="B9" s="15">
        <v>6.0</v>
      </c>
      <c r="C9" s="16" t="s">
        <v>481</v>
      </c>
      <c r="D9" s="17" t="s">
        <v>20</v>
      </c>
      <c r="E9" s="18"/>
      <c r="F9" s="27">
        <v>46201.0</v>
      </c>
      <c r="G9" s="20"/>
      <c r="H9" s="21">
        <v>100000.0</v>
      </c>
      <c r="I9" s="22" t="s">
        <v>25</v>
      </c>
      <c r="J9" s="22" t="s">
        <v>26</v>
      </c>
      <c r="K9" s="22" t="s">
        <v>30</v>
      </c>
      <c r="L9" s="22" t="s">
        <v>22</v>
      </c>
      <c r="M9" s="22" t="s">
        <v>62</v>
      </c>
      <c r="N9" s="25"/>
      <c r="O9" s="26"/>
      <c r="P9" s="26"/>
      <c r="Q9" s="2"/>
      <c r="R9" s="2"/>
    </row>
    <row r="10">
      <c r="A10" s="2"/>
      <c r="B10" s="15">
        <v>7.0</v>
      </c>
      <c r="C10" s="16" t="s">
        <v>522</v>
      </c>
      <c r="D10" s="17" t="s">
        <v>20</v>
      </c>
      <c r="E10" s="18"/>
      <c r="F10" s="27">
        <v>46202.0</v>
      </c>
      <c r="G10" s="20"/>
      <c r="H10" s="21">
        <v>100000.0</v>
      </c>
      <c r="I10" s="22" t="s">
        <v>21</v>
      </c>
      <c r="J10" s="22"/>
      <c r="K10" s="22"/>
      <c r="L10" s="22" t="s">
        <v>22</v>
      </c>
      <c r="M10" s="29"/>
      <c r="N10" s="25"/>
      <c r="O10" s="26"/>
      <c r="P10" s="26"/>
      <c r="Q10" s="2"/>
      <c r="R10" s="2"/>
    </row>
    <row r="11">
      <c r="A11" s="2"/>
      <c r="B11" s="15">
        <v>8.0</v>
      </c>
      <c r="C11" s="16" t="s">
        <v>437</v>
      </c>
      <c r="D11" s="17" t="s">
        <v>42</v>
      </c>
      <c r="E11" s="18"/>
      <c r="F11" s="27">
        <v>46201.0</v>
      </c>
      <c r="G11" s="20"/>
      <c r="H11" s="21">
        <v>250000.0</v>
      </c>
      <c r="I11" s="22" t="s">
        <v>25</v>
      </c>
      <c r="J11" s="22" t="s">
        <v>26</v>
      </c>
      <c r="K11" s="22" t="s">
        <v>30</v>
      </c>
      <c r="L11" s="22" t="s">
        <v>22</v>
      </c>
      <c r="M11" s="22" t="s">
        <v>62</v>
      </c>
      <c r="N11" s="25"/>
      <c r="O11" s="26"/>
      <c r="P11" s="26"/>
      <c r="Q11" s="2"/>
      <c r="R11" s="2"/>
    </row>
    <row r="12">
      <c r="A12" s="2"/>
      <c r="B12" s="15">
        <v>9.0</v>
      </c>
      <c r="C12" s="16" t="s">
        <v>523</v>
      </c>
      <c r="D12" s="17" t="s">
        <v>20</v>
      </c>
      <c r="E12" s="18"/>
      <c r="F12" s="27">
        <v>46205.0</v>
      </c>
      <c r="G12" s="20"/>
      <c r="H12" s="21">
        <v>100000.0</v>
      </c>
      <c r="I12" s="22" t="s">
        <v>21</v>
      </c>
      <c r="J12" s="22"/>
      <c r="K12" s="22"/>
      <c r="L12" s="22" t="s">
        <v>22</v>
      </c>
      <c r="M12" s="29"/>
      <c r="N12" s="25"/>
      <c r="O12" s="26"/>
      <c r="P12" s="26"/>
      <c r="Q12" s="2"/>
      <c r="R12" s="2"/>
    </row>
    <row r="13">
      <c r="A13" s="2"/>
      <c r="B13" s="15">
        <v>10.0</v>
      </c>
      <c r="C13" s="16" t="s">
        <v>524</v>
      </c>
      <c r="D13" s="17" t="s">
        <v>42</v>
      </c>
      <c r="E13" s="18"/>
      <c r="F13" s="27">
        <v>46201.0</v>
      </c>
      <c r="G13" s="20">
        <v>250000.0</v>
      </c>
      <c r="H13" s="30"/>
      <c r="I13" s="22" t="s">
        <v>25</v>
      </c>
      <c r="J13" s="22" t="s">
        <v>26</v>
      </c>
      <c r="K13" s="22" t="s">
        <v>30</v>
      </c>
      <c r="L13" s="22" t="s">
        <v>22</v>
      </c>
      <c r="M13" s="22" t="s">
        <v>62</v>
      </c>
      <c r="N13" s="25"/>
      <c r="O13" s="26"/>
      <c r="P13" s="26"/>
      <c r="Q13" s="2"/>
      <c r="R13" s="2"/>
    </row>
    <row r="14">
      <c r="A14" s="2"/>
      <c r="B14" s="31"/>
      <c r="C14" s="16" t="s">
        <v>525</v>
      </c>
      <c r="D14" s="17" t="s">
        <v>20</v>
      </c>
      <c r="E14" s="18"/>
      <c r="F14" s="27">
        <v>46202.0</v>
      </c>
      <c r="G14" s="20"/>
      <c r="H14" s="21">
        <v>100000.0</v>
      </c>
      <c r="I14" s="22" t="s">
        <v>21</v>
      </c>
      <c r="J14" s="22"/>
      <c r="K14" s="22"/>
      <c r="L14" s="22" t="s">
        <v>33</v>
      </c>
      <c r="M14" s="29"/>
      <c r="N14" s="25"/>
      <c r="O14" s="26"/>
      <c r="P14" s="26"/>
      <c r="Q14" s="2"/>
      <c r="R14" s="2"/>
    </row>
    <row r="15">
      <c r="A15" s="2"/>
      <c r="B15" s="31"/>
      <c r="C15" s="16" t="s">
        <v>526</v>
      </c>
      <c r="D15" s="17" t="s">
        <v>20</v>
      </c>
      <c r="E15" s="18"/>
      <c r="F15" s="27">
        <v>46202.0</v>
      </c>
      <c r="G15" s="20"/>
      <c r="H15" s="21">
        <v>100000.0</v>
      </c>
      <c r="I15" s="22" t="s">
        <v>21</v>
      </c>
      <c r="J15" s="22"/>
      <c r="K15" s="22"/>
      <c r="L15" s="22" t="s">
        <v>33</v>
      </c>
      <c r="M15" s="29"/>
      <c r="N15" s="25"/>
      <c r="O15" s="26"/>
      <c r="P15" s="26"/>
      <c r="Q15" s="2"/>
      <c r="R15" s="2"/>
    </row>
    <row r="16">
      <c r="A16" s="2"/>
      <c r="B16" s="31"/>
      <c r="C16" s="16" t="s">
        <v>527</v>
      </c>
      <c r="D16" s="17" t="s">
        <v>20</v>
      </c>
      <c r="E16" s="18"/>
      <c r="F16" s="27">
        <v>46204.0</v>
      </c>
      <c r="G16" s="20"/>
      <c r="H16" s="21">
        <v>100000.0</v>
      </c>
      <c r="I16" s="22" t="s">
        <v>21</v>
      </c>
      <c r="J16" s="22"/>
      <c r="K16" s="22"/>
      <c r="L16" s="22" t="s">
        <v>33</v>
      </c>
      <c r="M16" s="29"/>
      <c r="N16" s="25"/>
      <c r="O16" s="26"/>
      <c r="P16" s="26"/>
      <c r="Q16" s="2"/>
      <c r="R16" s="2"/>
    </row>
    <row r="17">
      <c r="A17" s="2"/>
      <c r="B17" s="31"/>
      <c r="C17" s="16" t="s">
        <v>528</v>
      </c>
      <c r="D17" s="17" t="s">
        <v>92</v>
      </c>
      <c r="E17" s="18" t="s">
        <v>458</v>
      </c>
      <c r="F17" s="27">
        <v>46201.0</v>
      </c>
      <c r="G17" s="20">
        <v>150000.0</v>
      </c>
      <c r="H17" s="30"/>
      <c r="I17" s="22" t="s">
        <v>25</v>
      </c>
      <c r="J17" s="22" t="s">
        <v>26</v>
      </c>
      <c r="K17" s="22" t="s">
        <v>30</v>
      </c>
      <c r="L17" s="22" t="s">
        <v>33</v>
      </c>
      <c r="M17" s="22" t="s">
        <v>127</v>
      </c>
      <c r="N17" s="25"/>
      <c r="O17" s="26"/>
      <c r="P17" s="26"/>
      <c r="Q17" s="2"/>
      <c r="R17" s="2"/>
    </row>
    <row r="18">
      <c r="A18" s="2"/>
      <c r="B18" s="31"/>
      <c r="C18" s="16" t="s">
        <v>509</v>
      </c>
      <c r="D18" s="17" t="s">
        <v>20</v>
      </c>
      <c r="E18" s="18"/>
      <c r="F18" s="27">
        <v>46208.0</v>
      </c>
      <c r="G18" s="28"/>
      <c r="H18" s="21">
        <v>100000.0</v>
      </c>
      <c r="I18" s="22" t="s">
        <v>21</v>
      </c>
      <c r="J18" s="29"/>
      <c r="K18" s="29"/>
      <c r="L18" s="22" t="s">
        <v>33</v>
      </c>
      <c r="M18" s="29"/>
      <c r="N18" s="26"/>
      <c r="O18" s="26"/>
      <c r="P18" s="26"/>
      <c r="Q18" s="2"/>
      <c r="R18" s="2"/>
    </row>
    <row r="19">
      <c r="A19" s="2"/>
      <c r="B19" s="31"/>
      <c r="C19" s="16" t="s">
        <v>518</v>
      </c>
      <c r="D19" s="17" t="s">
        <v>20</v>
      </c>
      <c r="E19" s="18"/>
      <c r="F19" s="27">
        <v>46201.0</v>
      </c>
      <c r="G19" s="20">
        <v>75000.0</v>
      </c>
      <c r="H19" s="21"/>
      <c r="I19" s="22" t="s">
        <v>25</v>
      </c>
      <c r="J19" s="22" t="s">
        <v>26</v>
      </c>
      <c r="K19" s="22" t="s">
        <v>30</v>
      </c>
      <c r="L19" s="22" t="s">
        <v>33</v>
      </c>
      <c r="M19" s="22" t="s">
        <v>127</v>
      </c>
      <c r="N19" s="26"/>
      <c r="O19" s="26"/>
      <c r="P19" s="26"/>
      <c r="Q19" s="2"/>
      <c r="R19" s="2"/>
    </row>
    <row r="20">
      <c r="A20" s="2"/>
      <c r="B20" s="31"/>
      <c r="C20" s="16" t="s">
        <v>521</v>
      </c>
      <c r="D20" s="17" t="s">
        <v>168</v>
      </c>
      <c r="E20" s="18"/>
      <c r="F20" s="27">
        <v>46201.0</v>
      </c>
      <c r="G20" s="28"/>
      <c r="H20" s="21">
        <v>370000.0</v>
      </c>
      <c r="I20" s="22" t="s">
        <v>25</v>
      </c>
      <c r="J20" s="22" t="s">
        <v>26</v>
      </c>
      <c r="K20" s="22" t="s">
        <v>30</v>
      </c>
      <c r="L20" s="22" t="s">
        <v>33</v>
      </c>
      <c r="M20" s="22" t="s">
        <v>127</v>
      </c>
      <c r="N20" s="26"/>
      <c r="O20" s="26"/>
      <c r="P20" s="26"/>
      <c r="Q20" s="2"/>
      <c r="R20" s="2"/>
    </row>
    <row r="21">
      <c r="A21" s="2"/>
      <c r="B21" s="31"/>
      <c r="C21" s="16" t="s">
        <v>529</v>
      </c>
      <c r="D21" s="17" t="s">
        <v>20</v>
      </c>
      <c r="E21" s="18"/>
      <c r="F21" s="27">
        <v>46202.0</v>
      </c>
      <c r="G21" s="28"/>
      <c r="H21" s="21">
        <v>100000.0</v>
      </c>
      <c r="I21" s="22" t="s">
        <v>21</v>
      </c>
      <c r="J21" s="29"/>
      <c r="K21" s="29"/>
      <c r="L21" s="22" t="s">
        <v>33</v>
      </c>
      <c r="M21" s="29"/>
      <c r="N21" s="26"/>
      <c r="O21" s="26"/>
      <c r="P21" s="26"/>
      <c r="Q21" s="2"/>
      <c r="R21" s="2"/>
    </row>
    <row r="22">
      <c r="A22" s="2"/>
      <c r="B22" s="31"/>
      <c r="C22" s="16" t="s">
        <v>530</v>
      </c>
      <c r="D22" s="17" t="s">
        <v>58</v>
      </c>
      <c r="E22" s="18"/>
      <c r="F22" s="27">
        <v>46203.0</v>
      </c>
      <c r="G22" s="28"/>
      <c r="H22" s="21">
        <v>100000.0</v>
      </c>
      <c r="I22" s="22" t="s">
        <v>21</v>
      </c>
      <c r="J22" s="29"/>
      <c r="K22" s="29"/>
      <c r="L22" s="22" t="s">
        <v>33</v>
      </c>
      <c r="M22" s="29"/>
      <c r="N22" s="26"/>
      <c r="O22" s="26"/>
      <c r="P22" s="26"/>
      <c r="Q22" s="2"/>
      <c r="R22" s="2"/>
    </row>
    <row r="23">
      <c r="A23" s="2"/>
      <c r="B23" s="31"/>
      <c r="C23" s="16" t="s">
        <v>531</v>
      </c>
      <c r="D23" s="17" t="s">
        <v>20</v>
      </c>
      <c r="E23" s="18"/>
      <c r="F23" s="27">
        <v>46202.0</v>
      </c>
      <c r="G23" s="28"/>
      <c r="H23" s="21">
        <v>100000.0</v>
      </c>
      <c r="I23" s="22" t="s">
        <v>21</v>
      </c>
      <c r="J23" s="29"/>
      <c r="K23" s="29"/>
      <c r="L23" s="22" t="s">
        <v>33</v>
      </c>
      <c r="M23" s="29"/>
      <c r="N23" s="26"/>
      <c r="O23" s="26"/>
      <c r="P23" s="26"/>
      <c r="Q23" s="2"/>
      <c r="R23" s="2"/>
    </row>
    <row r="24">
      <c r="A24" s="2"/>
      <c r="B24" s="31"/>
      <c r="C24" s="16" t="s">
        <v>532</v>
      </c>
      <c r="D24" s="17" t="s">
        <v>40</v>
      </c>
      <c r="E24" s="18"/>
      <c r="F24" s="27">
        <v>46299.0</v>
      </c>
      <c r="G24" s="28"/>
      <c r="H24" s="21">
        <v>100000.0</v>
      </c>
      <c r="I24" s="22" t="s">
        <v>21</v>
      </c>
      <c r="J24" s="29"/>
      <c r="K24" s="29"/>
      <c r="L24" s="22" t="s">
        <v>33</v>
      </c>
      <c r="M24" s="29"/>
      <c r="N24" s="26"/>
      <c r="O24" s="26"/>
      <c r="P24" s="26"/>
      <c r="Q24" s="2"/>
      <c r="R24" s="2"/>
    </row>
    <row r="25">
      <c r="A25" s="2"/>
      <c r="B25" s="31"/>
      <c r="C25" s="16" t="s">
        <v>533</v>
      </c>
      <c r="D25" s="17" t="s">
        <v>20</v>
      </c>
      <c r="E25" s="18"/>
      <c r="F25" s="27">
        <v>46202.0</v>
      </c>
      <c r="G25" s="28"/>
      <c r="H25" s="21">
        <v>100000.0</v>
      </c>
      <c r="I25" s="22" t="s">
        <v>21</v>
      </c>
      <c r="J25" s="29"/>
      <c r="K25" s="29"/>
      <c r="L25" s="22" t="s">
        <v>33</v>
      </c>
      <c r="M25" s="29"/>
      <c r="N25" s="33"/>
      <c r="O25" s="33"/>
      <c r="P25" s="33"/>
      <c r="Q25" s="2"/>
      <c r="R25" s="2"/>
    </row>
    <row r="26" ht="18.75" customHeight="1">
      <c r="A26" s="2"/>
      <c r="B26" s="2"/>
      <c r="C26" s="3"/>
      <c r="D26" s="3"/>
      <c r="E26" s="2"/>
      <c r="F26" s="2"/>
      <c r="G26" s="34">
        <f t="shared" ref="G26:H26" si="1">SUM(G4:G25)</f>
        <v>1350000</v>
      </c>
      <c r="H26" s="35">
        <f t="shared" si="1"/>
        <v>2120000</v>
      </c>
      <c r="I26" s="2"/>
      <c r="J26" s="2"/>
      <c r="K26" s="2"/>
      <c r="L26" s="2"/>
      <c r="M26" s="2"/>
      <c r="N26" s="2"/>
      <c r="O26" s="2"/>
      <c r="P26" s="2"/>
      <c r="Q26" s="2"/>
      <c r="R26" s="2"/>
    </row>
    <row r="27" ht="23.25" customHeight="1">
      <c r="A27" s="2"/>
      <c r="B27" s="2"/>
      <c r="C27" s="3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>
      <c r="A28" s="2"/>
      <c r="B28" s="2"/>
      <c r="C28" s="3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>
      <c r="A29" s="2"/>
      <c r="B29" s="36" t="s">
        <v>1</v>
      </c>
      <c r="C29" s="37" t="s">
        <v>7</v>
      </c>
      <c r="D29" s="37" t="s">
        <v>45</v>
      </c>
      <c r="E29" s="1"/>
      <c r="F29" s="2"/>
      <c r="G29" s="2"/>
      <c r="H29" s="2"/>
      <c r="I29" s="2"/>
      <c r="J29" s="2"/>
      <c r="K29" s="2"/>
      <c r="L29" s="2"/>
      <c r="M29" s="2"/>
      <c r="N29" s="37" t="s">
        <v>46</v>
      </c>
      <c r="O29" s="37" t="s">
        <v>2</v>
      </c>
      <c r="P29" s="2"/>
      <c r="Q29" s="2"/>
      <c r="R29" s="2"/>
    </row>
    <row r="30">
      <c r="A30" s="2"/>
      <c r="B30" s="38">
        <v>1.0</v>
      </c>
      <c r="C30" s="39" t="s">
        <v>47</v>
      </c>
      <c r="D30" s="40">
        <f>SUM(G26)</f>
        <v>1350000</v>
      </c>
      <c r="E30" s="41"/>
      <c r="F30" s="2"/>
      <c r="G30" s="2"/>
      <c r="H30" s="2"/>
      <c r="I30" s="2"/>
      <c r="J30" s="2"/>
      <c r="K30" s="2"/>
      <c r="L30" s="2"/>
      <c r="M30" s="2"/>
      <c r="N30" s="42" t="s">
        <v>48</v>
      </c>
      <c r="O30" s="23" t="s">
        <v>22</v>
      </c>
      <c r="P30" s="2"/>
      <c r="Q30" s="2"/>
      <c r="R30" s="2"/>
    </row>
    <row r="31">
      <c r="A31" s="2"/>
      <c r="B31" s="43">
        <v>2.0</v>
      </c>
      <c r="C31" s="44" t="s">
        <v>76</v>
      </c>
      <c r="D31" s="45">
        <v>-100000.0</v>
      </c>
      <c r="E31" s="46"/>
      <c r="F31" s="2"/>
      <c r="G31" s="2"/>
      <c r="H31" s="2"/>
      <c r="I31" s="2"/>
      <c r="J31" s="2"/>
      <c r="K31" s="2"/>
      <c r="L31" s="2"/>
      <c r="M31" s="2"/>
      <c r="N31" s="47" t="s">
        <v>50</v>
      </c>
      <c r="O31" s="48" t="s">
        <v>33</v>
      </c>
      <c r="P31" s="2"/>
      <c r="Q31" s="2"/>
      <c r="R31" s="2"/>
    </row>
    <row r="32">
      <c r="A32" s="2"/>
      <c r="B32" s="38">
        <v>3.0</v>
      </c>
      <c r="C32" s="39" t="s">
        <v>51</v>
      </c>
      <c r="D32" s="49">
        <v>-100000.0</v>
      </c>
      <c r="E32" s="46"/>
      <c r="F32" s="2"/>
      <c r="G32" s="2"/>
      <c r="H32" s="2"/>
      <c r="I32" s="2"/>
      <c r="J32" s="2"/>
      <c r="K32" s="2"/>
      <c r="L32" s="2"/>
      <c r="M32" s="2"/>
      <c r="N32" s="50" t="s">
        <v>52</v>
      </c>
      <c r="O32" s="25" t="s">
        <v>62</v>
      </c>
      <c r="P32" s="2"/>
      <c r="Q32" s="2"/>
      <c r="R32" s="2"/>
    </row>
    <row r="33">
      <c r="A33" s="2"/>
      <c r="B33" s="43">
        <v>4.0</v>
      </c>
      <c r="C33" s="44"/>
      <c r="D33" s="45"/>
      <c r="E33" s="46"/>
      <c r="F33" s="2"/>
      <c r="G33" s="2"/>
      <c r="H33" s="2"/>
      <c r="I33" s="2"/>
      <c r="J33" s="2"/>
      <c r="K33" s="2"/>
      <c r="L33" s="2"/>
      <c r="M33" s="2"/>
      <c r="N33" s="51" t="s">
        <v>54</v>
      </c>
      <c r="O33" s="48" t="s">
        <v>127</v>
      </c>
      <c r="P33" s="2"/>
      <c r="Q33" s="2"/>
      <c r="R33" s="2"/>
    </row>
    <row r="34">
      <c r="A34" s="2"/>
      <c r="B34" s="38"/>
      <c r="C34" s="52"/>
      <c r="D34" s="40"/>
      <c r="E34" s="41"/>
      <c r="F34" s="2"/>
      <c r="G34" s="2"/>
      <c r="H34" s="2"/>
      <c r="I34" s="2"/>
      <c r="J34" s="2"/>
      <c r="K34" s="2"/>
      <c r="L34" s="2"/>
      <c r="M34" s="2"/>
      <c r="N34" s="53"/>
      <c r="O34" s="2"/>
      <c r="P34" s="2"/>
      <c r="Q34" s="2"/>
      <c r="R34" s="2"/>
    </row>
    <row r="35">
      <c r="A35" s="2"/>
      <c r="B35" s="43"/>
      <c r="C35" s="54"/>
      <c r="D35" s="55"/>
      <c r="E35" s="4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2"/>
      <c r="B36" s="38"/>
      <c r="C36" s="52"/>
      <c r="D36" s="40"/>
      <c r="E36" s="4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/>
      <c r="B37" s="43"/>
      <c r="C37" s="54"/>
      <c r="D37" s="55"/>
      <c r="E37" s="4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38"/>
      <c r="C38" s="52"/>
      <c r="D38" s="40"/>
      <c r="E38" s="4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43"/>
      <c r="C39" s="54"/>
      <c r="D39" s="55"/>
      <c r="E39" s="4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56"/>
      <c r="C40" s="57"/>
      <c r="D40" s="58"/>
      <c r="E40" s="4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2"/>
      <c r="C41" s="3"/>
      <c r="D41" s="59">
        <f>SUM(D30:D40)</f>
        <v>1150000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2"/>
      <c r="B42" s="2"/>
      <c r="C42" s="3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2"/>
      <c r="B43" s="2"/>
      <c r="C43" s="3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>
      <c r="A44" s="2"/>
      <c r="B44" s="2"/>
      <c r="C44" s="3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2"/>
      <c r="B45" s="2"/>
      <c r="C45" s="3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5 O30:O31">
      <formula1>"-,JIJANG,AXEL,ADDEL ,FAHME,INDAH"</formula1>
    </dataValidation>
    <dataValidation type="list" allowBlank="1" showDropDown="1" showErrorMessage="1" sqref="M4:M25 O32:O33">
      <formula1>"-,VERO,FADEL,HANIF ,FAHME,ADIF"</formula1>
    </dataValidation>
    <dataValidation type="list" allowBlank="1" showErrorMessage="1" sqref="N4:N25">
      <formula1>"-,Pending,Progress,Uploaded"</formula1>
    </dataValidation>
    <dataValidation type="list" allowBlank="1" showDropDown="1" showErrorMessage="1" sqref="D4:D25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25">
      <formula1>"-,In Pikako,In Foxe"</formula1>
    </dataValidation>
    <dataValidation type="list" allowBlank="1" showDropDown="1" showErrorMessage="1" sqref="I4:I25">
      <formula1>"-,DP,Lunas"</formula1>
    </dataValidation>
    <dataValidation type="list" allowBlank="1" showDropDown="1" showErrorMessage="1" sqref="J4:K25">
      <formula1>"-,Pending,Uploaded"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>
        <v>2.0</v>
      </c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 t="s">
        <v>534</v>
      </c>
      <c r="D4" s="17" t="s">
        <v>40</v>
      </c>
      <c r="E4" s="18"/>
      <c r="F4" s="19">
        <v>46298.0</v>
      </c>
      <c r="G4" s="20"/>
      <c r="H4" s="21">
        <v>100000.0</v>
      </c>
      <c r="I4" s="22" t="s">
        <v>21</v>
      </c>
      <c r="J4" s="22"/>
      <c r="K4" s="22"/>
      <c r="L4" s="22" t="s">
        <v>33</v>
      </c>
      <c r="M4" s="22"/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 t="s">
        <v>535</v>
      </c>
      <c r="D5" s="17" t="s">
        <v>92</v>
      </c>
      <c r="E5" s="18"/>
      <c r="F5" s="19">
        <v>46202.0</v>
      </c>
      <c r="G5" s="20"/>
      <c r="H5" s="21">
        <v>100000.0</v>
      </c>
      <c r="I5" s="22" t="s">
        <v>25</v>
      </c>
      <c r="J5" s="22"/>
      <c r="K5" s="22"/>
      <c r="L5" s="22" t="s">
        <v>33</v>
      </c>
      <c r="M5" s="22"/>
      <c r="N5" s="25"/>
      <c r="O5" s="25"/>
      <c r="P5" s="26"/>
      <c r="Q5" s="2"/>
      <c r="R5" s="2"/>
    </row>
    <row r="6">
      <c r="A6" s="2"/>
      <c r="B6" s="15">
        <v>3.0</v>
      </c>
      <c r="C6" s="16" t="s">
        <v>536</v>
      </c>
      <c r="D6" s="17" t="s">
        <v>92</v>
      </c>
      <c r="E6" s="18"/>
      <c r="F6" s="27">
        <v>46202.0</v>
      </c>
      <c r="G6" s="28"/>
      <c r="H6" s="21">
        <v>100000.0</v>
      </c>
      <c r="I6" s="22" t="s">
        <v>25</v>
      </c>
      <c r="J6" s="22"/>
      <c r="K6" s="22"/>
      <c r="L6" s="22" t="s">
        <v>33</v>
      </c>
      <c r="M6" s="29"/>
      <c r="N6" s="25"/>
      <c r="O6" s="25"/>
      <c r="P6" s="26"/>
      <c r="Q6" s="2"/>
      <c r="R6" s="2"/>
    </row>
    <row r="7">
      <c r="A7" s="2"/>
      <c r="B7" s="15">
        <v>4.0</v>
      </c>
      <c r="C7" s="16" t="s">
        <v>526</v>
      </c>
      <c r="D7" s="17" t="s">
        <v>20</v>
      </c>
      <c r="E7" s="18"/>
      <c r="F7" s="27">
        <v>46202.0</v>
      </c>
      <c r="G7" s="20">
        <v>800000.0</v>
      </c>
      <c r="H7" s="21">
        <v>250000.0</v>
      </c>
      <c r="I7" s="22" t="s">
        <v>25</v>
      </c>
      <c r="J7" s="22" t="s">
        <v>26</v>
      </c>
      <c r="K7" s="22" t="s">
        <v>26</v>
      </c>
      <c r="L7" s="22" t="s">
        <v>33</v>
      </c>
      <c r="M7" s="22" t="s">
        <v>127</v>
      </c>
      <c r="N7" s="25"/>
      <c r="O7" s="25"/>
      <c r="P7" s="26"/>
      <c r="Q7" s="2"/>
      <c r="R7" s="2"/>
    </row>
    <row r="8">
      <c r="A8" s="2"/>
      <c r="B8" s="15">
        <v>5.0</v>
      </c>
      <c r="C8" s="16" t="s">
        <v>537</v>
      </c>
      <c r="D8" s="17" t="s">
        <v>20</v>
      </c>
      <c r="E8" s="18"/>
      <c r="F8" s="27">
        <v>46204.0</v>
      </c>
      <c r="G8" s="20"/>
      <c r="H8" s="21">
        <v>100000.0</v>
      </c>
      <c r="I8" s="22" t="s">
        <v>21</v>
      </c>
      <c r="J8" s="22"/>
      <c r="K8" s="22"/>
      <c r="L8" s="22" t="s">
        <v>33</v>
      </c>
      <c r="M8" s="29"/>
      <c r="N8" s="25"/>
      <c r="O8" s="26"/>
      <c r="P8" s="26"/>
      <c r="Q8" s="2"/>
      <c r="R8" s="2"/>
    </row>
    <row r="9">
      <c r="A9" s="2"/>
      <c r="B9" s="15">
        <v>6.0</v>
      </c>
      <c r="C9" s="16" t="s">
        <v>538</v>
      </c>
      <c r="D9" s="17" t="s">
        <v>20</v>
      </c>
      <c r="E9" s="18"/>
      <c r="F9" s="27">
        <v>46205.0</v>
      </c>
      <c r="G9" s="20"/>
      <c r="H9" s="21">
        <v>100000.0</v>
      </c>
      <c r="I9" s="22" t="s">
        <v>21</v>
      </c>
      <c r="J9" s="22"/>
      <c r="K9" s="22"/>
      <c r="L9" s="22" t="s">
        <v>33</v>
      </c>
      <c r="M9" s="29"/>
      <c r="N9" s="25"/>
      <c r="O9" s="26"/>
      <c r="P9" s="26"/>
      <c r="Q9" s="2"/>
      <c r="R9" s="2"/>
    </row>
    <row r="10">
      <c r="A10" s="2"/>
      <c r="B10" s="15">
        <v>7.0</v>
      </c>
      <c r="C10" s="16" t="s">
        <v>539</v>
      </c>
      <c r="D10" s="17" t="s">
        <v>20</v>
      </c>
      <c r="E10" s="18"/>
      <c r="F10" s="27">
        <v>46203.0</v>
      </c>
      <c r="G10" s="20"/>
      <c r="H10" s="21">
        <v>100000.0</v>
      </c>
      <c r="I10" s="22" t="s">
        <v>21</v>
      </c>
      <c r="J10" s="22"/>
      <c r="K10" s="22"/>
      <c r="L10" s="22" t="s">
        <v>33</v>
      </c>
      <c r="M10" s="29"/>
      <c r="N10" s="25"/>
      <c r="O10" s="26"/>
      <c r="P10" s="26"/>
      <c r="Q10" s="2"/>
      <c r="R10" s="2"/>
    </row>
    <row r="11">
      <c r="A11" s="2"/>
      <c r="B11" s="15">
        <v>8.0</v>
      </c>
      <c r="C11" s="16" t="s">
        <v>533</v>
      </c>
      <c r="D11" s="17" t="s">
        <v>20</v>
      </c>
      <c r="E11" s="18"/>
      <c r="F11" s="27">
        <v>46202.0</v>
      </c>
      <c r="G11" s="20">
        <v>150000.0</v>
      </c>
      <c r="H11" s="30"/>
      <c r="I11" s="22" t="s">
        <v>25</v>
      </c>
      <c r="J11" s="22" t="s">
        <v>26</v>
      </c>
      <c r="K11" s="22" t="s">
        <v>26</v>
      </c>
      <c r="L11" s="22" t="s">
        <v>33</v>
      </c>
      <c r="M11" s="22" t="s">
        <v>127</v>
      </c>
      <c r="N11" s="25"/>
      <c r="O11" s="26"/>
      <c r="P11" s="26"/>
      <c r="Q11" s="2"/>
      <c r="R11" s="2"/>
    </row>
    <row r="12">
      <c r="A12" s="2"/>
      <c r="B12" s="15">
        <v>9.0</v>
      </c>
      <c r="C12" s="16" t="s">
        <v>540</v>
      </c>
      <c r="D12" s="17" t="s">
        <v>40</v>
      </c>
      <c r="E12" s="18"/>
      <c r="F12" s="27">
        <v>46207.0</v>
      </c>
      <c r="G12" s="20"/>
      <c r="H12" s="21">
        <v>100000.0</v>
      </c>
      <c r="I12" s="22" t="s">
        <v>21</v>
      </c>
      <c r="J12" s="22"/>
      <c r="K12" s="22"/>
      <c r="L12" s="22" t="s">
        <v>33</v>
      </c>
      <c r="M12" s="29"/>
      <c r="N12" s="25"/>
      <c r="O12" s="26"/>
      <c r="P12" s="26"/>
      <c r="Q12" s="2"/>
      <c r="R12" s="2"/>
    </row>
    <row r="13">
      <c r="A13" s="2"/>
      <c r="B13" s="15">
        <v>10.0</v>
      </c>
      <c r="C13" s="16" t="s">
        <v>536</v>
      </c>
      <c r="D13" s="17" t="s">
        <v>92</v>
      </c>
      <c r="E13" s="18" t="s">
        <v>458</v>
      </c>
      <c r="F13" s="27">
        <v>46202.0</v>
      </c>
      <c r="G13" s="20"/>
      <c r="H13" s="21">
        <v>50000.0</v>
      </c>
      <c r="I13" s="22" t="s">
        <v>25</v>
      </c>
      <c r="J13" s="22" t="s">
        <v>26</v>
      </c>
      <c r="K13" s="22" t="s">
        <v>26</v>
      </c>
      <c r="L13" s="22" t="s">
        <v>33</v>
      </c>
      <c r="M13" s="22" t="s">
        <v>127</v>
      </c>
      <c r="N13" s="25"/>
      <c r="O13" s="26"/>
      <c r="P13" s="26"/>
      <c r="Q13" s="2"/>
      <c r="R13" s="2"/>
    </row>
    <row r="14">
      <c r="A14" s="2"/>
      <c r="B14" s="31"/>
      <c r="C14" s="16" t="s">
        <v>522</v>
      </c>
      <c r="D14" s="17" t="s">
        <v>20</v>
      </c>
      <c r="E14" s="18"/>
      <c r="F14" s="27">
        <v>46202.0</v>
      </c>
      <c r="G14" s="20">
        <v>175000.0</v>
      </c>
      <c r="H14" s="30"/>
      <c r="I14" s="22" t="s">
        <v>25</v>
      </c>
      <c r="J14" s="22" t="s">
        <v>26</v>
      </c>
      <c r="K14" s="22" t="s">
        <v>26</v>
      </c>
      <c r="L14" s="22" t="s">
        <v>33</v>
      </c>
      <c r="M14" s="22" t="s">
        <v>127</v>
      </c>
      <c r="N14" s="25"/>
      <c r="O14" s="26"/>
      <c r="P14" s="26"/>
      <c r="Q14" s="2"/>
      <c r="R14" s="2"/>
    </row>
    <row r="15">
      <c r="A15" s="2"/>
      <c r="B15" s="31"/>
      <c r="C15" s="16" t="s">
        <v>541</v>
      </c>
      <c r="D15" s="17" t="s">
        <v>40</v>
      </c>
      <c r="E15" s="18"/>
      <c r="F15" s="27">
        <v>46298.0</v>
      </c>
      <c r="G15" s="20"/>
      <c r="H15" s="21">
        <v>100000.0</v>
      </c>
      <c r="I15" s="22" t="s">
        <v>21</v>
      </c>
      <c r="J15" s="22"/>
      <c r="K15" s="22"/>
      <c r="L15" s="22" t="s">
        <v>22</v>
      </c>
      <c r="M15" s="29"/>
      <c r="N15" s="25"/>
      <c r="O15" s="26"/>
      <c r="P15" s="26"/>
      <c r="Q15" s="2"/>
      <c r="R15" s="2"/>
    </row>
    <row r="16">
      <c r="A16" s="2"/>
      <c r="B16" s="31"/>
      <c r="C16" s="16" t="s">
        <v>542</v>
      </c>
      <c r="D16" s="17" t="s">
        <v>14</v>
      </c>
      <c r="E16" s="18"/>
      <c r="F16" s="27">
        <v>46202.0</v>
      </c>
      <c r="G16" s="20"/>
      <c r="H16" s="21">
        <v>50000.0</v>
      </c>
      <c r="I16" s="22" t="s">
        <v>25</v>
      </c>
      <c r="J16" s="22" t="s">
        <v>26</v>
      </c>
      <c r="K16" s="22" t="s">
        <v>26</v>
      </c>
      <c r="L16" s="22" t="s">
        <v>22</v>
      </c>
      <c r="M16" s="22" t="s">
        <v>127</v>
      </c>
      <c r="N16" s="25"/>
      <c r="O16" s="26"/>
      <c r="P16" s="26"/>
      <c r="Q16" s="2"/>
      <c r="R16" s="2"/>
    </row>
    <row r="17">
      <c r="A17" s="2"/>
      <c r="B17" s="31"/>
      <c r="C17" s="16" t="s">
        <v>543</v>
      </c>
      <c r="D17" s="17" t="s">
        <v>20</v>
      </c>
      <c r="E17" s="18"/>
      <c r="F17" s="27">
        <v>46202.0</v>
      </c>
      <c r="G17" s="20">
        <v>325000.0</v>
      </c>
      <c r="H17" s="30"/>
      <c r="I17" s="22" t="s">
        <v>25</v>
      </c>
      <c r="J17" s="22" t="s">
        <v>26</v>
      </c>
      <c r="K17" s="22" t="s">
        <v>26</v>
      </c>
      <c r="L17" s="22" t="s">
        <v>22</v>
      </c>
      <c r="M17" s="22" t="s">
        <v>62</v>
      </c>
      <c r="N17" s="25"/>
      <c r="O17" s="26"/>
      <c r="P17" s="26"/>
      <c r="Q17" s="2"/>
      <c r="R17" s="2"/>
    </row>
    <row r="18">
      <c r="A18" s="2"/>
      <c r="B18" s="31"/>
      <c r="C18" s="16" t="s">
        <v>102</v>
      </c>
      <c r="D18" s="17" t="s">
        <v>38</v>
      </c>
      <c r="E18" s="18"/>
      <c r="F18" s="27">
        <v>46202.0</v>
      </c>
      <c r="G18" s="20"/>
      <c r="H18" s="21">
        <v>100000.0</v>
      </c>
      <c r="I18" s="22" t="s">
        <v>25</v>
      </c>
      <c r="J18" s="22" t="s">
        <v>26</v>
      </c>
      <c r="K18" s="22" t="s">
        <v>26</v>
      </c>
      <c r="L18" s="22" t="s">
        <v>22</v>
      </c>
      <c r="M18" s="22" t="s">
        <v>62</v>
      </c>
      <c r="N18" s="25"/>
      <c r="O18" s="26"/>
      <c r="P18" s="26"/>
      <c r="Q18" s="2"/>
      <c r="R18" s="2"/>
    </row>
    <row r="19">
      <c r="A19" s="2"/>
      <c r="B19" s="31"/>
      <c r="C19" s="16" t="s">
        <v>544</v>
      </c>
      <c r="D19" s="17" t="s">
        <v>20</v>
      </c>
      <c r="E19" s="18"/>
      <c r="F19" s="27">
        <v>46203.0</v>
      </c>
      <c r="G19" s="20"/>
      <c r="H19" s="21">
        <v>100000.0</v>
      </c>
      <c r="I19" s="22" t="s">
        <v>21</v>
      </c>
      <c r="J19" s="22"/>
      <c r="K19" s="22"/>
      <c r="L19" s="22" t="s">
        <v>22</v>
      </c>
      <c r="M19" s="29"/>
      <c r="N19" s="25"/>
      <c r="O19" s="26"/>
      <c r="P19" s="26"/>
      <c r="Q19" s="2"/>
      <c r="R19" s="2"/>
    </row>
    <row r="20">
      <c r="A20" s="2"/>
      <c r="B20" s="31"/>
      <c r="C20" s="16" t="s">
        <v>525</v>
      </c>
      <c r="D20" s="17" t="s">
        <v>20</v>
      </c>
      <c r="E20" s="18"/>
      <c r="F20" s="27">
        <v>46202.0</v>
      </c>
      <c r="G20" s="20">
        <v>75000.0</v>
      </c>
      <c r="H20" s="30"/>
      <c r="I20" s="22" t="s">
        <v>25</v>
      </c>
      <c r="J20" s="22" t="s">
        <v>26</v>
      </c>
      <c r="K20" s="22" t="s">
        <v>26</v>
      </c>
      <c r="L20" s="22" t="s">
        <v>22</v>
      </c>
      <c r="M20" s="22" t="s">
        <v>62</v>
      </c>
      <c r="N20" s="26"/>
      <c r="O20" s="26"/>
      <c r="P20" s="26"/>
      <c r="Q20" s="2"/>
      <c r="R20" s="2"/>
    </row>
    <row r="21">
      <c r="A21" s="2"/>
      <c r="B21" s="31"/>
      <c r="C21" s="16" t="s">
        <v>545</v>
      </c>
      <c r="D21" s="17" t="s">
        <v>92</v>
      </c>
      <c r="E21" s="18"/>
      <c r="F21" s="27">
        <v>46208.0</v>
      </c>
      <c r="G21" s="28"/>
      <c r="H21" s="21">
        <v>100000.0</v>
      </c>
      <c r="I21" s="22" t="s">
        <v>25</v>
      </c>
      <c r="J21" s="29"/>
      <c r="K21" s="29"/>
      <c r="L21" s="22" t="s">
        <v>22</v>
      </c>
      <c r="M21" s="29"/>
      <c r="N21" s="26"/>
      <c r="O21" s="26"/>
      <c r="P21" s="26"/>
      <c r="Q21" s="2"/>
      <c r="R21" s="2"/>
    </row>
    <row r="22">
      <c r="A22" s="2"/>
      <c r="B22" s="31"/>
      <c r="C22" s="32"/>
      <c r="D22" s="17"/>
      <c r="E22" s="18"/>
      <c r="F22" s="31"/>
      <c r="G22" s="28"/>
      <c r="H22" s="30"/>
      <c r="I22" s="29"/>
      <c r="J22" s="29"/>
      <c r="K22" s="29"/>
      <c r="L22" s="29"/>
      <c r="M22" s="29"/>
      <c r="N22" s="26"/>
      <c r="O22" s="26"/>
      <c r="P22" s="26"/>
      <c r="Q22" s="2"/>
      <c r="R22" s="2"/>
    </row>
    <row r="23">
      <c r="A23" s="2"/>
      <c r="B23" s="31"/>
      <c r="C23" s="32"/>
      <c r="D23" s="17"/>
      <c r="E23" s="18"/>
      <c r="F23" s="31"/>
      <c r="G23" s="28"/>
      <c r="H23" s="30"/>
      <c r="I23" s="29"/>
      <c r="J23" s="29"/>
      <c r="K23" s="29"/>
      <c r="L23" s="29"/>
      <c r="M23" s="29"/>
      <c r="N23" s="33"/>
      <c r="O23" s="33"/>
      <c r="P23" s="33"/>
      <c r="Q23" s="2"/>
      <c r="R23" s="2"/>
    </row>
    <row r="24" ht="18.75" customHeight="1">
      <c r="A24" s="2"/>
      <c r="B24" s="2"/>
      <c r="C24" s="3"/>
      <c r="D24" s="3"/>
      <c r="E24" s="2"/>
      <c r="F24" s="2"/>
      <c r="G24" s="34">
        <f t="shared" ref="G24:H24" si="1">SUM(G4:G23)</f>
        <v>1525000</v>
      </c>
      <c r="H24" s="35">
        <f t="shared" si="1"/>
        <v>1450000</v>
      </c>
      <c r="I24" s="2"/>
      <c r="J24" s="2"/>
      <c r="K24" s="2"/>
      <c r="L24" s="2"/>
      <c r="M24" s="2"/>
      <c r="N24" s="2"/>
      <c r="O24" s="2"/>
      <c r="P24" s="2"/>
      <c r="Q24" s="2"/>
      <c r="R24" s="2"/>
    </row>
    <row r="25" ht="23.25" customHeight="1">
      <c r="A25" s="2"/>
      <c r="B25" s="2"/>
      <c r="C25" s="3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>
      <c r="A26" s="2"/>
      <c r="B26" s="2"/>
      <c r="C26" s="3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2"/>
      <c r="B27" s="36" t="s">
        <v>1</v>
      </c>
      <c r="C27" s="37" t="s">
        <v>7</v>
      </c>
      <c r="D27" s="37" t="s">
        <v>45</v>
      </c>
      <c r="E27" s="1"/>
      <c r="F27" s="2"/>
      <c r="G27" s="2"/>
      <c r="H27" s="2"/>
      <c r="I27" s="2"/>
      <c r="J27" s="2"/>
      <c r="K27" s="2"/>
      <c r="L27" s="2"/>
      <c r="M27" s="2"/>
      <c r="N27" s="37" t="s">
        <v>46</v>
      </c>
      <c r="O27" s="37" t="s">
        <v>2</v>
      </c>
      <c r="P27" s="2"/>
      <c r="Q27" s="2"/>
      <c r="R27" s="2"/>
    </row>
    <row r="28">
      <c r="A28" s="2"/>
      <c r="B28" s="38">
        <v>1.0</v>
      </c>
      <c r="C28" s="39" t="s">
        <v>47</v>
      </c>
      <c r="D28" s="40">
        <f>SUM(G24)</f>
        <v>1525000</v>
      </c>
      <c r="E28" s="41"/>
      <c r="F28" s="2"/>
      <c r="G28" s="2"/>
      <c r="H28" s="2"/>
      <c r="I28" s="2"/>
      <c r="J28" s="2"/>
      <c r="K28" s="2"/>
      <c r="L28" s="2"/>
      <c r="M28" s="2"/>
      <c r="N28" s="42" t="s">
        <v>48</v>
      </c>
      <c r="O28" s="23" t="s">
        <v>33</v>
      </c>
      <c r="P28" s="2"/>
      <c r="Q28" s="2"/>
      <c r="R28" s="2"/>
    </row>
    <row r="29">
      <c r="A29" s="2"/>
      <c r="B29" s="43">
        <v>2.0</v>
      </c>
      <c r="C29" s="44" t="s">
        <v>76</v>
      </c>
      <c r="D29" s="45">
        <v>-100000.0</v>
      </c>
      <c r="E29" s="46"/>
      <c r="F29" s="2"/>
      <c r="G29" s="2"/>
      <c r="H29" s="2"/>
      <c r="I29" s="2"/>
      <c r="J29" s="2"/>
      <c r="K29" s="2"/>
      <c r="L29" s="2"/>
      <c r="M29" s="2"/>
      <c r="N29" s="47" t="s">
        <v>50</v>
      </c>
      <c r="O29" s="48" t="s">
        <v>22</v>
      </c>
      <c r="P29" s="2"/>
      <c r="Q29" s="2"/>
      <c r="R29" s="2"/>
    </row>
    <row r="30">
      <c r="A30" s="2"/>
      <c r="B30" s="38">
        <v>3.0</v>
      </c>
      <c r="C30" s="39" t="s">
        <v>139</v>
      </c>
      <c r="D30" s="49">
        <v>-75000.0</v>
      </c>
      <c r="E30" s="46"/>
      <c r="F30" s="2"/>
      <c r="G30" s="2"/>
      <c r="H30" s="2"/>
      <c r="I30" s="2"/>
      <c r="J30" s="2"/>
      <c r="K30" s="2"/>
      <c r="L30" s="2"/>
      <c r="M30" s="2"/>
      <c r="N30" s="50" t="s">
        <v>52</v>
      </c>
      <c r="O30" s="25" t="s">
        <v>127</v>
      </c>
      <c r="P30" s="2"/>
      <c r="Q30" s="2"/>
      <c r="R30" s="2"/>
    </row>
    <row r="31">
      <c r="A31" s="2"/>
      <c r="B31" s="43">
        <v>4.0</v>
      </c>
      <c r="C31" s="44"/>
      <c r="D31" s="45"/>
      <c r="E31" s="46"/>
      <c r="F31" s="2"/>
      <c r="G31" s="2"/>
      <c r="H31" s="2"/>
      <c r="I31" s="2"/>
      <c r="J31" s="2"/>
      <c r="K31" s="2"/>
      <c r="L31" s="2"/>
      <c r="M31" s="2"/>
      <c r="N31" s="51" t="s">
        <v>54</v>
      </c>
      <c r="O31" s="48" t="s">
        <v>62</v>
      </c>
      <c r="P31" s="2"/>
      <c r="Q31" s="2"/>
      <c r="R31" s="2"/>
    </row>
    <row r="32">
      <c r="A32" s="2"/>
      <c r="B32" s="38"/>
      <c r="C32" s="52"/>
      <c r="D32" s="40"/>
      <c r="E32" s="41"/>
      <c r="F32" s="2"/>
      <c r="G32" s="2"/>
      <c r="H32" s="2"/>
      <c r="I32" s="2"/>
      <c r="J32" s="2"/>
      <c r="K32" s="2"/>
      <c r="L32" s="2"/>
      <c r="M32" s="2"/>
      <c r="N32" s="53"/>
      <c r="O32" s="2"/>
      <c r="P32" s="2"/>
      <c r="Q32" s="2"/>
      <c r="R32" s="2"/>
    </row>
    <row r="33">
      <c r="A33" s="2"/>
      <c r="B33" s="43"/>
      <c r="C33" s="54"/>
      <c r="D33" s="55"/>
      <c r="E33" s="4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2"/>
      <c r="B34" s="38"/>
      <c r="C34" s="52"/>
      <c r="D34" s="40"/>
      <c r="E34" s="4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2"/>
      <c r="B35" s="43"/>
      <c r="C35" s="54"/>
      <c r="D35" s="55"/>
      <c r="E35" s="4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2"/>
      <c r="B36" s="38"/>
      <c r="C36" s="52"/>
      <c r="D36" s="40"/>
      <c r="E36" s="4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/>
      <c r="B37" s="43"/>
      <c r="C37" s="54"/>
      <c r="D37" s="55"/>
      <c r="E37" s="4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56"/>
      <c r="C38" s="57"/>
      <c r="D38" s="58"/>
      <c r="E38" s="4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2"/>
      <c r="C39" s="3"/>
      <c r="D39" s="59">
        <f>SUM(D28:D38)</f>
        <v>1350000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2"/>
      <c r="C40" s="3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2"/>
      <c r="C41" s="3"/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2"/>
      <c r="B42" s="2"/>
      <c r="C42" s="3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2"/>
      <c r="B43" s="2"/>
      <c r="C43" s="3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3 O28:O29">
      <formula1>"-,JIJANG,AXEL,ADDEL ,FAHME,INDAH"</formula1>
    </dataValidation>
    <dataValidation type="list" allowBlank="1" showErrorMessage="1" sqref="N4:N23">
      <formula1>"-,Pending,Progress,Uploaded"</formula1>
    </dataValidation>
    <dataValidation type="list" allowBlank="1" showErrorMessage="1" sqref="O4:O23">
      <formula1>"-,In Pikako,In Foxe"</formula1>
    </dataValidation>
    <dataValidation type="list" allowBlank="1" showDropDown="1" showErrorMessage="1" sqref="D4:D23">
      <formula1>"-,Single,Couple A,Couple B,Group A,Group B,Group C,Large Group,Graduation,Graduation Premium,Family A,Family B,Maternity,Concept,Studio Rent,Pas Foto,Single,Add Person ,Add Edit,All File,Photofox"</formula1>
    </dataValidation>
    <dataValidation type="list" allowBlank="1" showDropDown="1" showErrorMessage="1" sqref="I4:I23">
      <formula1>"-,DP,Lunas"</formula1>
    </dataValidation>
    <dataValidation type="list" allowBlank="1" showDropDown="1" showErrorMessage="1" sqref="J4:K23">
      <formula1>"-,Pending,Uploaded"</formula1>
    </dataValidation>
    <dataValidation type="list" allowBlank="1" showDropDown="1" showErrorMessage="1" sqref="M4:M23 O30:O31">
      <formula1>"-,VERO,FADEL,PENTIL,FAHME,HANIF ,ADIF"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>
        <v>2.0</v>
      </c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 t="s">
        <v>546</v>
      </c>
      <c r="D4" s="17" t="s">
        <v>92</v>
      </c>
      <c r="E4" s="18"/>
      <c r="F4" s="19">
        <v>46203.0</v>
      </c>
      <c r="G4" s="20"/>
      <c r="H4" s="21">
        <v>100000.0</v>
      </c>
      <c r="I4" s="22" t="s">
        <v>25</v>
      </c>
      <c r="J4" s="22"/>
      <c r="K4" s="22"/>
      <c r="L4" s="22" t="s">
        <v>22</v>
      </c>
      <c r="M4" s="22"/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 t="s">
        <v>547</v>
      </c>
      <c r="D5" s="17" t="s">
        <v>92</v>
      </c>
      <c r="E5" s="18"/>
      <c r="F5" s="19">
        <v>46204.0</v>
      </c>
      <c r="G5" s="20"/>
      <c r="H5" s="21">
        <v>100000.0</v>
      </c>
      <c r="I5" s="22" t="s">
        <v>25</v>
      </c>
      <c r="J5" s="22"/>
      <c r="K5" s="22"/>
      <c r="L5" s="22" t="s">
        <v>22</v>
      </c>
      <c r="M5" s="22"/>
      <c r="N5" s="25"/>
      <c r="O5" s="25"/>
      <c r="P5" s="26"/>
      <c r="Q5" s="2"/>
      <c r="R5" s="2"/>
    </row>
    <row r="6">
      <c r="A6" s="2"/>
      <c r="B6" s="15">
        <v>3.0</v>
      </c>
      <c r="C6" s="16" t="s">
        <v>548</v>
      </c>
      <c r="D6" s="17" t="s">
        <v>24</v>
      </c>
      <c r="E6" s="18"/>
      <c r="F6" s="27">
        <v>46203.0</v>
      </c>
      <c r="G6" s="28"/>
      <c r="H6" s="21">
        <v>100000.0</v>
      </c>
      <c r="I6" s="22" t="s">
        <v>25</v>
      </c>
      <c r="J6" s="22" t="s">
        <v>26</v>
      </c>
      <c r="K6" s="22" t="s">
        <v>26</v>
      </c>
      <c r="L6" s="22" t="s">
        <v>22</v>
      </c>
      <c r="M6" s="22" t="s">
        <v>27</v>
      </c>
      <c r="N6" s="25"/>
      <c r="O6" s="25"/>
      <c r="P6" s="26"/>
      <c r="Q6" s="2"/>
      <c r="R6" s="2"/>
    </row>
    <row r="7">
      <c r="A7" s="2"/>
      <c r="B7" s="15">
        <v>4.0</v>
      </c>
      <c r="C7" s="16" t="s">
        <v>549</v>
      </c>
      <c r="D7" s="17" t="s">
        <v>20</v>
      </c>
      <c r="E7" s="18"/>
      <c r="F7" s="27">
        <v>46204.0</v>
      </c>
      <c r="G7" s="20"/>
      <c r="H7" s="21">
        <v>100000.0</v>
      </c>
      <c r="I7" s="22" t="s">
        <v>21</v>
      </c>
      <c r="J7" s="22"/>
      <c r="K7" s="22"/>
      <c r="L7" s="22" t="s">
        <v>22</v>
      </c>
      <c r="M7" s="29"/>
      <c r="N7" s="25"/>
      <c r="O7" s="25"/>
      <c r="P7" s="26"/>
      <c r="Q7" s="2"/>
      <c r="R7" s="2"/>
    </row>
    <row r="8">
      <c r="A8" s="2"/>
      <c r="B8" s="15">
        <v>5.0</v>
      </c>
      <c r="C8" s="16" t="s">
        <v>528</v>
      </c>
      <c r="D8" s="17" t="s">
        <v>223</v>
      </c>
      <c r="E8" s="18">
        <v>10.0</v>
      </c>
      <c r="F8" s="27">
        <v>46202.0</v>
      </c>
      <c r="G8" s="20"/>
      <c r="H8" s="21">
        <v>100000.0</v>
      </c>
      <c r="I8" s="22" t="s">
        <v>25</v>
      </c>
      <c r="J8" s="22" t="s">
        <v>26</v>
      </c>
      <c r="K8" s="22"/>
      <c r="L8" s="22" t="s">
        <v>22</v>
      </c>
      <c r="M8" s="29"/>
      <c r="N8" s="25"/>
      <c r="O8" s="26"/>
      <c r="P8" s="26"/>
      <c r="Q8" s="2"/>
      <c r="R8" s="2"/>
    </row>
    <row r="9">
      <c r="A9" s="2"/>
      <c r="B9" s="15">
        <v>6.0</v>
      </c>
      <c r="C9" s="16" t="s">
        <v>550</v>
      </c>
      <c r="D9" s="17" t="s">
        <v>92</v>
      </c>
      <c r="E9" s="18"/>
      <c r="F9" s="27">
        <v>46203.0</v>
      </c>
      <c r="G9" s="20">
        <v>100000.0</v>
      </c>
      <c r="H9" s="30"/>
      <c r="I9" s="22" t="s">
        <v>25</v>
      </c>
      <c r="J9" s="22" t="s">
        <v>26</v>
      </c>
      <c r="K9" s="22" t="s">
        <v>26</v>
      </c>
      <c r="L9" s="22" t="s">
        <v>22</v>
      </c>
      <c r="M9" s="22" t="s">
        <v>27</v>
      </c>
      <c r="N9" s="25"/>
      <c r="O9" s="26"/>
      <c r="P9" s="26"/>
      <c r="Q9" s="2"/>
      <c r="R9" s="2"/>
    </row>
    <row r="10">
      <c r="A10" s="2"/>
      <c r="B10" s="15">
        <v>7.0</v>
      </c>
      <c r="C10" s="16" t="s">
        <v>530</v>
      </c>
      <c r="D10" s="17" t="s">
        <v>132</v>
      </c>
      <c r="E10" s="18" t="s">
        <v>551</v>
      </c>
      <c r="F10" s="27">
        <v>46203.0</v>
      </c>
      <c r="G10" s="20"/>
      <c r="H10" s="21">
        <v>350000.0</v>
      </c>
      <c r="I10" s="22" t="s">
        <v>25</v>
      </c>
      <c r="J10" s="22" t="s">
        <v>26</v>
      </c>
      <c r="K10" s="22" t="s">
        <v>26</v>
      </c>
      <c r="L10" s="22" t="s">
        <v>22</v>
      </c>
      <c r="M10" s="22" t="s">
        <v>27</v>
      </c>
      <c r="N10" s="25"/>
      <c r="O10" s="26"/>
      <c r="P10" s="26"/>
      <c r="Q10" s="2"/>
      <c r="R10" s="2"/>
    </row>
    <row r="11">
      <c r="A11" s="2"/>
      <c r="B11" s="15">
        <v>8.0</v>
      </c>
      <c r="C11" s="16" t="s">
        <v>552</v>
      </c>
      <c r="D11" s="17" t="s">
        <v>24</v>
      </c>
      <c r="E11" s="18"/>
      <c r="F11" s="27">
        <v>46203.0</v>
      </c>
      <c r="G11" s="20"/>
      <c r="H11" s="21">
        <v>100000.0</v>
      </c>
      <c r="I11" s="22" t="s">
        <v>25</v>
      </c>
      <c r="J11" s="22"/>
      <c r="K11" s="22"/>
      <c r="L11" s="22" t="s">
        <v>22</v>
      </c>
      <c r="M11" s="29"/>
      <c r="N11" s="25"/>
      <c r="O11" s="26"/>
      <c r="P11" s="26"/>
      <c r="Q11" s="2"/>
      <c r="R11" s="2"/>
    </row>
    <row r="12">
      <c r="A12" s="2"/>
      <c r="B12" s="15">
        <v>9.0</v>
      </c>
      <c r="C12" s="16" t="s">
        <v>553</v>
      </c>
      <c r="D12" s="17" t="s">
        <v>58</v>
      </c>
      <c r="E12" s="18"/>
      <c r="F12" s="27">
        <v>46206.0</v>
      </c>
      <c r="G12" s="20"/>
      <c r="H12" s="21">
        <v>150000.0</v>
      </c>
      <c r="I12" s="22" t="s">
        <v>25</v>
      </c>
      <c r="J12" s="22"/>
      <c r="K12" s="22"/>
      <c r="L12" s="22" t="s">
        <v>22</v>
      </c>
      <c r="M12" s="29"/>
      <c r="N12" s="25"/>
      <c r="O12" s="26"/>
      <c r="P12" s="26"/>
      <c r="Q12" s="2"/>
      <c r="R12" s="2"/>
    </row>
    <row r="13">
      <c r="A13" s="2"/>
      <c r="B13" s="15">
        <v>10.0</v>
      </c>
      <c r="C13" s="16" t="s">
        <v>554</v>
      </c>
      <c r="D13" s="17" t="s">
        <v>42</v>
      </c>
      <c r="E13" s="18"/>
      <c r="F13" s="27">
        <v>46208.0</v>
      </c>
      <c r="G13" s="20"/>
      <c r="H13" s="21">
        <v>100000.0</v>
      </c>
      <c r="I13" s="22" t="s">
        <v>21</v>
      </c>
      <c r="J13" s="22"/>
      <c r="K13" s="22"/>
      <c r="L13" s="22" t="s">
        <v>22</v>
      </c>
      <c r="M13" s="29"/>
      <c r="N13" s="25"/>
      <c r="O13" s="26"/>
      <c r="P13" s="26"/>
      <c r="Q13" s="2"/>
      <c r="R13" s="2"/>
    </row>
    <row r="14">
      <c r="A14" s="2"/>
      <c r="B14" s="31"/>
      <c r="C14" s="16" t="s">
        <v>555</v>
      </c>
      <c r="D14" s="17" t="s">
        <v>40</v>
      </c>
      <c r="E14" s="18"/>
      <c r="F14" s="27">
        <v>46207.0</v>
      </c>
      <c r="G14" s="20"/>
      <c r="H14" s="21">
        <v>100000.0</v>
      </c>
      <c r="I14" s="22" t="s">
        <v>21</v>
      </c>
      <c r="J14" s="22"/>
      <c r="K14" s="22"/>
      <c r="L14" s="22" t="s">
        <v>22</v>
      </c>
      <c r="M14" s="29"/>
      <c r="N14" s="25"/>
      <c r="O14" s="26"/>
      <c r="P14" s="26"/>
      <c r="Q14" s="2"/>
      <c r="R14" s="2"/>
    </row>
    <row r="15">
      <c r="A15" s="2"/>
      <c r="B15" s="31"/>
      <c r="C15" s="16" t="s">
        <v>516</v>
      </c>
      <c r="D15" s="17" t="s">
        <v>20</v>
      </c>
      <c r="E15" s="18"/>
      <c r="F15" s="27">
        <v>46203.0</v>
      </c>
      <c r="G15" s="20">
        <v>975000.0</v>
      </c>
      <c r="H15" s="30"/>
      <c r="I15" s="22" t="s">
        <v>25</v>
      </c>
      <c r="J15" s="22" t="s">
        <v>26</v>
      </c>
      <c r="K15" s="22" t="s">
        <v>30</v>
      </c>
      <c r="L15" s="22" t="s">
        <v>22</v>
      </c>
      <c r="M15" s="22" t="s">
        <v>27</v>
      </c>
      <c r="N15" s="25"/>
      <c r="O15" s="26"/>
      <c r="P15" s="26"/>
      <c r="Q15" s="2"/>
      <c r="R15" s="2"/>
    </row>
    <row r="16">
      <c r="A16" s="2"/>
      <c r="B16" s="31"/>
      <c r="C16" s="16" t="s">
        <v>556</v>
      </c>
      <c r="D16" s="17" t="s">
        <v>20</v>
      </c>
      <c r="E16" s="18"/>
      <c r="F16" s="27">
        <v>46203.0</v>
      </c>
      <c r="G16" s="20"/>
      <c r="H16" s="21">
        <v>150000.0</v>
      </c>
      <c r="I16" s="22" t="s">
        <v>25</v>
      </c>
      <c r="J16" s="22" t="s">
        <v>26</v>
      </c>
      <c r="K16" s="22" t="s">
        <v>26</v>
      </c>
      <c r="L16" s="22" t="s">
        <v>22</v>
      </c>
      <c r="M16" s="22" t="s">
        <v>27</v>
      </c>
      <c r="N16" s="25"/>
      <c r="O16" s="26"/>
      <c r="P16" s="26"/>
      <c r="Q16" s="2"/>
      <c r="R16" s="2"/>
    </row>
    <row r="17">
      <c r="A17" s="2"/>
      <c r="B17" s="31"/>
      <c r="C17" s="16" t="s">
        <v>557</v>
      </c>
      <c r="D17" s="17" t="s">
        <v>85</v>
      </c>
      <c r="E17" s="18"/>
      <c r="F17" s="27">
        <v>46203.0</v>
      </c>
      <c r="G17" s="20"/>
      <c r="H17" s="21">
        <v>250000.0</v>
      </c>
      <c r="I17" s="22" t="s">
        <v>25</v>
      </c>
      <c r="J17" s="22"/>
      <c r="K17" s="22"/>
      <c r="L17" s="22" t="s">
        <v>33</v>
      </c>
      <c r="M17" s="29"/>
      <c r="N17" s="25"/>
      <c r="O17" s="26"/>
      <c r="P17" s="26"/>
      <c r="Q17" s="2"/>
      <c r="R17" s="2"/>
    </row>
    <row r="18">
      <c r="A18" s="2"/>
      <c r="B18" s="31"/>
      <c r="C18" s="16" t="s">
        <v>558</v>
      </c>
      <c r="D18" s="17" t="s">
        <v>20</v>
      </c>
      <c r="E18" s="18"/>
      <c r="F18" s="27">
        <v>46206.0</v>
      </c>
      <c r="G18" s="28"/>
      <c r="H18" s="21">
        <v>100000.0</v>
      </c>
      <c r="I18" s="22" t="s">
        <v>21</v>
      </c>
      <c r="J18" s="29"/>
      <c r="K18" s="29"/>
      <c r="L18" s="22" t="s">
        <v>33</v>
      </c>
      <c r="M18" s="29"/>
      <c r="N18" s="26"/>
      <c r="O18" s="26"/>
      <c r="P18" s="26"/>
      <c r="Q18" s="2"/>
      <c r="R18" s="2"/>
    </row>
    <row r="19">
      <c r="A19" s="2"/>
      <c r="B19" s="31"/>
      <c r="C19" s="16" t="s">
        <v>539</v>
      </c>
      <c r="D19" s="17" t="s">
        <v>20</v>
      </c>
      <c r="E19" s="18"/>
      <c r="F19" s="27">
        <v>46203.0</v>
      </c>
      <c r="G19" s="20">
        <v>1100000.0</v>
      </c>
      <c r="H19" s="30"/>
      <c r="I19" s="22" t="s">
        <v>25</v>
      </c>
      <c r="J19" s="22" t="s">
        <v>26</v>
      </c>
      <c r="K19" s="22" t="s">
        <v>26</v>
      </c>
      <c r="L19" s="22" t="s">
        <v>33</v>
      </c>
      <c r="M19" s="22" t="s">
        <v>34</v>
      </c>
      <c r="N19" s="26"/>
      <c r="O19" s="26"/>
      <c r="P19" s="26"/>
      <c r="Q19" s="2"/>
      <c r="R19" s="2"/>
    </row>
    <row r="20">
      <c r="A20" s="2"/>
      <c r="B20" s="31"/>
      <c r="C20" s="16" t="s">
        <v>559</v>
      </c>
      <c r="D20" s="17" t="s">
        <v>560</v>
      </c>
      <c r="E20" s="18"/>
      <c r="F20" s="27">
        <v>46204.0</v>
      </c>
      <c r="G20" s="28"/>
      <c r="H20" s="21">
        <v>100000.0</v>
      </c>
      <c r="I20" s="22" t="s">
        <v>21</v>
      </c>
      <c r="J20" s="29"/>
      <c r="K20" s="29"/>
      <c r="L20" s="22" t="s">
        <v>33</v>
      </c>
      <c r="M20" s="29"/>
      <c r="N20" s="26"/>
      <c r="O20" s="26"/>
      <c r="P20" s="26"/>
      <c r="Q20" s="2"/>
      <c r="R20" s="2"/>
    </row>
    <row r="21">
      <c r="A21" s="2"/>
      <c r="B21" s="31"/>
      <c r="C21" s="16" t="s">
        <v>561</v>
      </c>
      <c r="D21" s="17" t="s">
        <v>40</v>
      </c>
      <c r="E21" s="18"/>
      <c r="F21" s="27">
        <v>46208.0</v>
      </c>
      <c r="G21" s="28"/>
      <c r="H21" s="21">
        <v>100000.0</v>
      </c>
      <c r="I21" s="22" t="s">
        <v>21</v>
      </c>
      <c r="J21" s="29"/>
      <c r="K21" s="29"/>
      <c r="L21" s="22" t="s">
        <v>33</v>
      </c>
      <c r="M21" s="29"/>
      <c r="N21" s="26"/>
      <c r="O21" s="26"/>
      <c r="P21" s="26"/>
      <c r="Q21" s="2"/>
      <c r="R21" s="2"/>
    </row>
    <row r="22">
      <c r="A22" s="2"/>
      <c r="B22" s="31"/>
      <c r="C22" s="16" t="s">
        <v>546</v>
      </c>
      <c r="D22" s="17" t="s">
        <v>92</v>
      </c>
      <c r="E22" s="18"/>
      <c r="F22" s="27">
        <v>46203.0</v>
      </c>
      <c r="G22" s="20">
        <v>50000.0</v>
      </c>
      <c r="H22" s="30"/>
      <c r="I22" s="22" t="s">
        <v>25</v>
      </c>
      <c r="J22" s="22" t="s">
        <v>26</v>
      </c>
      <c r="K22" s="22" t="s">
        <v>30</v>
      </c>
      <c r="L22" s="22" t="s">
        <v>33</v>
      </c>
      <c r="M22" s="22" t="s">
        <v>34</v>
      </c>
      <c r="N22" s="26"/>
      <c r="O22" s="26"/>
      <c r="P22" s="26"/>
      <c r="Q22" s="2"/>
      <c r="R22" s="2"/>
    </row>
    <row r="23">
      <c r="A23" s="2"/>
      <c r="B23" s="31"/>
      <c r="C23" s="32"/>
      <c r="D23" s="17"/>
      <c r="E23" s="18"/>
      <c r="F23" s="31"/>
      <c r="G23" s="28"/>
      <c r="H23" s="30"/>
      <c r="I23" s="29"/>
      <c r="J23" s="29"/>
      <c r="K23" s="29"/>
      <c r="L23" s="29"/>
      <c r="M23" s="29"/>
      <c r="N23" s="33"/>
      <c r="O23" s="33"/>
      <c r="P23" s="33"/>
      <c r="Q23" s="2"/>
      <c r="R23" s="2"/>
    </row>
    <row r="24" ht="18.75" customHeight="1">
      <c r="A24" s="2"/>
      <c r="B24" s="2"/>
      <c r="C24" s="3"/>
      <c r="D24" s="3"/>
      <c r="E24" s="2"/>
      <c r="F24" s="2"/>
      <c r="G24" s="34">
        <f t="shared" ref="G24:H24" si="1">SUM(G4:G23)</f>
        <v>2225000</v>
      </c>
      <c r="H24" s="35">
        <f t="shared" si="1"/>
        <v>2000000</v>
      </c>
      <c r="I24" s="2"/>
      <c r="J24" s="2"/>
      <c r="K24" s="2"/>
      <c r="L24" s="2"/>
      <c r="M24" s="2"/>
      <c r="N24" s="2"/>
      <c r="O24" s="2"/>
      <c r="P24" s="2"/>
      <c r="Q24" s="2"/>
      <c r="R24" s="2"/>
    </row>
    <row r="25" ht="23.25" customHeight="1">
      <c r="A25" s="2"/>
      <c r="B25" s="2"/>
      <c r="C25" s="3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>
      <c r="A26" s="2"/>
      <c r="B26" s="2"/>
      <c r="C26" s="3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2"/>
      <c r="B27" s="36" t="s">
        <v>1</v>
      </c>
      <c r="C27" s="37" t="s">
        <v>7</v>
      </c>
      <c r="D27" s="37" t="s">
        <v>45</v>
      </c>
      <c r="E27" s="1"/>
      <c r="F27" s="2"/>
      <c r="G27" s="2"/>
      <c r="H27" s="2"/>
      <c r="I27" s="2"/>
      <c r="J27" s="2"/>
      <c r="K27" s="2"/>
      <c r="L27" s="2"/>
      <c r="M27" s="2"/>
      <c r="N27" s="37" t="s">
        <v>46</v>
      </c>
      <c r="O27" s="37" t="s">
        <v>2</v>
      </c>
      <c r="P27" s="2"/>
      <c r="Q27" s="2"/>
      <c r="R27" s="2"/>
    </row>
    <row r="28">
      <c r="A28" s="2"/>
      <c r="B28" s="38">
        <v>1.0</v>
      </c>
      <c r="C28" s="39" t="s">
        <v>47</v>
      </c>
      <c r="D28" s="40">
        <f>SUM(G24)</f>
        <v>2225000</v>
      </c>
      <c r="E28" s="41"/>
      <c r="F28" s="2"/>
      <c r="G28" s="2"/>
      <c r="H28" s="2"/>
      <c r="I28" s="2"/>
      <c r="J28" s="2"/>
      <c r="K28" s="2"/>
      <c r="L28" s="2"/>
      <c r="M28" s="2"/>
      <c r="N28" s="42" t="s">
        <v>48</v>
      </c>
      <c r="O28" s="23" t="s">
        <v>22</v>
      </c>
      <c r="P28" s="2"/>
      <c r="Q28" s="2"/>
      <c r="R28" s="2"/>
    </row>
    <row r="29">
      <c r="A29" s="2"/>
      <c r="B29" s="43">
        <v>2.0</v>
      </c>
      <c r="C29" s="44" t="s">
        <v>97</v>
      </c>
      <c r="D29" s="45">
        <v>-50000.0</v>
      </c>
      <c r="E29" s="46"/>
      <c r="F29" s="2"/>
      <c r="G29" s="2"/>
      <c r="H29" s="2"/>
      <c r="I29" s="2"/>
      <c r="J29" s="2"/>
      <c r="K29" s="2"/>
      <c r="L29" s="2"/>
      <c r="M29" s="2"/>
      <c r="N29" s="47" t="s">
        <v>50</v>
      </c>
      <c r="O29" s="48" t="s">
        <v>33</v>
      </c>
      <c r="P29" s="2"/>
      <c r="Q29" s="2"/>
      <c r="R29" s="2"/>
    </row>
    <row r="30">
      <c r="A30" s="2"/>
      <c r="B30" s="38">
        <v>3.0</v>
      </c>
      <c r="C30" s="39" t="s">
        <v>76</v>
      </c>
      <c r="D30" s="49">
        <v>-75000.0</v>
      </c>
      <c r="E30" s="46"/>
      <c r="F30" s="2"/>
      <c r="G30" s="2"/>
      <c r="H30" s="2"/>
      <c r="I30" s="2"/>
      <c r="J30" s="2"/>
      <c r="K30" s="2"/>
      <c r="L30" s="2"/>
      <c r="M30" s="2"/>
      <c r="N30" s="50" t="s">
        <v>52</v>
      </c>
      <c r="O30" s="25" t="s">
        <v>27</v>
      </c>
      <c r="P30" s="2"/>
      <c r="Q30" s="2"/>
      <c r="R30" s="2"/>
    </row>
    <row r="31">
      <c r="A31" s="2"/>
      <c r="B31" s="43">
        <v>4.0</v>
      </c>
      <c r="C31" s="44"/>
      <c r="D31" s="45"/>
      <c r="E31" s="46"/>
      <c r="F31" s="2"/>
      <c r="G31" s="2"/>
      <c r="H31" s="2"/>
      <c r="I31" s="2"/>
      <c r="J31" s="2"/>
      <c r="K31" s="2"/>
      <c r="L31" s="2"/>
      <c r="M31" s="2"/>
      <c r="N31" s="51" t="s">
        <v>54</v>
      </c>
      <c r="O31" s="48" t="s">
        <v>34</v>
      </c>
      <c r="P31" s="2"/>
      <c r="Q31" s="2"/>
      <c r="R31" s="2"/>
    </row>
    <row r="32">
      <c r="A32" s="2"/>
      <c r="B32" s="38"/>
      <c r="C32" s="52"/>
      <c r="D32" s="40"/>
      <c r="E32" s="41"/>
      <c r="F32" s="2"/>
      <c r="G32" s="2"/>
      <c r="H32" s="2"/>
      <c r="I32" s="2"/>
      <c r="J32" s="2"/>
      <c r="K32" s="2"/>
      <c r="L32" s="2"/>
      <c r="M32" s="2"/>
      <c r="N32" s="53"/>
      <c r="O32" s="2"/>
      <c r="P32" s="2"/>
      <c r="Q32" s="2"/>
      <c r="R32" s="2"/>
    </row>
    <row r="33">
      <c r="A33" s="2"/>
      <c r="B33" s="43"/>
      <c r="C33" s="54"/>
      <c r="D33" s="55"/>
      <c r="E33" s="4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2"/>
      <c r="B34" s="38"/>
      <c r="C34" s="52"/>
      <c r="D34" s="40"/>
      <c r="E34" s="4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2"/>
      <c r="B35" s="43"/>
      <c r="C35" s="54"/>
      <c r="D35" s="55"/>
      <c r="E35" s="4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2"/>
      <c r="B36" s="38"/>
      <c r="C36" s="52"/>
      <c r="D36" s="40"/>
      <c r="E36" s="4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/>
      <c r="B37" s="43"/>
      <c r="C37" s="54"/>
      <c r="D37" s="55"/>
      <c r="E37" s="4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56"/>
      <c r="C38" s="57"/>
      <c r="D38" s="58"/>
      <c r="E38" s="4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2"/>
      <c r="C39" s="3"/>
      <c r="D39" s="59">
        <f>SUM(D28:D38)</f>
        <v>2100000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2"/>
      <c r="C40" s="3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2"/>
      <c r="C41" s="3"/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2"/>
      <c r="B42" s="2"/>
      <c r="C42" s="3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2"/>
      <c r="B43" s="2"/>
      <c r="C43" s="3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3 O28:O29">
      <formula1>"-,JIJANG,AXEL,PENTIL,ADDEL ,INDAH"</formula1>
    </dataValidation>
    <dataValidation type="list" allowBlank="1" showErrorMessage="1" sqref="N4:N23">
      <formula1>"-,Pending,Progress,Uploaded"</formula1>
    </dataValidation>
    <dataValidation type="list" allowBlank="1" showDropDown="1" showErrorMessage="1" sqref="D4:D23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DropDown="1" showErrorMessage="1" sqref="M4:M23 O30:O31">
      <formula1>"-,VERO,FADEL,PENTIL,FAHME,HANIF,ADIF "</formula1>
    </dataValidation>
    <dataValidation type="list" allowBlank="1" showErrorMessage="1" sqref="O4:O23">
      <formula1>"-,In Pikako,In Foxe"</formula1>
    </dataValidation>
    <dataValidation type="list" allowBlank="1" showDropDown="1" showErrorMessage="1" sqref="I4:I23">
      <formula1>"-,DP,Lunas"</formula1>
    </dataValidation>
    <dataValidation type="list" allowBlank="1" showDropDown="1" showErrorMessage="1" sqref="J4:K23">
      <formula1>"-,Pending,Uploaded"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2"/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/>
      <c r="I2" s="6" t="s">
        <v>7</v>
      </c>
      <c r="J2" s="8"/>
      <c r="K2" s="7"/>
      <c r="L2" s="5" t="s">
        <v>8</v>
      </c>
      <c r="M2" s="5" t="s">
        <v>9</v>
      </c>
      <c r="N2" s="9" t="s">
        <v>10</v>
      </c>
      <c r="O2" s="8"/>
      <c r="P2" s="7"/>
      <c r="Q2" s="4"/>
      <c r="R2" s="4"/>
    </row>
    <row r="3">
      <c r="A3" s="4"/>
      <c r="B3" s="10"/>
      <c r="C3" s="10"/>
      <c r="D3" s="10"/>
      <c r="E3" s="10"/>
      <c r="F3" s="10"/>
      <c r="G3" s="11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0"/>
      <c r="M3" s="10"/>
      <c r="N3" s="14" t="s">
        <v>16</v>
      </c>
      <c r="O3" s="14" t="s">
        <v>17</v>
      </c>
      <c r="P3" s="14" t="s">
        <v>18</v>
      </c>
      <c r="Q3" s="4"/>
      <c r="R3" s="4"/>
    </row>
    <row r="4">
      <c r="A4" s="2"/>
      <c r="B4" s="15">
        <v>1.0</v>
      </c>
      <c r="C4" s="16"/>
      <c r="D4" s="17"/>
      <c r="E4" s="18"/>
      <c r="F4" s="19">
        <v>45231.0</v>
      </c>
      <c r="G4" s="20"/>
      <c r="H4" s="21"/>
      <c r="I4" s="22"/>
      <c r="J4" s="22"/>
      <c r="K4" s="22"/>
      <c r="L4" s="22"/>
      <c r="M4" s="22"/>
      <c r="N4" s="23"/>
      <c r="O4" s="23"/>
      <c r="P4" s="24">
        <v>45231.0</v>
      </c>
      <c r="Q4" s="2"/>
      <c r="R4" s="2"/>
    </row>
    <row r="5">
      <c r="A5" s="2"/>
      <c r="B5" s="15">
        <v>2.0</v>
      </c>
      <c r="C5" s="16"/>
      <c r="D5" s="17"/>
      <c r="E5" s="18"/>
      <c r="F5" s="19"/>
      <c r="G5" s="20"/>
      <c r="H5" s="21"/>
      <c r="I5" s="22"/>
      <c r="J5" s="22"/>
      <c r="K5" s="22"/>
      <c r="L5" s="22"/>
      <c r="M5" s="22"/>
      <c r="N5" s="25"/>
      <c r="O5" s="25"/>
      <c r="P5" s="26"/>
      <c r="Q5" s="2"/>
      <c r="R5" s="2"/>
    </row>
    <row r="6">
      <c r="A6" s="2"/>
      <c r="B6" s="15">
        <v>3.0</v>
      </c>
      <c r="C6" s="16"/>
      <c r="D6" s="17"/>
      <c r="E6" s="18"/>
      <c r="F6" s="31"/>
      <c r="G6" s="28"/>
      <c r="H6" s="21"/>
      <c r="I6" s="22"/>
      <c r="J6" s="22"/>
      <c r="K6" s="22"/>
      <c r="L6" s="29"/>
      <c r="M6" s="29"/>
      <c r="N6" s="25"/>
      <c r="O6" s="25"/>
      <c r="P6" s="26"/>
      <c r="Q6" s="2"/>
      <c r="R6" s="2"/>
    </row>
    <row r="7">
      <c r="A7" s="2"/>
      <c r="B7" s="15">
        <v>4.0</v>
      </c>
      <c r="C7" s="16"/>
      <c r="D7" s="17"/>
      <c r="E7" s="18"/>
      <c r="F7" s="31"/>
      <c r="G7" s="20"/>
      <c r="H7" s="30"/>
      <c r="I7" s="22"/>
      <c r="J7" s="22"/>
      <c r="K7" s="22"/>
      <c r="L7" s="29"/>
      <c r="M7" s="29"/>
      <c r="N7" s="25"/>
      <c r="O7" s="25"/>
      <c r="P7" s="26"/>
      <c r="Q7" s="2"/>
      <c r="R7" s="2"/>
    </row>
    <row r="8">
      <c r="A8" s="2"/>
      <c r="B8" s="15">
        <v>5.0</v>
      </c>
      <c r="C8" s="16"/>
      <c r="D8" s="17"/>
      <c r="E8" s="18"/>
      <c r="F8" s="31"/>
      <c r="G8" s="20"/>
      <c r="H8" s="30"/>
      <c r="I8" s="22"/>
      <c r="J8" s="22"/>
      <c r="K8" s="22"/>
      <c r="L8" s="29"/>
      <c r="M8" s="29"/>
      <c r="N8" s="25"/>
      <c r="O8" s="26"/>
      <c r="P8" s="26"/>
      <c r="Q8" s="2"/>
      <c r="R8" s="2"/>
    </row>
    <row r="9">
      <c r="A9" s="2"/>
      <c r="B9" s="15">
        <v>6.0</v>
      </c>
      <c r="C9" s="16"/>
      <c r="D9" s="17"/>
      <c r="E9" s="18"/>
      <c r="F9" s="31"/>
      <c r="G9" s="20"/>
      <c r="H9" s="30"/>
      <c r="I9" s="22"/>
      <c r="J9" s="22"/>
      <c r="K9" s="22"/>
      <c r="L9" s="29"/>
      <c r="M9" s="29"/>
      <c r="N9" s="25"/>
      <c r="O9" s="26"/>
      <c r="P9" s="26"/>
      <c r="Q9" s="2"/>
      <c r="R9" s="2"/>
    </row>
    <row r="10">
      <c r="A10" s="2"/>
      <c r="B10" s="15">
        <v>7.0</v>
      </c>
      <c r="C10" s="16"/>
      <c r="D10" s="17"/>
      <c r="E10" s="18"/>
      <c r="F10" s="31"/>
      <c r="G10" s="20"/>
      <c r="H10" s="30"/>
      <c r="I10" s="22"/>
      <c r="J10" s="22"/>
      <c r="K10" s="22"/>
      <c r="L10" s="29"/>
      <c r="M10" s="29"/>
      <c r="N10" s="25"/>
      <c r="O10" s="26"/>
      <c r="P10" s="26"/>
      <c r="Q10" s="2"/>
      <c r="R10" s="2"/>
    </row>
    <row r="11">
      <c r="A11" s="2"/>
      <c r="B11" s="15">
        <v>8.0</v>
      </c>
      <c r="C11" s="16"/>
      <c r="D11" s="17"/>
      <c r="E11" s="18"/>
      <c r="F11" s="31"/>
      <c r="G11" s="20"/>
      <c r="H11" s="30"/>
      <c r="I11" s="22"/>
      <c r="J11" s="22"/>
      <c r="K11" s="22"/>
      <c r="L11" s="29"/>
      <c r="M11" s="29"/>
      <c r="N11" s="25"/>
      <c r="O11" s="26"/>
      <c r="P11" s="26"/>
      <c r="Q11" s="2"/>
      <c r="R11" s="2"/>
    </row>
    <row r="12">
      <c r="A12" s="2"/>
      <c r="B12" s="15">
        <v>9.0</v>
      </c>
      <c r="C12" s="16"/>
      <c r="D12" s="17"/>
      <c r="E12" s="18"/>
      <c r="F12" s="31"/>
      <c r="G12" s="20"/>
      <c r="H12" s="30"/>
      <c r="I12" s="22"/>
      <c r="J12" s="22"/>
      <c r="K12" s="22"/>
      <c r="L12" s="29"/>
      <c r="M12" s="29"/>
      <c r="N12" s="25"/>
      <c r="O12" s="26"/>
      <c r="P12" s="26"/>
      <c r="Q12" s="2"/>
      <c r="R12" s="2"/>
    </row>
    <row r="13">
      <c r="A13" s="2"/>
      <c r="B13" s="15">
        <v>10.0</v>
      </c>
      <c r="C13" s="16"/>
      <c r="D13" s="17"/>
      <c r="E13" s="18"/>
      <c r="F13" s="31"/>
      <c r="G13" s="20"/>
      <c r="H13" s="30"/>
      <c r="I13" s="22"/>
      <c r="J13" s="22"/>
      <c r="K13" s="22"/>
      <c r="L13" s="29"/>
      <c r="M13" s="29"/>
      <c r="N13" s="25"/>
      <c r="O13" s="26"/>
      <c r="P13" s="26"/>
      <c r="Q13" s="2"/>
      <c r="R13" s="2"/>
    </row>
    <row r="14">
      <c r="A14" s="2"/>
      <c r="B14" s="31"/>
      <c r="C14" s="16"/>
      <c r="D14" s="17"/>
      <c r="E14" s="18"/>
      <c r="F14" s="31"/>
      <c r="G14" s="20"/>
      <c r="H14" s="30"/>
      <c r="I14" s="22"/>
      <c r="J14" s="22"/>
      <c r="K14" s="22"/>
      <c r="L14" s="29"/>
      <c r="M14" s="29"/>
      <c r="N14" s="25"/>
      <c r="O14" s="26"/>
      <c r="P14" s="26"/>
      <c r="Q14" s="2"/>
      <c r="R14" s="2"/>
    </row>
    <row r="15">
      <c r="A15" s="2"/>
      <c r="B15" s="31"/>
      <c r="C15" s="16"/>
      <c r="D15" s="17"/>
      <c r="E15" s="18"/>
      <c r="F15" s="31"/>
      <c r="G15" s="20"/>
      <c r="H15" s="30"/>
      <c r="I15" s="22"/>
      <c r="J15" s="22"/>
      <c r="K15" s="22"/>
      <c r="L15" s="29"/>
      <c r="M15" s="29"/>
      <c r="N15" s="25"/>
      <c r="O15" s="26"/>
      <c r="P15" s="26"/>
      <c r="Q15" s="2"/>
      <c r="R15" s="2"/>
    </row>
    <row r="16">
      <c r="A16" s="2"/>
      <c r="B16" s="31"/>
      <c r="C16" s="16"/>
      <c r="D16" s="17"/>
      <c r="E16" s="18"/>
      <c r="F16" s="31"/>
      <c r="G16" s="20"/>
      <c r="H16" s="30"/>
      <c r="I16" s="22"/>
      <c r="J16" s="22"/>
      <c r="K16" s="22"/>
      <c r="L16" s="29"/>
      <c r="M16" s="29"/>
      <c r="N16" s="25"/>
      <c r="O16" s="26"/>
      <c r="P16" s="26"/>
      <c r="Q16" s="2"/>
      <c r="R16" s="2"/>
    </row>
    <row r="17">
      <c r="A17" s="2"/>
      <c r="B17" s="31"/>
      <c r="C17" s="16"/>
      <c r="D17" s="17"/>
      <c r="E17" s="18"/>
      <c r="F17" s="31"/>
      <c r="G17" s="20"/>
      <c r="H17" s="30"/>
      <c r="I17" s="22"/>
      <c r="J17" s="22"/>
      <c r="K17" s="22"/>
      <c r="L17" s="29"/>
      <c r="M17" s="29"/>
      <c r="N17" s="25"/>
      <c r="O17" s="26"/>
      <c r="P17" s="26"/>
      <c r="Q17" s="2"/>
      <c r="R17" s="2"/>
    </row>
    <row r="18">
      <c r="A18" s="2"/>
      <c r="B18" s="31"/>
      <c r="C18" s="16"/>
      <c r="D18" s="17"/>
      <c r="E18" s="18"/>
      <c r="F18" s="31"/>
      <c r="G18" s="20"/>
      <c r="H18" s="30"/>
      <c r="I18" s="22"/>
      <c r="J18" s="22"/>
      <c r="K18" s="22"/>
      <c r="L18" s="29"/>
      <c r="M18" s="29"/>
      <c r="N18" s="25"/>
      <c r="O18" s="26"/>
      <c r="P18" s="26"/>
      <c r="Q18" s="2"/>
      <c r="R18" s="2"/>
    </row>
    <row r="19">
      <c r="A19" s="2"/>
      <c r="B19" s="31"/>
      <c r="C19" s="16"/>
      <c r="D19" s="17"/>
      <c r="E19" s="18"/>
      <c r="F19" s="31"/>
      <c r="G19" s="20"/>
      <c r="H19" s="30"/>
      <c r="I19" s="22"/>
      <c r="J19" s="22"/>
      <c r="K19" s="22"/>
      <c r="L19" s="29"/>
      <c r="M19" s="29"/>
      <c r="N19" s="25"/>
      <c r="O19" s="26"/>
      <c r="P19" s="26"/>
      <c r="Q19" s="2"/>
      <c r="R19" s="2"/>
    </row>
    <row r="20">
      <c r="A20" s="2"/>
      <c r="B20" s="31"/>
      <c r="C20" s="16"/>
      <c r="D20" s="17"/>
      <c r="E20" s="18"/>
      <c r="F20" s="31"/>
      <c r="G20" s="20"/>
      <c r="H20" s="30"/>
      <c r="I20" s="22"/>
      <c r="J20" s="22"/>
      <c r="K20" s="22"/>
      <c r="L20" s="29"/>
      <c r="M20" s="29"/>
      <c r="N20" s="25"/>
      <c r="O20" s="26"/>
      <c r="P20" s="26"/>
      <c r="Q20" s="2"/>
      <c r="R20" s="2"/>
    </row>
    <row r="21">
      <c r="A21" s="2"/>
      <c r="B21" s="31"/>
      <c r="C21" s="16"/>
      <c r="D21" s="17"/>
      <c r="E21" s="18"/>
      <c r="F21" s="31"/>
      <c r="G21" s="20"/>
      <c r="H21" s="30"/>
      <c r="I21" s="22"/>
      <c r="J21" s="22"/>
      <c r="K21" s="22"/>
      <c r="L21" s="29"/>
      <c r="M21" s="29"/>
      <c r="N21" s="25"/>
      <c r="O21" s="26"/>
      <c r="P21" s="26"/>
      <c r="Q21" s="2"/>
      <c r="R21" s="2"/>
    </row>
    <row r="22">
      <c r="A22" s="2"/>
      <c r="B22" s="31"/>
      <c r="C22" s="16"/>
      <c r="D22" s="17"/>
      <c r="E22" s="18"/>
      <c r="F22" s="31"/>
      <c r="G22" s="20"/>
      <c r="H22" s="30"/>
      <c r="I22" s="22"/>
      <c r="J22" s="22"/>
      <c r="K22" s="22"/>
      <c r="L22" s="29"/>
      <c r="M22" s="29"/>
      <c r="N22" s="25"/>
      <c r="O22" s="26"/>
      <c r="P22" s="26"/>
      <c r="Q22" s="2"/>
      <c r="R22" s="2"/>
    </row>
    <row r="23">
      <c r="A23" s="2"/>
      <c r="B23" s="31"/>
      <c r="C23" s="16"/>
      <c r="D23" s="17"/>
      <c r="E23" s="18"/>
      <c r="F23" s="31"/>
      <c r="G23" s="28"/>
      <c r="H23" s="21"/>
      <c r="I23" s="22"/>
      <c r="J23" s="22"/>
      <c r="K23" s="22"/>
      <c r="L23" s="29"/>
      <c r="M23" s="29"/>
      <c r="N23" s="25"/>
      <c r="O23" s="26"/>
      <c r="P23" s="26"/>
      <c r="Q23" s="2"/>
      <c r="R23" s="2"/>
    </row>
    <row r="24">
      <c r="A24" s="2"/>
      <c r="B24" s="31"/>
      <c r="C24" s="32"/>
      <c r="D24" s="17"/>
      <c r="E24" s="18"/>
      <c r="F24" s="31"/>
      <c r="G24" s="28"/>
      <c r="H24" s="30"/>
      <c r="I24" s="29"/>
      <c r="J24" s="22"/>
      <c r="K24" s="22"/>
      <c r="L24" s="29"/>
      <c r="M24" s="29"/>
      <c r="N24" s="25"/>
      <c r="O24" s="26"/>
      <c r="P24" s="26"/>
      <c r="Q24" s="2"/>
      <c r="R24" s="2"/>
    </row>
    <row r="25">
      <c r="A25" s="2"/>
      <c r="B25" s="31"/>
      <c r="C25" s="32"/>
      <c r="D25" s="17"/>
      <c r="E25" s="18"/>
      <c r="F25" s="31"/>
      <c r="G25" s="28"/>
      <c r="H25" s="30"/>
      <c r="I25" s="29"/>
      <c r="J25" s="29"/>
      <c r="K25" s="29"/>
      <c r="L25" s="29"/>
      <c r="M25" s="29"/>
      <c r="N25" s="26"/>
      <c r="O25" s="26"/>
      <c r="P25" s="26"/>
      <c r="Q25" s="2"/>
      <c r="R25" s="2"/>
    </row>
    <row r="26">
      <c r="A26" s="2"/>
      <c r="B26" s="31"/>
      <c r="C26" s="32"/>
      <c r="D26" s="17"/>
      <c r="E26" s="18"/>
      <c r="F26" s="31"/>
      <c r="G26" s="28"/>
      <c r="H26" s="30"/>
      <c r="I26" s="29"/>
      <c r="J26" s="29"/>
      <c r="K26" s="29"/>
      <c r="L26" s="29"/>
      <c r="M26" s="29"/>
      <c r="N26" s="26"/>
      <c r="O26" s="26"/>
      <c r="P26" s="26"/>
      <c r="Q26" s="2"/>
      <c r="R26" s="2"/>
    </row>
    <row r="27">
      <c r="A27" s="2"/>
      <c r="B27" s="31"/>
      <c r="C27" s="32"/>
      <c r="D27" s="17"/>
      <c r="E27" s="18"/>
      <c r="F27" s="31"/>
      <c r="G27" s="28"/>
      <c r="H27" s="30"/>
      <c r="I27" s="29"/>
      <c r="J27" s="29"/>
      <c r="K27" s="29"/>
      <c r="L27" s="29"/>
      <c r="M27" s="29"/>
      <c r="N27" s="26"/>
      <c r="O27" s="26"/>
      <c r="P27" s="26"/>
      <c r="Q27" s="2"/>
      <c r="R27" s="2"/>
    </row>
    <row r="28">
      <c r="A28" s="2"/>
      <c r="B28" s="31"/>
      <c r="C28" s="32"/>
      <c r="D28" s="17"/>
      <c r="E28" s="18"/>
      <c r="F28" s="31"/>
      <c r="G28" s="28"/>
      <c r="H28" s="30"/>
      <c r="I28" s="29"/>
      <c r="J28" s="29"/>
      <c r="K28" s="29"/>
      <c r="L28" s="29"/>
      <c r="M28" s="29"/>
      <c r="N28" s="26"/>
      <c r="O28" s="26"/>
      <c r="P28" s="26"/>
      <c r="Q28" s="2"/>
      <c r="R28" s="2"/>
    </row>
    <row r="29">
      <c r="A29" s="2"/>
      <c r="B29" s="31"/>
      <c r="C29" s="32"/>
      <c r="D29" s="17"/>
      <c r="E29" s="18"/>
      <c r="F29" s="31"/>
      <c r="G29" s="28"/>
      <c r="H29" s="30"/>
      <c r="I29" s="29"/>
      <c r="J29" s="29"/>
      <c r="K29" s="29"/>
      <c r="L29" s="29"/>
      <c r="M29" s="29"/>
      <c r="N29" s="26"/>
      <c r="O29" s="26"/>
      <c r="P29" s="26"/>
      <c r="Q29" s="2"/>
      <c r="R29" s="2"/>
    </row>
    <row r="30">
      <c r="A30" s="2"/>
      <c r="B30" s="31"/>
      <c r="C30" s="16"/>
      <c r="D30" s="17"/>
      <c r="E30" s="18"/>
      <c r="F30" s="31"/>
      <c r="G30" s="20"/>
      <c r="H30" s="30"/>
      <c r="I30" s="29"/>
      <c r="J30" s="29"/>
      <c r="K30" s="29"/>
      <c r="L30" s="29"/>
      <c r="M30" s="29"/>
      <c r="N30" s="26"/>
      <c r="O30" s="26"/>
      <c r="P30" s="26"/>
      <c r="Q30" s="2"/>
      <c r="R30" s="2"/>
    </row>
    <row r="31">
      <c r="A31" s="2"/>
      <c r="B31" s="31"/>
      <c r="C31" s="16"/>
      <c r="D31" s="17"/>
      <c r="E31" s="18"/>
      <c r="F31" s="31"/>
      <c r="G31" s="20"/>
      <c r="H31" s="30"/>
      <c r="I31" s="29"/>
      <c r="J31" s="29"/>
      <c r="K31" s="29"/>
      <c r="L31" s="29"/>
      <c r="M31" s="29"/>
      <c r="N31" s="26"/>
      <c r="O31" s="26"/>
      <c r="P31" s="26"/>
      <c r="Q31" s="2"/>
      <c r="R31" s="2"/>
    </row>
    <row r="32">
      <c r="A32" s="2"/>
      <c r="B32" s="31"/>
      <c r="C32" s="32"/>
      <c r="D32" s="17"/>
      <c r="E32" s="18"/>
      <c r="F32" s="31"/>
      <c r="G32" s="28"/>
      <c r="H32" s="30"/>
      <c r="I32" s="29"/>
      <c r="J32" s="29"/>
      <c r="K32" s="29"/>
      <c r="L32" s="29"/>
      <c r="M32" s="29"/>
      <c r="N32" s="26"/>
      <c r="O32" s="26"/>
      <c r="P32" s="26"/>
      <c r="Q32" s="2"/>
      <c r="R32" s="2"/>
    </row>
    <row r="33">
      <c r="A33" s="2"/>
      <c r="B33" s="31"/>
      <c r="C33" s="32"/>
      <c r="D33" s="17"/>
      <c r="E33" s="18"/>
      <c r="F33" s="31"/>
      <c r="G33" s="28"/>
      <c r="H33" s="30"/>
      <c r="I33" s="29"/>
      <c r="J33" s="29"/>
      <c r="K33" s="29"/>
      <c r="L33" s="29"/>
      <c r="M33" s="29"/>
      <c r="N33" s="26"/>
      <c r="O33" s="26"/>
      <c r="P33" s="26"/>
      <c r="Q33" s="2"/>
      <c r="R33" s="2"/>
    </row>
    <row r="34">
      <c r="A34" s="2"/>
      <c r="B34" s="31"/>
      <c r="C34" s="32"/>
      <c r="D34" s="17"/>
      <c r="E34" s="18"/>
      <c r="F34" s="31"/>
      <c r="G34" s="28"/>
      <c r="H34" s="30"/>
      <c r="I34" s="29"/>
      <c r="J34" s="29"/>
      <c r="K34" s="29"/>
      <c r="L34" s="29"/>
      <c r="M34" s="29"/>
      <c r="N34" s="33"/>
      <c r="O34" s="33"/>
      <c r="P34" s="33"/>
      <c r="Q34" s="2"/>
      <c r="R34" s="2"/>
    </row>
    <row r="35" ht="18.75" customHeight="1">
      <c r="A35" s="2"/>
      <c r="B35" s="2"/>
      <c r="C35" s="3"/>
      <c r="D35" s="3"/>
      <c r="E35" s="2"/>
      <c r="F35" s="2"/>
      <c r="G35" s="34">
        <f t="shared" ref="G35:H35" si="1">SUM(G4:G34)</f>
        <v>0</v>
      </c>
      <c r="H35" s="35">
        <f t="shared" si="1"/>
        <v>0</v>
      </c>
      <c r="I35" s="2"/>
      <c r="J35" s="2"/>
      <c r="K35" s="2"/>
      <c r="L35" s="2"/>
      <c r="M35" s="2"/>
      <c r="N35" s="2"/>
      <c r="O35" s="2"/>
      <c r="P35" s="2"/>
      <c r="Q35" s="2"/>
      <c r="R35" s="2"/>
    </row>
    <row r="36" ht="23.25" customHeight="1">
      <c r="A36" s="2"/>
      <c r="B36" s="2"/>
      <c r="C36" s="3"/>
      <c r="D36" s="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/>
      <c r="B37" s="2"/>
      <c r="C37" s="3"/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36" t="s">
        <v>1</v>
      </c>
      <c r="C38" s="37" t="s">
        <v>7</v>
      </c>
      <c r="D38" s="37" t="s">
        <v>45</v>
      </c>
      <c r="E38" s="1"/>
      <c r="F38" s="2"/>
      <c r="G38" s="2"/>
      <c r="H38" s="2"/>
      <c r="I38" s="2"/>
      <c r="J38" s="2"/>
      <c r="K38" s="2"/>
      <c r="L38" s="2"/>
      <c r="M38" s="2"/>
      <c r="N38" s="37" t="s">
        <v>46</v>
      </c>
      <c r="O38" s="37" t="s">
        <v>2</v>
      </c>
      <c r="P38" s="2"/>
      <c r="Q38" s="2"/>
      <c r="R38" s="2"/>
    </row>
    <row r="39">
      <c r="A39" s="2"/>
      <c r="B39" s="38">
        <v>1.0</v>
      </c>
      <c r="C39" s="39" t="s">
        <v>47</v>
      </c>
      <c r="D39" s="40">
        <f>SUM(G35)</f>
        <v>0</v>
      </c>
      <c r="E39" s="41"/>
      <c r="F39" s="2"/>
      <c r="G39" s="2"/>
      <c r="H39" s="2"/>
      <c r="I39" s="2"/>
      <c r="J39" s="2"/>
      <c r="K39" s="2"/>
      <c r="L39" s="2"/>
      <c r="M39" s="2"/>
      <c r="N39" s="42" t="s">
        <v>48</v>
      </c>
      <c r="O39" s="23"/>
      <c r="P39" s="2"/>
      <c r="Q39" s="2"/>
      <c r="R39" s="2"/>
    </row>
    <row r="40">
      <c r="A40" s="2"/>
      <c r="B40" s="43">
        <v>2.0</v>
      </c>
      <c r="C40" s="44"/>
      <c r="D40" s="45"/>
      <c r="E40" s="46"/>
      <c r="F40" s="2"/>
      <c r="G40" s="2"/>
      <c r="H40" s="2"/>
      <c r="I40" s="2"/>
      <c r="J40" s="2"/>
      <c r="K40" s="2"/>
      <c r="L40" s="2"/>
      <c r="M40" s="2"/>
      <c r="N40" s="47" t="s">
        <v>50</v>
      </c>
      <c r="O40" s="48"/>
      <c r="P40" s="2"/>
      <c r="Q40" s="2"/>
      <c r="R40" s="2"/>
    </row>
    <row r="41">
      <c r="A41" s="2"/>
      <c r="B41" s="38">
        <v>3.0</v>
      </c>
      <c r="C41" s="39"/>
      <c r="D41" s="49"/>
      <c r="E41" s="46"/>
      <c r="F41" s="2"/>
      <c r="G41" s="2"/>
      <c r="H41" s="2"/>
      <c r="I41" s="2"/>
      <c r="J41" s="2"/>
      <c r="K41" s="2"/>
      <c r="L41" s="2"/>
      <c r="M41" s="2"/>
      <c r="N41" s="50" t="s">
        <v>52</v>
      </c>
      <c r="O41" s="25"/>
      <c r="P41" s="2"/>
      <c r="Q41" s="2"/>
      <c r="R41" s="2"/>
    </row>
    <row r="42">
      <c r="A42" s="2"/>
      <c r="B42" s="43">
        <v>4.0</v>
      </c>
      <c r="C42" s="44"/>
      <c r="D42" s="45"/>
      <c r="E42" s="46"/>
      <c r="F42" s="2"/>
      <c r="G42" s="2"/>
      <c r="H42" s="2"/>
      <c r="I42" s="2"/>
      <c r="J42" s="2"/>
      <c r="K42" s="2"/>
      <c r="L42" s="2"/>
      <c r="M42" s="2"/>
      <c r="N42" s="51" t="s">
        <v>54</v>
      </c>
      <c r="O42" s="48"/>
      <c r="P42" s="2"/>
      <c r="Q42" s="2"/>
      <c r="R42" s="2"/>
    </row>
    <row r="43">
      <c r="A43" s="2"/>
      <c r="B43" s="38"/>
      <c r="C43" s="52"/>
      <c r="D43" s="40"/>
      <c r="E43" s="41"/>
      <c r="F43" s="2"/>
      <c r="G43" s="2"/>
      <c r="H43" s="2"/>
      <c r="I43" s="2"/>
      <c r="J43" s="2"/>
      <c r="K43" s="2"/>
      <c r="L43" s="2"/>
      <c r="M43" s="2"/>
      <c r="N43" s="53"/>
      <c r="O43" s="2"/>
      <c r="P43" s="2"/>
      <c r="Q43" s="2"/>
      <c r="R43" s="2"/>
    </row>
    <row r="44">
      <c r="A44" s="2"/>
      <c r="B44" s="43"/>
      <c r="C44" s="54"/>
      <c r="D44" s="55"/>
      <c r="E44" s="4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2"/>
      <c r="B45" s="38"/>
      <c r="C45" s="52"/>
      <c r="D45" s="40"/>
      <c r="E45" s="4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>
      <c r="A46" s="2"/>
      <c r="B46" s="43"/>
      <c r="C46" s="54"/>
      <c r="D46" s="55"/>
      <c r="E46" s="4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>
      <c r="A47" s="2"/>
      <c r="B47" s="38"/>
      <c r="C47" s="52"/>
      <c r="D47" s="40"/>
      <c r="E47" s="4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>
      <c r="A48" s="2"/>
      <c r="B48" s="43"/>
      <c r="C48" s="54"/>
      <c r="D48" s="55"/>
      <c r="E48" s="4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>
      <c r="A49" s="2"/>
      <c r="B49" s="56"/>
      <c r="C49" s="57"/>
      <c r="D49" s="58"/>
      <c r="E49" s="4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>
      <c r="A50" s="2"/>
      <c r="B50" s="2"/>
      <c r="C50" s="3"/>
      <c r="D50" s="59">
        <f>SUM(D39:D49)</f>
        <v>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>
      <c r="A51" s="2"/>
      <c r="B51" s="2"/>
      <c r="C51" s="3"/>
      <c r="D51" s="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>
      <c r="A52" s="2"/>
      <c r="B52" s="2"/>
      <c r="C52" s="3"/>
      <c r="D52" s="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>
      <c r="A53" s="2"/>
      <c r="B53" s="2"/>
      <c r="C53" s="3"/>
      <c r="D53" s="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>
      <c r="A54" s="2"/>
      <c r="B54" s="2"/>
      <c r="C54" s="3"/>
      <c r="D54" s="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ErrorMessage="1" sqref="N4:N34">
      <formula1>"-,Pending,Progress,Uploaded"</formula1>
    </dataValidation>
    <dataValidation type="list" allowBlank="1" showDropDown="1" showErrorMessage="1" sqref="D4:D34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34">
      <formula1>"-,In Pikako,In Foxe"</formula1>
    </dataValidation>
    <dataValidation type="list" allowBlank="1" showDropDown="1" showErrorMessage="1" sqref="M4:M34 O41:O42">
      <formula1>"-,VERO,FADEL,PENTIL,FAHME"</formula1>
    </dataValidation>
    <dataValidation type="list" allowBlank="1" showDropDown="1" showErrorMessage="1" sqref="L4:L34 O39:O40">
      <formula1>"-,JIJANG,AXEL,PENTIL,FAHME"</formula1>
    </dataValidation>
    <dataValidation type="list" allowBlank="1" showDropDown="1" showErrorMessage="1" sqref="I4:I34">
      <formula1>"-,DP,Lunas"</formula1>
    </dataValidation>
    <dataValidation type="list" allowBlank="1" showDropDown="1" showErrorMessage="1" sqref="J4:K34">
      <formula1>"-,Pending,Uploaded"</formula1>
    </dataValidation>
  </dataValidations>
  <drawing r:id="rId1"/>
</worksheet>
</file>