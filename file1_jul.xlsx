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visible" name="Draft" sheetId="32" r:id="rId36"/>
  </sheets>
  <definedNames/>
  <calcPr/>
</workbook>
</file>

<file path=xl/sharedStrings.xml><?xml version="1.0" encoding="utf-8"?>
<sst xmlns="http://schemas.openxmlformats.org/spreadsheetml/2006/main" count="2943" uniqueCount="341">
  <si>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</si>
  <si>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</si>
  <si>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</si>
  <si>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</si>
  <si>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</si>
  <si>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</si>
  <si>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</si>
  <si>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</si>
  <si>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</si>
  <si>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</si>
  <si>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</si>
  <si>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</si>
  <si>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</si>
  <si>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</si>
  <si>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</si>
  <si>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</si>
  <si>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</si>
  <si>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</si>
  <si>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dewi</t>
  </si>
  <si>
    <t xml:space="preserve"> Laela Wahyu</t>
  </si>
  <si>
    <t>Pak Tsani</t>
  </si>
  <si>
    <t>Large Group</t>
  </si>
  <si>
    <t>Family A</t>
  </si>
  <si>
    <t>Graduation</t>
  </si>
  <si>
    <t>Three Lens</t>
  </si>
  <si>
    <t>DP</t>
  </si>
  <si>
    <t xml:space="preserve">ADDEL </t>
  </si>
  <si>
    <t>INDAH</t>
  </si>
  <si>
    <t>Caya</t>
  </si>
  <si>
    <t>Lunas</t>
  </si>
  <si>
    <t>Yovi</t>
  </si>
  <si>
    <t>Uploaded</t>
  </si>
  <si>
    <t>Photofox</t>
  </si>
  <si>
    <t xml:space="preserve">ADIF </t>
  </si>
  <si>
    <t>Pending</t>
  </si>
  <si>
    <t>HMPS Manajemen UMP</t>
  </si>
  <si>
    <t>ADIF</t>
  </si>
  <si>
    <t>Devi</t>
  </si>
  <si>
    <t>Aldi Putra</t>
  </si>
  <si>
    <t xml:space="preserve">Ifo </t>
  </si>
  <si>
    <t>Marella</t>
  </si>
  <si>
    <t xml:space="preserve">Malik </t>
  </si>
  <si>
    <t>SAKA</t>
  </si>
  <si>
    <t>Hirawana</t>
  </si>
  <si>
    <t>Nianda</t>
  </si>
  <si>
    <t>Rhea</t>
  </si>
  <si>
    <t>Hary</t>
  </si>
  <si>
    <t>Nada Naila</t>
  </si>
  <si>
    <t>Khoirul</t>
  </si>
  <si>
    <t>Garry</t>
  </si>
  <si>
    <t>Graduation Premium</t>
  </si>
  <si>
    <t xml:space="preserve"> jamkrindo bisnis</t>
  </si>
  <si>
    <t>Nazal</t>
  </si>
  <si>
    <t>Sitti Aisyah ZS</t>
  </si>
  <si>
    <t>Hanivia</t>
  </si>
  <si>
    <t>Couple A</t>
  </si>
  <si>
    <t>Florin</t>
  </si>
  <si>
    <t>Logi</t>
  </si>
  <si>
    <t>Naira</t>
  </si>
  <si>
    <t>Almira</t>
  </si>
  <si>
    <t>Isabella</t>
  </si>
  <si>
    <t>Single</t>
  </si>
  <si>
    <t>all file</t>
  </si>
  <si>
    <t>Dewi</t>
  </si>
  <si>
    <t>Kholief Valenzya</t>
  </si>
  <si>
    <t>Agnes Rani</t>
  </si>
  <si>
    <t>Maternity</t>
  </si>
  <si>
    <t>Lia BCA</t>
  </si>
  <si>
    <t>Laela</t>
  </si>
  <si>
    <t>Zoelfan</t>
  </si>
  <si>
    <t>Pasgatam</t>
  </si>
  <si>
    <t>Indang</t>
  </si>
  <si>
    <t>Gifena Hafifah</t>
  </si>
  <si>
    <t>Faizal</t>
  </si>
  <si>
    <t>Pas Foto</t>
  </si>
  <si>
    <t>Revalina Indriyani</t>
  </si>
  <si>
    <t>Malik Aziz Ramadhan</t>
  </si>
  <si>
    <t>gendhis</t>
  </si>
  <si>
    <t>HMPS Manjamen</t>
  </si>
  <si>
    <t>Jamkrindo Bisnis</t>
  </si>
  <si>
    <t>Isma</t>
  </si>
  <si>
    <t xml:space="preserve"> Isma Aprilia</t>
  </si>
  <si>
    <t>Danda Aglrista</t>
  </si>
  <si>
    <t>Nominal</t>
  </si>
  <si>
    <t>Shift</t>
  </si>
  <si>
    <t>Pendapatan Tunai</t>
  </si>
  <si>
    <t>Admin 1</t>
  </si>
  <si>
    <t>Addel</t>
  </si>
  <si>
    <t>Fahme</t>
  </si>
  <si>
    <t>Admin 2</t>
  </si>
  <si>
    <t>Penthil</t>
  </si>
  <si>
    <t>Fotografer 1</t>
  </si>
  <si>
    <t>Lakban Bening</t>
  </si>
  <si>
    <t>Fotografer 2</t>
  </si>
  <si>
    <t>Tutup Paralon</t>
  </si>
  <si>
    <t>Listrik</t>
  </si>
  <si>
    <t>Fadel</t>
  </si>
  <si>
    <t xml:space="preserve"> </t>
  </si>
  <si>
    <t>Gendhis</t>
  </si>
  <si>
    <t>sisca</t>
  </si>
  <si>
    <t>Hanifah Zahidah Zulfa</t>
  </si>
  <si>
    <t>Caroline</t>
  </si>
  <si>
    <t>Naufal</t>
  </si>
  <si>
    <t>Pasgatama</t>
  </si>
  <si>
    <t>ADDEL</t>
  </si>
  <si>
    <t>Lila Monita</t>
  </si>
  <si>
    <t>Bagas widianto</t>
  </si>
  <si>
    <t>Fadhiana</t>
  </si>
  <si>
    <t>Resti Dwi A</t>
  </si>
  <si>
    <t>1 sept</t>
  </si>
  <si>
    <t>Ismi</t>
  </si>
  <si>
    <t>Kiki</t>
  </si>
  <si>
    <t>Couple C</t>
  </si>
  <si>
    <t>Melvi Indana Shafira</t>
  </si>
  <si>
    <t>Pentol</t>
  </si>
  <si>
    <t>Fadil pras</t>
  </si>
  <si>
    <t>Cemet</t>
  </si>
  <si>
    <t>Aisya</t>
  </si>
  <si>
    <t>Osega</t>
  </si>
  <si>
    <t>Mega</t>
  </si>
  <si>
    <t>Yovita</t>
  </si>
  <si>
    <t>Family B</t>
  </si>
  <si>
    <t>Sisca</t>
  </si>
  <si>
    <t>Stufexel</t>
  </si>
  <si>
    <t>Add Edit</t>
  </si>
  <si>
    <t>Ifti</t>
  </si>
  <si>
    <t>Keenan</t>
  </si>
  <si>
    <t>Rizkika</t>
  </si>
  <si>
    <t>Danar</t>
  </si>
  <si>
    <t>Rizka Anzaenna</t>
  </si>
  <si>
    <t>Toedjo</t>
  </si>
  <si>
    <t xml:space="preserve">Add Person </t>
  </si>
  <si>
    <t>Penthol</t>
  </si>
  <si>
    <t>Rara</t>
  </si>
  <si>
    <t>Melvi</t>
  </si>
  <si>
    <t>Arda</t>
  </si>
  <si>
    <t>Arra</t>
  </si>
  <si>
    <t>Keena</t>
  </si>
  <si>
    <t>FTS</t>
  </si>
  <si>
    <t>Septy Ikka</t>
  </si>
  <si>
    <t>Wulan</t>
  </si>
  <si>
    <t>ots</t>
  </si>
  <si>
    <t>Aretha</t>
  </si>
  <si>
    <t>Adif</t>
  </si>
  <si>
    <t>Tukang mas anam</t>
  </si>
  <si>
    <t>Rafif</t>
  </si>
  <si>
    <t>Syafika</t>
  </si>
  <si>
    <t>Ifah Kholidiyyah</t>
  </si>
  <si>
    <t>Iqlima</t>
  </si>
  <si>
    <t>Devano</t>
  </si>
  <si>
    <t>Poppy</t>
  </si>
  <si>
    <t>APRIZIA BUNGA</t>
  </si>
  <si>
    <t>PASKARA</t>
  </si>
  <si>
    <t>Turtle Team</t>
  </si>
  <si>
    <t>Calista</t>
  </si>
  <si>
    <t>Rohis Kab. Banyumas</t>
  </si>
  <si>
    <t>2 agutus</t>
  </si>
  <si>
    <t>ESCS</t>
  </si>
  <si>
    <t>Arya</t>
  </si>
  <si>
    <t>Fionny</t>
  </si>
  <si>
    <t>Ongkir</t>
  </si>
  <si>
    <t>Nata</t>
  </si>
  <si>
    <t>Saka</t>
  </si>
  <si>
    <t xml:space="preserve">SAKA </t>
  </si>
  <si>
    <t>Tekpang Telkom</t>
  </si>
  <si>
    <t>Felia</t>
  </si>
  <si>
    <t>rafly</t>
  </si>
  <si>
    <t>Dwi Nur Hidayat</t>
  </si>
  <si>
    <t>OSEGA</t>
  </si>
  <si>
    <t>Al Maas</t>
  </si>
  <si>
    <t>Devia</t>
  </si>
  <si>
    <t>Add Cetak 12R</t>
  </si>
  <si>
    <t>Bensin</t>
  </si>
  <si>
    <t>Raisya</t>
  </si>
  <si>
    <t>Al Maas Asy</t>
  </si>
  <si>
    <t>Zafron</t>
  </si>
  <si>
    <t>Asila</t>
  </si>
  <si>
    <t>Rafly</t>
  </si>
  <si>
    <t>Packing</t>
  </si>
  <si>
    <t>Linda F.R.</t>
  </si>
  <si>
    <t>Couple B</t>
  </si>
  <si>
    <t>-</t>
  </si>
  <si>
    <t>Avi</t>
  </si>
  <si>
    <t>Concept</t>
  </si>
  <si>
    <t>Galon</t>
  </si>
  <si>
    <t>Aprizia Bunga</t>
  </si>
  <si>
    <t>dhea</t>
  </si>
  <si>
    <t>Danik mawata</t>
  </si>
  <si>
    <t>Audi nisa</t>
  </si>
  <si>
    <t>4 oktober</t>
  </si>
  <si>
    <t xml:space="preserve">   </t>
  </si>
  <si>
    <t>Farrel</t>
  </si>
  <si>
    <t>Fanisa</t>
  </si>
  <si>
    <t>Dara</t>
  </si>
  <si>
    <t>ASila</t>
  </si>
  <si>
    <t>ilzaenab</t>
  </si>
  <si>
    <t>Mikael</t>
  </si>
  <si>
    <t>Rera</t>
  </si>
  <si>
    <t>Fahmi Sabni Ramadhan</t>
  </si>
  <si>
    <t>Etika Nuri</t>
  </si>
  <si>
    <t>Laela Nur Azizah</t>
  </si>
  <si>
    <t>Anam</t>
  </si>
  <si>
    <t>REHAN</t>
  </si>
  <si>
    <t>Neysa</t>
  </si>
  <si>
    <t>Aliyah</t>
  </si>
  <si>
    <t>Leonardo Y. u</t>
  </si>
  <si>
    <t>Galang Satria</t>
  </si>
  <si>
    <t>cantika</t>
  </si>
  <si>
    <t xml:space="preserve"> Nadiefa</t>
  </si>
  <si>
    <t>Hanna Nabila</t>
  </si>
  <si>
    <t xml:space="preserve"> Novita</t>
  </si>
  <si>
    <t>Danik Mawata</t>
  </si>
  <si>
    <t>Yuspa</t>
  </si>
  <si>
    <t>eliza</t>
  </si>
  <si>
    <t>Dhea</t>
  </si>
  <si>
    <t>Zenda</t>
  </si>
  <si>
    <t>Revania</t>
  </si>
  <si>
    <t>PK IMM Psikologi UMP</t>
  </si>
  <si>
    <t>Oca</t>
  </si>
  <si>
    <t>Leonardo</t>
  </si>
  <si>
    <t xml:space="preserve">Fahme </t>
  </si>
  <si>
    <t>Hana Nabila</t>
  </si>
  <si>
    <t>Fiya</t>
  </si>
  <si>
    <t>Indah</t>
  </si>
  <si>
    <t>Annisa</t>
  </si>
  <si>
    <t>Aya</t>
  </si>
  <si>
    <t>Galang</t>
  </si>
  <si>
    <t>Laily Nuraini</t>
  </si>
  <si>
    <t>Amell</t>
  </si>
  <si>
    <t>wanda</t>
  </si>
  <si>
    <t>intan</t>
  </si>
  <si>
    <t>Dinda</t>
  </si>
  <si>
    <t>Naya</t>
  </si>
  <si>
    <t>Puput</t>
  </si>
  <si>
    <t>Karin</t>
  </si>
  <si>
    <t>Rona</t>
  </si>
  <si>
    <t>Rizma</t>
  </si>
  <si>
    <t>Nadiefa</t>
  </si>
  <si>
    <t>Amel</t>
  </si>
  <si>
    <t>hmps akuntansi S1</t>
  </si>
  <si>
    <t>Syarifah</t>
  </si>
  <si>
    <t>2 agustus</t>
  </si>
  <si>
    <t>Anis</t>
  </si>
  <si>
    <t>Livia</t>
  </si>
  <si>
    <t>Zara</t>
  </si>
  <si>
    <t>Puput Ekaana</t>
  </si>
  <si>
    <t xml:space="preserve"> Firli</t>
  </si>
  <si>
    <t>Viona Pramudista</t>
  </si>
  <si>
    <t>Asaa</t>
  </si>
  <si>
    <t>oca</t>
  </si>
  <si>
    <t xml:space="preserve"> kayla</t>
  </si>
  <si>
    <t>Chindy</t>
  </si>
  <si>
    <t xml:space="preserve"> Ummu Haniah</t>
  </si>
  <si>
    <t>Muhammad Yusuf Habibi</t>
  </si>
  <si>
    <t xml:space="preserve">  Sylvia Oshe Wijaya</t>
  </si>
  <si>
    <t>6 augutsus</t>
  </si>
  <si>
    <t>Wanda</t>
  </si>
  <si>
    <t>Dika Cahyo Saputra</t>
  </si>
  <si>
    <t>Nadine</t>
  </si>
  <si>
    <t>Firli</t>
  </si>
  <si>
    <t>17an Foxe &amp; Alas</t>
  </si>
  <si>
    <t>wyndy</t>
  </si>
  <si>
    <t>Wildan</t>
  </si>
  <si>
    <t>Dika Cahyo</t>
  </si>
  <si>
    <t>Ulin Nuha</t>
  </si>
  <si>
    <t>Dinara Syami</t>
  </si>
  <si>
    <t>267 july</t>
  </si>
  <si>
    <t xml:space="preserve">Intan </t>
  </si>
  <si>
    <t>Wyndy</t>
  </si>
  <si>
    <t>OSPENDA</t>
  </si>
  <si>
    <t>OSSPENDHA</t>
  </si>
  <si>
    <t>Kayla</t>
  </si>
  <si>
    <t>Ully</t>
  </si>
  <si>
    <t>Madina Salsabilla Zahrani</t>
  </si>
  <si>
    <t>Melody</t>
  </si>
  <si>
    <t>Dzakya Hasna Octovania</t>
  </si>
  <si>
    <t>Delvi</t>
  </si>
  <si>
    <t xml:space="preserve">Photofox </t>
  </si>
  <si>
    <t>Amalia</t>
  </si>
  <si>
    <t>Yusuf</t>
  </si>
  <si>
    <t>PhotoFOX</t>
  </si>
  <si>
    <t xml:space="preserve"> jihan</t>
  </si>
  <si>
    <t>DEVINTA</t>
  </si>
  <si>
    <t>riri</t>
  </si>
  <si>
    <t>wildan</t>
  </si>
  <si>
    <t>Linda</t>
  </si>
  <si>
    <t>Tuti</t>
  </si>
  <si>
    <t>penthil</t>
  </si>
  <si>
    <t>Ine Amelia</t>
  </si>
  <si>
    <t>3 Oktober</t>
  </si>
  <si>
    <t xml:space="preserve">Pewangi Ruangan </t>
  </si>
  <si>
    <t xml:space="preserve">Fadel </t>
  </si>
  <si>
    <t>Lyra</t>
  </si>
  <si>
    <t>uli kasih</t>
  </si>
  <si>
    <t>Icad</t>
  </si>
  <si>
    <t>Aneira</t>
  </si>
  <si>
    <t xml:space="preserve">3M Lakban </t>
  </si>
  <si>
    <t xml:space="preserve"> Tia Agsutin</t>
  </si>
  <si>
    <t>saka</t>
  </si>
  <si>
    <t>Hikmah  Widyawati</t>
  </si>
  <si>
    <t>Gosend</t>
  </si>
  <si>
    <t>Sticker Alas</t>
  </si>
  <si>
    <t>Kertas kalkir</t>
  </si>
  <si>
    <t>Adel</t>
  </si>
  <si>
    <t>Hilda Rahmawati</t>
  </si>
  <si>
    <t>Add 10R</t>
  </si>
  <si>
    <t>Cintya</t>
  </si>
  <si>
    <t>Claresta</t>
  </si>
  <si>
    <t>Tia Agustina</t>
  </si>
  <si>
    <t>1 Agustus</t>
  </si>
  <si>
    <t>AMEL</t>
  </si>
  <si>
    <t>29 Juli</t>
  </si>
  <si>
    <t>Natasya</t>
  </si>
  <si>
    <t>Zahra</t>
  </si>
  <si>
    <t>Fani Setiawan</t>
  </si>
  <si>
    <t>8 agustus</t>
  </si>
  <si>
    <t>Alit</t>
  </si>
  <si>
    <t>Studio Rent</t>
  </si>
  <si>
    <t>audy</t>
  </si>
  <si>
    <t>Gita Amanda</t>
  </si>
  <si>
    <t>Nella</t>
  </si>
  <si>
    <t>Althea</t>
  </si>
  <si>
    <t>Melisa</t>
  </si>
  <si>
    <t>Laely</t>
  </si>
  <si>
    <t>ROHKAT SMANSA</t>
  </si>
  <si>
    <t>Nana</t>
  </si>
  <si>
    <t>Endah</t>
  </si>
  <si>
    <t>Rahma Pramesti Dewi</t>
  </si>
  <si>
    <t>May</t>
  </si>
  <si>
    <t>Vape Obat Nyamuk</t>
  </si>
  <si>
    <t>In Pikako</t>
  </si>
  <si>
    <t>spyder</t>
  </si>
  <si>
    <t>Hilal Fernandhi</t>
  </si>
  <si>
    <t>Uti</t>
  </si>
  <si>
    <t>PMR SMP N 8 PWT</t>
  </si>
  <si>
    <t>Nayla</t>
  </si>
  <si>
    <t>Bila</t>
  </si>
  <si>
    <t>Haliza Phadmawati</t>
  </si>
  <si>
    <t>ROKHAT SMANSA</t>
  </si>
  <si>
    <t>Rahayu Purnama</t>
  </si>
  <si>
    <t>gosend ampli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</si>
</sst>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[$Rp]#,##0"/>
    <numFmt numFmtId="166" formatCode="d mmmm"/>
    <numFmt numFmtId="167" formatCode="d m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i/>
      <color theme="1"/>
      <name val="Arial"/>
      <scheme val="minor"/>
    </font>
    <font>
      <color theme="1"/>
      <name val="Arial"/>
    </font>
    <font>
      <color theme="1"/>
      <name val="Helvetica Neue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6" fillId="0" fontId="5" numFmtId="165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0" fontId="1" numFmtId="166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right" readingOrder="0" vertical="center"/>
    </xf>
    <xf borderId="0" fillId="0" fontId="1" numFmtId="166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6" xfId="0" applyAlignment="1" applyBorder="1" applyFont="1" applyNumberFormat="1">
      <alignment horizontal="center" readingOrder="0" vertical="center"/>
    </xf>
    <xf borderId="8" fillId="0" fontId="2" numFmtId="165" xfId="0" applyAlignment="1" applyBorder="1" applyFont="1" applyNumberFormat="1">
      <alignment horizontal="right" readingOrder="0" vertical="center"/>
    </xf>
    <xf borderId="2" fillId="0" fontId="1" numFmtId="0" xfId="0" applyAlignment="1" applyBorder="1" applyFont="1">
      <alignment horizontal="center" readingOrder="0" vertical="center"/>
    </xf>
    <xf borderId="6" fillId="0" fontId="1" numFmtId="0" xfId="0" applyBorder="1" applyFont="1"/>
    <xf borderId="6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6" fillId="0" fontId="1" numFmtId="166" xfId="0" applyAlignment="1" applyBorder="1" applyFont="1" applyNumberFormat="1">
      <alignment horizontal="center" readingOrder="0" vertical="center"/>
    </xf>
    <xf borderId="11" fillId="0" fontId="2" numFmtId="165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1" numFmtId="166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5" xfId="0" applyAlignment="1" applyBorder="1" applyFill="1" applyFont="1" applyNumberFormat="1">
      <alignment horizontal="center" vertical="center"/>
    </xf>
    <xf borderId="5" fillId="5" fontId="5" numFmtId="165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7" fillId="7" fontId="2" numFmtId="165" xfId="0" applyAlignment="1" applyBorder="1" applyFill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7" fillId="0" fontId="2" numFmtId="165" xfId="0" applyAlignment="1" applyBorder="1" applyFont="1" applyNumberFormat="1">
      <alignment horizontal="right" readingOrder="0" vertical="center"/>
    </xf>
    <xf borderId="7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7" fillId="0" fontId="2" numFmtId="0" xfId="0" applyAlignment="1" applyBorder="1" applyFont="1">
      <alignment horizontal="left" vertical="center"/>
    </xf>
    <xf borderId="7" fillId="7" fontId="2" numFmtId="0" xfId="0" applyAlignment="1" applyBorder="1" applyFill="1" applyFont="1">
      <alignment horizontal="left" vertical="center"/>
    </xf>
    <xf borderId="7" fillId="7" fontId="2" numFmtId="165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5" xfId="0" applyAlignment="1" applyBorder="1" applyFont="1" applyNumberFormat="1">
      <alignment horizontal="right" vertical="center"/>
    </xf>
    <xf borderId="6" fillId="8" fontId="2" numFmtId="165" xfId="0" applyAlignment="1" applyBorder="1" applyFill="1" applyFont="1" applyNumberFormat="1">
      <alignment horizontal="center" vertical="center"/>
    </xf>
    <xf borderId="9" fillId="0" fontId="6" numFmtId="0" xfId="0" applyAlignment="1" applyBorder="1" applyFont="1">
      <alignment horizontal="center" readingOrder="0" vertical="bottom"/>
    </xf>
    <xf borderId="6" fillId="0" fontId="1" numFmtId="167" xfId="0" applyAlignment="1" applyBorder="1" applyFont="1" applyNumberFormat="1">
      <alignment horizontal="center" readingOrder="0" vertical="center"/>
    </xf>
    <xf borderId="9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 vertical="center"/>
    </xf>
    <xf borderId="5" fillId="0" fontId="2" numFmtId="165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</v>
      </c>
      <c r="D4" s="16" t="s">
        <v>23</v>
      </c>
      <c r="E4" s="17"/>
      <c r="F4" s="18">
        <v>46204.0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30</v>
      </c>
      <c r="D5" s="16" t="s">
        <v>32</v>
      </c>
      <c r="E5" s="17"/>
      <c r="F5" s="18">
        <v>46204.0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37</v>
      </c>
      <c r="D6" s="16" t="s">
        <v>21</v>
      </c>
      <c r="E6" s="17"/>
      <c r="F6" s="26">
        <v>46204.0</v>
      </c>
      <c r="G6" s="19">
        <v>1125000.0</v>
      </c>
      <c r="H6" s="20"/>
      <c r="I6" s="21" t="s">
        <v>29</v>
      </c>
      <c r="J6" s="21" t="s">
        <v>31</v>
      </c>
      <c r="K6" s="21" t="s">
        <v>34</v>
      </c>
      <c r="L6" s="21" t="s">
        <v>26</v>
      </c>
      <c r="M6" s="21" t="s">
        <v>33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40</v>
      </c>
      <c r="D7" s="16" t="s">
        <v>21</v>
      </c>
      <c r="E7" s="17"/>
      <c r="F7" s="26">
        <v>46205.0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45</v>
      </c>
      <c r="D8" s="16" t="s">
        <v>21</v>
      </c>
      <c r="E8" s="17"/>
      <c r="F8" s="26">
        <v>46204.0</v>
      </c>
      <c r="G8" s="30">
        <v>0.0</v>
      </c>
      <c r="H8" s="20">
        <v>0.0</v>
      </c>
      <c r="I8" s="21" t="s">
        <v>29</v>
      </c>
      <c r="J8" s="21" t="s">
        <v>31</v>
      </c>
      <c r="K8" s="21" t="s">
        <v>31</v>
      </c>
      <c r="L8" s="21" t="s">
        <v>26</v>
      </c>
      <c r="M8" s="21" t="s">
        <v>33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51</v>
      </c>
      <c r="D9" s="16" t="s">
        <v>21</v>
      </c>
      <c r="E9" s="17"/>
      <c r="F9" s="31">
        <v>46204.0</v>
      </c>
      <c r="G9" s="19"/>
      <c r="H9" s="20">
        <v>100000.0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56</v>
      </c>
      <c r="D10" s="16" t="s">
        <v>21</v>
      </c>
      <c r="E10" s="17"/>
      <c r="F10" s="26">
        <v>46209.0</v>
      </c>
      <c r="G10" s="19"/>
      <c r="H10" s="20">
        <v>175000.0</v>
      </c>
      <c r="I10" s="21" t="s">
        <v>29</v>
      </c>
      <c r="J10" s="21"/>
      <c r="K10" s="21"/>
      <c r="L10" s="21" t="s">
        <v>26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60</v>
      </c>
      <c r="D11" s="16" t="s">
        <v>61</v>
      </c>
      <c r="E11" s="17" t="s">
        <v>62</v>
      </c>
      <c r="F11" s="26">
        <v>46204.0</v>
      </c>
      <c r="G11" s="19"/>
      <c r="H11" s="20">
        <v>50000.0</v>
      </c>
      <c r="I11" s="21" t="s">
        <v>29</v>
      </c>
      <c r="J11" s="21" t="s">
        <v>31</v>
      </c>
      <c r="K11" s="21" t="s">
        <v>34</v>
      </c>
      <c r="L11" s="21" t="s">
        <v>26</v>
      </c>
      <c r="M11" s="21" t="s">
        <v>33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65</v>
      </c>
      <c r="D12" s="16" t="s">
        <v>66</v>
      </c>
      <c r="E12" s="17"/>
      <c r="F12" s="26">
        <v>46204.0</v>
      </c>
      <c r="G12" s="19"/>
      <c r="H12" s="20">
        <v>250000.0</v>
      </c>
      <c r="I12" s="21" t="s">
        <v>29</v>
      </c>
      <c r="J12" s="21" t="s">
        <v>31</v>
      </c>
      <c r="K12" s="21" t="s">
        <v>34</v>
      </c>
      <c r="L12" s="21" t="s">
        <v>26</v>
      </c>
      <c r="M12" s="21" t="s">
        <v>33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68</v>
      </c>
      <c r="D13" s="16" t="s">
        <v>23</v>
      </c>
      <c r="E13" s="17"/>
      <c r="F13" s="26">
        <v>46204.0</v>
      </c>
      <c r="G13" s="19"/>
      <c r="H13" s="20">
        <v>290000.0</v>
      </c>
      <c r="I13" s="21" t="s">
        <v>29</v>
      </c>
      <c r="J13" s="21" t="s">
        <v>31</v>
      </c>
      <c r="K13" s="21" t="s">
        <v>34</v>
      </c>
      <c r="L13" s="21" t="s">
        <v>26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 t="s">
        <v>72</v>
      </c>
      <c r="D14" s="16" t="s">
        <v>74</v>
      </c>
      <c r="E14" s="17"/>
      <c r="F14" s="26">
        <v>46204.0</v>
      </c>
      <c r="G14" s="19">
        <v>100000.0</v>
      </c>
      <c r="H14" s="29"/>
      <c r="I14" s="21" t="s">
        <v>29</v>
      </c>
      <c r="J14" s="21" t="s">
        <v>31</v>
      </c>
      <c r="K14" s="21" t="s">
        <v>31</v>
      </c>
      <c r="L14" s="21" t="s">
        <v>26</v>
      </c>
      <c r="M14" s="21" t="s">
        <v>42</v>
      </c>
      <c r="N14" s="24"/>
      <c r="O14" s="25"/>
      <c r="P14" s="25"/>
      <c r="Q14" s="1"/>
      <c r="R14" s="1"/>
    </row>
    <row r="15">
      <c r="A15" s="1"/>
      <c r="B15" s="44"/>
      <c r="C15" s="15" t="s">
        <v>77</v>
      </c>
      <c r="D15" s="16" t="s">
        <v>61</v>
      </c>
      <c r="E15" s="17"/>
      <c r="F15" s="26">
        <v>46208.0</v>
      </c>
      <c r="G15" s="19"/>
      <c r="H15" s="20">
        <v>100000.0</v>
      </c>
      <c r="I15" s="21" t="s">
        <v>29</v>
      </c>
      <c r="J15" s="21"/>
      <c r="K15" s="21"/>
      <c r="L15" s="21" t="s">
        <v>26</v>
      </c>
      <c r="M15" s="28"/>
      <c r="N15" s="24"/>
      <c r="O15" s="25"/>
      <c r="P15" s="25"/>
      <c r="Q15" s="1"/>
      <c r="R15" s="1"/>
    </row>
    <row r="16">
      <c r="A16" s="1"/>
      <c r="B16" s="44"/>
      <c r="C16" s="15" t="s">
        <v>79</v>
      </c>
      <c r="D16" s="16" t="s">
        <v>21</v>
      </c>
      <c r="E16" s="17"/>
      <c r="F16" s="26">
        <v>46204.0</v>
      </c>
      <c r="G16" s="19"/>
      <c r="H16" s="20">
        <v>200000.0</v>
      </c>
      <c r="I16" s="21" t="s">
        <v>29</v>
      </c>
      <c r="J16" s="21" t="s">
        <v>31</v>
      </c>
      <c r="K16" s="21" t="s">
        <v>31</v>
      </c>
      <c r="L16" s="21" t="s">
        <v>26</v>
      </c>
      <c r="M16" s="21" t="s">
        <v>42</v>
      </c>
      <c r="N16" s="24"/>
      <c r="O16" s="25"/>
      <c r="P16" s="25"/>
      <c r="Q16" s="1"/>
      <c r="R16" s="1"/>
    </row>
    <row r="17">
      <c r="A17" s="1"/>
      <c r="B17" s="44"/>
      <c r="C17" s="15" t="s">
        <v>81</v>
      </c>
      <c r="D17" s="16" t="s">
        <v>21</v>
      </c>
      <c r="E17" s="17"/>
      <c r="F17" s="26">
        <v>46205.0</v>
      </c>
      <c r="G17" s="19"/>
      <c r="H17" s="20">
        <v>100000.0</v>
      </c>
      <c r="I17" s="21" t="s">
        <v>25</v>
      </c>
      <c r="J17" s="21"/>
      <c r="K17" s="21"/>
      <c r="L17" s="21" t="s">
        <v>26</v>
      </c>
      <c r="M17" s="28"/>
      <c r="N17" s="24"/>
      <c r="O17" s="25"/>
      <c r="P17" s="25"/>
      <c r="Q17" s="1"/>
      <c r="R17" s="1"/>
    </row>
    <row r="18">
      <c r="A18" s="1"/>
      <c r="B18" s="44"/>
      <c r="C18" s="15" t="s">
        <v>43</v>
      </c>
      <c r="D18" s="16" t="s">
        <v>21</v>
      </c>
      <c r="E18" s="17"/>
      <c r="F18" s="26">
        <v>46206.0</v>
      </c>
      <c r="G18" s="19"/>
      <c r="H18" s="20">
        <v>100000.0</v>
      </c>
      <c r="I18" s="21" t="s">
        <v>25</v>
      </c>
      <c r="J18" s="21"/>
      <c r="K18" s="21"/>
      <c r="L18" s="21" t="s">
        <v>26</v>
      </c>
      <c r="M18" s="28"/>
      <c r="N18" s="24"/>
      <c r="O18" s="25"/>
      <c r="P18" s="25"/>
      <c r="Q18" s="1"/>
      <c r="R18" s="1"/>
    </row>
    <row r="19">
      <c r="A19" s="1"/>
      <c r="B19" s="44"/>
      <c r="C19" s="15" t="s">
        <v>82</v>
      </c>
      <c r="D19" s="16" t="s">
        <v>21</v>
      </c>
      <c r="E19" s="17"/>
      <c r="F19" s="26">
        <v>46204.0</v>
      </c>
      <c r="G19" s="19"/>
      <c r="H19" s="20">
        <v>675000.0</v>
      </c>
      <c r="I19" s="21" t="s">
        <v>29</v>
      </c>
      <c r="J19" s="21" t="s">
        <v>31</v>
      </c>
      <c r="K19" s="21" t="s">
        <v>31</v>
      </c>
      <c r="L19" s="21" t="s">
        <v>26</v>
      </c>
      <c r="M19" s="21" t="s">
        <v>42</v>
      </c>
      <c r="N19" s="24"/>
      <c r="O19" s="25"/>
      <c r="P19" s="25"/>
      <c r="Q19" s="1"/>
      <c r="R19" s="1"/>
    </row>
    <row r="20">
      <c r="A20" s="1"/>
      <c r="B20" s="44"/>
      <c r="C20" s="15"/>
      <c r="D20" s="16"/>
      <c r="E20" s="17"/>
      <c r="F20" s="44"/>
      <c r="G20" s="19"/>
      <c r="H20" s="29"/>
      <c r="I20" s="21"/>
      <c r="J20" s="21"/>
      <c r="K20" s="21"/>
      <c r="L20" s="28"/>
      <c r="M20" s="28"/>
      <c r="N20" s="24"/>
      <c r="O20" s="25"/>
      <c r="P20" s="25"/>
      <c r="Q20" s="1"/>
      <c r="R20" s="1"/>
    </row>
    <row r="21">
      <c r="A21" s="1"/>
      <c r="B21" s="44"/>
      <c r="C21" s="15"/>
      <c r="D21" s="16"/>
      <c r="E21" s="17"/>
      <c r="F21" s="44"/>
      <c r="G21" s="19"/>
      <c r="H21" s="29"/>
      <c r="I21" s="21"/>
      <c r="J21" s="21"/>
      <c r="K21" s="21"/>
      <c r="L21" s="28"/>
      <c r="M21" s="28"/>
      <c r="N21" s="24"/>
      <c r="O21" s="25"/>
      <c r="P21" s="25"/>
      <c r="Q21" s="1"/>
      <c r="R21" s="1"/>
    </row>
    <row r="22">
      <c r="A22" s="1"/>
      <c r="B22" s="44"/>
      <c r="C22" s="47"/>
      <c r="D22" s="16"/>
      <c r="E22" s="17"/>
      <c r="F22" s="44"/>
      <c r="G22" s="27"/>
      <c r="H22" s="29"/>
      <c r="I22" s="28"/>
      <c r="J22" s="28"/>
      <c r="K22" s="28"/>
      <c r="L22" s="28"/>
      <c r="M22" s="28"/>
      <c r="N22" s="48"/>
      <c r="O22" s="48"/>
      <c r="P22" s="48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49">
        <f t="shared" ref="G23:H23" si="1">SUM(G4:G22)</f>
        <v>1225000</v>
      </c>
      <c r="H23" s="50">
        <f t="shared" si="1"/>
        <v>2340000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51" t="s">
        <v>0</v>
      </c>
      <c r="C26" s="52" t="s">
        <v>6</v>
      </c>
      <c r="D26" s="52" t="s">
        <v>83</v>
      </c>
      <c r="E26" s="53"/>
      <c r="F26" s="1"/>
      <c r="G26" s="1"/>
      <c r="H26" s="1"/>
      <c r="I26" s="1"/>
      <c r="J26" s="1"/>
      <c r="K26" s="1"/>
      <c r="L26" s="1"/>
      <c r="M26" s="1"/>
      <c r="N26" s="52" t="s">
        <v>84</v>
      </c>
      <c r="O26" s="52" t="s">
        <v>1</v>
      </c>
      <c r="P26" s="1"/>
      <c r="Q26" s="1"/>
      <c r="R26" s="1"/>
    </row>
    <row r="27">
      <c r="A27" s="1"/>
      <c r="B27" s="54">
        <v>1.0</v>
      </c>
      <c r="C27" s="55" t="s">
        <v>85</v>
      </c>
      <c r="D27" s="56">
        <f>SUM(G23)</f>
        <v>1225000</v>
      </c>
      <c r="E27" s="57"/>
      <c r="F27" s="1"/>
      <c r="G27" s="1"/>
      <c r="H27" s="1"/>
      <c r="I27" s="1"/>
      <c r="J27" s="1"/>
      <c r="K27" s="1"/>
      <c r="L27" s="1"/>
      <c r="M27" s="1"/>
      <c r="N27" s="58" t="s">
        <v>86</v>
      </c>
      <c r="O27" s="22" t="s">
        <v>26</v>
      </c>
      <c r="P27" s="1"/>
      <c r="Q27" s="1"/>
      <c r="R27" s="1"/>
    </row>
    <row r="28">
      <c r="A28" s="1"/>
      <c r="B28" s="59">
        <v>2.0</v>
      </c>
      <c r="C28" s="60" t="s">
        <v>95</v>
      </c>
      <c r="D28" s="61">
        <v>-203000.0</v>
      </c>
      <c r="E28" s="62"/>
      <c r="F28" s="1"/>
      <c r="G28" s="1"/>
      <c r="H28" s="1"/>
      <c r="I28" s="1"/>
      <c r="J28" s="1"/>
      <c r="K28" s="1"/>
      <c r="L28" s="1"/>
      <c r="M28" s="1"/>
      <c r="N28" s="63" t="s">
        <v>89</v>
      </c>
      <c r="O28" s="64" t="s">
        <v>26</v>
      </c>
      <c r="P28" s="1"/>
      <c r="Q28" s="1"/>
      <c r="R28" s="1"/>
    </row>
    <row r="29">
      <c r="A29" s="1"/>
      <c r="B29" s="54">
        <v>3.0</v>
      </c>
      <c r="C29" s="55" t="s">
        <v>96</v>
      </c>
      <c r="D29" s="65">
        <v>-22000.0</v>
      </c>
      <c r="E29" s="62"/>
      <c r="F29" s="1"/>
      <c r="G29" s="1"/>
      <c r="H29" s="1"/>
      <c r="I29" s="1"/>
      <c r="J29" s="1"/>
      <c r="K29" s="1"/>
      <c r="L29" s="1"/>
      <c r="M29" s="1"/>
      <c r="N29" s="66" t="s">
        <v>91</v>
      </c>
      <c r="O29" s="24" t="s">
        <v>33</v>
      </c>
      <c r="P29" s="1"/>
      <c r="Q29" s="1"/>
      <c r="R29" s="1"/>
    </row>
    <row r="30">
      <c r="A30" s="1"/>
      <c r="B30" s="59">
        <v>4.0</v>
      </c>
      <c r="C30" s="60"/>
      <c r="D30" s="61"/>
      <c r="E30" s="62"/>
      <c r="F30" s="1"/>
      <c r="G30" s="1"/>
      <c r="H30" s="1"/>
      <c r="I30" s="1"/>
      <c r="J30" s="1"/>
      <c r="K30" s="1"/>
      <c r="L30" s="1"/>
      <c r="M30" s="1"/>
      <c r="N30" s="67" t="s">
        <v>93</v>
      </c>
      <c r="O30" s="64" t="s">
        <v>42</v>
      </c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68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4"/>
      <c r="C33" s="69"/>
      <c r="D33" s="56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9"/>
      <c r="C34" s="70"/>
      <c r="D34" s="71"/>
      <c r="E34" s="5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4"/>
      <c r="C35" s="69"/>
      <c r="D35" s="56"/>
      <c r="E35" s="5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9"/>
      <c r="C36" s="70"/>
      <c r="D36" s="71"/>
      <c r="E36" s="5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72"/>
      <c r="C37" s="73"/>
      <c r="D37" s="74"/>
      <c r="E37" s="5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75">
        <f>SUM(D27:D37)</f>
        <v>1000000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"-,JIJANG,AXEL,ADDEL ,FAHME"</formula1>
    </dataValidation>
    <dataValidation type="list" allowBlank="1" showDropDown="1" showErrorMessage="1" sqref="M4:M22 O29:O30">
      <formula1>"-,VERO,FADEL,SAKA,ADIF 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24</v>
      </c>
      <c r="D4" s="16" t="s">
        <v>21</v>
      </c>
      <c r="E4" s="17"/>
      <c r="F4" s="18">
        <v>46205.0</v>
      </c>
      <c r="G4" s="19">
        <v>825000.0</v>
      </c>
      <c r="H4" s="20"/>
      <c r="I4" s="21" t="s">
        <v>29</v>
      </c>
      <c r="J4" s="21" t="s">
        <v>31</v>
      </c>
      <c r="K4" s="21" t="s">
        <v>34</v>
      </c>
      <c r="L4" s="21" t="s">
        <v>26</v>
      </c>
      <c r="M4" s="21" t="s">
        <v>33</v>
      </c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47</v>
      </c>
      <c r="D5" s="16" t="s">
        <v>21</v>
      </c>
      <c r="E5" s="17"/>
      <c r="F5" s="18">
        <v>46205.0</v>
      </c>
      <c r="G5" s="19">
        <v>1000000.0</v>
      </c>
      <c r="H5" s="20"/>
      <c r="I5" s="21" t="s">
        <v>29</v>
      </c>
      <c r="J5" s="21" t="s">
        <v>31</v>
      </c>
      <c r="K5" s="21" t="s">
        <v>34</v>
      </c>
      <c r="L5" s="21" t="s">
        <v>26</v>
      </c>
      <c r="M5" s="21" t="s">
        <v>33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52</v>
      </c>
      <c r="D6" s="16" t="s">
        <v>21</v>
      </c>
      <c r="E6" s="17"/>
      <c r="F6" s="26">
        <v>46205.0</v>
      </c>
      <c r="G6" s="27"/>
      <c r="H6" s="20">
        <v>800000.0</v>
      </c>
      <c r="I6" s="21" t="s">
        <v>29</v>
      </c>
      <c r="J6" s="21" t="s">
        <v>31</v>
      </c>
      <c r="K6" s="21" t="s">
        <v>34</v>
      </c>
      <c r="L6" s="21" t="s">
        <v>27</v>
      </c>
      <c r="M6" s="21" t="s">
        <v>42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58</v>
      </c>
      <c r="D7" s="16" t="s">
        <v>32</v>
      </c>
      <c r="E7" s="17"/>
      <c r="F7" s="26">
        <v>46217.0</v>
      </c>
      <c r="G7" s="19"/>
      <c r="H7" s="20">
        <v>100000.0</v>
      </c>
      <c r="I7" s="21" t="s">
        <v>25</v>
      </c>
      <c r="J7" s="21"/>
      <c r="K7" s="21"/>
      <c r="L7" s="21" t="s">
        <v>27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40</v>
      </c>
      <c r="D8" s="16" t="s">
        <v>21</v>
      </c>
      <c r="E8" s="17"/>
      <c r="F8" s="26">
        <v>46205.0</v>
      </c>
      <c r="G8" s="19">
        <v>150000.0</v>
      </c>
      <c r="H8" s="29"/>
      <c r="I8" s="21" t="s">
        <v>29</v>
      </c>
      <c r="J8" s="21" t="s">
        <v>31</v>
      </c>
      <c r="K8" s="21" t="s">
        <v>34</v>
      </c>
      <c r="L8" s="21" t="s">
        <v>27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71</v>
      </c>
      <c r="D9" s="16" t="s">
        <v>21</v>
      </c>
      <c r="E9" s="17"/>
      <c r="F9" s="26">
        <v>46205.0</v>
      </c>
      <c r="G9" s="19">
        <v>75000.0</v>
      </c>
      <c r="H9" s="29"/>
      <c r="I9" s="21" t="s">
        <v>29</v>
      </c>
      <c r="J9" s="21" t="s">
        <v>31</v>
      </c>
      <c r="K9" s="21" t="s">
        <v>34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76</v>
      </c>
      <c r="D10" s="16" t="s">
        <v>23</v>
      </c>
      <c r="E10" s="17"/>
      <c r="F10" s="26">
        <v>46207.0</v>
      </c>
      <c r="G10" s="19"/>
      <c r="H10" s="20">
        <v>100000.0</v>
      </c>
      <c r="I10" s="21" t="s">
        <v>25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80</v>
      </c>
      <c r="D11" s="16" t="s">
        <v>21</v>
      </c>
      <c r="E11" s="17"/>
      <c r="F11" s="26">
        <v>46205.0</v>
      </c>
      <c r="G11" s="19"/>
      <c r="H11" s="20">
        <v>400000.0</v>
      </c>
      <c r="I11" s="21" t="s">
        <v>29</v>
      </c>
      <c r="J11" s="21" t="s">
        <v>31</v>
      </c>
      <c r="K11" s="21" t="s">
        <v>34</v>
      </c>
      <c r="L11" s="21" t="s">
        <v>27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2050000</v>
      </c>
      <c r="H19" s="50">
        <f t="shared" si="1"/>
        <v>1400000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2050000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-300000.0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/>
      <c r="D25" s="65" t="s">
        <v>97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1750000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"-,VERO,FADEL,PENTIL,ADIF ,SAKA"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6" t="s">
        <v>21</v>
      </c>
      <c r="E4" s="17"/>
      <c r="F4" s="18">
        <v>46207.0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28</v>
      </c>
      <c r="D5" s="16" t="s">
        <v>21</v>
      </c>
      <c r="E5" s="17"/>
      <c r="F5" s="18">
        <v>46206.0</v>
      </c>
      <c r="G5" s="19"/>
      <c r="H5" s="20">
        <v>325000.0</v>
      </c>
      <c r="I5" s="21" t="s">
        <v>29</v>
      </c>
      <c r="J5" s="21" t="s">
        <v>31</v>
      </c>
      <c r="K5" s="21" t="s">
        <v>31</v>
      </c>
      <c r="L5" s="21" t="s">
        <v>26</v>
      </c>
      <c r="M5" s="21" t="s">
        <v>33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35</v>
      </c>
      <c r="D6" s="16" t="s">
        <v>21</v>
      </c>
      <c r="E6" s="17"/>
      <c r="F6" s="26">
        <v>46207.0</v>
      </c>
      <c r="G6" s="27"/>
      <c r="H6" s="20">
        <v>100000.0</v>
      </c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39</v>
      </c>
      <c r="D7" s="16" t="s">
        <v>21</v>
      </c>
      <c r="E7" s="17"/>
      <c r="F7" s="26">
        <v>46206.0</v>
      </c>
      <c r="G7" s="19">
        <v>675000.0</v>
      </c>
      <c r="H7" s="29"/>
      <c r="I7" s="21" t="s">
        <v>29</v>
      </c>
      <c r="J7" s="21" t="s">
        <v>31</v>
      </c>
      <c r="K7" s="21" t="s">
        <v>34</v>
      </c>
      <c r="L7" s="21" t="s">
        <v>27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43</v>
      </c>
      <c r="D8" s="16" t="s">
        <v>21</v>
      </c>
      <c r="E8" s="17"/>
      <c r="F8" s="26">
        <v>46206.0</v>
      </c>
      <c r="G8" s="19"/>
      <c r="H8" s="20">
        <v>300000.0</v>
      </c>
      <c r="I8" s="21" t="s">
        <v>29</v>
      </c>
      <c r="J8" s="21" t="s">
        <v>31</v>
      </c>
      <c r="K8" s="21" t="s">
        <v>34</v>
      </c>
      <c r="L8" s="21" t="s">
        <v>27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46</v>
      </c>
      <c r="D9" s="16" t="s">
        <v>23</v>
      </c>
      <c r="E9" s="17"/>
      <c r="F9" s="26">
        <v>46206.0</v>
      </c>
      <c r="G9" s="19"/>
      <c r="H9" s="20">
        <v>150000.0</v>
      </c>
      <c r="I9" s="21" t="s">
        <v>29</v>
      </c>
      <c r="J9" s="21" t="s">
        <v>31</v>
      </c>
      <c r="K9" s="21" t="s">
        <v>31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49</v>
      </c>
      <c r="D10" s="16" t="s">
        <v>50</v>
      </c>
      <c r="E10" s="17"/>
      <c r="F10" s="26">
        <v>46208.0</v>
      </c>
      <c r="G10" s="19"/>
      <c r="H10" s="20">
        <v>100000.0</v>
      </c>
      <c r="I10" s="21" t="s">
        <v>25</v>
      </c>
      <c r="J10" s="21"/>
      <c r="K10" s="21"/>
      <c r="L10" s="21"/>
      <c r="M10" s="21"/>
      <c r="N10" s="24"/>
      <c r="O10" s="25"/>
      <c r="P10" s="25"/>
      <c r="Q10" s="1"/>
      <c r="R10" s="1"/>
    </row>
    <row r="11">
      <c r="A11" s="1"/>
      <c r="B11" s="14">
        <v>8.0</v>
      </c>
      <c r="C11" s="32" t="s">
        <v>54</v>
      </c>
      <c r="D11" s="33" t="s">
        <v>55</v>
      </c>
      <c r="E11" s="34"/>
      <c r="F11" s="35">
        <v>46206.0</v>
      </c>
      <c r="G11" s="36">
        <v>0.0</v>
      </c>
      <c r="H11" s="20">
        <v>0.0</v>
      </c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42</v>
      </c>
      <c r="N11" s="24"/>
      <c r="O11" s="25"/>
      <c r="P11" s="25"/>
      <c r="Q11" s="1"/>
      <c r="R11" s="1"/>
    </row>
    <row r="12">
      <c r="A12" s="1"/>
      <c r="B12" s="37">
        <v>9.0</v>
      </c>
      <c r="C12" s="32" t="s">
        <v>59</v>
      </c>
      <c r="D12" s="16" t="s">
        <v>21</v>
      </c>
      <c r="E12" s="38"/>
      <c r="F12" s="35">
        <v>46206.0</v>
      </c>
      <c r="G12" s="19">
        <v>75000.0</v>
      </c>
      <c r="H12" s="38"/>
      <c r="I12" s="21" t="s">
        <v>29</v>
      </c>
      <c r="J12" s="21" t="s">
        <v>31</v>
      </c>
      <c r="K12" s="21" t="s">
        <v>34</v>
      </c>
      <c r="L12" s="21" t="s">
        <v>27</v>
      </c>
      <c r="M12" s="21" t="s">
        <v>42</v>
      </c>
      <c r="N12" s="24"/>
      <c r="O12" s="25"/>
      <c r="P12" s="25"/>
      <c r="Q12" s="1"/>
      <c r="R12" s="1"/>
    </row>
    <row r="13">
      <c r="A13" s="1"/>
      <c r="B13" s="37">
        <v>10.0</v>
      </c>
      <c r="C13" s="39" t="s">
        <v>64</v>
      </c>
      <c r="D13" s="40" t="s">
        <v>21</v>
      </c>
      <c r="E13" s="41"/>
      <c r="F13" s="42">
        <v>46212.0</v>
      </c>
      <c r="G13" s="43"/>
      <c r="H13" s="20">
        <v>100000.0</v>
      </c>
      <c r="I13" s="21" t="s">
        <v>25</v>
      </c>
      <c r="J13" s="21"/>
      <c r="K13" s="21"/>
      <c r="L13" s="21" t="s">
        <v>27</v>
      </c>
      <c r="M13" s="28"/>
      <c r="N13" s="24"/>
      <c r="O13" s="25"/>
      <c r="P13" s="25"/>
      <c r="Q13" s="1"/>
      <c r="R13" s="1"/>
    </row>
    <row r="14">
      <c r="A14" s="1"/>
      <c r="B14" s="44"/>
      <c r="C14" s="45" t="s">
        <v>70</v>
      </c>
      <c r="D14" s="16" t="s">
        <v>21</v>
      </c>
      <c r="E14" s="17"/>
      <c r="F14" s="46">
        <v>46208.0</v>
      </c>
      <c r="G14" s="19"/>
      <c r="H14" s="20">
        <v>100000.0</v>
      </c>
      <c r="I14" s="21" t="s">
        <v>25</v>
      </c>
      <c r="J14" s="21"/>
      <c r="K14" s="21"/>
      <c r="L14" s="21" t="s">
        <v>27</v>
      </c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750000</v>
      </c>
      <c r="H19" s="50">
        <f t="shared" si="1"/>
        <v>1275000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750000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87</v>
      </c>
      <c r="D24" s="61">
        <v>-50000.0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-100000.0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 t="s">
        <v>92</v>
      </c>
      <c r="D26" s="61">
        <v>-12500.0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55" t="s">
        <v>94</v>
      </c>
      <c r="D27" s="65">
        <v>-5000.0</v>
      </c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582500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M4:M18 O25:O26">
      <formula1>"-,VERO,ADIF ,PENTIL,FAHME,SAKA"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</v>
      </c>
      <c r="D4" s="16" t="s">
        <v>22</v>
      </c>
      <c r="E4" s="17"/>
      <c r="F4" s="18">
        <v>46207.0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20</v>
      </c>
      <c r="D5" s="16" t="s">
        <v>22</v>
      </c>
      <c r="E5" s="17"/>
      <c r="F5" s="18">
        <v>46207.0</v>
      </c>
      <c r="G5" s="19"/>
      <c r="H5" s="20">
        <v>250000.0</v>
      </c>
      <c r="I5" s="21" t="s">
        <v>29</v>
      </c>
      <c r="J5" s="21" t="s">
        <v>31</v>
      </c>
      <c r="K5" s="21" t="s">
        <v>34</v>
      </c>
      <c r="L5" s="21" t="s">
        <v>27</v>
      </c>
      <c r="M5" s="21" t="s">
        <v>36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38</v>
      </c>
      <c r="D6" s="16" t="s">
        <v>23</v>
      </c>
      <c r="E6" s="17"/>
      <c r="F6" s="26">
        <v>46207.0</v>
      </c>
      <c r="G6" s="27"/>
      <c r="H6" s="20">
        <v>250000.0</v>
      </c>
      <c r="I6" s="21" t="s">
        <v>29</v>
      </c>
      <c r="J6" s="21" t="s">
        <v>31</v>
      </c>
      <c r="K6" s="21" t="s">
        <v>34</v>
      </c>
      <c r="L6" s="21" t="s">
        <v>27</v>
      </c>
      <c r="M6" s="21" t="s">
        <v>36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41</v>
      </c>
      <c r="D7" s="16" t="s">
        <v>23</v>
      </c>
      <c r="E7" s="17"/>
      <c r="F7" s="26">
        <v>46207.0</v>
      </c>
      <c r="G7" s="19"/>
      <c r="H7" s="20">
        <v>250000.0</v>
      </c>
      <c r="I7" s="21" t="s">
        <v>29</v>
      </c>
      <c r="J7" s="21" t="s">
        <v>31</v>
      </c>
      <c r="K7" s="21" t="s">
        <v>31</v>
      </c>
      <c r="L7" s="21" t="s">
        <v>27</v>
      </c>
      <c r="M7" s="21" t="s">
        <v>36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44</v>
      </c>
      <c r="D8" s="16" t="s">
        <v>23</v>
      </c>
      <c r="E8" s="17"/>
      <c r="F8" s="26">
        <v>46207.0</v>
      </c>
      <c r="G8" s="19"/>
      <c r="H8" s="20">
        <v>250000.0</v>
      </c>
      <c r="I8" s="21" t="s">
        <v>29</v>
      </c>
      <c r="J8" s="21" t="s">
        <v>31</v>
      </c>
      <c r="K8" s="21" t="s">
        <v>34</v>
      </c>
      <c r="L8" s="21" t="s">
        <v>27</v>
      </c>
      <c r="M8" s="21" t="s">
        <v>36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48</v>
      </c>
      <c r="D9" s="16" t="s">
        <v>50</v>
      </c>
      <c r="E9" s="17"/>
      <c r="F9" s="26">
        <v>46207.0</v>
      </c>
      <c r="G9" s="19"/>
      <c r="H9" s="20">
        <v>520000.0</v>
      </c>
      <c r="I9" s="21" t="s">
        <v>29</v>
      </c>
      <c r="J9" s="21" t="s">
        <v>31</v>
      </c>
      <c r="K9" s="21" t="s">
        <v>31</v>
      </c>
      <c r="L9" s="21" t="s">
        <v>27</v>
      </c>
      <c r="M9" s="21" t="s">
        <v>36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53</v>
      </c>
      <c r="D10" s="16" t="s">
        <v>23</v>
      </c>
      <c r="E10" s="17"/>
      <c r="F10" s="26">
        <v>46266.0</v>
      </c>
      <c r="G10" s="19"/>
      <c r="H10" s="20">
        <v>100000.0</v>
      </c>
      <c r="I10" s="21" t="s">
        <v>25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57</v>
      </c>
      <c r="D11" s="16" t="s">
        <v>23</v>
      </c>
      <c r="E11" s="17"/>
      <c r="F11" s="26">
        <v>46207.0</v>
      </c>
      <c r="G11" s="19">
        <v>450000.0</v>
      </c>
      <c r="H11" s="29"/>
      <c r="I11" s="21" t="s">
        <v>29</v>
      </c>
      <c r="J11" s="21" t="s">
        <v>31</v>
      </c>
      <c r="K11" s="21" t="s">
        <v>34</v>
      </c>
      <c r="L11" s="21" t="s">
        <v>27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63</v>
      </c>
      <c r="D12" s="16" t="s">
        <v>21</v>
      </c>
      <c r="E12" s="17"/>
      <c r="F12" s="26">
        <v>46207.0</v>
      </c>
      <c r="G12" s="19">
        <v>100000.0</v>
      </c>
      <c r="H12" s="29"/>
      <c r="I12" s="21" t="s">
        <v>29</v>
      </c>
      <c r="J12" s="21" t="s">
        <v>31</v>
      </c>
      <c r="K12" s="21" t="s">
        <v>31</v>
      </c>
      <c r="L12" s="21" t="s">
        <v>27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67</v>
      </c>
      <c r="D13" s="16" t="s">
        <v>21</v>
      </c>
      <c r="E13" s="17"/>
      <c r="F13" s="26">
        <v>46207.0</v>
      </c>
      <c r="G13" s="19"/>
      <c r="H13" s="20">
        <v>150000.0</v>
      </c>
      <c r="I13" s="21" t="s">
        <v>29</v>
      </c>
      <c r="J13" s="21" t="s">
        <v>31</v>
      </c>
      <c r="K13" s="21" t="s">
        <v>31</v>
      </c>
      <c r="L13" s="21" t="s">
        <v>27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 t="s">
        <v>69</v>
      </c>
      <c r="D14" s="16" t="s">
        <v>21</v>
      </c>
      <c r="E14" s="17"/>
      <c r="F14" s="26">
        <v>46208.0</v>
      </c>
      <c r="G14" s="19"/>
      <c r="H14" s="20">
        <v>100000.0</v>
      </c>
      <c r="I14" s="21" t="s">
        <v>25</v>
      </c>
      <c r="J14" s="21"/>
      <c r="K14" s="21"/>
      <c r="L14" s="21" t="s">
        <v>27</v>
      </c>
      <c r="M14" s="28"/>
      <c r="N14" s="24"/>
      <c r="O14" s="25"/>
      <c r="P14" s="25"/>
      <c r="Q14" s="1"/>
      <c r="R14" s="1"/>
    </row>
    <row r="15">
      <c r="A15" s="1"/>
      <c r="B15" s="44"/>
      <c r="C15" s="15" t="s">
        <v>73</v>
      </c>
      <c r="D15" s="16" t="s">
        <v>23</v>
      </c>
      <c r="E15" s="17"/>
      <c r="F15" s="26">
        <v>46207.0</v>
      </c>
      <c r="G15" s="19"/>
      <c r="H15" s="20">
        <v>250000.0</v>
      </c>
      <c r="I15" s="21" t="s">
        <v>29</v>
      </c>
      <c r="J15" s="21" t="s">
        <v>31</v>
      </c>
      <c r="K15" s="21" t="s">
        <v>34</v>
      </c>
      <c r="L15" s="21" t="s">
        <v>27</v>
      </c>
      <c r="M15" s="21" t="s">
        <v>42</v>
      </c>
      <c r="N15" s="24"/>
      <c r="O15" s="25"/>
      <c r="P15" s="25"/>
      <c r="Q15" s="1"/>
      <c r="R15" s="1"/>
    </row>
    <row r="16">
      <c r="A16" s="1"/>
      <c r="B16" s="44"/>
      <c r="C16" s="15" t="s">
        <v>75</v>
      </c>
      <c r="D16" s="16" t="s">
        <v>23</v>
      </c>
      <c r="E16" s="17"/>
      <c r="F16" s="26">
        <v>46266.0</v>
      </c>
      <c r="G16" s="19"/>
      <c r="H16" s="20">
        <v>100000.0</v>
      </c>
      <c r="I16" s="21" t="s">
        <v>25</v>
      </c>
      <c r="J16" s="21"/>
      <c r="K16" s="21"/>
      <c r="L16" s="21" t="s">
        <v>27</v>
      </c>
      <c r="M16" s="28"/>
      <c r="N16" s="24"/>
      <c r="O16" s="25"/>
      <c r="P16" s="25"/>
      <c r="Q16" s="1"/>
      <c r="R16" s="1"/>
    </row>
    <row r="17">
      <c r="A17" s="1"/>
      <c r="B17" s="44"/>
      <c r="C17" s="15" t="s">
        <v>78</v>
      </c>
      <c r="D17" s="16" t="s">
        <v>21</v>
      </c>
      <c r="E17" s="17"/>
      <c r="F17" s="26">
        <v>46207.0</v>
      </c>
      <c r="G17" s="19"/>
      <c r="H17" s="20">
        <v>1025000.0</v>
      </c>
      <c r="I17" s="21" t="s">
        <v>29</v>
      </c>
      <c r="J17" s="21" t="s">
        <v>31</v>
      </c>
      <c r="K17" s="21" t="s">
        <v>34</v>
      </c>
      <c r="L17" s="21" t="s">
        <v>27</v>
      </c>
      <c r="M17" s="21" t="s">
        <v>42</v>
      </c>
      <c r="N17" s="24"/>
      <c r="O17" s="25"/>
      <c r="P17" s="25"/>
      <c r="Q17" s="1"/>
      <c r="R17" s="1"/>
    </row>
    <row r="18">
      <c r="A18" s="1"/>
      <c r="B18" s="44"/>
      <c r="C18" s="15"/>
      <c r="D18" s="16"/>
      <c r="E18" s="17"/>
      <c r="F18" s="44"/>
      <c r="G18" s="19"/>
      <c r="H18" s="29"/>
      <c r="I18" s="21"/>
      <c r="J18" s="21"/>
      <c r="K18" s="21"/>
      <c r="L18" s="28"/>
      <c r="M18" s="28"/>
      <c r="N18" s="24"/>
      <c r="O18" s="25"/>
      <c r="P18" s="25"/>
      <c r="Q18" s="1"/>
      <c r="R18" s="1"/>
    </row>
    <row r="19">
      <c r="A19" s="1"/>
      <c r="B19" s="44"/>
      <c r="C19" s="15"/>
      <c r="D19" s="16"/>
      <c r="E19" s="17"/>
      <c r="F19" s="44"/>
      <c r="G19" s="19"/>
      <c r="H19" s="29"/>
      <c r="I19" s="21"/>
      <c r="J19" s="21"/>
      <c r="K19" s="21"/>
      <c r="L19" s="28"/>
      <c r="M19" s="28"/>
      <c r="N19" s="24"/>
      <c r="O19" s="25"/>
      <c r="P19" s="25"/>
      <c r="Q19" s="1"/>
      <c r="R19" s="1"/>
    </row>
    <row r="20">
      <c r="A20" s="1"/>
      <c r="B20" s="44"/>
      <c r="C20" s="47"/>
      <c r="D20" s="16"/>
      <c r="E20" s="17"/>
      <c r="F20" s="44"/>
      <c r="G20" s="27"/>
      <c r="H20" s="29"/>
      <c r="I20" s="28"/>
      <c r="J20" s="28"/>
      <c r="K20" s="28"/>
      <c r="L20" s="28"/>
      <c r="M20" s="28"/>
      <c r="N20" s="48"/>
      <c r="O20" s="48"/>
      <c r="P20" s="48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49">
        <f t="shared" ref="G21:H21" si="1">SUM(G4:G20)</f>
        <v>550000</v>
      </c>
      <c r="H21" s="50">
        <f t="shared" si="1"/>
        <v>3345000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51" t="s">
        <v>0</v>
      </c>
      <c r="C24" s="52" t="s">
        <v>6</v>
      </c>
      <c r="D24" s="52" t="s">
        <v>83</v>
      </c>
      <c r="E24" s="53"/>
      <c r="F24" s="1"/>
      <c r="G24" s="1"/>
      <c r="H24" s="1"/>
      <c r="I24" s="1"/>
      <c r="J24" s="1"/>
      <c r="K24" s="1"/>
      <c r="L24" s="1"/>
      <c r="M24" s="1"/>
      <c r="N24" s="52" t="s">
        <v>84</v>
      </c>
      <c r="O24" s="52" t="s">
        <v>1</v>
      </c>
      <c r="P24" s="1"/>
      <c r="Q24" s="1"/>
      <c r="R24" s="1"/>
    </row>
    <row r="25">
      <c r="A25" s="1"/>
      <c r="B25" s="54">
        <v>1.0</v>
      </c>
      <c r="C25" s="55" t="s">
        <v>85</v>
      </c>
      <c r="D25" s="56">
        <f>SUM(G21)</f>
        <v>550000</v>
      </c>
      <c r="E25" s="57"/>
      <c r="F25" s="1"/>
      <c r="G25" s="1"/>
      <c r="H25" s="1"/>
      <c r="I25" s="1"/>
      <c r="J25" s="1"/>
      <c r="K25" s="1"/>
      <c r="L25" s="1"/>
      <c r="M25" s="1"/>
      <c r="N25" s="58" t="s">
        <v>86</v>
      </c>
      <c r="O25" s="22" t="s">
        <v>27</v>
      </c>
      <c r="P25" s="1"/>
      <c r="Q25" s="1"/>
      <c r="R25" s="1"/>
    </row>
    <row r="26">
      <c r="A26" s="1"/>
      <c r="B26" s="59">
        <v>2.0</v>
      </c>
      <c r="C26" s="60" t="s">
        <v>88</v>
      </c>
      <c r="D26" s="61">
        <v>-100000.0</v>
      </c>
      <c r="E26" s="62"/>
      <c r="F26" s="1"/>
      <c r="G26" s="1"/>
      <c r="H26" s="1"/>
      <c r="I26" s="1"/>
      <c r="J26" s="1"/>
      <c r="K26" s="1"/>
      <c r="L26" s="1"/>
      <c r="M26" s="1"/>
      <c r="N26" s="63" t="s">
        <v>89</v>
      </c>
      <c r="O26" s="64" t="s">
        <v>27</v>
      </c>
      <c r="P26" s="1"/>
      <c r="Q26" s="1"/>
      <c r="R26" s="1"/>
    </row>
    <row r="27">
      <c r="A27" s="1"/>
      <c r="B27" s="54">
        <v>3.0</v>
      </c>
      <c r="C27" s="55" t="s">
        <v>90</v>
      </c>
      <c r="D27" s="65">
        <v>-50000.0</v>
      </c>
      <c r="E27" s="62"/>
      <c r="F27" s="1"/>
      <c r="G27" s="1"/>
      <c r="H27" s="1"/>
      <c r="I27" s="1"/>
      <c r="J27" s="1"/>
      <c r="K27" s="1"/>
      <c r="L27" s="1"/>
      <c r="M27" s="1"/>
      <c r="N27" s="66" t="s">
        <v>91</v>
      </c>
      <c r="O27" s="24" t="s">
        <v>36</v>
      </c>
      <c r="P27" s="1"/>
      <c r="Q27" s="1"/>
      <c r="R27" s="1"/>
    </row>
    <row r="28">
      <c r="A28" s="1"/>
      <c r="B28" s="59">
        <v>4.0</v>
      </c>
      <c r="C28" s="60"/>
      <c r="D28" s="61"/>
      <c r="E28" s="62"/>
      <c r="F28" s="1"/>
      <c r="G28" s="1"/>
      <c r="H28" s="1"/>
      <c r="I28" s="1"/>
      <c r="J28" s="1"/>
      <c r="K28" s="1"/>
      <c r="L28" s="1"/>
      <c r="M28" s="1"/>
      <c r="N28" s="67" t="s">
        <v>93</v>
      </c>
      <c r="O28" s="64" t="s">
        <v>42</v>
      </c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68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4"/>
      <c r="C33" s="69"/>
      <c r="D33" s="56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9"/>
      <c r="C34" s="70"/>
      <c r="D34" s="71"/>
      <c r="E34" s="5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72"/>
      <c r="C35" s="73"/>
      <c r="D35" s="74"/>
      <c r="E35" s="5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75">
        <f>SUM(D25:D35)</f>
        <v>400000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"-,JIJANG,AXEL,PENTIL,FAHME,INDAH"</formula1>
    </dataValidation>
    <dataValidation type="list" allowBlank="1" showErrorMessage="1" sqref="N4:N20">
      <formula1>"-,Pending,Progress,Uploaded"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M4:M20 O27:O28">
      <formula1>"-,VERO,FADEL,PENTIL,FAHME,ADIF,SAKA"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9.38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98</v>
      </c>
      <c r="D4" s="16" t="s">
        <v>61</v>
      </c>
      <c r="E4" s="17"/>
      <c r="F4" s="18">
        <v>46208.0</v>
      </c>
      <c r="G4" s="19">
        <v>0.0</v>
      </c>
      <c r="H4" s="20">
        <v>0.0</v>
      </c>
      <c r="I4" s="21" t="s">
        <v>29</v>
      </c>
      <c r="J4" s="21" t="s">
        <v>31</v>
      </c>
      <c r="K4" s="21" t="s">
        <v>31</v>
      </c>
      <c r="L4" s="21" t="s">
        <v>27</v>
      </c>
      <c r="M4" s="21" t="s">
        <v>42</v>
      </c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100</v>
      </c>
      <c r="D5" s="16" t="s">
        <v>23</v>
      </c>
      <c r="E5" s="17"/>
      <c r="F5" s="18">
        <v>46266.0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101</v>
      </c>
      <c r="D6" s="16" t="s">
        <v>61</v>
      </c>
      <c r="E6" s="17" t="s">
        <v>62</v>
      </c>
      <c r="F6" s="26">
        <v>46208.0</v>
      </c>
      <c r="G6" s="19">
        <v>50000.0</v>
      </c>
      <c r="H6" s="20"/>
      <c r="I6" s="21" t="s">
        <v>29</v>
      </c>
      <c r="J6" s="21" t="s">
        <v>31</v>
      </c>
      <c r="K6" s="21" t="s">
        <v>31</v>
      </c>
      <c r="L6" s="21" t="s">
        <v>27</v>
      </c>
      <c r="M6" s="21" t="s">
        <v>42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103</v>
      </c>
      <c r="D7" s="16" t="s">
        <v>21</v>
      </c>
      <c r="E7" s="17"/>
      <c r="F7" s="26">
        <v>46208.0</v>
      </c>
      <c r="G7" s="19">
        <v>1225000.0</v>
      </c>
      <c r="H7" s="29"/>
      <c r="I7" s="21" t="s">
        <v>29</v>
      </c>
      <c r="J7" s="21" t="s">
        <v>31</v>
      </c>
      <c r="K7" s="21" t="s">
        <v>34</v>
      </c>
      <c r="L7" s="21" t="s">
        <v>104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49</v>
      </c>
      <c r="D8" s="16" t="s">
        <v>50</v>
      </c>
      <c r="E8" s="17"/>
      <c r="F8" s="26">
        <v>46208.0</v>
      </c>
      <c r="G8" s="19"/>
      <c r="H8" s="20">
        <v>400000.0</v>
      </c>
      <c r="I8" s="21" t="s">
        <v>29</v>
      </c>
      <c r="J8" s="21" t="s">
        <v>31</v>
      </c>
      <c r="K8" s="21" t="s">
        <v>34</v>
      </c>
      <c r="L8" s="21" t="s">
        <v>104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107</v>
      </c>
      <c r="D9" s="16" t="s">
        <v>21</v>
      </c>
      <c r="E9" s="17"/>
      <c r="F9" s="26">
        <v>46208.0</v>
      </c>
      <c r="G9" s="19">
        <v>700000.0</v>
      </c>
      <c r="H9" s="29"/>
      <c r="I9" s="21" t="s">
        <v>29</v>
      </c>
      <c r="J9" s="21" t="s">
        <v>31</v>
      </c>
      <c r="K9" s="21" t="s">
        <v>31</v>
      </c>
      <c r="L9" s="21" t="s">
        <v>104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69</v>
      </c>
      <c r="D10" s="16" t="s">
        <v>21</v>
      </c>
      <c r="E10" s="17"/>
      <c r="F10" s="26">
        <v>46208.0</v>
      </c>
      <c r="G10" s="19"/>
      <c r="H10" s="20">
        <v>75000.0</v>
      </c>
      <c r="I10" s="21" t="s">
        <v>29</v>
      </c>
      <c r="J10" s="21" t="s">
        <v>31</v>
      </c>
      <c r="K10" s="21" t="s">
        <v>31</v>
      </c>
      <c r="L10" s="21" t="s">
        <v>104</v>
      </c>
      <c r="M10" s="21" t="s">
        <v>42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110</v>
      </c>
      <c r="D11" s="16" t="s">
        <v>74</v>
      </c>
      <c r="E11" s="17"/>
      <c r="F11" s="26">
        <v>46208.0</v>
      </c>
      <c r="G11" s="19">
        <v>50000.0</v>
      </c>
      <c r="H11" s="29"/>
      <c r="I11" s="21" t="s">
        <v>29</v>
      </c>
      <c r="J11" s="21" t="s">
        <v>31</v>
      </c>
      <c r="K11" s="21" t="s">
        <v>31</v>
      </c>
      <c r="L11" s="21" t="s">
        <v>104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113</v>
      </c>
      <c r="D12" s="16" t="s">
        <v>74</v>
      </c>
      <c r="E12" s="17"/>
      <c r="F12" s="26">
        <v>46210.0</v>
      </c>
      <c r="G12" s="19"/>
      <c r="H12" s="20">
        <v>100000.0</v>
      </c>
      <c r="I12" s="21" t="s">
        <v>29</v>
      </c>
      <c r="J12" s="21"/>
      <c r="K12" s="21"/>
      <c r="L12" s="21" t="s">
        <v>104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116</v>
      </c>
      <c r="D13" s="16" t="s">
        <v>61</v>
      </c>
      <c r="E13" s="17"/>
      <c r="F13" s="26">
        <v>46208.0</v>
      </c>
      <c r="G13" s="19"/>
      <c r="H13" s="20">
        <v>100000.0</v>
      </c>
      <c r="I13" s="21" t="s">
        <v>29</v>
      </c>
      <c r="J13" s="21" t="s">
        <v>31</v>
      </c>
      <c r="K13" s="21" t="s">
        <v>31</v>
      </c>
      <c r="L13" s="21" t="s">
        <v>104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2025000</v>
      </c>
      <c r="H19" s="50">
        <f t="shared" si="1"/>
        <v>775000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2025000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88</v>
      </c>
      <c r="D24" s="61">
        <v>-25000.0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104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-75000.0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1925000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"-,VERO,FADEL,PENTIL,FAHME,SAKA"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99</v>
      </c>
      <c r="D4" s="16" t="s">
        <v>21</v>
      </c>
      <c r="E4" s="17"/>
      <c r="F4" s="18">
        <v>46210.0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102</v>
      </c>
      <c r="D5" s="16" t="s">
        <v>21</v>
      </c>
      <c r="E5" s="17"/>
      <c r="F5" s="18">
        <v>46211.0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76" t="s">
        <v>106</v>
      </c>
      <c r="D6" s="16" t="s">
        <v>21</v>
      </c>
      <c r="E6" s="17"/>
      <c r="F6" s="26">
        <v>46209.0</v>
      </c>
      <c r="G6" s="19">
        <v>1150000.0</v>
      </c>
      <c r="H6" s="20"/>
      <c r="I6" s="21" t="s">
        <v>29</v>
      </c>
      <c r="J6" s="21" t="s">
        <v>31</v>
      </c>
      <c r="K6" s="21" t="s">
        <v>34</v>
      </c>
      <c r="L6" s="21" t="s">
        <v>26</v>
      </c>
      <c r="M6" s="21" t="s">
        <v>33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108</v>
      </c>
      <c r="D7" s="16" t="s">
        <v>23</v>
      </c>
      <c r="E7" s="17"/>
      <c r="F7" s="14" t="s">
        <v>109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111</v>
      </c>
      <c r="D8" s="16" t="s">
        <v>112</v>
      </c>
      <c r="E8" s="17"/>
      <c r="F8" s="26">
        <v>46216.0</v>
      </c>
      <c r="G8" s="19"/>
      <c r="H8" s="20">
        <v>100000.0</v>
      </c>
      <c r="I8" s="21" t="s">
        <v>25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114</v>
      </c>
      <c r="D9" s="16" t="s">
        <v>21</v>
      </c>
      <c r="E9" s="17"/>
      <c r="F9" s="26">
        <v>46210.0</v>
      </c>
      <c r="G9" s="19"/>
      <c r="H9" s="20">
        <v>100000.0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117</v>
      </c>
      <c r="D10" s="16" t="s">
        <v>61</v>
      </c>
      <c r="E10" s="17"/>
      <c r="F10" s="26">
        <v>46210.0</v>
      </c>
      <c r="G10" s="19"/>
      <c r="H10" s="20">
        <v>100000.0</v>
      </c>
      <c r="I10" s="21" t="s">
        <v>29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118</v>
      </c>
      <c r="D11" s="16" t="s">
        <v>21</v>
      </c>
      <c r="E11" s="17"/>
      <c r="F11" s="26">
        <v>46214.0</v>
      </c>
      <c r="G11" s="19"/>
      <c r="H11" s="20">
        <v>100000.0</v>
      </c>
      <c r="I11" s="21" t="s">
        <v>25</v>
      </c>
      <c r="J11" s="21"/>
      <c r="K11" s="21"/>
      <c r="L11" s="21" t="s">
        <v>27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119</v>
      </c>
      <c r="D12" s="16" t="s">
        <v>121</v>
      </c>
      <c r="E12" s="17"/>
      <c r="F12" s="26">
        <v>46209.0</v>
      </c>
      <c r="G12" s="19"/>
      <c r="H12" s="20">
        <v>350000.0</v>
      </c>
      <c r="I12" s="21" t="s">
        <v>29</v>
      </c>
      <c r="J12" s="21" t="s">
        <v>31</v>
      </c>
      <c r="K12" s="21" t="s">
        <v>34</v>
      </c>
      <c r="L12" s="21" t="s">
        <v>27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1150000</v>
      </c>
      <c r="H19" s="50">
        <f t="shared" si="1"/>
        <v>1050000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1150000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/>
      <c r="D24" s="61"/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1150000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"-,JIJANG,AXEL,PENTIL,ADDEL 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Edit,Couple C"</formula1>
    </dataValidation>
    <dataValidation type="list" allowBlank="1" showDropDown="1" showErrorMessage="1" sqref="M4:M18 O25:O26">
      <formula1>"-,VERO,FADEL,PENTIL,ADIF ,SAKA"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105</v>
      </c>
      <c r="D4" s="16" t="s">
        <v>21</v>
      </c>
      <c r="E4" s="17"/>
      <c r="F4" s="18">
        <v>46216.0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115</v>
      </c>
      <c r="D5" s="16" t="s">
        <v>21</v>
      </c>
      <c r="E5" s="17"/>
      <c r="F5" s="18">
        <v>46210.0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117</v>
      </c>
      <c r="D6" s="16" t="s">
        <v>61</v>
      </c>
      <c r="E6" s="17" t="s">
        <v>62</v>
      </c>
      <c r="F6" s="26">
        <v>46210.0</v>
      </c>
      <c r="G6" s="27"/>
      <c r="H6" s="20">
        <v>50000.0</v>
      </c>
      <c r="I6" s="21" t="s">
        <v>29</v>
      </c>
      <c r="J6" s="21" t="s">
        <v>31</v>
      </c>
      <c r="K6" s="21" t="s">
        <v>34</v>
      </c>
      <c r="L6" s="21" t="s">
        <v>26</v>
      </c>
      <c r="M6" s="21" t="s">
        <v>33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120</v>
      </c>
      <c r="D7" s="16" t="s">
        <v>32</v>
      </c>
      <c r="E7" s="17"/>
      <c r="F7" s="26">
        <v>46210.0</v>
      </c>
      <c r="G7" s="19"/>
      <c r="H7" s="20">
        <v>100000.0</v>
      </c>
      <c r="I7" s="21" t="s">
        <v>29</v>
      </c>
      <c r="J7" s="21" t="s">
        <v>31</v>
      </c>
      <c r="K7" s="21" t="s">
        <v>31</v>
      </c>
      <c r="L7" s="21" t="s">
        <v>26</v>
      </c>
      <c r="M7" s="21" t="s">
        <v>33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122</v>
      </c>
      <c r="D8" s="16" t="s">
        <v>21</v>
      </c>
      <c r="E8" s="17"/>
      <c r="F8" s="26">
        <v>46210.0</v>
      </c>
      <c r="G8" s="19"/>
      <c r="H8" s="20">
        <v>175000.0</v>
      </c>
      <c r="I8" s="21" t="s">
        <v>29</v>
      </c>
      <c r="J8" s="21" t="s">
        <v>31</v>
      </c>
      <c r="K8" s="21" t="s">
        <v>31</v>
      </c>
      <c r="L8" s="21" t="s">
        <v>26</v>
      </c>
      <c r="M8" s="21" t="s">
        <v>33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120</v>
      </c>
      <c r="D9" s="16" t="s">
        <v>124</v>
      </c>
      <c r="E9" s="17"/>
      <c r="F9" s="26">
        <v>46210.0</v>
      </c>
      <c r="G9" s="19"/>
      <c r="H9" s="20">
        <v>20000.0</v>
      </c>
      <c r="I9" s="21" t="s">
        <v>29</v>
      </c>
      <c r="J9" s="21" t="s">
        <v>31</v>
      </c>
      <c r="K9" s="21" t="s">
        <v>31</v>
      </c>
      <c r="L9" s="21" t="s">
        <v>26</v>
      </c>
      <c r="M9" s="21"/>
      <c r="N9" s="24"/>
      <c r="O9" s="25"/>
      <c r="P9" s="25"/>
      <c r="Q9" s="1"/>
      <c r="R9" s="1"/>
    </row>
    <row r="10">
      <c r="A10" s="1"/>
      <c r="B10" s="14">
        <v>7.0</v>
      </c>
      <c r="C10" s="15" t="s">
        <v>126</v>
      </c>
      <c r="D10" s="16" t="s">
        <v>23</v>
      </c>
      <c r="E10" s="17"/>
      <c r="F10" s="26">
        <v>46211.0</v>
      </c>
      <c r="G10" s="19"/>
      <c r="H10" s="20">
        <v>100000.0</v>
      </c>
      <c r="I10" s="21" t="s">
        <v>25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128</v>
      </c>
      <c r="D11" s="16" t="s">
        <v>74</v>
      </c>
      <c r="E11" s="17"/>
      <c r="F11" s="26">
        <v>46210.0</v>
      </c>
      <c r="G11" s="19"/>
      <c r="H11" s="20">
        <v>100000.0</v>
      </c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120</v>
      </c>
      <c r="D12" s="16" t="s">
        <v>131</v>
      </c>
      <c r="E12" s="17"/>
      <c r="F12" s="26">
        <v>46210.0</v>
      </c>
      <c r="G12" s="19"/>
      <c r="H12" s="20">
        <v>10000.0</v>
      </c>
      <c r="I12" s="21" t="s">
        <v>29</v>
      </c>
      <c r="J12" s="21"/>
      <c r="K12" s="21"/>
      <c r="L12" s="21" t="s">
        <v>27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132</v>
      </c>
      <c r="D13" s="16" t="s">
        <v>21</v>
      </c>
      <c r="E13" s="17"/>
      <c r="F13" s="26">
        <v>46210.0</v>
      </c>
      <c r="G13" s="19">
        <v>100000.0</v>
      </c>
      <c r="H13" s="29"/>
      <c r="I13" s="21" t="s">
        <v>29</v>
      </c>
      <c r="J13" s="21" t="s">
        <v>31</v>
      </c>
      <c r="K13" s="21" t="s">
        <v>31</v>
      </c>
      <c r="L13" s="21" t="s">
        <v>27</v>
      </c>
      <c r="M13" s="21" t="s">
        <v>33</v>
      </c>
      <c r="N13" s="24"/>
      <c r="O13" s="25"/>
      <c r="P13" s="25"/>
      <c r="Q13" s="1"/>
      <c r="R13" s="1"/>
    </row>
    <row r="14">
      <c r="A14" s="1"/>
      <c r="B14" s="44"/>
      <c r="C14" s="15" t="s">
        <v>134</v>
      </c>
      <c r="D14" s="16" t="s">
        <v>74</v>
      </c>
      <c r="E14" s="17"/>
      <c r="F14" s="26">
        <v>46210.0</v>
      </c>
      <c r="G14" s="19">
        <v>0.0</v>
      </c>
      <c r="H14" s="20">
        <v>0.0</v>
      </c>
      <c r="I14" s="21" t="s">
        <v>29</v>
      </c>
      <c r="J14" s="21" t="s">
        <v>31</v>
      </c>
      <c r="K14" s="21" t="s">
        <v>31</v>
      </c>
      <c r="L14" s="21" t="s">
        <v>27</v>
      </c>
      <c r="M14" s="21" t="s">
        <v>42</v>
      </c>
      <c r="N14" s="24"/>
      <c r="O14" s="25"/>
      <c r="P14" s="25"/>
      <c r="Q14" s="1"/>
      <c r="R14" s="1"/>
    </row>
    <row r="15">
      <c r="A15" s="1"/>
      <c r="B15" s="44"/>
      <c r="C15" s="15" t="s">
        <v>135</v>
      </c>
      <c r="D15" s="16" t="s">
        <v>21</v>
      </c>
      <c r="E15" s="17"/>
      <c r="F15" s="26">
        <v>46214.0</v>
      </c>
      <c r="G15" s="19"/>
      <c r="H15" s="20">
        <v>100000.0</v>
      </c>
      <c r="I15" s="21" t="s">
        <v>25</v>
      </c>
      <c r="J15" s="21"/>
      <c r="K15" s="21"/>
      <c r="L15" s="21" t="s">
        <v>27</v>
      </c>
      <c r="M15" s="28"/>
      <c r="N15" s="24"/>
      <c r="O15" s="25"/>
      <c r="P15" s="25"/>
      <c r="Q15" s="1"/>
      <c r="R15" s="1"/>
    </row>
    <row r="16">
      <c r="A16" s="1"/>
      <c r="B16" s="44"/>
      <c r="C16" s="15" t="s">
        <v>128</v>
      </c>
      <c r="D16" s="16" t="s">
        <v>124</v>
      </c>
      <c r="E16" s="17"/>
      <c r="F16" s="26">
        <v>46210.0</v>
      </c>
      <c r="G16" s="19"/>
      <c r="H16" s="20">
        <v>40000.0</v>
      </c>
      <c r="I16" s="21" t="s">
        <v>29</v>
      </c>
      <c r="J16" s="21" t="s">
        <v>31</v>
      </c>
      <c r="K16" s="21" t="s">
        <v>31</v>
      </c>
      <c r="L16" s="21" t="s">
        <v>27</v>
      </c>
      <c r="M16" s="28"/>
      <c r="N16" s="24"/>
      <c r="O16" s="25"/>
      <c r="P16" s="25"/>
      <c r="Q16" s="1"/>
      <c r="R16" s="1"/>
    </row>
    <row r="17">
      <c r="A17" s="1"/>
      <c r="B17" s="44"/>
      <c r="C17" s="15" t="s">
        <v>115</v>
      </c>
      <c r="D17" s="16" t="s">
        <v>21</v>
      </c>
      <c r="E17" s="17"/>
      <c r="F17" s="77">
        <v>46210.0</v>
      </c>
      <c r="G17" s="19"/>
      <c r="H17" s="20">
        <v>150000.0</v>
      </c>
      <c r="I17" s="21" t="s">
        <v>29</v>
      </c>
      <c r="J17" s="21" t="s">
        <v>31</v>
      </c>
      <c r="K17" s="21" t="s">
        <v>31</v>
      </c>
      <c r="L17" s="21" t="s">
        <v>27</v>
      </c>
      <c r="M17" s="21" t="s">
        <v>42</v>
      </c>
      <c r="N17" s="24"/>
      <c r="O17" s="25"/>
      <c r="P17" s="25"/>
      <c r="Q17" s="1"/>
      <c r="R17" s="1"/>
    </row>
    <row r="18">
      <c r="A18" s="1"/>
      <c r="B18" s="44"/>
      <c r="C18" s="15" t="s">
        <v>138</v>
      </c>
      <c r="D18" s="16" t="s">
        <v>21</v>
      </c>
      <c r="E18" s="17"/>
      <c r="F18" s="26">
        <v>46220.0</v>
      </c>
      <c r="G18" s="27"/>
      <c r="H18" s="20">
        <v>100000.0</v>
      </c>
      <c r="I18" s="21" t="s">
        <v>25</v>
      </c>
      <c r="J18" s="28"/>
      <c r="K18" s="28"/>
      <c r="L18" s="21" t="s">
        <v>27</v>
      </c>
      <c r="M18" s="28"/>
      <c r="N18" s="25"/>
      <c r="O18" s="25"/>
      <c r="P18" s="25"/>
      <c r="Q18" s="1"/>
      <c r="R18" s="1"/>
    </row>
    <row r="19">
      <c r="A19" s="1"/>
      <c r="B19" s="44"/>
      <c r="C19" s="15" t="s">
        <v>130</v>
      </c>
      <c r="D19" s="16" t="s">
        <v>21</v>
      </c>
      <c r="E19" s="17"/>
      <c r="F19" s="26">
        <v>46211.0</v>
      </c>
      <c r="G19" s="27"/>
      <c r="H19" s="20">
        <v>100000.0</v>
      </c>
      <c r="I19" s="21" t="s">
        <v>25</v>
      </c>
      <c r="J19" s="28"/>
      <c r="K19" s="28"/>
      <c r="L19" s="21" t="s">
        <v>27</v>
      </c>
      <c r="M19" s="28"/>
      <c r="N19" s="25"/>
      <c r="O19" s="25"/>
      <c r="P19" s="25"/>
      <c r="Q19" s="1"/>
      <c r="R19" s="1"/>
    </row>
    <row r="20">
      <c r="A20" s="1"/>
      <c r="B20" s="44"/>
      <c r="C20" s="15" t="s">
        <v>140</v>
      </c>
      <c r="D20" s="16" t="s">
        <v>121</v>
      </c>
      <c r="E20" s="17" t="s">
        <v>141</v>
      </c>
      <c r="F20" s="26">
        <v>46210.0</v>
      </c>
      <c r="G20" s="27"/>
      <c r="H20" s="20">
        <v>510000.0</v>
      </c>
      <c r="I20" s="21" t="s">
        <v>29</v>
      </c>
      <c r="J20" s="21" t="s">
        <v>31</v>
      </c>
      <c r="K20" s="21" t="s">
        <v>34</v>
      </c>
      <c r="L20" s="21" t="s">
        <v>27</v>
      </c>
      <c r="M20" s="21" t="s">
        <v>42</v>
      </c>
      <c r="N20" s="48"/>
      <c r="O20" s="48"/>
      <c r="P20" s="48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49">
        <f t="shared" ref="G21:H21" si="1">SUM(G4:G20)</f>
        <v>100000</v>
      </c>
      <c r="H21" s="50">
        <f t="shared" si="1"/>
        <v>1755000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51" t="s">
        <v>0</v>
      </c>
      <c r="C24" s="52" t="s">
        <v>6</v>
      </c>
      <c r="D24" s="52" t="s">
        <v>83</v>
      </c>
      <c r="E24" s="53"/>
      <c r="F24" s="1"/>
      <c r="G24" s="1"/>
      <c r="H24" s="1"/>
      <c r="I24" s="1"/>
      <c r="J24" s="1"/>
      <c r="K24" s="1"/>
      <c r="L24" s="1"/>
      <c r="M24" s="1"/>
      <c r="N24" s="52" t="s">
        <v>84</v>
      </c>
      <c r="O24" s="52" t="s">
        <v>1</v>
      </c>
      <c r="P24" s="1"/>
      <c r="Q24" s="1"/>
      <c r="R24" s="1"/>
    </row>
    <row r="25">
      <c r="A25" s="1"/>
      <c r="B25" s="54">
        <v>1.0</v>
      </c>
      <c r="C25" s="55" t="s">
        <v>85</v>
      </c>
      <c r="D25" s="56">
        <f>SUM(G21)</f>
        <v>100000</v>
      </c>
      <c r="E25" s="57"/>
      <c r="F25" s="1"/>
      <c r="G25" s="1"/>
      <c r="H25" s="1"/>
      <c r="I25" s="1"/>
      <c r="J25" s="1"/>
      <c r="K25" s="1"/>
      <c r="L25" s="1"/>
      <c r="M25" s="1"/>
      <c r="N25" s="58" t="s">
        <v>86</v>
      </c>
      <c r="O25" s="22" t="s">
        <v>26</v>
      </c>
      <c r="P25" s="1"/>
      <c r="Q25" s="1"/>
      <c r="R25" s="1"/>
    </row>
    <row r="26">
      <c r="A26" s="1"/>
      <c r="B26" s="59">
        <v>2.0</v>
      </c>
      <c r="C26" s="60" t="s">
        <v>90</v>
      </c>
      <c r="D26" s="61">
        <v>-100000.0</v>
      </c>
      <c r="E26" s="62"/>
      <c r="F26" s="1"/>
      <c r="G26" s="1"/>
      <c r="H26" s="1"/>
      <c r="I26" s="1"/>
      <c r="J26" s="1"/>
      <c r="K26" s="1"/>
      <c r="L26" s="1"/>
      <c r="M26" s="1"/>
      <c r="N26" s="63" t="s">
        <v>89</v>
      </c>
      <c r="O26" s="64" t="s">
        <v>27</v>
      </c>
      <c r="P26" s="1"/>
      <c r="Q26" s="1"/>
      <c r="R26" s="1"/>
    </row>
    <row r="27">
      <c r="A27" s="1"/>
      <c r="B27" s="54">
        <v>3.0</v>
      </c>
      <c r="C27" s="55"/>
      <c r="D27" s="65"/>
      <c r="E27" s="62"/>
      <c r="F27" s="1"/>
      <c r="G27" s="1"/>
      <c r="H27" s="1"/>
      <c r="I27" s="1"/>
      <c r="J27" s="1"/>
      <c r="K27" s="1"/>
      <c r="L27" s="1"/>
      <c r="M27" s="1"/>
      <c r="N27" s="66" t="s">
        <v>91</v>
      </c>
      <c r="O27" s="24" t="s">
        <v>33</v>
      </c>
      <c r="P27" s="1"/>
      <c r="Q27" s="1"/>
      <c r="R27" s="1"/>
    </row>
    <row r="28">
      <c r="A28" s="1"/>
      <c r="B28" s="59">
        <v>4.0</v>
      </c>
      <c r="C28" s="60"/>
      <c r="D28" s="61"/>
      <c r="E28" s="62"/>
      <c r="F28" s="1"/>
      <c r="G28" s="1"/>
      <c r="H28" s="1"/>
      <c r="I28" s="1"/>
      <c r="J28" s="1"/>
      <c r="K28" s="1"/>
      <c r="L28" s="1"/>
      <c r="M28" s="1"/>
      <c r="N28" s="67" t="s">
        <v>93</v>
      </c>
      <c r="O28" s="64" t="s">
        <v>42</v>
      </c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68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4"/>
      <c r="C33" s="69"/>
      <c r="D33" s="56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9"/>
      <c r="C34" s="70"/>
      <c r="D34" s="71"/>
      <c r="E34" s="5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72"/>
      <c r="C35" s="73"/>
      <c r="D35" s="74"/>
      <c r="E35" s="5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75">
        <f>SUM(D25:D35)</f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"-,JIJANG,AXEL,ADDEL ,FAHME,INDAH"</formula1>
    </dataValidation>
    <dataValidation type="list" allowBlank="1" showDropDown="1" showErrorMessage="1" sqref="M4:M20 O27:O28">
      <formula1>"-,VERO,FADEL,PENTIL,ADIF ,SAKA"</formula1>
    </dataValidation>
    <dataValidation type="list" allowBlank="1" showErrorMessage="1" sqref="N4:N20">
      <formula1>"-,Pending,Progress,Uploaded"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102</v>
      </c>
      <c r="D4" s="16" t="s">
        <v>21</v>
      </c>
      <c r="E4" s="17"/>
      <c r="F4" s="18">
        <v>46211.0</v>
      </c>
      <c r="G4" s="19">
        <v>925000.0</v>
      </c>
      <c r="H4" s="20"/>
      <c r="I4" s="21" t="s">
        <v>29</v>
      </c>
      <c r="J4" s="21" t="s">
        <v>31</v>
      </c>
      <c r="K4" s="21" t="s">
        <v>31</v>
      </c>
      <c r="L4" s="21" t="s">
        <v>27</v>
      </c>
      <c r="M4" s="21" t="s">
        <v>42</v>
      </c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123</v>
      </c>
      <c r="D5" s="16" t="s">
        <v>21</v>
      </c>
      <c r="E5" s="17"/>
      <c r="F5" s="18">
        <v>46214.0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125</v>
      </c>
      <c r="D6" s="16" t="s">
        <v>21</v>
      </c>
      <c r="E6" s="17"/>
      <c r="F6" s="26">
        <v>46211.0</v>
      </c>
      <c r="G6" s="27"/>
      <c r="H6" s="20">
        <v>100000.0</v>
      </c>
      <c r="I6" s="21" t="s">
        <v>25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127</v>
      </c>
      <c r="D7" s="16" t="s">
        <v>21</v>
      </c>
      <c r="E7" s="17"/>
      <c r="F7" s="26">
        <v>46211.0</v>
      </c>
      <c r="G7" s="19"/>
      <c r="H7" s="20">
        <v>100000.0</v>
      </c>
      <c r="I7" s="21" t="s">
        <v>25</v>
      </c>
      <c r="J7" s="21"/>
      <c r="K7" s="21"/>
      <c r="L7" s="21" t="s">
        <v>27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129</v>
      </c>
      <c r="D8" s="16" t="s">
        <v>21</v>
      </c>
      <c r="E8" s="17"/>
      <c r="F8" s="26">
        <v>46211.0</v>
      </c>
      <c r="G8" s="19"/>
      <c r="H8" s="20">
        <v>100000.0</v>
      </c>
      <c r="I8" s="21" t="s">
        <v>25</v>
      </c>
      <c r="J8" s="21"/>
      <c r="K8" s="21"/>
      <c r="L8" s="21" t="s">
        <v>27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130</v>
      </c>
      <c r="D9" s="16" t="s">
        <v>21</v>
      </c>
      <c r="E9" s="17"/>
      <c r="F9" s="26">
        <v>46211.0</v>
      </c>
      <c r="G9" s="19"/>
      <c r="H9" s="20">
        <v>75000.0</v>
      </c>
      <c r="I9" s="21" t="s">
        <v>29</v>
      </c>
      <c r="J9" s="21" t="s">
        <v>31</v>
      </c>
      <c r="K9" s="21" t="s">
        <v>31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133</v>
      </c>
      <c r="D10" s="16" t="s">
        <v>74</v>
      </c>
      <c r="E10" s="17"/>
      <c r="F10" s="26">
        <v>46215.0</v>
      </c>
      <c r="G10" s="19"/>
      <c r="H10" s="20">
        <v>200000.0</v>
      </c>
      <c r="I10" s="21" t="s">
        <v>29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127</v>
      </c>
      <c r="D11" s="16" t="s">
        <v>21</v>
      </c>
      <c r="E11" s="17"/>
      <c r="F11" s="26">
        <v>46211.0</v>
      </c>
      <c r="G11" s="19"/>
      <c r="H11" s="20">
        <v>200000.0</v>
      </c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129</v>
      </c>
      <c r="D12" s="16" t="s">
        <v>21</v>
      </c>
      <c r="E12" s="17"/>
      <c r="F12" s="26">
        <v>46211.0</v>
      </c>
      <c r="G12" s="19"/>
      <c r="H12" s="20">
        <v>150000.0</v>
      </c>
      <c r="I12" s="21" t="s">
        <v>29</v>
      </c>
      <c r="J12" s="21" t="s">
        <v>31</v>
      </c>
      <c r="K12" s="21" t="s">
        <v>31</v>
      </c>
      <c r="L12" s="21" t="s">
        <v>27</v>
      </c>
      <c r="M12" s="21" t="s">
        <v>36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125</v>
      </c>
      <c r="D13" s="16" t="s">
        <v>21</v>
      </c>
      <c r="E13" s="17"/>
      <c r="F13" s="26">
        <v>46211.0</v>
      </c>
      <c r="G13" s="19">
        <v>100000.0</v>
      </c>
      <c r="H13" s="29"/>
      <c r="I13" s="21" t="s">
        <v>29</v>
      </c>
      <c r="J13" s="21" t="s">
        <v>31</v>
      </c>
      <c r="K13" s="21" t="s">
        <v>34</v>
      </c>
      <c r="L13" s="21" t="s">
        <v>27</v>
      </c>
      <c r="M13" s="21" t="s">
        <v>36</v>
      </c>
      <c r="N13" s="24"/>
      <c r="O13" s="25"/>
      <c r="P13" s="25"/>
      <c r="Q13" s="1"/>
      <c r="R13" s="1"/>
    </row>
    <row r="14">
      <c r="A14" s="1"/>
      <c r="B14" s="44"/>
      <c r="C14" s="15" t="s">
        <v>136</v>
      </c>
      <c r="D14" s="16" t="s">
        <v>74</v>
      </c>
      <c r="E14" s="17"/>
      <c r="F14" s="26">
        <v>46211.0</v>
      </c>
      <c r="G14" s="19"/>
      <c r="H14" s="20">
        <v>50000.0</v>
      </c>
      <c r="I14" s="21" t="s">
        <v>29</v>
      </c>
      <c r="J14" s="21" t="s">
        <v>31</v>
      </c>
      <c r="K14" s="21" t="s">
        <v>31</v>
      </c>
      <c r="L14" s="21" t="s">
        <v>27</v>
      </c>
      <c r="M14" s="21" t="s">
        <v>36</v>
      </c>
      <c r="N14" s="24"/>
      <c r="O14" s="25"/>
      <c r="P14" s="25"/>
      <c r="Q14" s="1"/>
      <c r="R14" s="1"/>
    </row>
    <row r="15">
      <c r="A15" s="1"/>
      <c r="B15" s="44"/>
      <c r="C15" s="15" t="s">
        <v>137</v>
      </c>
      <c r="D15" s="16" t="s">
        <v>23</v>
      </c>
      <c r="E15" s="17"/>
      <c r="F15" s="26">
        <v>46211.0</v>
      </c>
      <c r="G15" s="19"/>
      <c r="H15" s="20">
        <v>250000.0</v>
      </c>
      <c r="I15" s="21" t="s">
        <v>29</v>
      </c>
      <c r="J15" s="21" t="s">
        <v>31</v>
      </c>
      <c r="K15" s="21" t="s">
        <v>34</v>
      </c>
      <c r="L15" s="21" t="s">
        <v>27</v>
      </c>
      <c r="M15" s="21" t="s">
        <v>36</v>
      </c>
      <c r="N15" s="24"/>
      <c r="O15" s="25"/>
      <c r="P15" s="25"/>
      <c r="Q15" s="1"/>
      <c r="R15" s="1"/>
    </row>
    <row r="16">
      <c r="A16" s="1"/>
      <c r="B16" s="44"/>
      <c r="C16" s="15" t="s">
        <v>139</v>
      </c>
      <c r="D16" s="16" t="s">
        <v>23</v>
      </c>
      <c r="E16" s="17"/>
      <c r="F16" s="26">
        <v>46266.0</v>
      </c>
      <c r="G16" s="19"/>
      <c r="H16" s="20">
        <v>100000.0</v>
      </c>
      <c r="I16" s="21" t="s">
        <v>25</v>
      </c>
      <c r="J16" s="21"/>
      <c r="K16" s="21"/>
      <c r="L16" s="21" t="s">
        <v>27</v>
      </c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1025000</v>
      </c>
      <c r="H19" s="50">
        <f t="shared" si="1"/>
        <v>1425000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1025000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143</v>
      </c>
      <c r="D24" s="61">
        <v>-40000.0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144</v>
      </c>
      <c r="D25" s="65">
        <v>-85000.0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 t="s">
        <v>90</v>
      </c>
      <c r="D26" s="61">
        <v>-100000.0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55" t="s">
        <v>96</v>
      </c>
      <c r="D27" s="65">
        <v>-50000.0</v>
      </c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60" t="s">
        <v>88</v>
      </c>
      <c r="D28" s="61">
        <v>-100000.0</v>
      </c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650000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"-,VERO,FADEL,PENTIL,FAHME,SAKA,ADIF"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142</v>
      </c>
      <c r="D4" s="16" t="s">
        <v>21</v>
      </c>
      <c r="E4" s="17"/>
      <c r="F4" s="18">
        <v>46215.0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76" t="s">
        <v>64</v>
      </c>
      <c r="D5" s="16" t="s">
        <v>21</v>
      </c>
      <c r="E5" s="17"/>
      <c r="F5" s="18">
        <v>46212.0</v>
      </c>
      <c r="G5" s="19">
        <v>1225000.0</v>
      </c>
      <c r="H5" s="20"/>
      <c r="I5" s="21" t="s">
        <v>29</v>
      </c>
      <c r="J5" s="21" t="s">
        <v>31</v>
      </c>
      <c r="K5" s="21" t="s">
        <v>34</v>
      </c>
      <c r="L5" s="21" t="s">
        <v>26</v>
      </c>
      <c r="M5" s="21" t="s">
        <v>33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145</v>
      </c>
      <c r="D6" s="16" t="s">
        <v>21</v>
      </c>
      <c r="E6" s="17"/>
      <c r="F6" s="26">
        <v>46212.0</v>
      </c>
      <c r="G6" s="20">
        <v>305000.0</v>
      </c>
      <c r="H6" s="20"/>
      <c r="I6" s="21" t="s">
        <v>29</v>
      </c>
      <c r="J6" s="21" t="s">
        <v>31</v>
      </c>
      <c r="K6" s="21" t="s">
        <v>31</v>
      </c>
      <c r="L6" s="21" t="s">
        <v>26</v>
      </c>
      <c r="M6" s="21" t="s">
        <v>33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146</v>
      </c>
      <c r="D7" s="16" t="s">
        <v>21</v>
      </c>
      <c r="E7" s="17"/>
      <c r="F7" s="26">
        <v>46217.0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147</v>
      </c>
      <c r="D8" s="16" t="s">
        <v>23</v>
      </c>
      <c r="E8" s="17"/>
      <c r="F8" s="14" t="s">
        <v>109</v>
      </c>
      <c r="G8" s="19"/>
      <c r="H8" s="20">
        <v>100000.0</v>
      </c>
      <c r="I8" s="21" t="s">
        <v>25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149</v>
      </c>
      <c r="D9" s="16" t="s">
        <v>22</v>
      </c>
      <c r="E9" s="17"/>
      <c r="F9" s="26">
        <v>46213.0</v>
      </c>
      <c r="G9" s="19"/>
      <c r="H9" s="20">
        <v>150000.0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44"/>
      <c r="G10" s="19"/>
      <c r="H10" s="29"/>
      <c r="I10" s="21"/>
      <c r="J10" s="21"/>
      <c r="K10" s="21"/>
      <c r="L10" s="28"/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44"/>
      <c r="G11" s="19"/>
      <c r="H11" s="29"/>
      <c r="I11" s="21"/>
      <c r="J11" s="21"/>
      <c r="K11" s="21"/>
      <c r="L11" s="28"/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1530000</v>
      </c>
      <c r="H19" s="50">
        <f t="shared" si="1"/>
        <v>450000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1530000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-125000.0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96</v>
      </c>
      <c r="D25" s="65">
        <v>-20000.0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 t="s">
        <v>162</v>
      </c>
      <c r="D26" s="61">
        <v>-35000.0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163</v>
      </c>
      <c r="P26" s="1"/>
      <c r="Q26" s="1"/>
      <c r="R26" s="1"/>
    </row>
    <row r="27">
      <c r="A27" s="1"/>
      <c r="B27" s="54"/>
      <c r="C27" s="55" t="s">
        <v>88</v>
      </c>
      <c r="D27" s="65">
        <v>-100000.0</v>
      </c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1250000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"-,VERO,ADIF ,SAKA 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148</v>
      </c>
      <c r="D4" s="16" t="s">
        <v>21</v>
      </c>
      <c r="E4" s="17"/>
      <c r="F4" s="18">
        <v>46213.0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150</v>
      </c>
      <c r="D5" s="16" t="s">
        <v>74</v>
      </c>
      <c r="E5" s="17"/>
      <c r="F5" s="18">
        <v>46215.0</v>
      </c>
      <c r="G5" s="19"/>
      <c r="H5" s="20">
        <v>50000.0</v>
      </c>
      <c r="I5" s="21" t="s">
        <v>29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149</v>
      </c>
      <c r="D6" s="16" t="s">
        <v>22</v>
      </c>
      <c r="E6" s="17"/>
      <c r="F6" s="26">
        <v>46213.0</v>
      </c>
      <c r="G6" s="27"/>
      <c r="H6" s="20">
        <v>300000.0</v>
      </c>
      <c r="I6" s="21" t="s">
        <v>29</v>
      </c>
      <c r="J6" s="21" t="s">
        <v>31</v>
      </c>
      <c r="K6" s="21" t="s">
        <v>31</v>
      </c>
      <c r="L6" s="21" t="s">
        <v>26</v>
      </c>
      <c r="M6" s="21" t="s">
        <v>33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151</v>
      </c>
      <c r="D7" s="16" t="s">
        <v>21</v>
      </c>
      <c r="E7" s="17"/>
      <c r="F7" s="26">
        <v>46216.0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152</v>
      </c>
      <c r="D8" s="16" t="s">
        <v>21</v>
      </c>
      <c r="E8" s="17"/>
      <c r="F8" s="26">
        <v>46217.0</v>
      </c>
      <c r="G8" s="19"/>
      <c r="H8" s="20">
        <v>100000.0</v>
      </c>
      <c r="I8" s="21" t="s">
        <v>25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153</v>
      </c>
      <c r="D9" s="16" t="s">
        <v>21</v>
      </c>
      <c r="E9" s="17"/>
      <c r="F9" s="26">
        <v>46213.0</v>
      </c>
      <c r="G9" s="19">
        <v>1025000.0</v>
      </c>
      <c r="H9" s="29"/>
      <c r="I9" s="21" t="s">
        <v>29</v>
      </c>
      <c r="J9" s="21" t="s">
        <v>31</v>
      </c>
      <c r="K9" s="21" t="s">
        <v>31</v>
      </c>
      <c r="L9" s="21" t="s">
        <v>26</v>
      </c>
      <c r="M9" s="21" t="s">
        <v>33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154</v>
      </c>
      <c r="D10" s="16" t="s">
        <v>32</v>
      </c>
      <c r="E10" s="17"/>
      <c r="F10" s="26">
        <v>46213.0</v>
      </c>
      <c r="G10" s="19"/>
      <c r="H10" s="20">
        <v>300000.0</v>
      </c>
      <c r="I10" s="21" t="s">
        <v>29</v>
      </c>
      <c r="J10" s="21" t="s">
        <v>31</v>
      </c>
      <c r="K10" s="21" t="s">
        <v>31</v>
      </c>
      <c r="L10" s="21" t="s">
        <v>27</v>
      </c>
      <c r="M10" s="21" t="s">
        <v>33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155</v>
      </c>
      <c r="D11" s="16" t="s">
        <v>21</v>
      </c>
      <c r="E11" s="17"/>
      <c r="F11" s="14" t="s">
        <v>156</v>
      </c>
      <c r="G11" s="19"/>
      <c r="H11" s="20">
        <v>100000.0</v>
      </c>
      <c r="I11" s="21" t="s">
        <v>25</v>
      </c>
      <c r="J11" s="21"/>
      <c r="K11" s="21"/>
      <c r="L11" s="21" t="s">
        <v>27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157</v>
      </c>
      <c r="D12" s="16" t="s">
        <v>21</v>
      </c>
      <c r="E12" s="17"/>
      <c r="F12" s="26">
        <v>46215.0</v>
      </c>
      <c r="G12" s="19"/>
      <c r="H12" s="20">
        <v>100000.0</v>
      </c>
      <c r="I12" s="21" t="s">
        <v>25</v>
      </c>
      <c r="J12" s="21"/>
      <c r="K12" s="21"/>
      <c r="L12" s="21" t="s">
        <v>27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158</v>
      </c>
      <c r="D13" s="16" t="s">
        <v>21</v>
      </c>
      <c r="E13" s="17"/>
      <c r="F13" s="26">
        <v>46216.0</v>
      </c>
      <c r="G13" s="19"/>
      <c r="H13" s="20">
        <v>100000.0</v>
      </c>
      <c r="I13" s="21" t="s">
        <v>25</v>
      </c>
      <c r="J13" s="21"/>
      <c r="K13" s="21"/>
      <c r="L13" s="21" t="s">
        <v>27</v>
      </c>
      <c r="M13" s="28"/>
      <c r="N13" s="24"/>
      <c r="O13" s="25"/>
      <c r="P13" s="25"/>
      <c r="Q13" s="1"/>
      <c r="R13" s="1"/>
    </row>
    <row r="14">
      <c r="A14" s="1"/>
      <c r="B14" s="44"/>
      <c r="C14" s="15" t="s">
        <v>148</v>
      </c>
      <c r="D14" s="16" t="s">
        <v>21</v>
      </c>
      <c r="E14" s="17"/>
      <c r="F14" s="26">
        <v>46213.0</v>
      </c>
      <c r="G14" s="19"/>
      <c r="H14" s="20">
        <v>100000.0</v>
      </c>
      <c r="I14" s="21" t="s">
        <v>29</v>
      </c>
      <c r="J14" s="21" t="s">
        <v>31</v>
      </c>
      <c r="K14" s="21" t="s">
        <v>31</v>
      </c>
      <c r="L14" s="21" t="s">
        <v>27</v>
      </c>
      <c r="M14" s="21" t="s">
        <v>33</v>
      </c>
      <c r="N14" s="24"/>
      <c r="O14" s="25"/>
      <c r="P14" s="25"/>
      <c r="Q14" s="1"/>
      <c r="R14" s="1"/>
    </row>
    <row r="15">
      <c r="A15" s="1"/>
      <c r="B15" s="44"/>
      <c r="C15" s="15" t="s">
        <v>161</v>
      </c>
      <c r="D15" s="16" t="s">
        <v>21</v>
      </c>
      <c r="E15" s="17"/>
      <c r="F15" s="26">
        <v>46215.0</v>
      </c>
      <c r="G15" s="19"/>
      <c r="H15" s="20">
        <v>100000.0</v>
      </c>
      <c r="I15" s="21" t="s">
        <v>25</v>
      </c>
      <c r="J15" s="21"/>
      <c r="K15" s="21"/>
      <c r="L15" s="21" t="s">
        <v>27</v>
      </c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1025000</v>
      </c>
      <c r="H19" s="50">
        <f t="shared" si="1"/>
        <v>1450000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1025000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172</v>
      </c>
      <c r="D24" s="61">
        <v>-100000.0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96</v>
      </c>
      <c r="D25" s="65">
        <v>-25000.0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 t="s">
        <v>88</v>
      </c>
      <c r="D26" s="61">
        <v>-50000.0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33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850000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"-,VERO,ADIF 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8.3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159</v>
      </c>
      <c r="D4" s="16" t="s">
        <v>61</v>
      </c>
      <c r="E4" s="17"/>
      <c r="F4" s="18">
        <v>46214.0</v>
      </c>
      <c r="G4" s="19"/>
      <c r="H4" s="20">
        <v>100000.0</v>
      </c>
      <c r="I4" s="21" t="s">
        <v>29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166</v>
      </c>
      <c r="D5" s="16" t="s">
        <v>21</v>
      </c>
      <c r="E5" s="17"/>
      <c r="F5" s="18">
        <v>46216.0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167</v>
      </c>
      <c r="D6" s="16" t="s">
        <v>55</v>
      </c>
      <c r="E6" s="17"/>
      <c r="F6" s="26">
        <v>46214.0</v>
      </c>
      <c r="G6" s="27"/>
      <c r="H6" s="20">
        <v>150000.0</v>
      </c>
      <c r="I6" s="21" t="s">
        <v>29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168</v>
      </c>
      <c r="D7" s="16" t="s">
        <v>21</v>
      </c>
      <c r="E7" s="17"/>
      <c r="F7" s="26">
        <v>46214.0</v>
      </c>
      <c r="G7" s="19">
        <v>1100000.0</v>
      </c>
      <c r="H7" s="29"/>
      <c r="I7" s="21" t="s">
        <v>29</v>
      </c>
      <c r="J7" s="21" t="s">
        <v>31</v>
      </c>
      <c r="K7" s="21" t="s">
        <v>34</v>
      </c>
      <c r="L7" s="21" t="s">
        <v>27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159</v>
      </c>
      <c r="D8" s="16" t="s">
        <v>13</v>
      </c>
      <c r="E8" s="17"/>
      <c r="F8" s="26">
        <v>46214.0</v>
      </c>
      <c r="G8" s="19"/>
      <c r="H8" s="20">
        <v>50000.0</v>
      </c>
      <c r="I8" s="21" t="s">
        <v>29</v>
      </c>
      <c r="J8" s="21" t="s">
        <v>31</v>
      </c>
      <c r="K8" s="21" t="s">
        <v>34</v>
      </c>
      <c r="L8" s="21" t="s">
        <v>27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170</v>
      </c>
      <c r="D9" s="16" t="s">
        <v>74</v>
      </c>
      <c r="E9" s="17"/>
      <c r="F9" s="26">
        <v>46214.0</v>
      </c>
      <c r="G9" s="19">
        <v>0.0</v>
      </c>
      <c r="H9" s="20">
        <v>0.0</v>
      </c>
      <c r="I9" s="21" t="s">
        <v>29</v>
      </c>
      <c r="J9" s="21" t="s">
        <v>31</v>
      </c>
      <c r="K9" s="21" t="s">
        <v>31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173</v>
      </c>
      <c r="D10" s="16" t="s">
        <v>32</v>
      </c>
      <c r="E10" s="17"/>
      <c r="F10" s="26">
        <v>46214.0</v>
      </c>
      <c r="G10" s="19"/>
      <c r="H10" s="20">
        <v>225000.0</v>
      </c>
      <c r="I10" s="21" t="s">
        <v>29</v>
      </c>
      <c r="J10" s="21" t="s">
        <v>31</v>
      </c>
      <c r="K10" s="21" t="s">
        <v>31</v>
      </c>
      <c r="L10" s="21" t="s">
        <v>27</v>
      </c>
      <c r="M10" s="21" t="s">
        <v>42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174</v>
      </c>
      <c r="D11" s="16" t="s">
        <v>21</v>
      </c>
      <c r="E11" s="17"/>
      <c r="F11" s="26">
        <v>46215.0</v>
      </c>
      <c r="G11" s="19"/>
      <c r="H11" s="20">
        <v>100000.0</v>
      </c>
      <c r="I11" s="21" t="s">
        <v>25</v>
      </c>
      <c r="J11" s="21"/>
      <c r="K11" s="21"/>
      <c r="L11" s="21" t="s">
        <v>27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135</v>
      </c>
      <c r="D12" s="16" t="s">
        <v>21</v>
      </c>
      <c r="E12" s="17"/>
      <c r="F12" s="26">
        <v>46214.0</v>
      </c>
      <c r="G12" s="19">
        <v>100000.0</v>
      </c>
      <c r="H12" s="29"/>
      <c r="I12" s="21" t="s">
        <v>29</v>
      </c>
      <c r="J12" s="21" t="s">
        <v>31</v>
      </c>
      <c r="K12" s="21" t="s">
        <v>31</v>
      </c>
      <c r="L12" s="21" t="s">
        <v>26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175</v>
      </c>
      <c r="D13" s="16" t="s">
        <v>23</v>
      </c>
      <c r="E13" s="17"/>
      <c r="F13" s="26">
        <v>46214.0</v>
      </c>
      <c r="G13" s="19">
        <v>500000.0</v>
      </c>
      <c r="H13" s="29"/>
      <c r="I13" s="21" t="s">
        <v>29</v>
      </c>
      <c r="J13" s="21" t="s">
        <v>31</v>
      </c>
      <c r="K13" s="21" t="s">
        <v>34</v>
      </c>
      <c r="L13" s="21" t="s">
        <v>26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76" t="s">
        <v>123</v>
      </c>
      <c r="D14" s="16" t="s">
        <v>21</v>
      </c>
      <c r="E14" s="17"/>
      <c r="F14" s="26">
        <v>46214.0</v>
      </c>
      <c r="G14" s="19">
        <v>625000.0</v>
      </c>
      <c r="H14" s="29"/>
      <c r="I14" s="21" t="s">
        <v>29</v>
      </c>
      <c r="J14" s="21" t="s">
        <v>31</v>
      </c>
      <c r="K14" s="21" t="s">
        <v>31</v>
      </c>
      <c r="L14" s="21" t="s">
        <v>26</v>
      </c>
      <c r="M14" s="21" t="s">
        <v>42</v>
      </c>
      <c r="N14" s="24"/>
      <c r="O14" s="25"/>
      <c r="P14" s="25"/>
      <c r="Q14" s="1"/>
      <c r="R14" s="1"/>
    </row>
    <row r="15">
      <c r="A15" s="1"/>
      <c r="B15" s="44"/>
      <c r="C15" s="78" t="s">
        <v>167</v>
      </c>
      <c r="D15" s="16" t="s">
        <v>55</v>
      </c>
      <c r="E15" s="17"/>
      <c r="F15" s="26">
        <v>46214.0</v>
      </c>
      <c r="G15" s="19">
        <v>0.0</v>
      </c>
      <c r="H15" s="20">
        <v>0.0</v>
      </c>
      <c r="I15" s="21" t="s">
        <v>29</v>
      </c>
      <c r="J15" s="21" t="s">
        <v>31</v>
      </c>
      <c r="K15" s="21" t="s">
        <v>34</v>
      </c>
      <c r="L15" s="21" t="s">
        <v>26</v>
      </c>
      <c r="M15" s="21" t="s">
        <v>42</v>
      </c>
      <c r="N15" s="24"/>
      <c r="O15" s="25"/>
      <c r="P15" s="25"/>
      <c r="Q15" s="1"/>
      <c r="R15" s="1"/>
    </row>
    <row r="16">
      <c r="A16" s="1"/>
      <c r="B16" s="44"/>
      <c r="C16" s="15" t="s">
        <v>176</v>
      </c>
      <c r="D16" s="16" t="s">
        <v>21</v>
      </c>
      <c r="E16" s="17"/>
      <c r="F16" s="26">
        <v>46219.0</v>
      </c>
      <c r="G16" s="19"/>
      <c r="H16" s="20">
        <v>100000.0</v>
      </c>
      <c r="I16" s="21" t="s">
        <v>25</v>
      </c>
      <c r="J16" s="21"/>
      <c r="K16" s="21"/>
      <c r="L16" s="21" t="s">
        <v>27</v>
      </c>
      <c r="M16" s="28"/>
      <c r="N16" s="24"/>
      <c r="O16" s="25"/>
      <c r="P16" s="25"/>
      <c r="Q16" s="1"/>
      <c r="R16" s="1"/>
    </row>
    <row r="17">
      <c r="A17" s="1"/>
      <c r="B17" s="44"/>
      <c r="C17" s="15" t="s">
        <v>48</v>
      </c>
      <c r="D17" s="16" t="s">
        <v>160</v>
      </c>
      <c r="E17" s="16" t="s">
        <v>178</v>
      </c>
      <c r="F17" s="26">
        <v>46207.0</v>
      </c>
      <c r="G17" s="19"/>
      <c r="H17" s="20">
        <v>31000.0</v>
      </c>
      <c r="I17" s="21" t="s">
        <v>29</v>
      </c>
      <c r="J17" s="21"/>
      <c r="K17" s="21"/>
      <c r="L17" s="21" t="s">
        <v>27</v>
      </c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2325000</v>
      </c>
      <c r="H19" s="50">
        <f t="shared" si="1"/>
        <v>856000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2325000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143</v>
      </c>
      <c r="D24" s="61">
        <v>-20000.0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-100000.0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 t="s">
        <v>96</v>
      </c>
      <c r="D26" s="61">
        <v>-30000.0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2175000</v>
      </c>
      <c r="E34" s="1"/>
      <c r="F34" s="1"/>
      <c r="G34" s="53" t="s">
        <v>190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M4:M18 O25:O26">
      <formula1>"-,VERO,FADEL,PENTIL,FAHME,SAKA"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Edit,Photofox,All File,Ongkir"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48</v>
      </c>
      <c r="D4" s="16" t="s">
        <v>160</v>
      </c>
      <c r="E4" s="17"/>
      <c r="F4" s="18">
        <v>46207.0</v>
      </c>
      <c r="G4" s="19"/>
      <c r="H4" s="20">
        <v>10000.0</v>
      </c>
      <c r="I4" s="21" t="s">
        <v>29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164</v>
      </c>
      <c r="D5" s="16" t="s">
        <v>21</v>
      </c>
      <c r="E5" s="17"/>
      <c r="F5" s="18">
        <v>46215.0</v>
      </c>
      <c r="G5" s="19"/>
      <c r="H5" s="20">
        <v>650000.0</v>
      </c>
      <c r="I5" s="21" t="s">
        <v>29</v>
      </c>
      <c r="J5" s="21" t="s">
        <v>31</v>
      </c>
      <c r="K5" s="21" t="s">
        <v>31</v>
      </c>
      <c r="L5" s="21" t="s">
        <v>27</v>
      </c>
      <c r="M5" s="21" t="s">
        <v>42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165</v>
      </c>
      <c r="D6" s="16" t="s">
        <v>21</v>
      </c>
      <c r="E6" s="17"/>
      <c r="F6" s="26">
        <v>46216.0</v>
      </c>
      <c r="G6" s="27"/>
      <c r="H6" s="20">
        <v>100000.0</v>
      </c>
      <c r="I6" s="21" t="s">
        <v>25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150</v>
      </c>
      <c r="D7" s="16" t="s">
        <v>74</v>
      </c>
      <c r="E7" s="17"/>
      <c r="F7" s="26">
        <v>46215.0</v>
      </c>
      <c r="G7" s="19">
        <v>0.0</v>
      </c>
      <c r="H7" s="20">
        <v>0.0</v>
      </c>
      <c r="I7" s="21" t="s">
        <v>29</v>
      </c>
      <c r="J7" s="21" t="s">
        <v>31</v>
      </c>
      <c r="K7" s="21" t="s">
        <v>31</v>
      </c>
      <c r="L7" s="21" t="s">
        <v>27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133</v>
      </c>
      <c r="D8" s="16" t="s">
        <v>74</v>
      </c>
      <c r="E8" s="17"/>
      <c r="F8" s="26">
        <v>46215.0</v>
      </c>
      <c r="G8" s="19">
        <v>0.0</v>
      </c>
      <c r="H8" s="20">
        <v>0.0</v>
      </c>
      <c r="I8" s="21" t="s">
        <v>29</v>
      </c>
      <c r="J8" s="21" t="s">
        <v>31</v>
      </c>
      <c r="K8" s="21" t="s">
        <v>31</v>
      </c>
      <c r="L8" s="21" t="s">
        <v>27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142</v>
      </c>
      <c r="D9" s="16" t="s">
        <v>21</v>
      </c>
      <c r="E9" s="17"/>
      <c r="F9" s="26">
        <v>46215.0</v>
      </c>
      <c r="G9" s="19"/>
      <c r="H9" s="20">
        <v>875000.0</v>
      </c>
      <c r="I9" s="21" t="s">
        <v>29</v>
      </c>
      <c r="J9" s="21" t="s">
        <v>31</v>
      </c>
      <c r="K9" s="21" t="s">
        <v>34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169</v>
      </c>
      <c r="D10" s="16" t="s">
        <v>21</v>
      </c>
      <c r="E10" s="17"/>
      <c r="F10" s="26">
        <v>46215.0</v>
      </c>
      <c r="G10" s="19">
        <v>275000.0</v>
      </c>
      <c r="H10" s="29"/>
      <c r="I10" s="21" t="s">
        <v>29</v>
      </c>
      <c r="J10" s="21" t="s">
        <v>31</v>
      </c>
      <c r="K10" s="21" t="s">
        <v>34</v>
      </c>
      <c r="L10" s="21" t="s">
        <v>27</v>
      </c>
      <c r="M10" s="21" t="s">
        <v>36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161</v>
      </c>
      <c r="D11" s="16" t="s">
        <v>21</v>
      </c>
      <c r="E11" s="17"/>
      <c r="F11" s="26">
        <v>46215.0</v>
      </c>
      <c r="G11" s="19"/>
      <c r="H11" s="20">
        <v>1200000.0</v>
      </c>
      <c r="I11" s="21" t="s">
        <v>29</v>
      </c>
      <c r="J11" s="21" t="s">
        <v>31</v>
      </c>
      <c r="K11" s="21" t="s">
        <v>34</v>
      </c>
      <c r="L11" s="21" t="s">
        <v>27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35</v>
      </c>
      <c r="D12" s="16" t="s">
        <v>171</v>
      </c>
      <c r="E12" s="17"/>
      <c r="F12" s="26">
        <v>46207.0</v>
      </c>
      <c r="G12" s="19"/>
      <c r="H12" s="20">
        <v>90000.0</v>
      </c>
      <c r="I12" s="21" t="s">
        <v>29</v>
      </c>
      <c r="J12" s="21"/>
      <c r="K12" s="21"/>
      <c r="L12" s="21" t="s">
        <v>27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157</v>
      </c>
      <c r="D13" s="16" t="s">
        <v>21</v>
      </c>
      <c r="E13" s="17"/>
      <c r="F13" s="26">
        <v>46215.0</v>
      </c>
      <c r="G13" s="19">
        <v>875000.0</v>
      </c>
      <c r="H13" s="29"/>
      <c r="I13" s="21" t="s">
        <v>29</v>
      </c>
      <c r="J13" s="21" t="s">
        <v>31</v>
      </c>
      <c r="K13" s="21" t="s">
        <v>34</v>
      </c>
      <c r="L13" s="21" t="s">
        <v>27</v>
      </c>
      <c r="M13" s="21" t="s">
        <v>36</v>
      </c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1150000</v>
      </c>
      <c r="H19" s="50">
        <f t="shared" si="1"/>
        <v>2925000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1150000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-50000.0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184</v>
      </c>
      <c r="D25" s="65">
        <v>-17000.0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1083000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Edit,Packing,All File,Ongkir,Add Cetak 12R"</formula1>
    </dataValidation>
    <dataValidation type="list" allowBlank="1" showDropDown="1" showErrorMessage="1" sqref="M4:M18 O25:O26">
      <formula1>"-,VERO,FADEL,PENTIL,FAHME,SAKA,ADIF"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165</v>
      </c>
      <c r="D4" s="16" t="s">
        <v>21</v>
      </c>
      <c r="E4" s="17"/>
      <c r="F4" s="18">
        <v>46216.0</v>
      </c>
      <c r="G4" s="19"/>
      <c r="H4" s="20">
        <v>175000.0</v>
      </c>
      <c r="I4" s="21" t="s">
        <v>29</v>
      </c>
      <c r="J4" s="21" t="s">
        <v>31</v>
      </c>
      <c r="K4" s="21" t="s">
        <v>34</v>
      </c>
      <c r="L4" s="21" t="s">
        <v>27</v>
      </c>
      <c r="M4" s="21" t="s">
        <v>42</v>
      </c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177</v>
      </c>
      <c r="D5" s="16" t="s">
        <v>21</v>
      </c>
      <c r="E5" s="17"/>
      <c r="F5" s="18">
        <v>46216.0</v>
      </c>
      <c r="G5" s="19">
        <v>250000.0</v>
      </c>
      <c r="H5" s="20"/>
      <c r="I5" s="21" t="s">
        <v>29</v>
      </c>
      <c r="J5" s="21" t="s">
        <v>31</v>
      </c>
      <c r="K5" s="21" t="s">
        <v>31</v>
      </c>
      <c r="L5" s="21" t="s">
        <v>27</v>
      </c>
      <c r="M5" s="21" t="s">
        <v>42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179</v>
      </c>
      <c r="D6" s="16" t="s">
        <v>180</v>
      </c>
      <c r="E6" s="17"/>
      <c r="F6" s="26">
        <v>46229.0</v>
      </c>
      <c r="G6" s="27"/>
      <c r="H6" s="20">
        <v>100000.0</v>
      </c>
      <c r="I6" s="21" t="s">
        <v>25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158</v>
      </c>
      <c r="D7" s="16" t="s">
        <v>21</v>
      </c>
      <c r="E7" s="17"/>
      <c r="F7" s="26">
        <v>46216.0</v>
      </c>
      <c r="G7" s="19"/>
      <c r="H7" s="20">
        <v>175000.0</v>
      </c>
      <c r="I7" s="21" t="s">
        <v>29</v>
      </c>
      <c r="J7" s="21" t="s">
        <v>31</v>
      </c>
      <c r="K7" s="21" t="s">
        <v>181</v>
      </c>
      <c r="L7" s="21" t="s">
        <v>26</v>
      </c>
      <c r="M7" s="21" t="s">
        <v>33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182</v>
      </c>
      <c r="D8" s="16" t="s">
        <v>74</v>
      </c>
      <c r="E8" s="17" t="s">
        <v>141</v>
      </c>
      <c r="F8" s="26">
        <v>46216.0</v>
      </c>
      <c r="G8" s="19"/>
      <c r="H8" s="20">
        <v>50000.0</v>
      </c>
      <c r="I8" s="21" t="s">
        <v>29</v>
      </c>
      <c r="J8" s="21" t="s">
        <v>31</v>
      </c>
      <c r="K8" s="21" t="s">
        <v>181</v>
      </c>
      <c r="L8" s="21" t="s">
        <v>26</v>
      </c>
      <c r="M8" s="21" t="s">
        <v>33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111</v>
      </c>
      <c r="D9" s="16" t="s">
        <v>183</v>
      </c>
      <c r="E9" s="17"/>
      <c r="F9" s="26">
        <v>46216.0</v>
      </c>
      <c r="G9" s="19"/>
      <c r="H9" s="20">
        <v>400000.0</v>
      </c>
      <c r="I9" s="21" t="s">
        <v>29</v>
      </c>
      <c r="J9" s="21" t="s">
        <v>31</v>
      </c>
      <c r="K9" s="21" t="s">
        <v>34</v>
      </c>
      <c r="L9" s="21" t="s">
        <v>26</v>
      </c>
      <c r="M9" s="21" t="s">
        <v>33</v>
      </c>
      <c r="N9" s="24"/>
      <c r="O9" s="25"/>
      <c r="P9" s="25"/>
      <c r="Q9" s="1"/>
      <c r="R9" s="1"/>
    </row>
    <row r="10">
      <c r="A10" s="1"/>
      <c r="B10" s="14">
        <v>7.0</v>
      </c>
      <c r="C10" s="79" t="s">
        <v>105</v>
      </c>
      <c r="D10" s="16" t="s">
        <v>21</v>
      </c>
      <c r="E10" s="17"/>
      <c r="F10" s="26">
        <v>46216.0</v>
      </c>
      <c r="G10" s="19">
        <v>1575000.0</v>
      </c>
      <c r="H10" s="29"/>
      <c r="I10" s="21" t="s">
        <v>29</v>
      </c>
      <c r="J10" s="21" t="s">
        <v>31</v>
      </c>
      <c r="K10" s="21" t="s">
        <v>34</v>
      </c>
      <c r="L10" s="21" t="s">
        <v>26</v>
      </c>
      <c r="M10" s="21" t="s">
        <v>33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185</v>
      </c>
      <c r="D11" s="16" t="s">
        <v>21</v>
      </c>
      <c r="E11" s="17"/>
      <c r="F11" s="26">
        <v>46216.0</v>
      </c>
      <c r="G11" s="19"/>
      <c r="H11" s="20">
        <v>175000.0</v>
      </c>
      <c r="I11" s="21" t="s">
        <v>29</v>
      </c>
      <c r="J11" s="21" t="s">
        <v>31</v>
      </c>
      <c r="K11" s="21" t="s">
        <v>181</v>
      </c>
      <c r="L11" s="21" t="s">
        <v>26</v>
      </c>
      <c r="M11" s="21" t="s">
        <v>33</v>
      </c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1825000</v>
      </c>
      <c r="H19" s="50">
        <f t="shared" si="1"/>
        <v>1075000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1825000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88</v>
      </c>
      <c r="D24" s="61">
        <v>-125000.0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-70000.0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33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1630000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M4:M18 O25:O26">
      <formula1>"-,VERO,FADEL,PENTIL,ADIF ,SAKA"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186</v>
      </c>
      <c r="D4" s="16" t="s">
        <v>21</v>
      </c>
      <c r="E4" s="17"/>
      <c r="F4" s="18">
        <v>46219.0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187</v>
      </c>
      <c r="D5" s="16" t="s">
        <v>21</v>
      </c>
      <c r="E5" s="17"/>
      <c r="F5" s="18">
        <v>46220.0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188</v>
      </c>
      <c r="D6" s="16" t="s">
        <v>23</v>
      </c>
      <c r="E6" s="17"/>
      <c r="F6" s="14" t="s">
        <v>189</v>
      </c>
      <c r="G6" s="27"/>
      <c r="H6" s="20">
        <v>100000.0</v>
      </c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58</v>
      </c>
      <c r="D7" s="16" t="s">
        <v>32</v>
      </c>
      <c r="E7" s="17"/>
      <c r="F7" s="26">
        <v>46217.0</v>
      </c>
      <c r="G7" s="19">
        <v>125000.0</v>
      </c>
      <c r="H7" s="29"/>
      <c r="I7" s="21" t="s">
        <v>29</v>
      </c>
      <c r="J7" s="21" t="s">
        <v>31</v>
      </c>
      <c r="K7" s="21" t="s">
        <v>34</v>
      </c>
      <c r="L7" s="21" t="s">
        <v>26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191</v>
      </c>
      <c r="D8" s="16" t="s">
        <v>21</v>
      </c>
      <c r="E8" s="17"/>
      <c r="F8" s="26">
        <v>46217.0</v>
      </c>
      <c r="G8" s="19"/>
      <c r="H8" s="20">
        <v>100000.0</v>
      </c>
      <c r="I8" s="21" t="s">
        <v>25</v>
      </c>
      <c r="J8" s="21"/>
      <c r="K8" s="21"/>
      <c r="L8" s="21" t="s">
        <v>27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146</v>
      </c>
      <c r="D9" s="16" t="s">
        <v>21</v>
      </c>
      <c r="E9" s="17"/>
      <c r="F9" s="26">
        <v>46217.0</v>
      </c>
      <c r="G9" s="19">
        <v>150000.0</v>
      </c>
      <c r="H9" s="29"/>
      <c r="I9" s="21" t="s">
        <v>29</v>
      </c>
      <c r="J9" s="21" t="s">
        <v>31</v>
      </c>
      <c r="K9" s="21" t="s">
        <v>31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192</v>
      </c>
      <c r="D10" s="16" t="s">
        <v>21</v>
      </c>
      <c r="E10" s="17"/>
      <c r="F10" s="26">
        <v>46218.0</v>
      </c>
      <c r="G10" s="19"/>
      <c r="H10" s="20">
        <v>100000.0</v>
      </c>
      <c r="I10" s="21" t="s">
        <v>25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152</v>
      </c>
      <c r="D11" s="16" t="s">
        <v>21</v>
      </c>
      <c r="E11" s="17"/>
      <c r="F11" s="26">
        <v>46217.0</v>
      </c>
      <c r="G11" s="19">
        <v>415000.0</v>
      </c>
      <c r="H11" s="20">
        <v>135000.0</v>
      </c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191</v>
      </c>
      <c r="D12" s="16" t="s">
        <v>21</v>
      </c>
      <c r="E12" s="17"/>
      <c r="F12" s="26">
        <v>46217.0</v>
      </c>
      <c r="G12" s="19">
        <v>300000.0</v>
      </c>
      <c r="H12" s="29"/>
      <c r="I12" s="21" t="s">
        <v>29</v>
      </c>
      <c r="J12" s="21" t="s">
        <v>31</v>
      </c>
      <c r="K12" s="21" t="s">
        <v>34</v>
      </c>
      <c r="L12" s="21" t="s">
        <v>27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990000</v>
      </c>
      <c r="H19" s="50">
        <f t="shared" si="1"/>
        <v>635000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990000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-100000.0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890000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M4:M18 O25:O26">
      <formula1>"-,VERO,FADEL,PENTIL,SAKA"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193</v>
      </c>
      <c r="D4" s="16" t="s">
        <v>178</v>
      </c>
      <c r="E4" s="17"/>
      <c r="F4" s="18">
        <v>46179.0</v>
      </c>
      <c r="G4" s="19"/>
      <c r="H4" s="20">
        <v>20000.0</v>
      </c>
      <c r="I4" s="21" t="s">
        <v>29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195</v>
      </c>
      <c r="D5" s="16" t="s">
        <v>23</v>
      </c>
      <c r="E5" s="17"/>
      <c r="F5" s="18">
        <v>46266.0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196</v>
      </c>
      <c r="D6" s="16" t="s">
        <v>74</v>
      </c>
      <c r="E6" s="17"/>
      <c r="F6" s="26">
        <v>46220.0</v>
      </c>
      <c r="G6" s="27"/>
      <c r="H6" s="20">
        <v>50000.0</v>
      </c>
      <c r="I6" s="21" t="s">
        <v>29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192</v>
      </c>
      <c r="D7" s="16" t="s">
        <v>21</v>
      </c>
      <c r="E7" s="17"/>
      <c r="F7" s="26">
        <v>46218.0</v>
      </c>
      <c r="G7" s="19"/>
      <c r="H7" s="19">
        <v>275000.0</v>
      </c>
      <c r="I7" s="21" t="s">
        <v>29</v>
      </c>
      <c r="J7" s="21" t="s">
        <v>31</v>
      </c>
      <c r="K7" s="21" t="s">
        <v>181</v>
      </c>
      <c r="L7" s="21" t="s">
        <v>26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197</v>
      </c>
      <c r="D8" s="16" t="s">
        <v>183</v>
      </c>
      <c r="E8" s="17"/>
      <c r="F8" s="26">
        <v>46228.0</v>
      </c>
      <c r="G8" s="19"/>
      <c r="H8" s="20">
        <v>100000.0</v>
      </c>
      <c r="I8" s="21" t="s">
        <v>25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198</v>
      </c>
      <c r="D9" s="16" t="s">
        <v>23</v>
      </c>
      <c r="E9" s="17"/>
      <c r="F9" s="14" t="s">
        <v>109</v>
      </c>
      <c r="G9" s="19"/>
      <c r="H9" s="20">
        <v>100000.0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44"/>
      <c r="G10" s="19"/>
      <c r="H10" s="29"/>
      <c r="I10" s="21"/>
      <c r="J10" s="21"/>
      <c r="K10" s="21"/>
      <c r="L10" s="28"/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44"/>
      <c r="G11" s="19"/>
      <c r="H11" s="29"/>
      <c r="I11" s="21"/>
      <c r="J11" s="21"/>
      <c r="K11" s="21"/>
      <c r="L11" s="28"/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0</v>
      </c>
      <c r="H19" s="50">
        <f t="shared" si="1"/>
        <v>645000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/>
      <c r="D24" s="61"/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DropDown="1" showErrorMessage="1" sqref="L4:L18 O23:O24">
      <formula1>"-,JIJANG,AXEL,PENTIL,ADDEL 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"-,VERO,FADEL,SAKA,FAHME,ADIF"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194</v>
      </c>
      <c r="D4" s="16" t="s">
        <v>21</v>
      </c>
      <c r="E4" s="17"/>
      <c r="F4" s="18">
        <v>46219.0</v>
      </c>
      <c r="G4" s="19"/>
      <c r="H4" s="20">
        <v>100000.0</v>
      </c>
      <c r="I4" s="21" t="s">
        <v>29</v>
      </c>
      <c r="J4" s="21" t="s">
        <v>31</v>
      </c>
      <c r="K4" s="21" t="s">
        <v>31</v>
      </c>
      <c r="L4" s="21" t="s">
        <v>26</v>
      </c>
      <c r="M4" s="21" t="s">
        <v>33</v>
      </c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199</v>
      </c>
      <c r="D5" s="16" t="s">
        <v>32</v>
      </c>
      <c r="E5" s="17"/>
      <c r="F5" s="18">
        <v>46219.0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80" t="s">
        <v>200</v>
      </c>
      <c r="D6" s="16" t="s">
        <v>23</v>
      </c>
      <c r="E6" s="17"/>
      <c r="F6" s="26">
        <v>46266.0</v>
      </c>
      <c r="G6" s="19">
        <v>100000.0</v>
      </c>
      <c r="H6" s="20"/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202</v>
      </c>
      <c r="D7" s="16" t="s">
        <v>74</v>
      </c>
      <c r="E7" s="17"/>
      <c r="F7" s="26">
        <v>46219.0</v>
      </c>
      <c r="G7" s="19"/>
      <c r="H7" s="20">
        <v>50000.0</v>
      </c>
      <c r="I7" s="21" t="s">
        <v>29</v>
      </c>
      <c r="J7" s="21"/>
      <c r="K7" s="21"/>
      <c r="L7" s="21" t="s">
        <v>26</v>
      </c>
      <c r="M7" s="21"/>
      <c r="N7" s="24"/>
      <c r="O7" s="24"/>
      <c r="P7" s="25"/>
      <c r="Q7" s="1"/>
      <c r="R7" s="1"/>
    </row>
    <row r="8">
      <c r="A8" s="1"/>
      <c r="B8" s="14">
        <v>5.0</v>
      </c>
      <c r="C8" s="15" t="s">
        <v>203</v>
      </c>
      <c r="D8" s="16" t="s">
        <v>74</v>
      </c>
      <c r="E8" s="17"/>
      <c r="F8" s="26">
        <v>46219.0</v>
      </c>
      <c r="G8" s="19"/>
      <c r="H8" s="20">
        <v>100000.0</v>
      </c>
      <c r="I8" s="21" t="s">
        <v>29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204</v>
      </c>
      <c r="D9" s="16" t="s">
        <v>74</v>
      </c>
      <c r="E9" s="17"/>
      <c r="F9" s="26">
        <v>46219.0</v>
      </c>
      <c r="G9" s="19"/>
      <c r="H9" s="20">
        <v>50000.0</v>
      </c>
      <c r="I9" s="21" t="s">
        <v>29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199</v>
      </c>
      <c r="D10" s="16" t="s">
        <v>74</v>
      </c>
      <c r="E10" s="17"/>
      <c r="F10" s="26">
        <v>46219.0</v>
      </c>
      <c r="G10" s="19"/>
      <c r="H10" s="20">
        <v>100000.0</v>
      </c>
      <c r="I10" s="21" t="s">
        <v>29</v>
      </c>
      <c r="J10" s="21" t="s">
        <v>31</v>
      </c>
      <c r="K10" s="21" t="s">
        <v>34</v>
      </c>
      <c r="L10" s="21" t="s">
        <v>26</v>
      </c>
      <c r="M10" s="21" t="s">
        <v>163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202</v>
      </c>
      <c r="D11" s="16" t="s">
        <v>74</v>
      </c>
      <c r="E11" s="17"/>
      <c r="F11" s="26">
        <v>46219.0</v>
      </c>
      <c r="G11" s="19">
        <v>0.0</v>
      </c>
      <c r="H11" s="20">
        <v>0.0</v>
      </c>
      <c r="I11" s="21" t="s">
        <v>29</v>
      </c>
      <c r="J11" s="21" t="s">
        <v>31</v>
      </c>
      <c r="K11" s="21" t="s">
        <v>34</v>
      </c>
      <c r="L11" s="21" t="s">
        <v>26</v>
      </c>
      <c r="M11" s="21" t="s">
        <v>163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208</v>
      </c>
      <c r="D12" s="16" t="s">
        <v>32</v>
      </c>
      <c r="E12" s="17"/>
      <c r="F12" s="26">
        <v>46224.0</v>
      </c>
      <c r="G12" s="19"/>
      <c r="H12" s="20">
        <v>100000.0</v>
      </c>
      <c r="I12" s="21" t="s">
        <v>25</v>
      </c>
      <c r="J12" s="21"/>
      <c r="K12" s="21"/>
      <c r="L12" s="21" t="s">
        <v>26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203</v>
      </c>
      <c r="D13" s="16" t="s">
        <v>74</v>
      </c>
      <c r="E13" s="17"/>
      <c r="F13" s="26">
        <v>46219.0</v>
      </c>
      <c r="G13" s="19">
        <v>0.0</v>
      </c>
      <c r="H13" s="20">
        <v>0.0</v>
      </c>
      <c r="I13" s="21" t="s">
        <v>29</v>
      </c>
      <c r="J13" s="21" t="s">
        <v>31</v>
      </c>
      <c r="K13" s="21" t="s">
        <v>34</v>
      </c>
      <c r="L13" s="21" t="s">
        <v>26</v>
      </c>
      <c r="M13" s="21" t="s">
        <v>163</v>
      </c>
      <c r="N13" s="24"/>
      <c r="O13" s="25"/>
      <c r="P13" s="25"/>
      <c r="Q13" s="1"/>
      <c r="R13" s="1"/>
    </row>
    <row r="14">
      <c r="A14" s="1"/>
      <c r="B14" s="44"/>
      <c r="C14" s="15" t="s">
        <v>204</v>
      </c>
      <c r="D14" s="16" t="s">
        <v>74</v>
      </c>
      <c r="E14" s="17"/>
      <c r="F14" s="26">
        <v>46219.0</v>
      </c>
      <c r="G14" s="19">
        <v>0.0</v>
      </c>
      <c r="H14" s="20">
        <v>0.0</v>
      </c>
      <c r="I14" s="21" t="s">
        <v>29</v>
      </c>
      <c r="J14" s="21" t="s">
        <v>31</v>
      </c>
      <c r="K14" s="21" t="s">
        <v>31</v>
      </c>
      <c r="L14" s="21" t="s">
        <v>26</v>
      </c>
      <c r="M14" s="21" t="s">
        <v>163</v>
      </c>
      <c r="N14" s="24"/>
      <c r="O14" s="25"/>
      <c r="P14" s="25"/>
      <c r="Q14" s="1"/>
      <c r="R14" s="1"/>
    </row>
    <row r="15">
      <c r="A15" s="1"/>
      <c r="B15" s="44"/>
      <c r="C15" s="15" t="s">
        <v>212</v>
      </c>
      <c r="D15" s="16" t="s">
        <v>21</v>
      </c>
      <c r="E15" s="17"/>
      <c r="F15" s="26">
        <v>46221.0</v>
      </c>
      <c r="G15" s="19"/>
      <c r="H15" s="20">
        <v>100000.0</v>
      </c>
      <c r="I15" s="21" t="s">
        <v>25</v>
      </c>
      <c r="J15" s="21"/>
      <c r="K15" s="21"/>
      <c r="L15" s="21" t="s">
        <v>26</v>
      </c>
      <c r="M15" s="28"/>
      <c r="N15" s="24"/>
      <c r="O15" s="25"/>
      <c r="P15" s="25"/>
      <c r="Q15" s="1"/>
      <c r="R15" s="1"/>
    </row>
    <row r="16">
      <c r="A16" s="1"/>
      <c r="B16" s="44"/>
      <c r="C16" s="15" t="s">
        <v>213</v>
      </c>
      <c r="D16" s="16" t="s">
        <v>23</v>
      </c>
      <c r="E16" s="17"/>
      <c r="F16" s="26">
        <v>46266.0</v>
      </c>
      <c r="G16" s="19"/>
      <c r="H16" s="20">
        <v>200000.0</v>
      </c>
      <c r="I16" s="21" t="s">
        <v>25</v>
      </c>
      <c r="J16" s="21"/>
      <c r="K16" s="21"/>
      <c r="L16" s="21" t="s">
        <v>26</v>
      </c>
      <c r="M16" s="28"/>
      <c r="N16" s="24"/>
      <c r="O16" s="25"/>
      <c r="P16" s="25"/>
      <c r="Q16" s="1"/>
      <c r="R16" s="1"/>
    </row>
    <row r="17">
      <c r="A17" s="1"/>
      <c r="B17" s="44"/>
      <c r="C17" s="15" t="s">
        <v>214</v>
      </c>
      <c r="D17" s="16" t="s">
        <v>21</v>
      </c>
      <c r="E17" s="17"/>
      <c r="F17" s="26">
        <v>46219.0</v>
      </c>
      <c r="G17" s="19">
        <v>100000.0</v>
      </c>
      <c r="H17" s="29"/>
      <c r="I17" s="21" t="s">
        <v>29</v>
      </c>
      <c r="J17" s="21" t="s">
        <v>31</v>
      </c>
      <c r="K17" s="21" t="s">
        <v>31</v>
      </c>
      <c r="L17" s="21" t="s">
        <v>26</v>
      </c>
      <c r="M17" s="21" t="s">
        <v>163</v>
      </c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200000</v>
      </c>
      <c r="H19" s="50">
        <f t="shared" si="1"/>
        <v>900000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200000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96</v>
      </c>
      <c r="D24" s="61">
        <v>-100000.0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-100000.0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163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M4:M18 O25:O26">
      <formula1>"-,VERO,ADIF ,SAKA 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201</v>
      </c>
      <c r="D4" s="16" t="s">
        <v>21</v>
      </c>
      <c r="E4" s="17"/>
      <c r="F4" s="18">
        <v>46221.0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205</v>
      </c>
      <c r="D5" s="16" t="s">
        <v>22</v>
      </c>
      <c r="E5" s="17"/>
      <c r="F5" s="18">
        <v>46221.0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206</v>
      </c>
      <c r="D6" s="16" t="s">
        <v>121</v>
      </c>
      <c r="E6" s="17"/>
      <c r="F6" s="26">
        <v>46222.0</v>
      </c>
      <c r="G6" s="27"/>
      <c r="H6" s="20">
        <v>100000.0</v>
      </c>
      <c r="I6" s="21" t="s">
        <v>25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207</v>
      </c>
      <c r="D7" s="16" t="s">
        <v>23</v>
      </c>
      <c r="E7" s="17"/>
      <c r="F7" s="26">
        <v>46299.0</v>
      </c>
      <c r="G7" s="19"/>
      <c r="H7" s="20">
        <v>100000.0</v>
      </c>
      <c r="I7" s="21" t="s">
        <v>25</v>
      </c>
      <c r="J7" s="21"/>
      <c r="K7" s="21"/>
      <c r="L7" s="21" t="s">
        <v>27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209</v>
      </c>
      <c r="D8" s="16" t="s">
        <v>74</v>
      </c>
      <c r="E8" s="17">
        <v>3.0</v>
      </c>
      <c r="F8" s="26">
        <v>46221.0</v>
      </c>
      <c r="G8" s="19"/>
      <c r="H8" s="20">
        <v>100000.0</v>
      </c>
      <c r="I8" s="21" t="s">
        <v>25</v>
      </c>
      <c r="J8" s="21"/>
      <c r="K8" s="21"/>
      <c r="L8" s="21" t="s">
        <v>27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210</v>
      </c>
      <c r="D9" s="16" t="s">
        <v>23</v>
      </c>
      <c r="E9" s="17"/>
      <c r="F9" s="26">
        <v>46266.0</v>
      </c>
      <c r="G9" s="19"/>
      <c r="H9" s="20">
        <v>100000.0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138</v>
      </c>
      <c r="D10" s="16" t="s">
        <v>21</v>
      </c>
      <c r="E10" s="17"/>
      <c r="F10" s="26">
        <v>46220.0</v>
      </c>
      <c r="G10" s="19">
        <v>75000.0</v>
      </c>
      <c r="H10" s="29"/>
      <c r="I10" s="21" t="s">
        <v>29</v>
      </c>
      <c r="J10" s="21" t="s">
        <v>31</v>
      </c>
      <c r="K10" s="21" t="s">
        <v>31</v>
      </c>
      <c r="L10" s="21" t="s">
        <v>26</v>
      </c>
      <c r="M10" s="21" t="s">
        <v>36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211</v>
      </c>
      <c r="D11" s="16" t="s">
        <v>21</v>
      </c>
      <c r="E11" s="17"/>
      <c r="F11" s="26">
        <v>46220.0</v>
      </c>
      <c r="G11" s="19"/>
      <c r="H11" s="20">
        <v>75000.0</v>
      </c>
      <c r="I11" s="21" t="s">
        <v>29</v>
      </c>
      <c r="J11" s="21" t="s">
        <v>31</v>
      </c>
      <c r="K11" s="21" t="s">
        <v>31</v>
      </c>
      <c r="L11" s="21" t="s">
        <v>26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196</v>
      </c>
      <c r="D12" s="16" t="s">
        <v>74</v>
      </c>
      <c r="E12" s="17"/>
      <c r="F12" s="26">
        <v>46220.0</v>
      </c>
      <c r="G12" s="19">
        <v>0.0</v>
      </c>
      <c r="H12" s="20">
        <v>0.0</v>
      </c>
      <c r="I12" s="21" t="s">
        <v>29</v>
      </c>
      <c r="J12" s="21" t="s">
        <v>31</v>
      </c>
      <c r="K12" s="21" t="s">
        <v>31</v>
      </c>
      <c r="L12" s="21" t="s">
        <v>26</v>
      </c>
      <c r="M12" s="21" t="s">
        <v>36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44</v>
      </c>
      <c r="D13" s="16" t="s">
        <v>178</v>
      </c>
      <c r="E13" s="17"/>
      <c r="F13" s="26">
        <v>46220.0</v>
      </c>
      <c r="G13" s="19"/>
      <c r="H13" s="20">
        <v>20000.0</v>
      </c>
      <c r="I13" s="21" t="s">
        <v>29</v>
      </c>
      <c r="J13" s="21"/>
      <c r="K13" s="21"/>
      <c r="L13" s="21" t="s">
        <v>26</v>
      </c>
      <c r="M13" s="28"/>
      <c r="N13" s="24"/>
      <c r="O13" s="25"/>
      <c r="P13" s="25"/>
      <c r="Q13" s="1"/>
      <c r="R13" s="1"/>
    </row>
    <row r="14">
      <c r="A14" s="1"/>
      <c r="B14" s="44"/>
      <c r="C14" s="15" t="s">
        <v>215</v>
      </c>
      <c r="D14" s="16" t="s">
        <v>21</v>
      </c>
      <c r="E14" s="17"/>
      <c r="F14" s="26">
        <v>46221.0</v>
      </c>
      <c r="G14" s="19"/>
      <c r="H14" s="20">
        <v>100000.0</v>
      </c>
      <c r="I14" s="21" t="s">
        <v>25</v>
      </c>
      <c r="J14" s="21"/>
      <c r="K14" s="21"/>
      <c r="L14" s="21" t="s">
        <v>27</v>
      </c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75000</v>
      </c>
      <c r="H19" s="50">
        <f t="shared" si="1"/>
        <v>795000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75000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220</v>
      </c>
      <c r="D24" s="61">
        <v>-75000.0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"-,JIJANG,AXEL,PENTIL,FAHME,INDAH,ADDEL 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216</v>
      </c>
      <c r="D4" s="16" t="s">
        <v>61</v>
      </c>
      <c r="E4" s="17"/>
      <c r="F4" s="18">
        <v>46221.0</v>
      </c>
      <c r="G4" s="19"/>
      <c r="H4" s="20">
        <v>100000.0</v>
      </c>
      <c r="I4" s="21" t="s">
        <v>29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217</v>
      </c>
      <c r="D5" s="16" t="s">
        <v>21</v>
      </c>
      <c r="E5" s="17"/>
      <c r="F5" s="18">
        <v>46222.0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218</v>
      </c>
      <c r="D6" s="16" t="s">
        <v>23</v>
      </c>
      <c r="E6" s="17"/>
      <c r="F6" s="26">
        <v>46221.0</v>
      </c>
      <c r="G6" s="27"/>
      <c r="H6" s="20">
        <v>100000.0</v>
      </c>
      <c r="I6" s="21" t="s">
        <v>25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219</v>
      </c>
      <c r="D7" s="16" t="s">
        <v>22</v>
      </c>
      <c r="E7" s="17"/>
      <c r="F7" s="26">
        <v>46221.0</v>
      </c>
      <c r="G7" s="19"/>
      <c r="H7" s="20">
        <v>250000.0</v>
      </c>
      <c r="I7" s="21" t="s">
        <v>29</v>
      </c>
      <c r="J7" s="21" t="s">
        <v>31</v>
      </c>
      <c r="K7" s="21" t="s">
        <v>34</v>
      </c>
      <c r="L7" s="21" t="s">
        <v>27</v>
      </c>
      <c r="M7" s="21" t="s">
        <v>36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201</v>
      </c>
      <c r="D8" s="16" t="s">
        <v>21</v>
      </c>
      <c r="E8" s="17"/>
      <c r="F8" s="26">
        <v>46221.0</v>
      </c>
      <c r="G8" s="19"/>
      <c r="H8" s="20">
        <v>75000.0</v>
      </c>
      <c r="I8" s="21" t="s">
        <v>29</v>
      </c>
      <c r="J8" s="21" t="s">
        <v>31</v>
      </c>
      <c r="K8" s="21" t="s">
        <v>31</v>
      </c>
      <c r="L8" s="21" t="s">
        <v>27</v>
      </c>
      <c r="M8" s="21" t="s">
        <v>36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216</v>
      </c>
      <c r="D9" s="16" t="s">
        <v>61</v>
      </c>
      <c r="E9" s="17"/>
      <c r="F9" s="26">
        <v>46221.0</v>
      </c>
      <c r="G9" s="19">
        <v>0.0</v>
      </c>
      <c r="H9" s="20">
        <v>0.0</v>
      </c>
      <c r="I9" s="21" t="s">
        <v>29</v>
      </c>
      <c r="J9" s="21" t="s">
        <v>31</v>
      </c>
      <c r="K9" s="21" t="s">
        <v>31</v>
      </c>
      <c r="L9" s="21" t="s">
        <v>27</v>
      </c>
      <c r="M9" s="21" t="s">
        <v>36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215</v>
      </c>
      <c r="D10" s="16" t="s">
        <v>21</v>
      </c>
      <c r="E10" s="17"/>
      <c r="F10" s="26">
        <v>46221.0</v>
      </c>
      <c r="G10" s="19">
        <v>400000.0</v>
      </c>
      <c r="H10" s="29"/>
      <c r="I10" s="21" t="s">
        <v>29</v>
      </c>
      <c r="J10" s="21" t="s">
        <v>31</v>
      </c>
      <c r="K10" s="21" t="s">
        <v>31</v>
      </c>
      <c r="L10" s="21" t="s">
        <v>27</v>
      </c>
      <c r="M10" s="21" t="s">
        <v>36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221</v>
      </c>
      <c r="D11" s="16" t="s">
        <v>74</v>
      </c>
      <c r="E11" s="17"/>
      <c r="F11" s="26">
        <v>46221.0</v>
      </c>
      <c r="G11" s="19"/>
      <c r="H11" s="20">
        <v>50000.0</v>
      </c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212</v>
      </c>
      <c r="D12" s="16" t="s">
        <v>21</v>
      </c>
      <c r="E12" s="17"/>
      <c r="F12" s="26">
        <v>46221.0</v>
      </c>
      <c r="G12" s="19"/>
      <c r="H12" s="20">
        <v>325000.0</v>
      </c>
      <c r="I12" s="21" t="s">
        <v>29</v>
      </c>
      <c r="J12" s="21" t="s">
        <v>31</v>
      </c>
      <c r="K12" s="21" t="s">
        <v>34</v>
      </c>
      <c r="L12" s="21" t="s">
        <v>27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218</v>
      </c>
      <c r="D13" s="16" t="s">
        <v>23</v>
      </c>
      <c r="E13" s="17"/>
      <c r="F13" s="26">
        <v>46221.0</v>
      </c>
      <c r="G13" s="19">
        <v>250000.0</v>
      </c>
      <c r="H13" s="29"/>
      <c r="I13" s="21" t="s">
        <v>29</v>
      </c>
      <c r="J13" s="21" t="s">
        <v>31</v>
      </c>
      <c r="K13" s="21" t="s">
        <v>34</v>
      </c>
      <c r="L13" s="21" t="s">
        <v>27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650000</v>
      </c>
      <c r="H19" s="50">
        <f t="shared" si="1"/>
        <v>1000000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650000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-100000.0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184</v>
      </c>
      <c r="D25" s="65">
        <v>-16000.0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53"/>
      <c r="R25" s="1"/>
    </row>
    <row r="26">
      <c r="A26" s="1"/>
      <c r="B26" s="59">
        <v>4.0</v>
      </c>
      <c r="C26" s="60" t="s">
        <v>223</v>
      </c>
      <c r="D26" s="61">
        <v>-54000.0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480000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"-,VERO,FADEL,PENTIL,FAHME,ADIF,SAKA"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222</v>
      </c>
      <c r="D4" s="16" t="s">
        <v>21</v>
      </c>
      <c r="E4" s="17"/>
      <c r="F4" s="18">
        <v>46222.0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225</v>
      </c>
      <c r="D5" s="16" t="s">
        <v>22</v>
      </c>
      <c r="E5" s="17"/>
      <c r="F5" s="18">
        <v>46222.0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226</v>
      </c>
      <c r="D6" s="16" t="s">
        <v>121</v>
      </c>
      <c r="E6" s="17"/>
      <c r="F6" s="26">
        <v>46222.0</v>
      </c>
      <c r="G6" s="27"/>
      <c r="H6" s="20">
        <v>350000.0</v>
      </c>
      <c r="I6" s="21" t="s">
        <v>29</v>
      </c>
      <c r="J6" s="21" t="s">
        <v>31</v>
      </c>
      <c r="K6" s="21" t="s">
        <v>31</v>
      </c>
      <c r="L6" s="21" t="s">
        <v>27</v>
      </c>
      <c r="M6" s="21" t="s">
        <v>36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227</v>
      </c>
      <c r="D7" s="16" t="s">
        <v>50</v>
      </c>
      <c r="E7" s="17"/>
      <c r="F7" s="26">
        <v>46222.0</v>
      </c>
      <c r="G7" s="19"/>
      <c r="H7" s="20">
        <v>100000.0</v>
      </c>
      <c r="I7" s="21" t="s">
        <v>25</v>
      </c>
      <c r="J7" s="21"/>
      <c r="K7" s="21"/>
      <c r="L7" s="21" t="s">
        <v>27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229</v>
      </c>
      <c r="D8" s="16" t="s">
        <v>32</v>
      </c>
      <c r="E8" s="17"/>
      <c r="F8" s="26">
        <v>46225.0</v>
      </c>
      <c r="G8" s="19"/>
      <c r="H8" s="20">
        <v>200000.0</v>
      </c>
      <c r="I8" s="21" t="s">
        <v>29</v>
      </c>
      <c r="J8" s="21"/>
      <c r="K8" s="21"/>
      <c r="L8" s="21" t="s">
        <v>27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231</v>
      </c>
      <c r="D9" s="16" t="s">
        <v>74</v>
      </c>
      <c r="E9" s="17" t="s">
        <v>141</v>
      </c>
      <c r="F9" s="26">
        <v>46222.0</v>
      </c>
      <c r="G9" s="19">
        <v>50000.0</v>
      </c>
      <c r="H9" s="29"/>
      <c r="I9" s="21" t="s">
        <v>29</v>
      </c>
      <c r="J9" s="21" t="s">
        <v>31</v>
      </c>
      <c r="K9" s="21" t="s">
        <v>31</v>
      </c>
      <c r="L9" s="21" t="s">
        <v>27</v>
      </c>
      <c r="M9" s="21" t="s">
        <v>36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222</v>
      </c>
      <c r="D10" s="16" t="s">
        <v>21</v>
      </c>
      <c r="E10" s="17"/>
      <c r="F10" s="26">
        <v>46222.0</v>
      </c>
      <c r="G10" s="19">
        <v>625000.0</v>
      </c>
      <c r="H10" s="29"/>
      <c r="I10" s="21" t="s">
        <v>29</v>
      </c>
      <c r="J10" s="21" t="s">
        <v>31</v>
      </c>
      <c r="K10" s="21" t="s">
        <v>31</v>
      </c>
      <c r="L10" s="21" t="s">
        <v>27</v>
      </c>
      <c r="M10" s="21" t="s">
        <v>36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225</v>
      </c>
      <c r="D11" s="16" t="s">
        <v>22</v>
      </c>
      <c r="E11" s="17"/>
      <c r="F11" s="26">
        <v>46222.0</v>
      </c>
      <c r="G11" s="19">
        <v>250000.0</v>
      </c>
      <c r="H11" s="29"/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217</v>
      </c>
      <c r="D12" s="16" t="s">
        <v>21</v>
      </c>
      <c r="E12" s="17"/>
      <c r="F12" s="26">
        <v>46222.0</v>
      </c>
      <c r="G12" s="19">
        <v>625000.0</v>
      </c>
      <c r="H12" s="29"/>
      <c r="I12" s="21" t="s">
        <v>29</v>
      </c>
      <c r="J12" s="21" t="s">
        <v>31</v>
      </c>
      <c r="K12" s="21" t="s">
        <v>31</v>
      </c>
      <c r="L12" s="21" t="s">
        <v>26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227</v>
      </c>
      <c r="D13" s="16" t="s">
        <v>50</v>
      </c>
      <c r="E13" s="17"/>
      <c r="F13" s="26">
        <v>46222.0</v>
      </c>
      <c r="G13" s="19"/>
      <c r="H13" s="20">
        <v>400000.0</v>
      </c>
      <c r="I13" s="21" t="s">
        <v>29</v>
      </c>
      <c r="J13" s="21" t="s">
        <v>31</v>
      </c>
      <c r="K13" s="21" t="s">
        <v>34</v>
      </c>
      <c r="L13" s="21" t="s">
        <v>26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 t="s">
        <v>242</v>
      </c>
      <c r="D14" s="16" t="s">
        <v>21</v>
      </c>
      <c r="E14" s="17"/>
      <c r="F14" s="26">
        <v>46224.0</v>
      </c>
      <c r="G14" s="19"/>
      <c r="H14" s="20">
        <v>100000.0</v>
      </c>
      <c r="I14" s="21" t="s">
        <v>25</v>
      </c>
      <c r="J14" s="21"/>
      <c r="K14" s="21"/>
      <c r="L14" s="21" t="s">
        <v>26</v>
      </c>
      <c r="M14" s="28"/>
      <c r="N14" s="24"/>
      <c r="O14" s="25"/>
      <c r="P14" s="25"/>
      <c r="Q14" s="1"/>
      <c r="R14" s="1"/>
    </row>
    <row r="15">
      <c r="A15" s="1"/>
      <c r="B15" s="44"/>
      <c r="C15" s="15" t="s">
        <v>243</v>
      </c>
      <c r="D15" s="16" t="s">
        <v>21</v>
      </c>
      <c r="E15" s="17"/>
      <c r="F15" s="26">
        <v>46225.0</v>
      </c>
      <c r="G15" s="19"/>
      <c r="H15" s="20">
        <v>100000.0</v>
      </c>
      <c r="I15" s="21" t="s">
        <v>25</v>
      </c>
      <c r="J15" s="21"/>
      <c r="K15" s="21"/>
      <c r="L15" s="21" t="s">
        <v>26</v>
      </c>
      <c r="M15" s="28"/>
      <c r="N15" s="24"/>
      <c r="O15" s="25"/>
      <c r="P15" s="25"/>
      <c r="Q15" s="1"/>
      <c r="R15" s="1"/>
    </row>
    <row r="16">
      <c r="A16" s="1"/>
      <c r="B16" s="44"/>
      <c r="C16" s="15" t="s">
        <v>245</v>
      </c>
      <c r="D16" s="16" t="s">
        <v>21</v>
      </c>
      <c r="E16" s="17"/>
      <c r="F16" s="26">
        <v>46223.0</v>
      </c>
      <c r="G16" s="19"/>
      <c r="H16" s="20">
        <v>175000.0</v>
      </c>
      <c r="I16" s="21" t="s">
        <v>29</v>
      </c>
      <c r="J16" s="21"/>
      <c r="K16" s="21"/>
      <c r="L16" s="21" t="s">
        <v>26</v>
      </c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1550000</v>
      </c>
      <c r="H19" s="50">
        <f t="shared" si="1"/>
        <v>1625000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1550000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223</v>
      </c>
      <c r="D24" s="61">
        <v>-6000.0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-119000.0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1"/>
      <c r="R25" s="1"/>
    </row>
    <row r="26">
      <c r="A26" s="1"/>
      <c r="B26" s="59">
        <v>4.0</v>
      </c>
      <c r="C26" s="60" t="s">
        <v>220</v>
      </c>
      <c r="D26" s="61">
        <v>-75000.0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55" t="s">
        <v>162</v>
      </c>
      <c r="D27" s="65">
        <v>-50000.0</v>
      </c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60" t="s">
        <v>90</v>
      </c>
      <c r="D28" s="61">
        <v>-150000.0</v>
      </c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55" t="s">
        <v>87</v>
      </c>
      <c r="D29" s="65">
        <v>-100000.0</v>
      </c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1050000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"-,VERO,FADEL,PENTIL,FAHME,ADIF,SAKA"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224</v>
      </c>
      <c r="D4" s="16" t="s">
        <v>74</v>
      </c>
      <c r="E4" s="17"/>
      <c r="F4" s="18">
        <v>46223.0</v>
      </c>
      <c r="G4" s="19">
        <v>50000.0</v>
      </c>
      <c r="H4" s="20"/>
      <c r="I4" s="21" t="s">
        <v>29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230</v>
      </c>
      <c r="D5" s="16" t="s">
        <v>32</v>
      </c>
      <c r="E5" s="17"/>
      <c r="F5" s="18">
        <v>46226.0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232</v>
      </c>
      <c r="D6" s="16" t="s">
        <v>21</v>
      </c>
      <c r="E6" s="17" t="s">
        <v>141</v>
      </c>
      <c r="F6" s="26">
        <v>46223.0</v>
      </c>
      <c r="G6" s="19">
        <v>250000.0</v>
      </c>
      <c r="H6" s="20"/>
      <c r="I6" s="21" t="s">
        <v>29</v>
      </c>
      <c r="J6" s="21" t="s">
        <v>31</v>
      </c>
      <c r="K6" s="21" t="s">
        <v>31</v>
      </c>
      <c r="L6" s="21" t="s">
        <v>27</v>
      </c>
      <c r="M6" s="21" t="s">
        <v>36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233</v>
      </c>
      <c r="D7" s="16" t="s">
        <v>21</v>
      </c>
      <c r="E7" s="17"/>
      <c r="F7" s="26">
        <v>46223.0</v>
      </c>
      <c r="G7" s="19">
        <v>0.0</v>
      </c>
      <c r="H7" s="20">
        <v>0.0</v>
      </c>
      <c r="I7" s="21" t="s">
        <v>29</v>
      </c>
      <c r="J7" s="21" t="s">
        <v>31</v>
      </c>
      <c r="K7" s="21" t="s">
        <v>31</v>
      </c>
      <c r="L7" s="21" t="s">
        <v>27</v>
      </c>
      <c r="M7" s="21" t="s">
        <v>36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235</v>
      </c>
      <c r="D8" s="16" t="s">
        <v>21</v>
      </c>
      <c r="E8" s="17"/>
      <c r="F8" s="26">
        <v>46228.0</v>
      </c>
      <c r="G8" s="19"/>
      <c r="H8" s="20">
        <v>100000.0</v>
      </c>
      <c r="I8" s="21" t="s">
        <v>25</v>
      </c>
      <c r="J8" s="21"/>
      <c r="K8" s="21"/>
      <c r="L8" s="21" t="s">
        <v>27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236</v>
      </c>
      <c r="D9" s="16" t="s">
        <v>23</v>
      </c>
      <c r="E9" s="17"/>
      <c r="F9" s="26">
        <v>46298.0</v>
      </c>
      <c r="G9" s="19"/>
      <c r="H9" s="20">
        <v>100000.0</v>
      </c>
      <c r="I9" s="21" t="s">
        <v>25</v>
      </c>
      <c r="J9" s="21"/>
      <c r="K9" s="21"/>
      <c r="L9" s="21" t="s">
        <v>27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238</v>
      </c>
      <c r="D10" s="16" t="s">
        <v>21</v>
      </c>
      <c r="E10" s="17"/>
      <c r="F10" s="26">
        <v>46224.0</v>
      </c>
      <c r="G10" s="19"/>
      <c r="H10" s="20">
        <v>100000.0</v>
      </c>
      <c r="I10" s="21" t="s">
        <v>25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239</v>
      </c>
      <c r="D11" s="16" t="s">
        <v>21</v>
      </c>
      <c r="E11" s="17"/>
      <c r="F11" s="14" t="s">
        <v>241</v>
      </c>
      <c r="G11" s="19"/>
      <c r="H11" s="20">
        <v>1000000.0</v>
      </c>
      <c r="I11" s="21" t="s">
        <v>25</v>
      </c>
      <c r="J11" s="21"/>
      <c r="K11" s="21"/>
      <c r="L11" s="21" t="s">
        <v>27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300000</v>
      </c>
      <c r="H19" s="50">
        <f t="shared" si="1"/>
        <v>1400000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300000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/>
      <c r="D24" s="61"/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300000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"-,JIJANG,AXEL,PENTIL,ADDEL 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M4:M18 O25:O26">
      <formula1>"-,VERO,FADEL,PENTIL,SAKA,ADIF"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228</v>
      </c>
      <c r="D4" s="16" t="s">
        <v>21</v>
      </c>
      <c r="E4" s="17"/>
      <c r="F4" s="18">
        <v>46229.0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234</v>
      </c>
      <c r="D5" s="16" t="s">
        <v>32</v>
      </c>
      <c r="E5" s="17"/>
      <c r="F5" s="18">
        <v>46225.0</v>
      </c>
      <c r="G5" s="19"/>
      <c r="H5" s="20">
        <v>100000.0</v>
      </c>
      <c r="I5" s="21" t="s">
        <v>25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237</v>
      </c>
      <c r="D6" s="16" t="s">
        <v>32</v>
      </c>
      <c r="E6" s="17"/>
      <c r="F6" s="26">
        <v>46224.0</v>
      </c>
      <c r="G6" s="27"/>
      <c r="H6" s="20">
        <v>100000.0</v>
      </c>
      <c r="I6" s="21" t="s">
        <v>29</v>
      </c>
      <c r="J6" s="21" t="s">
        <v>31</v>
      </c>
      <c r="K6" s="21" t="s">
        <v>31</v>
      </c>
      <c r="L6" s="21" t="s">
        <v>27</v>
      </c>
      <c r="M6" s="21" t="s">
        <v>36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240</v>
      </c>
      <c r="D7" s="16" t="s">
        <v>32</v>
      </c>
      <c r="E7" s="17"/>
      <c r="F7" s="26">
        <v>46224.0</v>
      </c>
      <c r="G7" s="19"/>
      <c r="H7" s="20">
        <v>100000.0</v>
      </c>
      <c r="I7" s="21" t="s">
        <v>25</v>
      </c>
      <c r="J7" s="21"/>
      <c r="K7" s="21"/>
      <c r="L7" s="21" t="s">
        <v>27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228</v>
      </c>
      <c r="D8" s="16" t="s">
        <v>21</v>
      </c>
      <c r="E8" s="17"/>
      <c r="F8" s="26">
        <v>46224.0</v>
      </c>
      <c r="G8" s="19">
        <v>725000.0</v>
      </c>
      <c r="H8" s="29"/>
      <c r="I8" s="21" t="s">
        <v>29</v>
      </c>
      <c r="J8" s="21" t="s">
        <v>31</v>
      </c>
      <c r="K8" s="21" t="s">
        <v>34</v>
      </c>
      <c r="L8" s="21" t="s">
        <v>27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244</v>
      </c>
      <c r="D9" s="16" t="s">
        <v>74</v>
      </c>
      <c r="E9" s="17"/>
      <c r="F9" s="26">
        <v>46225.0</v>
      </c>
      <c r="G9" s="19"/>
      <c r="H9" s="20">
        <v>50000.0</v>
      </c>
      <c r="I9" s="21" t="s">
        <v>29</v>
      </c>
      <c r="J9" s="21"/>
      <c r="K9" s="21"/>
      <c r="L9" s="21" t="s">
        <v>27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242</v>
      </c>
      <c r="D10" s="16" t="s">
        <v>21</v>
      </c>
      <c r="E10" s="17"/>
      <c r="F10" s="26">
        <v>46224.0</v>
      </c>
      <c r="G10" s="19">
        <v>250000.0</v>
      </c>
      <c r="H10" s="29"/>
      <c r="I10" s="21" t="s">
        <v>29</v>
      </c>
      <c r="J10" s="21" t="s">
        <v>31</v>
      </c>
      <c r="K10" s="21" t="s">
        <v>34</v>
      </c>
      <c r="L10" s="21" t="s">
        <v>27</v>
      </c>
      <c r="M10" s="21" t="s">
        <v>42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247</v>
      </c>
      <c r="D11" s="16" t="s">
        <v>23</v>
      </c>
      <c r="E11" s="17"/>
      <c r="F11" s="26">
        <v>46298.0</v>
      </c>
      <c r="G11" s="19"/>
      <c r="H11" s="20">
        <v>100000.0</v>
      </c>
      <c r="I11" s="21" t="s">
        <v>25</v>
      </c>
      <c r="J11" s="21"/>
      <c r="K11" s="21"/>
      <c r="L11" s="21" t="s">
        <v>27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248</v>
      </c>
      <c r="D12" s="16" t="s">
        <v>21</v>
      </c>
      <c r="E12" s="17"/>
      <c r="F12" s="26">
        <v>46228.0</v>
      </c>
      <c r="G12" s="19"/>
      <c r="H12" s="20">
        <v>100000.0</v>
      </c>
      <c r="I12" s="21" t="s">
        <v>25</v>
      </c>
      <c r="J12" s="21"/>
      <c r="K12" s="21"/>
      <c r="L12" s="21" t="s">
        <v>27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240</v>
      </c>
      <c r="D13" s="16" t="s">
        <v>21</v>
      </c>
      <c r="E13" s="17"/>
      <c r="F13" s="26">
        <v>46224.0</v>
      </c>
      <c r="G13" s="19">
        <v>75000.0</v>
      </c>
      <c r="H13" s="29"/>
      <c r="I13" s="21" t="s">
        <v>29</v>
      </c>
      <c r="J13" s="21" t="s">
        <v>31</v>
      </c>
      <c r="K13" s="21" t="s">
        <v>34</v>
      </c>
      <c r="L13" s="21" t="s">
        <v>27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1050000</v>
      </c>
      <c r="H19" s="50">
        <f t="shared" si="1"/>
        <v>650000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1050000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172</v>
      </c>
      <c r="D24" s="61">
        <v>-100000.0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260</v>
      </c>
      <c r="D25" s="65">
        <v>-300000.0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1"/>
      <c r="R25" s="1"/>
    </row>
    <row r="26">
      <c r="A26" s="1"/>
      <c r="B26" s="59">
        <v>4.0</v>
      </c>
      <c r="C26" s="60" t="s">
        <v>90</v>
      </c>
      <c r="D26" s="61">
        <v>-25000.0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55" t="s">
        <v>88</v>
      </c>
      <c r="D27" s="65">
        <v>-75000.0</v>
      </c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60" t="s">
        <v>143</v>
      </c>
      <c r="D28" s="61">
        <v>-100000.0</v>
      </c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55" t="s">
        <v>223</v>
      </c>
      <c r="D29" s="65">
        <v>-40000.0</v>
      </c>
      <c r="E29" s="57"/>
      <c r="F29" s="81">
        <f>D26+D27+D28+D29+D30</f>
        <v>-290000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60" t="s">
        <v>88</v>
      </c>
      <c r="D30" s="61">
        <v>-50000.0</v>
      </c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360000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"-,VERO,FADEL,PENTIL,FAHME,ADIF,SAKA"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246</v>
      </c>
      <c r="D4" s="16" t="s">
        <v>21</v>
      </c>
      <c r="E4" s="17"/>
      <c r="F4" s="18">
        <v>46225.0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249</v>
      </c>
      <c r="D5" s="16" t="s">
        <v>21</v>
      </c>
      <c r="E5" s="17"/>
      <c r="F5" s="18">
        <v>46225.0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250</v>
      </c>
      <c r="D6" s="16" t="s">
        <v>21</v>
      </c>
      <c r="E6" s="17"/>
      <c r="F6" s="26">
        <v>46227.0</v>
      </c>
      <c r="G6" s="27"/>
      <c r="H6" s="20">
        <v>100000.0</v>
      </c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251</v>
      </c>
      <c r="D7" s="16" t="s">
        <v>21</v>
      </c>
      <c r="E7" s="17"/>
      <c r="F7" s="26">
        <v>46226.0</v>
      </c>
      <c r="G7" s="19"/>
      <c r="H7" s="20">
        <v>275000.0</v>
      </c>
      <c r="I7" s="21" t="s">
        <v>29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252</v>
      </c>
      <c r="D8" s="16" t="s">
        <v>23</v>
      </c>
      <c r="E8" s="17"/>
      <c r="F8" s="14" t="s">
        <v>109</v>
      </c>
      <c r="G8" s="19"/>
      <c r="H8" s="20">
        <v>150000.0</v>
      </c>
      <c r="I8" s="21" t="s">
        <v>25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253</v>
      </c>
      <c r="D9" s="16" t="s">
        <v>21</v>
      </c>
      <c r="E9" s="17"/>
      <c r="F9" s="26">
        <v>46228.0</v>
      </c>
      <c r="G9" s="19"/>
      <c r="H9" s="20">
        <v>100000.0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254</v>
      </c>
      <c r="D10" s="16" t="s">
        <v>21</v>
      </c>
      <c r="E10" s="17"/>
      <c r="F10" s="14" t="s">
        <v>255</v>
      </c>
      <c r="G10" s="19"/>
      <c r="H10" s="20">
        <v>100000.0</v>
      </c>
      <c r="I10" s="21" t="s">
        <v>25</v>
      </c>
      <c r="J10" s="21"/>
      <c r="K10" s="21"/>
      <c r="L10" s="21" t="s">
        <v>26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256</v>
      </c>
      <c r="D11" s="16" t="s">
        <v>32</v>
      </c>
      <c r="E11" s="17"/>
      <c r="F11" s="26">
        <v>46225.0</v>
      </c>
      <c r="G11" s="19">
        <v>0.0</v>
      </c>
      <c r="H11" s="20">
        <v>0.0</v>
      </c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234</v>
      </c>
      <c r="D12" s="16" t="s">
        <v>32</v>
      </c>
      <c r="E12" s="17"/>
      <c r="F12" s="26">
        <v>46225.0</v>
      </c>
      <c r="G12" s="19"/>
      <c r="H12" s="20">
        <v>125000.0</v>
      </c>
      <c r="I12" s="21" t="s">
        <v>29</v>
      </c>
      <c r="J12" s="21" t="s">
        <v>31</v>
      </c>
      <c r="K12" s="21" t="s">
        <v>31</v>
      </c>
      <c r="L12" s="21" t="s">
        <v>27</v>
      </c>
      <c r="M12" s="21" t="s">
        <v>36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243</v>
      </c>
      <c r="D13" s="16" t="s">
        <v>21</v>
      </c>
      <c r="E13" s="17"/>
      <c r="F13" s="26">
        <v>46225.0</v>
      </c>
      <c r="G13" s="19"/>
      <c r="H13" s="20">
        <v>175000.0</v>
      </c>
      <c r="I13" s="21" t="s">
        <v>29</v>
      </c>
      <c r="J13" s="21" t="s">
        <v>31</v>
      </c>
      <c r="K13" s="21" t="s">
        <v>31</v>
      </c>
      <c r="L13" s="21" t="s">
        <v>27</v>
      </c>
      <c r="M13" s="21" t="s">
        <v>36</v>
      </c>
      <c r="N13" s="24"/>
      <c r="O13" s="25"/>
      <c r="P13" s="25"/>
      <c r="Q13" s="1"/>
      <c r="R13" s="1"/>
    </row>
    <row r="14">
      <c r="A14" s="1"/>
      <c r="B14" s="44"/>
      <c r="C14" s="15" t="s">
        <v>257</v>
      </c>
      <c r="D14" s="16" t="s">
        <v>21</v>
      </c>
      <c r="E14" s="17"/>
      <c r="F14" s="26">
        <v>46226.0</v>
      </c>
      <c r="G14" s="19"/>
      <c r="H14" s="20">
        <v>100000.0</v>
      </c>
      <c r="I14" s="21" t="s">
        <v>25</v>
      </c>
      <c r="J14" s="21"/>
      <c r="K14" s="21"/>
      <c r="L14" s="21" t="s">
        <v>27</v>
      </c>
      <c r="M14" s="28"/>
      <c r="N14" s="24"/>
      <c r="O14" s="25"/>
      <c r="P14" s="25"/>
      <c r="Q14" s="1"/>
      <c r="R14" s="1"/>
    </row>
    <row r="15">
      <c r="A15" s="1"/>
      <c r="B15" s="44"/>
      <c r="C15" s="15" t="s">
        <v>258</v>
      </c>
      <c r="D15" s="16" t="s">
        <v>32</v>
      </c>
      <c r="E15" s="17"/>
      <c r="F15" s="26">
        <v>46228.0</v>
      </c>
      <c r="G15" s="19"/>
      <c r="H15" s="20">
        <v>100000.0</v>
      </c>
      <c r="I15" s="21" t="s">
        <v>25</v>
      </c>
      <c r="J15" s="21"/>
      <c r="K15" s="21"/>
      <c r="L15" s="21" t="s">
        <v>27</v>
      </c>
      <c r="M15" s="28"/>
      <c r="N15" s="24"/>
      <c r="O15" s="25"/>
      <c r="P15" s="25"/>
      <c r="Q15" s="1"/>
      <c r="R15" s="1"/>
    </row>
    <row r="16">
      <c r="A16" s="1"/>
      <c r="B16" s="44"/>
      <c r="C16" s="15" t="s">
        <v>259</v>
      </c>
      <c r="D16" s="16" t="s">
        <v>21</v>
      </c>
      <c r="E16" s="17"/>
      <c r="F16" s="26">
        <v>46225.0</v>
      </c>
      <c r="G16" s="19"/>
      <c r="H16" s="20">
        <v>175000.0</v>
      </c>
      <c r="I16" s="21" t="s">
        <v>29</v>
      </c>
      <c r="J16" s="21" t="s">
        <v>31</v>
      </c>
      <c r="K16" s="21" t="s">
        <v>31</v>
      </c>
      <c r="L16" s="21" t="s">
        <v>27</v>
      </c>
      <c r="M16" s="21" t="s">
        <v>36</v>
      </c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15"/>
      <c r="D18" s="16"/>
      <c r="E18" s="17"/>
      <c r="F18" s="44"/>
      <c r="G18" s="19"/>
      <c r="H18" s="29"/>
      <c r="I18" s="21"/>
      <c r="J18" s="21"/>
      <c r="K18" s="21"/>
      <c r="L18" s="28"/>
      <c r="M18" s="28"/>
      <c r="N18" s="24"/>
      <c r="O18" s="25"/>
      <c r="P18" s="25"/>
      <c r="Q18" s="1"/>
      <c r="R18" s="1"/>
    </row>
    <row r="19">
      <c r="A19" s="1"/>
      <c r="B19" s="44"/>
      <c r="C19" s="15"/>
      <c r="D19" s="16"/>
      <c r="E19" s="17"/>
      <c r="F19" s="44"/>
      <c r="G19" s="19"/>
      <c r="H19" s="29"/>
      <c r="I19" s="21"/>
      <c r="J19" s="21"/>
      <c r="K19" s="21"/>
      <c r="L19" s="28"/>
      <c r="M19" s="28"/>
      <c r="N19" s="24"/>
      <c r="O19" s="25"/>
      <c r="P19" s="25"/>
      <c r="Q19" s="1"/>
      <c r="R19" s="1"/>
    </row>
    <row r="20">
      <c r="A20" s="1"/>
      <c r="B20" s="44"/>
      <c r="C20" s="47"/>
      <c r="D20" s="16"/>
      <c r="E20" s="17"/>
      <c r="F20" s="44"/>
      <c r="G20" s="27"/>
      <c r="H20" s="29"/>
      <c r="I20" s="28"/>
      <c r="J20" s="28"/>
      <c r="K20" s="28"/>
      <c r="L20" s="28"/>
      <c r="M20" s="28"/>
      <c r="N20" s="48"/>
      <c r="O20" s="48"/>
      <c r="P20" s="48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49">
        <f t="shared" ref="G21:H21" si="1">SUM(G4:G20)</f>
        <v>0</v>
      </c>
      <c r="H21" s="50">
        <f t="shared" si="1"/>
        <v>1600000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51" t="s">
        <v>0</v>
      </c>
      <c r="C24" s="52" t="s">
        <v>6</v>
      </c>
      <c r="D24" s="52" t="s">
        <v>83</v>
      </c>
      <c r="E24" s="53"/>
      <c r="F24" s="1"/>
      <c r="G24" s="1"/>
      <c r="H24" s="1"/>
      <c r="I24" s="1"/>
      <c r="J24" s="1"/>
      <c r="K24" s="1"/>
      <c r="L24" s="1"/>
      <c r="M24" s="1"/>
      <c r="N24" s="52" t="s">
        <v>84</v>
      </c>
      <c r="O24" s="52" t="s">
        <v>1</v>
      </c>
      <c r="P24" s="1"/>
      <c r="Q24" s="1"/>
      <c r="R24" s="1"/>
    </row>
    <row r="25">
      <c r="A25" s="1"/>
      <c r="B25" s="54">
        <v>1.0</v>
      </c>
      <c r="C25" s="55" t="s">
        <v>85</v>
      </c>
      <c r="D25" s="56">
        <f>SUM(G21)</f>
        <v>0</v>
      </c>
      <c r="E25" s="57"/>
      <c r="F25" s="1"/>
      <c r="G25" s="1"/>
      <c r="H25" s="1"/>
      <c r="I25" s="1"/>
      <c r="J25" s="1"/>
      <c r="K25" s="1"/>
      <c r="L25" s="1"/>
      <c r="M25" s="1"/>
      <c r="N25" s="58" t="s">
        <v>86</v>
      </c>
      <c r="O25" s="22" t="s">
        <v>26</v>
      </c>
      <c r="P25" s="1"/>
      <c r="Q25" s="1"/>
      <c r="R25" s="1"/>
    </row>
    <row r="26">
      <c r="A26" s="1"/>
      <c r="B26" s="59">
        <v>2.0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3" t="s">
        <v>89</v>
      </c>
      <c r="O26" s="64" t="s">
        <v>27</v>
      </c>
      <c r="P26" s="1"/>
      <c r="Q26" s="1"/>
      <c r="R26" s="1"/>
    </row>
    <row r="27">
      <c r="A27" s="1"/>
      <c r="B27" s="54">
        <v>3.0</v>
      </c>
      <c r="C27" s="55"/>
      <c r="D27" s="65"/>
      <c r="E27" s="62"/>
      <c r="F27" s="1"/>
      <c r="G27" s="1"/>
      <c r="H27" s="1"/>
      <c r="I27" s="1"/>
      <c r="J27" s="1"/>
      <c r="K27" s="1"/>
      <c r="L27" s="1"/>
      <c r="M27" s="1"/>
      <c r="N27" s="66" t="s">
        <v>91</v>
      </c>
      <c r="O27" s="24" t="s">
        <v>42</v>
      </c>
      <c r="P27" s="1"/>
      <c r="Q27" s="1"/>
      <c r="R27" s="1"/>
    </row>
    <row r="28">
      <c r="A28" s="1"/>
      <c r="B28" s="59">
        <v>4.0</v>
      </c>
      <c r="C28" s="60"/>
      <c r="D28" s="61"/>
      <c r="E28" s="62"/>
      <c r="F28" s="1"/>
      <c r="G28" s="1"/>
      <c r="H28" s="1"/>
      <c r="I28" s="1"/>
      <c r="J28" s="1"/>
      <c r="K28" s="1"/>
      <c r="L28" s="1"/>
      <c r="M28" s="1"/>
      <c r="N28" s="67" t="s">
        <v>93</v>
      </c>
      <c r="O28" s="64" t="s">
        <v>36</v>
      </c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68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4"/>
      <c r="C33" s="69"/>
      <c r="D33" s="56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9"/>
      <c r="C34" s="70"/>
      <c r="D34" s="71"/>
      <c r="E34" s="5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72"/>
      <c r="C35" s="73"/>
      <c r="D35" s="74"/>
      <c r="E35" s="5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75">
        <f>SUM(D25:D35)</f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"-,JIJANG,AXEL,ADDEL ,FAHME,INDAH"</formula1>
    </dataValidation>
    <dataValidation type="list" allowBlank="1" showErrorMessage="1" sqref="N4:N20">
      <formula1>"-,Pending,Progress,Uploaded"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M4:M20 O27:O28">
      <formula1>"-,VERO,FADEL,PENTIL,SAKA,ADIF"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4.25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261</v>
      </c>
      <c r="D4" s="16" t="s">
        <v>22</v>
      </c>
      <c r="E4" s="17"/>
      <c r="F4" s="18">
        <v>46227.0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263</v>
      </c>
      <c r="D5" s="16" t="s">
        <v>21</v>
      </c>
      <c r="E5" s="17"/>
      <c r="F5" s="18">
        <v>46226.0</v>
      </c>
      <c r="G5" s="19">
        <v>600000.0</v>
      </c>
      <c r="H5" s="20"/>
      <c r="I5" s="21" t="s">
        <v>29</v>
      </c>
      <c r="J5" s="21" t="s">
        <v>31</v>
      </c>
      <c r="K5" s="21" t="s">
        <v>34</v>
      </c>
      <c r="L5" s="21" t="s">
        <v>27</v>
      </c>
      <c r="M5" s="21" t="s">
        <v>42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264</v>
      </c>
      <c r="D6" s="16" t="s">
        <v>121</v>
      </c>
      <c r="E6" s="17" t="s">
        <v>141</v>
      </c>
      <c r="F6" s="26">
        <v>46226.0</v>
      </c>
      <c r="G6" s="27"/>
      <c r="H6" s="20">
        <v>450000.0</v>
      </c>
      <c r="I6" s="21" t="s">
        <v>29</v>
      </c>
      <c r="J6" s="21" t="s">
        <v>31</v>
      </c>
      <c r="K6" s="21" t="s">
        <v>34</v>
      </c>
      <c r="L6" s="21" t="s">
        <v>27</v>
      </c>
      <c r="M6" s="21" t="s">
        <v>42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265</v>
      </c>
      <c r="D7" s="16" t="s">
        <v>21</v>
      </c>
      <c r="E7" s="17"/>
      <c r="F7" s="14" t="s">
        <v>266</v>
      </c>
      <c r="G7" s="19"/>
      <c r="H7" s="20">
        <v>100000.0</v>
      </c>
      <c r="I7" s="21" t="s">
        <v>25</v>
      </c>
      <c r="J7" s="21"/>
      <c r="K7" s="21"/>
      <c r="L7" s="21" t="s">
        <v>27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267</v>
      </c>
      <c r="D8" s="16" t="s">
        <v>32</v>
      </c>
      <c r="E8" s="17"/>
      <c r="F8" s="26">
        <v>46226.0</v>
      </c>
      <c r="G8" s="19">
        <v>200000.0</v>
      </c>
      <c r="H8" s="29"/>
      <c r="I8" s="21" t="s">
        <v>29</v>
      </c>
      <c r="J8" s="21" t="s">
        <v>31</v>
      </c>
      <c r="K8" s="21" t="s">
        <v>34</v>
      </c>
      <c r="L8" s="21" t="s">
        <v>26</v>
      </c>
      <c r="M8" s="21" t="s">
        <v>42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251</v>
      </c>
      <c r="D9" s="16" t="s">
        <v>21</v>
      </c>
      <c r="E9" s="17"/>
      <c r="F9" s="26">
        <v>46226.0</v>
      </c>
      <c r="G9" s="19">
        <v>100000.0</v>
      </c>
      <c r="H9" s="20"/>
      <c r="I9" s="21" t="s">
        <v>29</v>
      </c>
      <c r="J9" s="21" t="s">
        <v>31</v>
      </c>
      <c r="K9" s="21" t="s">
        <v>31</v>
      </c>
      <c r="L9" s="21" t="s">
        <v>26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270</v>
      </c>
      <c r="D10" s="16" t="s">
        <v>21</v>
      </c>
      <c r="E10" s="17"/>
      <c r="F10" s="26">
        <v>46227.0</v>
      </c>
      <c r="G10" s="19"/>
      <c r="H10" s="20">
        <v>100000.0</v>
      </c>
      <c r="I10" s="21" t="s">
        <v>25</v>
      </c>
      <c r="J10" s="21"/>
      <c r="K10" s="21"/>
      <c r="L10" s="21" t="s">
        <v>26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44"/>
      <c r="G11" s="19"/>
      <c r="H11" s="29"/>
      <c r="I11" s="21"/>
      <c r="J11" s="21"/>
      <c r="K11" s="21"/>
      <c r="L11" s="28"/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900000</v>
      </c>
      <c r="H19" s="50">
        <f t="shared" si="1"/>
        <v>750000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900000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223</v>
      </c>
      <c r="D24" s="61">
        <v>-70000.0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-80000.0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/>
      <c r="C26" s="60" t="s">
        <v>87</v>
      </c>
      <c r="D26" s="61">
        <v>-20000.0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730000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"-,VERO,FADEL,PENTIL,FAHME,SAKA"</formula1>
    </dataValidation>
    <dataValidation type="list" allowBlank="1" showDropDown="1" showErrorMessage="1" sqref="L4:L18 O23:O24">
      <formula1>"-,JIJANG,AXEL,PENTIL,ADDEL 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262</v>
      </c>
      <c r="D4" s="16" t="s">
        <v>22</v>
      </c>
      <c r="E4" s="17"/>
      <c r="F4" s="18">
        <v>46229.0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268</v>
      </c>
      <c r="D5" s="16" t="s">
        <v>22</v>
      </c>
      <c r="E5" s="17"/>
      <c r="F5" s="18">
        <v>46227.0</v>
      </c>
      <c r="G5" s="19"/>
      <c r="H5" s="20">
        <v>250000.0</v>
      </c>
      <c r="I5" s="21" t="s">
        <v>29</v>
      </c>
      <c r="J5" s="21" t="s">
        <v>31</v>
      </c>
      <c r="K5" s="21" t="s">
        <v>34</v>
      </c>
      <c r="L5" s="21" t="s">
        <v>27</v>
      </c>
      <c r="M5" s="21" t="s">
        <v>36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269</v>
      </c>
      <c r="D6" s="16" t="s">
        <v>21</v>
      </c>
      <c r="E6" s="17"/>
      <c r="F6" s="18">
        <v>46227.0</v>
      </c>
      <c r="G6" s="19">
        <v>800000.0</v>
      </c>
      <c r="H6" s="20"/>
      <c r="I6" s="21" t="s">
        <v>29</v>
      </c>
      <c r="J6" s="21" t="s">
        <v>31</v>
      </c>
      <c r="K6" s="21" t="s">
        <v>31</v>
      </c>
      <c r="L6" s="21" t="s">
        <v>104</v>
      </c>
      <c r="M6" s="21" t="s">
        <v>36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271</v>
      </c>
      <c r="D7" s="16" t="s">
        <v>21</v>
      </c>
      <c r="E7" s="17"/>
      <c r="F7" s="26">
        <v>46227.0</v>
      </c>
      <c r="G7" s="19">
        <v>75000.0</v>
      </c>
      <c r="H7" s="29"/>
      <c r="I7" s="21" t="s">
        <v>29</v>
      </c>
      <c r="J7" s="21" t="s">
        <v>31</v>
      </c>
      <c r="K7" s="21" t="s">
        <v>31</v>
      </c>
      <c r="L7" s="21" t="s">
        <v>104</v>
      </c>
      <c r="M7" s="21" t="s">
        <v>36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272</v>
      </c>
      <c r="D8" s="16" t="s">
        <v>23</v>
      </c>
      <c r="E8" s="17"/>
      <c r="F8" s="26">
        <v>46227.0</v>
      </c>
      <c r="G8" s="19"/>
      <c r="H8" s="20">
        <v>100000.0</v>
      </c>
      <c r="I8" s="21" t="s">
        <v>25</v>
      </c>
      <c r="J8" s="21"/>
      <c r="K8" s="21"/>
      <c r="L8" s="21" t="s">
        <v>104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273</v>
      </c>
      <c r="D9" s="16" t="s">
        <v>23</v>
      </c>
      <c r="E9" s="17"/>
      <c r="F9" s="14" t="s">
        <v>109</v>
      </c>
      <c r="G9" s="19"/>
      <c r="H9" s="20">
        <v>100000.0</v>
      </c>
      <c r="I9" s="21" t="s">
        <v>25</v>
      </c>
      <c r="J9" s="21"/>
      <c r="K9" s="21"/>
      <c r="L9" s="21" t="s">
        <v>104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67</v>
      </c>
      <c r="D10" s="16" t="s">
        <v>21</v>
      </c>
      <c r="E10" s="17"/>
      <c r="F10" s="26">
        <v>46227.0</v>
      </c>
      <c r="G10" s="19">
        <v>350000.0</v>
      </c>
      <c r="H10" s="29"/>
      <c r="I10" s="21" t="s">
        <v>29</v>
      </c>
      <c r="J10" s="21" t="s">
        <v>31</v>
      </c>
      <c r="K10" s="21" t="s">
        <v>34</v>
      </c>
      <c r="L10" s="21" t="s">
        <v>104</v>
      </c>
      <c r="M10" s="21" t="s">
        <v>36</v>
      </c>
      <c r="N10" s="24"/>
      <c r="O10" s="25"/>
      <c r="P10" s="25"/>
      <c r="Q10" s="1"/>
      <c r="R10" s="1"/>
    </row>
    <row r="11">
      <c r="A11" s="1"/>
      <c r="B11" s="14">
        <v>8.0</v>
      </c>
      <c r="C11" s="82" t="s">
        <v>275</v>
      </c>
      <c r="D11" s="83" t="s">
        <v>32</v>
      </c>
      <c r="E11" s="17"/>
      <c r="F11" s="26">
        <v>46228.0</v>
      </c>
      <c r="G11" s="19"/>
      <c r="H11" s="20">
        <v>100000.0</v>
      </c>
      <c r="I11" s="21" t="s">
        <v>25</v>
      </c>
      <c r="J11" s="21"/>
      <c r="K11" s="21"/>
      <c r="L11" s="21" t="s">
        <v>104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1225000</v>
      </c>
      <c r="H19" s="50">
        <f t="shared" si="1"/>
        <v>650000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1225000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143</v>
      </c>
      <c r="D24" s="61">
        <v>-10000.0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104</v>
      </c>
      <c r="P24" s="1"/>
      <c r="Q24" s="1"/>
      <c r="R24" s="1"/>
    </row>
    <row r="25">
      <c r="A25" s="1"/>
      <c r="B25" s="54">
        <v>3.0</v>
      </c>
      <c r="C25" s="55" t="s">
        <v>287</v>
      </c>
      <c r="D25" s="65">
        <v>-65000.0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1"/>
      <c r="R25" s="1"/>
    </row>
    <row r="26">
      <c r="A26" s="1"/>
      <c r="B26" s="59">
        <v>4.0</v>
      </c>
      <c r="C26" s="60" t="s">
        <v>96</v>
      </c>
      <c r="D26" s="61">
        <v>-50000.0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55" t="s">
        <v>88</v>
      </c>
      <c r="D27" s="65">
        <v>-50000.0</v>
      </c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60" t="s">
        <v>290</v>
      </c>
      <c r="D28" s="61">
        <v>-40000.0</v>
      </c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55" t="s">
        <v>291</v>
      </c>
      <c r="D29" s="65">
        <v>-30000.0</v>
      </c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980000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0 D12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"-,JIJANG,AXEL,PENTIL,FAHME,INDAH,ADDEL"</formula1>
    </dataValidation>
    <dataValidation type="list" allowBlank="1" showDropDown="1" showErrorMessage="1" sqref="D11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274</v>
      </c>
      <c r="D4" s="16" t="s">
        <v>21</v>
      </c>
      <c r="E4" s="17"/>
      <c r="F4" s="18">
        <v>46235.0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276</v>
      </c>
      <c r="D5" s="16" t="s">
        <v>21</v>
      </c>
      <c r="E5" s="17"/>
      <c r="F5" s="18">
        <v>46228.0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278</v>
      </c>
      <c r="D6" s="16" t="s">
        <v>21</v>
      </c>
      <c r="E6" s="17"/>
      <c r="F6" s="26">
        <v>46229.0</v>
      </c>
      <c r="G6" s="27"/>
      <c r="H6" s="20">
        <v>100000.0</v>
      </c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279</v>
      </c>
      <c r="D7" s="16" t="s">
        <v>21</v>
      </c>
      <c r="E7" s="17"/>
      <c r="F7" s="26">
        <v>46228.0</v>
      </c>
      <c r="G7" s="19"/>
      <c r="H7" s="20">
        <v>325000.0</v>
      </c>
      <c r="I7" s="21" t="s">
        <v>29</v>
      </c>
      <c r="J7" s="21" t="s">
        <v>31</v>
      </c>
      <c r="K7" s="21" t="s">
        <v>31</v>
      </c>
      <c r="L7" s="21" t="s">
        <v>27</v>
      </c>
      <c r="M7" s="21" t="s">
        <v>33</v>
      </c>
      <c r="N7" s="24"/>
      <c r="O7" s="24"/>
      <c r="P7" s="25"/>
      <c r="Q7" s="1"/>
      <c r="R7" s="1"/>
    </row>
    <row r="8">
      <c r="A8" s="1"/>
      <c r="B8" s="14">
        <v>5.0</v>
      </c>
      <c r="C8" s="76" t="s">
        <v>275</v>
      </c>
      <c r="D8" s="16" t="s">
        <v>280</v>
      </c>
      <c r="E8" s="17"/>
      <c r="F8" s="26">
        <v>46228.0</v>
      </c>
      <c r="G8" s="19">
        <v>100000.0</v>
      </c>
      <c r="H8" s="20"/>
      <c r="I8" s="21" t="s">
        <v>29</v>
      </c>
      <c r="J8" s="21" t="s">
        <v>31</v>
      </c>
      <c r="K8" s="21" t="s">
        <v>31</v>
      </c>
      <c r="L8" s="21" t="s">
        <v>26</v>
      </c>
      <c r="M8" s="21" t="s">
        <v>33</v>
      </c>
      <c r="N8" s="24"/>
      <c r="O8" s="25"/>
      <c r="P8" s="25"/>
      <c r="Q8" s="1"/>
      <c r="R8" s="1"/>
    </row>
    <row r="9">
      <c r="A9" s="1"/>
      <c r="B9" s="14">
        <v>6.0</v>
      </c>
      <c r="C9" s="76" t="s">
        <v>276</v>
      </c>
      <c r="D9" s="16" t="s">
        <v>21</v>
      </c>
      <c r="E9" s="17"/>
      <c r="F9" s="26">
        <v>46228.0</v>
      </c>
      <c r="G9" s="19"/>
      <c r="H9" s="20">
        <v>150000.0</v>
      </c>
      <c r="I9" s="21" t="s">
        <v>29</v>
      </c>
      <c r="J9" s="21" t="s">
        <v>31</v>
      </c>
      <c r="K9" s="21" t="s">
        <v>31</v>
      </c>
      <c r="L9" s="21" t="s">
        <v>27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197</v>
      </c>
      <c r="D10" s="16" t="s">
        <v>112</v>
      </c>
      <c r="E10" s="17"/>
      <c r="F10" s="26">
        <v>46228.0</v>
      </c>
      <c r="G10" s="19">
        <v>400000.0</v>
      </c>
      <c r="H10" s="29"/>
      <c r="I10" s="21" t="s">
        <v>29</v>
      </c>
      <c r="J10" s="21" t="s">
        <v>31</v>
      </c>
      <c r="K10" s="21" t="s">
        <v>34</v>
      </c>
      <c r="L10" s="21" t="s">
        <v>27</v>
      </c>
      <c r="M10" s="21" t="s">
        <v>42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218</v>
      </c>
      <c r="D11" s="16" t="s">
        <v>21</v>
      </c>
      <c r="E11" s="17"/>
      <c r="F11" s="26">
        <v>46228.0</v>
      </c>
      <c r="G11" s="19"/>
      <c r="H11" s="20">
        <v>100000.0</v>
      </c>
      <c r="I11" s="21" t="s">
        <v>29</v>
      </c>
      <c r="J11" s="21" t="s">
        <v>31</v>
      </c>
      <c r="K11" s="21" t="s">
        <v>34</v>
      </c>
      <c r="L11" s="21" t="s">
        <v>27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283</v>
      </c>
      <c r="D12" s="16" t="s">
        <v>55</v>
      </c>
      <c r="E12" s="17"/>
      <c r="F12" s="26">
        <v>46228.0</v>
      </c>
      <c r="G12" s="19"/>
      <c r="H12" s="20">
        <v>150000.0</v>
      </c>
      <c r="I12" s="21" t="s">
        <v>29</v>
      </c>
      <c r="J12" s="21" t="s">
        <v>31</v>
      </c>
      <c r="K12" s="21" t="s">
        <v>31</v>
      </c>
      <c r="L12" s="21" t="s">
        <v>27</v>
      </c>
      <c r="M12" s="21" t="s">
        <v>42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235</v>
      </c>
      <c r="D13" s="16" t="s">
        <v>21</v>
      </c>
      <c r="E13" s="17"/>
      <c r="F13" s="26">
        <v>46228.0</v>
      </c>
      <c r="G13" s="19"/>
      <c r="H13" s="20">
        <v>100000.0</v>
      </c>
      <c r="I13" s="21" t="s">
        <v>29</v>
      </c>
      <c r="J13" s="21" t="s">
        <v>31</v>
      </c>
      <c r="K13" s="21" t="s">
        <v>34</v>
      </c>
      <c r="L13" s="21" t="s">
        <v>27</v>
      </c>
      <c r="M13" s="21" t="s">
        <v>42</v>
      </c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500000</v>
      </c>
      <c r="H19" s="50">
        <f t="shared" si="1"/>
        <v>1125000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500000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-200000.0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88</v>
      </c>
      <c r="D25" s="65">
        <v>-100000.0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200000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,PhotoFOX,Couple C"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"-,VERO,FADEL,ADIF ,FAHME,SAKA"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258</v>
      </c>
      <c r="D4" s="16" t="s">
        <v>277</v>
      </c>
      <c r="E4" s="17"/>
      <c r="F4" s="18">
        <v>46229.0</v>
      </c>
      <c r="G4" s="19"/>
      <c r="H4" s="20">
        <v>400000.0</v>
      </c>
      <c r="I4" s="21" t="s">
        <v>29</v>
      </c>
      <c r="J4" s="21" t="s">
        <v>31</v>
      </c>
      <c r="K4" s="21" t="s">
        <v>34</v>
      </c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84" t="s">
        <v>281</v>
      </c>
      <c r="D5" s="16" t="s">
        <v>23</v>
      </c>
      <c r="E5" s="17"/>
      <c r="F5" s="18">
        <v>46266.0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231</v>
      </c>
      <c r="D6" s="16" t="s">
        <v>23</v>
      </c>
      <c r="E6" s="17"/>
      <c r="F6" s="18">
        <v>46266.0</v>
      </c>
      <c r="G6" s="19"/>
      <c r="H6" s="20">
        <v>100000.0</v>
      </c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282</v>
      </c>
      <c r="D7" s="16" t="s">
        <v>55</v>
      </c>
      <c r="E7" s="17"/>
      <c r="F7" s="77">
        <v>46229.0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265</v>
      </c>
      <c r="D8" s="16" t="s">
        <v>21</v>
      </c>
      <c r="E8" s="17"/>
      <c r="F8" s="26">
        <v>46229.0</v>
      </c>
      <c r="G8" s="19">
        <v>225000.0</v>
      </c>
      <c r="H8" s="29"/>
      <c r="I8" s="21" t="s">
        <v>29</v>
      </c>
      <c r="J8" s="21" t="s">
        <v>31</v>
      </c>
      <c r="K8" s="21" t="s">
        <v>34</v>
      </c>
      <c r="L8" s="21" t="s">
        <v>26</v>
      </c>
      <c r="M8" s="21" t="s">
        <v>33</v>
      </c>
      <c r="N8" s="24"/>
      <c r="O8" s="25"/>
      <c r="P8" s="25"/>
      <c r="Q8" s="1"/>
      <c r="R8" s="1"/>
    </row>
    <row r="9">
      <c r="A9" s="1"/>
      <c r="B9" s="14">
        <v>6.0</v>
      </c>
      <c r="C9" s="15" t="s">
        <v>278</v>
      </c>
      <c r="D9" s="16" t="s">
        <v>21</v>
      </c>
      <c r="E9" s="17"/>
      <c r="F9" s="26">
        <v>46229.0</v>
      </c>
      <c r="G9" s="19"/>
      <c r="H9" s="20">
        <v>75000.0</v>
      </c>
      <c r="I9" s="21" t="s">
        <v>29</v>
      </c>
      <c r="J9" s="21" t="s">
        <v>31</v>
      </c>
      <c r="K9" s="21" t="s">
        <v>34</v>
      </c>
      <c r="L9" s="21" t="s">
        <v>26</v>
      </c>
      <c r="M9" s="21" t="s">
        <v>33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284</v>
      </c>
      <c r="D10" s="16" t="s">
        <v>22</v>
      </c>
      <c r="E10" s="17"/>
      <c r="F10" s="26">
        <v>46229.0</v>
      </c>
      <c r="G10" s="19"/>
      <c r="H10" s="20">
        <v>350000.0</v>
      </c>
      <c r="I10" s="21" t="s">
        <v>29</v>
      </c>
      <c r="J10" s="21" t="s">
        <v>31</v>
      </c>
      <c r="K10" s="21" t="s">
        <v>34</v>
      </c>
      <c r="L10" s="21" t="s">
        <v>26</v>
      </c>
      <c r="M10" s="21" t="s">
        <v>42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285</v>
      </c>
      <c r="D11" s="16" t="s">
        <v>180</v>
      </c>
      <c r="E11" s="17"/>
      <c r="F11" s="26">
        <v>46229.0</v>
      </c>
      <c r="G11" s="19"/>
      <c r="H11" s="20">
        <v>200000.0</v>
      </c>
      <c r="I11" s="21" t="s">
        <v>29</v>
      </c>
      <c r="J11" s="21" t="s">
        <v>31</v>
      </c>
      <c r="K11" s="21" t="s">
        <v>31</v>
      </c>
      <c r="L11" s="21" t="s">
        <v>26</v>
      </c>
      <c r="M11" s="21" t="s">
        <v>42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284</v>
      </c>
      <c r="D12" s="16" t="s">
        <v>124</v>
      </c>
      <c r="E12" s="17"/>
      <c r="F12" s="26">
        <v>46229.0</v>
      </c>
      <c r="G12" s="19"/>
      <c r="H12" s="20">
        <v>30000.0</v>
      </c>
      <c r="I12" s="21" t="s">
        <v>29</v>
      </c>
      <c r="J12" s="21"/>
      <c r="K12" s="21"/>
      <c r="L12" s="21" t="s">
        <v>26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238</v>
      </c>
      <c r="D13" s="16" t="s">
        <v>21</v>
      </c>
      <c r="E13" s="17"/>
      <c r="F13" s="26">
        <v>46229.0</v>
      </c>
      <c r="G13" s="19">
        <v>75000.0</v>
      </c>
      <c r="H13" s="20">
        <v>550000.0</v>
      </c>
      <c r="I13" s="21" t="s">
        <v>29</v>
      </c>
      <c r="J13" s="21" t="s">
        <v>31</v>
      </c>
      <c r="K13" s="21" t="s">
        <v>34</v>
      </c>
      <c r="L13" s="21" t="s">
        <v>26</v>
      </c>
      <c r="M13" s="21" t="s">
        <v>42</v>
      </c>
      <c r="N13" s="24"/>
      <c r="O13" s="25"/>
      <c r="P13" s="25"/>
      <c r="Q13" s="1"/>
      <c r="R13" s="1"/>
    </row>
    <row r="14">
      <c r="A14" s="1"/>
      <c r="B14" s="14">
        <v>11.0</v>
      </c>
      <c r="C14" s="15" t="s">
        <v>286</v>
      </c>
      <c r="D14" s="16" t="s">
        <v>21</v>
      </c>
      <c r="E14" s="17"/>
      <c r="F14" s="26">
        <v>46229.0</v>
      </c>
      <c r="G14" s="19"/>
      <c r="H14" s="20">
        <v>200000.0</v>
      </c>
      <c r="I14" s="21" t="s">
        <v>29</v>
      </c>
      <c r="J14" s="21" t="s">
        <v>31</v>
      </c>
      <c r="K14" s="21" t="s">
        <v>31</v>
      </c>
      <c r="L14" s="21" t="s">
        <v>26</v>
      </c>
      <c r="M14" s="21" t="s">
        <v>42</v>
      </c>
      <c r="N14" s="24"/>
      <c r="O14" s="25"/>
      <c r="P14" s="25"/>
      <c r="Q14" s="1"/>
      <c r="R14" s="1"/>
    </row>
    <row r="15">
      <c r="A15" s="1"/>
      <c r="B15" s="14">
        <v>12.0</v>
      </c>
      <c r="C15" s="15" t="s">
        <v>288</v>
      </c>
      <c r="D15" s="16" t="s">
        <v>23</v>
      </c>
      <c r="E15" s="17"/>
      <c r="F15" s="14" t="s">
        <v>289</v>
      </c>
      <c r="G15" s="19"/>
      <c r="H15" s="20">
        <v>100000.0</v>
      </c>
      <c r="I15" s="21" t="s">
        <v>25</v>
      </c>
      <c r="J15" s="21"/>
      <c r="K15" s="21"/>
      <c r="L15" s="21" t="s">
        <v>26</v>
      </c>
      <c r="M15" s="28"/>
      <c r="N15" s="24"/>
      <c r="O15" s="25"/>
      <c r="P15" s="25"/>
      <c r="Q15" s="1"/>
      <c r="R15" s="1"/>
    </row>
    <row r="16">
      <c r="A16" s="1"/>
      <c r="B16" s="14">
        <v>13.0</v>
      </c>
      <c r="C16" s="15" t="s">
        <v>223</v>
      </c>
      <c r="D16" s="16" t="s">
        <v>61</v>
      </c>
      <c r="E16" s="17" t="s">
        <v>62</v>
      </c>
      <c r="F16" s="26">
        <v>46229.0</v>
      </c>
      <c r="G16" s="19">
        <v>150000.0</v>
      </c>
      <c r="H16" s="29"/>
      <c r="I16" s="21" t="s">
        <v>29</v>
      </c>
      <c r="J16" s="21" t="s">
        <v>31</v>
      </c>
      <c r="K16" s="21" t="s">
        <v>34</v>
      </c>
      <c r="L16" s="21" t="s">
        <v>26</v>
      </c>
      <c r="M16" s="21" t="s">
        <v>42</v>
      </c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450000</v>
      </c>
      <c r="H19" s="50">
        <f t="shared" si="1"/>
        <v>2205000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450000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96</v>
      </c>
      <c r="D24" s="61">
        <v>-18000.0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 t="s">
        <v>143</v>
      </c>
      <c r="D25" s="65">
        <v>-7000.0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 t="s">
        <v>96</v>
      </c>
      <c r="D26" s="61">
        <v>-30000.0</v>
      </c>
      <c r="E26" s="62"/>
      <c r="F26" s="81">
        <f>D24+D26+D32</f>
        <v>-58000</v>
      </c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>
        <v>5.0</v>
      </c>
      <c r="C27" s="55" t="s">
        <v>296</v>
      </c>
      <c r="D27" s="65">
        <v>-50000.0</v>
      </c>
      <c r="E27" s="57"/>
      <c r="F27" s="81">
        <f>D27+D29+D30+D31</f>
        <v>-130000</v>
      </c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>
        <v>6.0</v>
      </c>
      <c r="C28" s="60" t="s">
        <v>298</v>
      </c>
      <c r="D28" s="61">
        <v>-45000.0</v>
      </c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55" t="s">
        <v>300</v>
      </c>
      <c r="D29" s="65">
        <v>-35000.0</v>
      </c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60" t="s">
        <v>301</v>
      </c>
      <c r="D30" s="61">
        <v>-15000.0</v>
      </c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55" t="s">
        <v>302</v>
      </c>
      <c r="D31" s="65">
        <v>-30000.0</v>
      </c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60" t="s">
        <v>96</v>
      </c>
      <c r="D32" s="61">
        <v>-10000.0</v>
      </c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85" t="s">
        <v>303</v>
      </c>
      <c r="D33" s="86">
        <v>-10000.0</v>
      </c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200000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M4:M18 O25:O26">
      <formula1>"-,VERO,FADEL,SAKA,ADIF 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 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292</v>
      </c>
      <c r="D4" s="16" t="s">
        <v>23</v>
      </c>
      <c r="E4" s="17"/>
      <c r="F4" s="26">
        <v>46312.0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76" t="s">
        <v>282</v>
      </c>
      <c r="D5" s="16" t="s">
        <v>55</v>
      </c>
      <c r="E5" s="17"/>
      <c r="F5" s="18">
        <v>46230.0</v>
      </c>
      <c r="G5" s="19"/>
      <c r="H5" s="20">
        <v>50000.0</v>
      </c>
      <c r="I5" s="21" t="s">
        <v>29</v>
      </c>
      <c r="J5" s="21" t="s">
        <v>31</v>
      </c>
      <c r="K5" s="21" t="s">
        <v>31</v>
      </c>
      <c r="L5" s="21" t="s">
        <v>26</v>
      </c>
      <c r="M5" s="21" t="s">
        <v>42</v>
      </c>
      <c r="N5" s="24"/>
      <c r="O5" s="24"/>
      <c r="P5" s="25"/>
      <c r="Q5" s="1"/>
      <c r="R5" s="1"/>
    </row>
    <row r="6">
      <c r="A6" s="1"/>
      <c r="B6" s="14">
        <v>3.0</v>
      </c>
      <c r="C6" s="15" t="s">
        <v>293</v>
      </c>
      <c r="D6" s="16" t="s">
        <v>74</v>
      </c>
      <c r="E6" s="17"/>
      <c r="F6" s="26">
        <v>46230.0</v>
      </c>
      <c r="G6" s="27"/>
      <c r="H6" s="20">
        <v>50000.0</v>
      </c>
      <c r="I6" s="21" t="s">
        <v>29</v>
      </c>
      <c r="J6" s="21" t="s">
        <v>31</v>
      </c>
      <c r="K6" s="21" t="s">
        <v>31</v>
      </c>
      <c r="L6" s="21" t="s">
        <v>27</v>
      </c>
      <c r="M6" s="21" t="s">
        <v>36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294</v>
      </c>
      <c r="D7" s="16" t="s">
        <v>74</v>
      </c>
      <c r="E7" s="17"/>
      <c r="F7" s="26">
        <v>46230.0</v>
      </c>
      <c r="G7" s="19"/>
      <c r="H7" s="20">
        <v>50000.0</v>
      </c>
      <c r="I7" s="21" t="s">
        <v>29</v>
      </c>
      <c r="J7" s="21" t="s">
        <v>31</v>
      </c>
      <c r="K7" s="21" t="s">
        <v>31</v>
      </c>
      <c r="L7" s="21" t="s">
        <v>27</v>
      </c>
      <c r="M7" s="21" t="s">
        <v>36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295</v>
      </c>
      <c r="D8" s="16" t="s">
        <v>21</v>
      </c>
      <c r="E8" s="17"/>
      <c r="F8" s="26">
        <v>46231.0</v>
      </c>
      <c r="G8" s="19"/>
      <c r="H8" s="20">
        <v>100000.0</v>
      </c>
      <c r="I8" s="21" t="s">
        <v>25</v>
      </c>
      <c r="J8" s="21"/>
      <c r="K8" s="21"/>
      <c r="L8" s="21" t="s">
        <v>27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297</v>
      </c>
      <c r="D9" s="16" t="s">
        <v>21</v>
      </c>
      <c r="E9" s="17"/>
      <c r="F9" s="26">
        <v>46231.0</v>
      </c>
      <c r="G9" s="19"/>
      <c r="H9" s="20">
        <v>100000.0</v>
      </c>
      <c r="I9" s="21" t="s">
        <v>25</v>
      </c>
      <c r="J9" s="21"/>
      <c r="K9" s="21"/>
      <c r="L9" s="21" t="s">
        <v>27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299</v>
      </c>
      <c r="D10" s="16" t="s">
        <v>23</v>
      </c>
      <c r="E10" s="17"/>
      <c r="F10" s="26">
        <v>46266.0</v>
      </c>
      <c r="G10" s="19"/>
      <c r="H10" s="20">
        <v>100000.0</v>
      </c>
      <c r="I10" s="21" t="s">
        <v>25</v>
      </c>
      <c r="J10" s="21"/>
      <c r="K10" s="21"/>
      <c r="L10" s="21" t="s">
        <v>27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224</v>
      </c>
      <c r="D11" s="16" t="s">
        <v>32</v>
      </c>
      <c r="E11" s="17"/>
      <c r="F11" s="26">
        <v>46230.0</v>
      </c>
      <c r="G11" s="19">
        <v>200000.0</v>
      </c>
      <c r="H11" s="29"/>
      <c r="I11" s="21" t="s">
        <v>29</v>
      </c>
      <c r="J11" s="21" t="s">
        <v>31</v>
      </c>
      <c r="K11" s="21" t="s">
        <v>31</v>
      </c>
      <c r="L11" s="21" t="s">
        <v>27</v>
      </c>
      <c r="M11" s="21" t="s">
        <v>36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231</v>
      </c>
      <c r="D12" s="16" t="s">
        <v>74</v>
      </c>
      <c r="E12" s="17"/>
      <c r="F12" s="26">
        <v>46230.0</v>
      </c>
      <c r="G12" s="19">
        <v>50000.0</v>
      </c>
      <c r="H12" s="29"/>
      <c r="I12" s="21" t="s">
        <v>29</v>
      </c>
      <c r="J12" s="21" t="s">
        <v>31</v>
      </c>
      <c r="K12" s="21" t="s">
        <v>31</v>
      </c>
      <c r="L12" s="21" t="s">
        <v>27</v>
      </c>
      <c r="M12" s="21" t="s">
        <v>36</v>
      </c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250000</v>
      </c>
      <c r="H19" s="50">
        <f t="shared" si="1"/>
        <v>550000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250000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143</v>
      </c>
      <c r="D24" s="61">
        <v>-50000.0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184</v>
      </c>
      <c r="D25" s="65">
        <v>-16000.0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184000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L4:L18 O23:O24">
      <formula1>"-,JIJANG,AXEL,PENTIL,FAHME,INDAH,ADDEL "</formula1>
    </dataValidation>
    <dataValidation type="list" allowBlank="1" showDropDown="1" showErrorMessage="1" sqref="M4:M18 O25:O26">
      <formula1>"-,VERO,FADEL,PENTIL,FAHME,SAKA,ADIF"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304</v>
      </c>
      <c r="D4" s="16" t="s">
        <v>23</v>
      </c>
      <c r="E4" s="17"/>
      <c r="F4" s="18">
        <v>46266.0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268</v>
      </c>
      <c r="D5" s="16" t="s">
        <v>305</v>
      </c>
      <c r="E5" s="17"/>
      <c r="F5" s="18">
        <v>46227.0</v>
      </c>
      <c r="G5" s="19"/>
      <c r="H5" s="20">
        <v>75000.0</v>
      </c>
      <c r="I5" s="21" t="s">
        <v>29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306</v>
      </c>
      <c r="D6" s="16" t="s">
        <v>21</v>
      </c>
      <c r="E6" s="17"/>
      <c r="F6" s="14" t="s">
        <v>241</v>
      </c>
      <c r="G6" s="27"/>
      <c r="H6" s="20">
        <v>100000.0</v>
      </c>
      <c r="I6" s="21" t="s">
        <v>25</v>
      </c>
      <c r="J6" s="21"/>
      <c r="K6" s="21"/>
      <c r="L6" s="21" t="s">
        <v>27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308</v>
      </c>
      <c r="D7" s="16" t="s">
        <v>21</v>
      </c>
      <c r="E7" s="17"/>
      <c r="F7" s="26">
        <v>46231.0</v>
      </c>
      <c r="G7" s="19">
        <v>225000.0</v>
      </c>
      <c r="H7" s="20">
        <v>300000.0</v>
      </c>
      <c r="I7" s="21" t="s">
        <v>29</v>
      </c>
      <c r="J7" s="21" t="s">
        <v>31</v>
      </c>
      <c r="K7" s="21" t="s">
        <v>34</v>
      </c>
      <c r="L7" s="21" t="s">
        <v>27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18</v>
      </c>
      <c r="D8" s="16" t="s">
        <v>21</v>
      </c>
      <c r="E8" s="17"/>
      <c r="F8" s="14" t="s">
        <v>309</v>
      </c>
      <c r="G8" s="19"/>
      <c r="H8" s="20">
        <v>100000.0</v>
      </c>
      <c r="I8" s="21" t="s">
        <v>25</v>
      </c>
      <c r="J8" s="21"/>
      <c r="K8" s="21"/>
      <c r="L8" s="21" t="s">
        <v>310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225</v>
      </c>
      <c r="D9" s="16" t="s">
        <v>21</v>
      </c>
      <c r="E9" s="17"/>
      <c r="F9" s="14" t="s">
        <v>311</v>
      </c>
      <c r="G9" s="19"/>
      <c r="H9" s="20">
        <v>100000.0</v>
      </c>
      <c r="I9" s="21" t="s">
        <v>25</v>
      </c>
      <c r="J9" s="21"/>
      <c r="K9" s="21"/>
      <c r="L9" s="21" t="s">
        <v>310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312</v>
      </c>
      <c r="D10" s="16" t="s">
        <v>32</v>
      </c>
      <c r="E10" s="17"/>
      <c r="F10" s="26">
        <v>46231.0</v>
      </c>
      <c r="G10" s="19">
        <v>200000.0</v>
      </c>
      <c r="H10" s="29"/>
      <c r="I10" s="21" t="s">
        <v>29</v>
      </c>
      <c r="J10" s="21" t="s">
        <v>31</v>
      </c>
      <c r="K10" s="21" t="s">
        <v>31</v>
      </c>
      <c r="L10" s="21" t="s">
        <v>27</v>
      </c>
      <c r="M10" s="21" t="s">
        <v>42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314</v>
      </c>
      <c r="D11" s="16" t="s">
        <v>112</v>
      </c>
      <c r="E11" s="17"/>
      <c r="F11" s="14" t="s">
        <v>315</v>
      </c>
      <c r="G11" s="19"/>
      <c r="H11" s="20">
        <v>100000.0</v>
      </c>
      <c r="I11" s="21" t="s">
        <v>25</v>
      </c>
      <c r="J11" s="21"/>
      <c r="K11" s="21"/>
      <c r="L11" s="21" t="s">
        <v>27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295</v>
      </c>
      <c r="D12" s="16" t="s">
        <v>21</v>
      </c>
      <c r="E12" s="17"/>
      <c r="F12" s="26">
        <v>46231.0</v>
      </c>
      <c r="G12" s="19"/>
      <c r="H12" s="20">
        <v>125000.0</v>
      </c>
      <c r="I12" s="21" t="s">
        <v>29</v>
      </c>
      <c r="J12" s="21" t="s">
        <v>31</v>
      </c>
      <c r="K12" s="21" t="s">
        <v>34</v>
      </c>
      <c r="L12" s="21" t="s">
        <v>27</v>
      </c>
      <c r="M12" s="21" t="s">
        <v>36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318</v>
      </c>
      <c r="D13" s="16" t="s">
        <v>21</v>
      </c>
      <c r="E13" s="17"/>
      <c r="F13" s="26">
        <v>46232.0</v>
      </c>
      <c r="G13" s="19"/>
      <c r="H13" s="20">
        <v>100000.0</v>
      </c>
      <c r="I13" s="21" t="s">
        <v>25</v>
      </c>
      <c r="J13" s="21"/>
      <c r="K13" s="21"/>
      <c r="L13" s="21" t="s">
        <v>27</v>
      </c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425000</v>
      </c>
      <c r="H19" s="50">
        <f t="shared" si="1"/>
        <v>1100000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425000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 t="s">
        <v>90</v>
      </c>
      <c r="D24" s="61">
        <v>-25000.0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27</v>
      </c>
      <c r="P24" s="1"/>
      <c r="Q24" s="1"/>
      <c r="R24" s="1"/>
    </row>
    <row r="25">
      <c r="A25" s="1"/>
      <c r="B25" s="54">
        <v>3.0</v>
      </c>
      <c r="C25" s="55" t="s">
        <v>329</v>
      </c>
      <c r="D25" s="65">
        <v>-35000.0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42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36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365000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"-,JIJANG,AXEL,PENTIL,FAHME,INDAH,AMEL"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"-,VERO,FADEL,PENTIL,FAHME,ADIF,SAKA"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10R,Photofox,Couple C"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307</v>
      </c>
      <c r="D4" s="16" t="s">
        <v>23</v>
      </c>
      <c r="E4" s="17"/>
      <c r="F4" s="14" t="s">
        <v>189</v>
      </c>
      <c r="G4" s="19"/>
      <c r="H4" s="20">
        <v>100000.0</v>
      </c>
      <c r="I4" s="21" t="s">
        <v>25</v>
      </c>
      <c r="J4" s="21"/>
      <c r="K4" s="21"/>
      <c r="L4" s="21" t="s">
        <v>27</v>
      </c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313</v>
      </c>
      <c r="D5" s="16" t="s">
        <v>61</v>
      </c>
      <c r="E5" s="17"/>
      <c r="F5" s="18">
        <v>46233.0</v>
      </c>
      <c r="G5" s="19"/>
      <c r="H5" s="20">
        <v>100000.0</v>
      </c>
      <c r="I5" s="21" t="s">
        <v>29</v>
      </c>
      <c r="J5" s="21"/>
      <c r="K5" s="21"/>
      <c r="L5" s="21" t="s">
        <v>27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316</v>
      </c>
      <c r="D6" s="16" t="s">
        <v>317</v>
      </c>
      <c r="E6" s="17"/>
      <c r="F6" s="26">
        <v>46232.0</v>
      </c>
      <c r="G6" s="27"/>
      <c r="H6" s="20"/>
      <c r="I6" s="21"/>
      <c r="J6" s="21"/>
      <c r="K6" s="21"/>
      <c r="L6" s="28"/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318</v>
      </c>
      <c r="D7" s="16" t="s">
        <v>21</v>
      </c>
      <c r="E7" s="17"/>
      <c r="F7" s="26">
        <v>46232.0</v>
      </c>
      <c r="G7" s="19">
        <v>250000.0</v>
      </c>
      <c r="H7" s="20">
        <v>200000.0</v>
      </c>
      <c r="I7" s="21" t="s">
        <v>29</v>
      </c>
      <c r="J7" s="21" t="s">
        <v>31</v>
      </c>
      <c r="K7" s="21" t="s">
        <v>31</v>
      </c>
      <c r="L7" s="21" t="s">
        <v>310</v>
      </c>
      <c r="M7" s="21" t="s">
        <v>42</v>
      </c>
      <c r="N7" s="24"/>
      <c r="O7" s="24"/>
      <c r="P7" s="25"/>
      <c r="Q7" s="1"/>
      <c r="R7" s="1"/>
    </row>
    <row r="8">
      <c r="A8" s="1"/>
      <c r="B8" s="14">
        <v>5.0</v>
      </c>
      <c r="C8" s="15" t="s">
        <v>319</v>
      </c>
      <c r="D8" s="16" t="s">
        <v>21</v>
      </c>
      <c r="E8" s="17"/>
      <c r="F8" s="26">
        <v>46233.0</v>
      </c>
      <c r="G8" s="19"/>
      <c r="H8" s="20">
        <v>100000.0</v>
      </c>
      <c r="I8" s="21" t="s">
        <v>25</v>
      </c>
      <c r="J8" s="21"/>
      <c r="K8" s="21"/>
      <c r="L8" s="21" t="s">
        <v>310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225</v>
      </c>
      <c r="D9" s="16" t="s">
        <v>21</v>
      </c>
      <c r="E9" s="17"/>
      <c r="F9" s="26">
        <v>46232.0</v>
      </c>
      <c r="G9" s="19"/>
      <c r="H9" s="20">
        <v>300000.0</v>
      </c>
      <c r="I9" s="21" t="s">
        <v>29</v>
      </c>
      <c r="J9" s="21" t="s">
        <v>31</v>
      </c>
      <c r="K9" s="21" t="s">
        <v>34</v>
      </c>
      <c r="L9" s="21" t="s">
        <v>310</v>
      </c>
      <c r="M9" s="21" t="s">
        <v>42</v>
      </c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44"/>
      <c r="G10" s="19"/>
      <c r="H10" s="29"/>
      <c r="I10" s="21"/>
      <c r="J10" s="21"/>
      <c r="K10" s="21"/>
      <c r="L10" s="28"/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44"/>
      <c r="G11" s="19"/>
      <c r="H11" s="29"/>
      <c r="I11" s="21"/>
      <c r="J11" s="21"/>
      <c r="K11" s="21"/>
      <c r="L11" s="28"/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250000</v>
      </c>
      <c r="H19" s="50">
        <f t="shared" si="1"/>
        <v>800000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250000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27</v>
      </c>
      <c r="P23" s="1"/>
      <c r="Q23" s="1"/>
      <c r="R23" s="1"/>
    </row>
    <row r="24">
      <c r="A24" s="1"/>
      <c r="B24" s="59">
        <v>2.0</v>
      </c>
      <c r="C24" s="60"/>
      <c r="D24" s="61"/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310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36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42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250000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"-,JIJANG,AXEL,PENTIL,FAHME,INDAH,AMEL"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Edit,Studio Rent"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"-,VERO,FADEL,PENTIL,FAHME,ADIF,SAKA"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313</v>
      </c>
      <c r="D4" s="16" t="s">
        <v>61</v>
      </c>
      <c r="E4" s="17" t="s">
        <v>62</v>
      </c>
      <c r="F4" s="18">
        <v>46233.0</v>
      </c>
      <c r="G4" s="19"/>
      <c r="H4" s="20">
        <v>50000.0</v>
      </c>
      <c r="I4" s="21" t="s">
        <v>29</v>
      </c>
      <c r="J4" s="21" t="s">
        <v>31</v>
      </c>
      <c r="K4" s="21" t="s">
        <v>31</v>
      </c>
      <c r="L4" s="21" t="s">
        <v>26</v>
      </c>
      <c r="M4" s="21" t="s">
        <v>163</v>
      </c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 t="s">
        <v>320</v>
      </c>
      <c r="D5" s="16" t="s">
        <v>55</v>
      </c>
      <c r="E5" s="17"/>
      <c r="F5" s="18">
        <v>46235.0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223</v>
      </c>
      <c r="D6" s="16" t="s">
        <v>74</v>
      </c>
      <c r="E6" s="17"/>
      <c r="F6" s="26">
        <v>46233.0</v>
      </c>
      <c r="G6" s="19">
        <v>100000.0</v>
      </c>
      <c r="H6" s="20"/>
      <c r="I6" s="21" t="s">
        <v>29</v>
      </c>
      <c r="J6" s="21" t="s">
        <v>31</v>
      </c>
      <c r="K6" s="21" t="s">
        <v>34</v>
      </c>
      <c r="L6" s="21" t="s">
        <v>26</v>
      </c>
      <c r="M6" s="21" t="s">
        <v>163</v>
      </c>
      <c r="N6" s="24"/>
      <c r="O6" s="24"/>
      <c r="P6" s="25"/>
      <c r="Q6" s="1"/>
      <c r="R6" s="1"/>
    </row>
    <row r="7">
      <c r="A7" s="1"/>
      <c r="B7" s="14">
        <v>4.0</v>
      </c>
      <c r="C7" s="15" t="s">
        <v>321</v>
      </c>
      <c r="D7" s="16" t="s">
        <v>21</v>
      </c>
      <c r="E7" s="17"/>
      <c r="F7" s="26">
        <v>46236.0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322</v>
      </c>
      <c r="D8" s="16" t="s">
        <v>74</v>
      </c>
      <c r="E8" s="17"/>
      <c r="F8" s="26">
        <v>46233.0</v>
      </c>
      <c r="G8" s="19"/>
      <c r="H8" s="20">
        <v>100000.0</v>
      </c>
      <c r="I8" s="21" t="s">
        <v>29</v>
      </c>
      <c r="J8" s="21"/>
      <c r="K8" s="21"/>
      <c r="L8" s="21" t="s">
        <v>26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323</v>
      </c>
      <c r="D9" s="16" t="s">
        <v>21</v>
      </c>
      <c r="E9" s="17"/>
      <c r="F9" s="26">
        <v>46234.0</v>
      </c>
      <c r="G9" s="19"/>
      <c r="H9" s="20">
        <v>100000.0</v>
      </c>
      <c r="I9" s="21" t="s">
        <v>25</v>
      </c>
      <c r="J9" s="21"/>
      <c r="K9" s="21"/>
      <c r="L9" s="21" t="s">
        <v>26</v>
      </c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 t="s">
        <v>324</v>
      </c>
      <c r="D10" s="16" t="s">
        <v>21</v>
      </c>
      <c r="E10" s="17"/>
      <c r="F10" s="26">
        <v>46234.0</v>
      </c>
      <c r="G10" s="19"/>
      <c r="H10" s="20">
        <v>100000.0</v>
      </c>
      <c r="I10" s="21" t="s">
        <v>25</v>
      </c>
      <c r="J10" s="21"/>
      <c r="K10" s="21"/>
      <c r="L10" s="21" t="s">
        <v>26</v>
      </c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325</v>
      </c>
      <c r="D11" s="16" t="s">
        <v>74</v>
      </c>
      <c r="E11" s="17"/>
      <c r="F11" s="26">
        <v>46234.0</v>
      </c>
      <c r="G11" s="19"/>
      <c r="H11" s="20">
        <v>150000.0</v>
      </c>
      <c r="I11" s="21" t="s">
        <v>29</v>
      </c>
      <c r="J11" s="21"/>
      <c r="K11" s="21"/>
      <c r="L11" s="21" t="s">
        <v>26</v>
      </c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319</v>
      </c>
      <c r="D12" s="16" t="s">
        <v>21</v>
      </c>
      <c r="E12" s="17"/>
      <c r="F12" s="26">
        <v>46234.0</v>
      </c>
      <c r="G12" s="19"/>
      <c r="H12" s="20">
        <v>75000.0</v>
      </c>
      <c r="I12" s="21" t="s">
        <v>29</v>
      </c>
      <c r="J12" s="21" t="s">
        <v>31</v>
      </c>
      <c r="K12" s="21" t="s">
        <v>34</v>
      </c>
      <c r="L12" s="21" t="s">
        <v>26</v>
      </c>
      <c r="M12" s="21" t="s">
        <v>163</v>
      </c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326</v>
      </c>
      <c r="D13" s="16" t="s">
        <v>74</v>
      </c>
      <c r="E13" s="17">
        <v>2.0</v>
      </c>
      <c r="F13" s="26">
        <v>46233.0</v>
      </c>
      <c r="G13" s="19"/>
      <c r="H13" s="20">
        <v>100000.0</v>
      </c>
      <c r="I13" s="21" t="s">
        <v>29</v>
      </c>
      <c r="J13" s="21" t="s">
        <v>31</v>
      </c>
      <c r="K13" s="21" t="s">
        <v>34</v>
      </c>
      <c r="L13" s="21" t="s">
        <v>26</v>
      </c>
      <c r="M13" s="21" t="s">
        <v>163</v>
      </c>
      <c r="N13" s="24"/>
      <c r="O13" s="25"/>
      <c r="P13" s="25"/>
      <c r="Q13" s="1"/>
      <c r="R13" s="1"/>
    </row>
    <row r="14">
      <c r="A14" s="1"/>
      <c r="B14" s="44"/>
      <c r="C14" s="15" t="s">
        <v>322</v>
      </c>
      <c r="D14" s="16" t="s">
        <v>74</v>
      </c>
      <c r="E14" s="17"/>
      <c r="F14" s="26">
        <v>46233.0</v>
      </c>
      <c r="G14" s="19">
        <v>0.0</v>
      </c>
      <c r="H14" s="20">
        <v>0.0</v>
      </c>
      <c r="I14" s="21" t="s">
        <v>29</v>
      </c>
      <c r="J14" s="21" t="s">
        <v>31</v>
      </c>
      <c r="K14" s="21" t="s">
        <v>34</v>
      </c>
      <c r="L14" s="21" t="s">
        <v>26</v>
      </c>
      <c r="M14" s="21" t="s">
        <v>163</v>
      </c>
      <c r="N14" s="24"/>
      <c r="O14" s="25"/>
      <c r="P14" s="25"/>
      <c r="Q14" s="1"/>
      <c r="R14" s="1"/>
    </row>
    <row r="15">
      <c r="A15" s="1"/>
      <c r="B15" s="44"/>
      <c r="C15" s="15" t="s">
        <v>328</v>
      </c>
      <c r="D15" s="16" t="s">
        <v>32</v>
      </c>
      <c r="E15" s="17"/>
      <c r="F15" s="26">
        <v>46233.0</v>
      </c>
      <c r="G15" s="19"/>
      <c r="H15" s="20">
        <v>225000.0</v>
      </c>
      <c r="I15" s="21" t="s">
        <v>29</v>
      </c>
      <c r="J15" s="21" t="s">
        <v>31</v>
      </c>
      <c r="K15" s="21" t="s">
        <v>34</v>
      </c>
      <c r="L15" s="21" t="s">
        <v>26</v>
      </c>
      <c r="M15" s="21" t="s">
        <v>163</v>
      </c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100000</v>
      </c>
      <c r="H19" s="50">
        <f t="shared" si="1"/>
        <v>1100000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100000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/>
      <c r="D24" s="61"/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26</v>
      </c>
      <c r="P24" s="1"/>
      <c r="Q24" s="1"/>
      <c r="R24" s="1"/>
    </row>
    <row r="25">
      <c r="A25" s="1"/>
      <c r="B25" s="54">
        <v>3.0</v>
      </c>
      <c r="C25" s="55"/>
      <c r="D25" s="65"/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163</v>
      </c>
      <c r="P25" s="1"/>
      <c r="Q25" s="1"/>
      <c r="R25" s="1"/>
    </row>
    <row r="26">
      <c r="A26" s="1"/>
      <c r="B26" s="59">
        <v>4.0</v>
      </c>
      <c r="C26" s="60"/>
      <c r="D26" s="61"/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163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"-,VERO,FADEL,PENTIL,FAHME,SAKA ,ADIF 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L4:L18 O23:O24">
      <formula1>"-,JIJANG,AXEL,PENTIL,ADDEL ,AMEL"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53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327</v>
      </c>
      <c r="D4" s="16" t="s">
        <v>23</v>
      </c>
      <c r="E4" s="17"/>
      <c r="F4" s="18">
        <v>46266.0</v>
      </c>
      <c r="G4" s="19"/>
      <c r="H4" s="20">
        <v>100000.0</v>
      </c>
      <c r="I4" s="21" t="s">
        <v>25</v>
      </c>
      <c r="J4" s="21"/>
      <c r="K4" s="21"/>
      <c r="L4" s="21" t="s">
        <v>26</v>
      </c>
      <c r="M4" s="21"/>
      <c r="N4" s="22" t="s">
        <v>31</v>
      </c>
      <c r="O4" s="22" t="s">
        <v>330</v>
      </c>
      <c r="P4" s="23">
        <v>45231.0</v>
      </c>
      <c r="Q4" s="1"/>
      <c r="R4" s="1"/>
    </row>
    <row r="5">
      <c r="A5" s="1"/>
      <c r="B5" s="14">
        <v>2.0</v>
      </c>
      <c r="C5" s="15" t="s">
        <v>331</v>
      </c>
      <c r="D5" s="16" t="s">
        <v>21</v>
      </c>
      <c r="E5" s="17"/>
      <c r="F5" s="18">
        <v>46243.0</v>
      </c>
      <c r="G5" s="19"/>
      <c r="H5" s="20">
        <v>100000.0</v>
      </c>
      <c r="I5" s="21" t="s">
        <v>25</v>
      </c>
      <c r="J5" s="21"/>
      <c r="K5" s="21"/>
      <c r="L5" s="21" t="s">
        <v>26</v>
      </c>
      <c r="M5" s="21"/>
      <c r="N5" s="24"/>
      <c r="O5" s="24"/>
      <c r="P5" s="25"/>
      <c r="Q5" s="1"/>
      <c r="R5" s="1"/>
    </row>
    <row r="6">
      <c r="A6" s="1"/>
      <c r="B6" s="14">
        <v>3.0</v>
      </c>
      <c r="C6" s="15" t="s">
        <v>332</v>
      </c>
      <c r="D6" s="16" t="s">
        <v>23</v>
      </c>
      <c r="E6" s="17"/>
      <c r="F6" s="26">
        <v>46266.0</v>
      </c>
      <c r="G6" s="27"/>
      <c r="H6" s="20">
        <v>100000.0</v>
      </c>
      <c r="I6" s="21" t="s">
        <v>25</v>
      </c>
      <c r="J6" s="21"/>
      <c r="K6" s="21"/>
      <c r="L6" s="21" t="s">
        <v>26</v>
      </c>
      <c r="M6" s="28"/>
      <c r="N6" s="24"/>
      <c r="O6" s="24"/>
      <c r="P6" s="25"/>
      <c r="Q6" s="1"/>
      <c r="R6" s="1"/>
    </row>
    <row r="7">
      <c r="A7" s="1"/>
      <c r="B7" s="14">
        <v>4.0</v>
      </c>
      <c r="C7" s="15" t="s">
        <v>333</v>
      </c>
      <c r="D7" s="16" t="s">
        <v>22</v>
      </c>
      <c r="E7" s="17"/>
      <c r="F7" s="26">
        <v>46234.0</v>
      </c>
      <c r="G7" s="19"/>
      <c r="H7" s="20">
        <v>100000.0</v>
      </c>
      <c r="I7" s="21" t="s">
        <v>25</v>
      </c>
      <c r="J7" s="21"/>
      <c r="K7" s="21"/>
      <c r="L7" s="21" t="s">
        <v>26</v>
      </c>
      <c r="M7" s="28"/>
      <c r="N7" s="24"/>
      <c r="O7" s="24"/>
      <c r="P7" s="25"/>
      <c r="Q7" s="1"/>
      <c r="R7" s="1"/>
    </row>
    <row r="8">
      <c r="A8" s="1"/>
      <c r="B8" s="14">
        <v>5.0</v>
      </c>
      <c r="C8" s="15" t="s">
        <v>334</v>
      </c>
      <c r="D8" s="16" t="s">
        <v>21</v>
      </c>
      <c r="E8" s="17"/>
      <c r="F8" s="14" t="s">
        <v>309</v>
      </c>
      <c r="G8" s="19"/>
      <c r="H8" s="20">
        <v>100000.0</v>
      </c>
      <c r="I8" s="21" t="s">
        <v>25</v>
      </c>
      <c r="J8" s="21"/>
      <c r="K8" s="21"/>
      <c r="L8" s="21" t="s">
        <v>310</v>
      </c>
      <c r="M8" s="28"/>
      <c r="N8" s="24"/>
      <c r="O8" s="25"/>
      <c r="P8" s="25"/>
      <c r="Q8" s="1"/>
      <c r="R8" s="1"/>
    </row>
    <row r="9">
      <c r="A9" s="1"/>
      <c r="B9" s="14">
        <v>6.0</v>
      </c>
      <c r="C9" s="15" t="s">
        <v>323</v>
      </c>
      <c r="D9" s="16" t="s">
        <v>21</v>
      </c>
      <c r="E9" s="17"/>
      <c r="F9" s="26">
        <v>46234.0</v>
      </c>
      <c r="G9" s="19">
        <v>75000.0</v>
      </c>
      <c r="H9" s="29"/>
      <c r="I9" s="21" t="s">
        <v>29</v>
      </c>
      <c r="J9" s="21" t="s">
        <v>31</v>
      </c>
      <c r="K9" s="21" t="s">
        <v>31</v>
      </c>
      <c r="L9" s="21" t="s">
        <v>310</v>
      </c>
      <c r="M9" s="21" t="s">
        <v>33</v>
      </c>
      <c r="N9" s="24"/>
      <c r="O9" s="25"/>
      <c r="P9" s="25"/>
      <c r="Q9" s="1"/>
      <c r="R9" s="1"/>
    </row>
    <row r="10">
      <c r="A10" s="1"/>
      <c r="B10" s="14">
        <v>7.0</v>
      </c>
      <c r="C10" s="15" t="s">
        <v>333</v>
      </c>
      <c r="D10" s="16" t="s">
        <v>22</v>
      </c>
      <c r="E10" s="17"/>
      <c r="F10" s="26">
        <v>46234.0</v>
      </c>
      <c r="G10" s="19">
        <v>350000.0</v>
      </c>
      <c r="H10" s="29"/>
      <c r="I10" s="21" t="s">
        <v>29</v>
      </c>
      <c r="J10" s="21" t="s">
        <v>31</v>
      </c>
      <c r="K10" s="21" t="s">
        <v>31</v>
      </c>
      <c r="L10" s="21" t="s">
        <v>310</v>
      </c>
      <c r="M10" s="21" t="s">
        <v>33</v>
      </c>
      <c r="N10" s="24"/>
      <c r="O10" s="25"/>
      <c r="P10" s="25"/>
      <c r="Q10" s="1"/>
      <c r="R10" s="1"/>
    </row>
    <row r="11">
      <c r="A11" s="1"/>
      <c r="B11" s="14">
        <v>8.0</v>
      </c>
      <c r="C11" s="15" t="s">
        <v>335</v>
      </c>
      <c r="D11" s="16" t="s">
        <v>61</v>
      </c>
      <c r="E11" s="17"/>
      <c r="F11" s="26">
        <v>46234.0</v>
      </c>
      <c r="G11" s="19"/>
      <c r="H11" s="20">
        <v>150000.0</v>
      </c>
      <c r="I11" s="21" t="s">
        <v>29</v>
      </c>
      <c r="J11" s="21" t="s">
        <v>31</v>
      </c>
      <c r="K11" s="21" t="s">
        <v>34</v>
      </c>
      <c r="L11" s="21" t="s">
        <v>310</v>
      </c>
      <c r="M11" s="21" t="s">
        <v>33</v>
      </c>
      <c r="N11" s="24"/>
      <c r="O11" s="25"/>
      <c r="P11" s="25"/>
      <c r="Q11" s="1"/>
      <c r="R11" s="1"/>
    </row>
    <row r="12">
      <c r="A12" s="1"/>
      <c r="B12" s="14">
        <v>9.0</v>
      </c>
      <c r="C12" s="15" t="s">
        <v>336</v>
      </c>
      <c r="D12" s="16" t="s">
        <v>21</v>
      </c>
      <c r="E12" s="17"/>
      <c r="F12" s="14" t="s">
        <v>309</v>
      </c>
      <c r="G12" s="19"/>
      <c r="H12" s="20">
        <v>100000.0</v>
      </c>
      <c r="I12" s="21" t="s">
        <v>25</v>
      </c>
      <c r="J12" s="21"/>
      <c r="K12" s="21"/>
      <c r="L12" s="21" t="s">
        <v>310</v>
      </c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 t="s">
        <v>337</v>
      </c>
      <c r="D13" s="16" t="s">
        <v>23</v>
      </c>
      <c r="E13" s="17"/>
      <c r="F13" s="26">
        <v>46266.0</v>
      </c>
      <c r="G13" s="19"/>
      <c r="H13" s="20">
        <v>100000.0</v>
      </c>
      <c r="I13" s="21" t="s">
        <v>25</v>
      </c>
      <c r="J13" s="21"/>
      <c r="K13" s="21"/>
      <c r="L13" s="21" t="s">
        <v>310</v>
      </c>
      <c r="M13" s="28"/>
      <c r="N13" s="24"/>
      <c r="O13" s="25"/>
      <c r="P13" s="25"/>
      <c r="Q13" s="1"/>
      <c r="R13" s="1"/>
    </row>
    <row r="14">
      <c r="A14" s="1"/>
      <c r="B14" s="14">
        <v>11.0</v>
      </c>
      <c r="C14" s="15" t="s">
        <v>338</v>
      </c>
      <c r="D14" s="16" t="s">
        <v>21</v>
      </c>
      <c r="E14" s="17"/>
      <c r="F14" s="26">
        <v>46234.0</v>
      </c>
      <c r="G14" s="19">
        <v>700000.0</v>
      </c>
      <c r="H14" s="29"/>
      <c r="I14" s="21" t="s">
        <v>29</v>
      </c>
      <c r="J14" s="21" t="s">
        <v>31</v>
      </c>
      <c r="K14" s="21" t="s">
        <v>31</v>
      </c>
      <c r="L14" s="21" t="s">
        <v>310</v>
      </c>
      <c r="M14" s="21" t="s">
        <v>33</v>
      </c>
      <c r="N14" s="24"/>
      <c r="O14" s="25"/>
      <c r="P14" s="25"/>
      <c r="Q14" s="1"/>
      <c r="R14" s="1"/>
    </row>
    <row r="15">
      <c r="A15" s="1"/>
      <c r="B15" s="14">
        <v>12.0</v>
      </c>
      <c r="C15" s="15" t="s">
        <v>339</v>
      </c>
      <c r="D15" s="16" t="s">
        <v>23</v>
      </c>
      <c r="E15" s="17"/>
      <c r="F15" s="14" t="s">
        <v>289</v>
      </c>
      <c r="G15" s="19"/>
      <c r="H15" s="20">
        <v>100000.0</v>
      </c>
      <c r="I15" s="21" t="s">
        <v>25</v>
      </c>
      <c r="J15" s="21"/>
      <c r="K15" s="21"/>
      <c r="L15" s="21" t="s">
        <v>310</v>
      </c>
      <c r="M15" s="28"/>
      <c r="N15" s="24"/>
      <c r="O15" s="25"/>
      <c r="P15" s="25"/>
      <c r="Q15" s="1"/>
      <c r="R15" s="1"/>
    </row>
    <row r="16">
      <c r="A16" s="1"/>
      <c r="B16" s="14">
        <v>13.0</v>
      </c>
      <c r="C16" s="15" t="s">
        <v>325</v>
      </c>
      <c r="D16" s="16" t="s">
        <v>124</v>
      </c>
      <c r="E16" s="17">
        <v>1.0</v>
      </c>
      <c r="F16" s="26">
        <v>46234.0</v>
      </c>
      <c r="G16" s="19"/>
      <c r="H16" s="20">
        <v>10000.0</v>
      </c>
      <c r="I16" s="21" t="s">
        <v>29</v>
      </c>
      <c r="J16" s="21"/>
      <c r="K16" s="21"/>
      <c r="L16" s="21" t="s">
        <v>310</v>
      </c>
      <c r="M16" s="21" t="s">
        <v>33</v>
      </c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47"/>
      <c r="D18" s="16"/>
      <c r="E18" s="17"/>
      <c r="F18" s="44"/>
      <c r="G18" s="27"/>
      <c r="H18" s="29"/>
      <c r="I18" s="28"/>
      <c r="J18" s="28"/>
      <c r="K18" s="28"/>
      <c r="L18" s="28"/>
      <c r="M18" s="28"/>
      <c r="N18" s="48"/>
      <c r="O18" s="48"/>
      <c r="P18" s="48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9">
        <f t="shared" ref="G19:H19" si="1">SUM(G4:G18)</f>
        <v>1125000</v>
      </c>
      <c r="H19" s="50">
        <f t="shared" si="1"/>
        <v>960000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51" t="s">
        <v>0</v>
      </c>
      <c r="C22" s="52" t="s">
        <v>6</v>
      </c>
      <c r="D22" s="52" t="s">
        <v>83</v>
      </c>
      <c r="E22" s="53"/>
      <c r="F22" s="1"/>
      <c r="G22" s="1"/>
      <c r="H22" s="1"/>
      <c r="I22" s="1"/>
      <c r="J22" s="1"/>
      <c r="K22" s="1"/>
      <c r="L22" s="1"/>
      <c r="M22" s="1"/>
      <c r="N22" s="52" t="s">
        <v>84</v>
      </c>
      <c r="O22" s="52" t="s">
        <v>1</v>
      </c>
      <c r="P22" s="1"/>
      <c r="Q22" s="1"/>
      <c r="R22" s="1"/>
    </row>
    <row r="23">
      <c r="A23" s="1"/>
      <c r="B23" s="54">
        <v>1.0</v>
      </c>
      <c r="C23" s="55" t="s">
        <v>85</v>
      </c>
      <c r="D23" s="56">
        <f>SUM(G19)</f>
        <v>1125000</v>
      </c>
      <c r="E23" s="57"/>
      <c r="F23" s="1"/>
      <c r="G23" s="1"/>
      <c r="H23" s="1"/>
      <c r="I23" s="1"/>
      <c r="J23" s="1"/>
      <c r="K23" s="1"/>
      <c r="L23" s="1"/>
      <c r="M23" s="1"/>
      <c r="N23" s="58" t="s">
        <v>86</v>
      </c>
      <c r="O23" s="22" t="s">
        <v>26</v>
      </c>
      <c r="P23" s="1"/>
      <c r="Q23" s="1"/>
      <c r="R23" s="1"/>
    </row>
    <row r="24">
      <c r="A24" s="1"/>
      <c r="B24" s="59">
        <v>2.0</v>
      </c>
      <c r="C24" s="60" t="s">
        <v>340</v>
      </c>
      <c r="D24" s="61">
        <v>-45000.0</v>
      </c>
      <c r="E24" s="62"/>
      <c r="F24" s="1"/>
      <c r="G24" s="1"/>
      <c r="H24" s="1"/>
      <c r="I24" s="1"/>
      <c r="J24" s="1"/>
      <c r="K24" s="1"/>
      <c r="L24" s="1"/>
      <c r="M24" s="1"/>
      <c r="N24" s="63" t="s">
        <v>89</v>
      </c>
      <c r="O24" s="64" t="s">
        <v>310</v>
      </c>
      <c r="P24" s="1"/>
      <c r="Q24" s="1"/>
      <c r="R24" s="1"/>
    </row>
    <row r="25">
      <c r="A25" s="1"/>
      <c r="B25" s="54">
        <v>3.0</v>
      </c>
      <c r="C25" s="55" t="s">
        <v>90</v>
      </c>
      <c r="D25" s="65">
        <v>-50000.0</v>
      </c>
      <c r="E25" s="62"/>
      <c r="F25" s="1"/>
      <c r="G25" s="1"/>
      <c r="H25" s="1"/>
      <c r="I25" s="1"/>
      <c r="J25" s="1"/>
      <c r="K25" s="1"/>
      <c r="L25" s="1"/>
      <c r="M25" s="1"/>
      <c r="N25" s="66" t="s">
        <v>91</v>
      </c>
      <c r="O25" s="24" t="s">
        <v>33</v>
      </c>
      <c r="P25" s="1"/>
      <c r="Q25" s="1"/>
      <c r="R25" s="1"/>
    </row>
    <row r="26">
      <c r="A26" s="1"/>
      <c r="B26" s="59">
        <v>4.0</v>
      </c>
      <c r="C26" s="60" t="s">
        <v>88</v>
      </c>
      <c r="D26" s="61">
        <v>-100000.0</v>
      </c>
      <c r="E26" s="62"/>
      <c r="F26" s="1"/>
      <c r="G26" s="1"/>
      <c r="H26" s="1"/>
      <c r="I26" s="1"/>
      <c r="J26" s="1"/>
      <c r="K26" s="1"/>
      <c r="L26" s="1"/>
      <c r="M26" s="1"/>
      <c r="N26" s="67" t="s">
        <v>93</v>
      </c>
      <c r="O26" s="64" t="s">
        <v>33</v>
      </c>
      <c r="P26" s="1"/>
      <c r="Q26" s="1"/>
      <c r="R26" s="1"/>
    </row>
    <row r="27">
      <c r="A27" s="1"/>
      <c r="B27" s="54"/>
      <c r="C27" s="69"/>
      <c r="D27" s="56"/>
      <c r="E27" s="57"/>
      <c r="F27" s="1"/>
      <c r="G27" s="1"/>
      <c r="H27" s="1"/>
      <c r="I27" s="1"/>
      <c r="J27" s="1"/>
      <c r="K27" s="1"/>
      <c r="L27" s="1"/>
      <c r="M27" s="1"/>
      <c r="N27" s="68"/>
      <c r="O27" s="1"/>
      <c r="P27" s="1"/>
      <c r="Q27" s="1"/>
      <c r="R27" s="1"/>
    </row>
    <row r="28">
      <c r="A28" s="1"/>
      <c r="B28" s="59"/>
      <c r="C28" s="70"/>
      <c r="D28" s="71"/>
      <c r="E28" s="5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54"/>
      <c r="C29" s="69"/>
      <c r="D29" s="56"/>
      <c r="E29" s="5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9"/>
      <c r="C30" s="70"/>
      <c r="D30" s="71"/>
      <c r="E30" s="5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54"/>
      <c r="C31" s="69"/>
      <c r="D31" s="56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9"/>
      <c r="C32" s="70"/>
      <c r="D32" s="71"/>
      <c r="E32" s="5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72"/>
      <c r="C33" s="73"/>
      <c r="D33" s="74"/>
      <c r="E33" s="5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75">
        <f>SUM(D23:D33)</f>
        <v>930000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L4:L18 O23:O24">
      <formula1>"-,JIJANG,AXEL,PENTIL,ADDEL ,AMEL"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/>
      <c r="D4" s="16"/>
      <c r="E4" s="17"/>
      <c r="F4" s="18">
        <v>45231.0</v>
      </c>
      <c r="G4" s="19"/>
      <c r="H4" s="20"/>
      <c r="I4" s="21"/>
      <c r="J4" s="21"/>
      <c r="K4" s="21"/>
      <c r="L4" s="21"/>
      <c r="M4" s="21"/>
      <c r="N4" s="22"/>
      <c r="O4" s="22"/>
      <c r="P4" s="23">
        <v>45231.0</v>
      </c>
      <c r="Q4" s="1"/>
      <c r="R4" s="1"/>
    </row>
    <row r="5">
      <c r="A5" s="1"/>
      <c r="B5" s="14">
        <v>2.0</v>
      </c>
      <c r="C5" s="15"/>
      <c r="D5" s="16"/>
      <c r="E5" s="17"/>
      <c r="F5" s="18"/>
      <c r="G5" s="19"/>
      <c r="H5" s="20"/>
      <c r="I5" s="21"/>
      <c r="J5" s="21"/>
      <c r="K5" s="21"/>
      <c r="L5" s="21"/>
      <c r="M5" s="21"/>
      <c r="N5" s="24"/>
      <c r="O5" s="24"/>
      <c r="P5" s="25"/>
      <c r="Q5" s="1"/>
      <c r="R5" s="1"/>
    </row>
    <row r="6">
      <c r="A6" s="1"/>
      <c r="B6" s="14">
        <v>3.0</v>
      </c>
      <c r="C6" s="15"/>
      <c r="D6" s="16"/>
      <c r="E6" s="17"/>
      <c r="F6" s="44"/>
      <c r="G6" s="27"/>
      <c r="H6" s="20"/>
      <c r="I6" s="21"/>
      <c r="J6" s="21"/>
      <c r="K6" s="21"/>
      <c r="L6" s="28"/>
      <c r="M6" s="28"/>
      <c r="N6" s="24"/>
      <c r="O6" s="24"/>
      <c r="P6" s="25"/>
      <c r="Q6" s="1"/>
      <c r="R6" s="1"/>
    </row>
    <row r="7">
      <c r="A7" s="1"/>
      <c r="B7" s="14">
        <v>4.0</v>
      </c>
      <c r="C7" s="15"/>
      <c r="D7" s="16"/>
      <c r="E7" s="17"/>
      <c r="F7" s="44"/>
      <c r="G7" s="19"/>
      <c r="H7" s="29"/>
      <c r="I7" s="21"/>
      <c r="J7" s="21"/>
      <c r="K7" s="21"/>
      <c r="L7" s="28"/>
      <c r="M7" s="28"/>
      <c r="N7" s="24"/>
      <c r="O7" s="24"/>
      <c r="P7" s="25"/>
      <c r="Q7" s="1"/>
      <c r="R7" s="1"/>
    </row>
    <row r="8">
      <c r="A8" s="1"/>
      <c r="B8" s="14">
        <v>5.0</v>
      </c>
      <c r="C8" s="15"/>
      <c r="D8" s="16"/>
      <c r="E8" s="17"/>
      <c r="F8" s="44"/>
      <c r="G8" s="19"/>
      <c r="H8" s="29"/>
      <c r="I8" s="21"/>
      <c r="J8" s="21"/>
      <c r="K8" s="21"/>
      <c r="L8" s="28"/>
      <c r="M8" s="28"/>
      <c r="N8" s="24"/>
      <c r="O8" s="25"/>
      <c r="P8" s="25"/>
      <c r="Q8" s="1"/>
      <c r="R8" s="1"/>
    </row>
    <row r="9">
      <c r="A9" s="1"/>
      <c r="B9" s="14">
        <v>6.0</v>
      </c>
      <c r="C9" s="15"/>
      <c r="D9" s="16"/>
      <c r="E9" s="17"/>
      <c r="F9" s="44"/>
      <c r="G9" s="19"/>
      <c r="H9" s="29"/>
      <c r="I9" s="21"/>
      <c r="J9" s="21"/>
      <c r="K9" s="21"/>
      <c r="L9" s="28"/>
      <c r="M9" s="28"/>
      <c r="N9" s="24"/>
      <c r="O9" s="25"/>
      <c r="P9" s="25"/>
      <c r="Q9" s="1"/>
      <c r="R9" s="1"/>
    </row>
    <row r="10">
      <c r="A10" s="1"/>
      <c r="B10" s="14">
        <v>7.0</v>
      </c>
      <c r="C10" s="15"/>
      <c r="D10" s="16"/>
      <c r="E10" s="17"/>
      <c r="F10" s="44"/>
      <c r="G10" s="19"/>
      <c r="H10" s="29"/>
      <c r="I10" s="21"/>
      <c r="J10" s="21"/>
      <c r="K10" s="21"/>
      <c r="L10" s="28"/>
      <c r="M10" s="28"/>
      <c r="N10" s="24"/>
      <c r="O10" s="25"/>
      <c r="P10" s="25"/>
      <c r="Q10" s="1"/>
      <c r="R10" s="1"/>
    </row>
    <row r="11">
      <c r="A11" s="1"/>
      <c r="B11" s="14">
        <v>8.0</v>
      </c>
      <c r="C11" s="15"/>
      <c r="D11" s="16"/>
      <c r="E11" s="17"/>
      <c r="F11" s="44"/>
      <c r="G11" s="19"/>
      <c r="H11" s="29"/>
      <c r="I11" s="21"/>
      <c r="J11" s="21"/>
      <c r="K11" s="21"/>
      <c r="L11" s="28"/>
      <c r="M11" s="28"/>
      <c r="N11" s="24"/>
      <c r="O11" s="25"/>
      <c r="P11" s="25"/>
      <c r="Q11" s="1"/>
      <c r="R11" s="1"/>
    </row>
    <row r="12">
      <c r="A12" s="1"/>
      <c r="B12" s="14">
        <v>9.0</v>
      </c>
      <c r="C12" s="15"/>
      <c r="D12" s="16"/>
      <c r="E12" s="17"/>
      <c r="F12" s="44"/>
      <c r="G12" s="19"/>
      <c r="H12" s="29"/>
      <c r="I12" s="21"/>
      <c r="J12" s="21"/>
      <c r="K12" s="21"/>
      <c r="L12" s="28"/>
      <c r="M12" s="28"/>
      <c r="N12" s="24"/>
      <c r="O12" s="25"/>
      <c r="P12" s="25"/>
      <c r="Q12" s="1"/>
      <c r="R12" s="1"/>
    </row>
    <row r="13">
      <c r="A13" s="1"/>
      <c r="B13" s="14">
        <v>10.0</v>
      </c>
      <c r="C13" s="15"/>
      <c r="D13" s="16"/>
      <c r="E13" s="17"/>
      <c r="F13" s="44"/>
      <c r="G13" s="19"/>
      <c r="H13" s="29"/>
      <c r="I13" s="21"/>
      <c r="J13" s="21"/>
      <c r="K13" s="21"/>
      <c r="L13" s="28"/>
      <c r="M13" s="28"/>
      <c r="N13" s="24"/>
      <c r="O13" s="25"/>
      <c r="P13" s="25"/>
      <c r="Q13" s="1"/>
      <c r="R13" s="1"/>
    </row>
    <row r="14">
      <c r="A14" s="1"/>
      <c r="B14" s="44"/>
      <c r="C14" s="15"/>
      <c r="D14" s="16"/>
      <c r="E14" s="17"/>
      <c r="F14" s="44"/>
      <c r="G14" s="19"/>
      <c r="H14" s="29"/>
      <c r="I14" s="21"/>
      <c r="J14" s="21"/>
      <c r="K14" s="21"/>
      <c r="L14" s="28"/>
      <c r="M14" s="28"/>
      <c r="N14" s="24"/>
      <c r="O14" s="25"/>
      <c r="P14" s="25"/>
      <c r="Q14" s="1"/>
      <c r="R14" s="1"/>
    </row>
    <row r="15">
      <c r="A15" s="1"/>
      <c r="B15" s="44"/>
      <c r="C15" s="15"/>
      <c r="D15" s="16"/>
      <c r="E15" s="17"/>
      <c r="F15" s="44"/>
      <c r="G15" s="19"/>
      <c r="H15" s="29"/>
      <c r="I15" s="21"/>
      <c r="J15" s="21"/>
      <c r="K15" s="21"/>
      <c r="L15" s="28"/>
      <c r="M15" s="28"/>
      <c r="N15" s="24"/>
      <c r="O15" s="25"/>
      <c r="P15" s="25"/>
      <c r="Q15" s="1"/>
      <c r="R15" s="1"/>
    </row>
    <row r="16">
      <c r="A16" s="1"/>
      <c r="B16" s="44"/>
      <c r="C16" s="15"/>
      <c r="D16" s="16"/>
      <c r="E16" s="17"/>
      <c r="F16" s="44"/>
      <c r="G16" s="19"/>
      <c r="H16" s="29"/>
      <c r="I16" s="21"/>
      <c r="J16" s="21"/>
      <c r="K16" s="21"/>
      <c r="L16" s="28"/>
      <c r="M16" s="28"/>
      <c r="N16" s="24"/>
      <c r="O16" s="25"/>
      <c r="P16" s="25"/>
      <c r="Q16" s="1"/>
      <c r="R16" s="1"/>
    </row>
    <row r="17">
      <c r="A17" s="1"/>
      <c r="B17" s="44"/>
      <c r="C17" s="15"/>
      <c r="D17" s="16"/>
      <c r="E17" s="17"/>
      <c r="F17" s="44"/>
      <c r="G17" s="19"/>
      <c r="H17" s="29"/>
      <c r="I17" s="21"/>
      <c r="J17" s="21"/>
      <c r="K17" s="21"/>
      <c r="L17" s="28"/>
      <c r="M17" s="28"/>
      <c r="N17" s="24"/>
      <c r="O17" s="25"/>
      <c r="P17" s="25"/>
      <c r="Q17" s="1"/>
      <c r="R17" s="1"/>
    </row>
    <row r="18">
      <c r="A18" s="1"/>
      <c r="B18" s="44"/>
      <c r="C18" s="15"/>
      <c r="D18" s="16"/>
      <c r="E18" s="17"/>
      <c r="F18" s="44"/>
      <c r="G18" s="19"/>
      <c r="H18" s="29"/>
      <c r="I18" s="21"/>
      <c r="J18" s="21"/>
      <c r="K18" s="21"/>
      <c r="L18" s="28"/>
      <c r="M18" s="28"/>
      <c r="N18" s="24"/>
      <c r="O18" s="25"/>
      <c r="P18" s="25"/>
      <c r="Q18" s="1"/>
      <c r="R18" s="1"/>
    </row>
    <row r="19">
      <c r="A19" s="1"/>
      <c r="B19" s="44"/>
      <c r="C19" s="15"/>
      <c r="D19" s="16"/>
      <c r="E19" s="17"/>
      <c r="F19" s="44"/>
      <c r="G19" s="19"/>
      <c r="H19" s="29"/>
      <c r="I19" s="21"/>
      <c r="J19" s="21"/>
      <c r="K19" s="21"/>
      <c r="L19" s="28"/>
      <c r="M19" s="28"/>
      <c r="N19" s="24"/>
      <c r="O19" s="25"/>
      <c r="P19" s="25"/>
      <c r="Q19" s="1"/>
      <c r="R19" s="1"/>
    </row>
    <row r="20">
      <c r="A20" s="1"/>
      <c r="B20" s="44"/>
      <c r="C20" s="15"/>
      <c r="D20" s="16"/>
      <c r="E20" s="17"/>
      <c r="F20" s="44"/>
      <c r="G20" s="19"/>
      <c r="H20" s="29"/>
      <c r="I20" s="21"/>
      <c r="J20" s="21"/>
      <c r="K20" s="21"/>
      <c r="L20" s="28"/>
      <c r="M20" s="28"/>
      <c r="N20" s="24"/>
      <c r="O20" s="25"/>
      <c r="P20" s="25"/>
      <c r="Q20" s="1"/>
      <c r="R20" s="1"/>
    </row>
    <row r="21">
      <c r="A21" s="1"/>
      <c r="B21" s="44"/>
      <c r="C21" s="15"/>
      <c r="D21" s="16"/>
      <c r="E21" s="17"/>
      <c r="F21" s="44"/>
      <c r="G21" s="19"/>
      <c r="H21" s="29"/>
      <c r="I21" s="21"/>
      <c r="J21" s="21"/>
      <c r="K21" s="21"/>
      <c r="L21" s="28"/>
      <c r="M21" s="28"/>
      <c r="N21" s="24"/>
      <c r="O21" s="25"/>
      <c r="P21" s="25"/>
      <c r="Q21" s="1"/>
      <c r="R21" s="1"/>
    </row>
    <row r="22">
      <c r="A22" s="1"/>
      <c r="B22" s="44"/>
      <c r="C22" s="15"/>
      <c r="D22" s="16"/>
      <c r="E22" s="17"/>
      <c r="F22" s="44"/>
      <c r="G22" s="19"/>
      <c r="H22" s="29"/>
      <c r="I22" s="21"/>
      <c r="J22" s="21"/>
      <c r="K22" s="21"/>
      <c r="L22" s="28"/>
      <c r="M22" s="28"/>
      <c r="N22" s="24"/>
      <c r="O22" s="25"/>
      <c r="P22" s="25"/>
      <c r="Q22" s="1"/>
      <c r="R22" s="1"/>
    </row>
    <row r="23">
      <c r="A23" s="1"/>
      <c r="B23" s="44"/>
      <c r="C23" s="15"/>
      <c r="D23" s="16"/>
      <c r="E23" s="17"/>
      <c r="F23" s="44"/>
      <c r="G23" s="27"/>
      <c r="H23" s="20"/>
      <c r="I23" s="21"/>
      <c r="J23" s="21"/>
      <c r="K23" s="21"/>
      <c r="L23" s="28"/>
      <c r="M23" s="28"/>
      <c r="N23" s="24"/>
      <c r="O23" s="25"/>
      <c r="P23" s="25"/>
      <c r="Q23" s="1"/>
      <c r="R23" s="1"/>
    </row>
    <row r="24">
      <c r="A24" s="1"/>
      <c r="B24" s="44"/>
      <c r="C24" s="47"/>
      <c r="D24" s="16"/>
      <c r="E24" s="17"/>
      <c r="F24" s="44"/>
      <c r="G24" s="27"/>
      <c r="H24" s="29"/>
      <c r="I24" s="28"/>
      <c r="J24" s="21"/>
      <c r="K24" s="21"/>
      <c r="L24" s="28"/>
      <c r="M24" s="28"/>
      <c r="N24" s="24"/>
      <c r="O24" s="25"/>
      <c r="P24" s="25"/>
      <c r="Q24" s="1"/>
      <c r="R24" s="1"/>
    </row>
    <row r="25">
      <c r="A25" s="1"/>
      <c r="B25" s="44"/>
      <c r="C25" s="47"/>
      <c r="D25" s="16"/>
      <c r="E25" s="17"/>
      <c r="F25" s="44"/>
      <c r="G25" s="27"/>
      <c r="H25" s="29"/>
      <c r="I25" s="28"/>
      <c r="J25" s="28"/>
      <c r="K25" s="28"/>
      <c r="L25" s="28"/>
      <c r="M25" s="28"/>
      <c r="N25" s="25"/>
      <c r="O25" s="25"/>
      <c r="P25" s="25"/>
      <c r="Q25" s="1"/>
      <c r="R25" s="1"/>
    </row>
    <row r="26">
      <c r="A26" s="1"/>
      <c r="B26" s="44"/>
      <c r="C26" s="47"/>
      <c r="D26" s="16"/>
      <c r="E26" s="17"/>
      <c r="F26" s="44"/>
      <c r="G26" s="27"/>
      <c r="H26" s="29"/>
      <c r="I26" s="28"/>
      <c r="J26" s="28"/>
      <c r="K26" s="28"/>
      <c r="L26" s="28"/>
      <c r="M26" s="28"/>
      <c r="N26" s="25"/>
      <c r="O26" s="25"/>
      <c r="P26" s="25"/>
      <c r="Q26" s="1"/>
      <c r="R26" s="1"/>
    </row>
    <row r="27">
      <c r="A27" s="1"/>
      <c r="B27" s="44"/>
      <c r="C27" s="47"/>
      <c r="D27" s="16"/>
      <c r="E27" s="17"/>
      <c r="F27" s="44"/>
      <c r="G27" s="27"/>
      <c r="H27" s="29"/>
      <c r="I27" s="28"/>
      <c r="J27" s="28"/>
      <c r="K27" s="28"/>
      <c r="L27" s="28"/>
      <c r="M27" s="28"/>
      <c r="N27" s="25"/>
      <c r="O27" s="25"/>
      <c r="P27" s="25"/>
      <c r="Q27" s="1"/>
      <c r="R27" s="1"/>
    </row>
    <row r="28">
      <c r="A28" s="1"/>
      <c r="B28" s="44"/>
      <c r="C28" s="47"/>
      <c r="D28" s="16"/>
      <c r="E28" s="17"/>
      <c r="F28" s="44"/>
      <c r="G28" s="27"/>
      <c r="H28" s="29"/>
      <c r="I28" s="28"/>
      <c r="J28" s="28"/>
      <c r="K28" s="28"/>
      <c r="L28" s="28"/>
      <c r="M28" s="28"/>
      <c r="N28" s="25"/>
      <c r="O28" s="25"/>
      <c r="P28" s="25"/>
      <c r="Q28" s="1"/>
      <c r="R28" s="1"/>
    </row>
    <row r="29">
      <c r="A29" s="1"/>
      <c r="B29" s="44"/>
      <c r="C29" s="47"/>
      <c r="D29" s="16"/>
      <c r="E29" s="17"/>
      <c r="F29" s="44"/>
      <c r="G29" s="27"/>
      <c r="H29" s="29"/>
      <c r="I29" s="28"/>
      <c r="J29" s="28"/>
      <c r="K29" s="28"/>
      <c r="L29" s="28"/>
      <c r="M29" s="28"/>
      <c r="N29" s="25"/>
      <c r="O29" s="25"/>
      <c r="P29" s="25"/>
      <c r="Q29" s="1"/>
      <c r="R29" s="1"/>
    </row>
    <row r="30">
      <c r="A30" s="1"/>
      <c r="B30" s="44"/>
      <c r="C30" s="15"/>
      <c r="D30" s="16"/>
      <c r="E30" s="17"/>
      <c r="F30" s="44"/>
      <c r="G30" s="19"/>
      <c r="H30" s="29"/>
      <c r="I30" s="28"/>
      <c r="J30" s="28"/>
      <c r="K30" s="28"/>
      <c r="L30" s="28"/>
      <c r="M30" s="28"/>
      <c r="N30" s="25"/>
      <c r="O30" s="25"/>
      <c r="P30" s="25"/>
      <c r="Q30" s="1"/>
      <c r="R30" s="1"/>
    </row>
    <row r="31">
      <c r="A31" s="1"/>
      <c r="B31" s="44"/>
      <c r="C31" s="15"/>
      <c r="D31" s="16"/>
      <c r="E31" s="17"/>
      <c r="F31" s="44"/>
      <c r="G31" s="19"/>
      <c r="H31" s="29"/>
      <c r="I31" s="28"/>
      <c r="J31" s="28"/>
      <c r="K31" s="28"/>
      <c r="L31" s="28"/>
      <c r="M31" s="28"/>
      <c r="N31" s="25"/>
      <c r="O31" s="25"/>
      <c r="P31" s="25"/>
      <c r="Q31" s="1"/>
      <c r="R31" s="1"/>
    </row>
    <row r="32">
      <c r="A32" s="1"/>
      <c r="B32" s="44"/>
      <c r="C32" s="47"/>
      <c r="D32" s="16"/>
      <c r="E32" s="17"/>
      <c r="F32" s="44"/>
      <c r="G32" s="27"/>
      <c r="H32" s="29"/>
      <c r="I32" s="28"/>
      <c r="J32" s="28"/>
      <c r="K32" s="28"/>
      <c r="L32" s="28"/>
      <c r="M32" s="28"/>
      <c r="N32" s="25"/>
      <c r="O32" s="25"/>
      <c r="P32" s="25"/>
      <c r="Q32" s="1"/>
      <c r="R32" s="1"/>
    </row>
    <row r="33">
      <c r="A33" s="1"/>
      <c r="B33" s="44"/>
      <c r="C33" s="47"/>
      <c r="D33" s="16"/>
      <c r="E33" s="17"/>
      <c r="F33" s="44"/>
      <c r="G33" s="27"/>
      <c r="H33" s="29"/>
      <c r="I33" s="28"/>
      <c r="J33" s="28"/>
      <c r="K33" s="28"/>
      <c r="L33" s="28"/>
      <c r="M33" s="28"/>
      <c r="N33" s="25"/>
      <c r="O33" s="25"/>
      <c r="P33" s="25"/>
      <c r="Q33" s="1"/>
      <c r="R33" s="1"/>
    </row>
    <row r="34">
      <c r="A34" s="1"/>
      <c r="B34" s="44"/>
      <c r="C34" s="47"/>
      <c r="D34" s="16"/>
      <c r="E34" s="17"/>
      <c r="F34" s="44"/>
      <c r="G34" s="27"/>
      <c r="H34" s="29"/>
      <c r="I34" s="28"/>
      <c r="J34" s="28"/>
      <c r="K34" s="28"/>
      <c r="L34" s="28"/>
      <c r="M34" s="28"/>
      <c r="N34" s="48"/>
      <c r="O34" s="48"/>
      <c r="P34" s="48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49">
        <f t="shared" ref="G35:H35" si="1">SUM(G4:G34)</f>
        <v>0</v>
      </c>
      <c r="H35" s="50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51" t="s">
        <v>0</v>
      </c>
      <c r="C38" s="52" t="s">
        <v>6</v>
      </c>
      <c r="D38" s="52" t="s">
        <v>83</v>
      </c>
      <c r="E38" s="53"/>
      <c r="F38" s="1"/>
      <c r="G38" s="1"/>
      <c r="H38" s="1"/>
      <c r="I38" s="1"/>
      <c r="J38" s="1"/>
      <c r="K38" s="1"/>
      <c r="L38" s="1"/>
      <c r="M38" s="1"/>
      <c r="N38" s="52" t="s">
        <v>84</v>
      </c>
      <c r="O38" s="52" t="s">
        <v>1</v>
      </c>
      <c r="P38" s="1"/>
      <c r="Q38" s="1"/>
      <c r="R38" s="1"/>
    </row>
    <row r="39">
      <c r="A39" s="1"/>
      <c r="B39" s="54">
        <v>1.0</v>
      </c>
      <c r="C39" s="55" t="s">
        <v>85</v>
      </c>
      <c r="D39" s="56">
        <f>SUM(G35)</f>
        <v>0</v>
      </c>
      <c r="E39" s="57"/>
      <c r="F39" s="1"/>
      <c r="G39" s="1"/>
      <c r="H39" s="1"/>
      <c r="I39" s="1"/>
      <c r="J39" s="1"/>
      <c r="K39" s="1"/>
      <c r="L39" s="1"/>
      <c r="M39" s="1"/>
      <c r="N39" s="58" t="s">
        <v>86</v>
      </c>
      <c r="O39" s="22"/>
      <c r="P39" s="1"/>
      <c r="Q39" s="1"/>
      <c r="R39" s="1"/>
    </row>
    <row r="40">
      <c r="A40" s="1"/>
      <c r="B40" s="59">
        <v>2.0</v>
      </c>
      <c r="C40" s="60"/>
      <c r="D40" s="61"/>
      <c r="E40" s="62"/>
      <c r="F40" s="1"/>
      <c r="G40" s="1"/>
      <c r="H40" s="1"/>
      <c r="I40" s="1"/>
      <c r="J40" s="1"/>
      <c r="K40" s="1"/>
      <c r="L40" s="1"/>
      <c r="M40" s="1"/>
      <c r="N40" s="63" t="s">
        <v>89</v>
      </c>
      <c r="O40" s="64"/>
      <c r="P40" s="1"/>
      <c r="Q40" s="1"/>
      <c r="R40" s="1"/>
    </row>
    <row r="41">
      <c r="A41" s="1"/>
      <c r="B41" s="54">
        <v>3.0</v>
      </c>
      <c r="C41" s="55"/>
      <c r="D41" s="65"/>
      <c r="E41" s="62"/>
      <c r="F41" s="1"/>
      <c r="G41" s="1"/>
      <c r="H41" s="1"/>
      <c r="I41" s="1"/>
      <c r="J41" s="1"/>
      <c r="K41" s="1"/>
      <c r="L41" s="1"/>
      <c r="M41" s="1"/>
      <c r="N41" s="66" t="s">
        <v>91</v>
      </c>
      <c r="O41" s="24"/>
      <c r="P41" s="1"/>
      <c r="Q41" s="1"/>
      <c r="R41" s="1"/>
    </row>
    <row r="42">
      <c r="A42" s="1"/>
      <c r="B42" s="59">
        <v>4.0</v>
      </c>
      <c r="C42" s="60"/>
      <c r="D42" s="61"/>
      <c r="E42" s="62"/>
      <c r="F42" s="1"/>
      <c r="G42" s="1"/>
      <c r="H42" s="1"/>
      <c r="I42" s="1"/>
      <c r="J42" s="1"/>
      <c r="K42" s="1"/>
      <c r="L42" s="1"/>
      <c r="M42" s="1"/>
      <c r="N42" s="67" t="s">
        <v>93</v>
      </c>
      <c r="O42" s="64"/>
      <c r="P42" s="1"/>
      <c r="Q42" s="1"/>
      <c r="R42" s="1"/>
    </row>
    <row r="43">
      <c r="A43" s="1"/>
      <c r="B43" s="54"/>
      <c r="C43" s="69"/>
      <c r="D43" s="56"/>
      <c r="E43" s="57"/>
      <c r="F43" s="1"/>
      <c r="G43" s="1"/>
      <c r="H43" s="1"/>
      <c r="I43" s="1"/>
      <c r="J43" s="1"/>
      <c r="K43" s="1"/>
      <c r="L43" s="1"/>
      <c r="M43" s="1"/>
      <c r="N43" s="68"/>
      <c r="O43" s="1"/>
      <c r="P43" s="1"/>
      <c r="Q43" s="1"/>
      <c r="R43" s="1"/>
    </row>
    <row r="44">
      <c r="A44" s="1"/>
      <c r="B44" s="59"/>
      <c r="C44" s="70"/>
      <c r="D44" s="71"/>
      <c r="E44" s="5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54"/>
      <c r="C45" s="69"/>
      <c r="D45" s="56"/>
      <c r="E45" s="5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59"/>
      <c r="C46" s="70"/>
      <c r="D46" s="71"/>
      <c r="E46" s="5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54"/>
      <c r="C47" s="69"/>
      <c r="D47" s="56"/>
      <c r="E47" s="5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59"/>
      <c r="C48" s="70"/>
      <c r="D48" s="71"/>
      <c r="E48" s="5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72"/>
      <c r="C49" s="73"/>
      <c r="D49" s="74"/>
      <c r="E49" s="5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75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