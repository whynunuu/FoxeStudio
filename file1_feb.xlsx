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  <sheet state="visible" name="2" sheetId="2" r:id="rId6"/>
    <sheet state="visible" name="3" sheetId="3" r:id="rId7"/>
    <sheet state="visible" name="4" sheetId="4" r:id="rId8"/>
    <sheet state="visible" name="5" sheetId="5" r:id="rId9"/>
    <sheet state="visible" name="6" sheetId="6" r:id="rId10"/>
    <sheet state="visible" name="7" sheetId="7" r:id="rId11"/>
    <sheet state="visible" name="8" sheetId="8" r:id="rId12"/>
    <sheet state="visible" name="9" sheetId="9" r:id="rId13"/>
    <sheet state="visible" name="10" sheetId="10" r:id="rId14"/>
    <sheet state="visible" name="11" sheetId="11" r:id="rId15"/>
    <sheet state="visible" name="12" sheetId="12" r:id="rId16"/>
    <sheet state="visible" name="13" sheetId="13" r:id="rId17"/>
    <sheet state="visible" name="14" sheetId="14" r:id="rId18"/>
    <sheet state="visible" name="15" sheetId="15" r:id="rId19"/>
    <sheet state="visible" name="16" sheetId="16" r:id="rId20"/>
    <sheet state="visible" name="17" sheetId="17" r:id="rId21"/>
    <sheet state="visible" name="18" sheetId="18" r:id="rId22"/>
    <sheet state="visible" name="19" sheetId="19" r:id="rId23"/>
    <sheet state="visible" name="20" sheetId="20" r:id="rId24"/>
    <sheet state="visible" name="21" sheetId="21" r:id="rId25"/>
    <sheet state="visible" name="22" sheetId="22" r:id="rId26"/>
    <sheet state="visible" name="23" sheetId="23" r:id="rId27"/>
    <sheet state="visible" name="24" sheetId="24" r:id="rId28"/>
    <sheet state="visible" name="25" sheetId="25" r:id="rId29"/>
    <sheet state="visible" name="26" sheetId="26" r:id="rId30"/>
    <sheet state="visible" name="27" sheetId="27" r:id="rId31"/>
    <sheet state="visible" name="28" sheetId="28" r:id="rId32"/>
    <sheet state="visible" name="Draft" sheetId="29" r:id="rId33"/>
  </sheets>
  <definedNames/>
  <calcPr/>
</workbook>
</file>

<file path=xl/sharedStrings.xml><?xml version="1.0" encoding="utf-8"?>
<sst xmlns="http://schemas.openxmlformats.org/spreadsheetml/2006/main" count="2713" uniqueCount="329">
  <si>
    <t>No</t>
  </si>
  <si>
    <t>Nama</t>
  </si>
  <si>
    <t>Paket</t>
  </si>
  <si>
    <t>Q</t>
  </si>
  <si>
    <t>Tanggal Foto</t>
  </si>
  <si>
    <t>Pemasukan</t>
  </si>
  <si>
    <t>Keterangan</t>
  </si>
  <si>
    <t>Admin</t>
  </si>
  <si>
    <t>Fotogarfer</t>
  </si>
  <si>
    <t>Post Prod</t>
  </si>
  <si>
    <t>Cash</t>
  </si>
  <si>
    <t>Transfer</t>
  </si>
  <si>
    <t>Pembayaran</t>
  </si>
  <si>
    <t>All File</t>
  </si>
  <si>
    <t xml:space="preserve">File Edit </t>
  </si>
  <si>
    <t>Editan/FG</t>
  </si>
  <si>
    <t>Cetakan/Fame</t>
  </si>
  <si>
    <t>Diambil/Date</t>
  </si>
  <si>
    <t>angely ayu</t>
  </si>
  <si>
    <t>Yanuar</t>
  </si>
  <si>
    <t>RizkyAp</t>
  </si>
  <si>
    <t>Graduation</t>
  </si>
  <si>
    <t>Family A</t>
  </si>
  <si>
    <t>Sely Aprillia</t>
  </si>
  <si>
    <t>add 12R</t>
  </si>
  <si>
    <t>DP</t>
  </si>
  <si>
    <t>Lunas</t>
  </si>
  <si>
    <t xml:space="preserve">ADDEL </t>
  </si>
  <si>
    <t>Uploaded</t>
  </si>
  <si>
    <t>Pending</t>
  </si>
  <si>
    <t>INDAH</t>
  </si>
  <si>
    <t>ADDEL</t>
  </si>
  <si>
    <t>Nadia Anggraeni</t>
  </si>
  <si>
    <t>ADIF</t>
  </si>
  <si>
    <t>Adibara</t>
  </si>
  <si>
    <t>Nur</t>
  </si>
  <si>
    <t>Large Group</t>
  </si>
  <si>
    <t>Couple B</t>
  </si>
  <si>
    <t>Vera Regina</t>
  </si>
  <si>
    <t>Taufik</t>
  </si>
  <si>
    <t>Gemilang</t>
  </si>
  <si>
    <t>Aliyah</t>
  </si>
  <si>
    <t>31 maret</t>
  </si>
  <si>
    <t>Couple A</t>
  </si>
  <si>
    <t xml:space="preserve">ADIF </t>
  </si>
  <si>
    <t>Iza</t>
  </si>
  <si>
    <t>Yunita</t>
  </si>
  <si>
    <t>Photofox</t>
  </si>
  <si>
    <t>Daffa Akmal</t>
  </si>
  <si>
    <t>Alshifa</t>
  </si>
  <si>
    <t>Fanny</t>
  </si>
  <si>
    <t>Bagus aziz alfaruq</t>
  </si>
  <si>
    <t>Photo Product</t>
  </si>
  <si>
    <t>Alfiyah</t>
  </si>
  <si>
    <t>add theme</t>
  </si>
  <si>
    <t xml:space="preserve">HANIF </t>
  </si>
  <si>
    <t>GVM SPENSA</t>
  </si>
  <si>
    <t>Novelin</t>
  </si>
  <si>
    <t>Yogy</t>
  </si>
  <si>
    <t>Standupphotography</t>
  </si>
  <si>
    <t>Studio Rent</t>
  </si>
  <si>
    <t>1 februrary</t>
  </si>
  <si>
    <t>Lina</t>
  </si>
  <si>
    <t>Apple</t>
  </si>
  <si>
    <t>Fahmi Nur Ramadhan</t>
  </si>
  <si>
    <t>Graduation Premium</t>
  </si>
  <si>
    <t>HIMA Sanling 2025</t>
  </si>
  <si>
    <t>Putu Ines</t>
  </si>
  <si>
    <t>assifa</t>
  </si>
  <si>
    <t>Thalita (Rohis Kabupaten Banyumas)</t>
  </si>
  <si>
    <t>Nominal</t>
  </si>
  <si>
    <t>Shift</t>
  </si>
  <si>
    <t>Pendapatan Tunai</t>
  </si>
  <si>
    <t>Admin 1</t>
  </si>
  <si>
    <t>Fahme</t>
  </si>
  <si>
    <t>Admin 2</t>
  </si>
  <si>
    <t>Hanif</t>
  </si>
  <si>
    <t>Fotografer 1</t>
  </si>
  <si>
    <t>Baterai A2</t>
  </si>
  <si>
    <t>Fotografer 2</t>
  </si>
  <si>
    <t>Bensin</t>
  </si>
  <si>
    <t>Adif</t>
  </si>
  <si>
    <t>ATK / stickynotes dkk</t>
  </si>
  <si>
    <t>Fadel</t>
  </si>
  <si>
    <t xml:space="preserve">Galon </t>
  </si>
  <si>
    <t>HANIF</t>
  </si>
  <si>
    <t>Harits</t>
  </si>
  <si>
    <t>Qutby</t>
  </si>
  <si>
    <t>Hasna</t>
  </si>
  <si>
    <t xml:space="preserve"> Gita Syakira</t>
  </si>
  <si>
    <t>Kievna</t>
  </si>
  <si>
    <t>Wina</t>
  </si>
  <si>
    <t>Nur Salsa Bila</t>
  </si>
  <si>
    <t>KKN Melung</t>
  </si>
  <si>
    <t>Jihan</t>
  </si>
  <si>
    <t>Dyah</t>
  </si>
  <si>
    <t>Natalia Nidya</t>
  </si>
  <si>
    <t>Glori</t>
  </si>
  <si>
    <t>Pas Foto</t>
  </si>
  <si>
    <t>rosa</t>
  </si>
  <si>
    <t>Azkia smp putra harapan</t>
  </si>
  <si>
    <t>Pustakawan spaal</t>
  </si>
  <si>
    <t>emil</t>
  </si>
  <si>
    <t>Lina Gunawan</t>
  </si>
  <si>
    <t>Erik</t>
  </si>
  <si>
    <t>Itaa</t>
  </si>
  <si>
    <t>RO</t>
  </si>
  <si>
    <t>Tata</t>
  </si>
  <si>
    <t>Gita</t>
  </si>
  <si>
    <t>Kharisma Devi</t>
  </si>
  <si>
    <t>Nadia</t>
  </si>
  <si>
    <t>Devi</t>
  </si>
  <si>
    <t xml:space="preserve"> KKN Unsoed Desa Kalikesur</t>
  </si>
  <si>
    <t xml:space="preserve"> kkn derik</t>
  </si>
  <si>
    <t>Adhibara</t>
  </si>
  <si>
    <t>Natania</t>
  </si>
  <si>
    <t>Assifa</t>
  </si>
  <si>
    <t>Panji</t>
  </si>
  <si>
    <t>Fifi</t>
  </si>
  <si>
    <t>Janitra</t>
  </si>
  <si>
    <t>KKN Desa Kalikesur</t>
  </si>
  <si>
    <t>Milda</t>
  </si>
  <si>
    <t>Bagas Satria Pradana</t>
  </si>
  <si>
    <t>Galon</t>
  </si>
  <si>
    <t>Erikk</t>
  </si>
  <si>
    <t>Add Edit</t>
  </si>
  <si>
    <t>Fatin Karimatunnisa</t>
  </si>
  <si>
    <t>Nandita</t>
  </si>
  <si>
    <t>Maudi</t>
  </si>
  <si>
    <t>Zahwa</t>
  </si>
  <si>
    <t xml:space="preserve">KKN Sokawera </t>
  </si>
  <si>
    <t>Satelit</t>
  </si>
  <si>
    <t>KKN BULAKAN</t>
  </si>
  <si>
    <t>Natalia</t>
  </si>
  <si>
    <t>dr. Tria</t>
  </si>
  <si>
    <t>Aditya Nurcahya</t>
  </si>
  <si>
    <t>Single</t>
  </si>
  <si>
    <t xml:space="preserve"> Binta</t>
  </si>
  <si>
    <t>Fadhlian</t>
  </si>
  <si>
    <t>Afifah</t>
  </si>
  <si>
    <t>Wulan</t>
  </si>
  <si>
    <t>Hindun</t>
  </si>
  <si>
    <t>KKN UNSOED LANCAR</t>
  </si>
  <si>
    <t>Zahra</t>
  </si>
  <si>
    <t>ots</t>
  </si>
  <si>
    <t>-</t>
  </si>
  <si>
    <t>Lei</t>
  </si>
  <si>
    <t>KKN SOKAWERA</t>
  </si>
  <si>
    <t>Delly Permana</t>
  </si>
  <si>
    <t>Lutfia</t>
  </si>
  <si>
    <t>Ika</t>
  </si>
  <si>
    <t>Family B</t>
  </si>
  <si>
    <t>Reksa</t>
  </si>
  <si>
    <t>Satria Rizky</t>
  </si>
  <si>
    <t>KKN Bulakan</t>
  </si>
  <si>
    <t>Siti fatmawati</t>
  </si>
  <si>
    <t>Anis Labib</t>
  </si>
  <si>
    <t>Minpera</t>
  </si>
  <si>
    <t>Diyah</t>
  </si>
  <si>
    <t>kkn kalisabuk</t>
  </si>
  <si>
    <t>Ennisya</t>
  </si>
  <si>
    <t>Add Cetak</t>
  </si>
  <si>
    <t>Dheaahma</t>
  </si>
  <si>
    <t>KKN Kalisabuk</t>
  </si>
  <si>
    <t>Maydiana</t>
  </si>
  <si>
    <t>Princess</t>
  </si>
  <si>
    <t>KKN Karang Bawang</t>
  </si>
  <si>
    <t>Siti Fatmawati</t>
  </si>
  <si>
    <t>KKN Derik</t>
  </si>
  <si>
    <t>Dinda</t>
  </si>
  <si>
    <t>all file</t>
  </si>
  <si>
    <t>Reva</t>
  </si>
  <si>
    <t>Lena</t>
  </si>
  <si>
    <t>Reyvina</t>
  </si>
  <si>
    <t>Askdm</t>
  </si>
  <si>
    <t>Arba</t>
  </si>
  <si>
    <t>Pntl</t>
  </si>
  <si>
    <t>Binta</t>
  </si>
  <si>
    <t>Penthil</t>
  </si>
  <si>
    <t>Parfum Ruangan</t>
  </si>
  <si>
    <t>adif</t>
  </si>
  <si>
    <t>Rohistel</t>
  </si>
  <si>
    <t>Paket Gigih/Aiz Sighnil</t>
  </si>
  <si>
    <t>Ali Imron</t>
  </si>
  <si>
    <t xml:space="preserve"> Abror Cetak Card Disc</t>
  </si>
  <si>
    <t>Indah</t>
  </si>
  <si>
    <t>hmps kpi</t>
  </si>
  <si>
    <t>Princessa</t>
  </si>
  <si>
    <t>Rizma</t>
  </si>
  <si>
    <t>Mutiara Jelita</t>
  </si>
  <si>
    <t>Nabila ahnaf</t>
  </si>
  <si>
    <t>Ella</t>
  </si>
  <si>
    <t>Fatin</t>
  </si>
  <si>
    <t>Azma</t>
  </si>
  <si>
    <t>Tika</t>
  </si>
  <si>
    <t>OSIS AKSATA</t>
  </si>
  <si>
    <t>Najwa</t>
  </si>
  <si>
    <t>VERO</t>
  </si>
  <si>
    <t>Rizma Amalia</t>
  </si>
  <si>
    <t>Bita Elora</t>
  </si>
  <si>
    <t>Bagas</t>
  </si>
  <si>
    <t>Dhiva Lefrysa</t>
  </si>
  <si>
    <t>add 10R</t>
  </si>
  <si>
    <t>Farida</t>
  </si>
  <si>
    <t>Firza</t>
  </si>
  <si>
    <t>Nia N</t>
  </si>
  <si>
    <t>dr Tria</t>
  </si>
  <si>
    <t>Jeannery Cesare</t>
  </si>
  <si>
    <t>Vera</t>
  </si>
  <si>
    <t xml:space="preserve">all file </t>
  </si>
  <si>
    <t>FAHME</t>
  </si>
  <si>
    <t>Rini</t>
  </si>
  <si>
    <t>mawar</t>
  </si>
  <si>
    <t>Wahid</t>
  </si>
  <si>
    <t>Nayla</t>
  </si>
  <si>
    <t>Mawar</t>
  </si>
  <si>
    <t>Akmal Fauzi</t>
  </si>
  <si>
    <t>Zumairoh</t>
  </si>
  <si>
    <t>Rames</t>
  </si>
  <si>
    <t>Selly</t>
  </si>
  <si>
    <t>Ryan</t>
  </si>
  <si>
    <t>Add Cetak 5R</t>
  </si>
  <si>
    <t>12R</t>
  </si>
  <si>
    <t>Fahmi Nur</t>
  </si>
  <si>
    <t>Kenan</t>
  </si>
  <si>
    <t>Putri</t>
  </si>
  <si>
    <t>Nanda Afif</t>
  </si>
  <si>
    <t>Cahya</t>
  </si>
  <si>
    <t>Asya Aurelia</t>
  </si>
  <si>
    <t>Aldho</t>
  </si>
  <si>
    <t>Asfi</t>
  </si>
  <si>
    <t>Azkia</t>
  </si>
  <si>
    <t>Nabila Ahnaf</t>
  </si>
  <si>
    <t>OSIS SMK N KEBASEN</t>
  </si>
  <si>
    <t>Mita Rolani</t>
  </si>
  <si>
    <t>KKN Karjeng</t>
  </si>
  <si>
    <t>Rizky</t>
  </si>
  <si>
    <t>Angely Ayu</t>
  </si>
  <si>
    <t>Fariha syifa</t>
  </si>
  <si>
    <t xml:space="preserve">Ninol </t>
  </si>
  <si>
    <t>Prisca</t>
  </si>
  <si>
    <t>Farah</t>
  </si>
  <si>
    <t>Zahrin Julia</t>
  </si>
  <si>
    <t>Emil</t>
  </si>
  <si>
    <t>Radit</t>
  </si>
  <si>
    <t>mita Rolani</t>
  </si>
  <si>
    <t xml:space="preserve">Indah </t>
  </si>
  <si>
    <t>Oliestha</t>
  </si>
  <si>
    <t>Karin</t>
  </si>
  <si>
    <t>Fariha Syifa</t>
  </si>
  <si>
    <t xml:space="preserve">Princes </t>
  </si>
  <si>
    <t xml:space="preserve">  Tyas</t>
  </si>
  <si>
    <t>Makan Malam AGJ</t>
  </si>
  <si>
    <t>Tyas</t>
  </si>
  <si>
    <t>indah, addel. adif. hanif , fame , vero</t>
  </si>
  <si>
    <t>Aliy Azzam</t>
  </si>
  <si>
    <t xml:space="preserve"> Ilham Dwi Wibowo</t>
  </si>
  <si>
    <t>Amylia</t>
  </si>
  <si>
    <t xml:space="preserve"> Shabrina Azmil Haque</t>
  </si>
  <si>
    <t>clara</t>
  </si>
  <si>
    <t>Fina</t>
  </si>
  <si>
    <t>Forum GenRe Kabupaten Banyumas</t>
  </si>
  <si>
    <t>Gendis</t>
  </si>
  <si>
    <t>Rifka Bella</t>
  </si>
  <si>
    <t>Nanki Nirmanto</t>
  </si>
  <si>
    <t>Frina</t>
  </si>
  <si>
    <t>Clara</t>
  </si>
  <si>
    <t>Amilya</t>
  </si>
  <si>
    <t xml:space="preserve"> Galuh Pratiwi</t>
  </si>
  <si>
    <t>Qiyala</t>
  </si>
  <si>
    <t>Sofiyudin</t>
  </si>
  <si>
    <t>Salman</t>
  </si>
  <si>
    <t>add cetak 6x9</t>
  </si>
  <si>
    <t>Ica Putri</t>
  </si>
  <si>
    <t>Ikoh</t>
  </si>
  <si>
    <t>Viska</t>
  </si>
  <si>
    <t>Shabrina</t>
  </si>
  <si>
    <t>Tiara</t>
  </si>
  <si>
    <t>Nabila</t>
  </si>
  <si>
    <t>Dafira</t>
  </si>
  <si>
    <t>Mita</t>
  </si>
  <si>
    <t>Packing</t>
  </si>
  <si>
    <t>hanan zaidan</t>
  </si>
  <si>
    <t>Siti Maimunah</t>
  </si>
  <si>
    <t>Shierly Anggraeni</t>
  </si>
  <si>
    <t>Panji Setyo</t>
  </si>
  <si>
    <t>Iqbal</t>
  </si>
  <si>
    <t>Add Cetak 16Rs</t>
  </si>
  <si>
    <t>Galuh Umbay</t>
  </si>
  <si>
    <t>Angga</t>
  </si>
  <si>
    <t>Danu</t>
  </si>
  <si>
    <t>Cahya Wulan</t>
  </si>
  <si>
    <t>ATK</t>
  </si>
  <si>
    <t>Zizi</t>
  </si>
  <si>
    <t>Jalin</t>
  </si>
  <si>
    <t>Syanaz</t>
  </si>
  <si>
    <t>Fatin Kharimatunnisa</t>
  </si>
  <si>
    <t xml:space="preserve"> yaka</t>
  </si>
  <si>
    <t xml:space="preserve">  alda</t>
  </si>
  <si>
    <t>Risa</t>
  </si>
  <si>
    <t>yayu</t>
  </si>
  <si>
    <t>bella</t>
  </si>
  <si>
    <t>Finell</t>
  </si>
  <si>
    <t>Hanan Zaidan</t>
  </si>
  <si>
    <t>Putri Aurelia</t>
  </si>
  <si>
    <t>Frame</t>
  </si>
  <si>
    <t>Ainun</t>
  </si>
  <si>
    <t>athiyyah</t>
  </si>
  <si>
    <t>Ela Dwi Utami</t>
  </si>
  <si>
    <t>Yaka</t>
  </si>
  <si>
    <t xml:space="preserve">Photofox </t>
  </si>
  <si>
    <t>Yayu</t>
  </si>
  <si>
    <t>Nida</t>
  </si>
  <si>
    <t>Naomi</t>
  </si>
  <si>
    <t>Tika puspita</t>
  </si>
  <si>
    <t>Sela Anggre</t>
  </si>
  <si>
    <t>Tika Puspita</t>
  </si>
  <si>
    <t>Ferdi</t>
  </si>
  <si>
    <t>adelya</t>
  </si>
  <si>
    <t>Riswo</t>
  </si>
  <si>
    <t>Finel</t>
  </si>
  <si>
    <t>Osis SMKN Kebasen</t>
  </si>
  <si>
    <t>Amar</t>
  </si>
  <si>
    <t>Satria</t>
  </si>
  <si>
    <t>Vinna</t>
  </si>
  <si>
    <t>Natasya</t>
  </si>
  <si>
    <t>Lisa Ika</t>
  </si>
  <si>
    <t>Masbet</t>
  </si>
  <si>
    <t xml:space="preserve">Adif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</si>
</sst>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 mmmm yyyy"/>
    <numFmt numFmtId="165" formatCode="[$Rp]#,##0"/>
    <numFmt numFmtId="166" formatCode="d mmmm"/>
    <numFmt numFmtId="167" formatCode="d mmm"/>
    <numFmt numFmtId="168" formatCode="dmmm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  <font/>
    <font>
      <b/>
      <i/>
      <color theme="1"/>
      <name val="Arial"/>
      <scheme val="minor"/>
    </font>
    <font>
      <color theme="1"/>
      <name val="Arial"/>
    </font>
    <font>
      <color theme="1"/>
      <name val="Helvetica Neue"/>
    </font>
    <font>
      <b/>
      <color rgb="FF000000"/>
      <name val="Arial"/>
      <scheme val="minor"/>
    </font>
    <font>
      <b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F4CCCC"/>
        <bgColor rgb="FFF4CCCC"/>
      </patternFill>
    </fill>
    <fill>
      <patternFill patternType="solid">
        <fgColor rgb="FF00FFFF"/>
        <bgColor rgb="FF00FFFF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EA9999"/>
        <bgColor rgb="FFEA9999"/>
      </patternFill>
    </fill>
    <fill>
      <patternFill patternType="solid">
        <fgColor rgb="FFFF0000"/>
        <bgColor rgb="FFFF000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readingOrder="0" vertical="center"/>
    </xf>
    <xf borderId="2" fillId="2" fontId="3" numFmtId="0" xfId="0" applyAlignment="1" applyBorder="1" applyFill="1" applyFont="1">
      <alignment horizontal="center" readingOrder="0" vertical="center"/>
    </xf>
    <xf borderId="3" fillId="0" fontId="4" numFmtId="0" xfId="0" applyBorder="1" applyFont="1"/>
    <xf borderId="4" fillId="0" fontId="4" numFmtId="0" xfId="0" applyBorder="1" applyFont="1"/>
    <xf borderId="2" fillId="3" fontId="3" numFmtId="0" xfId="0" applyAlignment="1" applyBorder="1" applyFill="1" applyFont="1">
      <alignment horizontal="center" readingOrder="0" vertical="center"/>
    </xf>
    <xf borderId="5" fillId="0" fontId="4" numFmtId="0" xfId="0" applyBorder="1" applyFont="1"/>
    <xf borderId="1" fillId="4" fontId="3" numFmtId="0" xfId="0" applyAlignment="1" applyBorder="1" applyFill="1" applyFont="1">
      <alignment horizontal="center" readingOrder="0" vertical="center"/>
    </xf>
    <xf borderId="1" fillId="5" fontId="3" numFmtId="0" xfId="0" applyAlignment="1" applyBorder="1" applyFill="1" applyFont="1">
      <alignment horizontal="center" readingOrder="0" vertical="center"/>
    </xf>
    <xf borderId="6" fillId="2" fontId="3" numFmtId="0" xfId="0" applyAlignment="1" applyBorder="1" applyFill="1" applyFont="1">
      <alignment horizontal="center" readingOrder="0" vertical="center"/>
    </xf>
    <xf borderId="6" fillId="3" fontId="3" numFmtId="0" xfId="0" applyAlignment="1" applyBorder="1" applyFill="1" applyFont="1">
      <alignment horizontal="center" readingOrder="0" vertical="center"/>
    </xf>
    <xf borderId="6" fillId="0" fontId="1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6" fillId="0" fontId="1" numFmtId="164" xfId="0" applyAlignment="1" applyBorder="1" applyFont="1" applyNumberFormat="1">
      <alignment horizontal="center" readingOrder="0" vertical="center"/>
    </xf>
    <xf borderId="2" fillId="0" fontId="2" numFmtId="165" xfId="0" applyAlignment="1" applyBorder="1" applyFont="1" applyNumberFormat="1">
      <alignment horizontal="right" readingOrder="0" vertical="center"/>
    </xf>
    <xf borderId="6" fillId="0" fontId="1" numFmtId="166" xfId="0" applyAlignment="1" applyBorder="1" applyFont="1" applyNumberFormat="1">
      <alignment horizontal="center" readingOrder="0" vertical="center"/>
    </xf>
    <xf borderId="6" fillId="0" fontId="5" numFmtId="165" xfId="0" applyAlignment="1" applyBorder="1" applyFont="1" applyNumberFormat="1">
      <alignment horizontal="right" readingOrder="0" vertical="center"/>
    </xf>
    <xf borderId="6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164" xfId="0" applyAlignment="1" applyBorder="1" applyFont="1" applyNumberFormat="1">
      <alignment horizontal="center" readingOrder="0" vertical="center"/>
    </xf>
    <xf borderId="7" fillId="0" fontId="1" numFmtId="0" xfId="0" applyAlignment="1" applyBorder="1" applyFont="1">
      <alignment horizontal="center" readingOrder="0" vertical="center"/>
    </xf>
    <xf borderId="7" fillId="0" fontId="1" numFmtId="0" xfId="0" applyAlignment="1" applyBorder="1" applyFont="1">
      <alignment horizontal="center" vertical="center"/>
    </xf>
    <xf borderId="6" fillId="0" fontId="1" numFmtId="167" xfId="0" applyAlignment="1" applyBorder="1" applyFont="1" applyNumberFormat="1">
      <alignment horizontal="center" readingOrder="0" vertical="center"/>
    </xf>
    <xf borderId="2" fillId="0" fontId="2" numFmtId="165" xfId="0" applyAlignment="1" applyBorder="1" applyFont="1" applyNumberFormat="1">
      <alignment horizontal="right" vertical="center"/>
    </xf>
    <xf borderId="6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165" xfId="0" applyAlignment="1" applyBorder="1" applyFont="1" applyNumberFormat="1">
      <alignment horizontal="right" vertical="center"/>
    </xf>
    <xf borderId="6" fillId="0" fontId="2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5" fillId="4" fontId="2" numFmtId="165" xfId="0" applyAlignment="1" applyBorder="1" applyFill="1" applyFont="1" applyNumberFormat="1">
      <alignment horizontal="center" vertical="center"/>
    </xf>
    <xf borderId="5" fillId="5" fontId="5" numFmtId="165" xfId="0" applyAlignment="1" applyBorder="1" applyFill="1" applyFont="1" applyNumberFormat="1">
      <alignment horizontal="center" vertical="center"/>
    </xf>
    <xf borderId="6" fillId="2" fontId="1" numFmtId="0" xfId="0" applyAlignment="1" applyBorder="1" applyFill="1" applyFont="1">
      <alignment horizontal="center" readingOrder="0" vertical="center"/>
    </xf>
    <xf borderId="6" fillId="2" fontId="2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7" fillId="0" fontId="2" numFmtId="0" xfId="0" applyAlignment="1" applyBorder="1" applyFont="1">
      <alignment horizontal="center" readingOrder="0" vertical="center"/>
    </xf>
    <xf borderId="7" fillId="0" fontId="2" numFmtId="0" xfId="0" applyAlignment="1" applyBorder="1" applyFont="1">
      <alignment horizontal="left" readingOrder="0" vertical="center"/>
    </xf>
    <xf borderId="7" fillId="0" fontId="2" numFmtId="165" xfId="0" applyAlignment="1" applyBorder="1" applyFont="1" applyNumberFormat="1">
      <alignment horizontal="right" vertical="center"/>
    </xf>
    <xf borderId="0" fillId="0" fontId="1" numFmtId="165" xfId="0" applyAlignment="1" applyFont="1" applyNumberFormat="1">
      <alignment horizontal="right" vertical="center"/>
    </xf>
    <xf borderId="1" fillId="6" fontId="1" numFmtId="0" xfId="0" applyAlignment="1" applyBorder="1" applyFill="1" applyFont="1">
      <alignment horizontal="left" readingOrder="0" vertical="center"/>
    </xf>
    <xf borderId="7" fillId="7" fontId="2" numFmtId="0" xfId="0" applyAlignment="1" applyBorder="1" applyFill="1" applyFont="1">
      <alignment horizontal="center" readingOrder="0" vertical="center"/>
    </xf>
    <xf borderId="7" fillId="7" fontId="2" numFmtId="0" xfId="0" applyAlignment="1" applyBorder="1" applyFill="1" applyFont="1">
      <alignment horizontal="left" readingOrder="0" vertical="center"/>
    </xf>
    <xf borderId="7" fillId="7" fontId="2" numFmtId="165" xfId="0" applyAlignment="1" applyBorder="1" applyFill="1" applyFont="1" applyNumberFormat="1">
      <alignment horizontal="right" readingOrder="0" vertical="center"/>
    </xf>
    <xf borderId="0" fillId="0" fontId="1" numFmtId="165" xfId="0" applyAlignment="1" applyFont="1" applyNumberFormat="1">
      <alignment horizontal="right" readingOrder="0" vertical="center"/>
    </xf>
    <xf borderId="5" fillId="6" fontId="1" numFmtId="0" xfId="0" applyAlignment="1" applyBorder="1" applyFill="1" applyFont="1">
      <alignment horizontal="left" readingOrder="0" vertical="center"/>
    </xf>
    <xf borderId="5" fillId="0" fontId="1" numFmtId="0" xfId="0" applyAlignment="1" applyBorder="1" applyFont="1">
      <alignment horizontal="center" readingOrder="0" vertical="center"/>
    </xf>
    <xf borderId="7" fillId="0" fontId="2" numFmtId="165" xfId="0" applyAlignment="1" applyBorder="1" applyFont="1" applyNumberFormat="1">
      <alignment horizontal="right" readingOrder="0" vertical="center"/>
    </xf>
    <xf borderId="7" fillId="4" fontId="1" numFmtId="0" xfId="0" applyAlignment="1" applyBorder="1" applyFill="1" applyFont="1">
      <alignment horizontal="left" readingOrder="0" vertical="center"/>
    </xf>
    <xf borderId="5" fillId="4" fontId="1" numFmtId="0" xfId="0" applyAlignment="1" applyBorder="1" applyFill="1" applyFont="1">
      <alignment horizontal="left" readingOrder="0" vertical="center"/>
    </xf>
    <xf borderId="7" fillId="0" fontId="2" numFmtId="0" xfId="0" applyAlignment="1" applyBorder="1" applyFont="1">
      <alignment horizontal="left" vertical="center"/>
    </xf>
    <xf borderId="0" fillId="0" fontId="1" numFmtId="0" xfId="0" applyAlignment="1" applyFont="1">
      <alignment horizontal="left" vertical="center"/>
    </xf>
    <xf borderId="7" fillId="7" fontId="2" numFmtId="0" xfId="0" applyAlignment="1" applyBorder="1" applyFill="1" applyFont="1">
      <alignment horizontal="left" vertical="center"/>
    </xf>
    <xf borderId="7" fillId="7" fontId="2" numFmtId="165" xfId="0" applyAlignment="1" applyBorder="1" applyFill="1" applyFont="1" applyNumberFormat="1">
      <alignment horizontal="right" vertical="center"/>
    </xf>
    <xf borderId="5" fillId="0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left" vertical="center"/>
    </xf>
    <xf borderId="5" fillId="0" fontId="2" numFmtId="165" xfId="0" applyAlignment="1" applyBorder="1" applyFont="1" applyNumberFormat="1">
      <alignment horizontal="right" vertical="center"/>
    </xf>
    <xf borderId="6" fillId="8" fontId="2" numFmtId="165" xfId="0" applyAlignment="1" applyBorder="1" applyFill="1" applyFont="1" applyNumberFormat="1">
      <alignment horizontal="center" vertical="center"/>
    </xf>
    <xf borderId="6" fillId="0" fontId="1" numFmtId="9" xfId="0" applyAlignment="1" applyBorder="1" applyFont="1" applyNumberFormat="1">
      <alignment horizontal="center" readingOrder="0"/>
    </xf>
    <xf borderId="8" fillId="0" fontId="6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 readingOrder="0"/>
    </xf>
    <xf borderId="0" fillId="0" fontId="1" numFmtId="165" xfId="0" applyAlignment="1" applyFont="1" applyNumberFormat="1">
      <alignment horizontal="center" vertical="center"/>
    </xf>
    <xf borderId="9" fillId="0" fontId="7" numFmtId="0" xfId="0" applyAlignment="1" applyBorder="1" applyFont="1">
      <alignment horizontal="center" readingOrder="0" vertical="center"/>
    </xf>
    <xf borderId="10" fillId="0" fontId="2" numFmtId="165" xfId="0" applyAlignment="1" applyBorder="1" applyFont="1" applyNumberFormat="1">
      <alignment horizontal="right" readingOrder="0" vertical="center"/>
    </xf>
    <xf borderId="2" fillId="0" fontId="1" numFmtId="167" xfId="0" applyAlignment="1" applyBorder="1" applyFont="1" applyNumberFormat="1">
      <alignment horizontal="center" readingOrder="0" vertical="center"/>
    </xf>
    <xf borderId="6" fillId="0" fontId="2" numFmtId="165" xfId="0" applyAlignment="1" applyBorder="1" applyFont="1" applyNumberFormat="1">
      <alignment horizontal="right" readingOrder="0" vertical="center"/>
    </xf>
    <xf borderId="0" fillId="0" fontId="2" numFmtId="165" xfId="0" applyAlignment="1" applyFont="1" applyNumberFormat="1">
      <alignment horizontal="right" vertical="center"/>
    </xf>
    <xf borderId="11" fillId="0" fontId="2" numFmtId="165" xfId="0" applyAlignment="1" applyBorder="1" applyFont="1" applyNumberFormat="1">
      <alignment horizontal="right" readingOrder="0" vertical="center"/>
    </xf>
    <xf borderId="1" fillId="0" fontId="2" numFmtId="165" xfId="0" applyAlignment="1" applyBorder="1" applyFont="1" applyNumberFormat="1">
      <alignment horizontal="right" vertical="center"/>
    </xf>
    <xf borderId="1" fillId="0" fontId="2" numFmtId="165" xfId="0" applyAlignment="1" applyBorder="1" applyFont="1" applyNumberFormat="1">
      <alignment horizontal="right" readingOrder="0" vertical="center"/>
    </xf>
    <xf borderId="6" fillId="0" fontId="2" numFmtId="165" xfId="0" applyAlignment="1" applyBorder="1" applyFont="1" applyNumberFormat="1">
      <alignment horizontal="right" vertical="center"/>
    </xf>
    <xf borderId="2" fillId="0" fontId="1" numFmtId="0" xfId="0" applyAlignment="1" applyBorder="1" applyFont="1">
      <alignment horizontal="center" vertical="center"/>
    </xf>
    <xf borderId="11" fillId="0" fontId="2" numFmtId="165" xfId="0" applyAlignment="1" applyBorder="1" applyFont="1" applyNumberFormat="1">
      <alignment horizontal="right" vertical="center"/>
    </xf>
    <xf borderId="6" fillId="0" fontId="6" numFmtId="0" xfId="0" applyAlignment="1" applyBorder="1" applyFont="1">
      <alignment horizontal="center" readingOrder="0" vertical="bottom"/>
    </xf>
    <xf borderId="6" fillId="9" fontId="1" numFmtId="0" xfId="0" applyAlignment="1" applyBorder="1" applyFill="1" applyFont="1">
      <alignment horizontal="center" readingOrder="0" vertical="center"/>
    </xf>
    <xf borderId="6" fillId="9" fontId="2" numFmtId="0" xfId="0" applyAlignment="1" applyBorder="1" applyFill="1" applyFont="1">
      <alignment horizontal="center" readingOrder="0" vertical="center"/>
    </xf>
    <xf borderId="6" fillId="9" fontId="2" numFmtId="0" xfId="0" applyAlignment="1" applyBorder="1" applyFill="1" applyFont="1">
      <alignment horizontal="center" readingOrder="0"/>
    </xf>
    <xf borderId="6" fillId="9" fontId="1" numFmtId="0" xfId="0" applyAlignment="1" applyBorder="1" applyFill="1" applyFont="1">
      <alignment horizontal="center" vertical="center"/>
    </xf>
    <xf borderId="6" fillId="0" fontId="8" numFmtId="0" xfId="0" applyAlignment="1" applyBorder="1" applyFont="1">
      <alignment horizontal="center" readingOrder="0" vertical="center"/>
    </xf>
    <xf borderId="6" fillId="0" fontId="9" numFmtId="0" xfId="0" applyAlignment="1" applyBorder="1" applyFont="1">
      <alignment horizontal="center"/>
    </xf>
    <xf borderId="6" fillId="0" fontId="9" numFmtId="0" xfId="0" applyAlignment="1" applyBorder="1" applyFont="1">
      <alignment horizontal="center" vertical="bottom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horizontal="center" readingOrder="0" vertical="center"/>
    </xf>
    <xf borderId="6" fillId="0" fontId="1" numFmtId="168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9.25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19</v>
      </c>
      <c r="D4" s="16" t="s">
        <v>22</v>
      </c>
      <c r="E4" s="17" t="s">
        <v>24</v>
      </c>
      <c r="F4" s="20">
        <v>46054.0</v>
      </c>
      <c r="G4" s="19"/>
      <c r="H4" s="21">
        <v>340000.0</v>
      </c>
      <c r="I4" s="22" t="s">
        <v>26</v>
      </c>
      <c r="J4" s="22" t="s">
        <v>28</v>
      </c>
      <c r="K4" s="22" t="s">
        <v>29</v>
      </c>
      <c r="L4" s="22" t="s">
        <v>30</v>
      </c>
      <c r="M4" s="22" t="s">
        <v>33</v>
      </c>
      <c r="N4" s="23"/>
      <c r="O4" s="23"/>
      <c r="P4" s="24">
        <v>45231.0</v>
      </c>
      <c r="Q4" s="1"/>
      <c r="R4" s="1"/>
    </row>
    <row r="5">
      <c r="A5" s="1"/>
      <c r="B5" s="14">
        <v>2.0</v>
      </c>
      <c r="C5" s="15" t="s">
        <v>41</v>
      </c>
      <c r="D5" s="16" t="s">
        <v>43</v>
      </c>
      <c r="E5" s="17"/>
      <c r="F5" s="18">
        <v>46054.0</v>
      </c>
      <c r="G5" s="19"/>
      <c r="H5" s="21">
        <v>100000.0</v>
      </c>
      <c r="I5" s="22" t="s">
        <v>25</v>
      </c>
      <c r="J5" s="22"/>
      <c r="K5" s="22"/>
      <c r="L5" s="22" t="s">
        <v>30</v>
      </c>
      <c r="M5" s="22"/>
      <c r="N5" s="25"/>
      <c r="O5" s="25"/>
      <c r="P5" s="26"/>
      <c r="Q5" s="1"/>
      <c r="R5" s="1"/>
    </row>
    <row r="6">
      <c r="A6" s="1"/>
      <c r="B6" s="14">
        <v>3.0</v>
      </c>
      <c r="C6" s="15" t="s">
        <v>50</v>
      </c>
      <c r="D6" s="16" t="s">
        <v>36</v>
      </c>
      <c r="E6" s="17"/>
      <c r="F6" s="20">
        <v>46054.0</v>
      </c>
      <c r="G6" s="19">
        <v>350000.0</v>
      </c>
      <c r="H6" s="21"/>
      <c r="I6" s="22" t="s">
        <v>26</v>
      </c>
      <c r="J6" s="22" t="s">
        <v>28</v>
      </c>
      <c r="K6" s="22" t="s">
        <v>29</v>
      </c>
      <c r="L6" s="22" t="s">
        <v>30</v>
      </c>
      <c r="M6" s="22" t="s">
        <v>33</v>
      </c>
      <c r="N6" s="25"/>
      <c r="O6" s="25"/>
      <c r="P6" s="26"/>
      <c r="Q6" s="1"/>
      <c r="R6" s="1"/>
    </row>
    <row r="7">
      <c r="A7" s="1"/>
      <c r="B7" s="14">
        <v>4.0</v>
      </c>
      <c r="C7" s="15" t="s">
        <v>56</v>
      </c>
      <c r="D7" s="16" t="s">
        <v>36</v>
      </c>
      <c r="E7" s="17"/>
      <c r="F7" s="20">
        <v>46054.0</v>
      </c>
      <c r="G7" s="19">
        <v>1120000.0</v>
      </c>
      <c r="H7" s="31"/>
      <c r="I7" s="22" t="s">
        <v>26</v>
      </c>
      <c r="J7" s="22" t="s">
        <v>28</v>
      </c>
      <c r="K7" s="22" t="s">
        <v>29</v>
      </c>
      <c r="L7" s="22" t="s">
        <v>30</v>
      </c>
      <c r="M7" s="22" t="s">
        <v>33</v>
      </c>
      <c r="N7" s="25"/>
      <c r="O7" s="25"/>
      <c r="P7" s="26"/>
      <c r="Q7" s="1"/>
      <c r="R7" s="1"/>
    </row>
    <row r="8">
      <c r="A8" s="1"/>
      <c r="B8" s="14">
        <v>5.0</v>
      </c>
      <c r="C8" s="15" t="s">
        <v>59</v>
      </c>
      <c r="D8" s="16" t="s">
        <v>60</v>
      </c>
      <c r="E8" s="17"/>
      <c r="F8" s="14" t="s">
        <v>61</v>
      </c>
      <c r="G8" s="19"/>
      <c r="H8" s="21">
        <v>350000.0</v>
      </c>
      <c r="I8" s="22" t="s">
        <v>26</v>
      </c>
      <c r="J8" s="22"/>
      <c r="K8" s="22"/>
      <c r="L8" s="22" t="s">
        <v>30</v>
      </c>
      <c r="M8" s="29"/>
      <c r="N8" s="25"/>
      <c r="O8" s="26"/>
      <c r="P8" s="26"/>
      <c r="Q8" s="1"/>
      <c r="R8" s="1"/>
    </row>
    <row r="9">
      <c r="A9" s="1"/>
      <c r="B9" s="14">
        <v>6.0</v>
      </c>
      <c r="C9" s="15" t="s">
        <v>63</v>
      </c>
      <c r="D9" s="16" t="s">
        <v>36</v>
      </c>
      <c r="E9" s="17"/>
      <c r="F9" s="27">
        <v>46073.0</v>
      </c>
      <c r="G9" s="19"/>
      <c r="H9" s="21">
        <v>100000.0</v>
      </c>
      <c r="I9" s="22" t="s">
        <v>25</v>
      </c>
      <c r="J9" s="22"/>
      <c r="K9" s="22"/>
      <c r="L9" s="22" t="s">
        <v>31</v>
      </c>
      <c r="M9" s="29"/>
      <c r="N9" s="25"/>
      <c r="O9" s="26"/>
      <c r="P9" s="26"/>
      <c r="Q9" s="1"/>
      <c r="R9" s="1"/>
    </row>
    <row r="10">
      <c r="A10" s="1"/>
      <c r="B10" s="14">
        <v>7.0</v>
      </c>
      <c r="C10" s="15" t="s">
        <v>66</v>
      </c>
      <c r="D10" s="16" t="s">
        <v>36</v>
      </c>
      <c r="E10" s="17"/>
      <c r="F10" s="27">
        <v>46054.0</v>
      </c>
      <c r="G10" s="19">
        <v>100000.0</v>
      </c>
      <c r="H10" s="21">
        <v>1100000.0</v>
      </c>
      <c r="I10" s="22" t="s">
        <v>26</v>
      </c>
      <c r="J10" s="22" t="s">
        <v>28</v>
      </c>
      <c r="K10" s="22" t="s">
        <v>28</v>
      </c>
      <c r="L10" s="22" t="s">
        <v>31</v>
      </c>
      <c r="M10" s="22" t="s">
        <v>55</v>
      </c>
      <c r="N10" s="25"/>
      <c r="O10" s="26"/>
      <c r="P10" s="26"/>
      <c r="Q10" s="1"/>
      <c r="R10" s="1"/>
    </row>
    <row r="11">
      <c r="A11" s="1"/>
      <c r="B11" s="14">
        <v>8.0</v>
      </c>
      <c r="C11" s="15" t="s">
        <v>69</v>
      </c>
      <c r="D11" s="16" t="s">
        <v>36</v>
      </c>
      <c r="E11" s="17"/>
      <c r="F11" s="27">
        <v>46061.0</v>
      </c>
      <c r="G11" s="19"/>
      <c r="H11" s="21">
        <v>100000.0</v>
      </c>
      <c r="I11" s="22" t="s">
        <v>25</v>
      </c>
      <c r="J11" s="22"/>
      <c r="K11" s="22"/>
      <c r="L11" s="22" t="s">
        <v>31</v>
      </c>
      <c r="M11" s="29"/>
      <c r="N11" s="25"/>
      <c r="O11" s="26"/>
      <c r="P11" s="26"/>
      <c r="Q11" s="1"/>
      <c r="R11" s="1"/>
    </row>
    <row r="12">
      <c r="A12" s="1"/>
      <c r="B12" s="14">
        <v>9.0</v>
      </c>
      <c r="C12" s="15"/>
      <c r="D12" s="16"/>
      <c r="E12" s="17"/>
      <c r="F12" s="30"/>
      <c r="G12" s="19"/>
      <c r="H12" s="31"/>
      <c r="I12" s="22"/>
      <c r="J12" s="22"/>
      <c r="K12" s="22"/>
      <c r="L12" s="29"/>
      <c r="M12" s="29"/>
      <c r="N12" s="25"/>
      <c r="O12" s="26"/>
      <c r="P12" s="26"/>
      <c r="Q12" s="1"/>
      <c r="R12" s="1"/>
    </row>
    <row r="13">
      <c r="A13" s="1"/>
      <c r="B13" s="14">
        <v>10.0</v>
      </c>
      <c r="C13" s="15"/>
      <c r="D13" s="16"/>
      <c r="E13" s="17"/>
      <c r="F13" s="30"/>
      <c r="G13" s="19"/>
      <c r="H13" s="31"/>
      <c r="I13" s="22"/>
      <c r="J13" s="22"/>
      <c r="K13" s="22"/>
      <c r="L13" s="29"/>
      <c r="M13" s="29"/>
      <c r="N13" s="25"/>
      <c r="O13" s="26"/>
      <c r="P13" s="26"/>
      <c r="Q13" s="1"/>
      <c r="R13" s="1"/>
    </row>
    <row r="14">
      <c r="A14" s="1"/>
      <c r="B14" s="30"/>
      <c r="C14" s="15"/>
      <c r="D14" s="16"/>
      <c r="E14" s="17"/>
      <c r="F14" s="30"/>
      <c r="G14" s="19"/>
      <c r="H14" s="31"/>
      <c r="I14" s="22"/>
      <c r="J14" s="22"/>
      <c r="K14" s="22"/>
      <c r="L14" s="29"/>
      <c r="M14" s="29"/>
      <c r="N14" s="25"/>
      <c r="O14" s="26"/>
      <c r="P14" s="26"/>
      <c r="Q14" s="1"/>
      <c r="R14" s="1"/>
    </row>
    <row r="15">
      <c r="A15" s="1"/>
      <c r="B15" s="30"/>
      <c r="C15" s="15"/>
      <c r="D15" s="16"/>
      <c r="E15" s="17"/>
      <c r="F15" s="30"/>
      <c r="G15" s="19"/>
      <c r="H15" s="31"/>
      <c r="I15" s="22"/>
      <c r="J15" s="22"/>
      <c r="K15" s="22"/>
      <c r="L15" s="29"/>
      <c r="M15" s="29"/>
      <c r="N15" s="25"/>
      <c r="O15" s="26"/>
      <c r="P15" s="26"/>
      <c r="Q15" s="1"/>
      <c r="R15" s="1"/>
    </row>
    <row r="16">
      <c r="A16" s="1"/>
      <c r="B16" s="30"/>
      <c r="C16" s="15"/>
      <c r="D16" s="16"/>
      <c r="E16" s="17"/>
      <c r="F16" s="30"/>
      <c r="G16" s="19"/>
      <c r="H16" s="31"/>
      <c r="I16" s="22"/>
      <c r="J16" s="22"/>
      <c r="K16" s="22"/>
      <c r="L16" s="29"/>
      <c r="M16" s="29"/>
      <c r="N16" s="25"/>
      <c r="O16" s="26"/>
      <c r="P16" s="26"/>
      <c r="Q16" s="1"/>
      <c r="R16" s="1"/>
    </row>
    <row r="17">
      <c r="A17" s="1"/>
      <c r="B17" s="30"/>
      <c r="C17" s="15"/>
      <c r="D17" s="16"/>
      <c r="E17" s="17"/>
      <c r="F17" s="30"/>
      <c r="G17" s="19"/>
      <c r="H17" s="31"/>
      <c r="I17" s="22"/>
      <c r="J17" s="22"/>
      <c r="K17" s="22"/>
      <c r="L17" s="29"/>
      <c r="M17" s="29"/>
      <c r="N17" s="25"/>
      <c r="O17" s="26"/>
      <c r="P17" s="26"/>
      <c r="Q17" s="1"/>
      <c r="R17" s="1"/>
    </row>
    <row r="18">
      <c r="A18" s="1"/>
      <c r="B18" s="30"/>
      <c r="C18" s="32"/>
      <c r="D18" s="16"/>
      <c r="E18" s="17"/>
      <c r="F18" s="30"/>
      <c r="G18" s="28"/>
      <c r="H18" s="31"/>
      <c r="I18" s="29"/>
      <c r="J18" s="29"/>
      <c r="K18" s="29"/>
      <c r="L18" s="29"/>
      <c r="M18" s="29"/>
      <c r="N18" s="33"/>
      <c r="O18" s="33"/>
      <c r="P18" s="33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4">
        <f t="shared" ref="G19:H19" si="1">SUM(G4:G18)</f>
        <v>1570000</v>
      </c>
      <c r="H19" s="35">
        <f t="shared" si="1"/>
        <v>2090000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6" t="s">
        <v>0</v>
      </c>
      <c r="C22" s="37" t="s">
        <v>6</v>
      </c>
      <c r="D22" s="37" t="s">
        <v>70</v>
      </c>
      <c r="E22" s="38"/>
      <c r="F22" s="1"/>
      <c r="G22" s="1"/>
      <c r="H22" s="1"/>
      <c r="I22" s="1"/>
      <c r="J22" s="1"/>
      <c r="K22" s="1"/>
      <c r="L22" s="1"/>
      <c r="M22" s="1"/>
      <c r="N22" s="37" t="s">
        <v>71</v>
      </c>
      <c r="O22" s="37" t="s">
        <v>1</v>
      </c>
      <c r="P22" s="1"/>
      <c r="Q22" s="1"/>
      <c r="R22" s="1"/>
    </row>
    <row r="23">
      <c r="A23" s="1"/>
      <c r="B23" s="39">
        <v>1.0</v>
      </c>
      <c r="C23" s="40" t="s">
        <v>72</v>
      </c>
      <c r="D23" s="41">
        <f>SUM(G19)</f>
        <v>1570000</v>
      </c>
      <c r="E23" s="42"/>
      <c r="F23" s="1"/>
      <c r="G23" s="1"/>
      <c r="H23" s="1"/>
      <c r="I23" s="1"/>
      <c r="J23" s="1"/>
      <c r="K23" s="1"/>
      <c r="L23" s="1"/>
      <c r="M23" s="1"/>
      <c r="N23" s="43" t="s">
        <v>73</v>
      </c>
      <c r="O23" s="23" t="s">
        <v>30</v>
      </c>
      <c r="P23" s="1"/>
      <c r="Q23" s="1"/>
      <c r="R23" s="1"/>
    </row>
    <row r="24">
      <c r="A24" s="1"/>
      <c r="B24" s="44">
        <v>2.0</v>
      </c>
      <c r="C24" s="45" t="s">
        <v>81</v>
      </c>
      <c r="D24" s="46">
        <v>-10000.0</v>
      </c>
      <c r="E24" s="47"/>
      <c r="F24" s="1"/>
      <c r="G24" s="1"/>
      <c r="H24" s="1"/>
      <c r="I24" s="1"/>
      <c r="J24" s="1"/>
      <c r="K24" s="1"/>
      <c r="L24" s="1"/>
      <c r="M24" s="1"/>
      <c r="N24" s="48" t="s">
        <v>75</v>
      </c>
      <c r="O24" s="49" t="s">
        <v>31</v>
      </c>
      <c r="P24" s="1"/>
      <c r="Q24" s="1"/>
      <c r="R24" s="1"/>
    </row>
    <row r="25">
      <c r="A25" s="1"/>
      <c r="B25" s="39">
        <v>3.0</v>
      </c>
      <c r="C25" s="40" t="s">
        <v>83</v>
      </c>
      <c r="D25" s="50">
        <v>-100000.0</v>
      </c>
      <c r="E25" s="47"/>
      <c r="F25" s="1"/>
      <c r="G25" s="1"/>
      <c r="H25" s="1"/>
      <c r="I25" s="1"/>
      <c r="J25" s="1"/>
      <c r="K25" s="1"/>
      <c r="L25" s="1"/>
      <c r="M25" s="1"/>
      <c r="N25" s="51" t="s">
        <v>77</v>
      </c>
      <c r="O25" s="25" t="s">
        <v>33</v>
      </c>
      <c r="P25" s="1"/>
      <c r="Q25" s="1"/>
      <c r="R25" s="1"/>
    </row>
    <row r="26">
      <c r="A26" s="1"/>
      <c r="B26" s="44">
        <v>4.0</v>
      </c>
      <c r="C26" s="45" t="s">
        <v>76</v>
      </c>
      <c r="D26" s="46">
        <v>-16000.0</v>
      </c>
      <c r="E26" s="47"/>
      <c r="F26" s="1"/>
      <c r="G26" s="1"/>
      <c r="H26" s="1"/>
      <c r="I26" s="1"/>
      <c r="J26" s="1"/>
      <c r="K26" s="1"/>
      <c r="L26" s="1"/>
      <c r="M26" s="1"/>
      <c r="N26" s="52" t="s">
        <v>79</v>
      </c>
      <c r="O26" s="49" t="s">
        <v>55</v>
      </c>
      <c r="P26" s="1"/>
      <c r="Q26" s="1"/>
      <c r="R26" s="1"/>
    </row>
    <row r="27">
      <c r="A27" s="1"/>
      <c r="B27" s="39"/>
      <c r="C27" s="53"/>
      <c r="D27" s="41"/>
      <c r="E27" s="42"/>
      <c r="F27" s="1"/>
      <c r="G27" s="1"/>
      <c r="H27" s="1"/>
      <c r="I27" s="1"/>
      <c r="J27" s="1"/>
      <c r="K27" s="1"/>
      <c r="L27" s="1"/>
      <c r="M27" s="1"/>
      <c r="N27" s="54"/>
      <c r="O27" s="1"/>
      <c r="P27" s="1"/>
      <c r="Q27" s="1"/>
      <c r="R27" s="1"/>
    </row>
    <row r="28">
      <c r="A28" s="1"/>
      <c r="B28" s="44"/>
      <c r="C28" s="55"/>
      <c r="D28" s="56"/>
      <c r="E28" s="42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9"/>
      <c r="C29" s="53"/>
      <c r="D29" s="41"/>
      <c r="E29" s="42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4"/>
      <c r="C30" s="55"/>
      <c r="D30" s="56"/>
      <c r="E30" s="42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9"/>
      <c r="C31" s="53"/>
      <c r="D31" s="41"/>
      <c r="E31" s="4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4"/>
      <c r="C32" s="55"/>
      <c r="D32" s="56"/>
      <c r="E32" s="4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7"/>
      <c r="C33" s="58"/>
      <c r="D33" s="59"/>
      <c r="E33" s="4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0">
        <f>SUM(D23:D33)</f>
        <v>1444000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"-,JIJANG,ADDEL,PENTIL,FAHME,INDAH"</formula1>
    </dataValidation>
    <dataValidation type="list" allowBlank="1" showDropDown="1" showErrorMessage="1" sqref="M4:M18 O25:O26">
      <formula1>"-,VERO,FADEL,HANIF ,FAHME,ADIF"</formula1>
    </dataValidation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11.13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23</v>
      </c>
      <c r="D4" s="16" t="s">
        <v>21</v>
      </c>
      <c r="E4" s="17"/>
      <c r="F4" s="18">
        <v>46067.0</v>
      </c>
      <c r="G4" s="19"/>
      <c r="H4" s="21">
        <v>100000.0</v>
      </c>
      <c r="I4" s="22" t="s">
        <v>25</v>
      </c>
      <c r="J4" s="22"/>
      <c r="K4" s="22"/>
      <c r="L4" s="22" t="s">
        <v>31</v>
      </c>
      <c r="M4" s="22"/>
      <c r="N4" s="23"/>
      <c r="O4" s="23"/>
      <c r="P4" s="24">
        <v>45231.0</v>
      </c>
      <c r="Q4" s="1"/>
      <c r="R4" s="1"/>
    </row>
    <row r="5">
      <c r="A5" s="1"/>
      <c r="B5" s="14">
        <v>2.0</v>
      </c>
      <c r="C5" s="15" t="s">
        <v>38</v>
      </c>
      <c r="D5" s="16" t="s">
        <v>21</v>
      </c>
      <c r="E5" s="17"/>
      <c r="F5" s="18">
        <v>46112.0</v>
      </c>
      <c r="G5" s="19"/>
      <c r="H5" s="21">
        <v>100000.0</v>
      </c>
      <c r="I5" s="22" t="s">
        <v>25</v>
      </c>
      <c r="J5" s="22"/>
      <c r="K5" s="22"/>
      <c r="L5" s="22" t="s">
        <v>31</v>
      </c>
      <c r="M5" s="22"/>
      <c r="N5" s="25"/>
      <c r="O5" s="25"/>
      <c r="P5" s="26"/>
      <c r="Q5" s="1"/>
      <c r="R5" s="1"/>
    </row>
    <row r="6">
      <c r="A6" s="1"/>
      <c r="B6" s="14">
        <v>3.0</v>
      </c>
      <c r="C6" s="15" t="s">
        <v>39</v>
      </c>
      <c r="D6" s="16" t="s">
        <v>22</v>
      </c>
      <c r="E6" s="17"/>
      <c r="F6" s="27">
        <v>46055.0</v>
      </c>
      <c r="G6" s="28"/>
      <c r="H6" s="21">
        <v>350000.0</v>
      </c>
      <c r="I6" s="22" t="s">
        <v>26</v>
      </c>
      <c r="J6" s="22" t="s">
        <v>28</v>
      </c>
      <c r="K6" s="22" t="s">
        <v>29</v>
      </c>
      <c r="L6" s="22" t="s">
        <v>31</v>
      </c>
      <c r="M6" s="22" t="s">
        <v>44</v>
      </c>
      <c r="N6" s="25"/>
      <c r="O6" s="25"/>
      <c r="P6" s="26"/>
      <c r="Q6" s="1"/>
      <c r="R6" s="1"/>
    </row>
    <row r="7">
      <c r="A7" s="1"/>
      <c r="B7" s="14">
        <v>4.0</v>
      </c>
      <c r="C7" s="15" t="s">
        <v>45</v>
      </c>
      <c r="D7" s="16" t="s">
        <v>47</v>
      </c>
      <c r="E7" s="17"/>
      <c r="F7" s="27">
        <v>46055.0</v>
      </c>
      <c r="G7" s="19"/>
      <c r="H7" s="21">
        <v>125000.0</v>
      </c>
      <c r="I7" s="22" t="s">
        <v>26</v>
      </c>
      <c r="J7" s="22" t="s">
        <v>28</v>
      </c>
      <c r="K7" s="22" t="s">
        <v>28</v>
      </c>
      <c r="L7" s="22" t="s">
        <v>31</v>
      </c>
      <c r="M7" s="22" t="s">
        <v>44</v>
      </c>
      <c r="N7" s="25"/>
      <c r="O7" s="25"/>
      <c r="P7" s="26"/>
      <c r="Q7" s="1"/>
      <c r="R7" s="1"/>
    </row>
    <row r="8">
      <c r="A8" s="1"/>
      <c r="B8" s="14">
        <v>5.0</v>
      </c>
      <c r="C8" s="15" t="s">
        <v>49</v>
      </c>
      <c r="D8" s="16" t="s">
        <v>36</v>
      </c>
      <c r="E8" s="17"/>
      <c r="F8" s="27">
        <v>46060.0</v>
      </c>
      <c r="G8" s="19"/>
      <c r="H8" s="21">
        <v>100000.0</v>
      </c>
      <c r="I8" s="22" t="s">
        <v>25</v>
      </c>
      <c r="J8" s="22"/>
      <c r="K8" s="22"/>
      <c r="L8" s="22" t="s">
        <v>31</v>
      </c>
      <c r="M8" s="29"/>
      <c r="N8" s="25"/>
      <c r="O8" s="26"/>
      <c r="P8" s="26"/>
      <c r="Q8" s="1"/>
      <c r="R8" s="1"/>
    </row>
    <row r="9">
      <c r="A9" s="1"/>
      <c r="B9" s="14">
        <v>6.0</v>
      </c>
      <c r="C9" s="15" t="s">
        <v>53</v>
      </c>
      <c r="D9" s="16" t="s">
        <v>43</v>
      </c>
      <c r="E9" s="17" t="s">
        <v>54</v>
      </c>
      <c r="F9" s="20">
        <v>46055.0</v>
      </c>
      <c r="G9" s="19"/>
      <c r="H9" s="21">
        <v>150000.0</v>
      </c>
      <c r="I9" s="22" t="s">
        <v>26</v>
      </c>
      <c r="J9" s="22" t="s">
        <v>28</v>
      </c>
      <c r="K9" s="22" t="s">
        <v>28</v>
      </c>
      <c r="L9" s="22" t="s">
        <v>30</v>
      </c>
      <c r="M9" s="22" t="s">
        <v>44</v>
      </c>
      <c r="N9" s="25"/>
      <c r="O9" s="26"/>
      <c r="P9" s="26"/>
      <c r="Q9" s="1"/>
      <c r="R9" s="1"/>
    </row>
    <row r="10">
      <c r="A10" s="1"/>
      <c r="B10" s="14">
        <v>7.0</v>
      </c>
      <c r="C10" s="15"/>
      <c r="D10" s="16"/>
      <c r="E10" s="17"/>
      <c r="F10" s="30"/>
      <c r="G10" s="19"/>
      <c r="H10" s="31"/>
      <c r="I10" s="22"/>
      <c r="J10" s="22"/>
      <c r="K10" s="22"/>
      <c r="L10" s="29"/>
      <c r="M10" s="29"/>
      <c r="N10" s="25"/>
      <c r="O10" s="26"/>
      <c r="P10" s="26"/>
      <c r="Q10" s="1"/>
      <c r="R10" s="1"/>
    </row>
    <row r="11">
      <c r="A11" s="1"/>
      <c r="B11" s="14">
        <v>8.0</v>
      </c>
      <c r="C11" s="15"/>
      <c r="D11" s="16"/>
      <c r="E11" s="17"/>
      <c r="F11" s="30"/>
      <c r="G11" s="19"/>
      <c r="H11" s="31"/>
      <c r="I11" s="22"/>
      <c r="J11" s="22"/>
      <c r="K11" s="22"/>
      <c r="L11" s="29"/>
      <c r="M11" s="29"/>
      <c r="N11" s="25"/>
      <c r="O11" s="26"/>
      <c r="P11" s="26"/>
      <c r="Q11" s="1"/>
      <c r="R11" s="1"/>
    </row>
    <row r="12">
      <c r="A12" s="1"/>
      <c r="B12" s="14">
        <v>9.0</v>
      </c>
      <c r="C12" s="15"/>
      <c r="D12" s="16"/>
      <c r="E12" s="17"/>
      <c r="F12" s="30"/>
      <c r="G12" s="19"/>
      <c r="H12" s="31"/>
      <c r="I12" s="22"/>
      <c r="J12" s="22"/>
      <c r="K12" s="22"/>
      <c r="L12" s="29"/>
      <c r="M12" s="29"/>
      <c r="N12" s="25"/>
      <c r="O12" s="26"/>
      <c r="P12" s="26"/>
      <c r="Q12" s="1"/>
      <c r="R12" s="1"/>
    </row>
    <row r="13">
      <c r="A13" s="1"/>
      <c r="B13" s="14">
        <v>10.0</v>
      </c>
      <c r="C13" s="15"/>
      <c r="D13" s="16"/>
      <c r="E13" s="17"/>
      <c r="F13" s="30"/>
      <c r="G13" s="19"/>
      <c r="H13" s="31"/>
      <c r="I13" s="22"/>
      <c r="J13" s="22"/>
      <c r="K13" s="22"/>
      <c r="L13" s="29"/>
      <c r="M13" s="29"/>
      <c r="N13" s="25"/>
      <c r="O13" s="26"/>
      <c r="P13" s="26"/>
      <c r="Q13" s="1"/>
      <c r="R13" s="1"/>
    </row>
    <row r="14">
      <c r="A14" s="1"/>
      <c r="B14" s="30"/>
      <c r="C14" s="15"/>
      <c r="D14" s="16"/>
      <c r="E14" s="17"/>
      <c r="F14" s="30"/>
      <c r="G14" s="19"/>
      <c r="H14" s="31"/>
      <c r="I14" s="22"/>
      <c r="J14" s="22"/>
      <c r="K14" s="22"/>
      <c r="L14" s="29"/>
      <c r="M14" s="29"/>
      <c r="N14" s="25"/>
      <c r="O14" s="26"/>
      <c r="P14" s="26"/>
      <c r="Q14" s="1"/>
      <c r="R14" s="1"/>
    </row>
    <row r="15">
      <c r="A15" s="1"/>
      <c r="B15" s="30"/>
      <c r="C15" s="15"/>
      <c r="D15" s="16"/>
      <c r="E15" s="17"/>
      <c r="F15" s="30"/>
      <c r="G15" s="19"/>
      <c r="H15" s="31"/>
      <c r="I15" s="22"/>
      <c r="J15" s="22"/>
      <c r="K15" s="22"/>
      <c r="L15" s="29"/>
      <c r="M15" s="29"/>
      <c r="N15" s="25"/>
      <c r="O15" s="26"/>
      <c r="P15" s="26"/>
      <c r="Q15" s="1"/>
      <c r="R15" s="1"/>
    </row>
    <row r="16">
      <c r="A16" s="1"/>
      <c r="B16" s="30"/>
      <c r="C16" s="15"/>
      <c r="D16" s="16"/>
      <c r="E16" s="17"/>
      <c r="F16" s="30"/>
      <c r="G16" s="19"/>
      <c r="H16" s="31"/>
      <c r="I16" s="22"/>
      <c r="J16" s="22"/>
      <c r="K16" s="22"/>
      <c r="L16" s="29"/>
      <c r="M16" s="29"/>
      <c r="N16" s="25"/>
      <c r="O16" s="26"/>
      <c r="P16" s="26"/>
      <c r="Q16" s="1"/>
      <c r="R16" s="1"/>
    </row>
    <row r="17">
      <c r="A17" s="1"/>
      <c r="B17" s="30"/>
      <c r="C17" s="15"/>
      <c r="D17" s="16"/>
      <c r="E17" s="17"/>
      <c r="F17" s="30"/>
      <c r="G17" s="19"/>
      <c r="H17" s="31"/>
      <c r="I17" s="22"/>
      <c r="J17" s="22"/>
      <c r="K17" s="22"/>
      <c r="L17" s="29"/>
      <c r="M17" s="29"/>
      <c r="N17" s="25"/>
      <c r="O17" s="26"/>
      <c r="P17" s="26"/>
      <c r="Q17" s="1"/>
      <c r="R17" s="1"/>
    </row>
    <row r="18">
      <c r="A18" s="1"/>
      <c r="B18" s="30"/>
      <c r="C18" s="32"/>
      <c r="D18" s="16"/>
      <c r="E18" s="17"/>
      <c r="F18" s="30"/>
      <c r="G18" s="28"/>
      <c r="H18" s="31"/>
      <c r="I18" s="29"/>
      <c r="J18" s="29"/>
      <c r="K18" s="29"/>
      <c r="L18" s="29"/>
      <c r="M18" s="29"/>
      <c r="N18" s="33"/>
      <c r="O18" s="33"/>
      <c r="P18" s="33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4">
        <f t="shared" ref="G19:H19" si="1">SUM(G4:G18)</f>
        <v>0</v>
      </c>
      <c r="H19" s="35">
        <f t="shared" si="1"/>
        <v>925000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6" t="s">
        <v>0</v>
      </c>
      <c r="C22" s="37" t="s">
        <v>6</v>
      </c>
      <c r="D22" s="37" t="s">
        <v>70</v>
      </c>
      <c r="E22" s="38"/>
      <c r="F22" s="1"/>
      <c r="G22" s="1"/>
      <c r="H22" s="1"/>
      <c r="I22" s="1"/>
      <c r="J22" s="1"/>
      <c r="K22" s="1"/>
      <c r="L22" s="1"/>
      <c r="M22" s="1"/>
      <c r="N22" s="37" t="s">
        <v>71</v>
      </c>
      <c r="O22" s="37" t="s">
        <v>1</v>
      </c>
      <c r="P22" s="1"/>
      <c r="Q22" s="1"/>
      <c r="R22" s="1"/>
    </row>
    <row r="23">
      <c r="A23" s="1"/>
      <c r="B23" s="39">
        <v>1.0</v>
      </c>
      <c r="C23" s="40" t="s">
        <v>72</v>
      </c>
      <c r="D23" s="41">
        <f>SUM(G19)</f>
        <v>0</v>
      </c>
      <c r="E23" s="42"/>
      <c r="F23" s="1"/>
      <c r="G23" s="1"/>
      <c r="H23" s="1"/>
      <c r="I23" s="1"/>
      <c r="J23" s="1"/>
      <c r="K23" s="1"/>
      <c r="L23" s="1"/>
      <c r="M23" s="1"/>
      <c r="N23" s="43" t="s">
        <v>73</v>
      </c>
      <c r="O23" s="23" t="s">
        <v>31</v>
      </c>
      <c r="P23" s="1"/>
      <c r="Q23" s="1"/>
      <c r="R23" s="1"/>
    </row>
    <row r="24">
      <c r="A24" s="1"/>
      <c r="B24" s="44">
        <v>2.0</v>
      </c>
      <c r="C24" s="45"/>
      <c r="D24" s="46"/>
      <c r="E24" s="47"/>
      <c r="F24" s="1"/>
      <c r="G24" s="1"/>
      <c r="H24" s="1"/>
      <c r="I24" s="1"/>
      <c r="J24" s="1"/>
      <c r="K24" s="1"/>
      <c r="L24" s="1"/>
      <c r="M24" s="1"/>
      <c r="N24" s="48" t="s">
        <v>75</v>
      </c>
      <c r="O24" s="49" t="s">
        <v>30</v>
      </c>
      <c r="P24" s="1"/>
      <c r="Q24" s="1"/>
      <c r="R24" s="1"/>
    </row>
    <row r="25">
      <c r="A25" s="1"/>
      <c r="B25" s="39">
        <v>3.0</v>
      </c>
      <c r="C25" s="40"/>
      <c r="D25" s="50"/>
      <c r="E25" s="47"/>
      <c r="F25" s="1"/>
      <c r="G25" s="1"/>
      <c r="H25" s="1"/>
      <c r="I25" s="1"/>
      <c r="J25" s="1"/>
      <c r="K25" s="1"/>
      <c r="L25" s="1"/>
      <c r="M25" s="1"/>
      <c r="N25" s="51" t="s">
        <v>77</v>
      </c>
      <c r="O25" s="25" t="s">
        <v>44</v>
      </c>
      <c r="P25" s="1"/>
      <c r="Q25" s="1"/>
      <c r="R25" s="1"/>
    </row>
    <row r="26">
      <c r="A26" s="1"/>
      <c r="B26" s="44">
        <v>4.0</v>
      </c>
      <c r="C26" s="45"/>
      <c r="D26" s="46"/>
      <c r="E26" s="47"/>
      <c r="F26" s="1"/>
      <c r="G26" s="1"/>
      <c r="H26" s="1"/>
      <c r="I26" s="1"/>
      <c r="J26" s="1"/>
      <c r="K26" s="1"/>
      <c r="L26" s="1"/>
      <c r="M26" s="1"/>
      <c r="N26" s="52" t="s">
        <v>79</v>
      </c>
      <c r="O26" s="49" t="s">
        <v>44</v>
      </c>
      <c r="P26" s="1"/>
      <c r="Q26" s="1"/>
      <c r="R26" s="1"/>
    </row>
    <row r="27">
      <c r="A27" s="1"/>
      <c r="B27" s="39"/>
      <c r="C27" s="53"/>
      <c r="D27" s="41"/>
      <c r="E27" s="42"/>
      <c r="F27" s="1"/>
      <c r="G27" s="1"/>
      <c r="H27" s="1"/>
      <c r="I27" s="1"/>
      <c r="J27" s="1"/>
      <c r="K27" s="1"/>
      <c r="L27" s="1"/>
      <c r="M27" s="1"/>
      <c r="N27" s="54"/>
      <c r="O27" s="1"/>
      <c r="P27" s="1"/>
      <c r="Q27" s="1"/>
      <c r="R27" s="1"/>
    </row>
    <row r="28">
      <c r="A28" s="1"/>
      <c r="B28" s="44"/>
      <c r="C28" s="55"/>
      <c r="D28" s="56"/>
      <c r="E28" s="42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9"/>
      <c r="C29" s="53"/>
      <c r="D29" s="41"/>
      <c r="E29" s="42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4"/>
      <c r="C30" s="55"/>
      <c r="D30" s="56"/>
      <c r="E30" s="42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9"/>
      <c r="C31" s="53"/>
      <c r="D31" s="41"/>
      <c r="E31" s="4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4"/>
      <c r="C32" s="55"/>
      <c r="D32" s="56"/>
      <c r="E32" s="4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7"/>
      <c r="C33" s="58"/>
      <c r="D33" s="59"/>
      <c r="E33" s="4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0">
        <f>SUM(D23:D33)</f>
        <v>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"-,JIJANG,ADDEL,PENTIL,FAHME,INDAH"</formula1>
    </dataValidation>
    <dataValidation type="list" allowBlank="1" showDropDown="1" showErrorMessage="1" sqref="M4:M18 O25:O26">
      <formula1>"-,VERO,ADIF ,PENTIL,FAHME,ADIF"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Edit,Photofox"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20</v>
      </c>
      <c r="D4" s="16" t="s">
        <v>21</v>
      </c>
      <c r="E4" s="17"/>
      <c r="F4" s="18">
        <v>46067.0</v>
      </c>
      <c r="G4" s="19"/>
      <c r="H4" s="21">
        <v>100000.0</v>
      </c>
      <c r="I4" s="22" t="s">
        <v>25</v>
      </c>
      <c r="J4" s="22"/>
      <c r="K4" s="22"/>
      <c r="L4" s="22" t="s">
        <v>30</v>
      </c>
      <c r="M4" s="22"/>
      <c r="N4" s="23"/>
      <c r="O4" s="23"/>
      <c r="P4" s="24">
        <v>45231.0</v>
      </c>
      <c r="Q4" s="1"/>
      <c r="R4" s="1"/>
    </row>
    <row r="5">
      <c r="A5" s="1"/>
      <c r="B5" s="14">
        <v>2.0</v>
      </c>
      <c r="C5" s="15" t="s">
        <v>34</v>
      </c>
      <c r="D5" s="16" t="s">
        <v>36</v>
      </c>
      <c r="E5" s="17"/>
      <c r="F5" s="18">
        <v>46061.0</v>
      </c>
      <c r="G5" s="19">
        <v>100000.0</v>
      </c>
      <c r="H5" s="21"/>
      <c r="I5" s="22" t="s">
        <v>25</v>
      </c>
      <c r="J5" s="22"/>
      <c r="K5" s="22"/>
      <c r="L5" s="22" t="s">
        <v>30</v>
      </c>
      <c r="M5" s="22"/>
      <c r="N5" s="25"/>
      <c r="O5" s="25"/>
      <c r="P5" s="26"/>
      <c r="Q5" s="1"/>
      <c r="R5" s="1"/>
    </row>
    <row r="6">
      <c r="A6" s="1"/>
      <c r="B6" s="14">
        <v>3.0</v>
      </c>
      <c r="C6" s="15"/>
      <c r="D6" s="16"/>
      <c r="E6" s="17"/>
      <c r="F6" s="30"/>
      <c r="G6" s="28"/>
      <c r="H6" s="21"/>
      <c r="I6" s="22"/>
      <c r="J6" s="22"/>
      <c r="K6" s="22"/>
      <c r="L6" s="29"/>
      <c r="M6" s="29"/>
      <c r="N6" s="25"/>
      <c r="O6" s="25"/>
      <c r="P6" s="26"/>
      <c r="Q6" s="1"/>
      <c r="R6" s="1"/>
    </row>
    <row r="7">
      <c r="A7" s="1"/>
      <c r="B7" s="14">
        <v>4.0</v>
      </c>
      <c r="C7" s="15"/>
      <c r="D7" s="16"/>
      <c r="E7" s="17"/>
      <c r="F7" s="30"/>
      <c r="G7" s="19"/>
      <c r="H7" s="31"/>
      <c r="I7" s="22"/>
      <c r="J7" s="22"/>
      <c r="K7" s="22"/>
      <c r="L7" s="29"/>
      <c r="M7" s="29"/>
      <c r="N7" s="25"/>
      <c r="O7" s="25"/>
      <c r="P7" s="26"/>
      <c r="Q7" s="1"/>
      <c r="R7" s="1"/>
    </row>
    <row r="8">
      <c r="A8" s="1"/>
      <c r="B8" s="14">
        <v>5.0</v>
      </c>
      <c r="C8" s="15"/>
      <c r="D8" s="16"/>
      <c r="E8" s="17"/>
      <c r="F8" s="30"/>
      <c r="G8" s="19"/>
      <c r="H8" s="31"/>
      <c r="I8" s="22"/>
      <c r="J8" s="22"/>
      <c r="K8" s="22"/>
      <c r="L8" s="29"/>
      <c r="M8" s="29"/>
      <c r="N8" s="25"/>
      <c r="O8" s="26"/>
      <c r="P8" s="26"/>
      <c r="Q8" s="1"/>
      <c r="R8" s="1"/>
    </row>
    <row r="9">
      <c r="A9" s="1"/>
      <c r="B9" s="14">
        <v>6.0</v>
      </c>
      <c r="C9" s="15"/>
      <c r="D9" s="16"/>
      <c r="E9" s="17"/>
      <c r="F9" s="30"/>
      <c r="G9" s="19"/>
      <c r="H9" s="31"/>
      <c r="I9" s="22"/>
      <c r="J9" s="22"/>
      <c r="K9" s="22"/>
      <c r="L9" s="29"/>
      <c r="M9" s="29"/>
      <c r="N9" s="25"/>
      <c r="O9" s="26"/>
      <c r="P9" s="26"/>
      <c r="Q9" s="1"/>
      <c r="R9" s="1"/>
    </row>
    <row r="10">
      <c r="A10" s="1"/>
      <c r="B10" s="14">
        <v>7.0</v>
      </c>
      <c r="C10" s="15"/>
      <c r="D10" s="16"/>
      <c r="E10" s="17"/>
      <c r="F10" s="30"/>
      <c r="G10" s="19"/>
      <c r="H10" s="31"/>
      <c r="I10" s="22"/>
      <c r="J10" s="22"/>
      <c r="K10" s="22"/>
      <c r="L10" s="29"/>
      <c r="M10" s="29"/>
      <c r="N10" s="25"/>
      <c r="O10" s="26"/>
      <c r="P10" s="26"/>
      <c r="Q10" s="1"/>
      <c r="R10" s="1"/>
    </row>
    <row r="11">
      <c r="A11" s="1"/>
      <c r="B11" s="14">
        <v>8.0</v>
      </c>
      <c r="C11" s="15"/>
      <c r="D11" s="16"/>
      <c r="E11" s="17"/>
      <c r="F11" s="30"/>
      <c r="G11" s="19"/>
      <c r="H11" s="31"/>
      <c r="I11" s="22"/>
      <c r="J11" s="22"/>
      <c r="K11" s="22"/>
      <c r="L11" s="29"/>
      <c r="M11" s="29"/>
      <c r="N11" s="25"/>
      <c r="O11" s="26"/>
      <c r="P11" s="26"/>
      <c r="Q11" s="1"/>
      <c r="R11" s="1"/>
    </row>
    <row r="12">
      <c r="A12" s="1"/>
      <c r="B12" s="14">
        <v>9.0</v>
      </c>
      <c r="C12" s="15"/>
      <c r="D12" s="16"/>
      <c r="E12" s="17"/>
      <c r="F12" s="30"/>
      <c r="G12" s="19"/>
      <c r="H12" s="31"/>
      <c r="I12" s="22"/>
      <c r="J12" s="22"/>
      <c r="K12" s="22"/>
      <c r="L12" s="29"/>
      <c r="M12" s="29"/>
      <c r="N12" s="25"/>
      <c r="O12" s="26"/>
      <c r="P12" s="26"/>
      <c r="Q12" s="1"/>
      <c r="R12" s="1"/>
    </row>
    <row r="13">
      <c r="A13" s="1"/>
      <c r="B13" s="14">
        <v>10.0</v>
      </c>
      <c r="C13" s="15"/>
      <c r="D13" s="16"/>
      <c r="E13" s="17"/>
      <c r="F13" s="30"/>
      <c r="G13" s="19"/>
      <c r="H13" s="31"/>
      <c r="I13" s="22"/>
      <c r="J13" s="22"/>
      <c r="K13" s="22"/>
      <c r="L13" s="29"/>
      <c r="M13" s="29"/>
      <c r="N13" s="25"/>
      <c r="O13" s="26"/>
      <c r="P13" s="26"/>
      <c r="Q13" s="1"/>
      <c r="R13" s="1"/>
    </row>
    <row r="14">
      <c r="A14" s="1"/>
      <c r="B14" s="30"/>
      <c r="C14" s="15"/>
      <c r="D14" s="16"/>
      <c r="E14" s="17"/>
      <c r="F14" s="30"/>
      <c r="G14" s="19"/>
      <c r="H14" s="31"/>
      <c r="I14" s="22"/>
      <c r="J14" s="22"/>
      <c r="K14" s="22"/>
      <c r="L14" s="29"/>
      <c r="M14" s="29"/>
      <c r="N14" s="25"/>
      <c r="O14" s="26"/>
      <c r="P14" s="26"/>
      <c r="Q14" s="1"/>
      <c r="R14" s="1"/>
    </row>
    <row r="15">
      <c r="A15" s="1"/>
      <c r="B15" s="30"/>
      <c r="C15" s="15"/>
      <c r="D15" s="16"/>
      <c r="E15" s="17"/>
      <c r="F15" s="30"/>
      <c r="G15" s="19"/>
      <c r="H15" s="31"/>
      <c r="I15" s="22"/>
      <c r="J15" s="22"/>
      <c r="K15" s="22"/>
      <c r="L15" s="29"/>
      <c r="M15" s="29"/>
      <c r="N15" s="25"/>
      <c r="O15" s="26"/>
      <c r="P15" s="26"/>
      <c r="Q15" s="1"/>
      <c r="R15" s="1"/>
    </row>
    <row r="16">
      <c r="A16" s="1"/>
      <c r="B16" s="30"/>
      <c r="C16" s="15"/>
      <c r="D16" s="16"/>
      <c r="E16" s="17"/>
      <c r="F16" s="30"/>
      <c r="G16" s="19"/>
      <c r="H16" s="31"/>
      <c r="I16" s="22"/>
      <c r="J16" s="22"/>
      <c r="K16" s="22"/>
      <c r="L16" s="29"/>
      <c r="M16" s="29"/>
      <c r="N16" s="25"/>
      <c r="O16" s="26"/>
      <c r="P16" s="26"/>
      <c r="Q16" s="1"/>
      <c r="R16" s="1"/>
    </row>
    <row r="17">
      <c r="A17" s="1"/>
      <c r="B17" s="30"/>
      <c r="C17" s="15"/>
      <c r="D17" s="16"/>
      <c r="E17" s="17"/>
      <c r="F17" s="30"/>
      <c r="G17" s="19"/>
      <c r="H17" s="31"/>
      <c r="I17" s="22"/>
      <c r="J17" s="22"/>
      <c r="K17" s="22"/>
      <c r="L17" s="29"/>
      <c r="M17" s="29"/>
      <c r="N17" s="25"/>
      <c r="O17" s="26"/>
      <c r="P17" s="26"/>
      <c r="Q17" s="1"/>
      <c r="R17" s="1"/>
    </row>
    <row r="18">
      <c r="A18" s="1"/>
      <c r="B18" s="30"/>
      <c r="C18" s="32"/>
      <c r="D18" s="16"/>
      <c r="E18" s="17"/>
      <c r="F18" s="30"/>
      <c r="G18" s="28"/>
      <c r="H18" s="31"/>
      <c r="I18" s="29"/>
      <c r="J18" s="29"/>
      <c r="K18" s="29"/>
      <c r="L18" s="29"/>
      <c r="M18" s="29"/>
      <c r="N18" s="33"/>
      <c r="O18" s="33"/>
      <c r="P18" s="33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4">
        <f t="shared" ref="G19:H19" si="1">SUM(G4:G18)</f>
        <v>100000</v>
      </c>
      <c r="H19" s="35">
        <f t="shared" si="1"/>
        <v>100000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6" t="s">
        <v>0</v>
      </c>
      <c r="C22" s="37" t="s">
        <v>6</v>
      </c>
      <c r="D22" s="37" t="s">
        <v>70</v>
      </c>
      <c r="E22" s="38"/>
      <c r="F22" s="1"/>
      <c r="G22" s="1"/>
      <c r="H22" s="1"/>
      <c r="I22" s="1"/>
      <c r="J22" s="1"/>
      <c r="K22" s="1"/>
      <c r="L22" s="1"/>
      <c r="M22" s="1"/>
      <c r="N22" s="37" t="s">
        <v>71</v>
      </c>
      <c r="O22" s="37" t="s">
        <v>1</v>
      </c>
      <c r="P22" s="1"/>
      <c r="Q22" s="1"/>
      <c r="R22" s="1"/>
    </row>
    <row r="23">
      <c r="A23" s="1"/>
      <c r="B23" s="39">
        <v>1.0</v>
      </c>
      <c r="C23" s="40" t="s">
        <v>72</v>
      </c>
      <c r="D23" s="41">
        <f>SUM(G19)</f>
        <v>100000</v>
      </c>
      <c r="E23" s="42"/>
      <c r="F23" s="1"/>
      <c r="G23" s="1"/>
      <c r="H23" s="1"/>
      <c r="I23" s="1"/>
      <c r="J23" s="1"/>
      <c r="K23" s="1"/>
      <c r="L23" s="1"/>
      <c r="M23" s="1"/>
      <c r="N23" s="43" t="s">
        <v>73</v>
      </c>
      <c r="O23" s="23" t="s">
        <v>31</v>
      </c>
      <c r="P23" s="1"/>
      <c r="Q23" s="1"/>
      <c r="R23" s="1"/>
    </row>
    <row r="24">
      <c r="A24" s="1"/>
      <c r="B24" s="44">
        <v>2.0</v>
      </c>
      <c r="C24" s="45" t="s">
        <v>80</v>
      </c>
      <c r="D24" s="46">
        <v>-50000.0</v>
      </c>
      <c r="E24" s="47"/>
      <c r="F24" s="1"/>
      <c r="G24" s="1"/>
      <c r="H24" s="1"/>
      <c r="I24" s="1"/>
      <c r="J24" s="1"/>
      <c r="K24" s="1"/>
      <c r="L24" s="1"/>
      <c r="M24" s="1"/>
      <c r="N24" s="48" t="s">
        <v>75</v>
      </c>
      <c r="O24" s="49" t="s">
        <v>30</v>
      </c>
      <c r="P24" s="1"/>
      <c r="Q24" s="1"/>
      <c r="R24" s="1"/>
    </row>
    <row r="25">
      <c r="A25" s="1"/>
      <c r="B25" s="39">
        <v>3.0</v>
      </c>
      <c r="C25" s="40" t="s">
        <v>82</v>
      </c>
      <c r="D25" s="50">
        <v>-30000.0</v>
      </c>
      <c r="E25" s="47"/>
      <c r="F25" s="1"/>
      <c r="G25" s="1"/>
      <c r="H25" s="1"/>
      <c r="I25" s="1"/>
      <c r="J25" s="1"/>
      <c r="K25" s="1"/>
      <c r="L25" s="1"/>
      <c r="M25" s="1"/>
      <c r="N25" s="51" t="s">
        <v>77</v>
      </c>
      <c r="O25" s="25" t="s">
        <v>33</v>
      </c>
      <c r="P25" s="1"/>
      <c r="Q25" s="1"/>
      <c r="R25" s="1"/>
    </row>
    <row r="26">
      <c r="A26" s="1"/>
      <c r="B26" s="44">
        <v>4.0</v>
      </c>
      <c r="C26" s="45" t="s">
        <v>84</v>
      </c>
      <c r="D26" s="46">
        <v>-16000.0</v>
      </c>
      <c r="E26" s="47"/>
      <c r="F26" s="1"/>
      <c r="G26" s="1"/>
      <c r="H26" s="1"/>
      <c r="I26" s="1"/>
      <c r="J26" s="1"/>
      <c r="K26" s="1"/>
      <c r="L26" s="1"/>
      <c r="M26" s="1"/>
      <c r="N26" s="52" t="s">
        <v>79</v>
      </c>
      <c r="O26" s="49" t="s">
        <v>85</v>
      </c>
      <c r="P26" s="1"/>
      <c r="Q26" s="1"/>
      <c r="R26" s="1"/>
    </row>
    <row r="27">
      <c r="A27" s="1"/>
      <c r="B27" s="39"/>
      <c r="C27" s="53"/>
      <c r="D27" s="41"/>
      <c r="E27" s="42"/>
      <c r="F27" s="1"/>
      <c r="G27" s="1"/>
      <c r="H27" s="1"/>
      <c r="I27" s="1"/>
      <c r="J27" s="1"/>
      <c r="K27" s="1"/>
      <c r="L27" s="1"/>
      <c r="M27" s="1"/>
      <c r="N27" s="54"/>
      <c r="O27" s="1"/>
      <c r="P27" s="1"/>
      <c r="Q27" s="1"/>
      <c r="R27" s="1"/>
    </row>
    <row r="28">
      <c r="A28" s="1"/>
      <c r="B28" s="44"/>
      <c r="C28" s="55"/>
      <c r="D28" s="56"/>
      <c r="E28" s="42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9"/>
      <c r="C29" s="53"/>
      <c r="D29" s="41"/>
      <c r="E29" s="42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4"/>
      <c r="C30" s="55"/>
      <c r="D30" s="56"/>
      <c r="E30" s="42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9"/>
      <c r="C31" s="53"/>
      <c r="D31" s="41"/>
      <c r="E31" s="4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4"/>
      <c r="C32" s="55"/>
      <c r="D32" s="56"/>
      <c r="E32" s="4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7"/>
      <c r="C33" s="58"/>
      <c r="D33" s="59"/>
      <c r="E33" s="4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0">
        <f>SUM(D23:D33)</f>
        <v>4000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L4:L18 O23:O24">
      <formula1>"-,JIJANG,AXEL,PENTIL,FAHME,INDAH,ADDEL"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  <dataValidation type="list" allowBlank="1" showDropDown="1" showErrorMessage="1" sqref="M4:M18 O25:O26">
      <formula1>"-,VERO,FADEL,PENTIL,FAHME,ADIF,HANIF"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7.75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18</v>
      </c>
      <c r="D4" s="16" t="s">
        <v>21</v>
      </c>
      <c r="E4" s="17"/>
      <c r="F4" s="18">
        <v>46067.0</v>
      </c>
      <c r="G4" s="19"/>
      <c r="H4" s="21">
        <v>100000.0</v>
      </c>
      <c r="I4" s="22" t="s">
        <v>25</v>
      </c>
      <c r="J4" s="22"/>
      <c r="K4" s="22"/>
      <c r="L4" s="22" t="s">
        <v>27</v>
      </c>
      <c r="M4" s="22"/>
      <c r="N4" s="23"/>
      <c r="O4" s="23"/>
      <c r="P4" s="24">
        <v>45231.0</v>
      </c>
      <c r="Q4" s="1"/>
      <c r="R4" s="1"/>
    </row>
    <row r="5">
      <c r="A5" s="1"/>
      <c r="B5" s="14">
        <v>2.0</v>
      </c>
      <c r="C5" s="15" t="s">
        <v>32</v>
      </c>
      <c r="D5" s="16" t="s">
        <v>21</v>
      </c>
      <c r="E5" s="17"/>
      <c r="F5" s="18">
        <v>46112.0</v>
      </c>
      <c r="G5" s="19"/>
      <c r="H5" s="21">
        <v>100000.0</v>
      </c>
      <c r="I5" s="22" t="s">
        <v>25</v>
      </c>
      <c r="J5" s="22"/>
      <c r="K5" s="22"/>
      <c r="L5" s="22" t="s">
        <v>27</v>
      </c>
      <c r="M5" s="22"/>
      <c r="N5" s="25"/>
      <c r="O5" s="25"/>
      <c r="P5" s="26"/>
      <c r="Q5" s="1"/>
      <c r="R5" s="1"/>
    </row>
    <row r="6">
      <c r="A6" s="1"/>
      <c r="B6" s="14">
        <v>3.0</v>
      </c>
      <c r="C6" s="15" t="s">
        <v>35</v>
      </c>
      <c r="D6" s="16" t="s">
        <v>37</v>
      </c>
      <c r="E6" s="17"/>
      <c r="F6" s="27">
        <v>46062.0</v>
      </c>
      <c r="G6" s="28"/>
      <c r="H6" s="21">
        <v>100000.0</v>
      </c>
      <c r="I6" s="22" t="s">
        <v>25</v>
      </c>
      <c r="J6" s="22"/>
      <c r="K6" s="22"/>
      <c r="L6" s="22" t="s">
        <v>27</v>
      </c>
      <c r="M6" s="29"/>
      <c r="N6" s="25"/>
      <c r="O6" s="25"/>
      <c r="P6" s="26"/>
      <c r="Q6" s="1"/>
      <c r="R6" s="1"/>
    </row>
    <row r="7">
      <c r="A7" s="1"/>
      <c r="B7" s="14">
        <v>4.0</v>
      </c>
      <c r="C7" s="15" t="s">
        <v>40</v>
      </c>
      <c r="D7" s="16" t="s">
        <v>21</v>
      </c>
      <c r="E7" s="17"/>
      <c r="F7" s="14" t="s">
        <v>42</v>
      </c>
      <c r="G7" s="19"/>
      <c r="H7" s="21">
        <v>100000.0</v>
      </c>
      <c r="I7" s="22" t="s">
        <v>25</v>
      </c>
      <c r="J7" s="22"/>
      <c r="K7" s="22"/>
      <c r="L7" s="22" t="s">
        <v>27</v>
      </c>
      <c r="M7" s="29"/>
      <c r="N7" s="25"/>
      <c r="O7" s="25"/>
      <c r="P7" s="26"/>
      <c r="Q7" s="1"/>
      <c r="R7" s="1"/>
    </row>
    <row r="8">
      <c r="A8" s="1"/>
      <c r="B8" s="14">
        <v>5.0</v>
      </c>
      <c r="C8" s="15" t="s">
        <v>46</v>
      </c>
      <c r="D8" s="16" t="s">
        <v>21</v>
      </c>
      <c r="E8" s="17"/>
      <c r="F8" s="20">
        <v>46059.0</v>
      </c>
      <c r="G8" s="19"/>
      <c r="H8" s="21">
        <v>100000.0</v>
      </c>
      <c r="I8" s="22" t="s">
        <v>25</v>
      </c>
      <c r="J8" s="22"/>
      <c r="K8" s="22"/>
      <c r="L8" s="22" t="s">
        <v>30</v>
      </c>
      <c r="M8" s="29"/>
      <c r="N8" s="25"/>
      <c r="O8" s="26"/>
      <c r="P8" s="26"/>
      <c r="Q8" s="1"/>
      <c r="R8" s="1"/>
    </row>
    <row r="9">
      <c r="A9" s="1"/>
      <c r="B9" s="14">
        <v>6.0</v>
      </c>
      <c r="C9" s="15" t="s">
        <v>48</v>
      </c>
      <c r="D9" s="16" t="s">
        <v>21</v>
      </c>
      <c r="E9" s="17"/>
      <c r="F9" s="20">
        <v>46067.0</v>
      </c>
      <c r="G9" s="19"/>
      <c r="H9" s="21">
        <v>100000.0</v>
      </c>
      <c r="I9" s="22" t="s">
        <v>25</v>
      </c>
      <c r="J9" s="22"/>
      <c r="K9" s="22"/>
      <c r="L9" s="22" t="s">
        <v>30</v>
      </c>
      <c r="M9" s="29"/>
      <c r="N9" s="25"/>
      <c r="O9" s="26"/>
      <c r="P9" s="26"/>
      <c r="Q9" s="1"/>
      <c r="R9" s="1"/>
    </row>
    <row r="10">
      <c r="A10" s="1"/>
      <c r="B10" s="14">
        <v>7.0</v>
      </c>
      <c r="C10" s="15" t="s">
        <v>51</v>
      </c>
      <c r="D10" s="16" t="s">
        <v>52</v>
      </c>
      <c r="E10" s="17"/>
      <c r="F10" s="20">
        <v>46057.0</v>
      </c>
      <c r="G10" s="19"/>
      <c r="H10" s="21">
        <v>500000.0</v>
      </c>
      <c r="I10" s="22" t="s">
        <v>26</v>
      </c>
      <c r="J10" s="22" t="s">
        <v>28</v>
      </c>
      <c r="K10" s="22" t="s">
        <v>28</v>
      </c>
      <c r="L10" s="22" t="s">
        <v>30</v>
      </c>
      <c r="M10" s="22" t="s">
        <v>55</v>
      </c>
      <c r="N10" s="25"/>
      <c r="O10" s="26"/>
      <c r="P10" s="26"/>
      <c r="Q10" s="1"/>
      <c r="R10" s="1"/>
    </row>
    <row r="11">
      <c r="A11" s="1"/>
      <c r="B11" s="14">
        <v>8.0</v>
      </c>
      <c r="C11" s="15" t="s">
        <v>57</v>
      </c>
      <c r="D11" s="16" t="s">
        <v>36</v>
      </c>
      <c r="E11" s="17"/>
      <c r="F11" s="20">
        <v>46057.0</v>
      </c>
      <c r="G11" s="19">
        <v>100000.0</v>
      </c>
      <c r="H11" s="31"/>
      <c r="I11" s="22" t="s">
        <v>26</v>
      </c>
      <c r="J11" s="22" t="s">
        <v>28</v>
      </c>
      <c r="K11" s="22" t="s">
        <v>28</v>
      </c>
      <c r="L11" s="22" t="s">
        <v>30</v>
      </c>
      <c r="M11" s="22" t="s">
        <v>55</v>
      </c>
      <c r="N11" s="25"/>
      <c r="O11" s="26"/>
      <c r="P11" s="26"/>
      <c r="Q11" s="1"/>
      <c r="R11" s="1"/>
    </row>
    <row r="12">
      <c r="A12" s="1"/>
      <c r="B12" s="14">
        <v>9.0</v>
      </c>
      <c r="C12" s="15" t="s">
        <v>58</v>
      </c>
      <c r="D12" s="16" t="s">
        <v>36</v>
      </c>
      <c r="E12" s="17"/>
      <c r="F12" s="20">
        <v>46058.0</v>
      </c>
      <c r="G12" s="19"/>
      <c r="H12" s="21">
        <v>100000.0</v>
      </c>
      <c r="I12" s="22" t="s">
        <v>25</v>
      </c>
      <c r="J12" s="22"/>
      <c r="K12" s="22"/>
      <c r="L12" s="22" t="s">
        <v>30</v>
      </c>
      <c r="M12" s="29"/>
      <c r="N12" s="25"/>
      <c r="O12" s="26"/>
      <c r="P12" s="26"/>
      <c r="Q12" s="1"/>
      <c r="R12" s="1"/>
    </row>
    <row r="13">
      <c r="A13" s="1"/>
      <c r="B13" s="14">
        <v>10.0</v>
      </c>
      <c r="C13" s="15" t="s">
        <v>62</v>
      </c>
      <c r="D13" s="16" t="s">
        <v>60</v>
      </c>
      <c r="E13" s="17"/>
      <c r="F13" s="20">
        <v>46058.0</v>
      </c>
      <c r="G13" s="19">
        <v>100000.0</v>
      </c>
      <c r="H13" s="31"/>
      <c r="I13" s="22" t="s">
        <v>25</v>
      </c>
      <c r="J13" s="22"/>
      <c r="K13" s="22"/>
      <c r="L13" s="22" t="s">
        <v>30</v>
      </c>
      <c r="M13" s="29"/>
      <c r="N13" s="25"/>
      <c r="O13" s="26"/>
      <c r="P13" s="26"/>
      <c r="Q13" s="1"/>
      <c r="R13" s="1"/>
    </row>
    <row r="14">
      <c r="A14" s="1"/>
      <c r="B14" s="30"/>
      <c r="C14" s="15" t="s">
        <v>64</v>
      </c>
      <c r="D14" s="16" t="s">
        <v>65</v>
      </c>
      <c r="E14" s="17"/>
      <c r="F14" s="20">
        <v>46067.0</v>
      </c>
      <c r="G14" s="19"/>
      <c r="H14" s="21">
        <v>150000.0</v>
      </c>
      <c r="I14" s="22" t="s">
        <v>25</v>
      </c>
      <c r="J14" s="22"/>
      <c r="K14" s="22"/>
      <c r="L14" s="22" t="s">
        <v>30</v>
      </c>
      <c r="M14" s="29"/>
      <c r="N14" s="25"/>
      <c r="O14" s="26"/>
      <c r="P14" s="26"/>
      <c r="Q14" s="1"/>
      <c r="R14" s="1"/>
    </row>
    <row r="15">
      <c r="A15" s="1"/>
      <c r="B15" s="30"/>
      <c r="C15" s="15" t="s">
        <v>67</v>
      </c>
      <c r="D15" s="16" t="s">
        <v>21</v>
      </c>
      <c r="E15" s="17"/>
      <c r="F15" s="20">
        <v>46067.0</v>
      </c>
      <c r="G15" s="20"/>
      <c r="H15" s="21">
        <v>250000.0</v>
      </c>
      <c r="I15" s="22" t="s">
        <v>26</v>
      </c>
      <c r="J15" s="22"/>
      <c r="K15" s="22"/>
      <c r="L15" s="22" t="s">
        <v>30</v>
      </c>
      <c r="M15" s="29"/>
      <c r="N15" s="25"/>
      <c r="O15" s="26"/>
      <c r="P15" s="26"/>
      <c r="Q15" s="1"/>
      <c r="R15" s="1"/>
    </row>
    <row r="16">
      <c r="A16" s="1"/>
      <c r="B16" s="30"/>
      <c r="C16" s="15" t="s">
        <v>68</v>
      </c>
      <c r="D16" s="16" t="s">
        <v>36</v>
      </c>
      <c r="E16" s="17"/>
      <c r="F16" s="20">
        <v>46060.0</v>
      </c>
      <c r="G16" s="19"/>
      <c r="H16" s="21">
        <v>100000.0</v>
      </c>
      <c r="I16" s="22" t="s">
        <v>25</v>
      </c>
      <c r="J16" s="22"/>
      <c r="K16" s="22"/>
      <c r="L16" s="22" t="s">
        <v>30</v>
      </c>
      <c r="M16" s="29"/>
      <c r="N16" s="25"/>
      <c r="O16" s="26"/>
      <c r="P16" s="26"/>
      <c r="Q16" s="1"/>
      <c r="R16" s="1"/>
    </row>
    <row r="17">
      <c r="A17" s="1"/>
      <c r="B17" s="30"/>
      <c r="C17" s="15"/>
      <c r="D17" s="16"/>
      <c r="E17" s="17"/>
      <c r="F17" s="30"/>
      <c r="G17" s="19"/>
      <c r="H17" s="31"/>
      <c r="I17" s="22"/>
      <c r="J17" s="22"/>
      <c r="K17" s="22"/>
      <c r="L17" s="29"/>
      <c r="M17" s="29"/>
      <c r="N17" s="25"/>
      <c r="O17" s="26"/>
      <c r="P17" s="26"/>
      <c r="Q17" s="1"/>
      <c r="R17" s="1"/>
    </row>
    <row r="18">
      <c r="A18" s="1"/>
      <c r="B18" s="30"/>
      <c r="C18" s="32"/>
      <c r="D18" s="16"/>
      <c r="E18" s="17"/>
      <c r="F18" s="30"/>
      <c r="G18" s="28"/>
      <c r="H18" s="31"/>
      <c r="I18" s="29"/>
      <c r="J18" s="29"/>
      <c r="K18" s="29"/>
      <c r="L18" s="29"/>
      <c r="M18" s="29"/>
      <c r="N18" s="33"/>
      <c r="O18" s="33"/>
      <c r="P18" s="33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4">
        <f t="shared" ref="G19:H19" si="1">SUM(G4:G18)</f>
        <v>200000</v>
      </c>
      <c r="H19" s="35">
        <f t="shared" si="1"/>
        <v>1700000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6" t="s">
        <v>0</v>
      </c>
      <c r="C22" s="37" t="s">
        <v>6</v>
      </c>
      <c r="D22" s="37" t="s">
        <v>70</v>
      </c>
      <c r="E22" s="38"/>
      <c r="F22" s="1"/>
      <c r="G22" s="1"/>
      <c r="H22" s="1"/>
      <c r="I22" s="1"/>
      <c r="J22" s="1"/>
      <c r="K22" s="1"/>
      <c r="L22" s="1"/>
      <c r="M22" s="1"/>
      <c r="N22" s="37" t="s">
        <v>71</v>
      </c>
      <c r="O22" s="37" t="s">
        <v>1</v>
      </c>
      <c r="P22" s="1"/>
      <c r="Q22" s="1"/>
      <c r="R22" s="1"/>
    </row>
    <row r="23">
      <c r="A23" s="1"/>
      <c r="B23" s="39">
        <v>1.0</v>
      </c>
      <c r="C23" s="40" t="s">
        <v>72</v>
      </c>
      <c r="D23" s="41">
        <f>SUM(G19)</f>
        <v>200000</v>
      </c>
      <c r="E23" s="42"/>
      <c r="F23" s="1"/>
      <c r="G23" s="1"/>
      <c r="H23" s="1"/>
      <c r="I23" s="1"/>
      <c r="J23" s="1"/>
      <c r="K23" s="1"/>
      <c r="L23" s="1"/>
      <c r="M23" s="1"/>
      <c r="N23" s="43" t="s">
        <v>73</v>
      </c>
      <c r="O23" s="23" t="s">
        <v>27</v>
      </c>
      <c r="P23" s="1"/>
      <c r="Q23" s="1"/>
      <c r="R23" s="1"/>
    </row>
    <row r="24">
      <c r="A24" s="1"/>
      <c r="B24" s="44">
        <v>2.0</v>
      </c>
      <c r="C24" s="45" t="s">
        <v>74</v>
      </c>
      <c r="D24" s="46">
        <v>-100000.0</v>
      </c>
      <c r="E24" s="47"/>
      <c r="F24" s="1"/>
      <c r="G24" s="1"/>
      <c r="H24" s="1"/>
      <c r="I24" s="1"/>
      <c r="J24" s="1"/>
      <c r="K24" s="1"/>
      <c r="L24" s="1"/>
      <c r="M24" s="1"/>
      <c r="N24" s="48" t="s">
        <v>75</v>
      </c>
      <c r="O24" s="49" t="s">
        <v>30</v>
      </c>
      <c r="P24" s="1"/>
      <c r="Q24" s="1"/>
      <c r="R24" s="1"/>
    </row>
    <row r="25">
      <c r="A25" s="1"/>
      <c r="B25" s="39">
        <v>3.0</v>
      </c>
      <c r="C25" s="40" t="s">
        <v>76</v>
      </c>
      <c r="D25" s="50">
        <v>-50000.0</v>
      </c>
      <c r="E25" s="47"/>
      <c r="F25" s="1"/>
      <c r="G25" s="1"/>
      <c r="H25" s="1"/>
      <c r="I25" s="1"/>
      <c r="J25" s="1"/>
      <c r="K25" s="1"/>
      <c r="L25" s="1"/>
      <c r="M25" s="1"/>
      <c r="N25" s="51" t="s">
        <v>77</v>
      </c>
      <c r="O25" s="25" t="s">
        <v>55</v>
      </c>
      <c r="P25" s="1"/>
      <c r="Q25" s="1"/>
      <c r="R25" s="1"/>
    </row>
    <row r="26">
      <c r="A26" s="1"/>
      <c r="B26" s="44">
        <v>4.0</v>
      </c>
      <c r="C26" s="45" t="s">
        <v>78</v>
      </c>
      <c r="D26" s="46">
        <v>-43000.0</v>
      </c>
      <c r="E26" s="47"/>
      <c r="F26" s="1"/>
      <c r="G26" s="1"/>
      <c r="H26" s="1"/>
      <c r="I26" s="1"/>
      <c r="J26" s="1"/>
      <c r="K26" s="1"/>
      <c r="L26" s="1"/>
      <c r="M26" s="1"/>
      <c r="N26" s="52" t="s">
        <v>79</v>
      </c>
      <c r="O26" s="49" t="s">
        <v>55</v>
      </c>
      <c r="P26" s="1"/>
      <c r="Q26" s="1"/>
      <c r="R26" s="1"/>
    </row>
    <row r="27">
      <c r="A27" s="1"/>
      <c r="B27" s="39"/>
      <c r="C27" s="53"/>
      <c r="D27" s="41"/>
      <c r="E27" s="42"/>
      <c r="F27" s="1"/>
      <c r="G27" s="1"/>
      <c r="H27" s="1"/>
      <c r="I27" s="1"/>
      <c r="J27" s="1"/>
      <c r="K27" s="1"/>
      <c r="L27" s="1"/>
      <c r="M27" s="1"/>
      <c r="N27" s="54"/>
      <c r="O27" s="1"/>
      <c r="P27" s="1"/>
      <c r="Q27" s="1"/>
      <c r="R27" s="1"/>
    </row>
    <row r="28">
      <c r="A28" s="1"/>
      <c r="B28" s="44"/>
      <c r="C28" s="55"/>
      <c r="D28" s="56"/>
      <c r="E28" s="42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9"/>
      <c r="C29" s="53"/>
      <c r="D29" s="41"/>
      <c r="E29" s="42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4"/>
      <c r="C30" s="55"/>
      <c r="D30" s="56"/>
      <c r="E30" s="42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9"/>
      <c r="C31" s="53"/>
      <c r="D31" s="41"/>
      <c r="E31" s="4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4"/>
      <c r="C32" s="55"/>
      <c r="D32" s="56"/>
      <c r="E32" s="4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7"/>
      <c r="C33" s="58"/>
      <c r="D33" s="59"/>
      <c r="E33" s="4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0">
        <f>SUM(D23:D33)</f>
        <v>7000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"-,JIJANG,AXEL,ADDEL ,FAHME,INDAH"</formula1>
    </dataValidation>
    <dataValidation type="list" allowBlank="1" showDropDown="1" showErrorMessage="1" sqref="M4:M18 O25:O26">
      <formula1>"-,VERO,FADEL,PENTIL,FAHME,HANIF 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Edit,Photo Product"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86</v>
      </c>
      <c r="D4" s="16" t="s">
        <v>21</v>
      </c>
      <c r="E4" s="17"/>
      <c r="F4" s="18">
        <v>46112.0</v>
      </c>
      <c r="G4" s="19"/>
      <c r="H4" s="21">
        <v>100000.0</v>
      </c>
      <c r="I4" s="22" t="s">
        <v>25</v>
      </c>
      <c r="J4" s="22"/>
      <c r="K4" s="22"/>
      <c r="L4" s="22" t="s">
        <v>30</v>
      </c>
      <c r="M4" s="22"/>
      <c r="N4" s="23"/>
      <c r="O4" s="23"/>
      <c r="P4" s="24">
        <v>45231.0</v>
      </c>
      <c r="Q4" s="1"/>
      <c r="R4" s="1"/>
    </row>
    <row r="5">
      <c r="A5" s="1"/>
      <c r="B5" s="14">
        <v>2.0</v>
      </c>
      <c r="C5" s="15" t="s">
        <v>89</v>
      </c>
      <c r="D5" s="16" t="s">
        <v>36</v>
      </c>
      <c r="E5" s="17"/>
      <c r="F5" s="18">
        <v>46059.0</v>
      </c>
      <c r="G5" s="19"/>
      <c r="H5" s="21">
        <v>300000.0</v>
      </c>
      <c r="I5" s="22" t="s">
        <v>25</v>
      </c>
      <c r="J5" s="22"/>
      <c r="K5" s="22"/>
      <c r="L5" s="22" t="s">
        <v>30</v>
      </c>
      <c r="M5" s="22"/>
      <c r="N5" s="25"/>
      <c r="O5" s="25"/>
      <c r="P5" s="26"/>
      <c r="Q5" s="1"/>
      <c r="R5" s="1"/>
    </row>
    <row r="6">
      <c r="A6" s="1"/>
      <c r="B6" s="14">
        <v>3.0</v>
      </c>
      <c r="C6" s="15" t="s">
        <v>92</v>
      </c>
      <c r="D6" s="16" t="s">
        <v>21</v>
      </c>
      <c r="E6" s="17"/>
      <c r="F6" s="20">
        <v>46112.0</v>
      </c>
      <c r="G6" s="28"/>
      <c r="H6" s="21">
        <v>100000.0</v>
      </c>
      <c r="I6" s="22" t="s">
        <v>25</v>
      </c>
      <c r="J6" s="22"/>
      <c r="K6" s="22"/>
      <c r="L6" s="22" t="s">
        <v>30</v>
      </c>
      <c r="M6" s="29"/>
      <c r="N6" s="25"/>
      <c r="O6" s="25"/>
      <c r="P6" s="26"/>
      <c r="Q6" s="1"/>
      <c r="R6" s="1"/>
    </row>
    <row r="7">
      <c r="A7" s="1"/>
      <c r="B7" s="14">
        <v>4.0</v>
      </c>
      <c r="C7" s="15" t="s">
        <v>94</v>
      </c>
      <c r="D7" s="16" t="s">
        <v>36</v>
      </c>
      <c r="E7" s="17"/>
      <c r="F7" s="20">
        <v>46060.0</v>
      </c>
      <c r="G7" s="19"/>
      <c r="H7" s="21">
        <v>100000.0</v>
      </c>
      <c r="I7" s="22" t="s">
        <v>25</v>
      </c>
      <c r="J7" s="22"/>
      <c r="K7" s="22"/>
      <c r="L7" s="22" t="s">
        <v>30</v>
      </c>
      <c r="M7" s="29"/>
      <c r="N7" s="25"/>
      <c r="O7" s="25"/>
      <c r="P7" s="26"/>
      <c r="Q7" s="1"/>
      <c r="R7" s="1"/>
    </row>
    <row r="8">
      <c r="A8" s="1"/>
      <c r="B8" s="14">
        <v>5.0</v>
      </c>
      <c r="C8" s="15" t="s">
        <v>58</v>
      </c>
      <c r="D8" s="16" t="s">
        <v>36</v>
      </c>
      <c r="E8" s="17"/>
      <c r="F8" s="20">
        <v>46058.0</v>
      </c>
      <c r="G8" s="19">
        <v>1025000.0</v>
      </c>
      <c r="H8" s="31"/>
      <c r="I8" s="22" t="s">
        <v>26</v>
      </c>
      <c r="J8" s="22" t="s">
        <v>28</v>
      </c>
      <c r="K8" s="22" t="s">
        <v>29</v>
      </c>
      <c r="L8" s="22" t="s">
        <v>30</v>
      </c>
      <c r="M8" s="29"/>
      <c r="N8" s="25"/>
      <c r="O8" s="26"/>
      <c r="P8" s="26"/>
      <c r="Q8" s="1"/>
      <c r="R8" s="1"/>
    </row>
    <row r="9">
      <c r="A9" s="1"/>
      <c r="B9" s="14">
        <v>6.0</v>
      </c>
      <c r="C9" s="15" t="s">
        <v>103</v>
      </c>
      <c r="D9" s="16" t="s">
        <v>60</v>
      </c>
      <c r="E9" s="17"/>
      <c r="F9" s="20">
        <v>46058.0</v>
      </c>
      <c r="G9" s="19">
        <v>150000.0</v>
      </c>
      <c r="H9" s="31"/>
      <c r="I9" s="22" t="s">
        <v>26</v>
      </c>
      <c r="J9" s="22"/>
      <c r="K9" s="22"/>
      <c r="L9" s="22" t="s">
        <v>30</v>
      </c>
      <c r="M9" s="29"/>
      <c r="N9" s="25"/>
      <c r="O9" s="26"/>
      <c r="P9" s="26"/>
      <c r="Q9" s="1"/>
      <c r="R9" s="1"/>
    </row>
    <row r="10">
      <c r="A10" s="1"/>
      <c r="B10" s="14">
        <v>7.0</v>
      </c>
      <c r="C10" s="15" t="s">
        <v>110</v>
      </c>
      <c r="D10" s="16" t="s">
        <v>43</v>
      </c>
      <c r="E10" s="17"/>
      <c r="F10" s="20">
        <v>46060.0</v>
      </c>
      <c r="G10" s="19"/>
      <c r="H10" s="21">
        <v>100000.0</v>
      </c>
      <c r="I10" s="22" t="s">
        <v>25</v>
      </c>
      <c r="J10" s="22"/>
      <c r="K10" s="22"/>
      <c r="L10" s="22" t="s">
        <v>30</v>
      </c>
      <c r="M10" s="29"/>
      <c r="N10" s="25"/>
      <c r="O10" s="26"/>
      <c r="P10" s="26"/>
      <c r="Q10" s="1"/>
      <c r="R10" s="1"/>
    </row>
    <row r="11">
      <c r="A11" s="1"/>
      <c r="B11" s="14">
        <v>8.0</v>
      </c>
      <c r="C11" s="15"/>
      <c r="D11" s="16"/>
      <c r="E11" s="17"/>
      <c r="F11" s="30"/>
      <c r="G11" s="19"/>
      <c r="H11" s="31"/>
      <c r="I11" s="22"/>
      <c r="J11" s="22"/>
      <c r="K11" s="22"/>
      <c r="L11" s="29"/>
      <c r="M11" s="29"/>
      <c r="N11" s="25"/>
      <c r="O11" s="26"/>
      <c r="P11" s="26"/>
      <c r="Q11" s="1"/>
      <c r="R11" s="1"/>
    </row>
    <row r="12">
      <c r="A12" s="1"/>
      <c r="B12" s="14">
        <v>9.0</v>
      </c>
      <c r="C12" s="15"/>
      <c r="D12" s="16"/>
      <c r="E12" s="17"/>
      <c r="F12" s="30"/>
      <c r="G12" s="19"/>
      <c r="H12" s="31"/>
      <c r="I12" s="22"/>
      <c r="J12" s="22"/>
      <c r="K12" s="22"/>
      <c r="L12" s="29"/>
      <c r="M12" s="29"/>
      <c r="N12" s="25"/>
      <c r="O12" s="26"/>
      <c r="P12" s="26"/>
      <c r="Q12" s="1"/>
      <c r="R12" s="1"/>
    </row>
    <row r="13">
      <c r="A13" s="1"/>
      <c r="B13" s="14">
        <v>10.0</v>
      </c>
      <c r="C13" s="15"/>
      <c r="D13" s="16"/>
      <c r="E13" s="17"/>
      <c r="F13" s="30"/>
      <c r="G13" s="19"/>
      <c r="H13" s="31"/>
      <c r="I13" s="22"/>
      <c r="J13" s="22"/>
      <c r="K13" s="22"/>
      <c r="L13" s="29"/>
      <c r="M13" s="29"/>
      <c r="N13" s="25"/>
      <c r="O13" s="26"/>
      <c r="P13" s="26"/>
      <c r="Q13" s="1"/>
      <c r="R13" s="1"/>
    </row>
    <row r="14">
      <c r="A14" s="1"/>
      <c r="B14" s="30"/>
      <c r="C14" s="15"/>
      <c r="D14" s="16"/>
      <c r="E14" s="17"/>
      <c r="F14" s="30"/>
      <c r="G14" s="19"/>
      <c r="H14" s="31"/>
      <c r="I14" s="22"/>
      <c r="J14" s="22"/>
      <c r="K14" s="22"/>
      <c r="L14" s="29"/>
      <c r="M14" s="29"/>
      <c r="N14" s="25"/>
      <c r="O14" s="26"/>
      <c r="P14" s="26"/>
      <c r="Q14" s="1"/>
      <c r="R14" s="1"/>
    </row>
    <row r="15">
      <c r="A15" s="1"/>
      <c r="B15" s="30"/>
      <c r="C15" s="15"/>
      <c r="D15" s="16"/>
      <c r="E15" s="17"/>
      <c r="F15" s="30"/>
      <c r="G15" s="19"/>
      <c r="H15" s="31"/>
      <c r="I15" s="22"/>
      <c r="J15" s="22"/>
      <c r="K15" s="22"/>
      <c r="L15" s="29"/>
      <c r="M15" s="29"/>
      <c r="N15" s="25"/>
      <c r="O15" s="26"/>
      <c r="P15" s="26"/>
      <c r="Q15" s="1"/>
      <c r="R15" s="1"/>
    </row>
    <row r="16">
      <c r="A16" s="1"/>
      <c r="B16" s="30"/>
      <c r="C16" s="15"/>
      <c r="D16" s="16"/>
      <c r="E16" s="17"/>
      <c r="F16" s="30"/>
      <c r="G16" s="19"/>
      <c r="H16" s="31"/>
      <c r="I16" s="22"/>
      <c r="J16" s="22"/>
      <c r="K16" s="22"/>
      <c r="L16" s="29"/>
      <c r="M16" s="29"/>
      <c r="N16" s="25"/>
      <c r="O16" s="26"/>
      <c r="P16" s="26"/>
      <c r="Q16" s="1"/>
      <c r="R16" s="1"/>
    </row>
    <row r="17">
      <c r="A17" s="1"/>
      <c r="B17" s="30"/>
      <c r="C17" s="15"/>
      <c r="D17" s="16"/>
      <c r="E17" s="17"/>
      <c r="F17" s="30"/>
      <c r="G17" s="19"/>
      <c r="H17" s="31"/>
      <c r="I17" s="22"/>
      <c r="J17" s="22"/>
      <c r="K17" s="22"/>
      <c r="L17" s="29"/>
      <c r="M17" s="29"/>
      <c r="N17" s="25"/>
      <c r="O17" s="26"/>
      <c r="P17" s="26"/>
      <c r="Q17" s="1"/>
      <c r="R17" s="1"/>
    </row>
    <row r="18">
      <c r="A18" s="1"/>
      <c r="B18" s="30"/>
      <c r="C18" s="32"/>
      <c r="D18" s="16"/>
      <c r="E18" s="17"/>
      <c r="F18" s="30"/>
      <c r="G18" s="28"/>
      <c r="H18" s="31"/>
      <c r="I18" s="29"/>
      <c r="J18" s="29"/>
      <c r="K18" s="29"/>
      <c r="L18" s="29"/>
      <c r="M18" s="29"/>
      <c r="N18" s="33"/>
      <c r="O18" s="33"/>
      <c r="P18" s="33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4">
        <f t="shared" ref="G19:H19" si="1">SUM(G4:G18)</f>
        <v>1175000</v>
      </c>
      <c r="H19" s="35">
        <f t="shared" si="1"/>
        <v>700000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6" t="s">
        <v>0</v>
      </c>
      <c r="C22" s="37" t="s">
        <v>6</v>
      </c>
      <c r="D22" s="37" t="s">
        <v>70</v>
      </c>
      <c r="E22" s="38"/>
      <c r="F22" s="1"/>
      <c r="G22" s="1"/>
      <c r="H22" s="1"/>
      <c r="I22" s="1"/>
      <c r="J22" s="1"/>
      <c r="K22" s="1"/>
      <c r="L22" s="1"/>
      <c r="M22" s="1"/>
      <c r="N22" s="37" t="s">
        <v>71</v>
      </c>
      <c r="O22" s="37" t="s">
        <v>1</v>
      </c>
      <c r="P22" s="1"/>
      <c r="Q22" s="1"/>
      <c r="R22" s="1"/>
    </row>
    <row r="23">
      <c r="A23" s="1"/>
      <c r="B23" s="39">
        <v>1.0</v>
      </c>
      <c r="C23" s="40" t="s">
        <v>72</v>
      </c>
      <c r="D23" s="41">
        <f>SUM(G19)</f>
        <v>1175000</v>
      </c>
      <c r="E23" s="42"/>
      <c r="F23" s="1"/>
      <c r="G23" s="1"/>
      <c r="H23" s="1"/>
      <c r="I23" s="1"/>
      <c r="J23" s="1"/>
      <c r="K23" s="1"/>
      <c r="L23" s="1"/>
      <c r="M23" s="1"/>
      <c r="N23" s="43" t="s">
        <v>73</v>
      </c>
      <c r="O23" s="23" t="s">
        <v>30</v>
      </c>
      <c r="P23" s="1"/>
      <c r="Q23" s="1"/>
      <c r="R23" s="1"/>
    </row>
    <row r="24">
      <c r="A24" s="1"/>
      <c r="B24" s="44">
        <v>2.0</v>
      </c>
      <c r="C24" s="45" t="s">
        <v>74</v>
      </c>
      <c r="D24" s="46">
        <v>-100000.0</v>
      </c>
      <c r="E24" s="47"/>
      <c r="F24" s="1"/>
      <c r="G24" s="1"/>
      <c r="H24" s="1"/>
      <c r="I24" s="1"/>
      <c r="J24" s="1"/>
      <c r="K24" s="1"/>
      <c r="L24" s="1"/>
      <c r="M24" s="1"/>
      <c r="N24" s="48" t="s">
        <v>75</v>
      </c>
      <c r="O24" s="49" t="s">
        <v>30</v>
      </c>
      <c r="P24" s="1"/>
      <c r="Q24" s="1"/>
      <c r="R24" s="1"/>
    </row>
    <row r="25">
      <c r="A25" s="1"/>
      <c r="B25" s="39">
        <v>3.0</v>
      </c>
      <c r="C25" s="40" t="s">
        <v>76</v>
      </c>
      <c r="D25" s="50">
        <v>-25000.0</v>
      </c>
      <c r="E25" s="47"/>
      <c r="F25" s="1"/>
      <c r="G25" s="1"/>
      <c r="H25" s="1"/>
      <c r="I25" s="1"/>
      <c r="J25" s="1"/>
      <c r="K25" s="1"/>
      <c r="L25" s="1"/>
      <c r="M25" s="1"/>
      <c r="N25" s="51" t="s">
        <v>77</v>
      </c>
      <c r="O25" s="25" t="s">
        <v>33</v>
      </c>
      <c r="P25" s="1"/>
      <c r="Q25" s="1"/>
      <c r="R25" s="1"/>
    </row>
    <row r="26">
      <c r="A26" s="1"/>
      <c r="B26" s="44">
        <v>4.0</v>
      </c>
      <c r="C26" s="45"/>
      <c r="D26" s="46"/>
      <c r="E26" s="47"/>
      <c r="F26" s="1"/>
      <c r="G26" s="1"/>
      <c r="H26" s="1"/>
      <c r="I26" s="1"/>
      <c r="J26" s="1"/>
      <c r="K26" s="1"/>
      <c r="L26" s="1"/>
      <c r="M26" s="1"/>
      <c r="N26" s="52" t="s">
        <v>79</v>
      </c>
      <c r="O26" s="49" t="s">
        <v>85</v>
      </c>
      <c r="P26" s="1"/>
      <c r="Q26" s="1"/>
      <c r="R26" s="1"/>
    </row>
    <row r="27">
      <c r="A27" s="1"/>
      <c r="B27" s="39"/>
      <c r="C27" s="53"/>
      <c r="D27" s="41"/>
      <c r="E27" s="42"/>
      <c r="F27" s="1"/>
      <c r="G27" s="1"/>
      <c r="H27" s="1"/>
      <c r="I27" s="1"/>
      <c r="J27" s="1"/>
      <c r="K27" s="1"/>
      <c r="L27" s="1"/>
      <c r="M27" s="1"/>
      <c r="N27" s="54"/>
      <c r="O27" s="1"/>
      <c r="P27" s="1"/>
      <c r="Q27" s="1"/>
      <c r="R27" s="1"/>
    </row>
    <row r="28">
      <c r="A28" s="1"/>
      <c r="B28" s="44"/>
      <c r="C28" s="55"/>
      <c r="D28" s="56"/>
      <c r="E28" s="42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9"/>
      <c r="C29" s="53"/>
      <c r="D29" s="41"/>
      <c r="E29" s="42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4"/>
      <c r="C30" s="55"/>
      <c r="D30" s="56"/>
      <c r="E30" s="42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9"/>
      <c r="C31" s="53"/>
      <c r="D31" s="41"/>
      <c r="E31" s="4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4"/>
      <c r="C32" s="55"/>
      <c r="D32" s="56"/>
      <c r="E32" s="4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7"/>
      <c r="C33" s="58"/>
      <c r="D33" s="59"/>
      <c r="E33" s="4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0">
        <f>SUM(D23:D33)</f>
        <v>1050000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"-,JIJANG,AXEL,PENTIL,FAHME,INDAH"</formula1>
    </dataValidation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  <dataValidation type="list" allowBlank="1" showDropDown="1" showErrorMessage="1" sqref="M4:M18 O25:O26">
      <formula1>"-,VERO,FADEL,PENTIL,FAHME,ADIF,HANIF"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87</v>
      </c>
      <c r="D4" s="16" t="s">
        <v>60</v>
      </c>
      <c r="E4" s="17"/>
      <c r="F4" s="18">
        <v>46066.0</v>
      </c>
      <c r="G4" s="19"/>
      <c r="H4" s="21">
        <v>200000.0</v>
      </c>
      <c r="I4" s="22" t="s">
        <v>25</v>
      </c>
      <c r="J4" s="22"/>
      <c r="K4" s="22"/>
      <c r="L4" s="22" t="s">
        <v>30</v>
      </c>
      <c r="M4" s="22"/>
      <c r="N4" s="23"/>
      <c r="O4" s="23"/>
      <c r="P4" s="24">
        <v>45231.0</v>
      </c>
      <c r="Q4" s="1"/>
      <c r="R4" s="1"/>
    </row>
    <row r="5">
      <c r="A5" s="1"/>
      <c r="B5" s="14">
        <v>2.0</v>
      </c>
      <c r="C5" s="15" t="s">
        <v>46</v>
      </c>
      <c r="D5" s="16" t="s">
        <v>21</v>
      </c>
      <c r="E5" s="17"/>
      <c r="F5" s="18">
        <v>46059.0</v>
      </c>
      <c r="G5" s="19"/>
      <c r="H5" s="21">
        <v>250000.0</v>
      </c>
      <c r="I5" s="22" t="s">
        <v>26</v>
      </c>
      <c r="J5" s="22" t="s">
        <v>28</v>
      </c>
      <c r="K5" s="22" t="s">
        <v>29</v>
      </c>
      <c r="L5" s="22" t="s">
        <v>30</v>
      </c>
      <c r="M5" s="22" t="s">
        <v>85</v>
      </c>
      <c r="N5" s="25"/>
      <c r="O5" s="25"/>
      <c r="P5" s="26"/>
      <c r="Q5" s="1"/>
      <c r="R5" s="1"/>
    </row>
    <row r="6">
      <c r="A6" s="1"/>
      <c r="B6" s="14">
        <v>3.0</v>
      </c>
      <c r="C6" s="15" t="s">
        <v>91</v>
      </c>
      <c r="D6" s="16" t="s">
        <v>36</v>
      </c>
      <c r="E6" s="17"/>
      <c r="F6" s="20">
        <v>46060.0</v>
      </c>
      <c r="G6" s="28"/>
      <c r="H6" s="21">
        <v>100000.0</v>
      </c>
      <c r="I6" s="22" t="s">
        <v>25</v>
      </c>
      <c r="J6" s="22"/>
      <c r="K6" s="22"/>
      <c r="L6" s="22" t="s">
        <v>30</v>
      </c>
      <c r="M6" s="29"/>
      <c r="N6" s="25"/>
      <c r="O6" s="25"/>
      <c r="P6" s="26"/>
      <c r="Q6" s="1"/>
      <c r="R6" s="1"/>
    </row>
    <row r="7">
      <c r="A7" s="1"/>
      <c r="B7" s="14">
        <v>4.0</v>
      </c>
      <c r="C7" s="15" t="s">
        <v>95</v>
      </c>
      <c r="D7" s="16" t="s">
        <v>21</v>
      </c>
      <c r="E7" s="17"/>
      <c r="F7" s="20">
        <v>46063.0</v>
      </c>
      <c r="G7" s="19"/>
      <c r="H7" s="21">
        <v>100000.0</v>
      </c>
      <c r="I7" s="22" t="s">
        <v>25</v>
      </c>
      <c r="J7" s="22"/>
      <c r="K7" s="22"/>
      <c r="L7" s="22" t="s">
        <v>30</v>
      </c>
      <c r="M7" s="29"/>
      <c r="N7" s="25"/>
      <c r="O7" s="25"/>
      <c r="P7" s="26"/>
      <c r="Q7" s="1"/>
      <c r="R7" s="1"/>
    </row>
    <row r="8">
      <c r="A8" s="1"/>
      <c r="B8" s="14">
        <v>5.0</v>
      </c>
      <c r="C8" s="15" t="s">
        <v>97</v>
      </c>
      <c r="D8" s="16" t="s">
        <v>98</v>
      </c>
      <c r="E8" s="17"/>
      <c r="F8" s="20">
        <v>46059.0</v>
      </c>
      <c r="G8" s="19"/>
      <c r="H8" s="21">
        <v>50000.0</v>
      </c>
      <c r="I8" s="22" t="s">
        <v>26</v>
      </c>
      <c r="J8" s="22" t="s">
        <v>28</v>
      </c>
      <c r="K8" s="22" t="s">
        <v>28</v>
      </c>
      <c r="L8" s="22" t="s">
        <v>30</v>
      </c>
      <c r="M8" s="22" t="s">
        <v>85</v>
      </c>
      <c r="N8" s="25"/>
      <c r="O8" s="26"/>
      <c r="P8" s="26"/>
      <c r="Q8" s="1"/>
      <c r="R8" s="1"/>
    </row>
    <row r="9">
      <c r="A9" s="1"/>
      <c r="B9" s="14">
        <v>6.0</v>
      </c>
      <c r="C9" s="15" t="s">
        <v>100</v>
      </c>
      <c r="D9" s="16" t="s">
        <v>36</v>
      </c>
      <c r="E9" s="17"/>
      <c r="F9" s="27">
        <v>46069.0</v>
      </c>
      <c r="G9" s="19"/>
      <c r="H9" s="21">
        <v>100000.0</v>
      </c>
      <c r="I9" s="22" t="s">
        <v>25</v>
      </c>
      <c r="J9" s="22"/>
      <c r="K9" s="22"/>
      <c r="L9" s="22" t="s">
        <v>31</v>
      </c>
      <c r="M9" s="29"/>
      <c r="N9" s="25"/>
      <c r="O9" s="26"/>
      <c r="P9" s="26"/>
      <c r="Q9" s="1"/>
      <c r="R9" s="1"/>
    </row>
    <row r="10">
      <c r="A10" s="1"/>
      <c r="B10" s="14">
        <v>7.0</v>
      </c>
      <c r="C10" s="15" t="s">
        <v>88</v>
      </c>
      <c r="D10" s="16" t="s">
        <v>36</v>
      </c>
      <c r="E10" s="17"/>
      <c r="F10" s="27">
        <v>46060.0</v>
      </c>
      <c r="G10" s="19"/>
      <c r="H10" s="21">
        <v>100000.0</v>
      </c>
      <c r="I10" s="22" t="s">
        <v>25</v>
      </c>
      <c r="J10" s="22"/>
      <c r="K10" s="22"/>
      <c r="L10" s="22" t="s">
        <v>31</v>
      </c>
      <c r="M10" s="29"/>
      <c r="N10" s="25"/>
      <c r="O10" s="26"/>
      <c r="P10" s="26"/>
      <c r="Q10" s="1"/>
      <c r="R10" s="1"/>
    </row>
    <row r="11">
      <c r="A11" s="1"/>
      <c r="B11" s="14">
        <v>8.0</v>
      </c>
      <c r="C11" s="15" t="s">
        <v>35</v>
      </c>
      <c r="D11" s="16" t="s">
        <v>98</v>
      </c>
      <c r="E11" s="17"/>
      <c r="F11" s="27">
        <v>46059.0</v>
      </c>
      <c r="G11" s="19"/>
      <c r="H11" s="21">
        <v>50000.0</v>
      </c>
      <c r="I11" s="22" t="s">
        <v>26</v>
      </c>
      <c r="J11" s="22" t="s">
        <v>28</v>
      </c>
      <c r="K11" s="22" t="s">
        <v>28</v>
      </c>
      <c r="L11" s="22" t="s">
        <v>31</v>
      </c>
      <c r="M11" s="22" t="s">
        <v>44</v>
      </c>
      <c r="N11" s="25"/>
      <c r="O11" s="26"/>
      <c r="P11" s="26"/>
      <c r="Q11" s="1"/>
      <c r="R11" s="1"/>
    </row>
    <row r="12">
      <c r="A12" s="1"/>
      <c r="B12" s="14">
        <v>9.0</v>
      </c>
      <c r="C12" s="15" t="s">
        <v>108</v>
      </c>
      <c r="D12" s="16" t="s">
        <v>36</v>
      </c>
      <c r="E12" s="17"/>
      <c r="F12" s="27">
        <v>46059.0</v>
      </c>
      <c r="G12" s="19">
        <v>700000.0</v>
      </c>
      <c r="H12" s="21">
        <v>300000.0</v>
      </c>
      <c r="I12" s="22" t="s">
        <v>26</v>
      </c>
      <c r="J12" s="22" t="s">
        <v>28</v>
      </c>
      <c r="K12" s="22" t="s">
        <v>29</v>
      </c>
      <c r="L12" s="22" t="s">
        <v>31</v>
      </c>
      <c r="M12" s="22" t="s">
        <v>44</v>
      </c>
      <c r="N12" s="25"/>
      <c r="O12" s="26"/>
      <c r="P12" s="26"/>
      <c r="Q12" s="1"/>
      <c r="R12" s="1"/>
    </row>
    <row r="13">
      <c r="A13" s="1"/>
      <c r="B13" s="14">
        <v>10.0</v>
      </c>
      <c r="C13" s="15"/>
      <c r="D13" s="16"/>
      <c r="E13" s="17"/>
      <c r="F13" s="30"/>
      <c r="G13" s="19"/>
      <c r="H13" s="31"/>
      <c r="I13" s="22"/>
      <c r="J13" s="22"/>
      <c r="K13" s="22"/>
      <c r="L13" s="29"/>
      <c r="M13" s="29"/>
      <c r="N13" s="25"/>
      <c r="O13" s="26"/>
      <c r="P13" s="26"/>
      <c r="Q13" s="1"/>
      <c r="R13" s="1"/>
    </row>
    <row r="14">
      <c r="A14" s="1"/>
      <c r="B14" s="30"/>
      <c r="C14" s="15"/>
      <c r="D14" s="16"/>
      <c r="E14" s="17"/>
      <c r="F14" s="30"/>
      <c r="G14" s="19"/>
      <c r="H14" s="31"/>
      <c r="I14" s="22"/>
      <c r="J14" s="22"/>
      <c r="K14" s="22"/>
      <c r="L14" s="29"/>
      <c r="M14" s="29"/>
      <c r="N14" s="25"/>
      <c r="O14" s="26"/>
      <c r="P14" s="26"/>
      <c r="Q14" s="1"/>
      <c r="R14" s="1"/>
    </row>
    <row r="15">
      <c r="A15" s="1"/>
      <c r="B15" s="30"/>
      <c r="C15" s="15"/>
      <c r="D15" s="16"/>
      <c r="E15" s="17"/>
      <c r="F15" s="30"/>
      <c r="G15" s="19"/>
      <c r="H15" s="31"/>
      <c r="I15" s="22"/>
      <c r="J15" s="22"/>
      <c r="K15" s="22"/>
      <c r="L15" s="29"/>
      <c r="M15" s="29"/>
      <c r="N15" s="25"/>
      <c r="O15" s="26"/>
      <c r="P15" s="26"/>
      <c r="Q15" s="1"/>
      <c r="R15" s="1"/>
    </row>
    <row r="16">
      <c r="A16" s="1"/>
      <c r="B16" s="30"/>
      <c r="C16" s="15"/>
      <c r="D16" s="16"/>
      <c r="E16" s="17"/>
      <c r="F16" s="30"/>
      <c r="G16" s="19"/>
      <c r="H16" s="31"/>
      <c r="I16" s="22"/>
      <c r="J16" s="22"/>
      <c r="K16" s="22"/>
      <c r="L16" s="29"/>
      <c r="M16" s="29"/>
      <c r="N16" s="25"/>
      <c r="O16" s="26"/>
      <c r="P16" s="26"/>
      <c r="Q16" s="1"/>
      <c r="R16" s="1"/>
    </row>
    <row r="17">
      <c r="A17" s="1"/>
      <c r="B17" s="30"/>
      <c r="C17" s="15"/>
      <c r="D17" s="16"/>
      <c r="E17" s="17"/>
      <c r="F17" s="30"/>
      <c r="G17" s="19"/>
      <c r="H17" s="31"/>
      <c r="I17" s="22"/>
      <c r="J17" s="22"/>
      <c r="K17" s="22"/>
      <c r="L17" s="29"/>
      <c r="M17" s="29"/>
      <c r="N17" s="25"/>
      <c r="O17" s="26"/>
      <c r="P17" s="26"/>
      <c r="Q17" s="1"/>
      <c r="R17" s="1"/>
    </row>
    <row r="18">
      <c r="A18" s="1"/>
      <c r="B18" s="30"/>
      <c r="C18" s="32"/>
      <c r="D18" s="16"/>
      <c r="E18" s="17"/>
      <c r="F18" s="30"/>
      <c r="G18" s="28"/>
      <c r="H18" s="31"/>
      <c r="I18" s="29"/>
      <c r="J18" s="29"/>
      <c r="K18" s="29"/>
      <c r="L18" s="29"/>
      <c r="M18" s="29"/>
      <c r="N18" s="33"/>
      <c r="O18" s="33"/>
      <c r="P18" s="33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4">
        <f t="shared" ref="G19:H19" si="1">SUM(G4:G18)</f>
        <v>700000</v>
      </c>
      <c r="H19" s="35">
        <f t="shared" si="1"/>
        <v>1250000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6" t="s">
        <v>0</v>
      </c>
      <c r="C22" s="37" t="s">
        <v>6</v>
      </c>
      <c r="D22" s="37" t="s">
        <v>70</v>
      </c>
      <c r="E22" s="38"/>
      <c r="F22" s="1"/>
      <c r="G22" s="1"/>
      <c r="H22" s="1"/>
      <c r="I22" s="1"/>
      <c r="J22" s="1"/>
      <c r="K22" s="1"/>
      <c r="L22" s="1"/>
      <c r="M22" s="1"/>
      <c r="N22" s="37" t="s">
        <v>71</v>
      </c>
      <c r="O22" s="37" t="s">
        <v>1</v>
      </c>
      <c r="P22" s="1"/>
      <c r="Q22" s="1"/>
      <c r="R22" s="1"/>
    </row>
    <row r="23">
      <c r="A23" s="1"/>
      <c r="B23" s="39">
        <v>1.0</v>
      </c>
      <c r="C23" s="40" t="s">
        <v>72</v>
      </c>
      <c r="D23" s="41">
        <f>SUM(G19)</f>
        <v>700000</v>
      </c>
      <c r="E23" s="42"/>
      <c r="F23" s="1"/>
      <c r="G23" s="1"/>
      <c r="H23" s="1"/>
      <c r="I23" s="1"/>
      <c r="J23" s="1"/>
      <c r="K23" s="1"/>
      <c r="L23" s="1"/>
      <c r="M23" s="1"/>
      <c r="N23" s="43" t="s">
        <v>73</v>
      </c>
      <c r="O23" s="23" t="s">
        <v>30</v>
      </c>
      <c r="P23" s="1"/>
      <c r="Q23" s="1"/>
      <c r="R23" s="1"/>
    </row>
    <row r="24">
      <c r="A24" s="1"/>
      <c r="B24" s="44">
        <v>2.0</v>
      </c>
      <c r="C24" s="45"/>
      <c r="D24" s="46"/>
      <c r="E24" s="47"/>
      <c r="F24" s="1"/>
      <c r="G24" s="1"/>
      <c r="H24" s="1"/>
      <c r="I24" s="1"/>
      <c r="J24" s="1"/>
      <c r="K24" s="1"/>
      <c r="L24" s="1"/>
      <c r="M24" s="1"/>
      <c r="N24" s="48" t="s">
        <v>75</v>
      </c>
      <c r="O24" s="49" t="s">
        <v>31</v>
      </c>
      <c r="P24" s="1"/>
      <c r="Q24" s="1"/>
      <c r="R24" s="1"/>
    </row>
    <row r="25">
      <c r="A25" s="1"/>
      <c r="B25" s="39">
        <v>3.0</v>
      </c>
      <c r="C25" s="40"/>
      <c r="D25" s="50"/>
      <c r="E25" s="47"/>
      <c r="F25" s="1"/>
      <c r="G25" s="1"/>
      <c r="H25" s="1"/>
      <c r="I25" s="1"/>
      <c r="J25" s="1"/>
      <c r="K25" s="1"/>
      <c r="L25" s="1"/>
      <c r="M25" s="1"/>
      <c r="N25" s="51" t="s">
        <v>77</v>
      </c>
      <c r="O25" s="25" t="s">
        <v>85</v>
      </c>
      <c r="P25" s="1"/>
      <c r="Q25" s="1"/>
      <c r="R25" s="1"/>
    </row>
    <row r="26">
      <c r="A26" s="1"/>
      <c r="B26" s="44">
        <v>4.0</v>
      </c>
      <c r="C26" s="45"/>
      <c r="D26" s="46"/>
      <c r="E26" s="47"/>
      <c r="F26" s="1"/>
      <c r="G26" s="1"/>
      <c r="H26" s="1"/>
      <c r="I26" s="1"/>
      <c r="J26" s="1"/>
      <c r="K26" s="1"/>
      <c r="L26" s="1"/>
      <c r="M26" s="1"/>
      <c r="N26" s="52" t="s">
        <v>79</v>
      </c>
      <c r="O26" s="49" t="s">
        <v>44</v>
      </c>
      <c r="P26" s="1"/>
      <c r="Q26" s="1"/>
      <c r="R26" s="1"/>
    </row>
    <row r="27">
      <c r="A27" s="1"/>
      <c r="B27" s="39"/>
      <c r="C27" s="53"/>
      <c r="D27" s="41"/>
      <c r="E27" s="42"/>
      <c r="F27" s="1"/>
      <c r="G27" s="1"/>
      <c r="H27" s="1"/>
      <c r="I27" s="1"/>
      <c r="J27" s="1"/>
      <c r="K27" s="1"/>
      <c r="L27" s="1"/>
      <c r="M27" s="1"/>
      <c r="N27" s="54"/>
      <c r="O27" s="1"/>
      <c r="P27" s="1"/>
      <c r="Q27" s="1"/>
      <c r="R27" s="1"/>
    </row>
    <row r="28">
      <c r="A28" s="1"/>
      <c r="B28" s="44"/>
      <c r="C28" s="55"/>
      <c r="D28" s="56"/>
      <c r="E28" s="42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9"/>
      <c r="C29" s="53"/>
      <c r="D29" s="41"/>
      <c r="E29" s="42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4"/>
      <c r="C30" s="55"/>
      <c r="D30" s="56"/>
      <c r="E30" s="42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9"/>
      <c r="C31" s="53"/>
      <c r="D31" s="41"/>
      <c r="E31" s="4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4"/>
      <c r="C32" s="55"/>
      <c r="D32" s="56"/>
      <c r="E32" s="4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7"/>
      <c r="C33" s="58"/>
      <c r="D33" s="59"/>
      <c r="E33" s="4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0">
        <f>SUM(D23:D33)</f>
        <v>700000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"-,JIJANG,AXEL,ADDEL,FAHME,INDAH"</formula1>
    </dataValidation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DropDown="1" showErrorMessage="1" sqref="M4:M18 O25:O26">
      <formula1>"-,VERO,FADEL,PENTIL,FAHME,HANIF,ADIF 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88</v>
      </c>
      <c r="D4" s="16" t="s">
        <v>36</v>
      </c>
      <c r="E4" s="17"/>
      <c r="F4" s="18">
        <v>46060.0</v>
      </c>
      <c r="G4" s="19">
        <v>675000.0</v>
      </c>
      <c r="H4" s="21"/>
      <c r="I4" s="22" t="s">
        <v>26</v>
      </c>
      <c r="J4" s="22" t="s">
        <v>28</v>
      </c>
      <c r="K4" s="22" t="s">
        <v>28</v>
      </c>
      <c r="L4" s="22" t="s">
        <v>31</v>
      </c>
      <c r="M4" s="22" t="s">
        <v>44</v>
      </c>
      <c r="N4" s="23"/>
      <c r="O4" s="23"/>
      <c r="P4" s="24">
        <v>45231.0</v>
      </c>
      <c r="Q4" s="1"/>
      <c r="R4" s="1"/>
    </row>
    <row r="5">
      <c r="A5" s="1"/>
      <c r="B5" s="14">
        <v>2.0</v>
      </c>
      <c r="C5" s="15" t="s">
        <v>93</v>
      </c>
      <c r="D5" s="16" t="s">
        <v>36</v>
      </c>
      <c r="E5" s="17"/>
      <c r="F5" s="18">
        <v>46060.0</v>
      </c>
      <c r="G5" s="19"/>
      <c r="H5" s="21">
        <v>100000.0</v>
      </c>
      <c r="I5" s="22" t="s">
        <v>25</v>
      </c>
      <c r="J5" s="22"/>
      <c r="K5" s="22"/>
      <c r="L5" s="22" t="s">
        <v>31</v>
      </c>
      <c r="M5" s="22"/>
      <c r="N5" s="25"/>
      <c r="O5" s="25"/>
      <c r="P5" s="26"/>
      <c r="Q5" s="1"/>
      <c r="R5" s="1"/>
    </row>
    <row r="6">
      <c r="A6" s="1"/>
      <c r="B6" s="14">
        <v>3.0</v>
      </c>
      <c r="C6" s="15" t="s">
        <v>96</v>
      </c>
      <c r="D6" s="16" t="s">
        <v>36</v>
      </c>
      <c r="E6" s="17"/>
      <c r="F6" s="27">
        <v>46062.0</v>
      </c>
      <c r="G6" s="28"/>
      <c r="H6" s="21">
        <v>200000.0</v>
      </c>
      <c r="I6" s="22" t="s">
        <v>25</v>
      </c>
      <c r="J6" s="22"/>
      <c r="K6" s="22"/>
      <c r="L6" s="22" t="s">
        <v>31</v>
      </c>
      <c r="M6" s="29"/>
      <c r="N6" s="25"/>
      <c r="O6" s="25"/>
      <c r="P6" s="26"/>
      <c r="Q6" s="1"/>
      <c r="R6" s="1"/>
    </row>
    <row r="7">
      <c r="A7" s="1"/>
      <c r="B7" s="14">
        <v>4.0</v>
      </c>
      <c r="C7" s="15" t="s">
        <v>99</v>
      </c>
      <c r="D7" s="16" t="s">
        <v>22</v>
      </c>
      <c r="E7" s="17"/>
      <c r="F7" s="27">
        <v>46106.0</v>
      </c>
      <c r="G7" s="19"/>
      <c r="H7" s="21">
        <v>100000.0</v>
      </c>
      <c r="I7" s="22" t="s">
        <v>25</v>
      </c>
      <c r="J7" s="22"/>
      <c r="K7" s="22"/>
      <c r="L7" s="22" t="s">
        <v>31</v>
      </c>
      <c r="M7" s="29"/>
      <c r="N7" s="25"/>
      <c r="O7" s="25"/>
      <c r="P7" s="26"/>
      <c r="Q7" s="1"/>
      <c r="R7" s="1"/>
    </row>
    <row r="8">
      <c r="A8" s="1"/>
      <c r="B8" s="14">
        <v>5.0</v>
      </c>
      <c r="C8" s="15" t="s">
        <v>101</v>
      </c>
      <c r="D8" s="16" t="s">
        <v>36</v>
      </c>
      <c r="E8" s="17"/>
      <c r="F8" s="27">
        <v>46060.0</v>
      </c>
      <c r="G8" s="19"/>
      <c r="H8" s="21">
        <v>150000.0</v>
      </c>
      <c r="I8" s="22" t="s">
        <v>26</v>
      </c>
      <c r="J8" s="22" t="s">
        <v>28</v>
      </c>
      <c r="K8" s="22" t="s">
        <v>28</v>
      </c>
      <c r="L8" s="22" t="s">
        <v>31</v>
      </c>
      <c r="M8" s="22" t="s">
        <v>44</v>
      </c>
      <c r="N8" s="25"/>
      <c r="O8" s="26"/>
      <c r="P8" s="26"/>
      <c r="Q8" s="1"/>
      <c r="R8" s="1"/>
    </row>
    <row r="9">
      <c r="A9" s="1"/>
      <c r="B9" s="14">
        <v>6.0</v>
      </c>
      <c r="C9" s="15" t="s">
        <v>104</v>
      </c>
      <c r="D9" s="16" t="s">
        <v>43</v>
      </c>
      <c r="E9" s="17"/>
      <c r="F9" s="27">
        <v>46060.0</v>
      </c>
      <c r="G9" s="19"/>
      <c r="H9" s="21">
        <v>100000.0</v>
      </c>
      <c r="I9" s="22" t="s">
        <v>25</v>
      </c>
      <c r="J9" s="22"/>
      <c r="K9" s="22"/>
      <c r="L9" s="22" t="s">
        <v>31</v>
      </c>
      <c r="M9" s="29"/>
      <c r="N9" s="25"/>
      <c r="O9" s="26"/>
      <c r="P9" s="26"/>
      <c r="Q9" s="1"/>
      <c r="R9" s="1"/>
    </row>
    <row r="10">
      <c r="A10" s="1"/>
      <c r="B10" s="14">
        <v>7.0</v>
      </c>
      <c r="C10" s="15" t="s">
        <v>107</v>
      </c>
      <c r="D10" s="16" t="s">
        <v>47</v>
      </c>
      <c r="E10" s="17"/>
      <c r="F10" s="27">
        <v>46060.0</v>
      </c>
      <c r="G10" s="19"/>
      <c r="H10" s="21">
        <v>100000.0</v>
      </c>
      <c r="I10" s="22" t="s">
        <v>25</v>
      </c>
      <c r="J10" s="22"/>
      <c r="K10" s="22"/>
      <c r="L10" s="22" t="s">
        <v>31</v>
      </c>
      <c r="M10" s="29"/>
      <c r="N10" s="25"/>
      <c r="O10" s="26"/>
      <c r="P10" s="26"/>
      <c r="Q10" s="1"/>
      <c r="R10" s="1"/>
    </row>
    <row r="11">
      <c r="A11" s="1"/>
      <c r="B11" s="14">
        <v>8.0</v>
      </c>
      <c r="C11" s="15" t="s">
        <v>111</v>
      </c>
      <c r="D11" s="16" t="s">
        <v>21</v>
      </c>
      <c r="E11" s="17"/>
      <c r="F11" s="27">
        <v>46060.0</v>
      </c>
      <c r="G11" s="19"/>
      <c r="H11" s="21">
        <v>200000.0</v>
      </c>
      <c r="I11" s="22" t="s">
        <v>26</v>
      </c>
      <c r="J11" s="22" t="s">
        <v>28</v>
      </c>
      <c r="K11" s="22" t="s">
        <v>29</v>
      </c>
      <c r="L11" s="22" t="s">
        <v>31</v>
      </c>
      <c r="M11" s="22" t="s">
        <v>44</v>
      </c>
      <c r="N11" s="25"/>
      <c r="O11" s="26"/>
      <c r="P11" s="26"/>
      <c r="Q11" s="1"/>
      <c r="R11" s="1"/>
    </row>
    <row r="12">
      <c r="A12" s="1"/>
      <c r="B12" s="14">
        <v>9.0</v>
      </c>
      <c r="C12" s="15" t="s">
        <v>110</v>
      </c>
      <c r="D12" s="16" t="s">
        <v>43</v>
      </c>
      <c r="E12" s="17"/>
      <c r="F12" s="27">
        <v>46060.0</v>
      </c>
      <c r="G12" s="19"/>
      <c r="H12" s="21">
        <v>50000.0</v>
      </c>
      <c r="I12" s="22" t="s">
        <v>26</v>
      </c>
      <c r="J12" s="22" t="s">
        <v>28</v>
      </c>
      <c r="K12" s="22" t="s">
        <v>28</v>
      </c>
      <c r="L12" s="22" t="s">
        <v>31</v>
      </c>
      <c r="M12" s="22" t="s">
        <v>44</v>
      </c>
      <c r="N12" s="25"/>
      <c r="O12" s="26"/>
      <c r="P12" s="26"/>
      <c r="Q12" s="1"/>
      <c r="R12" s="1"/>
    </row>
    <row r="13">
      <c r="A13" s="1"/>
      <c r="B13" s="14">
        <v>10.0</v>
      </c>
      <c r="C13" s="15" t="s">
        <v>113</v>
      </c>
      <c r="D13" s="16" t="s">
        <v>36</v>
      </c>
      <c r="E13" s="17"/>
      <c r="F13" s="27">
        <v>46060.0</v>
      </c>
      <c r="G13" s="19"/>
      <c r="H13" s="21">
        <v>100000.0</v>
      </c>
      <c r="I13" s="22" t="s">
        <v>25</v>
      </c>
      <c r="J13" s="22"/>
      <c r="K13" s="22"/>
      <c r="L13" s="22" t="s">
        <v>31</v>
      </c>
      <c r="M13" s="29"/>
      <c r="N13" s="25"/>
      <c r="O13" s="26"/>
      <c r="P13" s="26"/>
      <c r="Q13" s="1"/>
      <c r="R13" s="1"/>
    </row>
    <row r="14">
      <c r="A14" s="1"/>
      <c r="B14" s="30"/>
      <c r="C14" s="15" t="s">
        <v>94</v>
      </c>
      <c r="D14" s="16" t="s">
        <v>36</v>
      </c>
      <c r="E14" s="17"/>
      <c r="F14" s="27">
        <v>46060.0</v>
      </c>
      <c r="G14" s="19"/>
      <c r="H14" s="21">
        <v>475000.0</v>
      </c>
      <c r="I14" s="22" t="s">
        <v>26</v>
      </c>
      <c r="J14" s="22" t="s">
        <v>28</v>
      </c>
      <c r="K14" s="22" t="s">
        <v>28</v>
      </c>
      <c r="L14" s="22" t="s">
        <v>31</v>
      </c>
      <c r="M14" s="22" t="s">
        <v>44</v>
      </c>
      <c r="N14" s="25"/>
      <c r="O14" s="26"/>
      <c r="P14" s="26"/>
      <c r="Q14" s="1"/>
      <c r="R14" s="1"/>
    </row>
    <row r="15">
      <c r="A15" s="1"/>
      <c r="B15" s="30"/>
      <c r="C15" s="15" t="s">
        <v>116</v>
      </c>
      <c r="D15" s="16" t="s">
        <v>36</v>
      </c>
      <c r="E15" s="17"/>
      <c r="F15" s="27">
        <v>46060.0</v>
      </c>
      <c r="G15" s="21">
        <v>75000.0</v>
      </c>
      <c r="H15" s="21"/>
      <c r="I15" s="22" t="s">
        <v>26</v>
      </c>
      <c r="J15" s="22" t="s">
        <v>28</v>
      </c>
      <c r="K15" s="22" t="s">
        <v>28</v>
      </c>
      <c r="L15" s="22" t="s">
        <v>31</v>
      </c>
      <c r="M15" s="22" t="s">
        <v>44</v>
      </c>
      <c r="N15" s="25"/>
      <c r="O15" s="26"/>
      <c r="P15" s="26"/>
      <c r="Q15" s="1"/>
      <c r="R15" s="1"/>
    </row>
    <row r="16">
      <c r="A16" s="1"/>
      <c r="B16" s="30"/>
      <c r="C16" s="15" t="s">
        <v>93</v>
      </c>
      <c r="D16" s="16" t="s">
        <v>36</v>
      </c>
      <c r="E16" s="17"/>
      <c r="F16" s="27">
        <v>46060.0</v>
      </c>
      <c r="G16" s="19"/>
      <c r="H16" s="21">
        <v>175000.0</v>
      </c>
      <c r="I16" s="22" t="s">
        <v>26</v>
      </c>
      <c r="J16" s="22" t="s">
        <v>28</v>
      </c>
      <c r="K16" s="22" t="s">
        <v>28</v>
      </c>
      <c r="L16" s="22" t="s">
        <v>31</v>
      </c>
      <c r="M16" s="22" t="s">
        <v>44</v>
      </c>
      <c r="N16" s="25"/>
      <c r="O16" s="26"/>
      <c r="P16" s="26"/>
      <c r="Q16" s="1"/>
      <c r="R16" s="1"/>
    </row>
    <row r="17">
      <c r="A17" s="1"/>
      <c r="B17" s="30"/>
      <c r="C17" s="15" t="s">
        <v>91</v>
      </c>
      <c r="D17" s="16" t="s">
        <v>36</v>
      </c>
      <c r="E17" s="61">
        <v>0.2</v>
      </c>
      <c r="F17" s="27">
        <v>46060.0</v>
      </c>
      <c r="G17" s="19">
        <v>840000.0</v>
      </c>
      <c r="H17" s="31"/>
      <c r="I17" s="22" t="s">
        <v>26</v>
      </c>
      <c r="J17" s="22" t="s">
        <v>28</v>
      </c>
      <c r="K17" s="22" t="s">
        <v>28</v>
      </c>
      <c r="L17" s="22" t="s">
        <v>31</v>
      </c>
      <c r="M17" s="22" t="s">
        <v>44</v>
      </c>
      <c r="N17" s="25"/>
      <c r="O17" s="26"/>
      <c r="P17" s="26"/>
      <c r="Q17" s="1"/>
      <c r="R17" s="1"/>
    </row>
    <row r="18">
      <c r="A18" s="1"/>
      <c r="B18" s="30"/>
      <c r="C18" s="15" t="s">
        <v>104</v>
      </c>
      <c r="D18" s="16" t="s">
        <v>43</v>
      </c>
      <c r="E18" s="17"/>
      <c r="F18" s="27">
        <v>46060.0</v>
      </c>
      <c r="G18" s="19"/>
      <c r="H18" s="21">
        <v>50000.0</v>
      </c>
      <c r="I18" s="22" t="s">
        <v>26</v>
      </c>
      <c r="J18" s="22" t="s">
        <v>28</v>
      </c>
      <c r="K18" s="22" t="s">
        <v>29</v>
      </c>
      <c r="L18" s="22" t="s">
        <v>31</v>
      </c>
      <c r="M18" s="22" t="s">
        <v>44</v>
      </c>
      <c r="N18" s="25"/>
      <c r="O18" s="26"/>
      <c r="P18" s="26"/>
      <c r="Q18" s="1"/>
      <c r="R18" s="1"/>
    </row>
    <row r="19">
      <c r="A19" s="1"/>
      <c r="B19" s="30"/>
      <c r="C19" s="15" t="s">
        <v>107</v>
      </c>
      <c r="D19" s="16" t="s">
        <v>47</v>
      </c>
      <c r="E19" s="17"/>
      <c r="F19" s="27">
        <v>46060.0</v>
      </c>
      <c r="G19" s="19">
        <v>100000.0</v>
      </c>
      <c r="H19" s="31"/>
      <c r="I19" s="22" t="s">
        <v>26</v>
      </c>
      <c r="J19" s="22" t="s">
        <v>28</v>
      </c>
      <c r="K19" s="22" t="s">
        <v>29</v>
      </c>
      <c r="L19" s="22" t="s">
        <v>31</v>
      </c>
      <c r="M19" s="22" t="s">
        <v>44</v>
      </c>
      <c r="N19" s="25"/>
      <c r="O19" s="26"/>
      <c r="P19" s="26"/>
      <c r="Q19" s="1"/>
      <c r="R19" s="1"/>
    </row>
    <row r="20">
      <c r="A20" s="1"/>
      <c r="B20" s="30"/>
      <c r="C20" s="15" t="s">
        <v>121</v>
      </c>
      <c r="D20" s="16" t="s">
        <v>47</v>
      </c>
      <c r="E20" s="17"/>
      <c r="F20" s="27">
        <v>46064.0</v>
      </c>
      <c r="G20" s="19"/>
      <c r="H20" s="21">
        <v>100000.0</v>
      </c>
      <c r="I20" s="22" t="s">
        <v>25</v>
      </c>
      <c r="J20" s="22"/>
      <c r="K20" s="22"/>
      <c r="L20" s="22" t="s">
        <v>31</v>
      </c>
      <c r="M20" s="29"/>
      <c r="N20" s="25"/>
      <c r="O20" s="26"/>
      <c r="P20" s="26"/>
      <c r="Q20" s="1"/>
      <c r="R20" s="1"/>
    </row>
    <row r="21">
      <c r="A21" s="1"/>
      <c r="B21" s="30"/>
      <c r="C21" s="15" t="s">
        <v>49</v>
      </c>
      <c r="D21" s="16" t="s">
        <v>36</v>
      </c>
      <c r="E21" s="17"/>
      <c r="F21" s="27">
        <v>46060.0</v>
      </c>
      <c r="G21" s="19"/>
      <c r="H21" s="21">
        <v>400000.0</v>
      </c>
      <c r="I21" s="22" t="s">
        <v>26</v>
      </c>
      <c r="J21" s="22" t="s">
        <v>28</v>
      </c>
      <c r="K21" s="22" t="s">
        <v>28</v>
      </c>
      <c r="L21" s="22" t="s">
        <v>31</v>
      </c>
      <c r="M21" s="22" t="s">
        <v>44</v>
      </c>
      <c r="N21" s="25"/>
      <c r="O21" s="26"/>
      <c r="P21" s="26"/>
      <c r="Q21" s="1"/>
      <c r="R21" s="1"/>
    </row>
    <row r="22">
      <c r="A22" s="1"/>
      <c r="B22" s="30"/>
      <c r="C22" s="15" t="s">
        <v>122</v>
      </c>
      <c r="D22" s="16" t="s">
        <v>21</v>
      </c>
      <c r="E22" s="17"/>
      <c r="F22" s="27">
        <v>46067.0</v>
      </c>
      <c r="G22" s="19"/>
      <c r="H22" s="21">
        <v>100000.0</v>
      </c>
      <c r="I22" s="22" t="s">
        <v>25</v>
      </c>
      <c r="J22" s="22"/>
      <c r="K22" s="22"/>
      <c r="L22" s="22" t="s">
        <v>31</v>
      </c>
      <c r="M22" s="29"/>
      <c r="N22" s="25"/>
      <c r="O22" s="26"/>
      <c r="P22" s="26"/>
      <c r="Q22" s="1"/>
      <c r="R22" s="1"/>
    </row>
    <row r="23" ht="18.75" customHeight="1">
      <c r="A23" s="1"/>
      <c r="B23" s="1"/>
      <c r="C23" s="2"/>
      <c r="D23" s="2"/>
      <c r="E23" s="1"/>
      <c r="F23" s="1"/>
      <c r="G23" s="34">
        <f t="shared" ref="G23:H23" si="1">SUM(G4:G22)</f>
        <v>1690000</v>
      </c>
      <c r="H23" s="35">
        <f t="shared" si="1"/>
        <v>2400000</v>
      </c>
      <c r="I23" s="1"/>
      <c r="J23" s="1"/>
      <c r="K23" s="1"/>
      <c r="L23" s="1"/>
      <c r="M23" s="1"/>
      <c r="N23" s="1"/>
      <c r="O23" s="1"/>
      <c r="P23" s="1"/>
      <c r="Q23" s="1"/>
      <c r="R23" s="1"/>
    </row>
    <row r="24" ht="23.25" customHeight="1">
      <c r="A24" s="1"/>
      <c r="B24" s="1"/>
      <c r="C24" s="2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A25" s="1"/>
      <c r="B25" s="1"/>
      <c r="C25" s="2"/>
      <c r="D25" s="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>
      <c r="A26" s="1"/>
      <c r="B26" s="36" t="s">
        <v>0</v>
      </c>
      <c r="C26" s="37" t="s">
        <v>6</v>
      </c>
      <c r="D26" s="37" t="s">
        <v>70</v>
      </c>
      <c r="E26" s="38"/>
      <c r="F26" s="1"/>
      <c r="G26" s="1"/>
      <c r="H26" s="1"/>
      <c r="I26" s="1"/>
      <c r="J26" s="1"/>
      <c r="K26" s="1"/>
      <c r="L26" s="1"/>
      <c r="M26" s="1"/>
      <c r="N26" s="37" t="s">
        <v>71</v>
      </c>
      <c r="O26" s="37" t="s">
        <v>1</v>
      </c>
      <c r="P26" s="1"/>
      <c r="Q26" s="1"/>
      <c r="R26" s="1"/>
    </row>
    <row r="27">
      <c r="A27" s="1"/>
      <c r="B27" s="39">
        <v>1.0</v>
      </c>
      <c r="C27" s="40" t="s">
        <v>72</v>
      </c>
      <c r="D27" s="41">
        <f>SUM(G23)</f>
        <v>1690000</v>
      </c>
      <c r="E27" s="42"/>
      <c r="F27" s="1"/>
      <c r="G27" s="1"/>
      <c r="H27" s="1"/>
      <c r="I27" s="1"/>
      <c r="J27" s="1"/>
      <c r="K27" s="1"/>
      <c r="L27" s="1"/>
      <c r="M27" s="1"/>
      <c r="N27" s="43" t="s">
        <v>73</v>
      </c>
      <c r="O27" s="23" t="s">
        <v>31</v>
      </c>
      <c r="P27" s="1"/>
      <c r="Q27" s="1"/>
      <c r="R27" s="1"/>
    </row>
    <row r="28">
      <c r="A28" s="1"/>
      <c r="B28" s="44">
        <v>2.0</v>
      </c>
      <c r="C28" s="45" t="s">
        <v>74</v>
      </c>
      <c r="D28" s="46">
        <v>-100000.0</v>
      </c>
      <c r="E28" s="47"/>
      <c r="F28" s="1"/>
      <c r="G28" s="1"/>
      <c r="H28" s="1"/>
      <c r="I28" s="1"/>
      <c r="J28" s="1"/>
      <c r="K28" s="1"/>
      <c r="L28" s="1"/>
      <c r="M28" s="1"/>
      <c r="N28" s="48" t="s">
        <v>75</v>
      </c>
      <c r="O28" s="49" t="s">
        <v>31</v>
      </c>
      <c r="P28" s="1"/>
      <c r="Q28" s="1"/>
      <c r="R28" s="1"/>
    </row>
    <row r="29">
      <c r="A29" s="1"/>
      <c r="B29" s="39">
        <v>3.0</v>
      </c>
      <c r="C29" s="40"/>
      <c r="D29" s="50"/>
      <c r="E29" s="47"/>
      <c r="F29" s="1"/>
      <c r="G29" s="1"/>
      <c r="H29" s="1"/>
      <c r="I29" s="1"/>
      <c r="J29" s="1"/>
      <c r="K29" s="1"/>
      <c r="L29" s="1"/>
      <c r="M29" s="1"/>
      <c r="N29" s="51" t="s">
        <v>77</v>
      </c>
      <c r="O29" s="25" t="s">
        <v>44</v>
      </c>
      <c r="P29" s="1"/>
      <c r="Q29" s="1"/>
      <c r="R29" s="1"/>
    </row>
    <row r="30">
      <c r="A30" s="1"/>
      <c r="B30" s="44">
        <v>4.0</v>
      </c>
      <c r="C30" s="45"/>
      <c r="D30" s="46"/>
      <c r="E30" s="47"/>
      <c r="F30" s="1"/>
      <c r="G30" s="1"/>
      <c r="H30" s="1"/>
      <c r="I30" s="1"/>
      <c r="J30" s="1"/>
      <c r="K30" s="1"/>
      <c r="L30" s="1"/>
      <c r="M30" s="1"/>
      <c r="N30" s="52" t="s">
        <v>79</v>
      </c>
      <c r="O30" s="49" t="s">
        <v>44</v>
      </c>
      <c r="P30" s="1"/>
      <c r="Q30" s="1"/>
      <c r="R30" s="1"/>
    </row>
    <row r="31">
      <c r="A31" s="1"/>
      <c r="B31" s="39"/>
      <c r="C31" s="53"/>
      <c r="D31" s="41"/>
      <c r="E31" s="42"/>
      <c r="F31" s="1"/>
      <c r="G31" s="1"/>
      <c r="H31" s="1"/>
      <c r="I31" s="1"/>
      <c r="J31" s="1"/>
      <c r="K31" s="1"/>
      <c r="L31" s="1"/>
      <c r="M31" s="1"/>
      <c r="N31" s="54"/>
      <c r="O31" s="1"/>
      <c r="P31" s="1"/>
      <c r="Q31" s="1"/>
      <c r="R31" s="1"/>
    </row>
    <row r="32">
      <c r="A32" s="1"/>
      <c r="B32" s="44"/>
      <c r="C32" s="55"/>
      <c r="D32" s="56"/>
      <c r="E32" s="4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39"/>
      <c r="C33" s="53"/>
      <c r="D33" s="41"/>
      <c r="E33" s="4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44"/>
      <c r="C34" s="55"/>
      <c r="D34" s="56"/>
      <c r="E34" s="42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39"/>
      <c r="C35" s="53"/>
      <c r="D35" s="41"/>
      <c r="E35" s="42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44"/>
      <c r="C36" s="55"/>
      <c r="D36" s="56"/>
      <c r="E36" s="42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57"/>
      <c r="C37" s="58"/>
      <c r="D37" s="59"/>
      <c r="E37" s="42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60">
        <f>SUM(D27:D37)</f>
        <v>1590000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2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2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2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1"/>
      <c r="C42" s="2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22 O27:O28">
      <formula1>"-,ADDEL,AXEL,PENTIL,FAHME"</formula1>
    </dataValidation>
    <dataValidation type="list" allowBlank="1" showDropDown="1" showErrorMessage="1" sqref="M4:M22 O29:O30">
      <formula1>"-,VERO,FADEL,PENTIL,FAHME,ADIF "</formula1>
    </dataValidation>
    <dataValidation type="list" allowBlank="1" showErrorMessage="1" sqref="N4:N22">
      <formula1>"-,Pending,Progress,Uploaded"</formula1>
    </dataValidation>
    <dataValidation type="list" allowBlank="1" showErrorMessage="1" sqref="O4:O22">
      <formula1>"-,In Pikako,In Foxe"</formula1>
    </dataValidation>
    <dataValidation type="list" allowBlank="1" showDropDown="1" showErrorMessage="1" sqref="D4:D22">
      <formula1>"-,Single,Couple A,Couple B,Group A,Group B,Group C,Large Group,Graduation,Graduation Premium,Family A,Family B,Maternity,Concept,Studio Rent,Pas Foto,Single,Add Person ,Add Edit,Photofox"</formula1>
    </dataValidation>
    <dataValidation type="list" allowBlank="1" showDropDown="1" showErrorMessage="1" sqref="I4:I22">
      <formula1>"-,DP,Lunas"</formula1>
    </dataValidation>
    <dataValidation type="list" allowBlank="1" showDropDown="1" showErrorMessage="1" sqref="J4:K22">
      <formula1>"-,Pending,Uploaded"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37.3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90</v>
      </c>
      <c r="D4" s="16" t="s">
        <v>36</v>
      </c>
      <c r="E4" s="17"/>
      <c r="F4" s="18">
        <v>46063.0</v>
      </c>
      <c r="G4" s="19"/>
      <c r="H4" s="21">
        <v>100000.0</v>
      </c>
      <c r="I4" s="22" t="s">
        <v>25</v>
      </c>
      <c r="J4" s="22"/>
      <c r="K4" s="22"/>
      <c r="L4" s="22" t="s">
        <v>31</v>
      </c>
      <c r="M4" s="22"/>
      <c r="N4" s="23"/>
      <c r="O4" s="23"/>
      <c r="P4" s="24">
        <v>45231.0</v>
      </c>
      <c r="Q4" s="1"/>
      <c r="R4" s="1"/>
    </row>
    <row r="5">
      <c r="A5" s="1"/>
      <c r="B5" s="14">
        <v>2.0</v>
      </c>
      <c r="C5" s="15" t="s">
        <v>102</v>
      </c>
      <c r="D5" s="16" t="s">
        <v>21</v>
      </c>
      <c r="E5" s="17"/>
      <c r="F5" s="18">
        <v>46067.0</v>
      </c>
      <c r="G5" s="19"/>
      <c r="H5" s="21">
        <v>100000.0</v>
      </c>
      <c r="I5" s="22" t="s">
        <v>25</v>
      </c>
      <c r="J5" s="22"/>
      <c r="K5" s="22"/>
      <c r="L5" s="22" t="s">
        <v>31</v>
      </c>
      <c r="M5" s="22"/>
      <c r="N5" s="25"/>
      <c r="O5" s="25"/>
      <c r="P5" s="26"/>
      <c r="Q5" s="1"/>
      <c r="R5" s="1"/>
    </row>
    <row r="6">
      <c r="A6" s="1"/>
      <c r="B6" s="14">
        <v>3.0</v>
      </c>
      <c r="C6" s="15" t="s">
        <v>105</v>
      </c>
      <c r="D6" s="16" t="s">
        <v>22</v>
      </c>
      <c r="E6" s="17" t="s">
        <v>106</v>
      </c>
      <c r="F6" s="27">
        <v>46061.0</v>
      </c>
      <c r="G6" s="19">
        <v>180000.0</v>
      </c>
      <c r="H6" s="21"/>
      <c r="I6" s="22" t="s">
        <v>26</v>
      </c>
      <c r="J6" s="22" t="s">
        <v>28</v>
      </c>
      <c r="K6" s="22" t="s">
        <v>29</v>
      </c>
      <c r="L6" s="22" t="s">
        <v>31</v>
      </c>
      <c r="M6" s="22" t="s">
        <v>85</v>
      </c>
      <c r="N6" s="25"/>
      <c r="O6" s="25"/>
      <c r="P6" s="26"/>
      <c r="Q6" s="1"/>
      <c r="R6" s="1"/>
    </row>
    <row r="7">
      <c r="A7" s="1"/>
      <c r="B7" s="14">
        <v>4.0</v>
      </c>
      <c r="C7" s="15" t="s">
        <v>109</v>
      </c>
      <c r="D7" s="16" t="s">
        <v>21</v>
      </c>
      <c r="E7" s="17"/>
      <c r="F7" s="27">
        <v>46112.0</v>
      </c>
      <c r="G7" s="19"/>
      <c r="H7" s="21">
        <v>100000.0</v>
      </c>
      <c r="I7" s="22" t="s">
        <v>25</v>
      </c>
      <c r="J7" s="22"/>
      <c r="K7" s="22"/>
      <c r="L7" s="22" t="s">
        <v>31</v>
      </c>
      <c r="M7" s="29"/>
      <c r="N7" s="25"/>
      <c r="O7" s="25"/>
      <c r="P7" s="26"/>
      <c r="Q7" s="1"/>
      <c r="R7" s="1"/>
    </row>
    <row r="8">
      <c r="A8" s="1"/>
      <c r="B8" s="14">
        <v>5.0</v>
      </c>
      <c r="C8" s="15" t="s">
        <v>112</v>
      </c>
      <c r="D8" s="16" t="s">
        <v>36</v>
      </c>
      <c r="E8" s="17"/>
      <c r="F8" s="27">
        <v>46061.0</v>
      </c>
      <c r="G8" s="19"/>
      <c r="H8" s="21">
        <v>100000.0</v>
      </c>
      <c r="I8" s="22" t="s">
        <v>25</v>
      </c>
      <c r="J8" s="22"/>
      <c r="K8" s="22"/>
      <c r="L8" s="22" t="s">
        <v>31</v>
      </c>
      <c r="M8" s="29"/>
      <c r="N8" s="25"/>
      <c r="O8" s="26"/>
      <c r="P8" s="26"/>
      <c r="Q8" s="1"/>
      <c r="R8" s="1"/>
    </row>
    <row r="9">
      <c r="A9" s="1"/>
      <c r="B9" s="14">
        <v>6.0</v>
      </c>
      <c r="C9" s="15" t="s">
        <v>114</v>
      </c>
      <c r="D9" s="16" t="s">
        <v>36</v>
      </c>
      <c r="E9" s="17"/>
      <c r="F9" s="27">
        <v>46061.0</v>
      </c>
      <c r="G9" s="19">
        <v>1275000.0</v>
      </c>
      <c r="H9" s="31"/>
      <c r="I9" s="22" t="s">
        <v>26</v>
      </c>
      <c r="J9" s="22" t="s">
        <v>28</v>
      </c>
      <c r="K9" s="22" t="s">
        <v>28</v>
      </c>
      <c r="L9" s="22" t="s">
        <v>31</v>
      </c>
      <c r="M9" s="22" t="s">
        <v>85</v>
      </c>
      <c r="N9" s="25"/>
      <c r="O9" s="26"/>
      <c r="P9" s="26"/>
      <c r="Q9" s="1"/>
      <c r="R9" s="1"/>
    </row>
    <row r="10">
      <c r="A10" s="1"/>
      <c r="B10" s="14">
        <v>7.0</v>
      </c>
      <c r="C10" s="15" t="s">
        <v>115</v>
      </c>
      <c r="D10" s="16" t="s">
        <v>22</v>
      </c>
      <c r="E10" s="17"/>
      <c r="F10" s="27">
        <v>46061.0</v>
      </c>
      <c r="G10" s="19"/>
      <c r="H10" s="21">
        <v>350000.0</v>
      </c>
      <c r="I10" s="22" t="s">
        <v>26</v>
      </c>
      <c r="J10" s="22" t="s">
        <v>28</v>
      </c>
      <c r="K10" s="22" t="s">
        <v>29</v>
      </c>
      <c r="L10" s="22" t="s">
        <v>31</v>
      </c>
      <c r="M10" s="22" t="s">
        <v>85</v>
      </c>
      <c r="N10" s="25"/>
      <c r="O10" s="26"/>
      <c r="P10" s="26"/>
      <c r="Q10" s="1"/>
      <c r="R10" s="1"/>
    </row>
    <row r="11">
      <c r="A11" s="1"/>
      <c r="B11" s="14">
        <v>8.0</v>
      </c>
      <c r="C11" s="15" t="s">
        <v>69</v>
      </c>
      <c r="D11" s="16" t="s">
        <v>36</v>
      </c>
      <c r="E11" s="17"/>
      <c r="F11" s="27">
        <v>46061.0</v>
      </c>
      <c r="G11" s="19">
        <v>825000.0</v>
      </c>
      <c r="H11" s="31"/>
      <c r="I11" s="22" t="s">
        <v>26</v>
      </c>
      <c r="J11" s="22" t="s">
        <v>28</v>
      </c>
      <c r="K11" s="22"/>
      <c r="L11" s="22" t="s">
        <v>31</v>
      </c>
      <c r="M11" s="22" t="s">
        <v>85</v>
      </c>
      <c r="N11" s="25"/>
      <c r="O11" s="26"/>
      <c r="P11" s="26"/>
      <c r="Q11" s="1"/>
      <c r="R11" s="1"/>
    </row>
    <row r="12">
      <c r="A12" s="1"/>
      <c r="B12" s="14">
        <v>9.0</v>
      </c>
      <c r="C12" s="15" t="s">
        <v>117</v>
      </c>
      <c r="D12" s="16" t="s">
        <v>36</v>
      </c>
      <c r="E12" s="17"/>
      <c r="F12" s="20">
        <v>46062.0</v>
      </c>
      <c r="G12" s="19"/>
      <c r="H12" s="21">
        <v>100000.0</v>
      </c>
      <c r="I12" s="22" t="s">
        <v>25</v>
      </c>
      <c r="J12" s="22"/>
      <c r="K12" s="22"/>
      <c r="L12" s="22" t="s">
        <v>30</v>
      </c>
      <c r="M12" s="29"/>
      <c r="N12" s="25"/>
      <c r="O12" s="26"/>
      <c r="P12" s="26"/>
      <c r="Q12" s="1"/>
      <c r="R12" s="1"/>
    </row>
    <row r="13">
      <c r="A13" s="1"/>
      <c r="B13" s="14">
        <v>10.0</v>
      </c>
      <c r="C13" s="15" t="s">
        <v>118</v>
      </c>
      <c r="D13" s="16" t="s">
        <v>36</v>
      </c>
      <c r="E13" s="17"/>
      <c r="F13" s="20">
        <v>46061.0</v>
      </c>
      <c r="G13" s="19"/>
      <c r="H13" s="21">
        <v>100000.0</v>
      </c>
      <c r="I13" s="22" t="s">
        <v>26</v>
      </c>
      <c r="J13" s="22" t="s">
        <v>28</v>
      </c>
      <c r="K13" s="22" t="s">
        <v>28</v>
      </c>
      <c r="L13" s="22" t="s">
        <v>30</v>
      </c>
      <c r="M13" s="22" t="s">
        <v>33</v>
      </c>
      <c r="N13" s="25"/>
      <c r="O13" s="26"/>
      <c r="P13" s="26"/>
      <c r="Q13" s="1"/>
      <c r="R13" s="1"/>
    </row>
    <row r="14">
      <c r="A14" s="1"/>
      <c r="B14" s="30"/>
      <c r="C14" s="15" t="s">
        <v>119</v>
      </c>
      <c r="D14" s="16" t="s">
        <v>21</v>
      </c>
      <c r="E14" s="17"/>
      <c r="F14" s="20">
        <v>46067.0</v>
      </c>
      <c r="G14" s="19"/>
      <c r="H14" s="21">
        <v>100000.0</v>
      </c>
      <c r="I14" s="22" t="s">
        <v>25</v>
      </c>
      <c r="J14" s="22"/>
      <c r="K14" s="22"/>
      <c r="L14" s="22" t="s">
        <v>30</v>
      </c>
      <c r="M14" s="29"/>
      <c r="N14" s="25"/>
      <c r="O14" s="26"/>
      <c r="P14" s="26"/>
      <c r="Q14" s="1"/>
      <c r="R14" s="1"/>
    </row>
    <row r="15">
      <c r="A15" s="1"/>
      <c r="B15" s="30"/>
      <c r="C15" s="15" t="s">
        <v>120</v>
      </c>
      <c r="D15" s="16" t="s">
        <v>36</v>
      </c>
      <c r="E15" s="17"/>
      <c r="F15" s="20">
        <v>46061.0</v>
      </c>
      <c r="G15" s="19">
        <v>175000.0</v>
      </c>
      <c r="H15" s="31"/>
      <c r="I15" s="22" t="s">
        <v>26</v>
      </c>
      <c r="J15" s="22" t="s">
        <v>28</v>
      </c>
      <c r="K15" s="22" t="s">
        <v>28</v>
      </c>
      <c r="L15" s="22" t="s">
        <v>30</v>
      </c>
      <c r="M15" s="22" t="s">
        <v>33</v>
      </c>
      <c r="N15" s="25"/>
      <c r="O15" s="26"/>
      <c r="P15" s="26"/>
      <c r="Q15" s="1"/>
      <c r="R15" s="1"/>
    </row>
    <row r="16">
      <c r="A16" s="1"/>
      <c r="B16" s="30"/>
      <c r="C16" s="15"/>
      <c r="D16" s="16"/>
      <c r="E16" s="17"/>
      <c r="F16" s="30"/>
      <c r="G16" s="19"/>
      <c r="H16" s="31"/>
      <c r="I16" s="22"/>
      <c r="J16" s="22"/>
      <c r="K16" s="22"/>
      <c r="L16" s="29"/>
      <c r="M16" s="29"/>
      <c r="N16" s="25"/>
      <c r="O16" s="26"/>
      <c r="P16" s="26"/>
      <c r="Q16" s="1"/>
      <c r="R16" s="1"/>
    </row>
    <row r="17">
      <c r="A17" s="1"/>
      <c r="B17" s="30"/>
      <c r="C17" s="15"/>
      <c r="D17" s="16"/>
      <c r="E17" s="17"/>
      <c r="F17" s="30"/>
      <c r="G17" s="19"/>
      <c r="H17" s="31"/>
      <c r="I17" s="22"/>
      <c r="J17" s="22"/>
      <c r="K17" s="22"/>
      <c r="L17" s="29"/>
      <c r="M17" s="29"/>
      <c r="N17" s="25"/>
      <c r="O17" s="26"/>
      <c r="P17" s="26"/>
      <c r="Q17" s="1"/>
      <c r="R17" s="1"/>
    </row>
    <row r="18">
      <c r="A18" s="1"/>
      <c r="B18" s="30"/>
      <c r="C18" s="32"/>
      <c r="D18" s="16"/>
      <c r="E18" s="17"/>
      <c r="F18" s="30"/>
      <c r="G18" s="28"/>
      <c r="H18" s="31"/>
      <c r="I18" s="29"/>
      <c r="J18" s="29"/>
      <c r="K18" s="29"/>
      <c r="L18" s="29"/>
      <c r="M18" s="29"/>
      <c r="N18" s="33"/>
      <c r="O18" s="33"/>
      <c r="P18" s="33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4">
        <f t="shared" ref="G19:H19" si="1">SUM(G4:G18)</f>
        <v>2455000</v>
      </c>
      <c r="H19" s="35">
        <f t="shared" si="1"/>
        <v>1050000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6" t="s">
        <v>0</v>
      </c>
      <c r="C22" s="37" t="s">
        <v>6</v>
      </c>
      <c r="D22" s="37" t="s">
        <v>70</v>
      </c>
      <c r="E22" s="38"/>
      <c r="F22" s="1"/>
      <c r="G22" s="1"/>
      <c r="H22" s="1"/>
      <c r="I22" s="1"/>
      <c r="J22" s="1"/>
      <c r="K22" s="1"/>
      <c r="L22" s="1"/>
      <c r="M22" s="1"/>
      <c r="N22" s="37" t="s">
        <v>71</v>
      </c>
      <c r="O22" s="37" t="s">
        <v>1</v>
      </c>
      <c r="P22" s="1"/>
      <c r="Q22" s="1"/>
      <c r="R22" s="1"/>
    </row>
    <row r="23">
      <c r="A23" s="1"/>
      <c r="B23" s="39">
        <v>1.0</v>
      </c>
      <c r="C23" s="40" t="s">
        <v>72</v>
      </c>
      <c r="D23" s="41">
        <f>SUM(G19)</f>
        <v>2455000</v>
      </c>
      <c r="E23" s="42"/>
      <c r="F23" s="1"/>
      <c r="G23" s="1"/>
      <c r="H23" s="1"/>
      <c r="I23" s="1"/>
      <c r="J23" s="1"/>
      <c r="K23" s="1"/>
      <c r="L23" s="1"/>
      <c r="M23" s="1"/>
      <c r="N23" s="43" t="s">
        <v>73</v>
      </c>
      <c r="O23" s="23" t="s">
        <v>31</v>
      </c>
      <c r="P23" s="1"/>
      <c r="Q23" s="1"/>
      <c r="R23" s="1"/>
    </row>
    <row r="24">
      <c r="A24" s="1"/>
      <c r="B24" s="44">
        <v>2.0</v>
      </c>
      <c r="C24" s="45" t="s">
        <v>76</v>
      </c>
      <c r="D24" s="46">
        <v>-30000.0</v>
      </c>
      <c r="E24" s="47"/>
      <c r="F24" s="1"/>
      <c r="G24" s="1"/>
      <c r="H24" s="1"/>
      <c r="I24" s="1"/>
      <c r="J24" s="1"/>
      <c r="K24" s="1"/>
      <c r="L24" s="1"/>
      <c r="M24" s="1"/>
      <c r="N24" s="48" t="s">
        <v>75</v>
      </c>
      <c r="O24" s="49" t="s">
        <v>30</v>
      </c>
      <c r="P24" s="1"/>
      <c r="Q24" s="1"/>
      <c r="R24" s="1"/>
    </row>
    <row r="25">
      <c r="A25" s="1"/>
      <c r="B25" s="39">
        <v>3.0</v>
      </c>
      <c r="C25" s="40" t="s">
        <v>81</v>
      </c>
      <c r="D25" s="50">
        <v>-50000.0</v>
      </c>
      <c r="E25" s="47"/>
      <c r="F25" s="1"/>
      <c r="G25" s="1"/>
      <c r="H25" s="1"/>
      <c r="I25" s="1"/>
      <c r="J25" s="1"/>
      <c r="K25" s="1"/>
      <c r="L25" s="1"/>
      <c r="M25" s="1"/>
      <c r="N25" s="51" t="s">
        <v>77</v>
      </c>
      <c r="O25" s="25" t="s">
        <v>85</v>
      </c>
      <c r="P25" s="1"/>
      <c r="Q25" s="1"/>
      <c r="R25" s="1"/>
    </row>
    <row r="26">
      <c r="A26" s="1"/>
      <c r="B26" s="44">
        <v>4.0</v>
      </c>
      <c r="C26" s="45" t="s">
        <v>123</v>
      </c>
      <c r="D26" s="46">
        <v>-24000.0</v>
      </c>
      <c r="E26" s="47"/>
      <c r="F26" s="1"/>
      <c r="G26" s="1"/>
      <c r="H26" s="1"/>
      <c r="I26" s="1"/>
      <c r="J26" s="1"/>
      <c r="K26" s="1"/>
      <c r="L26" s="1"/>
      <c r="M26" s="1"/>
      <c r="N26" s="52" t="s">
        <v>79</v>
      </c>
      <c r="O26" s="49" t="s">
        <v>33</v>
      </c>
      <c r="P26" s="1"/>
      <c r="Q26" s="1"/>
      <c r="R26" s="1"/>
    </row>
    <row r="27">
      <c r="A27" s="1"/>
      <c r="B27" s="39"/>
      <c r="C27" s="53"/>
      <c r="D27" s="41"/>
      <c r="E27" s="42"/>
      <c r="F27" s="1"/>
      <c r="G27" s="38"/>
      <c r="H27" s="1"/>
      <c r="I27" s="1"/>
      <c r="J27" s="1"/>
      <c r="K27" s="1"/>
      <c r="L27" s="1"/>
      <c r="M27" s="1"/>
      <c r="N27" s="54"/>
      <c r="O27" s="1"/>
      <c r="P27" s="1"/>
      <c r="Q27" s="1"/>
      <c r="R27" s="1"/>
    </row>
    <row r="28">
      <c r="A28" s="1"/>
      <c r="B28" s="44"/>
      <c r="C28" s="55"/>
      <c r="D28" s="56"/>
      <c r="E28" s="42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9"/>
      <c r="C29" s="53"/>
      <c r="D29" s="41"/>
      <c r="E29" s="42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4"/>
      <c r="C30" s="55"/>
      <c r="D30" s="56"/>
      <c r="E30" s="42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9"/>
      <c r="C31" s="53"/>
      <c r="D31" s="41"/>
      <c r="E31" s="4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4"/>
      <c r="C32" s="55"/>
      <c r="D32" s="56"/>
      <c r="E32" s="4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7"/>
      <c r="C33" s="58"/>
      <c r="D33" s="59"/>
      <c r="E33" s="4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0">
        <f>SUM(D23:D33)</f>
        <v>2351000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"-,JIJANG,ADDEL,PENTIL,FAHME,INDAH"</formula1>
    </dataValidation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M4:M18 O25:O26">
      <formula1>"-,VERO,FADEL,PENTIL,HANIF,ADIF"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7.38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124</v>
      </c>
      <c r="D4" s="16" t="s">
        <v>125</v>
      </c>
      <c r="E4" s="17"/>
      <c r="F4" s="18">
        <v>46059.0</v>
      </c>
      <c r="G4" s="19"/>
      <c r="H4" s="21">
        <v>20000.0</v>
      </c>
      <c r="I4" s="22" t="s">
        <v>26</v>
      </c>
      <c r="J4" s="22"/>
      <c r="K4" s="22"/>
      <c r="L4" s="22" t="s">
        <v>31</v>
      </c>
      <c r="M4" s="22"/>
      <c r="N4" s="23"/>
      <c r="O4" s="23"/>
      <c r="P4" s="24">
        <v>45231.0</v>
      </c>
      <c r="Q4" s="1"/>
      <c r="R4" s="1"/>
    </row>
    <row r="5">
      <c r="A5" s="1"/>
      <c r="B5" s="14">
        <v>2.0</v>
      </c>
      <c r="C5" s="15" t="s">
        <v>117</v>
      </c>
      <c r="D5" s="16" t="s">
        <v>36</v>
      </c>
      <c r="E5" s="17"/>
      <c r="F5" s="18">
        <v>46062.0</v>
      </c>
      <c r="G5" s="19"/>
      <c r="H5" s="21">
        <v>425000.0</v>
      </c>
      <c r="I5" s="22" t="s">
        <v>26</v>
      </c>
      <c r="J5" s="22" t="s">
        <v>28</v>
      </c>
      <c r="K5" s="22" t="s">
        <v>29</v>
      </c>
      <c r="L5" s="22" t="s">
        <v>31</v>
      </c>
      <c r="M5" s="22" t="s">
        <v>55</v>
      </c>
      <c r="N5" s="25"/>
      <c r="O5" s="25"/>
      <c r="P5" s="26"/>
      <c r="Q5" s="1"/>
      <c r="R5" s="1"/>
    </row>
    <row r="6">
      <c r="A6" s="1"/>
      <c r="B6" s="14">
        <v>3.0</v>
      </c>
      <c r="C6" s="15" t="s">
        <v>133</v>
      </c>
      <c r="D6" s="16" t="s">
        <v>36</v>
      </c>
      <c r="E6" s="17"/>
      <c r="F6" s="27">
        <v>46062.0</v>
      </c>
      <c r="G6" s="28"/>
      <c r="H6" s="21">
        <v>75000.0</v>
      </c>
      <c r="I6" s="22" t="s">
        <v>26</v>
      </c>
      <c r="J6" s="22" t="s">
        <v>28</v>
      </c>
      <c r="K6" s="22" t="s">
        <v>28</v>
      </c>
      <c r="L6" s="22" t="s">
        <v>31</v>
      </c>
      <c r="M6" s="22" t="s">
        <v>55</v>
      </c>
      <c r="N6" s="25"/>
      <c r="O6" s="25"/>
      <c r="P6" s="26"/>
      <c r="Q6" s="1"/>
      <c r="R6" s="1"/>
    </row>
    <row r="7">
      <c r="A7" s="1"/>
      <c r="B7" s="14">
        <v>4.0</v>
      </c>
      <c r="C7" s="15" t="s">
        <v>138</v>
      </c>
      <c r="D7" s="16" t="s">
        <v>21</v>
      </c>
      <c r="E7" s="17"/>
      <c r="F7" s="20">
        <v>46067.0</v>
      </c>
      <c r="G7" s="19"/>
      <c r="H7" s="21">
        <v>100000.0</v>
      </c>
      <c r="I7" s="22" t="s">
        <v>25</v>
      </c>
      <c r="J7" s="22"/>
      <c r="K7" s="22"/>
      <c r="L7" s="22" t="s">
        <v>30</v>
      </c>
      <c r="M7" s="29"/>
      <c r="N7" s="25"/>
      <c r="O7" s="25"/>
      <c r="P7" s="26"/>
      <c r="Q7" s="1"/>
      <c r="R7" s="1"/>
    </row>
    <row r="8">
      <c r="A8" s="1"/>
      <c r="B8" s="14">
        <v>5.0</v>
      </c>
      <c r="C8" s="15" t="s">
        <v>140</v>
      </c>
      <c r="D8" s="16" t="s">
        <v>22</v>
      </c>
      <c r="E8" s="17"/>
      <c r="F8" s="20">
        <v>46100.0</v>
      </c>
      <c r="G8" s="19"/>
      <c r="H8" s="21">
        <v>100000.0</v>
      </c>
      <c r="I8" s="22" t="s">
        <v>25</v>
      </c>
      <c r="J8" s="22"/>
      <c r="K8" s="22"/>
      <c r="L8" s="22" t="s">
        <v>30</v>
      </c>
      <c r="M8" s="29"/>
      <c r="N8" s="25"/>
      <c r="O8" s="26"/>
      <c r="P8" s="26"/>
      <c r="Q8" s="1"/>
      <c r="R8" s="1"/>
    </row>
    <row r="9">
      <c r="A9" s="1"/>
      <c r="B9" s="14">
        <v>6.0</v>
      </c>
      <c r="C9" s="15" t="s">
        <v>141</v>
      </c>
      <c r="D9" s="16" t="s">
        <v>36</v>
      </c>
      <c r="E9" s="17"/>
      <c r="F9" s="20">
        <v>46064.0</v>
      </c>
      <c r="G9" s="19"/>
      <c r="H9" s="21">
        <v>100000.0</v>
      </c>
      <c r="I9" s="22" t="s">
        <v>25</v>
      </c>
      <c r="J9" s="22"/>
      <c r="K9" s="22"/>
      <c r="L9" s="22" t="s">
        <v>30</v>
      </c>
      <c r="M9" s="29"/>
      <c r="N9" s="25"/>
      <c r="O9" s="26"/>
      <c r="P9" s="26"/>
      <c r="Q9" s="1"/>
      <c r="R9" s="1"/>
    </row>
    <row r="10">
      <c r="A10" s="1"/>
      <c r="B10" s="14">
        <v>7.0</v>
      </c>
      <c r="C10" s="15" t="s">
        <v>142</v>
      </c>
      <c r="D10" s="16" t="s">
        <v>36</v>
      </c>
      <c r="E10" s="17"/>
      <c r="F10" s="20">
        <v>46065.0</v>
      </c>
      <c r="G10" s="19"/>
      <c r="H10" s="21">
        <v>100000.0</v>
      </c>
      <c r="I10" s="22" t="s">
        <v>25</v>
      </c>
      <c r="J10" s="22"/>
      <c r="K10" s="22"/>
      <c r="L10" s="22" t="s">
        <v>30</v>
      </c>
      <c r="M10" s="29"/>
      <c r="N10" s="25"/>
      <c r="O10" s="26"/>
      <c r="P10" s="26"/>
      <c r="Q10" s="1"/>
      <c r="R10" s="1"/>
    </row>
    <row r="11">
      <c r="A11" s="1"/>
      <c r="B11" s="14">
        <v>8.0</v>
      </c>
      <c r="C11" s="15" t="s">
        <v>148</v>
      </c>
      <c r="D11" s="16" t="s">
        <v>21</v>
      </c>
      <c r="E11" s="17"/>
      <c r="F11" s="20">
        <v>46067.0</v>
      </c>
      <c r="G11" s="19"/>
      <c r="H11" s="21">
        <v>100000.0</v>
      </c>
      <c r="I11" s="22" t="s">
        <v>25</v>
      </c>
      <c r="J11" s="22"/>
      <c r="K11" s="22"/>
      <c r="L11" s="22" t="s">
        <v>30</v>
      </c>
      <c r="M11" s="29"/>
      <c r="N11" s="25"/>
      <c r="O11" s="26"/>
      <c r="P11" s="26"/>
      <c r="Q11" s="1"/>
      <c r="R11" s="1"/>
    </row>
    <row r="12">
      <c r="A12" s="1"/>
      <c r="B12" s="14">
        <v>9.0</v>
      </c>
      <c r="C12" s="15" t="s">
        <v>150</v>
      </c>
      <c r="D12" s="16" t="s">
        <v>151</v>
      </c>
      <c r="E12" s="17"/>
      <c r="F12" s="20">
        <v>46068.0</v>
      </c>
      <c r="G12" s="19"/>
      <c r="H12" s="21">
        <v>100000.0</v>
      </c>
      <c r="I12" s="22" t="s">
        <v>25</v>
      </c>
      <c r="J12" s="22"/>
      <c r="K12" s="22"/>
      <c r="L12" s="22" t="s">
        <v>30</v>
      </c>
      <c r="M12" s="29"/>
      <c r="N12" s="25"/>
      <c r="O12" s="26"/>
      <c r="P12" s="26"/>
      <c r="Q12" s="1"/>
      <c r="R12" s="1"/>
    </row>
    <row r="13">
      <c r="A13" s="1"/>
      <c r="B13" s="14">
        <v>10.0</v>
      </c>
      <c r="C13" s="63" t="s">
        <v>155</v>
      </c>
      <c r="D13" s="16" t="s">
        <v>65</v>
      </c>
      <c r="E13" s="17"/>
      <c r="F13" s="20">
        <v>46063.0</v>
      </c>
      <c r="G13" s="19"/>
      <c r="H13" s="21">
        <v>100000.0</v>
      </c>
      <c r="I13" s="22" t="s">
        <v>25</v>
      </c>
      <c r="J13" s="22"/>
      <c r="K13" s="22"/>
      <c r="L13" s="22" t="s">
        <v>30</v>
      </c>
      <c r="M13" s="29"/>
      <c r="N13" s="25"/>
      <c r="O13" s="26"/>
      <c r="P13" s="26"/>
      <c r="Q13" s="1"/>
      <c r="R13" s="1"/>
    </row>
    <row r="14">
      <c r="A14" s="1"/>
      <c r="B14" s="30"/>
      <c r="C14" s="15" t="s">
        <v>35</v>
      </c>
      <c r="D14" s="16" t="s">
        <v>37</v>
      </c>
      <c r="E14" s="17"/>
      <c r="F14" s="20">
        <v>46062.0</v>
      </c>
      <c r="G14" s="19">
        <v>100000.0</v>
      </c>
      <c r="H14" s="31"/>
      <c r="I14" s="22" t="s">
        <v>26</v>
      </c>
      <c r="J14" s="22" t="s">
        <v>28</v>
      </c>
      <c r="K14" s="22" t="s">
        <v>28</v>
      </c>
      <c r="L14" s="22" t="s">
        <v>30</v>
      </c>
      <c r="M14" s="22" t="s">
        <v>33</v>
      </c>
      <c r="N14" s="25"/>
      <c r="O14" s="26"/>
      <c r="P14" s="26"/>
      <c r="Q14" s="1"/>
      <c r="R14" s="1"/>
    </row>
    <row r="15">
      <c r="A15" s="1"/>
      <c r="B15" s="30"/>
      <c r="C15" s="15"/>
      <c r="D15" s="16"/>
      <c r="E15" s="17"/>
      <c r="F15" s="30"/>
      <c r="G15" s="19"/>
      <c r="H15" s="31"/>
      <c r="I15" s="22"/>
      <c r="J15" s="22"/>
      <c r="K15" s="22"/>
      <c r="L15" s="29"/>
      <c r="M15" s="29"/>
      <c r="N15" s="25"/>
      <c r="O15" s="26"/>
      <c r="P15" s="26"/>
      <c r="Q15" s="1"/>
      <c r="R15" s="1"/>
    </row>
    <row r="16">
      <c r="A16" s="1"/>
      <c r="B16" s="30"/>
      <c r="C16" s="15"/>
      <c r="D16" s="16"/>
      <c r="E16" s="17"/>
      <c r="F16" s="30"/>
      <c r="G16" s="19"/>
      <c r="H16" s="31"/>
      <c r="I16" s="22"/>
      <c r="J16" s="22"/>
      <c r="K16" s="22"/>
      <c r="L16" s="29"/>
      <c r="M16" s="29"/>
      <c r="N16" s="25"/>
      <c r="O16" s="26"/>
      <c r="P16" s="26"/>
      <c r="Q16" s="1"/>
      <c r="R16" s="1"/>
    </row>
    <row r="17">
      <c r="A17" s="1"/>
      <c r="B17" s="30"/>
      <c r="C17" s="15"/>
      <c r="D17" s="16"/>
      <c r="E17" s="17"/>
      <c r="F17" s="30"/>
      <c r="G17" s="19"/>
      <c r="H17" s="31"/>
      <c r="I17" s="22"/>
      <c r="J17" s="22"/>
      <c r="K17" s="22"/>
      <c r="L17" s="29"/>
      <c r="M17" s="29"/>
      <c r="N17" s="25"/>
      <c r="O17" s="26"/>
      <c r="P17" s="26"/>
      <c r="Q17" s="1"/>
      <c r="R17" s="1"/>
    </row>
    <row r="18">
      <c r="A18" s="1"/>
      <c r="B18" s="30"/>
      <c r="C18" s="32"/>
      <c r="D18" s="16"/>
      <c r="E18" s="17"/>
      <c r="F18" s="30"/>
      <c r="G18" s="28"/>
      <c r="H18" s="31"/>
      <c r="I18" s="29"/>
      <c r="J18" s="29"/>
      <c r="K18" s="29"/>
      <c r="L18" s="29"/>
      <c r="M18" s="29"/>
      <c r="N18" s="33"/>
      <c r="O18" s="33"/>
      <c r="P18" s="33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4">
        <f t="shared" ref="G19:H19" si="1">SUM(G4:G18)</f>
        <v>100000</v>
      </c>
      <c r="H19" s="35">
        <f t="shared" si="1"/>
        <v>1220000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6" t="s">
        <v>0</v>
      </c>
      <c r="C22" s="37" t="s">
        <v>6</v>
      </c>
      <c r="D22" s="37" t="s">
        <v>70</v>
      </c>
      <c r="E22" s="38"/>
      <c r="F22" s="1"/>
      <c r="G22" s="1"/>
      <c r="H22" s="1"/>
      <c r="I22" s="1"/>
      <c r="J22" s="1"/>
      <c r="K22" s="1"/>
      <c r="L22" s="1"/>
      <c r="M22" s="1"/>
      <c r="N22" s="37" t="s">
        <v>71</v>
      </c>
      <c r="O22" s="37" t="s">
        <v>1</v>
      </c>
      <c r="P22" s="1"/>
      <c r="Q22" s="1"/>
      <c r="R22" s="1"/>
    </row>
    <row r="23">
      <c r="A23" s="1"/>
      <c r="B23" s="39">
        <v>1.0</v>
      </c>
      <c r="C23" s="40" t="s">
        <v>72</v>
      </c>
      <c r="D23" s="41">
        <f>SUM(G19)</f>
        <v>100000</v>
      </c>
      <c r="E23" s="42"/>
      <c r="F23" s="1"/>
      <c r="G23" s="1"/>
      <c r="H23" s="1"/>
      <c r="I23" s="1"/>
      <c r="J23" s="1"/>
      <c r="K23" s="1"/>
      <c r="L23" s="1"/>
      <c r="M23" s="1"/>
      <c r="N23" s="43" t="s">
        <v>73</v>
      </c>
      <c r="O23" s="23" t="s">
        <v>31</v>
      </c>
      <c r="P23" s="1"/>
      <c r="Q23" s="1"/>
      <c r="R23" s="1"/>
    </row>
    <row r="24">
      <c r="A24" s="1"/>
      <c r="B24" s="44">
        <v>2.0</v>
      </c>
      <c r="C24" s="45" t="s">
        <v>74</v>
      </c>
      <c r="D24" s="46">
        <v>-100000.0</v>
      </c>
      <c r="E24" s="47"/>
      <c r="F24" s="1"/>
      <c r="G24" s="1"/>
      <c r="H24" s="1"/>
      <c r="I24" s="1"/>
      <c r="J24" s="1"/>
      <c r="K24" s="1"/>
      <c r="L24" s="1"/>
      <c r="M24" s="1"/>
      <c r="N24" s="48" t="s">
        <v>75</v>
      </c>
      <c r="O24" s="49" t="s">
        <v>30</v>
      </c>
      <c r="P24" s="1"/>
      <c r="Q24" s="1"/>
      <c r="R24" s="1"/>
    </row>
    <row r="25">
      <c r="A25" s="1"/>
      <c r="B25" s="39">
        <v>3.0</v>
      </c>
      <c r="C25" s="40"/>
      <c r="D25" s="50"/>
      <c r="E25" s="47"/>
      <c r="F25" s="1"/>
      <c r="G25" s="1"/>
      <c r="H25" s="1"/>
      <c r="I25" s="1"/>
      <c r="J25" s="1"/>
      <c r="K25" s="1"/>
      <c r="L25" s="1"/>
      <c r="M25" s="1"/>
      <c r="N25" s="51" t="s">
        <v>77</v>
      </c>
      <c r="O25" s="25" t="s">
        <v>55</v>
      </c>
      <c r="P25" s="1"/>
      <c r="Q25" s="1"/>
      <c r="R25" s="1"/>
    </row>
    <row r="26">
      <c r="A26" s="1"/>
      <c r="B26" s="44">
        <v>4.0</v>
      </c>
      <c r="C26" s="45"/>
      <c r="D26" s="46"/>
      <c r="E26" s="47"/>
      <c r="F26" s="1"/>
      <c r="G26" s="1"/>
      <c r="H26" s="1"/>
      <c r="I26" s="1"/>
      <c r="J26" s="1"/>
      <c r="K26" s="1"/>
      <c r="L26" s="1"/>
      <c r="M26" s="1"/>
      <c r="N26" s="52" t="s">
        <v>79</v>
      </c>
      <c r="O26" s="49" t="s">
        <v>33</v>
      </c>
      <c r="P26" s="1"/>
      <c r="Q26" s="1"/>
      <c r="R26" s="1"/>
    </row>
    <row r="27">
      <c r="A27" s="1"/>
      <c r="B27" s="39"/>
      <c r="C27" s="53"/>
      <c r="D27" s="41"/>
      <c r="E27" s="42"/>
      <c r="F27" s="1"/>
      <c r="G27" s="1"/>
      <c r="H27" s="1"/>
      <c r="I27" s="1"/>
      <c r="J27" s="1"/>
      <c r="K27" s="1"/>
      <c r="L27" s="1"/>
      <c r="M27" s="1"/>
      <c r="N27" s="54"/>
      <c r="O27" s="1"/>
      <c r="P27" s="1"/>
      <c r="Q27" s="1"/>
      <c r="R27" s="1"/>
    </row>
    <row r="28">
      <c r="A28" s="1"/>
      <c r="B28" s="44"/>
      <c r="C28" s="55"/>
      <c r="D28" s="56"/>
      <c r="E28" s="42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9"/>
      <c r="C29" s="53"/>
      <c r="D29" s="41"/>
      <c r="E29" s="42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4"/>
      <c r="C30" s="55"/>
      <c r="D30" s="56"/>
      <c r="E30" s="42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9"/>
      <c r="C31" s="53"/>
      <c r="D31" s="41"/>
      <c r="E31" s="4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4"/>
      <c r="C32" s="55"/>
      <c r="D32" s="56"/>
      <c r="E32" s="4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7"/>
      <c r="C33" s="58"/>
      <c r="D33" s="59"/>
      <c r="E33" s="4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0">
        <f>SUM(D23:D33)</f>
        <v>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"-,JIJANG,AXEL,ADDEL,FAHME,INDAH"</formula1>
    </dataValidation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  <dataValidation type="list" allowBlank="1" showDropDown="1" showErrorMessage="1" sqref="M4:M18 O25:O26">
      <formula1>"-,VERO,FADEL,PENTIL,HANIF ,ADIF"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126</v>
      </c>
      <c r="D4" s="16" t="s">
        <v>21</v>
      </c>
      <c r="E4" s="17"/>
      <c r="F4" s="18">
        <v>46067.0</v>
      </c>
      <c r="G4" s="19"/>
      <c r="H4" s="21">
        <v>130000.0</v>
      </c>
      <c r="I4" s="22" t="s">
        <v>25</v>
      </c>
      <c r="J4" s="22"/>
      <c r="K4" s="22"/>
      <c r="L4" s="22" t="s">
        <v>31</v>
      </c>
      <c r="M4" s="22"/>
      <c r="N4" s="23"/>
      <c r="O4" s="23"/>
      <c r="P4" s="24">
        <v>45231.0</v>
      </c>
      <c r="Q4" s="1"/>
      <c r="R4" s="1"/>
    </row>
    <row r="5">
      <c r="A5" s="1"/>
      <c r="B5" s="14">
        <v>2.0</v>
      </c>
      <c r="C5" s="15" t="s">
        <v>128</v>
      </c>
      <c r="D5" s="16" t="s">
        <v>36</v>
      </c>
      <c r="E5" s="17"/>
      <c r="F5" s="18">
        <v>46063.0</v>
      </c>
      <c r="G5" s="19"/>
      <c r="H5" s="21">
        <v>100000.0</v>
      </c>
      <c r="I5" s="22" t="s">
        <v>25</v>
      </c>
      <c r="J5" s="22"/>
      <c r="K5" s="22"/>
      <c r="L5" s="22" t="s">
        <v>31</v>
      </c>
      <c r="M5" s="22"/>
      <c r="N5" s="25"/>
      <c r="O5" s="25"/>
      <c r="P5" s="26"/>
      <c r="Q5" s="1"/>
      <c r="R5" s="1"/>
    </row>
    <row r="6">
      <c r="A6" s="1"/>
      <c r="B6" s="14">
        <v>3.0</v>
      </c>
      <c r="C6" s="15" t="s">
        <v>129</v>
      </c>
      <c r="D6" s="16" t="s">
        <v>36</v>
      </c>
      <c r="E6" s="17"/>
      <c r="F6" s="27">
        <v>46064.0</v>
      </c>
      <c r="G6" s="28"/>
      <c r="H6" s="21">
        <v>100000.0</v>
      </c>
      <c r="I6" s="22" t="s">
        <v>25</v>
      </c>
      <c r="J6" s="22"/>
      <c r="K6" s="22"/>
      <c r="L6" s="22" t="s">
        <v>31</v>
      </c>
      <c r="M6" s="29"/>
      <c r="N6" s="25"/>
      <c r="O6" s="25"/>
      <c r="P6" s="26"/>
      <c r="Q6" s="1"/>
      <c r="R6" s="1"/>
    </row>
    <row r="7">
      <c r="A7" s="1"/>
      <c r="B7" s="14">
        <v>4.0</v>
      </c>
      <c r="C7" s="15" t="s">
        <v>131</v>
      </c>
      <c r="D7" s="16" t="s">
        <v>36</v>
      </c>
      <c r="E7" s="17"/>
      <c r="F7" s="27">
        <v>46067.0</v>
      </c>
      <c r="G7" s="19"/>
      <c r="H7" s="21">
        <v>100000.0</v>
      </c>
      <c r="I7" s="22" t="s">
        <v>25</v>
      </c>
      <c r="J7" s="22"/>
      <c r="K7" s="22"/>
      <c r="L7" s="22" t="s">
        <v>31</v>
      </c>
      <c r="M7" s="29"/>
      <c r="N7" s="25"/>
      <c r="O7" s="25"/>
      <c r="P7" s="26"/>
      <c r="Q7" s="1"/>
      <c r="R7" s="1"/>
    </row>
    <row r="8">
      <c r="A8" s="1"/>
      <c r="B8" s="14">
        <v>5.0</v>
      </c>
      <c r="C8" s="15" t="s">
        <v>132</v>
      </c>
      <c r="D8" s="16" t="s">
        <v>36</v>
      </c>
      <c r="E8" s="17"/>
      <c r="F8" s="27">
        <v>46064.0</v>
      </c>
      <c r="G8" s="19"/>
      <c r="H8" s="21">
        <v>100000.0</v>
      </c>
      <c r="I8" s="22" t="s">
        <v>25</v>
      </c>
      <c r="J8" s="22"/>
      <c r="K8" s="22"/>
      <c r="L8" s="22" t="s">
        <v>31</v>
      </c>
      <c r="M8" s="29"/>
      <c r="N8" s="25"/>
      <c r="O8" s="26"/>
      <c r="P8" s="26"/>
      <c r="Q8" s="1"/>
      <c r="R8" s="1"/>
    </row>
    <row r="9">
      <c r="A9" s="1"/>
      <c r="B9" s="14">
        <v>6.0</v>
      </c>
      <c r="C9" s="15" t="s">
        <v>137</v>
      </c>
      <c r="D9" s="16" t="s">
        <v>36</v>
      </c>
      <c r="E9" s="17"/>
      <c r="F9" s="27">
        <v>46063.0</v>
      </c>
      <c r="G9" s="19"/>
      <c r="H9" s="21">
        <v>100000.0</v>
      </c>
      <c r="I9" s="22" t="s">
        <v>25</v>
      </c>
      <c r="J9" s="22"/>
      <c r="K9" s="22"/>
      <c r="L9" s="22" t="s">
        <v>31</v>
      </c>
      <c r="M9" s="29"/>
      <c r="N9" s="25"/>
      <c r="O9" s="26"/>
      <c r="P9" s="26"/>
      <c r="Q9" s="1"/>
      <c r="R9" s="1"/>
    </row>
    <row r="10">
      <c r="A10" s="1"/>
      <c r="B10" s="14">
        <v>7.0</v>
      </c>
      <c r="C10" s="15" t="s">
        <v>121</v>
      </c>
      <c r="D10" s="16" t="s">
        <v>47</v>
      </c>
      <c r="E10" s="17"/>
      <c r="F10" s="27">
        <v>46063.0</v>
      </c>
      <c r="G10" s="19"/>
      <c r="H10" s="21">
        <v>125000.0</v>
      </c>
      <c r="I10" s="22" t="s">
        <v>26</v>
      </c>
      <c r="J10" s="22" t="s">
        <v>28</v>
      </c>
      <c r="K10" s="22" t="s">
        <v>29</v>
      </c>
      <c r="L10" s="22" t="s">
        <v>31</v>
      </c>
      <c r="M10" s="22" t="s">
        <v>44</v>
      </c>
      <c r="N10" s="25"/>
      <c r="O10" s="26"/>
      <c r="P10" s="26"/>
      <c r="Q10" s="1"/>
      <c r="R10" s="1"/>
    </row>
    <row r="11">
      <c r="A11" s="1"/>
      <c r="B11" s="14">
        <v>8.0</v>
      </c>
      <c r="C11" s="15" t="s">
        <v>139</v>
      </c>
      <c r="D11" s="16" t="s">
        <v>36</v>
      </c>
      <c r="E11" s="17"/>
      <c r="F11" s="27">
        <v>46065.0</v>
      </c>
      <c r="G11" s="19"/>
      <c r="H11" s="21">
        <v>100000.0</v>
      </c>
      <c r="I11" s="22" t="s">
        <v>25</v>
      </c>
      <c r="J11" s="22"/>
      <c r="K11" s="22"/>
      <c r="L11" s="22" t="s">
        <v>31</v>
      </c>
      <c r="M11" s="29"/>
      <c r="N11" s="25"/>
      <c r="O11" s="26"/>
      <c r="P11" s="26"/>
      <c r="Q11" s="1"/>
      <c r="R11" s="1"/>
    </row>
    <row r="12">
      <c r="A12" s="1"/>
      <c r="B12" s="14">
        <v>9.0</v>
      </c>
      <c r="C12" s="15" t="s">
        <v>147</v>
      </c>
      <c r="D12" s="16" t="s">
        <v>36</v>
      </c>
      <c r="E12" s="17"/>
      <c r="F12" s="27">
        <v>46064.0</v>
      </c>
      <c r="G12" s="19"/>
      <c r="H12" s="21">
        <v>100000.0</v>
      </c>
      <c r="I12" s="22" t="s">
        <v>25</v>
      </c>
      <c r="J12" s="22"/>
      <c r="K12" s="22"/>
      <c r="L12" s="22" t="s">
        <v>31</v>
      </c>
      <c r="M12" s="29"/>
      <c r="N12" s="25"/>
      <c r="O12" s="26"/>
      <c r="P12" s="26"/>
      <c r="Q12" s="1"/>
      <c r="R12" s="1"/>
    </row>
    <row r="13">
      <c r="A13" s="1"/>
      <c r="B13" s="14">
        <v>10.0</v>
      </c>
      <c r="C13" s="15" t="s">
        <v>153</v>
      </c>
      <c r="D13" s="16" t="s">
        <v>21</v>
      </c>
      <c r="E13" s="17"/>
      <c r="F13" s="27">
        <v>46063.0</v>
      </c>
      <c r="G13" s="19">
        <v>250000.0</v>
      </c>
      <c r="H13" s="31"/>
      <c r="I13" s="22" t="s">
        <v>26</v>
      </c>
      <c r="J13" s="22" t="s">
        <v>28</v>
      </c>
      <c r="K13" s="22" t="s">
        <v>28</v>
      </c>
      <c r="L13" s="22" t="s">
        <v>31</v>
      </c>
      <c r="M13" s="22" t="s">
        <v>85</v>
      </c>
      <c r="N13" s="25"/>
      <c r="O13" s="26"/>
      <c r="P13" s="26"/>
      <c r="Q13" s="1"/>
      <c r="R13" s="1"/>
    </row>
    <row r="14">
      <c r="A14" s="1"/>
      <c r="B14" s="30"/>
      <c r="C14" s="15" t="s">
        <v>158</v>
      </c>
      <c r="D14" s="16" t="s">
        <v>21</v>
      </c>
      <c r="E14" s="17"/>
      <c r="F14" s="27">
        <v>46063.0</v>
      </c>
      <c r="G14" s="19"/>
      <c r="H14" s="21">
        <v>250000.0</v>
      </c>
      <c r="I14" s="22" t="s">
        <v>26</v>
      </c>
      <c r="J14" s="22" t="s">
        <v>28</v>
      </c>
      <c r="K14" s="22" t="s">
        <v>29</v>
      </c>
      <c r="L14" s="22" t="s">
        <v>31</v>
      </c>
      <c r="M14" s="22" t="s">
        <v>44</v>
      </c>
      <c r="N14" s="25"/>
      <c r="O14" s="26"/>
      <c r="P14" s="26"/>
      <c r="Q14" s="1"/>
      <c r="R14" s="1"/>
    </row>
    <row r="15">
      <c r="A15" s="1"/>
      <c r="B15" s="30"/>
      <c r="C15" s="15" t="s">
        <v>162</v>
      </c>
      <c r="D15" s="16" t="s">
        <v>21</v>
      </c>
      <c r="E15" s="17"/>
      <c r="F15" s="27">
        <v>46063.0</v>
      </c>
      <c r="G15" s="19">
        <v>250000.0</v>
      </c>
      <c r="H15" s="31"/>
      <c r="I15" s="22" t="s">
        <v>26</v>
      </c>
      <c r="J15" s="22" t="s">
        <v>28</v>
      </c>
      <c r="K15" s="22" t="s">
        <v>28</v>
      </c>
      <c r="L15" s="22" t="s">
        <v>31</v>
      </c>
      <c r="M15" s="22" t="s">
        <v>44</v>
      </c>
      <c r="N15" s="25"/>
      <c r="O15" s="26"/>
      <c r="P15" s="26"/>
      <c r="Q15" s="1"/>
      <c r="R15" s="1"/>
    </row>
    <row r="16">
      <c r="A16" s="1"/>
      <c r="B16" s="30"/>
      <c r="C16" s="15" t="s">
        <v>160</v>
      </c>
      <c r="D16" s="16" t="s">
        <v>21</v>
      </c>
      <c r="E16" s="17"/>
      <c r="F16" s="27">
        <v>46063.0</v>
      </c>
      <c r="G16" s="19"/>
      <c r="H16" s="21">
        <v>250000.0</v>
      </c>
      <c r="I16" s="22" t="s">
        <v>26</v>
      </c>
      <c r="J16" s="22" t="s">
        <v>28</v>
      </c>
      <c r="K16" s="22" t="s">
        <v>28</v>
      </c>
      <c r="L16" s="22" t="s">
        <v>31</v>
      </c>
      <c r="M16" s="22" t="s">
        <v>85</v>
      </c>
      <c r="N16" s="25"/>
      <c r="O16" s="26"/>
      <c r="P16" s="26"/>
      <c r="Q16" s="1"/>
      <c r="R16" s="1"/>
    </row>
    <row r="17">
      <c r="A17" s="1"/>
      <c r="B17" s="30"/>
      <c r="C17" s="15" t="s">
        <v>167</v>
      </c>
      <c r="D17" s="16" t="s">
        <v>21</v>
      </c>
      <c r="E17" s="17"/>
      <c r="F17" s="27">
        <v>46063.0</v>
      </c>
      <c r="G17" s="19"/>
      <c r="H17" s="21">
        <v>440000.0</v>
      </c>
      <c r="I17" s="22" t="s">
        <v>26</v>
      </c>
      <c r="J17" s="22" t="s">
        <v>28</v>
      </c>
      <c r="K17" s="22" t="s">
        <v>29</v>
      </c>
      <c r="L17" s="22" t="s">
        <v>31</v>
      </c>
      <c r="M17" s="22" t="s">
        <v>44</v>
      </c>
      <c r="N17" s="25"/>
      <c r="O17" s="26"/>
      <c r="P17" s="26"/>
      <c r="Q17" s="1"/>
      <c r="R17" s="1"/>
    </row>
    <row r="18">
      <c r="A18" s="1"/>
      <c r="B18" s="30"/>
      <c r="C18" s="15" t="s">
        <v>169</v>
      </c>
      <c r="D18" s="16" t="s">
        <v>21</v>
      </c>
      <c r="E18" s="17"/>
      <c r="F18" s="20">
        <v>46063.0</v>
      </c>
      <c r="G18" s="19">
        <v>410000.0</v>
      </c>
      <c r="H18" s="31"/>
      <c r="I18" s="22" t="s">
        <v>26</v>
      </c>
      <c r="J18" s="22" t="s">
        <v>28</v>
      </c>
      <c r="K18" s="22" t="s">
        <v>29</v>
      </c>
      <c r="L18" s="22" t="s">
        <v>30</v>
      </c>
      <c r="M18" s="22" t="s">
        <v>85</v>
      </c>
      <c r="N18" s="26"/>
      <c r="O18" s="26"/>
      <c r="P18" s="26"/>
      <c r="Q18" s="1"/>
      <c r="R18" s="1"/>
    </row>
    <row r="19">
      <c r="A19" s="1"/>
      <c r="B19" s="30"/>
      <c r="C19" s="15" t="s">
        <v>135</v>
      </c>
      <c r="D19" s="16" t="s">
        <v>136</v>
      </c>
      <c r="E19" s="17" t="s">
        <v>170</v>
      </c>
      <c r="F19" s="20">
        <v>46064.0</v>
      </c>
      <c r="G19" s="19"/>
      <c r="H19" s="21">
        <v>150000.0</v>
      </c>
      <c r="I19" s="22" t="s">
        <v>26</v>
      </c>
      <c r="J19" s="22"/>
      <c r="K19" s="22"/>
      <c r="L19" s="22" t="s">
        <v>30</v>
      </c>
      <c r="M19" s="22"/>
      <c r="N19" s="26"/>
      <c r="O19" s="26"/>
      <c r="P19" s="26"/>
      <c r="Q19" s="1"/>
      <c r="R19" s="1"/>
    </row>
    <row r="20">
      <c r="A20" s="1"/>
      <c r="B20" s="30"/>
      <c r="C20" s="15" t="s">
        <v>171</v>
      </c>
      <c r="D20" s="16" t="s">
        <v>36</v>
      </c>
      <c r="E20" s="17"/>
      <c r="F20" s="20">
        <v>46063.0</v>
      </c>
      <c r="G20" s="19">
        <v>100000.0</v>
      </c>
      <c r="H20" s="31"/>
      <c r="I20" s="22" t="s">
        <v>26</v>
      </c>
      <c r="J20" s="22" t="s">
        <v>28</v>
      </c>
      <c r="K20" s="22" t="s">
        <v>29</v>
      </c>
      <c r="L20" s="22" t="s">
        <v>30</v>
      </c>
      <c r="M20" s="22" t="s">
        <v>44</v>
      </c>
      <c r="N20" s="26"/>
      <c r="O20" s="26"/>
      <c r="P20" s="26"/>
      <c r="Q20" s="1"/>
      <c r="R20" s="1"/>
    </row>
    <row r="21">
      <c r="A21" s="1"/>
      <c r="B21" s="30"/>
      <c r="C21" s="15" t="s">
        <v>172</v>
      </c>
      <c r="D21" s="16" t="s">
        <v>21</v>
      </c>
      <c r="E21" s="17" t="s">
        <v>144</v>
      </c>
      <c r="F21" s="20">
        <v>46063.0</v>
      </c>
      <c r="G21" s="19"/>
      <c r="H21" s="21">
        <v>350000.0</v>
      </c>
      <c r="I21" s="22" t="s">
        <v>26</v>
      </c>
      <c r="J21" s="22" t="s">
        <v>28</v>
      </c>
      <c r="K21" s="22" t="s">
        <v>29</v>
      </c>
      <c r="L21" s="22" t="s">
        <v>30</v>
      </c>
      <c r="M21" s="22" t="s">
        <v>44</v>
      </c>
      <c r="N21" s="26"/>
      <c r="O21" s="26"/>
      <c r="P21" s="26"/>
      <c r="Q21" s="1"/>
      <c r="R21" s="1"/>
    </row>
    <row r="22">
      <c r="A22" s="1"/>
      <c r="B22" s="30"/>
      <c r="C22" s="15" t="s">
        <v>173</v>
      </c>
      <c r="D22" s="16" t="s">
        <v>21</v>
      </c>
      <c r="E22" s="17"/>
      <c r="F22" s="20">
        <v>46067.0</v>
      </c>
      <c r="G22" s="19"/>
      <c r="H22" s="21">
        <v>100000.0</v>
      </c>
      <c r="I22" s="22" t="s">
        <v>25</v>
      </c>
      <c r="J22" s="22"/>
      <c r="K22" s="22"/>
      <c r="L22" s="22" t="s">
        <v>30</v>
      </c>
      <c r="M22" s="22"/>
      <c r="N22" s="26"/>
      <c r="O22" s="26"/>
      <c r="P22" s="26"/>
      <c r="Q22" s="1"/>
      <c r="R22" s="1"/>
    </row>
    <row r="23">
      <c r="A23" s="1"/>
      <c r="B23" s="30"/>
      <c r="C23" s="15" t="s">
        <v>174</v>
      </c>
      <c r="D23" s="16" t="s">
        <v>36</v>
      </c>
      <c r="E23" s="17"/>
      <c r="F23" s="20">
        <v>46066.0</v>
      </c>
      <c r="G23" s="19"/>
      <c r="H23" s="21">
        <v>100000.0</v>
      </c>
      <c r="I23" s="22" t="s">
        <v>25</v>
      </c>
      <c r="J23" s="22"/>
      <c r="K23" s="22"/>
      <c r="L23" s="22" t="s">
        <v>30</v>
      </c>
      <c r="M23" s="22"/>
      <c r="N23" s="26"/>
      <c r="O23" s="26"/>
      <c r="P23" s="26"/>
      <c r="Q23" s="1"/>
      <c r="R23" s="1"/>
    </row>
    <row r="24">
      <c r="A24" s="1"/>
      <c r="B24" s="30"/>
      <c r="C24" s="15" t="s">
        <v>175</v>
      </c>
      <c r="D24" s="16" t="s">
        <v>36</v>
      </c>
      <c r="E24" s="17"/>
      <c r="F24" s="20">
        <v>46063.0</v>
      </c>
      <c r="G24" s="19"/>
      <c r="H24" s="21">
        <v>100000.0</v>
      </c>
      <c r="I24" s="22" t="s">
        <v>25</v>
      </c>
      <c r="J24" s="22"/>
      <c r="K24" s="22"/>
      <c r="L24" s="22" t="s">
        <v>30</v>
      </c>
      <c r="M24" s="22"/>
      <c r="N24" s="26"/>
      <c r="O24" s="26"/>
      <c r="P24" s="26"/>
      <c r="Q24" s="1"/>
      <c r="R24" s="1"/>
    </row>
    <row r="25">
      <c r="A25" s="1"/>
      <c r="B25" s="30"/>
      <c r="C25" s="15" t="s">
        <v>128</v>
      </c>
      <c r="D25" s="16" t="s">
        <v>36</v>
      </c>
      <c r="E25" s="17"/>
      <c r="F25" s="20">
        <v>46063.0</v>
      </c>
      <c r="G25" s="19"/>
      <c r="H25" s="21">
        <v>125000.0</v>
      </c>
      <c r="I25" s="22" t="s">
        <v>26</v>
      </c>
      <c r="J25" s="22" t="s">
        <v>28</v>
      </c>
      <c r="K25" s="22" t="s">
        <v>29</v>
      </c>
      <c r="L25" s="22" t="s">
        <v>30</v>
      </c>
      <c r="M25" s="22" t="s">
        <v>85</v>
      </c>
      <c r="N25" s="26"/>
      <c r="O25" s="26"/>
      <c r="P25" s="26"/>
      <c r="Q25" s="1"/>
      <c r="R25" s="1"/>
    </row>
    <row r="26">
      <c r="A26" s="1"/>
      <c r="B26" s="30"/>
      <c r="C26" s="15" t="s">
        <v>177</v>
      </c>
      <c r="D26" s="16" t="s">
        <v>36</v>
      </c>
      <c r="E26" s="17"/>
      <c r="F26" s="20">
        <v>46063.0</v>
      </c>
      <c r="G26" s="19"/>
      <c r="H26" s="21">
        <v>175000.0</v>
      </c>
      <c r="I26" s="22" t="s">
        <v>26</v>
      </c>
      <c r="J26" s="22" t="s">
        <v>28</v>
      </c>
      <c r="K26" s="22" t="s">
        <v>29</v>
      </c>
      <c r="L26" s="22" t="s">
        <v>30</v>
      </c>
      <c r="M26" s="22" t="s">
        <v>85</v>
      </c>
      <c r="N26" s="26"/>
      <c r="O26" s="26"/>
      <c r="P26" s="26"/>
      <c r="Q26" s="1"/>
      <c r="R26" s="1"/>
    </row>
    <row r="27">
      <c r="A27" s="1"/>
      <c r="B27" s="30"/>
      <c r="C27" s="15" t="s">
        <v>175</v>
      </c>
      <c r="D27" s="16" t="s">
        <v>36</v>
      </c>
      <c r="E27" s="17"/>
      <c r="F27" s="20">
        <v>46063.0</v>
      </c>
      <c r="G27" s="19"/>
      <c r="H27" s="21">
        <v>175000.0</v>
      </c>
      <c r="I27" s="22" t="s">
        <v>26</v>
      </c>
      <c r="J27" s="22" t="s">
        <v>28</v>
      </c>
      <c r="K27" s="22" t="s">
        <v>29</v>
      </c>
      <c r="L27" s="22" t="s">
        <v>30</v>
      </c>
      <c r="M27" s="22" t="s">
        <v>85</v>
      </c>
      <c r="N27" s="26"/>
      <c r="O27" s="26"/>
      <c r="P27" s="26"/>
      <c r="Q27" s="1"/>
      <c r="R27" s="1"/>
    </row>
    <row r="28">
      <c r="A28" s="1"/>
      <c r="B28" s="30"/>
      <c r="C28" s="15"/>
      <c r="D28" s="16"/>
      <c r="E28" s="17"/>
      <c r="F28" s="20"/>
      <c r="G28" s="19"/>
      <c r="H28" s="31"/>
      <c r="I28" s="22"/>
      <c r="J28" s="22"/>
      <c r="K28" s="22"/>
      <c r="L28" s="22"/>
      <c r="M28" s="22"/>
      <c r="N28" s="33"/>
      <c r="O28" s="33"/>
      <c r="P28" s="33"/>
      <c r="Q28" s="1"/>
      <c r="R28" s="1"/>
    </row>
    <row r="29" ht="18.75" customHeight="1">
      <c r="A29" s="1"/>
      <c r="B29" s="1"/>
      <c r="C29" s="2"/>
      <c r="D29" s="2"/>
      <c r="E29" s="1"/>
      <c r="F29" s="1"/>
      <c r="G29" s="34">
        <f t="shared" ref="G29:H29" si="1">SUM(G4:G28)</f>
        <v>1010000</v>
      </c>
      <c r="H29" s="35">
        <f t="shared" si="1"/>
        <v>3170000</v>
      </c>
      <c r="I29" s="1"/>
      <c r="J29" s="1"/>
      <c r="K29" s="1"/>
      <c r="L29" s="1"/>
      <c r="M29" s="1"/>
      <c r="N29" s="1"/>
      <c r="O29" s="1"/>
      <c r="P29" s="1"/>
      <c r="Q29" s="1"/>
      <c r="R29" s="1"/>
    </row>
    <row r="30" ht="23.25" customHeight="1">
      <c r="A30" s="1"/>
      <c r="B30" s="1"/>
      <c r="C30" s="2"/>
      <c r="D30" s="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1"/>
      <c r="C31" s="2"/>
      <c r="D31" s="2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36" t="s">
        <v>0</v>
      </c>
      <c r="C32" s="37" t="s">
        <v>6</v>
      </c>
      <c r="D32" s="37" t="s">
        <v>70</v>
      </c>
      <c r="E32" s="38"/>
      <c r="F32" s="1"/>
      <c r="G32" s="1"/>
      <c r="H32" s="1"/>
      <c r="I32" s="1"/>
      <c r="J32" s="1"/>
      <c r="K32" s="1"/>
      <c r="L32" s="1"/>
      <c r="M32" s="1"/>
      <c r="N32" s="37" t="s">
        <v>71</v>
      </c>
      <c r="O32" s="37" t="s">
        <v>1</v>
      </c>
      <c r="P32" s="1"/>
      <c r="Q32" s="1"/>
      <c r="R32" s="1"/>
    </row>
    <row r="33">
      <c r="A33" s="1"/>
      <c r="B33" s="39">
        <v>1.0</v>
      </c>
      <c r="C33" s="40" t="s">
        <v>72</v>
      </c>
      <c r="D33" s="41">
        <f>SUM(G29)</f>
        <v>1010000</v>
      </c>
      <c r="E33" s="42"/>
      <c r="F33" s="1"/>
      <c r="G33" s="1"/>
      <c r="H33" s="1"/>
      <c r="I33" s="1"/>
      <c r="J33" s="1"/>
      <c r="K33" s="1"/>
      <c r="L33" s="1"/>
      <c r="M33" s="1"/>
      <c r="N33" s="43" t="s">
        <v>73</v>
      </c>
      <c r="O33" s="23" t="s">
        <v>31</v>
      </c>
      <c r="P33" s="1"/>
      <c r="Q33" s="1"/>
      <c r="R33" s="1"/>
    </row>
    <row r="34">
      <c r="A34" s="1"/>
      <c r="B34" s="44">
        <v>2.0</v>
      </c>
      <c r="C34" s="45" t="s">
        <v>180</v>
      </c>
      <c r="D34" s="46">
        <v>-12000.0</v>
      </c>
      <c r="E34" s="47"/>
      <c r="F34" s="1"/>
      <c r="G34" s="1"/>
      <c r="H34" s="1"/>
      <c r="I34" s="1"/>
      <c r="J34" s="1"/>
      <c r="K34" s="1"/>
      <c r="L34" s="1"/>
      <c r="M34" s="1"/>
      <c r="N34" s="48" t="s">
        <v>75</v>
      </c>
      <c r="O34" s="49" t="s">
        <v>30</v>
      </c>
      <c r="P34" s="1"/>
      <c r="Q34" s="1"/>
      <c r="R34" s="1"/>
    </row>
    <row r="35">
      <c r="A35" s="1"/>
      <c r="B35" s="39">
        <v>3.0</v>
      </c>
      <c r="C35" s="40" t="s">
        <v>76</v>
      </c>
      <c r="D35" s="50">
        <v>-53500.0</v>
      </c>
      <c r="E35" s="47"/>
      <c r="F35" s="1"/>
      <c r="G35" s="1"/>
      <c r="H35" s="1"/>
      <c r="I35" s="1"/>
      <c r="J35" s="1"/>
      <c r="K35" s="1"/>
      <c r="L35" s="1"/>
      <c r="M35" s="1"/>
      <c r="N35" s="51" t="s">
        <v>77</v>
      </c>
      <c r="O35" s="25" t="s">
        <v>44</v>
      </c>
      <c r="P35" s="1"/>
      <c r="Q35" s="1"/>
      <c r="R35" s="1"/>
    </row>
    <row r="36">
      <c r="A36" s="1"/>
      <c r="B36" s="44">
        <v>4.0</v>
      </c>
      <c r="C36" s="45" t="s">
        <v>83</v>
      </c>
      <c r="D36" s="46">
        <v>-36500.0</v>
      </c>
      <c r="E36" s="47"/>
      <c r="F36" s="1"/>
      <c r="G36" s="1"/>
      <c r="H36" s="1"/>
      <c r="I36" s="1"/>
      <c r="J36" s="1"/>
      <c r="K36" s="1"/>
      <c r="L36" s="1"/>
      <c r="M36" s="1"/>
      <c r="N36" s="52" t="s">
        <v>79</v>
      </c>
      <c r="O36" s="49" t="s">
        <v>85</v>
      </c>
      <c r="P36" s="1"/>
      <c r="Q36" s="1"/>
      <c r="R36" s="1"/>
    </row>
    <row r="37">
      <c r="A37" s="1"/>
      <c r="B37" s="39"/>
      <c r="C37" s="40" t="s">
        <v>182</v>
      </c>
      <c r="D37" s="50">
        <v>-108000.0</v>
      </c>
      <c r="E37" s="42"/>
      <c r="F37" s="1"/>
      <c r="G37" s="1"/>
      <c r="H37" s="1"/>
      <c r="I37" s="1"/>
      <c r="J37" s="1"/>
      <c r="K37" s="1"/>
      <c r="L37" s="1"/>
      <c r="M37" s="1"/>
      <c r="N37" s="54"/>
      <c r="O37" s="1"/>
      <c r="P37" s="1"/>
      <c r="Q37" s="1"/>
      <c r="R37" s="1"/>
    </row>
    <row r="38">
      <c r="A38" s="1"/>
      <c r="B38" s="44"/>
      <c r="C38" s="45" t="s">
        <v>184</v>
      </c>
      <c r="D38" s="46">
        <v>-50000.0</v>
      </c>
      <c r="E38" s="42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39"/>
      <c r="C39" s="40" t="s">
        <v>185</v>
      </c>
      <c r="D39" s="50">
        <v>-50000.0</v>
      </c>
      <c r="E39" s="42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44"/>
      <c r="C40" s="55"/>
      <c r="D40" s="56"/>
      <c r="E40" s="42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39"/>
      <c r="C41" s="53"/>
      <c r="D41" s="41"/>
      <c r="E41" s="42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44"/>
      <c r="C42" s="55"/>
      <c r="D42" s="56"/>
      <c r="E42" s="42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A43" s="1"/>
      <c r="B43" s="57"/>
      <c r="C43" s="58"/>
      <c r="D43" s="59"/>
      <c r="E43" s="4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A44" s="1"/>
      <c r="B44" s="1"/>
      <c r="C44" s="2"/>
      <c r="D44" s="60">
        <f>SUM(D33:D43)</f>
        <v>700000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1"/>
      <c r="C45" s="2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A46" s="1"/>
      <c r="B46" s="1"/>
      <c r="C46" s="2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A47" s="1"/>
      <c r="B47" s="1"/>
      <c r="C47" s="2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A48" s="1"/>
      <c r="B48" s="1"/>
      <c r="C48" s="2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28 O33:O34">
      <formula1>"-,JIJANG,ADDEL,PENTIL,FAHME,INDAH"</formula1>
    </dataValidation>
    <dataValidation type="list" allowBlank="1" showDropDown="1" showErrorMessage="1" sqref="M4:M28 O35:O36">
      <formula1>"-,VERO,FADEL,PENTIL,FAHME,ADIF ,HANIF"</formula1>
    </dataValidation>
    <dataValidation type="list" allowBlank="1" showErrorMessage="1" sqref="N4:N28">
      <formula1>"-,Pending,Progress,Uploaded"</formula1>
    </dataValidation>
    <dataValidation type="list" allowBlank="1" showErrorMessage="1" sqref="O4:O28">
      <formula1>"-,In Pikako,In Foxe"</formula1>
    </dataValidation>
    <dataValidation type="list" allowBlank="1" showDropDown="1" showErrorMessage="1" sqref="D4:D28">
      <formula1>"-,Single,Couple A,Couple B,Group A,Group B,Group C,Large Group,Graduation,Graduation Premium,Family A,Family B,Maternity,Concept,Studio Rent,Pas Foto,Single,Add Person ,Add Edit,Photofox"</formula1>
    </dataValidation>
    <dataValidation type="list" allowBlank="1" showDropDown="1" showErrorMessage="1" sqref="I4:I28">
      <formula1>"-,DP,Lunas"</formula1>
    </dataValidation>
    <dataValidation type="list" allowBlank="1" showDropDown="1" showErrorMessage="1" sqref="J4:K28">
      <formula1>"-,Pending,Uploaded"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38">
        <v>2.0</v>
      </c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127</v>
      </c>
      <c r="D4" s="16" t="s">
        <v>21</v>
      </c>
      <c r="E4" s="17"/>
      <c r="F4" s="18">
        <v>46067.0</v>
      </c>
      <c r="G4" s="19"/>
      <c r="H4" s="21">
        <v>100000.0</v>
      </c>
      <c r="I4" s="22" t="s">
        <v>25</v>
      </c>
      <c r="J4" s="22"/>
      <c r="K4" s="22"/>
      <c r="L4" s="22" t="s">
        <v>31</v>
      </c>
      <c r="M4" s="22"/>
      <c r="N4" s="23"/>
      <c r="O4" s="23"/>
      <c r="P4" s="24">
        <v>45231.0</v>
      </c>
      <c r="Q4" s="1"/>
      <c r="R4" s="1"/>
    </row>
    <row r="5">
      <c r="A5" s="1"/>
      <c r="B5" s="14">
        <v>2.0</v>
      </c>
      <c r="C5" s="15" t="s">
        <v>130</v>
      </c>
      <c r="D5" s="16" t="s">
        <v>36</v>
      </c>
      <c r="E5" s="17"/>
      <c r="F5" s="18">
        <v>46064.0</v>
      </c>
      <c r="G5" s="19">
        <v>175000.0</v>
      </c>
      <c r="H5" s="21"/>
      <c r="I5" s="22" t="s">
        <v>26</v>
      </c>
      <c r="J5" s="22" t="s">
        <v>28</v>
      </c>
      <c r="K5" s="22" t="s">
        <v>28</v>
      </c>
      <c r="L5" s="22" t="s">
        <v>31</v>
      </c>
      <c r="M5" s="22" t="s">
        <v>33</v>
      </c>
      <c r="N5" s="25"/>
      <c r="O5" s="25"/>
      <c r="P5" s="26"/>
      <c r="Q5" s="1"/>
      <c r="R5" s="1"/>
    </row>
    <row r="6">
      <c r="A6" s="1"/>
      <c r="B6" s="14">
        <v>3.0</v>
      </c>
      <c r="C6" s="15" t="s">
        <v>129</v>
      </c>
      <c r="D6" s="16" t="s">
        <v>36</v>
      </c>
      <c r="E6" s="17"/>
      <c r="F6" s="27">
        <v>46064.0</v>
      </c>
      <c r="G6" s="28"/>
      <c r="H6" s="21">
        <v>175000.0</v>
      </c>
      <c r="I6" s="22" t="s">
        <v>26</v>
      </c>
      <c r="J6" s="22" t="s">
        <v>28</v>
      </c>
      <c r="K6" s="22" t="s">
        <v>29</v>
      </c>
      <c r="L6" s="22" t="s">
        <v>31</v>
      </c>
      <c r="M6" s="22" t="s">
        <v>33</v>
      </c>
      <c r="N6" s="25"/>
      <c r="O6" s="25"/>
      <c r="P6" s="26"/>
      <c r="Q6" s="1"/>
      <c r="R6" s="1"/>
    </row>
    <row r="7">
      <c r="A7" s="1"/>
      <c r="B7" s="14">
        <v>4.0</v>
      </c>
      <c r="C7" s="62" t="s">
        <v>135</v>
      </c>
      <c r="D7" s="16" t="s">
        <v>136</v>
      </c>
      <c r="E7" s="17"/>
      <c r="F7" s="27">
        <v>46064.0</v>
      </c>
      <c r="G7" s="19">
        <v>0.0</v>
      </c>
      <c r="H7" s="21">
        <v>0.0</v>
      </c>
      <c r="I7" s="22" t="s">
        <v>26</v>
      </c>
      <c r="J7" s="22" t="s">
        <v>28</v>
      </c>
      <c r="K7" s="22" t="s">
        <v>28</v>
      </c>
      <c r="L7" s="22" t="s">
        <v>31</v>
      </c>
      <c r="M7" s="22" t="s">
        <v>33</v>
      </c>
      <c r="N7" s="25"/>
      <c r="O7" s="25"/>
      <c r="P7" s="26"/>
      <c r="Q7" s="1"/>
      <c r="R7" s="1"/>
    </row>
    <row r="8">
      <c r="A8" s="1"/>
      <c r="B8" s="14">
        <v>5.0</v>
      </c>
      <c r="C8" s="15" t="s">
        <v>139</v>
      </c>
      <c r="D8" s="16" t="s">
        <v>21</v>
      </c>
      <c r="E8" s="17"/>
      <c r="F8" s="27">
        <v>46067.0</v>
      </c>
      <c r="G8" s="19"/>
      <c r="H8" s="21">
        <v>150000.0</v>
      </c>
      <c r="I8" s="22" t="s">
        <v>25</v>
      </c>
      <c r="J8" s="22"/>
      <c r="K8" s="22"/>
      <c r="L8" s="22" t="s">
        <v>31</v>
      </c>
      <c r="M8" s="29"/>
      <c r="N8" s="25"/>
      <c r="O8" s="26"/>
      <c r="P8" s="26"/>
      <c r="Q8" s="1"/>
      <c r="R8" s="1"/>
    </row>
    <row r="9">
      <c r="A9" s="1"/>
      <c r="B9" s="14">
        <v>6.0</v>
      </c>
      <c r="C9" s="15" t="s">
        <v>141</v>
      </c>
      <c r="D9" s="16" t="s">
        <v>36</v>
      </c>
      <c r="E9" s="17"/>
      <c r="F9" s="27">
        <v>46064.0</v>
      </c>
      <c r="G9" s="19">
        <v>150000.0</v>
      </c>
      <c r="H9" s="31"/>
      <c r="I9" s="22" t="s">
        <v>26</v>
      </c>
      <c r="J9" s="22" t="s">
        <v>28</v>
      </c>
      <c r="K9" s="22" t="s">
        <v>29</v>
      </c>
      <c r="L9" s="22" t="s">
        <v>31</v>
      </c>
      <c r="M9" s="22" t="s">
        <v>33</v>
      </c>
      <c r="N9" s="25"/>
      <c r="O9" s="26"/>
      <c r="P9" s="26"/>
      <c r="Q9" s="1"/>
      <c r="R9" s="1"/>
    </row>
    <row r="10">
      <c r="A10" s="1"/>
      <c r="B10" s="14">
        <v>7.0</v>
      </c>
      <c r="C10" s="15" t="s">
        <v>143</v>
      </c>
      <c r="D10" s="16" t="s">
        <v>136</v>
      </c>
      <c r="E10" s="17" t="s">
        <v>144</v>
      </c>
      <c r="F10" s="27">
        <v>46064.0</v>
      </c>
      <c r="G10" s="19">
        <v>100000.0</v>
      </c>
      <c r="H10" s="31"/>
      <c r="I10" s="22" t="s">
        <v>26</v>
      </c>
      <c r="J10" s="22" t="s">
        <v>28</v>
      </c>
      <c r="K10" s="22" t="s">
        <v>145</v>
      </c>
      <c r="L10" s="22" t="s">
        <v>31</v>
      </c>
      <c r="M10" s="22" t="s">
        <v>33</v>
      </c>
      <c r="N10" s="25"/>
      <c r="O10" s="26"/>
      <c r="P10" s="26"/>
      <c r="Q10" s="1"/>
      <c r="R10" s="1"/>
    </row>
    <row r="11">
      <c r="A11" s="1"/>
      <c r="B11" s="14">
        <v>8.0</v>
      </c>
      <c r="C11" s="15" t="s">
        <v>149</v>
      </c>
      <c r="D11" s="16" t="s">
        <v>36</v>
      </c>
      <c r="E11" s="17"/>
      <c r="F11" s="27">
        <v>46065.0</v>
      </c>
      <c r="G11" s="19"/>
      <c r="H11" s="21">
        <v>100000.0</v>
      </c>
      <c r="I11" s="22" t="s">
        <v>25</v>
      </c>
      <c r="J11" s="22"/>
      <c r="K11" s="22"/>
      <c r="L11" s="22" t="s">
        <v>31</v>
      </c>
      <c r="M11" s="29"/>
      <c r="N11" s="25"/>
      <c r="O11" s="26"/>
      <c r="P11" s="26"/>
      <c r="Q11" s="1"/>
      <c r="R11" s="1"/>
    </row>
    <row r="12">
      <c r="A12" s="1"/>
      <c r="B12" s="14">
        <v>9.0</v>
      </c>
      <c r="C12" s="15" t="s">
        <v>154</v>
      </c>
      <c r="D12" s="16" t="s">
        <v>36</v>
      </c>
      <c r="E12" s="17"/>
      <c r="F12" s="27">
        <v>46064.0</v>
      </c>
      <c r="G12" s="19"/>
      <c r="H12" s="21">
        <v>175000.0</v>
      </c>
      <c r="I12" s="22" t="s">
        <v>26</v>
      </c>
      <c r="J12" s="22" t="s">
        <v>28</v>
      </c>
      <c r="K12" s="22" t="s">
        <v>29</v>
      </c>
      <c r="L12" s="22" t="s">
        <v>31</v>
      </c>
      <c r="M12" s="22" t="s">
        <v>33</v>
      </c>
      <c r="N12" s="25"/>
      <c r="O12" s="26"/>
      <c r="P12" s="26"/>
      <c r="Q12" s="1"/>
      <c r="R12" s="1"/>
    </row>
    <row r="13">
      <c r="A13" s="1"/>
      <c r="B13" s="14">
        <v>10.0</v>
      </c>
      <c r="C13" s="15" t="s">
        <v>156</v>
      </c>
      <c r="D13" s="16" t="s">
        <v>21</v>
      </c>
      <c r="E13" s="17"/>
      <c r="F13" s="27">
        <v>46067.0</v>
      </c>
      <c r="G13" s="19"/>
      <c r="H13" s="21">
        <v>100000.0</v>
      </c>
      <c r="I13" s="22" t="s">
        <v>25</v>
      </c>
      <c r="J13" s="22"/>
      <c r="K13" s="22"/>
      <c r="L13" s="22" t="s">
        <v>31</v>
      </c>
      <c r="M13" s="29"/>
      <c r="N13" s="25"/>
      <c r="O13" s="26"/>
      <c r="P13" s="26"/>
      <c r="Q13" s="1"/>
      <c r="R13" s="1"/>
    </row>
    <row r="14">
      <c r="A14" s="1"/>
      <c r="B14" s="30"/>
      <c r="C14" s="15" t="s">
        <v>159</v>
      </c>
      <c r="D14" s="16" t="s">
        <v>36</v>
      </c>
      <c r="E14" s="17"/>
      <c r="F14" s="27">
        <v>46065.0</v>
      </c>
      <c r="G14" s="19"/>
      <c r="H14" s="21">
        <v>100000.0</v>
      </c>
      <c r="I14" s="22" t="s">
        <v>25</v>
      </c>
      <c r="J14" s="22"/>
      <c r="K14" s="22"/>
      <c r="L14" s="22" t="s">
        <v>31</v>
      </c>
      <c r="M14" s="29"/>
      <c r="N14" s="25"/>
      <c r="O14" s="26"/>
      <c r="P14" s="26"/>
      <c r="Q14" s="1"/>
      <c r="R14" s="1"/>
    </row>
    <row r="15">
      <c r="A15" s="1"/>
      <c r="B15" s="30"/>
      <c r="C15" s="15" t="s">
        <v>160</v>
      </c>
      <c r="D15" s="16" t="s">
        <v>161</v>
      </c>
      <c r="E15" s="17"/>
      <c r="F15" s="27">
        <v>46063.0</v>
      </c>
      <c r="G15" s="19">
        <v>150000.0</v>
      </c>
      <c r="H15" s="31"/>
      <c r="I15" s="22" t="s">
        <v>26</v>
      </c>
      <c r="J15" s="22" t="s">
        <v>28</v>
      </c>
      <c r="K15" s="22" t="s">
        <v>29</v>
      </c>
      <c r="L15" s="22" t="s">
        <v>31</v>
      </c>
      <c r="M15" s="22" t="s">
        <v>33</v>
      </c>
      <c r="N15" s="25"/>
      <c r="O15" s="26"/>
      <c r="P15" s="26"/>
      <c r="Q15" s="1"/>
      <c r="R15" s="1"/>
    </row>
    <row r="16">
      <c r="A16" s="1"/>
      <c r="B16" s="30"/>
      <c r="C16" s="15" t="s">
        <v>164</v>
      </c>
      <c r="D16" s="16" t="s">
        <v>36</v>
      </c>
      <c r="E16" s="17"/>
      <c r="F16" s="27">
        <v>46065.0</v>
      </c>
      <c r="G16" s="19"/>
      <c r="H16" s="21">
        <v>100000.0</v>
      </c>
      <c r="I16" s="22" t="s">
        <v>25</v>
      </c>
      <c r="J16" s="22"/>
      <c r="K16" s="22"/>
      <c r="L16" s="22" t="s">
        <v>31</v>
      </c>
      <c r="M16" s="29"/>
      <c r="N16" s="25"/>
      <c r="O16" s="26"/>
      <c r="P16" s="26"/>
      <c r="Q16" s="1"/>
      <c r="R16" s="1"/>
    </row>
    <row r="17">
      <c r="A17" s="1"/>
      <c r="B17" s="30"/>
      <c r="C17" s="15" t="s">
        <v>166</v>
      </c>
      <c r="D17" s="16" t="s">
        <v>36</v>
      </c>
      <c r="E17" s="17"/>
      <c r="F17" s="27">
        <v>46064.0</v>
      </c>
      <c r="G17" s="19">
        <v>175000.0</v>
      </c>
      <c r="H17" s="31"/>
      <c r="I17" s="22" t="s">
        <v>26</v>
      </c>
      <c r="J17" s="22" t="s">
        <v>28</v>
      </c>
      <c r="K17" s="22" t="s">
        <v>29</v>
      </c>
      <c r="L17" s="22" t="s">
        <v>31</v>
      </c>
      <c r="M17" s="22" t="s">
        <v>85</v>
      </c>
      <c r="N17" s="25"/>
      <c r="O17" s="26"/>
      <c r="P17" s="26"/>
      <c r="Q17" s="1"/>
      <c r="R17" s="1"/>
    </row>
    <row r="18">
      <c r="A18" s="1"/>
      <c r="B18" s="30"/>
      <c r="C18" s="15" t="s">
        <v>168</v>
      </c>
      <c r="D18" s="16" t="s">
        <v>36</v>
      </c>
      <c r="E18" s="17"/>
      <c r="F18" s="20">
        <v>46064.0</v>
      </c>
      <c r="G18" s="28"/>
      <c r="H18" s="21">
        <v>175000.0</v>
      </c>
      <c r="I18" s="22" t="s">
        <v>26</v>
      </c>
      <c r="J18" s="22" t="s">
        <v>28</v>
      </c>
      <c r="K18" s="22" t="s">
        <v>29</v>
      </c>
      <c r="L18" s="22" t="s">
        <v>30</v>
      </c>
      <c r="M18" s="22" t="s">
        <v>85</v>
      </c>
      <c r="N18" s="33"/>
      <c r="O18" s="33"/>
      <c r="P18" s="33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4">
        <f t="shared" ref="G19:H19" si="1">SUM(G4:G18)</f>
        <v>750000</v>
      </c>
      <c r="H19" s="35">
        <f t="shared" si="1"/>
        <v>1175000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6" t="s">
        <v>0</v>
      </c>
      <c r="C22" s="37" t="s">
        <v>6</v>
      </c>
      <c r="D22" s="37" t="s">
        <v>70</v>
      </c>
      <c r="E22" s="38"/>
      <c r="F22" s="1"/>
      <c r="G22" s="1"/>
      <c r="H22" s="1"/>
      <c r="I22" s="1"/>
      <c r="J22" s="1"/>
      <c r="K22" s="1"/>
      <c r="L22" s="1"/>
      <c r="M22" s="1"/>
      <c r="N22" s="37" t="s">
        <v>71</v>
      </c>
      <c r="O22" s="37" t="s">
        <v>1</v>
      </c>
      <c r="P22" s="1"/>
      <c r="Q22" s="1"/>
      <c r="R22" s="1"/>
    </row>
    <row r="23">
      <c r="A23" s="1"/>
      <c r="B23" s="39">
        <v>1.0</v>
      </c>
      <c r="C23" s="40" t="s">
        <v>72</v>
      </c>
      <c r="D23" s="41">
        <f>SUM(G19)</f>
        <v>750000</v>
      </c>
      <c r="E23" s="42"/>
      <c r="F23" s="1"/>
      <c r="G23" s="1"/>
      <c r="H23" s="1"/>
      <c r="I23" s="1"/>
      <c r="J23" s="1"/>
      <c r="K23" s="1"/>
      <c r="L23" s="1"/>
      <c r="M23" s="1"/>
      <c r="N23" s="43" t="s">
        <v>73</v>
      </c>
      <c r="O23" s="23" t="s">
        <v>31</v>
      </c>
      <c r="P23" s="1"/>
      <c r="Q23" s="1"/>
      <c r="R23" s="1"/>
    </row>
    <row r="24">
      <c r="A24" s="1"/>
      <c r="B24" s="44">
        <v>2.0</v>
      </c>
      <c r="C24" s="45" t="s">
        <v>81</v>
      </c>
      <c r="D24" s="46">
        <v>-20000.0</v>
      </c>
      <c r="E24" s="47"/>
      <c r="F24" s="1"/>
      <c r="G24" s="1"/>
      <c r="H24" s="1"/>
      <c r="I24" s="1"/>
      <c r="J24" s="1"/>
      <c r="K24" s="1"/>
      <c r="L24" s="1"/>
      <c r="M24" s="1"/>
      <c r="N24" s="48" t="s">
        <v>75</v>
      </c>
      <c r="O24" s="49" t="s">
        <v>31</v>
      </c>
      <c r="P24" s="1"/>
      <c r="Q24" s="1"/>
      <c r="R24" s="1"/>
    </row>
    <row r="25">
      <c r="A25" s="1"/>
      <c r="B25" s="39">
        <v>3.0</v>
      </c>
      <c r="C25" s="40" t="s">
        <v>76</v>
      </c>
      <c r="D25" s="50">
        <v>-20000.0</v>
      </c>
      <c r="E25" s="47"/>
      <c r="F25" s="1"/>
      <c r="G25" s="1"/>
      <c r="H25" s="1"/>
      <c r="I25" s="1"/>
      <c r="J25" s="1"/>
      <c r="K25" s="1"/>
      <c r="L25" s="1"/>
      <c r="M25" s="1"/>
      <c r="N25" s="51" t="s">
        <v>77</v>
      </c>
      <c r="O25" s="25" t="s">
        <v>33</v>
      </c>
      <c r="P25" s="1"/>
      <c r="Q25" s="1"/>
      <c r="R25" s="1"/>
    </row>
    <row r="26">
      <c r="A26" s="1"/>
      <c r="B26" s="44">
        <v>4.0</v>
      </c>
      <c r="C26" s="45" t="s">
        <v>83</v>
      </c>
      <c r="D26" s="46">
        <v>-200000.0</v>
      </c>
      <c r="E26" s="47"/>
      <c r="F26" s="1"/>
      <c r="G26" s="1"/>
      <c r="H26" s="1"/>
      <c r="I26" s="1"/>
      <c r="J26" s="1"/>
      <c r="K26" s="1"/>
      <c r="L26" s="1"/>
      <c r="M26" s="1"/>
      <c r="N26" s="52" t="s">
        <v>79</v>
      </c>
      <c r="O26" s="49" t="s">
        <v>85</v>
      </c>
      <c r="P26" s="1"/>
      <c r="Q26" s="1"/>
      <c r="R26" s="1"/>
    </row>
    <row r="27">
      <c r="A27" s="1"/>
      <c r="B27" s="39"/>
      <c r="C27" s="40" t="s">
        <v>176</v>
      </c>
      <c r="D27" s="50">
        <v>-60000.0</v>
      </c>
      <c r="E27" s="42"/>
      <c r="F27" s="1"/>
      <c r="G27" s="1"/>
      <c r="H27" s="1"/>
      <c r="I27" s="1"/>
      <c r="J27" s="1"/>
      <c r="K27" s="1"/>
      <c r="L27" s="1"/>
      <c r="M27" s="1"/>
      <c r="N27" s="54"/>
      <c r="O27" s="1"/>
      <c r="P27" s="1"/>
      <c r="Q27" s="1"/>
      <c r="R27" s="1"/>
    </row>
    <row r="28">
      <c r="A28" s="1"/>
      <c r="B28" s="44"/>
      <c r="C28" s="45"/>
      <c r="D28" s="46"/>
      <c r="E28" s="42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9"/>
      <c r="C29" s="40" t="s">
        <v>76</v>
      </c>
      <c r="D29" s="50">
        <v>-30000.0</v>
      </c>
      <c r="E29" s="42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4"/>
      <c r="C30" s="45" t="s">
        <v>80</v>
      </c>
      <c r="D30" s="46">
        <v>-50000.0</v>
      </c>
      <c r="E30" s="42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9"/>
      <c r="C31" s="53"/>
      <c r="D31" s="41"/>
      <c r="E31" s="4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4"/>
      <c r="C32" s="55"/>
      <c r="D32" s="56"/>
      <c r="E32" s="4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7"/>
      <c r="C33" s="58"/>
      <c r="D33" s="59"/>
      <c r="E33" s="4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0">
        <f>SUM(D23:D33)</f>
        <v>370000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Edit,Add Cetak"</formula1>
    </dataValidation>
    <dataValidation type="list" allowBlank="1" showDropDown="1" showErrorMessage="1" sqref="L4:L18 O23:O24">
      <formula1>"-,JIJANG,AXEL,PENTIL,FAHME,INDAH,ADDEL"</formula1>
    </dataValidation>
    <dataValidation type="list" allowBlank="1" showDropDown="1" showErrorMessage="1" sqref="M4:M18 O25:O26">
      <formula1>"-,VERO,FADEL,PENTIL,HANIF,ADIF"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134</v>
      </c>
      <c r="D4" s="16" t="s">
        <v>136</v>
      </c>
      <c r="E4" s="17"/>
      <c r="F4" s="18">
        <v>46069.0</v>
      </c>
      <c r="G4" s="19"/>
      <c r="H4" s="21">
        <v>100000.0</v>
      </c>
      <c r="I4" s="22" t="s">
        <v>26</v>
      </c>
      <c r="J4" s="22"/>
      <c r="K4" s="22"/>
      <c r="L4" s="22" t="s">
        <v>30</v>
      </c>
      <c r="M4" s="22"/>
      <c r="N4" s="23"/>
      <c r="O4" s="23"/>
      <c r="P4" s="24">
        <v>45231.0</v>
      </c>
      <c r="Q4" s="1"/>
      <c r="R4" s="1"/>
    </row>
    <row r="5">
      <c r="A5" s="1"/>
      <c r="B5" s="14">
        <v>2.0</v>
      </c>
      <c r="C5" s="15" t="s">
        <v>146</v>
      </c>
      <c r="D5" s="16" t="s">
        <v>36</v>
      </c>
      <c r="E5" s="17"/>
      <c r="F5" s="18">
        <v>46069.0</v>
      </c>
      <c r="G5" s="19"/>
      <c r="H5" s="21">
        <v>100000.0</v>
      </c>
      <c r="I5" s="22" t="s">
        <v>25</v>
      </c>
      <c r="J5" s="22"/>
      <c r="K5" s="22"/>
      <c r="L5" s="22" t="s">
        <v>30</v>
      </c>
      <c r="M5" s="22"/>
      <c r="N5" s="25"/>
      <c r="O5" s="25"/>
      <c r="P5" s="26"/>
      <c r="Q5" s="1"/>
      <c r="R5" s="1"/>
    </row>
    <row r="6">
      <c r="A6" s="1"/>
      <c r="B6" s="14">
        <v>3.0</v>
      </c>
      <c r="C6" s="15" t="s">
        <v>152</v>
      </c>
      <c r="D6" s="16" t="s">
        <v>21</v>
      </c>
      <c r="E6" s="17"/>
      <c r="F6" s="20">
        <v>46067.0</v>
      </c>
      <c r="G6" s="19">
        <v>100000.0</v>
      </c>
      <c r="H6" s="21"/>
      <c r="I6" s="22" t="s">
        <v>25</v>
      </c>
      <c r="J6" s="22"/>
      <c r="K6" s="22"/>
      <c r="L6" s="22" t="s">
        <v>30</v>
      </c>
      <c r="M6" s="29"/>
      <c r="N6" s="25"/>
      <c r="O6" s="25"/>
      <c r="P6" s="26"/>
      <c r="Q6" s="1"/>
      <c r="R6" s="1"/>
    </row>
    <row r="7">
      <c r="A7" s="1"/>
      <c r="B7" s="14">
        <v>4.0</v>
      </c>
      <c r="C7" s="15" t="s">
        <v>157</v>
      </c>
      <c r="D7" s="16" t="s">
        <v>36</v>
      </c>
      <c r="E7" s="17"/>
      <c r="F7" s="20">
        <v>46081.0</v>
      </c>
      <c r="G7" s="19"/>
      <c r="H7" s="21">
        <v>100000.0</v>
      </c>
      <c r="I7" s="22" t="s">
        <v>25</v>
      </c>
      <c r="J7" s="22"/>
      <c r="K7" s="22"/>
      <c r="L7" s="22" t="s">
        <v>30</v>
      </c>
      <c r="M7" s="29"/>
      <c r="N7" s="25"/>
      <c r="O7" s="25"/>
      <c r="P7" s="26"/>
      <c r="Q7" s="1"/>
      <c r="R7" s="1"/>
    </row>
    <row r="8">
      <c r="A8" s="1"/>
      <c r="B8" s="14">
        <v>5.0</v>
      </c>
      <c r="C8" s="15" t="s">
        <v>149</v>
      </c>
      <c r="D8" s="16" t="s">
        <v>36</v>
      </c>
      <c r="E8" s="17"/>
      <c r="F8" s="20">
        <v>46065.0</v>
      </c>
      <c r="G8" s="19">
        <v>150000.0</v>
      </c>
      <c r="H8" s="31"/>
      <c r="I8" s="22" t="s">
        <v>26</v>
      </c>
      <c r="J8" s="22" t="s">
        <v>28</v>
      </c>
      <c r="K8" s="22" t="s">
        <v>29</v>
      </c>
      <c r="L8" s="22" t="s">
        <v>30</v>
      </c>
      <c r="M8" s="22" t="s">
        <v>85</v>
      </c>
      <c r="N8" s="25"/>
      <c r="O8" s="26"/>
      <c r="P8" s="26"/>
      <c r="Q8" s="1"/>
      <c r="R8" s="1"/>
    </row>
    <row r="9">
      <c r="A9" s="1"/>
      <c r="B9" s="14">
        <v>6.0</v>
      </c>
      <c r="C9" s="15" t="s">
        <v>163</v>
      </c>
      <c r="D9" s="16" t="s">
        <v>36</v>
      </c>
      <c r="E9" s="17"/>
      <c r="F9" s="20">
        <v>46065.0</v>
      </c>
      <c r="G9" s="19"/>
      <c r="H9" s="21">
        <v>175000.0</v>
      </c>
      <c r="I9" s="22" t="s">
        <v>26</v>
      </c>
      <c r="J9" s="22" t="s">
        <v>28</v>
      </c>
      <c r="K9" s="22" t="s">
        <v>29</v>
      </c>
      <c r="L9" s="22" t="s">
        <v>30</v>
      </c>
      <c r="M9" s="22" t="s">
        <v>85</v>
      </c>
      <c r="N9" s="25"/>
      <c r="O9" s="26"/>
      <c r="P9" s="26"/>
      <c r="Q9" s="1"/>
      <c r="R9" s="1"/>
    </row>
    <row r="10">
      <c r="A10" s="1"/>
      <c r="B10" s="14">
        <v>7.0</v>
      </c>
      <c r="C10" s="15" t="s">
        <v>165</v>
      </c>
      <c r="D10" s="16" t="s">
        <v>36</v>
      </c>
      <c r="E10" s="17"/>
      <c r="F10" s="20">
        <v>46067.0</v>
      </c>
      <c r="G10" s="19"/>
      <c r="H10" s="21">
        <v>100000.0</v>
      </c>
      <c r="I10" s="22" t="s">
        <v>25</v>
      </c>
      <c r="J10" s="22"/>
      <c r="K10" s="22"/>
      <c r="L10" s="22" t="s">
        <v>30</v>
      </c>
      <c r="M10" s="29"/>
      <c r="N10" s="25"/>
      <c r="O10" s="26"/>
      <c r="P10" s="26"/>
      <c r="Q10" s="1"/>
      <c r="R10" s="1"/>
    </row>
    <row r="11">
      <c r="A11" s="1"/>
      <c r="B11" s="14">
        <v>8.0</v>
      </c>
      <c r="C11" s="15" t="s">
        <v>139</v>
      </c>
      <c r="D11" s="16" t="s">
        <v>36</v>
      </c>
      <c r="E11" s="17"/>
      <c r="F11" s="20">
        <v>46065.0</v>
      </c>
      <c r="G11" s="19">
        <v>75000.0</v>
      </c>
      <c r="H11" s="31"/>
      <c r="I11" s="22" t="s">
        <v>26</v>
      </c>
      <c r="J11" s="22" t="s">
        <v>28</v>
      </c>
      <c r="K11" s="22" t="s">
        <v>29</v>
      </c>
      <c r="L11" s="22" t="s">
        <v>30</v>
      </c>
      <c r="M11" s="22" t="s">
        <v>85</v>
      </c>
      <c r="N11" s="25"/>
      <c r="O11" s="26"/>
      <c r="P11" s="26"/>
      <c r="Q11" s="1"/>
      <c r="R11" s="1"/>
    </row>
    <row r="12">
      <c r="A12" s="1"/>
      <c r="B12" s="14">
        <v>9.0</v>
      </c>
      <c r="C12" s="15" t="s">
        <v>164</v>
      </c>
      <c r="D12" s="16" t="s">
        <v>36</v>
      </c>
      <c r="E12" s="17"/>
      <c r="F12" s="20">
        <v>46065.0</v>
      </c>
      <c r="G12" s="19"/>
      <c r="H12" s="21">
        <v>150000.0</v>
      </c>
      <c r="I12" s="22" t="s">
        <v>26</v>
      </c>
      <c r="J12" s="22" t="s">
        <v>28</v>
      </c>
      <c r="K12" s="22" t="s">
        <v>29</v>
      </c>
      <c r="L12" s="22" t="s">
        <v>30</v>
      </c>
      <c r="M12" s="22" t="s">
        <v>85</v>
      </c>
      <c r="N12" s="25"/>
      <c r="O12" s="26"/>
      <c r="P12" s="26"/>
      <c r="Q12" s="1"/>
      <c r="R12" s="1"/>
    </row>
    <row r="13">
      <c r="A13" s="1"/>
      <c r="B13" s="14">
        <v>10.0</v>
      </c>
      <c r="C13" s="15" t="s">
        <v>142</v>
      </c>
      <c r="D13" s="16" t="s">
        <v>36</v>
      </c>
      <c r="E13" s="17"/>
      <c r="F13" s="20">
        <v>46065.0</v>
      </c>
      <c r="G13" s="19"/>
      <c r="H13" s="21">
        <v>175000.0</v>
      </c>
      <c r="I13" s="22" t="s">
        <v>26</v>
      </c>
      <c r="J13" s="22" t="s">
        <v>28</v>
      </c>
      <c r="K13" s="22" t="s">
        <v>29</v>
      </c>
      <c r="L13" s="22" t="s">
        <v>30</v>
      </c>
      <c r="M13" s="22" t="s">
        <v>85</v>
      </c>
      <c r="N13" s="25"/>
      <c r="O13" s="26"/>
      <c r="P13" s="26"/>
      <c r="Q13" s="1"/>
      <c r="R13" s="1"/>
    </row>
    <row r="14">
      <c r="A14" s="1"/>
      <c r="B14" s="30"/>
      <c r="C14" s="15"/>
      <c r="D14" s="16"/>
      <c r="E14" s="17"/>
      <c r="F14" s="30"/>
      <c r="G14" s="19"/>
      <c r="H14" s="31"/>
      <c r="I14" s="22"/>
      <c r="J14" s="22"/>
      <c r="K14" s="22"/>
      <c r="L14" s="29"/>
      <c r="M14" s="29"/>
      <c r="N14" s="25"/>
      <c r="O14" s="26"/>
      <c r="P14" s="26"/>
      <c r="Q14" s="1"/>
      <c r="R14" s="1"/>
    </row>
    <row r="15">
      <c r="A15" s="1"/>
      <c r="B15" s="30"/>
      <c r="C15" s="15"/>
      <c r="D15" s="16"/>
      <c r="E15" s="17"/>
      <c r="F15" s="30"/>
      <c r="G15" s="19"/>
      <c r="H15" s="31"/>
      <c r="I15" s="22"/>
      <c r="J15" s="22"/>
      <c r="K15" s="22"/>
      <c r="L15" s="29"/>
      <c r="M15" s="29"/>
      <c r="N15" s="25"/>
      <c r="O15" s="26"/>
      <c r="P15" s="26"/>
      <c r="Q15" s="1"/>
      <c r="R15" s="1"/>
    </row>
    <row r="16">
      <c r="A16" s="1"/>
      <c r="B16" s="30"/>
      <c r="C16" s="15"/>
      <c r="D16" s="16"/>
      <c r="E16" s="17"/>
      <c r="F16" s="30"/>
      <c r="G16" s="19"/>
      <c r="H16" s="31"/>
      <c r="I16" s="22"/>
      <c r="J16" s="22"/>
      <c r="K16" s="22"/>
      <c r="L16" s="29"/>
      <c r="M16" s="29"/>
      <c r="N16" s="25"/>
      <c r="O16" s="26"/>
      <c r="P16" s="26"/>
      <c r="Q16" s="1"/>
      <c r="R16" s="1"/>
    </row>
    <row r="17">
      <c r="A17" s="1"/>
      <c r="B17" s="30"/>
      <c r="C17" s="15"/>
      <c r="D17" s="16"/>
      <c r="E17" s="17"/>
      <c r="F17" s="30"/>
      <c r="G17" s="19"/>
      <c r="H17" s="31"/>
      <c r="I17" s="22"/>
      <c r="J17" s="22"/>
      <c r="K17" s="22"/>
      <c r="L17" s="29"/>
      <c r="M17" s="29"/>
      <c r="N17" s="25"/>
      <c r="O17" s="26"/>
      <c r="P17" s="26"/>
      <c r="Q17" s="1"/>
      <c r="R17" s="1"/>
    </row>
    <row r="18">
      <c r="A18" s="1"/>
      <c r="B18" s="30"/>
      <c r="C18" s="32"/>
      <c r="D18" s="16"/>
      <c r="E18" s="17"/>
      <c r="F18" s="30"/>
      <c r="G18" s="28"/>
      <c r="H18" s="31"/>
      <c r="I18" s="29"/>
      <c r="J18" s="29"/>
      <c r="K18" s="29"/>
      <c r="L18" s="29"/>
      <c r="M18" s="29"/>
      <c r="N18" s="33"/>
      <c r="O18" s="33"/>
      <c r="P18" s="33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4">
        <f t="shared" ref="G19:H19" si="1">SUM(G4:G18)</f>
        <v>325000</v>
      </c>
      <c r="H19" s="35">
        <f t="shared" si="1"/>
        <v>900000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6" t="s">
        <v>0</v>
      </c>
      <c r="C22" s="37" t="s">
        <v>6</v>
      </c>
      <c r="D22" s="37" t="s">
        <v>70</v>
      </c>
      <c r="E22" s="38"/>
      <c r="F22" s="1"/>
      <c r="G22" s="1"/>
      <c r="H22" s="1"/>
      <c r="I22" s="1"/>
      <c r="J22" s="1"/>
      <c r="K22" s="1"/>
      <c r="L22" s="1"/>
      <c r="M22" s="1"/>
      <c r="N22" s="37" t="s">
        <v>71</v>
      </c>
      <c r="O22" s="37" t="s">
        <v>1</v>
      </c>
      <c r="P22" s="1"/>
      <c r="Q22" s="1"/>
      <c r="R22" s="1"/>
    </row>
    <row r="23">
      <c r="A23" s="1"/>
      <c r="B23" s="39">
        <v>1.0</v>
      </c>
      <c r="C23" s="40" t="s">
        <v>72</v>
      </c>
      <c r="D23" s="41">
        <f>SUM(G19)</f>
        <v>325000</v>
      </c>
      <c r="E23" s="42"/>
      <c r="F23" s="1"/>
      <c r="G23" s="1"/>
      <c r="H23" s="1"/>
      <c r="I23" s="1"/>
      <c r="J23" s="1"/>
      <c r="K23" s="1"/>
      <c r="L23" s="1"/>
      <c r="M23" s="1"/>
      <c r="N23" s="43" t="s">
        <v>73</v>
      </c>
      <c r="O23" s="23" t="s">
        <v>30</v>
      </c>
      <c r="P23" s="1"/>
      <c r="Q23" s="1"/>
      <c r="R23" s="1"/>
    </row>
    <row r="24">
      <c r="A24" s="1"/>
      <c r="B24" s="44">
        <v>2.0</v>
      </c>
      <c r="C24" s="45" t="s">
        <v>178</v>
      </c>
      <c r="D24" s="46">
        <v>-50000.0</v>
      </c>
      <c r="E24" s="47"/>
      <c r="F24" s="1"/>
      <c r="G24" s="1"/>
      <c r="H24" s="1"/>
      <c r="I24" s="1"/>
      <c r="J24" s="1"/>
      <c r="K24" s="1"/>
      <c r="L24" s="1"/>
      <c r="M24" s="1"/>
      <c r="N24" s="48" t="s">
        <v>75</v>
      </c>
      <c r="O24" s="49" t="s">
        <v>30</v>
      </c>
      <c r="P24" s="1"/>
      <c r="Q24" s="1"/>
      <c r="R24" s="1"/>
    </row>
    <row r="25">
      <c r="A25" s="1"/>
      <c r="B25" s="39">
        <v>3.0</v>
      </c>
      <c r="C25" s="40" t="s">
        <v>76</v>
      </c>
      <c r="D25" s="50">
        <v>-20000.0</v>
      </c>
      <c r="E25" s="47"/>
      <c r="F25" s="1"/>
      <c r="G25" s="1"/>
      <c r="H25" s="1"/>
      <c r="I25" s="1"/>
      <c r="J25" s="1"/>
      <c r="K25" s="1"/>
      <c r="L25" s="1"/>
      <c r="M25" s="1"/>
      <c r="N25" s="51" t="s">
        <v>77</v>
      </c>
      <c r="O25" s="25" t="s">
        <v>85</v>
      </c>
      <c r="P25" s="1"/>
      <c r="Q25" s="1"/>
      <c r="R25" s="1"/>
    </row>
    <row r="26">
      <c r="A26" s="1"/>
      <c r="B26" s="44">
        <v>4.0</v>
      </c>
      <c r="C26" s="45" t="s">
        <v>83</v>
      </c>
      <c r="D26" s="46">
        <v>-18000.0</v>
      </c>
      <c r="E26" s="47"/>
      <c r="F26" s="1"/>
      <c r="G26" s="1"/>
      <c r="H26" s="1"/>
      <c r="I26" s="1"/>
      <c r="J26" s="1"/>
      <c r="K26" s="1"/>
      <c r="L26" s="1"/>
      <c r="M26" s="1"/>
      <c r="N26" s="52" t="s">
        <v>79</v>
      </c>
      <c r="O26" s="49" t="s">
        <v>85</v>
      </c>
      <c r="P26" s="1"/>
      <c r="Q26" s="1"/>
      <c r="R26" s="1"/>
    </row>
    <row r="27">
      <c r="A27" s="1"/>
      <c r="B27" s="39">
        <v>5.0</v>
      </c>
      <c r="C27" s="40" t="s">
        <v>179</v>
      </c>
      <c r="D27" s="50">
        <v>-42000.0</v>
      </c>
      <c r="E27" s="42"/>
      <c r="F27" s="64">
        <f>D24+D25+D26</f>
        <v>-88000</v>
      </c>
      <c r="G27" s="1"/>
      <c r="H27" s="1"/>
      <c r="I27" s="1"/>
      <c r="J27" s="1"/>
      <c r="K27" s="1"/>
      <c r="L27" s="1"/>
      <c r="M27" s="1"/>
      <c r="N27" s="54"/>
      <c r="O27" s="1"/>
      <c r="P27" s="1"/>
      <c r="Q27" s="1"/>
      <c r="R27" s="1"/>
    </row>
    <row r="28">
      <c r="A28" s="1"/>
      <c r="B28" s="44"/>
      <c r="C28" s="55"/>
      <c r="D28" s="56"/>
      <c r="E28" s="42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9"/>
      <c r="C29" s="53"/>
      <c r="D29" s="41"/>
      <c r="E29" s="42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4"/>
      <c r="C30" s="55"/>
      <c r="D30" s="56"/>
      <c r="E30" s="42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9"/>
      <c r="C31" s="53"/>
      <c r="D31" s="41"/>
      <c r="E31" s="4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4"/>
      <c r="C32" s="55"/>
      <c r="D32" s="56"/>
      <c r="E32" s="4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7"/>
      <c r="C33" s="58"/>
      <c r="D33" s="59"/>
      <c r="E33" s="4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0">
        <f>SUM(D23:D33)</f>
        <v>195000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"-,JIJANG,AXEL,PENTIL,FAHME,INDAH"</formula1>
    </dataValidation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M4:M18 O25:O26">
      <formula1>"-,VERO,FADEL,PENTIL,FAHME,HANIF"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38">
        <v>1.0</v>
      </c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181</v>
      </c>
      <c r="D4" s="16" t="s">
        <v>36</v>
      </c>
      <c r="E4" s="17"/>
      <c r="F4" s="18">
        <v>46066.0</v>
      </c>
      <c r="G4" s="19"/>
      <c r="H4" s="21">
        <v>100000.0</v>
      </c>
      <c r="I4" s="22" t="s">
        <v>25</v>
      </c>
      <c r="J4" s="22"/>
      <c r="K4" s="22"/>
      <c r="L4" s="22" t="s">
        <v>31</v>
      </c>
      <c r="M4" s="22"/>
      <c r="N4" s="23"/>
      <c r="O4" s="23"/>
      <c r="P4" s="24">
        <v>45231.0</v>
      </c>
      <c r="Q4" s="1"/>
      <c r="R4" s="1"/>
    </row>
    <row r="5">
      <c r="A5" s="1"/>
      <c r="B5" s="14">
        <v>2.0</v>
      </c>
      <c r="C5" s="15" t="s">
        <v>186</v>
      </c>
      <c r="D5" s="16" t="s">
        <v>36</v>
      </c>
      <c r="E5" s="17"/>
      <c r="F5" s="18">
        <v>46066.0</v>
      </c>
      <c r="G5" s="19"/>
      <c r="H5" s="21">
        <v>100000.0</v>
      </c>
      <c r="I5" s="22" t="s">
        <v>25</v>
      </c>
      <c r="J5" s="22"/>
      <c r="K5" s="22"/>
      <c r="L5" s="22" t="s">
        <v>31</v>
      </c>
      <c r="M5" s="22"/>
      <c r="N5" s="25"/>
      <c r="O5" s="25"/>
      <c r="P5" s="26"/>
      <c r="Q5" s="1"/>
      <c r="R5" s="1"/>
    </row>
    <row r="6">
      <c r="A6" s="1"/>
      <c r="B6" s="14">
        <v>3.0</v>
      </c>
      <c r="C6" s="15" t="s">
        <v>181</v>
      </c>
      <c r="D6" s="16" t="s">
        <v>36</v>
      </c>
      <c r="E6" s="17"/>
      <c r="F6" s="27">
        <v>46066.0</v>
      </c>
      <c r="G6" s="28"/>
      <c r="H6" s="21">
        <v>325000.0</v>
      </c>
      <c r="I6" s="22" t="s">
        <v>26</v>
      </c>
      <c r="J6" s="22" t="s">
        <v>28</v>
      </c>
      <c r="K6" s="22" t="s">
        <v>29</v>
      </c>
      <c r="L6" s="22" t="s">
        <v>31</v>
      </c>
      <c r="M6" s="22" t="s">
        <v>33</v>
      </c>
      <c r="N6" s="25"/>
      <c r="O6" s="25"/>
      <c r="P6" s="26"/>
      <c r="Q6" s="1"/>
      <c r="R6" s="1"/>
    </row>
    <row r="7">
      <c r="A7" s="1"/>
      <c r="B7" s="14">
        <v>4.0</v>
      </c>
      <c r="C7" s="15" t="s">
        <v>189</v>
      </c>
      <c r="D7" s="16" t="s">
        <v>36</v>
      </c>
      <c r="E7" s="17"/>
      <c r="F7" s="27">
        <v>46068.0</v>
      </c>
      <c r="G7" s="19"/>
      <c r="H7" s="21">
        <v>100000.0</v>
      </c>
      <c r="I7" s="22" t="s">
        <v>25</v>
      </c>
      <c r="J7" s="22"/>
      <c r="K7" s="22"/>
      <c r="L7" s="22" t="s">
        <v>31</v>
      </c>
      <c r="M7" s="29"/>
      <c r="N7" s="25"/>
      <c r="O7" s="25"/>
      <c r="P7" s="26"/>
      <c r="Q7" s="1"/>
      <c r="R7" s="1"/>
    </row>
    <row r="8">
      <c r="A8" s="1"/>
      <c r="B8" s="14">
        <v>5.0</v>
      </c>
      <c r="C8" s="15" t="s">
        <v>190</v>
      </c>
      <c r="D8" s="16" t="s">
        <v>65</v>
      </c>
      <c r="E8" s="17"/>
      <c r="F8" s="20">
        <v>46067.0</v>
      </c>
      <c r="G8" s="19"/>
      <c r="H8" s="21">
        <v>100000.0</v>
      </c>
      <c r="I8" s="22" t="s">
        <v>25</v>
      </c>
      <c r="J8" s="22"/>
      <c r="K8" s="22"/>
      <c r="L8" s="22" t="s">
        <v>30</v>
      </c>
      <c r="M8" s="29"/>
      <c r="N8" s="25"/>
      <c r="O8" s="26"/>
      <c r="P8" s="26"/>
      <c r="Q8" s="1"/>
      <c r="R8" s="1"/>
    </row>
    <row r="9">
      <c r="A9" s="1"/>
      <c r="B9" s="14">
        <v>6.0</v>
      </c>
      <c r="C9" s="15" t="s">
        <v>193</v>
      </c>
      <c r="D9" s="16" t="s">
        <v>36</v>
      </c>
      <c r="E9" s="17"/>
      <c r="F9" s="20">
        <v>46074.0</v>
      </c>
      <c r="G9" s="19"/>
      <c r="H9" s="21">
        <v>100000.0</v>
      </c>
      <c r="I9" s="22" t="s">
        <v>25</v>
      </c>
      <c r="J9" s="22"/>
      <c r="K9" s="22"/>
      <c r="L9" s="22" t="s">
        <v>30</v>
      </c>
      <c r="M9" s="29"/>
      <c r="N9" s="25"/>
      <c r="O9" s="26"/>
      <c r="P9" s="26"/>
      <c r="Q9" s="1"/>
      <c r="R9" s="1"/>
    </row>
    <row r="10">
      <c r="A10" s="1"/>
      <c r="B10" s="14">
        <v>7.0</v>
      </c>
      <c r="C10" s="15" t="s">
        <v>87</v>
      </c>
      <c r="D10" s="16" t="s">
        <v>60</v>
      </c>
      <c r="E10" s="17"/>
      <c r="F10" s="20">
        <v>46066.0</v>
      </c>
      <c r="G10" s="19"/>
      <c r="H10" s="21">
        <v>1075000.0</v>
      </c>
      <c r="I10" s="22" t="s">
        <v>26</v>
      </c>
      <c r="J10" s="22"/>
      <c r="K10" s="22"/>
      <c r="L10" s="22" t="s">
        <v>30</v>
      </c>
      <c r="M10" s="29"/>
      <c r="N10" s="25"/>
      <c r="O10" s="26"/>
      <c r="P10" s="26"/>
      <c r="Q10" s="1"/>
      <c r="R10" s="1"/>
    </row>
    <row r="11">
      <c r="A11" s="1"/>
      <c r="B11" s="14">
        <v>8.0</v>
      </c>
      <c r="C11" s="15" t="s">
        <v>195</v>
      </c>
      <c r="D11" s="16" t="s">
        <v>36</v>
      </c>
      <c r="E11" s="17"/>
      <c r="F11" s="20">
        <v>46070.0</v>
      </c>
      <c r="G11" s="19"/>
      <c r="H11" s="21">
        <v>100000.0</v>
      </c>
      <c r="I11" s="22" t="s">
        <v>25</v>
      </c>
      <c r="J11" s="22"/>
      <c r="K11" s="22"/>
      <c r="L11" s="22" t="s">
        <v>30</v>
      </c>
      <c r="M11" s="29"/>
      <c r="N11" s="25"/>
      <c r="O11" s="26"/>
      <c r="P11" s="26"/>
      <c r="Q11" s="1"/>
      <c r="R11" s="1"/>
    </row>
    <row r="12">
      <c r="A12" s="1"/>
      <c r="B12" s="14">
        <v>9.0</v>
      </c>
      <c r="C12" s="15" t="s">
        <v>198</v>
      </c>
      <c r="D12" s="16" t="s">
        <v>43</v>
      </c>
      <c r="E12" s="17"/>
      <c r="F12" s="20">
        <v>46067.0</v>
      </c>
      <c r="G12" s="19"/>
      <c r="H12" s="21">
        <v>100000.0</v>
      </c>
      <c r="I12" s="22" t="s">
        <v>25</v>
      </c>
      <c r="J12" s="22"/>
      <c r="K12" s="22"/>
      <c r="L12" s="22" t="s">
        <v>30</v>
      </c>
      <c r="M12" s="29"/>
      <c r="N12" s="25"/>
      <c r="O12" s="26"/>
      <c r="P12" s="26"/>
      <c r="Q12" s="1"/>
      <c r="R12" s="1"/>
    </row>
    <row r="13">
      <c r="A13" s="1"/>
      <c r="B13" s="14">
        <v>10.0</v>
      </c>
      <c r="C13" s="15" t="s">
        <v>174</v>
      </c>
      <c r="D13" s="16" t="s">
        <v>36</v>
      </c>
      <c r="E13" s="17"/>
      <c r="F13" s="20">
        <v>46066.0</v>
      </c>
      <c r="G13" s="19">
        <v>1175000.0</v>
      </c>
      <c r="H13" s="31"/>
      <c r="I13" s="22" t="s">
        <v>26</v>
      </c>
      <c r="J13" s="22" t="s">
        <v>28</v>
      </c>
      <c r="K13" s="22" t="s">
        <v>29</v>
      </c>
      <c r="L13" s="22" t="s">
        <v>30</v>
      </c>
      <c r="M13" s="22" t="s">
        <v>85</v>
      </c>
      <c r="N13" s="25"/>
      <c r="O13" s="26"/>
      <c r="P13" s="26"/>
      <c r="Q13" s="1"/>
      <c r="R13" s="1"/>
    </row>
    <row r="14">
      <c r="A14" s="1"/>
      <c r="B14" s="30"/>
      <c r="C14" s="15"/>
      <c r="D14" s="16"/>
      <c r="E14" s="17"/>
      <c r="F14" s="30"/>
      <c r="G14" s="19"/>
      <c r="H14" s="31"/>
      <c r="I14" s="22"/>
      <c r="J14" s="22"/>
      <c r="K14" s="22"/>
      <c r="L14" s="29"/>
      <c r="M14" s="29"/>
      <c r="N14" s="25"/>
      <c r="O14" s="26"/>
      <c r="P14" s="26"/>
      <c r="Q14" s="1"/>
      <c r="R14" s="1"/>
    </row>
    <row r="15">
      <c r="A15" s="1"/>
      <c r="B15" s="30"/>
      <c r="C15" s="15"/>
      <c r="D15" s="16"/>
      <c r="E15" s="17"/>
      <c r="F15" s="30"/>
      <c r="G15" s="19"/>
      <c r="H15" s="31"/>
      <c r="I15" s="22"/>
      <c r="J15" s="22"/>
      <c r="K15" s="22"/>
      <c r="L15" s="29"/>
      <c r="M15" s="29"/>
      <c r="N15" s="25"/>
      <c r="O15" s="26"/>
      <c r="P15" s="26"/>
      <c r="Q15" s="1"/>
      <c r="R15" s="1"/>
    </row>
    <row r="16">
      <c r="A16" s="1"/>
      <c r="B16" s="30"/>
      <c r="C16" s="15"/>
      <c r="D16" s="16"/>
      <c r="E16" s="17"/>
      <c r="F16" s="30"/>
      <c r="G16" s="19"/>
      <c r="H16" s="31"/>
      <c r="I16" s="22"/>
      <c r="J16" s="22"/>
      <c r="K16" s="22"/>
      <c r="L16" s="29"/>
      <c r="M16" s="29"/>
      <c r="N16" s="25"/>
      <c r="O16" s="26"/>
      <c r="P16" s="26"/>
      <c r="Q16" s="1"/>
      <c r="R16" s="1"/>
    </row>
    <row r="17">
      <c r="A17" s="1"/>
      <c r="B17" s="30"/>
      <c r="C17" s="15"/>
      <c r="D17" s="16"/>
      <c r="E17" s="17"/>
      <c r="F17" s="30"/>
      <c r="G17" s="19"/>
      <c r="H17" s="31"/>
      <c r="I17" s="22"/>
      <c r="J17" s="22"/>
      <c r="K17" s="22"/>
      <c r="L17" s="29"/>
      <c r="M17" s="29"/>
      <c r="N17" s="25"/>
      <c r="O17" s="26"/>
      <c r="P17" s="26"/>
      <c r="Q17" s="1"/>
      <c r="R17" s="1"/>
    </row>
    <row r="18">
      <c r="A18" s="1"/>
      <c r="B18" s="30"/>
      <c r="C18" s="32"/>
      <c r="D18" s="16"/>
      <c r="E18" s="17"/>
      <c r="F18" s="30"/>
      <c r="G18" s="28"/>
      <c r="H18" s="31"/>
      <c r="I18" s="29"/>
      <c r="J18" s="29"/>
      <c r="K18" s="29"/>
      <c r="L18" s="29"/>
      <c r="M18" s="29"/>
      <c r="N18" s="33"/>
      <c r="O18" s="33"/>
      <c r="P18" s="33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4">
        <f t="shared" ref="G19:H19" si="1">SUM(G4:G18)</f>
        <v>1175000</v>
      </c>
      <c r="H19" s="35">
        <f t="shared" si="1"/>
        <v>2100000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6" t="s">
        <v>0</v>
      </c>
      <c r="C22" s="37" t="s">
        <v>6</v>
      </c>
      <c r="D22" s="37" t="s">
        <v>70</v>
      </c>
      <c r="E22" s="38"/>
      <c r="F22" s="1"/>
      <c r="G22" s="1"/>
      <c r="H22" s="1"/>
      <c r="I22" s="1"/>
      <c r="J22" s="1"/>
      <c r="K22" s="1"/>
      <c r="L22" s="1"/>
      <c r="M22" s="1"/>
      <c r="N22" s="37" t="s">
        <v>71</v>
      </c>
      <c r="O22" s="37" t="s">
        <v>1</v>
      </c>
      <c r="P22" s="1"/>
      <c r="Q22" s="1"/>
      <c r="R22" s="1"/>
    </row>
    <row r="23">
      <c r="A23" s="1"/>
      <c r="B23" s="39">
        <v>1.0</v>
      </c>
      <c r="C23" s="40" t="s">
        <v>72</v>
      </c>
      <c r="D23" s="41">
        <f>SUM(G19)</f>
        <v>1175000</v>
      </c>
      <c r="E23" s="42"/>
      <c r="F23" s="1"/>
      <c r="G23" s="1"/>
      <c r="H23" s="1"/>
      <c r="I23" s="1"/>
      <c r="J23" s="1"/>
      <c r="K23" s="1"/>
      <c r="L23" s="1"/>
      <c r="M23" s="1"/>
      <c r="N23" s="43" t="s">
        <v>73</v>
      </c>
      <c r="O23" s="23" t="s">
        <v>31</v>
      </c>
      <c r="P23" s="1"/>
      <c r="Q23" s="1"/>
      <c r="R23" s="1"/>
    </row>
    <row r="24">
      <c r="A24" s="1"/>
      <c r="B24" s="44">
        <v>2.0</v>
      </c>
      <c r="C24" s="45" t="s">
        <v>218</v>
      </c>
      <c r="D24" s="46">
        <v>-112000.0</v>
      </c>
      <c r="E24" s="47"/>
      <c r="F24" s="1"/>
      <c r="G24" s="1"/>
      <c r="H24" s="1"/>
      <c r="I24" s="1"/>
      <c r="J24" s="1"/>
      <c r="K24" s="1"/>
      <c r="L24" s="1"/>
      <c r="M24" s="1"/>
      <c r="N24" s="48" t="s">
        <v>75</v>
      </c>
      <c r="O24" s="49" t="s">
        <v>30</v>
      </c>
      <c r="P24" s="1"/>
      <c r="Q24" s="1"/>
      <c r="R24" s="1"/>
    </row>
    <row r="25">
      <c r="A25" s="1"/>
      <c r="B25" s="39">
        <v>3.0</v>
      </c>
      <c r="C25" s="40" t="s">
        <v>76</v>
      </c>
      <c r="D25" s="50">
        <v>-50000.0</v>
      </c>
      <c r="E25" s="47"/>
      <c r="F25" s="1"/>
      <c r="G25" s="1"/>
      <c r="H25" s="1"/>
      <c r="I25" s="1"/>
      <c r="J25" s="1"/>
      <c r="K25" s="1"/>
      <c r="L25" s="1"/>
      <c r="M25" s="1"/>
      <c r="N25" s="51" t="s">
        <v>77</v>
      </c>
      <c r="O25" s="25" t="s">
        <v>33</v>
      </c>
      <c r="P25" s="1"/>
      <c r="Q25" s="1"/>
      <c r="R25" s="1"/>
    </row>
    <row r="26">
      <c r="A26" s="1"/>
      <c r="B26" s="44">
        <v>4.0</v>
      </c>
      <c r="C26" s="45"/>
      <c r="D26" s="46"/>
      <c r="E26" s="47"/>
      <c r="F26" s="1"/>
      <c r="G26" s="1"/>
      <c r="H26" s="1"/>
      <c r="I26" s="1"/>
      <c r="J26" s="1"/>
      <c r="K26" s="1"/>
      <c r="L26" s="1"/>
      <c r="M26" s="1"/>
      <c r="N26" s="52" t="s">
        <v>79</v>
      </c>
      <c r="O26" s="49" t="s">
        <v>85</v>
      </c>
      <c r="P26" s="1"/>
      <c r="Q26" s="1"/>
      <c r="R26" s="1"/>
    </row>
    <row r="27">
      <c r="A27" s="1"/>
      <c r="B27" s="39"/>
      <c r="C27" s="53"/>
      <c r="D27" s="41"/>
      <c r="E27" s="42"/>
      <c r="F27" s="1"/>
      <c r="G27" s="1"/>
      <c r="H27" s="1"/>
      <c r="I27" s="1"/>
      <c r="J27" s="1"/>
      <c r="K27" s="1"/>
      <c r="L27" s="1"/>
      <c r="M27" s="1"/>
      <c r="N27" s="54"/>
      <c r="O27" s="1"/>
      <c r="P27" s="1"/>
      <c r="Q27" s="1"/>
      <c r="R27" s="1"/>
    </row>
    <row r="28">
      <c r="A28" s="1"/>
      <c r="B28" s="44"/>
      <c r="C28" s="55"/>
      <c r="D28" s="56"/>
      <c r="E28" s="42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9"/>
      <c r="C29" s="53"/>
      <c r="D29" s="41"/>
      <c r="E29" s="42"/>
      <c r="F29" s="1"/>
      <c r="G29" s="38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4"/>
      <c r="C30" s="55"/>
      <c r="D30" s="56"/>
      <c r="E30" s="42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9"/>
      <c r="C31" s="53"/>
      <c r="D31" s="41"/>
      <c r="E31" s="4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4"/>
      <c r="C32" s="55"/>
      <c r="D32" s="56"/>
      <c r="E32" s="4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7"/>
      <c r="C33" s="58"/>
      <c r="D33" s="59"/>
      <c r="E33" s="4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0">
        <f>SUM(D23:D33)</f>
        <v>1013000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"-,JIJANG,ADDEL,PENTIL,FAHME,INDAH"</formula1>
    </dataValidation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M4:M18 O25:O26">
      <formula1>"-,VERO,FADEL,PENTIL,ADIF,HANIF"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9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183</v>
      </c>
      <c r="D4" s="16" t="s">
        <v>21</v>
      </c>
      <c r="E4" s="17"/>
      <c r="F4" s="18">
        <v>46112.0</v>
      </c>
      <c r="G4" s="19"/>
      <c r="H4" s="21">
        <v>100000.0</v>
      </c>
      <c r="I4" s="22" t="s">
        <v>25</v>
      </c>
      <c r="J4" s="22"/>
      <c r="K4" s="22"/>
      <c r="L4" s="22" t="s">
        <v>30</v>
      </c>
      <c r="M4" s="22"/>
      <c r="N4" s="23"/>
      <c r="O4" s="23"/>
      <c r="P4" s="24">
        <v>45231.0</v>
      </c>
      <c r="Q4" s="1"/>
      <c r="R4" s="1"/>
    </row>
    <row r="5">
      <c r="A5" s="1"/>
      <c r="B5" s="14">
        <v>2.0</v>
      </c>
      <c r="C5" s="15" t="s">
        <v>187</v>
      </c>
      <c r="D5" s="16" t="s">
        <v>36</v>
      </c>
      <c r="E5" s="17"/>
      <c r="F5" s="18">
        <v>46070.0</v>
      </c>
      <c r="G5" s="19"/>
      <c r="H5" s="21">
        <v>100000.0</v>
      </c>
      <c r="I5" s="22" t="s">
        <v>25</v>
      </c>
      <c r="J5" s="22"/>
      <c r="K5" s="22"/>
      <c r="L5" s="22" t="s">
        <v>30</v>
      </c>
      <c r="M5" s="22"/>
      <c r="N5" s="25"/>
      <c r="O5" s="25"/>
      <c r="P5" s="26"/>
      <c r="Q5" s="1"/>
      <c r="R5" s="1"/>
    </row>
    <row r="6">
      <c r="A6" s="1"/>
      <c r="B6" s="14">
        <v>3.0</v>
      </c>
      <c r="C6" s="15" t="s">
        <v>188</v>
      </c>
      <c r="D6" s="16" t="s">
        <v>43</v>
      </c>
      <c r="E6" s="17"/>
      <c r="F6" s="20">
        <v>46067.0</v>
      </c>
      <c r="G6" s="28"/>
      <c r="H6" s="21">
        <v>50000.0</v>
      </c>
      <c r="I6" s="22" t="s">
        <v>26</v>
      </c>
      <c r="J6" s="22" t="s">
        <v>28</v>
      </c>
      <c r="K6" s="22" t="s">
        <v>28</v>
      </c>
      <c r="L6" s="22" t="s">
        <v>30</v>
      </c>
      <c r="M6" s="22" t="s">
        <v>85</v>
      </c>
      <c r="N6" s="25"/>
      <c r="O6" s="25"/>
      <c r="P6" s="26"/>
      <c r="Q6" s="1"/>
      <c r="R6" s="1"/>
    </row>
    <row r="7">
      <c r="A7" s="1"/>
      <c r="B7" s="14">
        <v>4.0</v>
      </c>
      <c r="C7" s="15" t="s">
        <v>127</v>
      </c>
      <c r="D7" s="16" t="s">
        <v>21</v>
      </c>
      <c r="E7" s="17"/>
      <c r="F7" s="27">
        <v>46067.0</v>
      </c>
      <c r="G7" s="19">
        <v>290000.0</v>
      </c>
      <c r="H7" s="31"/>
      <c r="I7" s="22" t="s">
        <v>26</v>
      </c>
      <c r="J7" s="22" t="s">
        <v>28</v>
      </c>
      <c r="K7" s="22" t="s">
        <v>29</v>
      </c>
      <c r="L7" s="22" t="s">
        <v>31</v>
      </c>
      <c r="M7" s="22" t="s">
        <v>33</v>
      </c>
      <c r="N7" s="25"/>
      <c r="O7" s="25"/>
      <c r="P7" s="26"/>
      <c r="Q7" s="1"/>
      <c r="R7" s="1"/>
    </row>
    <row r="8">
      <c r="A8" s="1"/>
      <c r="B8" s="14">
        <v>5.0</v>
      </c>
      <c r="C8" s="15" t="s">
        <v>192</v>
      </c>
      <c r="D8" s="16" t="s">
        <v>21</v>
      </c>
      <c r="E8" s="17"/>
      <c r="F8" s="27">
        <v>46067.0</v>
      </c>
      <c r="G8" s="19">
        <v>240000.0</v>
      </c>
      <c r="H8" s="31"/>
      <c r="I8" s="22" t="s">
        <v>26</v>
      </c>
      <c r="J8" s="22" t="s">
        <v>28</v>
      </c>
      <c r="K8" s="22" t="s">
        <v>29</v>
      </c>
      <c r="L8" s="22" t="s">
        <v>31</v>
      </c>
      <c r="M8" s="22" t="s">
        <v>85</v>
      </c>
      <c r="N8" s="25"/>
      <c r="O8" s="26"/>
      <c r="P8" s="26"/>
      <c r="Q8" s="1"/>
      <c r="R8" s="1"/>
    </row>
    <row r="9">
      <c r="A9" s="1"/>
      <c r="B9" s="14">
        <v>6.0</v>
      </c>
      <c r="C9" s="15" t="s">
        <v>194</v>
      </c>
      <c r="D9" s="16" t="s">
        <v>37</v>
      </c>
      <c r="E9" s="17"/>
      <c r="F9" s="27">
        <v>46067.0</v>
      </c>
      <c r="G9" s="19"/>
      <c r="H9" s="21">
        <v>100000.0</v>
      </c>
      <c r="I9" s="22" t="s">
        <v>25</v>
      </c>
      <c r="J9" s="22"/>
      <c r="K9" s="22"/>
      <c r="L9" s="22" t="s">
        <v>31</v>
      </c>
      <c r="M9" s="29"/>
      <c r="N9" s="25"/>
      <c r="O9" s="26"/>
      <c r="P9" s="26"/>
      <c r="Q9" s="1"/>
      <c r="R9" s="1"/>
    </row>
    <row r="10">
      <c r="A10" s="1"/>
      <c r="B10" s="14">
        <v>7.0</v>
      </c>
      <c r="C10" s="15" t="s">
        <v>196</v>
      </c>
      <c r="D10" s="16" t="s">
        <v>21</v>
      </c>
      <c r="E10" s="17"/>
      <c r="F10" s="27">
        <v>46067.0</v>
      </c>
      <c r="G10" s="19"/>
      <c r="H10" s="21">
        <v>250000.0</v>
      </c>
      <c r="I10" s="22" t="s">
        <v>26</v>
      </c>
      <c r="J10" s="22" t="s">
        <v>28</v>
      </c>
      <c r="K10" s="22" t="s">
        <v>29</v>
      </c>
      <c r="L10" s="22" t="s">
        <v>31</v>
      </c>
      <c r="M10" s="22" t="s">
        <v>197</v>
      </c>
      <c r="N10" s="25"/>
      <c r="O10" s="26"/>
      <c r="P10" s="26"/>
      <c r="Q10" s="1"/>
      <c r="R10" s="1"/>
    </row>
    <row r="11">
      <c r="A11" s="1"/>
      <c r="B11" s="14">
        <v>8.0</v>
      </c>
      <c r="C11" s="15" t="s">
        <v>169</v>
      </c>
      <c r="D11" s="16" t="s">
        <v>21</v>
      </c>
      <c r="E11" s="17"/>
      <c r="F11" s="27">
        <v>46067.0</v>
      </c>
      <c r="G11" s="19"/>
      <c r="H11" s="21">
        <v>250000.0</v>
      </c>
      <c r="I11" s="22" t="s">
        <v>26</v>
      </c>
      <c r="J11" s="22" t="s">
        <v>28</v>
      </c>
      <c r="K11" s="22" t="s">
        <v>29</v>
      </c>
      <c r="L11" s="22" t="s">
        <v>31</v>
      </c>
      <c r="M11" s="22" t="s">
        <v>197</v>
      </c>
      <c r="N11" s="25"/>
      <c r="O11" s="26"/>
      <c r="P11" s="26"/>
      <c r="Q11" s="1"/>
      <c r="R11" s="1"/>
    </row>
    <row r="12">
      <c r="A12" s="1"/>
      <c r="B12" s="14">
        <v>9.0</v>
      </c>
      <c r="C12" s="15" t="s">
        <v>199</v>
      </c>
      <c r="D12" s="16" t="s">
        <v>65</v>
      </c>
      <c r="E12" s="17"/>
      <c r="F12" s="27">
        <v>46067.0</v>
      </c>
      <c r="G12" s="19">
        <v>520000.0</v>
      </c>
      <c r="H12" s="31"/>
      <c r="I12" s="22" t="s">
        <v>26</v>
      </c>
      <c r="J12" s="22" t="s">
        <v>28</v>
      </c>
      <c r="K12" s="22" t="s">
        <v>29</v>
      </c>
      <c r="L12" s="22" t="s">
        <v>31</v>
      </c>
      <c r="M12" s="22" t="s">
        <v>33</v>
      </c>
      <c r="N12" s="25"/>
      <c r="O12" s="26"/>
      <c r="P12" s="26"/>
      <c r="Q12" s="1"/>
      <c r="R12" s="1"/>
    </row>
    <row r="13">
      <c r="A13" s="1"/>
      <c r="B13" s="14">
        <v>10.0</v>
      </c>
      <c r="C13" s="65" t="s">
        <v>201</v>
      </c>
      <c r="D13" s="16" t="s">
        <v>21</v>
      </c>
      <c r="E13" s="17"/>
      <c r="F13" s="27">
        <v>46067.0</v>
      </c>
      <c r="G13" s="19">
        <v>250000.0</v>
      </c>
      <c r="H13" s="31"/>
      <c r="I13" s="22" t="s">
        <v>26</v>
      </c>
      <c r="J13" s="22" t="s">
        <v>28</v>
      </c>
      <c r="K13" s="22" t="s">
        <v>29</v>
      </c>
      <c r="L13" s="22" t="s">
        <v>31</v>
      </c>
      <c r="M13" s="22" t="s">
        <v>197</v>
      </c>
      <c r="N13" s="25"/>
      <c r="O13" s="26"/>
      <c r="P13" s="26"/>
      <c r="Q13" s="1"/>
      <c r="R13" s="1"/>
    </row>
    <row r="14">
      <c r="A14" s="1"/>
      <c r="B14" s="14">
        <v>11.0</v>
      </c>
      <c r="C14" s="15" t="s">
        <v>204</v>
      </c>
      <c r="D14" s="16" t="s">
        <v>21</v>
      </c>
      <c r="E14" s="17"/>
      <c r="F14" s="27">
        <v>46067.0</v>
      </c>
      <c r="G14" s="19">
        <v>0.0</v>
      </c>
      <c r="H14" s="21">
        <v>0.0</v>
      </c>
      <c r="I14" s="22" t="s">
        <v>26</v>
      </c>
      <c r="J14" s="22" t="s">
        <v>28</v>
      </c>
      <c r="K14" s="22" t="s">
        <v>29</v>
      </c>
      <c r="L14" s="22" t="s">
        <v>31</v>
      </c>
      <c r="M14" s="22" t="s">
        <v>33</v>
      </c>
      <c r="N14" s="25"/>
      <c r="O14" s="26"/>
      <c r="P14" s="26"/>
      <c r="Q14" s="1"/>
      <c r="R14" s="1"/>
    </row>
    <row r="15">
      <c r="A15" s="1"/>
      <c r="B15" s="14">
        <v>12.0</v>
      </c>
      <c r="C15" s="15" t="s">
        <v>205</v>
      </c>
      <c r="D15" s="16" t="s">
        <v>21</v>
      </c>
      <c r="E15" s="17"/>
      <c r="F15" s="27">
        <v>46067.0</v>
      </c>
      <c r="G15" s="19"/>
      <c r="H15" s="21">
        <v>200000.0</v>
      </c>
      <c r="I15" s="22" t="s">
        <v>26</v>
      </c>
      <c r="J15" s="22" t="s">
        <v>28</v>
      </c>
      <c r="K15" s="22" t="s">
        <v>29</v>
      </c>
      <c r="L15" s="22" t="s">
        <v>31</v>
      </c>
      <c r="M15" s="22" t="s">
        <v>85</v>
      </c>
      <c r="N15" s="25"/>
      <c r="O15" s="26"/>
      <c r="P15" s="26"/>
      <c r="Q15" s="1"/>
      <c r="R15" s="1"/>
    </row>
    <row r="16">
      <c r="A16" s="1"/>
      <c r="B16" s="14">
        <v>13.0</v>
      </c>
      <c r="C16" s="65" t="s">
        <v>207</v>
      </c>
      <c r="D16" s="16" t="s">
        <v>21</v>
      </c>
      <c r="E16" s="17"/>
      <c r="F16" s="27">
        <v>46067.0</v>
      </c>
      <c r="G16" s="19">
        <v>330000.0</v>
      </c>
      <c r="H16" s="31"/>
      <c r="I16" s="22" t="s">
        <v>26</v>
      </c>
      <c r="J16" s="22" t="s">
        <v>28</v>
      </c>
      <c r="K16" s="22" t="s">
        <v>29</v>
      </c>
      <c r="L16" s="22" t="s">
        <v>31</v>
      </c>
      <c r="M16" s="22" t="s">
        <v>197</v>
      </c>
      <c r="N16" s="25"/>
      <c r="O16" s="26"/>
      <c r="P16" s="26"/>
      <c r="Q16" s="1"/>
      <c r="R16" s="1"/>
    </row>
    <row r="17">
      <c r="A17" s="1"/>
      <c r="B17" s="14">
        <v>14.0</v>
      </c>
      <c r="C17" s="15" t="s">
        <v>208</v>
      </c>
      <c r="D17" s="16" t="s">
        <v>21</v>
      </c>
      <c r="E17" s="17"/>
      <c r="F17" s="27">
        <v>46067.0</v>
      </c>
      <c r="G17" s="19">
        <v>250000.0</v>
      </c>
      <c r="H17" s="31"/>
      <c r="I17" s="22" t="s">
        <v>26</v>
      </c>
      <c r="J17" s="22" t="s">
        <v>28</v>
      </c>
      <c r="K17" s="22" t="s">
        <v>29</v>
      </c>
      <c r="L17" s="22" t="s">
        <v>31</v>
      </c>
      <c r="M17" s="22" t="s">
        <v>210</v>
      </c>
      <c r="N17" s="25"/>
      <c r="O17" s="26"/>
      <c r="P17" s="26"/>
      <c r="Q17" s="1"/>
      <c r="R17" s="1"/>
    </row>
    <row r="18">
      <c r="A18" s="1"/>
      <c r="B18" s="14">
        <v>15.0</v>
      </c>
      <c r="C18" s="15" t="s">
        <v>211</v>
      </c>
      <c r="D18" s="16" t="s">
        <v>21</v>
      </c>
      <c r="E18" s="17"/>
      <c r="F18" s="27">
        <v>46067.0</v>
      </c>
      <c r="G18" s="19"/>
      <c r="H18" s="21">
        <v>310000.0</v>
      </c>
      <c r="I18" s="22" t="s">
        <v>26</v>
      </c>
      <c r="J18" s="22" t="s">
        <v>28</v>
      </c>
      <c r="K18" s="22" t="s">
        <v>29</v>
      </c>
      <c r="L18" s="22" t="s">
        <v>31</v>
      </c>
      <c r="M18" s="22" t="s">
        <v>85</v>
      </c>
      <c r="N18" s="25"/>
      <c r="O18" s="26"/>
      <c r="P18" s="26"/>
      <c r="Q18" s="1"/>
      <c r="R18" s="1"/>
    </row>
    <row r="19">
      <c r="A19" s="1"/>
      <c r="B19" s="14">
        <v>16.0</v>
      </c>
      <c r="C19" s="15" t="s">
        <v>213</v>
      </c>
      <c r="D19" s="16" t="s">
        <v>21</v>
      </c>
      <c r="E19" s="17"/>
      <c r="F19" s="27">
        <v>46067.0</v>
      </c>
      <c r="G19" s="19">
        <v>0.0</v>
      </c>
      <c r="H19" s="21">
        <v>0.0</v>
      </c>
      <c r="I19" s="22" t="s">
        <v>26</v>
      </c>
      <c r="J19" s="22" t="s">
        <v>28</v>
      </c>
      <c r="K19" s="22" t="s">
        <v>29</v>
      </c>
      <c r="L19" s="22" t="s">
        <v>31</v>
      </c>
      <c r="M19" s="22" t="s">
        <v>210</v>
      </c>
      <c r="N19" s="25"/>
      <c r="O19" s="26"/>
      <c r="P19" s="26"/>
      <c r="Q19" s="1"/>
      <c r="R19" s="1"/>
    </row>
    <row r="20">
      <c r="A20" s="1"/>
      <c r="B20" s="14">
        <v>17.0</v>
      </c>
      <c r="C20" s="15" t="s">
        <v>214</v>
      </c>
      <c r="D20" s="16" t="s">
        <v>21</v>
      </c>
      <c r="E20" s="17"/>
      <c r="F20" s="27">
        <v>46067.0</v>
      </c>
      <c r="G20" s="19"/>
      <c r="H20" s="21">
        <v>250000.0</v>
      </c>
      <c r="I20" s="22" t="s">
        <v>26</v>
      </c>
      <c r="J20" s="22" t="s">
        <v>28</v>
      </c>
      <c r="K20" s="22" t="s">
        <v>29</v>
      </c>
      <c r="L20" s="22" t="s">
        <v>31</v>
      </c>
      <c r="M20" s="22" t="s">
        <v>197</v>
      </c>
      <c r="N20" s="25"/>
      <c r="O20" s="26"/>
      <c r="P20" s="26"/>
      <c r="Q20" s="1"/>
      <c r="R20" s="1"/>
    </row>
    <row r="21">
      <c r="A21" s="1"/>
      <c r="B21" s="14">
        <v>18.0</v>
      </c>
      <c r="C21" s="15" t="s">
        <v>48</v>
      </c>
      <c r="D21" s="16" t="s">
        <v>21</v>
      </c>
      <c r="E21" s="17"/>
      <c r="F21" s="27">
        <v>46067.0</v>
      </c>
      <c r="G21" s="19"/>
      <c r="H21" s="21">
        <v>250000.0</v>
      </c>
      <c r="I21" s="22" t="s">
        <v>26</v>
      </c>
      <c r="J21" s="22" t="s">
        <v>28</v>
      </c>
      <c r="K21" s="22" t="s">
        <v>29</v>
      </c>
      <c r="L21" s="22" t="s">
        <v>31</v>
      </c>
      <c r="M21" s="22" t="s">
        <v>85</v>
      </c>
      <c r="N21" s="25"/>
      <c r="O21" s="26"/>
      <c r="P21" s="26"/>
      <c r="Q21" s="1"/>
      <c r="R21" s="1"/>
    </row>
    <row r="22">
      <c r="A22" s="1"/>
      <c r="B22" s="14">
        <v>19.0</v>
      </c>
      <c r="C22" s="15" t="s">
        <v>217</v>
      </c>
      <c r="D22" s="16" t="s">
        <v>21</v>
      </c>
      <c r="E22" s="17"/>
      <c r="F22" s="27">
        <v>46067.0</v>
      </c>
      <c r="G22" s="19">
        <v>270000.0</v>
      </c>
      <c r="H22" s="31"/>
      <c r="I22" s="22" t="s">
        <v>26</v>
      </c>
      <c r="J22" s="22" t="s">
        <v>28</v>
      </c>
      <c r="K22" s="22" t="s">
        <v>29</v>
      </c>
      <c r="L22" s="22" t="s">
        <v>31</v>
      </c>
      <c r="M22" s="22" t="s">
        <v>210</v>
      </c>
      <c r="N22" s="25"/>
      <c r="O22" s="26"/>
      <c r="P22" s="26"/>
      <c r="Q22" s="1"/>
      <c r="R22" s="1"/>
    </row>
    <row r="23">
      <c r="A23" s="1"/>
      <c r="B23" s="14">
        <v>20.0</v>
      </c>
      <c r="C23" s="15" t="s">
        <v>219</v>
      </c>
      <c r="D23" s="16" t="s">
        <v>21</v>
      </c>
      <c r="E23" s="17"/>
      <c r="F23" s="27">
        <v>46067.0</v>
      </c>
      <c r="G23" s="19"/>
      <c r="H23" s="21">
        <v>250000.0</v>
      </c>
      <c r="I23" s="22" t="s">
        <v>26</v>
      </c>
      <c r="J23" s="22" t="s">
        <v>28</v>
      </c>
      <c r="K23" s="22" t="s">
        <v>29</v>
      </c>
      <c r="L23" s="22" t="s">
        <v>31</v>
      </c>
      <c r="M23" s="22" t="s">
        <v>197</v>
      </c>
      <c r="N23" s="25"/>
      <c r="O23" s="26"/>
      <c r="P23" s="26"/>
      <c r="Q23" s="1"/>
      <c r="R23" s="1"/>
    </row>
    <row r="24">
      <c r="A24" s="1"/>
      <c r="B24" s="14">
        <v>21.0</v>
      </c>
      <c r="C24" s="15" t="s">
        <v>223</v>
      </c>
      <c r="D24" s="16" t="s">
        <v>65</v>
      </c>
      <c r="E24" s="17"/>
      <c r="F24" s="27">
        <v>46067.0</v>
      </c>
      <c r="G24" s="19">
        <v>250000.0</v>
      </c>
      <c r="H24" s="21">
        <v>100000.0</v>
      </c>
      <c r="I24" s="22" t="s">
        <v>26</v>
      </c>
      <c r="J24" s="22" t="s">
        <v>28</v>
      </c>
      <c r="K24" s="22" t="s">
        <v>29</v>
      </c>
      <c r="L24" s="22" t="s">
        <v>31</v>
      </c>
      <c r="M24" s="22" t="s">
        <v>85</v>
      </c>
      <c r="N24" s="25"/>
      <c r="O24" s="26"/>
      <c r="P24" s="26"/>
      <c r="Q24" s="1"/>
      <c r="R24" s="1"/>
    </row>
    <row r="25">
      <c r="A25" s="1"/>
      <c r="B25" s="14">
        <v>22.0</v>
      </c>
      <c r="C25" s="15" t="s">
        <v>67</v>
      </c>
      <c r="D25" s="16" t="s">
        <v>21</v>
      </c>
      <c r="E25" s="17"/>
      <c r="F25" s="27">
        <v>46067.0</v>
      </c>
      <c r="G25" s="19">
        <v>0.0</v>
      </c>
      <c r="H25" s="21">
        <v>0.0</v>
      </c>
      <c r="I25" s="22" t="s">
        <v>26</v>
      </c>
      <c r="J25" s="22" t="s">
        <v>28</v>
      </c>
      <c r="K25" s="22" t="s">
        <v>29</v>
      </c>
      <c r="L25" s="22" t="s">
        <v>31</v>
      </c>
      <c r="M25" s="22" t="s">
        <v>33</v>
      </c>
      <c r="N25" s="25"/>
      <c r="O25" s="26"/>
      <c r="P25" s="26"/>
      <c r="Q25" s="1"/>
      <c r="R25" s="1"/>
    </row>
    <row r="26">
      <c r="A26" s="1"/>
      <c r="B26" s="14">
        <v>23.0</v>
      </c>
      <c r="C26" s="15" t="s">
        <v>225</v>
      </c>
      <c r="D26" s="16" t="s">
        <v>36</v>
      </c>
      <c r="E26" s="17"/>
      <c r="F26" s="27">
        <v>46070.0</v>
      </c>
      <c r="G26" s="19"/>
      <c r="H26" s="21">
        <v>100000.0</v>
      </c>
      <c r="I26" s="22" t="s">
        <v>25</v>
      </c>
      <c r="J26" s="22"/>
      <c r="K26" s="22"/>
      <c r="L26" s="22" t="s">
        <v>31</v>
      </c>
      <c r="M26" s="29"/>
      <c r="N26" s="25"/>
      <c r="O26" s="26"/>
      <c r="P26" s="26"/>
      <c r="Q26" s="1"/>
      <c r="R26" s="1"/>
    </row>
    <row r="27">
      <c r="A27" s="1"/>
      <c r="B27" s="14">
        <v>24.0</v>
      </c>
      <c r="C27" s="15" t="s">
        <v>226</v>
      </c>
      <c r="D27" s="16" t="s">
        <v>65</v>
      </c>
      <c r="E27" s="17"/>
      <c r="F27" s="27">
        <v>46067.0</v>
      </c>
      <c r="G27" s="19">
        <v>400000.0</v>
      </c>
      <c r="H27" s="31"/>
      <c r="I27" s="22" t="s">
        <v>26</v>
      </c>
      <c r="J27" s="22" t="s">
        <v>28</v>
      </c>
      <c r="K27" s="22" t="s">
        <v>29</v>
      </c>
      <c r="L27" s="22" t="s">
        <v>31</v>
      </c>
      <c r="M27" s="22" t="s">
        <v>210</v>
      </c>
      <c r="N27" s="25"/>
      <c r="O27" s="26"/>
      <c r="P27" s="26"/>
      <c r="Q27" s="1"/>
      <c r="R27" s="1"/>
    </row>
    <row r="28">
      <c r="A28" s="1"/>
      <c r="B28" s="14">
        <v>25.0</v>
      </c>
      <c r="C28" s="15" t="s">
        <v>200</v>
      </c>
      <c r="D28" s="16" t="s">
        <v>21</v>
      </c>
      <c r="E28" s="17"/>
      <c r="F28" s="27">
        <v>46067.0</v>
      </c>
      <c r="G28" s="19">
        <v>200000.0</v>
      </c>
      <c r="H28" s="31"/>
      <c r="I28" s="22" t="s">
        <v>26</v>
      </c>
      <c r="J28" s="22" t="s">
        <v>28</v>
      </c>
      <c r="K28" s="22" t="s">
        <v>29</v>
      </c>
      <c r="L28" s="22" t="s">
        <v>31</v>
      </c>
      <c r="M28" s="22" t="s">
        <v>85</v>
      </c>
      <c r="N28" s="25"/>
      <c r="O28" s="26"/>
      <c r="P28" s="26"/>
      <c r="Q28" s="1"/>
      <c r="R28" s="1"/>
    </row>
    <row r="29">
      <c r="A29" s="1"/>
      <c r="B29" s="14">
        <v>26.0</v>
      </c>
      <c r="C29" s="15" t="s">
        <v>225</v>
      </c>
      <c r="D29" s="16" t="s">
        <v>21</v>
      </c>
      <c r="E29" s="17"/>
      <c r="F29" s="27">
        <v>46067.0</v>
      </c>
      <c r="G29" s="19">
        <v>240000.0</v>
      </c>
      <c r="H29" s="31"/>
      <c r="I29" s="22" t="s">
        <v>26</v>
      </c>
      <c r="J29" s="22" t="s">
        <v>28</v>
      </c>
      <c r="K29" s="22" t="s">
        <v>29</v>
      </c>
      <c r="L29" s="22" t="s">
        <v>31</v>
      </c>
      <c r="M29" s="22" t="s">
        <v>210</v>
      </c>
      <c r="N29" s="25"/>
      <c r="O29" s="26"/>
      <c r="P29" s="26"/>
      <c r="Q29" s="1"/>
      <c r="R29" s="1"/>
    </row>
    <row r="30">
      <c r="A30" s="1"/>
      <c r="B30" s="14">
        <v>27.0</v>
      </c>
      <c r="C30" s="15" t="s">
        <v>138</v>
      </c>
      <c r="D30" s="16" t="s">
        <v>21</v>
      </c>
      <c r="E30" s="17"/>
      <c r="F30" s="27">
        <v>46067.0</v>
      </c>
      <c r="G30" s="19">
        <v>250000.0</v>
      </c>
      <c r="H30" s="31"/>
      <c r="I30" s="22" t="s">
        <v>26</v>
      </c>
      <c r="J30" s="22" t="s">
        <v>28</v>
      </c>
      <c r="K30" s="22" t="s">
        <v>29</v>
      </c>
      <c r="L30" s="22" t="s">
        <v>31</v>
      </c>
      <c r="M30" s="22" t="s">
        <v>197</v>
      </c>
      <c r="N30" s="25"/>
      <c r="O30" s="26"/>
      <c r="P30" s="26"/>
      <c r="Q30" s="1"/>
      <c r="R30" s="1"/>
    </row>
    <row r="31">
      <c r="A31" s="1"/>
      <c r="B31" s="14">
        <v>28.0</v>
      </c>
      <c r="C31" s="15" t="s">
        <v>229</v>
      </c>
      <c r="D31" s="16" t="s">
        <v>21</v>
      </c>
      <c r="E31" s="17"/>
      <c r="F31" s="27">
        <v>46067.0</v>
      </c>
      <c r="G31" s="19">
        <v>330000.0</v>
      </c>
      <c r="H31" s="31"/>
      <c r="I31" s="22" t="s">
        <v>26</v>
      </c>
      <c r="J31" s="22" t="s">
        <v>28</v>
      </c>
      <c r="K31" s="22" t="s">
        <v>29</v>
      </c>
      <c r="L31" s="22" t="s">
        <v>31</v>
      </c>
      <c r="M31" s="22" t="s">
        <v>85</v>
      </c>
      <c r="N31" s="25"/>
      <c r="O31" s="26"/>
      <c r="P31" s="26"/>
      <c r="Q31" s="1"/>
      <c r="R31" s="1"/>
    </row>
    <row r="32">
      <c r="A32" s="1"/>
      <c r="B32" s="14">
        <v>29.0</v>
      </c>
      <c r="C32" s="15" t="s">
        <v>230</v>
      </c>
      <c r="D32" s="16" t="s">
        <v>21</v>
      </c>
      <c r="E32" s="17"/>
      <c r="F32" s="27">
        <v>46067.0</v>
      </c>
      <c r="G32" s="19">
        <v>200000.0</v>
      </c>
      <c r="H32" s="31"/>
      <c r="I32" s="22" t="s">
        <v>26</v>
      </c>
      <c r="J32" s="22" t="s">
        <v>28</v>
      </c>
      <c r="K32" s="22" t="s">
        <v>29</v>
      </c>
      <c r="L32" s="22" t="s">
        <v>31</v>
      </c>
      <c r="M32" s="22" t="s">
        <v>210</v>
      </c>
      <c r="N32" s="25"/>
      <c r="O32" s="26"/>
      <c r="P32" s="26"/>
      <c r="Q32" s="1"/>
      <c r="R32" s="1"/>
    </row>
    <row r="33">
      <c r="A33" s="1"/>
      <c r="B33" s="14">
        <v>30.0</v>
      </c>
      <c r="C33" s="15" t="s">
        <v>232</v>
      </c>
      <c r="D33" s="16" t="s">
        <v>65</v>
      </c>
      <c r="E33" s="17"/>
      <c r="F33" s="27">
        <v>46067.0</v>
      </c>
      <c r="G33" s="19"/>
      <c r="H33" s="21">
        <v>400000.0</v>
      </c>
      <c r="I33" s="22" t="s">
        <v>26</v>
      </c>
      <c r="J33" s="22" t="s">
        <v>28</v>
      </c>
      <c r="K33" s="22" t="s">
        <v>29</v>
      </c>
      <c r="L33" s="22" t="s">
        <v>31</v>
      </c>
      <c r="M33" s="22" t="s">
        <v>197</v>
      </c>
      <c r="N33" s="25"/>
      <c r="O33" s="26"/>
      <c r="P33" s="26"/>
      <c r="Q33" s="1"/>
      <c r="R33" s="1"/>
    </row>
    <row r="34">
      <c r="A34" s="1"/>
      <c r="B34" s="14">
        <v>31.0</v>
      </c>
      <c r="C34" s="15" t="s">
        <v>234</v>
      </c>
      <c r="D34" s="16" t="s">
        <v>21</v>
      </c>
      <c r="E34" s="17"/>
      <c r="F34" s="27">
        <v>46067.0</v>
      </c>
      <c r="G34" s="19">
        <v>250000.0</v>
      </c>
      <c r="H34" s="31"/>
      <c r="I34" s="22" t="s">
        <v>26</v>
      </c>
      <c r="J34" s="22" t="s">
        <v>28</v>
      </c>
      <c r="K34" s="22" t="s">
        <v>29</v>
      </c>
      <c r="L34" s="22" t="s">
        <v>31</v>
      </c>
      <c r="M34" s="22" t="s">
        <v>85</v>
      </c>
      <c r="N34" s="25"/>
      <c r="O34" s="26"/>
      <c r="P34" s="26"/>
      <c r="Q34" s="1"/>
      <c r="R34" s="1"/>
    </row>
    <row r="35">
      <c r="A35" s="1"/>
      <c r="B35" s="14">
        <v>32.0</v>
      </c>
      <c r="C35" s="15" t="s">
        <v>236</v>
      </c>
      <c r="D35" s="16" t="s">
        <v>21</v>
      </c>
      <c r="E35" s="17"/>
      <c r="F35" s="27">
        <v>46067.0</v>
      </c>
      <c r="G35" s="66">
        <v>250000.0</v>
      </c>
      <c r="H35" s="31"/>
      <c r="I35" s="22" t="s">
        <v>26</v>
      </c>
      <c r="J35" s="22" t="s">
        <v>28</v>
      </c>
      <c r="K35" s="22" t="s">
        <v>29</v>
      </c>
      <c r="L35" s="22" t="s">
        <v>31</v>
      </c>
      <c r="M35" s="22" t="s">
        <v>33</v>
      </c>
      <c r="N35" s="26"/>
      <c r="O35" s="26"/>
      <c r="P35" s="26"/>
      <c r="Q35" s="1"/>
      <c r="R35" s="1"/>
    </row>
    <row r="36">
      <c r="A36" s="1"/>
      <c r="B36" s="14">
        <v>33.0</v>
      </c>
      <c r="C36" s="14" t="s">
        <v>237</v>
      </c>
      <c r="D36" s="16" t="s">
        <v>21</v>
      </c>
      <c r="E36" s="30"/>
      <c r="F36" s="67">
        <v>46067.0</v>
      </c>
      <c r="G36" s="68">
        <v>330000.0</v>
      </c>
      <c r="H36" s="69"/>
      <c r="I36" s="22" t="s">
        <v>26</v>
      </c>
      <c r="J36" s="22" t="s">
        <v>28</v>
      </c>
      <c r="K36" s="22" t="s">
        <v>29</v>
      </c>
      <c r="L36" s="22" t="s">
        <v>31</v>
      </c>
      <c r="M36" s="22" t="s">
        <v>85</v>
      </c>
      <c r="N36" s="26"/>
      <c r="O36" s="26"/>
      <c r="P36" s="26"/>
      <c r="Q36" s="1"/>
      <c r="R36" s="1"/>
    </row>
    <row r="37">
      <c r="A37" s="1"/>
      <c r="B37" s="14">
        <v>34.0</v>
      </c>
      <c r="C37" s="14" t="s">
        <v>240</v>
      </c>
      <c r="D37" s="16" t="s">
        <v>21</v>
      </c>
      <c r="E37" s="30"/>
      <c r="F37" s="27">
        <v>46067.0</v>
      </c>
      <c r="G37" s="70">
        <v>320000.0</v>
      </c>
      <c r="H37" s="19">
        <v>250000.0</v>
      </c>
      <c r="I37" s="22" t="s">
        <v>26</v>
      </c>
      <c r="J37" s="22" t="s">
        <v>28</v>
      </c>
      <c r="K37" s="22" t="s">
        <v>29</v>
      </c>
      <c r="L37" s="22" t="s">
        <v>31</v>
      </c>
      <c r="M37" s="22" t="s">
        <v>33</v>
      </c>
      <c r="N37" s="26"/>
      <c r="O37" s="26"/>
      <c r="P37" s="26"/>
      <c r="Q37" s="1"/>
      <c r="R37" s="1"/>
    </row>
    <row r="38">
      <c r="A38" s="1"/>
      <c r="B38" s="14">
        <v>35.0</v>
      </c>
      <c r="C38" s="14" t="s">
        <v>139</v>
      </c>
      <c r="D38" s="16" t="s">
        <v>21</v>
      </c>
      <c r="E38" s="30"/>
      <c r="F38" s="27">
        <v>46067.0</v>
      </c>
      <c r="G38" s="71"/>
      <c r="H38" s="72">
        <v>200000.0</v>
      </c>
      <c r="I38" s="22" t="s">
        <v>26</v>
      </c>
      <c r="J38" s="22" t="s">
        <v>28</v>
      </c>
      <c r="K38" s="22" t="s">
        <v>29</v>
      </c>
      <c r="L38" s="22" t="s">
        <v>31</v>
      </c>
      <c r="M38" s="22" t="s">
        <v>197</v>
      </c>
      <c r="N38" s="26"/>
      <c r="O38" s="26"/>
      <c r="P38" s="26"/>
      <c r="Q38" s="1"/>
      <c r="R38" s="1"/>
    </row>
    <row r="39">
      <c r="A39" s="1"/>
      <c r="B39" s="14">
        <v>36.0</v>
      </c>
      <c r="C39" s="15" t="s">
        <v>241</v>
      </c>
      <c r="D39" s="16" t="s">
        <v>65</v>
      </c>
      <c r="E39" s="17"/>
      <c r="F39" s="67">
        <v>46067.0</v>
      </c>
      <c r="G39" s="68">
        <v>580000.0</v>
      </c>
      <c r="H39" s="31"/>
      <c r="I39" s="22" t="s">
        <v>26</v>
      </c>
      <c r="J39" s="22" t="s">
        <v>28</v>
      </c>
      <c r="K39" s="22" t="s">
        <v>29</v>
      </c>
      <c r="L39" s="22" t="s">
        <v>31</v>
      </c>
      <c r="M39" s="22" t="s">
        <v>85</v>
      </c>
      <c r="N39" s="26"/>
      <c r="O39" s="26"/>
      <c r="P39" s="26"/>
      <c r="Q39" s="1"/>
      <c r="R39" s="1"/>
    </row>
    <row r="40">
      <c r="A40" s="1"/>
      <c r="B40" s="14">
        <v>37.0</v>
      </c>
      <c r="C40" s="15" t="s">
        <v>148</v>
      </c>
      <c r="D40" s="16" t="s">
        <v>21</v>
      </c>
      <c r="E40" s="17"/>
      <c r="F40" s="67">
        <v>46067.0</v>
      </c>
      <c r="G40" s="68">
        <v>310000.0</v>
      </c>
      <c r="H40" s="31"/>
      <c r="I40" s="22" t="s">
        <v>26</v>
      </c>
      <c r="J40" s="22" t="s">
        <v>28</v>
      </c>
      <c r="K40" s="22" t="s">
        <v>29</v>
      </c>
      <c r="L40" s="22" t="s">
        <v>31</v>
      </c>
      <c r="M40" s="22" t="s">
        <v>210</v>
      </c>
      <c r="N40" s="26"/>
      <c r="O40" s="26"/>
      <c r="P40" s="26"/>
      <c r="Q40" s="1"/>
      <c r="R40" s="1"/>
    </row>
    <row r="41">
      <c r="A41" s="1"/>
      <c r="B41" s="14">
        <v>38.0</v>
      </c>
      <c r="C41" s="15" t="s">
        <v>242</v>
      </c>
      <c r="D41" s="16" t="s">
        <v>65</v>
      </c>
      <c r="E41" s="17"/>
      <c r="F41" s="67">
        <v>46067.0</v>
      </c>
      <c r="G41" s="73"/>
      <c r="H41" s="21">
        <v>580000.0</v>
      </c>
      <c r="I41" s="22" t="s">
        <v>26</v>
      </c>
      <c r="J41" s="22" t="s">
        <v>28</v>
      </c>
      <c r="K41" s="22" t="s">
        <v>29</v>
      </c>
      <c r="L41" s="22" t="s">
        <v>31</v>
      </c>
      <c r="M41" s="22" t="s">
        <v>197</v>
      </c>
      <c r="N41" s="26"/>
      <c r="O41" s="26"/>
      <c r="P41" s="26"/>
      <c r="Q41" s="1"/>
      <c r="R41" s="1"/>
    </row>
    <row r="42">
      <c r="A42" s="1"/>
      <c r="B42" s="14">
        <v>39.0</v>
      </c>
      <c r="C42" s="15" t="s">
        <v>156</v>
      </c>
      <c r="D42" s="16" t="s">
        <v>21</v>
      </c>
      <c r="E42" s="17"/>
      <c r="F42" s="67">
        <v>46067.0</v>
      </c>
      <c r="G42" s="68">
        <v>330000.0</v>
      </c>
      <c r="H42" s="31"/>
      <c r="I42" s="22" t="s">
        <v>26</v>
      </c>
      <c r="J42" s="22" t="s">
        <v>28</v>
      </c>
      <c r="K42" s="22" t="s">
        <v>29</v>
      </c>
      <c r="L42" s="22" t="s">
        <v>31</v>
      </c>
      <c r="M42" s="22" t="s">
        <v>33</v>
      </c>
      <c r="N42" s="26"/>
      <c r="O42" s="26"/>
      <c r="P42" s="26"/>
      <c r="Q42" s="1"/>
      <c r="R42" s="1"/>
    </row>
    <row r="43">
      <c r="A43" s="1"/>
      <c r="B43" s="14">
        <v>40.0</v>
      </c>
      <c r="C43" s="15" t="s">
        <v>173</v>
      </c>
      <c r="D43" s="16" t="s">
        <v>21</v>
      </c>
      <c r="E43" s="17"/>
      <c r="F43" s="67">
        <v>46067.0</v>
      </c>
      <c r="G43" s="73"/>
      <c r="H43" s="21">
        <v>310000.0</v>
      </c>
      <c r="I43" s="22" t="s">
        <v>26</v>
      </c>
      <c r="J43" s="22" t="s">
        <v>28</v>
      </c>
      <c r="K43" s="22" t="s">
        <v>29</v>
      </c>
      <c r="L43" s="22" t="s">
        <v>31</v>
      </c>
      <c r="M43" s="22" t="s">
        <v>85</v>
      </c>
      <c r="N43" s="26"/>
      <c r="O43" s="26"/>
      <c r="P43" s="26"/>
      <c r="Q43" s="1"/>
      <c r="R43" s="1"/>
    </row>
    <row r="44">
      <c r="A44" s="1"/>
      <c r="B44" s="14">
        <v>41.0</v>
      </c>
      <c r="C44" s="15" t="s">
        <v>243</v>
      </c>
      <c r="D44" s="16" t="s">
        <v>21</v>
      </c>
      <c r="E44" s="17"/>
      <c r="F44" s="67">
        <v>46067.0</v>
      </c>
      <c r="G44" s="68">
        <v>250000.0</v>
      </c>
      <c r="H44" s="31"/>
      <c r="I44" s="22" t="s">
        <v>26</v>
      </c>
      <c r="J44" s="22" t="s">
        <v>28</v>
      </c>
      <c r="K44" s="22" t="s">
        <v>29</v>
      </c>
      <c r="L44" s="22" t="s">
        <v>30</v>
      </c>
      <c r="M44" s="22" t="s">
        <v>33</v>
      </c>
      <c r="N44" s="26"/>
      <c r="O44" s="26"/>
      <c r="P44" s="26"/>
      <c r="Q44" s="1"/>
      <c r="R44" s="1"/>
    </row>
    <row r="45">
      <c r="A45" s="1"/>
      <c r="B45" s="14">
        <v>42.0</v>
      </c>
      <c r="C45" s="15" t="s">
        <v>244</v>
      </c>
      <c r="D45" s="16" t="s">
        <v>21</v>
      </c>
      <c r="E45" s="17"/>
      <c r="F45" s="67">
        <v>46067.0</v>
      </c>
      <c r="G45" s="68">
        <v>250000.0</v>
      </c>
      <c r="H45" s="31"/>
      <c r="I45" s="22" t="s">
        <v>26</v>
      </c>
      <c r="J45" s="22" t="s">
        <v>28</v>
      </c>
      <c r="K45" s="22" t="s">
        <v>29</v>
      </c>
      <c r="L45" s="22" t="s">
        <v>30</v>
      </c>
      <c r="M45" s="22" t="s">
        <v>33</v>
      </c>
      <c r="N45" s="26"/>
      <c r="O45" s="26"/>
      <c r="P45" s="26"/>
      <c r="Q45" s="1"/>
      <c r="R45" s="1"/>
    </row>
    <row r="46">
      <c r="A46" s="1"/>
      <c r="B46" s="14">
        <v>43.0</v>
      </c>
      <c r="C46" s="15" t="s">
        <v>245</v>
      </c>
      <c r="D46" s="16" t="s">
        <v>43</v>
      </c>
      <c r="E46" s="17"/>
      <c r="F46" s="67">
        <v>46067.0</v>
      </c>
      <c r="G46" s="68">
        <v>50000.0</v>
      </c>
      <c r="H46" s="31"/>
      <c r="I46" s="22" t="s">
        <v>26</v>
      </c>
      <c r="J46" s="22" t="s">
        <v>28</v>
      </c>
      <c r="K46" s="22" t="s">
        <v>29</v>
      </c>
      <c r="L46" s="22" t="s">
        <v>30</v>
      </c>
      <c r="M46" s="22" t="s">
        <v>85</v>
      </c>
      <c r="N46" s="26"/>
      <c r="O46" s="26"/>
      <c r="P46" s="26"/>
      <c r="Q46" s="1"/>
      <c r="R46" s="1"/>
    </row>
    <row r="47">
      <c r="A47" s="1"/>
      <c r="B47" s="14">
        <v>44.0</v>
      </c>
      <c r="C47" s="15" t="s">
        <v>220</v>
      </c>
      <c r="D47" s="16" t="s">
        <v>22</v>
      </c>
      <c r="E47" s="17"/>
      <c r="F47" s="67">
        <v>46068.0</v>
      </c>
      <c r="G47" s="73"/>
      <c r="H47" s="21">
        <v>100000.0</v>
      </c>
      <c r="I47" s="22" t="s">
        <v>25</v>
      </c>
      <c r="J47" s="29"/>
      <c r="K47" s="29"/>
      <c r="L47" s="22" t="s">
        <v>30</v>
      </c>
      <c r="M47" s="29"/>
      <c r="N47" s="26"/>
      <c r="O47" s="26"/>
      <c r="P47" s="26"/>
      <c r="Q47" s="1"/>
      <c r="R47" s="1"/>
    </row>
    <row r="48">
      <c r="A48" s="1"/>
      <c r="B48" s="30"/>
      <c r="C48" s="15" t="s">
        <v>248</v>
      </c>
      <c r="D48" s="16" t="s">
        <v>21</v>
      </c>
      <c r="E48" s="17"/>
      <c r="F48" s="67">
        <v>46067.0</v>
      </c>
      <c r="G48" s="73"/>
      <c r="H48" s="21">
        <v>290000.0</v>
      </c>
      <c r="I48" s="22" t="s">
        <v>26</v>
      </c>
      <c r="J48" s="22" t="s">
        <v>28</v>
      </c>
      <c r="K48" s="22" t="s">
        <v>29</v>
      </c>
      <c r="L48" s="22" t="s">
        <v>30</v>
      </c>
      <c r="M48" s="22" t="s">
        <v>85</v>
      </c>
      <c r="N48" s="26"/>
      <c r="O48" s="26"/>
      <c r="P48" s="26"/>
      <c r="Q48" s="1"/>
      <c r="R48" s="1"/>
    </row>
    <row r="49">
      <c r="A49" s="1"/>
      <c r="B49" s="30"/>
      <c r="C49" s="15" t="s">
        <v>194</v>
      </c>
      <c r="D49" s="16" t="s">
        <v>37</v>
      </c>
      <c r="E49" s="17"/>
      <c r="F49" s="67">
        <v>46067.0</v>
      </c>
      <c r="G49" s="68">
        <v>100000.0</v>
      </c>
      <c r="H49" s="31"/>
      <c r="I49" s="29"/>
      <c r="J49" s="22" t="s">
        <v>28</v>
      </c>
      <c r="K49" s="22" t="s">
        <v>29</v>
      </c>
      <c r="L49" s="22" t="s">
        <v>30</v>
      </c>
      <c r="M49" s="22" t="s">
        <v>33</v>
      </c>
      <c r="N49" s="26"/>
      <c r="O49" s="26"/>
      <c r="P49" s="26"/>
      <c r="Q49" s="1"/>
      <c r="R49" s="1"/>
    </row>
    <row r="50">
      <c r="A50" s="1"/>
      <c r="B50" s="30"/>
      <c r="C50" s="15" t="s">
        <v>250</v>
      </c>
      <c r="D50" s="16" t="s">
        <v>36</v>
      </c>
      <c r="E50" s="17"/>
      <c r="F50" s="67">
        <v>46067.0</v>
      </c>
      <c r="G50" s="73"/>
      <c r="H50" s="21">
        <v>125000.0</v>
      </c>
      <c r="I50" s="22" t="s">
        <v>26</v>
      </c>
      <c r="J50" s="22" t="s">
        <v>28</v>
      </c>
      <c r="K50" s="22" t="s">
        <v>29</v>
      </c>
      <c r="L50" s="22" t="s">
        <v>30</v>
      </c>
      <c r="M50" s="22" t="s">
        <v>33</v>
      </c>
      <c r="N50" s="26"/>
      <c r="O50" s="26"/>
      <c r="P50" s="26"/>
      <c r="Q50" s="1"/>
      <c r="R50" s="1"/>
    </row>
    <row r="51">
      <c r="A51" s="1"/>
      <c r="B51" s="30"/>
      <c r="C51" s="32"/>
      <c r="D51" s="16"/>
      <c r="E51" s="17"/>
      <c r="F51" s="74"/>
      <c r="G51" s="73"/>
      <c r="H51" s="31"/>
      <c r="I51" s="29"/>
      <c r="J51" s="29"/>
      <c r="K51" s="29"/>
      <c r="L51" s="29"/>
      <c r="M51" s="29"/>
      <c r="N51" s="26"/>
      <c r="O51" s="26"/>
      <c r="P51" s="26"/>
      <c r="Q51" s="1"/>
      <c r="R51" s="1"/>
    </row>
    <row r="52">
      <c r="A52" s="1"/>
      <c r="B52" s="30"/>
      <c r="C52" s="32"/>
      <c r="D52" s="16"/>
      <c r="E52" s="17"/>
      <c r="F52" s="74"/>
      <c r="G52" s="73"/>
      <c r="H52" s="31"/>
      <c r="I52" s="29"/>
      <c r="J52" s="29"/>
      <c r="K52" s="29"/>
      <c r="L52" s="29"/>
      <c r="M52" s="29"/>
      <c r="N52" s="26"/>
      <c r="O52" s="26"/>
      <c r="P52" s="26"/>
      <c r="Q52" s="1"/>
      <c r="R52" s="1"/>
    </row>
    <row r="53">
      <c r="A53" s="1"/>
      <c r="B53" s="30"/>
      <c r="C53" s="32"/>
      <c r="D53" s="16"/>
      <c r="E53" s="17"/>
      <c r="F53" s="30"/>
      <c r="G53" s="75"/>
      <c r="H53" s="31"/>
      <c r="I53" s="29"/>
      <c r="J53" s="29"/>
      <c r="K53" s="29"/>
      <c r="L53" s="29"/>
      <c r="M53" s="29"/>
      <c r="N53" s="33"/>
      <c r="O53" s="33"/>
      <c r="P53" s="33"/>
      <c r="Q53" s="1"/>
      <c r="R53" s="1"/>
    </row>
    <row r="54" ht="18.75" customHeight="1">
      <c r="A54" s="1"/>
      <c r="B54" s="1"/>
      <c r="C54" s="2"/>
      <c r="D54" s="2"/>
      <c r="E54" s="1"/>
      <c r="F54" s="1"/>
      <c r="G54" s="34">
        <f t="shared" ref="G54:H54" si="1">SUM(G4:G53)</f>
        <v>7040000</v>
      </c>
      <c r="H54" s="35">
        <f t="shared" si="1"/>
        <v>4565000</v>
      </c>
      <c r="I54" s="1"/>
      <c r="J54" s="1"/>
      <c r="K54" s="1"/>
      <c r="L54" s="1"/>
      <c r="M54" s="1"/>
      <c r="N54" s="1"/>
      <c r="O54" s="1"/>
      <c r="P54" s="1"/>
      <c r="Q54" s="1"/>
      <c r="R54" s="1"/>
    </row>
    <row r="55" ht="23.25" customHeight="1">
      <c r="A55" s="1"/>
      <c r="B55" s="1"/>
      <c r="C55" s="2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>
      <c r="A56" s="1"/>
      <c r="B56" s="1"/>
      <c r="C56" s="2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>
      <c r="A57" s="1"/>
      <c r="B57" s="36" t="s">
        <v>0</v>
      </c>
      <c r="C57" s="37" t="s">
        <v>6</v>
      </c>
      <c r="D57" s="37" t="s">
        <v>70</v>
      </c>
      <c r="E57" s="38"/>
      <c r="F57" s="1"/>
      <c r="G57" s="1"/>
      <c r="H57" s="1"/>
      <c r="I57" s="1"/>
      <c r="J57" s="1"/>
      <c r="K57" s="1"/>
      <c r="L57" s="1"/>
      <c r="M57" s="1"/>
      <c r="N57" s="37" t="s">
        <v>71</v>
      </c>
      <c r="O57" s="37" t="s">
        <v>1</v>
      </c>
      <c r="P57" s="1"/>
      <c r="Q57" s="1"/>
      <c r="R57" s="1"/>
    </row>
    <row r="58">
      <c r="A58" s="1"/>
      <c r="B58" s="39">
        <v>1.0</v>
      </c>
      <c r="C58" s="40" t="s">
        <v>72</v>
      </c>
      <c r="D58" s="41">
        <f>SUM(G54)</f>
        <v>7040000</v>
      </c>
      <c r="E58" s="42"/>
      <c r="F58" s="1"/>
      <c r="G58" s="1"/>
      <c r="H58" s="1"/>
      <c r="I58" s="1"/>
      <c r="J58" s="1"/>
      <c r="K58" s="1"/>
      <c r="L58" s="1"/>
      <c r="M58" s="1"/>
      <c r="N58" s="43" t="s">
        <v>73</v>
      </c>
      <c r="O58" s="23"/>
      <c r="P58" s="1"/>
      <c r="Q58" s="1"/>
      <c r="R58" s="1"/>
    </row>
    <row r="59">
      <c r="A59" s="1"/>
      <c r="B59" s="44">
        <v>2.0</v>
      </c>
      <c r="C59" s="45" t="s">
        <v>252</v>
      </c>
      <c r="D59" s="46">
        <v>-163000.0</v>
      </c>
      <c r="E59" s="47"/>
      <c r="F59" s="1"/>
      <c r="G59" s="1"/>
      <c r="H59" s="1"/>
      <c r="I59" s="1"/>
      <c r="J59" s="1"/>
      <c r="K59" s="1"/>
      <c r="L59" s="1"/>
      <c r="M59" s="1"/>
      <c r="N59" s="48" t="s">
        <v>75</v>
      </c>
      <c r="O59" s="49"/>
      <c r="P59" s="1"/>
      <c r="Q59" s="1"/>
      <c r="R59" s="1"/>
    </row>
    <row r="60">
      <c r="A60" s="1"/>
      <c r="B60" s="39">
        <v>3.0</v>
      </c>
      <c r="C60" s="40" t="s">
        <v>81</v>
      </c>
      <c r="D60" s="50">
        <v>-20000.0</v>
      </c>
      <c r="E60" s="47"/>
      <c r="F60" s="1"/>
      <c r="G60" s="1"/>
      <c r="H60" s="1"/>
      <c r="I60" s="1"/>
      <c r="J60" s="1"/>
      <c r="K60" s="1"/>
      <c r="L60" s="1"/>
      <c r="M60" s="1"/>
      <c r="N60" s="51" t="s">
        <v>77</v>
      </c>
      <c r="O60" s="25"/>
      <c r="P60" s="1"/>
      <c r="Q60" s="1"/>
      <c r="R60" s="1"/>
    </row>
    <row r="61">
      <c r="A61" s="1"/>
      <c r="B61" s="44">
        <v>4.0</v>
      </c>
      <c r="C61" s="45"/>
      <c r="D61" s="46"/>
      <c r="E61" s="47"/>
      <c r="F61" s="1"/>
      <c r="G61" s="1"/>
      <c r="H61" s="1"/>
      <c r="I61" s="1"/>
      <c r="J61" s="1"/>
      <c r="K61" s="1"/>
      <c r="L61" s="1"/>
      <c r="M61" s="1"/>
      <c r="N61" s="52" t="s">
        <v>79</v>
      </c>
      <c r="O61" s="49"/>
      <c r="P61" s="1"/>
      <c r="Q61" s="1"/>
      <c r="R61" s="1"/>
    </row>
    <row r="62">
      <c r="A62" s="1"/>
      <c r="B62" s="39"/>
      <c r="C62" s="53"/>
      <c r="D62" s="41"/>
      <c r="E62" s="42"/>
      <c r="F62" s="1"/>
      <c r="G62" s="1"/>
      <c r="H62" s="1"/>
      <c r="I62" s="1"/>
      <c r="J62" s="1"/>
      <c r="K62" s="1"/>
      <c r="L62" s="1"/>
      <c r="M62" s="1"/>
      <c r="N62" s="54"/>
      <c r="O62" s="1"/>
      <c r="P62" s="1"/>
      <c r="Q62" s="1"/>
      <c r="R62" s="1"/>
    </row>
    <row r="63">
      <c r="A63" s="1"/>
      <c r="B63" s="44"/>
      <c r="C63" s="55"/>
      <c r="D63" s="56"/>
      <c r="E63" s="42"/>
      <c r="F63" s="1"/>
      <c r="G63" s="1"/>
      <c r="H63" s="1"/>
      <c r="I63" s="1"/>
      <c r="J63" s="1"/>
      <c r="K63" s="1"/>
      <c r="L63" s="1"/>
      <c r="M63" s="1"/>
      <c r="N63" s="38" t="s">
        <v>254</v>
      </c>
      <c r="O63" s="1"/>
      <c r="P63" s="1"/>
      <c r="Q63" s="1"/>
      <c r="R63" s="1"/>
    </row>
    <row r="64">
      <c r="A64" s="1"/>
      <c r="B64" s="39"/>
      <c r="C64" s="53"/>
      <c r="D64" s="41"/>
      <c r="E64" s="42"/>
      <c r="F64" s="1"/>
      <c r="G64" s="1"/>
      <c r="H64" s="1"/>
      <c r="I64" s="1"/>
      <c r="J64" s="1"/>
      <c r="K64" s="1"/>
      <c r="L64" s="1"/>
      <c r="M64" s="1"/>
      <c r="O64" s="1"/>
      <c r="P64" s="1"/>
      <c r="Q64" s="1"/>
      <c r="R64" s="1"/>
    </row>
    <row r="65">
      <c r="A65" s="1"/>
      <c r="B65" s="44"/>
      <c r="C65" s="55"/>
      <c r="D65" s="56"/>
      <c r="E65" s="4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>
      <c r="A66" s="1"/>
      <c r="B66" s="39"/>
      <c r="C66" s="53"/>
      <c r="D66" s="41"/>
      <c r="E66" s="4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>
      <c r="A67" s="1"/>
      <c r="B67" s="44"/>
      <c r="C67" s="55"/>
      <c r="D67" s="56"/>
      <c r="E67" s="4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>
      <c r="A68" s="1"/>
      <c r="B68" s="57"/>
      <c r="C68" s="58"/>
      <c r="D68" s="59"/>
      <c r="E68" s="4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>
      <c r="A69" s="1"/>
      <c r="B69" s="1"/>
      <c r="C69" s="2"/>
      <c r="D69" s="60">
        <f>SUM(D58:D68)</f>
        <v>6857000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>
      <c r="A70" s="1"/>
      <c r="B70" s="1"/>
      <c r="C70" s="2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>
      <c r="A71" s="1"/>
      <c r="B71" s="1"/>
      <c r="C71" s="2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>
      <c r="A72" s="1"/>
      <c r="B72" s="1"/>
      <c r="C72" s="2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>
      <c r="A73" s="1"/>
      <c r="B73" s="1"/>
      <c r="C73" s="2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ErrorMessage="1" sqref="N4:N53">
      <formula1>"-,Pending,Progress,Uploaded"</formula1>
    </dataValidation>
    <dataValidation type="list" allowBlank="1" showDropDown="1" showErrorMessage="1" sqref="D4:D53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53">
      <formula1>"-,In Pikako,In Foxe"</formula1>
    </dataValidation>
    <dataValidation type="list" allowBlank="1" showDropDown="1" showErrorMessage="1" sqref="L4:L53 O58:O59">
      <formula1>"-,JIJANG,AXEL,PENTIL,FAHME,INDAH,ADDEL"</formula1>
    </dataValidation>
    <dataValidation type="list" allowBlank="1" showDropDown="1" showErrorMessage="1" sqref="I4:I53">
      <formula1>"-,DP,Lunas"</formula1>
    </dataValidation>
    <dataValidation type="list" allowBlank="1" showDropDown="1" showErrorMessage="1" sqref="J4:K53">
      <formula1>"-,Pending,Uploaded"</formula1>
    </dataValidation>
    <dataValidation type="list" allowBlank="1" showDropDown="1" showErrorMessage="1" sqref="M4:M53 O60:O61">
      <formula1>"-,VERO,FADEL,PENTIL,FAHME,ADIF,HANIF"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8.25"/>
    <col customWidth="1" min="5" max="5" width="10.38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191</v>
      </c>
      <c r="D4" s="16" t="s">
        <v>37</v>
      </c>
      <c r="E4" s="17"/>
      <c r="F4" s="18">
        <v>46068.0</v>
      </c>
      <c r="G4" s="19"/>
      <c r="H4" s="21">
        <v>100000.0</v>
      </c>
      <c r="I4" s="22" t="s">
        <v>25</v>
      </c>
      <c r="J4" s="22"/>
      <c r="K4" s="22"/>
      <c r="L4" s="22" t="s">
        <v>30</v>
      </c>
      <c r="M4" s="22"/>
      <c r="N4" s="23"/>
      <c r="O4" s="23"/>
      <c r="P4" s="24">
        <v>45231.0</v>
      </c>
      <c r="Q4" s="1"/>
      <c r="R4" s="1"/>
    </row>
    <row r="5">
      <c r="A5" s="1"/>
      <c r="B5" s="14">
        <v>2.0</v>
      </c>
      <c r="C5" s="15" t="s">
        <v>200</v>
      </c>
      <c r="D5" s="16" t="s">
        <v>36</v>
      </c>
      <c r="E5" s="17"/>
      <c r="F5" s="18">
        <v>46068.0</v>
      </c>
      <c r="G5" s="19"/>
      <c r="H5" s="21">
        <v>100000.0</v>
      </c>
      <c r="I5" s="22" t="s">
        <v>25</v>
      </c>
      <c r="J5" s="22"/>
      <c r="K5" s="22"/>
      <c r="L5" s="22" t="s">
        <v>30</v>
      </c>
      <c r="M5" s="22"/>
      <c r="N5" s="25"/>
      <c r="O5" s="25"/>
      <c r="P5" s="26"/>
      <c r="Q5" s="1"/>
      <c r="R5" s="1"/>
    </row>
    <row r="6">
      <c r="A6" s="1"/>
      <c r="B6" s="14">
        <v>3.0</v>
      </c>
      <c r="C6" s="15" t="s">
        <v>152</v>
      </c>
      <c r="D6" s="16" t="s">
        <v>65</v>
      </c>
      <c r="E6" s="17" t="s">
        <v>202</v>
      </c>
      <c r="F6" s="20">
        <v>46068.0</v>
      </c>
      <c r="G6" s="19">
        <v>425000.0</v>
      </c>
      <c r="H6" s="21"/>
      <c r="I6" s="22" t="s">
        <v>26</v>
      </c>
      <c r="J6" s="22" t="s">
        <v>28</v>
      </c>
      <c r="K6" s="22" t="s">
        <v>28</v>
      </c>
      <c r="L6" s="22" t="s">
        <v>30</v>
      </c>
      <c r="M6" s="22" t="s">
        <v>33</v>
      </c>
      <c r="N6" s="25"/>
      <c r="O6" s="25"/>
      <c r="P6" s="26"/>
      <c r="Q6" s="1"/>
      <c r="R6" s="1"/>
    </row>
    <row r="7">
      <c r="A7" s="1"/>
      <c r="B7" s="14">
        <v>4.0</v>
      </c>
      <c r="C7" s="15" t="s">
        <v>203</v>
      </c>
      <c r="D7" s="16" t="s">
        <v>36</v>
      </c>
      <c r="E7" s="17"/>
      <c r="F7" s="20">
        <v>46068.0</v>
      </c>
      <c r="G7" s="19"/>
      <c r="H7" s="21">
        <v>250000.0</v>
      </c>
      <c r="I7" s="22" t="s">
        <v>26</v>
      </c>
      <c r="J7" s="22" t="s">
        <v>28</v>
      </c>
      <c r="K7" s="22" t="s">
        <v>28</v>
      </c>
      <c r="L7" s="22" t="s">
        <v>30</v>
      </c>
      <c r="M7" s="22" t="s">
        <v>33</v>
      </c>
      <c r="N7" s="25"/>
      <c r="O7" s="25"/>
      <c r="P7" s="26"/>
      <c r="Q7" s="1"/>
      <c r="R7" s="1"/>
    </row>
    <row r="8">
      <c r="A8" s="1"/>
      <c r="B8" s="14">
        <v>5.0</v>
      </c>
      <c r="C8" s="15" t="s">
        <v>150</v>
      </c>
      <c r="D8" s="16" t="s">
        <v>151</v>
      </c>
      <c r="E8" s="17"/>
      <c r="F8" s="20">
        <v>46068.0</v>
      </c>
      <c r="G8" s="19"/>
      <c r="H8" s="21">
        <v>410000.0</v>
      </c>
      <c r="I8" s="22" t="s">
        <v>26</v>
      </c>
      <c r="J8" s="22" t="s">
        <v>28</v>
      </c>
      <c r="K8" s="22" t="s">
        <v>28</v>
      </c>
      <c r="L8" s="22" t="s">
        <v>30</v>
      </c>
      <c r="M8" s="22" t="s">
        <v>33</v>
      </c>
      <c r="N8" s="25"/>
      <c r="O8" s="26"/>
      <c r="P8" s="26"/>
      <c r="Q8" s="1"/>
      <c r="R8" s="1"/>
    </row>
    <row r="9">
      <c r="A9" s="1"/>
      <c r="B9" s="14">
        <v>6.0</v>
      </c>
      <c r="C9" s="15" t="s">
        <v>191</v>
      </c>
      <c r="D9" s="16" t="s">
        <v>37</v>
      </c>
      <c r="E9" s="17"/>
      <c r="F9" s="20">
        <v>46068.0</v>
      </c>
      <c r="G9" s="19"/>
      <c r="H9" s="21">
        <v>100000.0</v>
      </c>
      <c r="I9" s="22" t="s">
        <v>26</v>
      </c>
      <c r="J9" s="22" t="s">
        <v>28</v>
      </c>
      <c r="K9" s="22" t="s">
        <v>28</v>
      </c>
      <c r="L9" s="22" t="s">
        <v>30</v>
      </c>
      <c r="M9" s="22" t="s">
        <v>33</v>
      </c>
      <c r="N9" s="25"/>
      <c r="O9" s="26"/>
      <c r="P9" s="26"/>
      <c r="Q9" s="1"/>
      <c r="R9" s="1"/>
    </row>
    <row r="10">
      <c r="A10" s="1"/>
      <c r="B10" s="14">
        <v>7.0</v>
      </c>
      <c r="C10" s="15" t="s">
        <v>200</v>
      </c>
      <c r="D10" s="16" t="s">
        <v>36</v>
      </c>
      <c r="E10" s="17"/>
      <c r="F10" s="20">
        <v>46068.0</v>
      </c>
      <c r="G10" s="19">
        <v>675000.0</v>
      </c>
      <c r="H10" s="31"/>
      <c r="I10" s="22" t="s">
        <v>26</v>
      </c>
      <c r="J10" s="22" t="s">
        <v>28</v>
      </c>
      <c r="K10" s="22" t="s">
        <v>28</v>
      </c>
      <c r="L10" s="22" t="s">
        <v>30</v>
      </c>
      <c r="M10" s="22" t="s">
        <v>33</v>
      </c>
      <c r="N10" s="25"/>
      <c r="O10" s="26"/>
      <c r="P10" s="26"/>
      <c r="Q10" s="1"/>
      <c r="R10" s="1"/>
    </row>
    <row r="11">
      <c r="A11" s="1"/>
      <c r="B11" s="14">
        <v>8.0</v>
      </c>
      <c r="C11" s="15" t="s">
        <v>212</v>
      </c>
      <c r="D11" s="16" t="s">
        <v>36</v>
      </c>
      <c r="E11" s="17"/>
      <c r="F11" s="27">
        <v>46069.0</v>
      </c>
      <c r="G11" s="19"/>
      <c r="H11" s="21">
        <v>100000.0</v>
      </c>
      <c r="I11" s="22" t="s">
        <v>25</v>
      </c>
      <c r="J11" s="22"/>
      <c r="K11" s="22"/>
      <c r="L11" s="22" t="s">
        <v>31</v>
      </c>
      <c r="M11" s="29"/>
      <c r="N11" s="25"/>
      <c r="O11" s="26"/>
      <c r="P11" s="26"/>
      <c r="Q11" s="1"/>
      <c r="R11" s="1"/>
    </row>
    <row r="12">
      <c r="A12" s="1"/>
      <c r="B12" s="14">
        <v>9.0</v>
      </c>
      <c r="C12" s="15" t="s">
        <v>216</v>
      </c>
      <c r="D12" s="16" t="s">
        <v>37</v>
      </c>
      <c r="E12" s="17"/>
      <c r="F12" s="27">
        <v>46068.0</v>
      </c>
      <c r="G12" s="19">
        <v>200000.0</v>
      </c>
      <c r="H12" s="31"/>
      <c r="I12" s="22" t="s">
        <v>26</v>
      </c>
      <c r="J12" s="22" t="s">
        <v>28</v>
      </c>
      <c r="K12" s="22" t="s">
        <v>28</v>
      </c>
      <c r="L12" s="22" t="s">
        <v>31</v>
      </c>
      <c r="M12" s="22" t="s">
        <v>85</v>
      </c>
      <c r="N12" s="25"/>
      <c r="O12" s="26"/>
      <c r="P12" s="26"/>
      <c r="Q12" s="1"/>
      <c r="R12" s="1"/>
    </row>
    <row r="13">
      <c r="A13" s="1"/>
      <c r="B13" s="14">
        <v>10.0</v>
      </c>
      <c r="C13" s="15" t="s">
        <v>220</v>
      </c>
      <c r="D13" s="16" t="s">
        <v>22</v>
      </c>
      <c r="E13" s="17"/>
      <c r="F13" s="27">
        <v>46068.0</v>
      </c>
      <c r="G13" s="19"/>
      <c r="H13" s="21">
        <v>350000.0</v>
      </c>
      <c r="I13" s="22" t="s">
        <v>26</v>
      </c>
      <c r="J13" s="22" t="s">
        <v>28</v>
      </c>
      <c r="K13" s="22" t="s">
        <v>28</v>
      </c>
      <c r="L13" s="22" t="s">
        <v>31</v>
      </c>
      <c r="M13" s="22" t="s">
        <v>85</v>
      </c>
      <c r="N13" s="25"/>
      <c r="O13" s="26"/>
      <c r="P13" s="26"/>
      <c r="Q13" s="1"/>
      <c r="R13" s="1"/>
    </row>
    <row r="14">
      <c r="A14" s="1"/>
      <c r="B14" s="30"/>
      <c r="C14" s="15" t="s">
        <v>189</v>
      </c>
      <c r="D14" s="16" t="s">
        <v>36</v>
      </c>
      <c r="E14" s="17"/>
      <c r="F14" s="27">
        <v>46068.0</v>
      </c>
      <c r="G14" s="19"/>
      <c r="H14" s="21">
        <v>125000.0</v>
      </c>
      <c r="I14" s="22" t="s">
        <v>26</v>
      </c>
      <c r="J14" s="22" t="s">
        <v>28</v>
      </c>
      <c r="K14" s="22" t="s">
        <v>28</v>
      </c>
      <c r="L14" s="22" t="s">
        <v>31</v>
      </c>
      <c r="M14" s="22" t="s">
        <v>85</v>
      </c>
      <c r="N14" s="25"/>
      <c r="O14" s="26"/>
      <c r="P14" s="26"/>
      <c r="Q14" s="1"/>
      <c r="R14" s="1"/>
    </row>
    <row r="15">
      <c r="A15" s="1"/>
      <c r="B15" s="30"/>
      <c r="C15" s="15"/>
      <c r="D15" s="16"/>
      <c r="E15" s="17"/>
      <c r="F15" s="30"/>
      <c r="G15" s="19"/>
      <c r="H15" s="31"/>
      <c r="I15" s="22"/>
      <c r="J15" s="22"/>
      <c r="K15" s="22"/>
      <c r="L15" s="29"/>
      <c r="M15" s="29"/>
      <c r="N15" s="25"/>
      <c r="O15" s="26"/>
      <c r="P15" s="26"/>
      <c r="Q15" s="1"/>
      <c r="R15" s="1"/>
    </row>
    <row r="16">
      <c r="A16" s="1"/>
      <c r="B16" s="30"/>
      <c r="C16" s="15"/>
      <c r="D16" s="16"/>
      <c r="E16" s="17"/>
      <c r="F16" s="30"/>
      <c r="G16" s="19"/>
      <c r="H16" s="31"/>
      <c r="I16" s="22"/>
      <c r="J16" s="22"/>
      <c r="K16" s="22"/>
      <c r="L16" s="29"/>
      <c r="M16" s="29"/>
      <c r="N16" s="25"/>
      <c r="O16" s="26"/>
      <c r="P16" s="26"/>
      <c r="Q16" s="1"/>
      <c r="R16" s="1"/>
    </row>
    <row r="17">
      <c r="A17" s="1"/>
      <c r="B17" s="30"/>
      <c r="C17" s="15"/>
      <c r="D17" s="16"/>
      <c r="E17" s="17"/>
      <c r="F17" s="30"/>
      <c r="G17" s="19"/>
      <c r="H17" s="31"/>
      <c r="I17" s="22"/>
      <c r="J17" s="22"/>
      <c r="K17" s="22"/>
      <c r="L17" s="29"/>
      <c r="M17" s="29"/>
      <c r="N17" s="25"/>
      <c r="O17" s="26"/>
      <c r="P17" s="26"/>
      <c r="Q17" s="1"/>
      <c r="R17" s="1"/>
    </row>
    <row r="18">
      <c r="A18" s="1"/>
      <c r="B18" s="30"/>
      <c r="C18" s="32"/>
      <c r="D18" s="16"/>
      <c r="E18" s="17"/>
      <c r="F18" s="30"/>
      <c r="G18" s="28"/>
      <c r="H18" s="31"/>
      <c r="I18" s="29"/>
      <c r="J18" s="29"/>
      <c r="K18" s="29"/>
      <c r="L18" s="29"/>
      <c r="M18" s="29"/>
      <c r="N18" s="33"/>
      <c r="O18" s="33"/>
      <c r="P18" s="33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4">
        <f t="shared" ref="G19:H19" si="1">SUM(G4:G18)</f>
        <v>1300000</v>
      </c>
      <c r="H19" s="35">
        <f t="shared" si="1"/>
        <v>1535000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6" t="s">
        <v>0</v>
      </c>
      <c r="C22" s="37" t="s">
        <v>6</v>
      </c>
      <c r="D22" s="37" t="s">
        <v>70</v>
      </c>
      <c r="E22" s="38"/>
      <c r="F22" s="1"/>
      <c r="G22" s="1"/>
      <c r="H22" s="1"/>
      <c r="I22" s="1"/>
      <c r="J22" s="1"/>
      <c r="K22" s="1"/>
      <c r="L22" s="1"/>
      <c r="M22" s="1"/>
      <c r="N22" s="37" t="s">
        <v>71</v>
      </c>
      <c r="O22" s="37" t="s">
        <v>1</v>
      </c>
      <c r="P22" s="1"/>
      <c r="Q22" s="1"/>
      <c r="R22" s="1"/>
    </row>
    <row r="23">
      <c r="A23" s="1"/>
      <c r="B23" s="39">
        <v>1.0</v>
      </c>
      <c r="C23" s="40" t="s">
        <v>72</v>
      </c>
      <c r="D23" s="41">
        <f>SUM(G19)</f>
        <v>1300000</v>
      </c>
      <c r="E23" s="42"/>
      <c r="F23" s="1"/>
      <c r="G23" s="1"/>
      <c r="H23" s="1"/>
      <c r="I23" s="1"/>
      <c r="J23" s="1"/>
      <c r="K23" s="1"/>
      <c r="L23" s="1"/>
      <c r="M23" s="1"/>
      <c r="N23" s="43" t="s">
        <v>73</v>
      </c>
      <c r="O23" s="23" t="s">
        <v>30</v>
      </c>
      <c r="P23" s="1"/>
      <c r="Q23" s="1"/>
      <c r="R23" s="1"/>
    </row>
    <row r="24">
      <c r="A24" s="1"/>
      <c r="B24" s="44">
        <v>2.0</v>
      </c>
      <c r="C24" s="45" t="s">
        <v>83</v>
      </c>
      <c r="D24" s="46">
        <v>-97500.0</v>
      </c>
      <c r="E24" s="47"/>
      <c r="F24" s="1"/>
      <c r="G24" s="1"/>
      <c r="H24" s="1"/>
      <c r="I24" s="1"/>
      <c r="J24" s="1"/>
      <c r="K24" s="1"/>
      <c r="L24" s="1"/>
      <c r="M24" s="1"/>
      <c r="N24" s="48" t="s">
        <v>75</v>
      </c>
      <c r="O24" s="49" t="s">
        <v>31</v>
      </c>
      <c r="P24" s="1"/>
      <c r="Q24" s="1"/>
      <c r="R24" s="1"/>
    </row>
    <row r="25">
      <c r="A25" s="1"/>
      <c r="B25" s="39">
        <v>3.0</v>
      </c>
      <c r="C25" s="40" t="s">
        <v>81</v>
      </c>
      <c r="D25" s="50">
        <v>-75000.0</v>
      </c>
      <c r="E25" s="47"/>
      <c r="F25" s="1"/>
      <c r="G25" s="1"/>
      <c r="H25" s="1"/>
      <c r="I25" s="1"/>
      <c r="J25" s="1"/>
      <c r="K25" s="1"/>
      <c r="L25" s="1"/>
      <c r="M25" s="1"/>
      <c r="N25" s="51" t="s">
        <v>77</v>
      </c>
      <c r="O25" s="25" t="s">
        <v>33</v>
      </c>
      <c r="P25" s="1"/>
      <c r="Q25" s="1"/>
      <c r="R25" s="1"/>
    </row>
    <row r="26">
      <c r="A26" s="1"/>
      <c r="B26" s="44">
        <v>4.0</v>
      </c>
      <c r="C26" s="45" t="s">
        <v>76</v>
      </c>
      <c r="D26" s="46">
        <v>-43500.0</v>
      </c>
      <c r="E26" s="47"/>
      <c r="F26" s="1"/>
      <c r="G26" s="1"/>
      <c r="H26" s="1"/>
      <c r="I26" s="1"/>
      <c r="J26" s="1"/>
      <c r="K26" s="1"/>
      <c r="L26" s="1"/>
      <c r="M26" s="1"/>
      <c r="N26" s="52" t="s">
        <v>79</v>
      </c>
      <c r="O26" s="49" t="s">
        <v>85</v>
      </c>
      <c r="P26" s="1"/>
      <c r="Q26" s="1"/>
      <c r="R26" s="1"/>
    </row>
    <row r="27">
      <c r="A27" s="1"/>
      <c r="B27" s="39"/>
      <c r="C27" s="40" t="s">
        <v>178</v>
      </c>
      <c r="D27" s="50">
        <v>-50000.0</v>
      </c>
      <c r="E27" s="42"/>
      <c r="F27" s="1"/>
      <c r="G27" s="1"/>
      <c r="H27" s="1"/>
      <c r="I27" s="1"/>
      <c r="J27" s="1"/>
      <c r="K27" s="1"/>
      <c r="L27" s="1"/>
      <c r="M27" s="1"/>
      <c r="N27" s="54"/>
      <c r="O27" s="1"/>
      <c r="P27" s="1"/>
      <c r="Q27" s="1"/>
      <c r="R27" s="1"/>
    </row>
    <row r="28">
      <c r="A28" s="1"/>
      <c r="B28" s="44"/>
      <c r="C28" s="55"/>
      <c r="D28" s="56"/>
      <c r="E28" s="42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9"/>
      <c r="C29" s="53"/>
      <c r="D29" s="41"/>
      <c r="E29" s="42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4"/>
      <c r="C30" s="55"/>
      <c r="D30" s="56"/>
      <c r="E30" s="42"/>
      <c r="F30" s="64">
        <f>sum(D24:D27)</f>
        <v>-266000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9"/>
      <c r="C31" s="53"/>
      <c r="D31" s="41"/>
      <c r="E31" s="4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4"/>
      <c r="C32" s="55"/>
      <c r="D32" s="56"/>
      <c r="E32" s="4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7"/>
      <c r="C33" s="58"/>
      <c r="D33" s="59"/>
      <c r="E33" s="4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0">
        <f>SUM(D23:D33)</f>
        <v>1034000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"-,JIJANG,ADDEL,PENTIL,FAHME,INDAH"</formula1>
    </dataValidation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M4:M18 O25:O26">
      <formula1>"-,VERO,FADEL,PENTIL,HANIF,ADIF"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206</v>
      </c>
      <c r="D4" s="16" t="s">
        <v>136</v>
      </c>
      <c r="E4" s="17" t="s">
        <v>209</v>
      </c>
      <c r="F4" s="18">
        <v>46069.0</v>
      </c>
      <c r="G4" s="19"/>
      <c r="H4" s="21">
        <v>80000.0</v>
      </c>
      <c r="I4" s="22" t="s">
        <v>26</v>
      </c>
      <c r="J4" s="22" t="s">
        <v>28</v>
      </c>
      <c r="K4" s="22" t="s">
        <v>28</v>
      </c>
      <c r="L4" s="22" t="s">
        <v>31</v>
      </c>
      <c r="M4" s="22" t="s">
        <v>44</v>
      </c>
      <c r="N4" s="23"/>
      <c r="O4" s="23"/>
      <c r="P4" s="24">
        <v>45231.0</v>
      </c>
      <c r="Q4" s="1"/>
      <c r="R4" s="1"/>
    </row>
    <row r="5">
      <c r="A5" s="1"/>
      <c r="B5" s="14">
        <v>2.0</v>
      </c>
      <c r="C5" s="15" t="s">
        <v>215</v>
      </c>
      <c r="D5" s="16" t="s">
        <v>36</v>
      </c>
      <c r="E5" s="17"/>
      <c r="F5" s="18">
        <v>46069.0</v>
      </c>
      <c r="G5" s="19">
        <v>75000.0</v>
      </c>
      <c r="H5" s="21"/>
      <c r="I5" s="22" t="s">
        <v>26</v>
      </c>
      <c r="J5" s="22" t="s">
        <v>28</v>
      </c>
      <c r="K5" s="22" t="s">
        <v>28</v>
      </c>
      <c r="L5" s="22" t="s">
        <v>31</v>
      </c>
      <c r="M5" s="22" t="s">
        <v>44</v>
      </c>
      <c r="N5" s="25"/>
      <c r="O5" s="25"/>
      <c r="P5" s="26"/>
      <c r="Q5" s="1"/>
      <c r="R5" s="1"/>
    </row>
    <row r="6">
      <c r="A6" s="1"/>
      <c r="B6" s="14">
        <v>3.0</v>
      </c>
      <c r="C6" s="15" t="s">
        <v>217</v>
      </c>
      <c r="D6" s="16" t="s">
        <v>221</v>
      </c>
      <c r="E6" s="17" t="s">
        <v>222</v>
      </c>
      <c r="F6" s="27">
        <v>46069.0</v>
      </c>
      <c r="G6" s="28"/>
      <c r="H6" s="21">
        <v>100000.0</v>
      </c>
      <c r="I6" s="22" t="s">
        <v>26</v>
      </c>
      <c r="J6" s="22"/>
      <c r="K6" s="22"/>
      <c r="L6" s="22" t="s">
        <v>31</v>
      </c>
      <c r="M6" s="29"/>
      <c r="N6" s="25"/>
      <c r="O6" s="25"/>
      <c r="P6" s="26"/>
      <c r="Q6" s="1"/>
      <c r="R6" s="1"/>
    </row>
    <row r="7">
      <c r="A7" s="1"/>
      <c r="B7" s="14">
        <v>4.0</v>
      </c>
      <c r="C7" s="15" t="s">
        <v>224</v>
      </c>
      <c r="D7" s="16" t="s">
        <v>98</v>
      </c>
      <c r="E7" s="17"/>
      <c r="F7" s="27">
        <v>46069.0</v>
      </c>
      <c r="G7" s="19"/>
      <c r="H7" s="21">
        <v>50000.0</v>
      </c>
      <c r="I7" s="22" t="s">
        <v>26</v>
      </c>
      <c r="J7" s="22"/>
      <c r="K7" s="22"/>
      <c r="L7" s="22" t="s">
        <v>31</v>
      </c>
      <c r="M7" s="29"/>
      <c r="N7" s="25"/>
      <c r="O7" s="25"/>
      <c r="P7" s="26"/>
      <c r="Q7" s="1"/>
      <c r="R7" s="1"/>
    </row>
    <row r="8">
      <c r="A8" s="1"/>
      <c r="B8" s="14">
        <v>5.0</v>
      </c>
      <c r="C8" s="15" t="s">
        <v>131</v>
      </c>
      <c r="D8" s="16" t="s">
        <v>36</v>
      </c>
      <c r="E8" s="17"/>
      <c r="F8" s="27">
        <v>46069.0</v>
      </c>
      <c r="G8" s="19">
        <v>800000.0</v>
      </c>
      <c r="H8" s="31"/>
      <c r="I8" s="22" t="s">
        <v>26</v>
      </c>
      <c r="J8" s="22" t="s">
        <v>28</v>
      </c>
      <c r="K8" s="22" t="s">
        <v>28</v>
      </c>
      <c r="L8" s="22" t="s">
        <v>31</v>
      </c>
      <c r="M8" s="22" t="s">
        <v>44</v>
      </c>
      <c r="N8" s="25"/>
      <c r="O8" s="26"/>
      <c r="P8" s="26"/>
      <c r="Q8" s="1"/>
      <c r="R8" s="1"/>
    </row>
    <row r="9">
      <c r="A9" s="1"/>
      <c r="B9" s="14">
        <v>6.0</v>
      </c>
      <c r="C9" s="15" t="s">
        <v>227</v>
      </c>
      <c r="D9" s="16" t="s">
        <v>36</v>
      </c>
      <c r="E9" s="17"/>
      <c r="F9" s="27">
        <v>46069.0</v>
      </c>
      <c r="G9" s="19"/>
      <c r="H9" s="21">
        <v>100000.0</v>
      </c>
      <c r="I9" s="22" t="s">
        <v>25</v>
      </c>
      <c r="J9" s="22"/>
      <c r="K9" s="22"/>
      <c r="L9" s="22" t="s">
        <v>31</v>
      </c>
      <c r="M9" s="29"/>
      <c r="N9" s="25"/>
      <c r="O9" s="26"/>
      <c r="P9" s="26"/>
      <c r="Q9" s="1"/>
      <c r="R9" s="1"/>
    </row>
    <row r="10">
      <c r="A10" s="1"/>
      <c r="B10" s="14">
        <v>7.0</v>
      </c>
      <c r="C10" s="15" t="s">
        <v>146</v>
      </c>
      <c r="D10" s="16" t="s">
        <v>36</v>
      </c>
      <c r="E10" s="17"/>
      <c r="F10" s="27">
        <v>46069.0</v>
      </c>
      <c r="G10" s="19"/>
      <c r="H10" s="21">
        <v>175000.0</v>
      </c>
      <c r="I10" s="22" t="s">
        <v>26</v>
      </c>
      <c r="J10" s="22" t="s">
        <v>28</v>
      </c>
      <c r="K10" s="22" t="s">
        <v>145</v>
      </c>
      <c r="L10" s="22" t="s">
        <v>31</v>
      </c>
      <c r="M10" s="22" t="s">
        <v>44</v>
      </c>
      <c r="N10" s="25"/>
      <c r="O10" s="26"/>
      <c r="P10" s="26"/>
      <c r="Q10" s="1"/>
      <c r="R10" s="1"/>
    </row>
    <row r="11">
      <c r="A11" s="1"/>
      <c r="B11" s="14">
        <v>8.0</v>
      </c>
      <c r="C11" s="15" t="s">
        <v>228</v>
      </c>
      <c r="D11" s="16" t="s">
        <v>21</v>
      </c>
      <c r="E11" s="17"/>
      <c r="F11" s="20">
        <v>46112.0</v>
      </c>
      <c r="G11" s="19"/>
      <c r="H11" s="21">
        <v>150000.0</v>
      </c>
      <c r="I11" s="22" t="s">
        <v>25</v>
      </c>
      <c r="J11" s="22"/>
      <c r="K11" s="22"/>
      <c r="L11" s="22" t="s">
        <v>30</v>
      </c>
      <c r="M11" s="29"/>
      <c r="N11" s="25"/>
      <c r="O11" s="26"/>
      <c r="P11" s="26"/>
      <c r="Q11" s="1"/>
      <c r="R11" s="1"/>
    </row>
    <row r="12">
      <c r="A12" s="1"/>
      <c r="B12" s="14">
        <v>9.0</v>
      </c>
      <c r="C12" s="15" t="s">
        <v>231</v>
      </c>
      <c r="D12" s="16" t="s">
        <v>36</v>
      </c>
      <c r="E12" s="17"/>
      <c r="F12" s="20">
        <v>46069.0</v>
      </c>
      <c r="G12" s="19">
        <v>875000.0</v>
      </c>
      <c r="H12" s="31"/>
      <c r="I12" s="22" t="s">
        <v>26</v>
      </c>
      <c r="J12" s="22" t="s">
        <v>28</v>
      </c>
      <c r="K12" s="22" t="s">
        <v>28</v>
      </c>
      <c r="L12" s="22" t="s">
        <v>30</v>
      </c>
      <c r="M12" s="22" t="s">
        <v>44</v>
      </c>
      <c r="N12" s="25"/>
      <c r="O12" s="26"/>
      <c r="P12" s="26"/>
      <c r="Q12" s="1"/>
      <c r="R12" s="1"/>
    </row>
    <row r="13">
      <c r="A13" s="1"/>
      <c r="B13" s="14">
        <v>10.0</v>
      </c>
      <c r="C13" s="15" t="s">
        <v>233</v>
      </c>
      <c r="D13" s="16" t="s">
        <v>36</v>
      </c>
      <c r="E13" s="17"/>
      <c r="F13" s="20">
        <v>46081.0</v>
      </c>
      <c r="G13" s="19"/>
      <c r="H13" s="21">
        <v>100000.0</v>
      </c>
      <c r="I13" s="22" t="s">
        <v>25</v>
      </c>
      <c r="J13" s="22"/>
      <c r="K13" s="22"/>
      <c r="L13" s="22" t="s">
        <v>30</v>
      </c>
      <c r="M13" s="29"/>
      <c r="N13" s="25"/>
      <c r="O13" s="26"/>
      <c r="P13" s="26"/>
      <c r="Q13" s="1"/>
      <c r="R13" s="1"/>
    </row>
    <row r="14">
      <c r="A14" s="1"/>
      <c r="B14" s="30"/>
      <c r="C14" s="15" t="s">
        <v>235</v>
      </c>
      <c r="D14" s="16" t="s">
        <v>36</v>
      </c>
      <c r="E14" s="17"/>
      <c r="F14" s="20">
        <v>46071.0</v>
      </c>
      <c r="G14" s="19"/>
      <c r="H14" s="21">
        <v>100000.0</v>
      </c>
      <c r="I14" s="22" t="s">
        <v>25</v>
      </c>
      <c r="J14" s="22"/>
      <c r="K14" s="22"/>
      <c r="L14" s="22" t="s">
        <v>30</v>
      </c>
      <c r="M14" s="29"/>
      <c r="N14" s="25"/>
      <c r="O14" s="26"/>
      <c r="P14" s="26"/>
      <c r="Q14" s="1"/>
      <c r="R14" s="1"/>
    </row>
    <row r="15">
      <c r="A15" s="1"/>
      <c r="B15" s="30"/>
      <c r="C15" s="15" t="s">
        <v>224</v>
      </c>
      <c r="D15" s="16" t="s">
        <v>98</v>
      </c>
      <c r="E15" s="17"/>
      <c r="F15" s="20">
        <v>46069.0</v>
      </c>
      <c r="G15" s="19">
        <v>0.0</v>
      </c>
      <c r="H15" s="21">
        <v>0.0</v>
      </c>
      <c r="I15" s="22" t="s">
        <v>26</v>
      </c>
      <c r="J15" s="22" t="s">
        <v>28</v>
      </c>
      <c r="K15" s="22" t="s">
        <v>28</v>
      </c>
      <c r="L15" s="22" t="s">
        <v>30</v>
      </c>
      <c r="M15" s="22" t="s">
        <v>44</v>
      </c>
      <c r="N15" s="25"/>
      <c r="O15" s="26"/>
      <c r="P15" s="26"/>
      <c r="Q15" s="1"/>
      <c r="R15" s="1"/>
    </row>
    <row r="16">
      <c r="A16" s="1"/>
      <c r="B16" s="30"/>
      <c r="C16" s="15" t="s">
        <v>238</v>
      </c>
      <c r="D16" s="16" t="s">
        <v>36</v>
      </c>
      <c r="E16" s="17"/>
      <c r="F16" s="20">
        <v>46070.0</v>
      </c>
      <c r="G16" s="19"/>
      <c r="H16" s="21">
        <v>100000.0</v>
      </c>
      <c r="I16" s="22" t="s">
        <v>25</v>
      </c>
      <c r="J16" s="22"/>
      <c r="K16" s="22"/>
      <c r="L16" s="22" t="s">
        <v>30</v>
      </c>
      <c r="M16" s="29"/>
      <c r="N16" s="25"/>
      <c r="O16" s="26"/>
      <c r="P16" s="26"/>
      <c r="Q16" s="1"/>
      <c r="R16" s="1"/>
    </row>
    <row r="17">
      <c r="A17" s="1"/>
      <c r="B17" s="30"/>
      <c r="C17" s="15" t="s">
        <v>239</v>
      </c>
      <c r="D17" s="16" t="s">
        <v>136</v>
      </c>
      <c r="E17" s="17" t="s">
        <v>170</v>
      </c>
      <c r="F17" s="20">
        <v>46069.0</v>
      </c>
      <c r="G17" s="19"/>
      <c r="H17" s="21">
        <v>150000.0</v>
      </c>
      <c r="I17" s="22" t="s">
        <v>26</v>
      </c>
      <c r="J17" s="22" t="s">
        <v>28</v>
      </c>
      <c r="K17" s="22" t="s">
        <v>28</v>
      </c>
      <c r="L17" s="22" t="s">
        <v>30</v>
      </c>
      <c r="M17" s="22" t="s">
        <v>44</v>
      </c>
      <c r="N17" s="25"/>
      <c r="O17" s="26"/>
      <c r="P17" s="26"/>
      <c r="Q17" s="1"/>
      <c r="R17" s="1"/>
    </row>
    <row r="18">
      <c r="A18" s="1"/>
      <c r="B18" s="30"/>
      <c r="C18" s="32"/>
      <c r="D18" s="16"/>
      <c r="E18" s="17"/>
      <c r="F18" s="30"/>
      <c r="G18" s="28"/>
      <c r="H18" s="31"/>
      <c r="I18" s="29"/>
      <c r="J18" s="29"/>
      <c r="K18" s="29"/>
      <c r="L18" s="29"/>
      <c r="M18" s="29"/>
      <c r="N18" s="33"/>
      <c r="O18" s="33"/>
      <c r="P18" s="33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4">
        <f t="shared" ref="G19:H19" si="1">SUM(G4:G18)</f>
        <v>1750000</v>
      </c>
      <c r="H19" s="35">
        <f t="shared" si="1"/>
        <v>1105000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6" t="s">
        <v>0</v>
      </c>
      <c r="C22" s="37" t="s">
        <v>6</v>
      </c>
      <c r="D22" s="37" t="s">
        <v>70</v>
      </c>
      <c r="E22" s="38"/>
      <c r="F22" s="1"/>
      <c r="G22" s="1"/>
      <c r="H22" s="1"/>
      <c r="I22" s="1"/>
      <c r="J22" s="1"/>
      <c r="K22" s="1"/>
      <c r="L22" s="1"/>
      <c r="M22" s="1"/>
      <c r="N22" s="37" t="s">
        <v>71</v>
      </c>
      <c r="O22" s="37" t="s">
        <v>1</v>
      </c>
      <c r="P22" s="1"/>
      <c r="Q22" s="1"/>
      <c r="R22" s="1"/>
    </row>
    <row r="23">
      <c r="A23" s="1"/>
      <c r="B23" s="39">
        <v>1.0</v>
      </c>
      <c r="C23" s="40" t="s">
        <v>72</v>
      </c>
      <c r="D23" s="41">
        <f>SUM(G19)</f>
        <v>1750000</v>
      </c>
      <c r="E23" s="42"/>
      <c r="F23" s="1"/>
      <c r="G23" s="1"/>
      <c r="H23" s="1"/>
      <c r="I23" s="1"/>
      <c r="J23" s="1"/>
      <c r="K23" s="1"/>
      <c r="L23" s="1"/>
      <c r="M23" s="1"/>
      <c r="N23" s="43" t="s">
        <v>73</v>
      </c>
      <c r="O23" s="23" t="s">
        <v>31</v>
      </c>
      <c r="P23" s="1"/>
      <c r="Q23" s="1"/>
      <c r="R23" s="1"/>
    </row>
    <row r="24">
      <c r="A24" s="1"/>
      <c r="B24" s="44">
        <v>2.0</v>
      </c>
      <c r="C24" s="45" t="s">
        <v>178</v>
      </c>
      <c r="D24" s="46">
        <v>-75000.0</v>
      </c>
      <c r="E24" s="47"/>
      <c r="F24" s="1"/>
      <c r="G24" s="1"/>
      <c r="H24" s="1"/>
      <c r="I24" s="1"/>
      <c r="J24" s="1"/>
      <c r="K24" s="1"/>
      <c r="L24" s="1"/>
      <c r="M24" s="1"/>
      <c r="N24" s="48" t="s">
        <v>75</v>
      </c>
      <c r="O24" s="49" t="s">
        <v>30</v>
      </c>
      <c r="P24" s="1"/>
      <c r="Q24" s="1"/>
      <c r="R24" s="1"/>
    </row>
    <row r="25">
      <c r="A25" s="1"/>
      <c r="B25" s="39">
        <v>3.0</v>
      </c>
      <c r="C25" s="40" t="s">
        <v>83</v>
      </c>
      <c r="D25" s="50">
        <v>-30000.0</v>
      </c>
      <c r="E25" s="47"/>
      <c r="F25" s="1"/>
      <c r="G25" s="1"/>
      <c r="H25" s="1"/>
      <c r="I25" s="1"/>
      <c r="J25" s="1"/>
      <c r="K25" s="1"/>
      <c r="L25" s="1"/>
      <c r="M25" s="1"/>
      <c r="N25" s="51" t="s">
        <v>77</v>
      </c>
      <c r="O25" s="25" t="s">
        <v>44</v>
      </c>
      <c r="P25" s="1"/>
      <c r="Q25" s="1"/>
      <c r="R25" s="1"/>
    </row>
    <row r="26">
      <c r="A26" s="1"/>
      <c r="B26" s="44">
        <v>4.0</v>
      </c>
      <c r="C26" s="45" t="s">
        <v>74</v>
      </c>
      <c r="D26" s="46">
        <v>-90000.0</v>
      </c>
      <c r="E26" s="47"/>
      <c r="F26" s="1"/>
      <c r="G26" s="1"/>
      <c r="H26" s="1"/>
      <c r="I26" s="1"/>
      <c r="J26" s="1"/>
      <c r="K26" s="1"/>
      <c r="L26" s="1"/>
      <c r="M26" s="1"/>
      <c r="N26" s="52" t="s">
        <v>79</v>
      </c>
      <c r="O26" s="49" t="s">
        <v>44</v>
      </c>
      <c r="P26" s="1"/>
      <c r="Q26" s="1"/>
      <c r="R26" s="1"/>
    </row>
    <row r="27">
      <c r="A27" s="1"/>
      <c r="B27" s="39"/>
      <c r="C27" s="40" t="s">
        <v>76</v>
      </c>
      <c r="D27" s="50">
        <v>-50000.0</v>
      </c>
      <c r="E27" s="42"/>
      <c r="F27" s="64">
        <f>sum(D24:D28)</f>
        <v>-250000</v>
      </c>
      <c r="G27" s="1"/>
      <c r="H27" s="1"/>
      <c r="I27" s="1"/>
      <c r="J27" s="1"/>
      <c r="K27" s="1"/>
      <c r="L27" s="1"/>
      <c r="M27" s="1"/>
      <c r="N27" s="54"/>
      <c r="O27" s="1"/>
      <c r="P27" s="1"/>
      <c r="Q27" s="1"/>
      <c r="R27" s="1"/>
    </row>
    <row r="28">
      <c r="A28" s="1"/>
      <c r="B28" s="44"/>
      <c r="C28" s="45" t="s">
        <v>246</v>
      </c>
      <c r="D28" s="46">
        <v>-5000.0</v>
      </c>
      <c r="E28" s="42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9"/>
      <c r="C29" s="53"/>
      <c r="D29" s="50"/>
      <c r="E29" s="42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4"/>
      <c r="C30" s="55"/>
      <c r="D30" s="56"/>
      <c r="E30" s="42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9"/>
      <c r="C31" s="53"/>
      <c r="D31" s="41"/>
      <c r="E31" s="4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4"/>
      <c r="C32" s="55"/>
      <c r="D32" s="56"/>
      <c r="E32" s="4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7"/>
      <c r="C33" s="58"/>
      <c r="D33" s="59"/>
      <c r="E33" s="4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0">
        <f>SUM(D23:D33)</f>
        <v>1500000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"-,JIJANG,ADDEL,PENTIL,FAHME,INDAH"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Edit,Add Cetak 5R"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M4:M18 O25:O26">
      <formula1>"-,VERO,FADEL,PENTIL,ADIF 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187</v>
      </c>
      <c r="D4" s="16" t="s">
        <v>36</v>
      </c>
      <c r="E4" s="17"/>
      <c r="F4" s="18">
        <v>46070.0</v>
      </c>
      <c r="G4" s="19">
        <v>1275000.0</v>
      </c>
      <c r="H4" s="21"/>
      <c r="I4" s="22" t="s">
        <v>26</v>
      </c>
      <c r="J4" s="22" t="s">
        <v>28</v>
      </c>
      <c r="K4" s="22" t="s">
        <v>29</v>
      </c>
      <c r="L4" s="22" t="s">
        <v>31</v>
      </c>
      <c r="M4" s="22" t="s">
        <v>55</v>
      </c>
      <c r="N4" s="23"/>
      <c r="O4" s="23"/>
      <c r="P4" s="24">
        <v>45231.0</v>
      </c>
      <c r="Q4" s="1"/>
      <c r="R4" s="1"/>
    </row>
    <row r="5">
      <c r="A5" s="1"/>
      <c r="B5" s="14">
        <v>2.0</v>
      </c>
      <c r="C5" s="15" t="s">
        <v>247</v>
      </c>
      <c r="D5" s="16" t="s">
        <v>36</v>
      </c>
      <c r="E5" s="17"/>
      <c r="F5" s="18">
        <v>46070.0</v>
      </c>
      <c r="G5" s="19"/>
      <c r="H5" s="21">
        <v>100000.0</v>
      </c>
      <c r="I5" s="22" t="s">
        <v>25</v>
      </c>
      <c r="J5" s="22"/>
      <c r="K5" s="22"/>
      <c r="L5" s="22" t="s">
        <v>31</v>
      </c>
      <c r="M5" s="22"/>
      <c r="N5" s="25"/>
      <c r="O5" s="25"/>
      <c r="P5" s="26"/>
      <c r="Q5" s="1"/>
      <c r="R5" s="1"/>
    </row>
    <row r="6">
      <c r="A6" s="1"/>
      <c r="B6" s="14">
        <v>3.0</v>
      </c>
      <c r="C6" s="15" t="s">
        <v>227</v>
      </c>
      <c r="D6" s="16" t="s">
        <v>36</v>
      </c>
      <c r="E6" s="17"/>
      <c r="F6" s="27">
        <v>46070.0</v>
      </c>
      <c r="G6" s="19">
        <v>375000.0</v>
      </c>
      <c r="H6" s="21"/>
      <c r="I6" s="22" t="s">
        <v>26</v>
      </c>
      <c r="J6" s="22" t="s">
        <v>28</v>
      </c>
      <c r="K6" s="22" t="s">
        <v>28</v>
      </c>
      <c r="L6" s="22" t="s">
        <v>31</v>
      </c>
      <c r="M6" s="22" t="s">
        <v>55</v>
      </c>
      <c r="N6" s="25"/>
      <c r="O6" s="25"/>
      <c r="P6" s="26"/>
      <c r="Q6" s="1"/>
      <c r="R6" s="1"/>
    </row>
    <row r="7">
      <c r="A7" s="1"/>
      <c r="B7" s="14">
        <v>4.0</v>
      </c>
      <c r="C7" s="15" t="s">
        <v>249</v>
      </c>
      <c r="D7" s="16" t="s">
        <v>36</v>
      </c>
      <c r="E7" s="17"/>
      <c r="F7" s="20">
        <v>46070.0</v>
      </c>
      <c r="G7" s="19">
        <v>250000.0</v>
      </c>
      <c r="H7" s="31"/>
      <c r="I7" s="22" t="s">
        <v>26</v>
      </c>
      <c r="J7" s="22" t="s">
        <v>28</v>
      </c>
      <c r="K7" s="22" t="s">
        <v>28</v>
      </c>
      <c r="L7" s="22" t="s">
        <v>30</v>
      </c>
      <c r="M7" s="22" t="s">
        <v>55</v>
      </c>
      <c r="N7" s="25"/>
      <c r="O7" s="25"/>
      <c r="P7" s="26"/>
      <c r="Q7" s="1"/>
      <c r="R7" s="1"/>
    </row>
    <row r="8">
      <c r="A8" s="1"/>
      <c r="B8" s="14">
        <v>5.0</v>
      </c>
      <c r="C8" s="15" t="s">
        <v>225</v>
      </c>
      <c r="D8" s="16" t="s">
        <v>36</v>
      </c>
      <c r="E8" s="17"/>
      <c r="F8" s="20">
        <v>46070.0</v>
      </c>
      <c r="G8" s="19"/>
      <c r="H8" s="21">
        <v>200000.0</v>
      </c>
      <c r="I8" s="22" t="s">
        <v>26</v>
      </c>
      <c r="J8" s="22" t="s">
        <v>28</v>
      </c>
      <c r="K8" s="22" t="s">
        <v>29</v>
      </c>
      <c r="L8" s="22" t="s">
        <v>30</v>
      </c>
      <c r="M8" s="22" t="s">
        <v>33</v>
      </c>
      <c r="N8" s="25"/>
      <c r="O8" s="26"/>
      <c r="P8" s="26"/>
      <c r="Q8" s="1"/>
      <c r="R8" s="1"/>
    </row>
    <row r="9">
      <c r="A9" s="1"/>
      <c r="B9" s="14">
        <v>6.0</v>
      </c>
      <c r="C9" s="15" t="s">
        <v>251</v>
      </c>
      <c r="D9" s="16" t="s">
        <v>22</v>
      </c>
      <c r="E9" s="17"/>
      <c r="F9" s="20">
        <v>46071.0</v>
      </c>
      <c r="G9" s="19"/>
      <c r="H9" s="21">
        <v>100000.0</v>
      </c>
      <c r="I9" s="22" t="s">
        <v>25</v>
      </c>
      <c r="J9" s="22"/>
      <c r="K9" s="22"/>
      <c r="L9" s="22" t="s">
        <v>30</v>
      </c>
      <c r="M9" s="29"/>
      <c r="N9" s="25"/>
      <c r="O9" s="26"/>
      <c r="P9" s="26"/>
      <c r="Q9" s="1"/>
      <c r="R9" s="1"/>
    </row>
    <row r="10">
      <c r="A10" s="1"/>
      <c r="B10" s="14">
        <v>7.0</v>
      </c>
      <c r="C10" s="76" t="s">
        <v>247</v>
      </c>
      <c r="D10" s="16" t="s">
        <v>36</v>
      </c>
      <c r="E10" s="17"/>
      <c r="F10" s="20">
        <v>46070.0</v>
      </c>
      <c r="G10" s="19"/>
      <c r="H10" s="21">
        <v>75000.0</v>
      </c>
      <c r="I10" s="22" t="s">
        <v>26</v>
      </c>
      <c r="J10" s="22" t="s">
        <v>28</v>
      </c>
      <c r="K10" s="22" t="s">
        <v>29</v>
      </c>
      <c r="L10" s="22" t="s">
        <v>30</v>
      </c>
      <c r="M10" s="22" t="s">
        <v>33</v>
      </c>
      <c r="N10" s="25"/>
      <c r="O10" s="26"/>
      <c r="P10" s="26"/>
      <c r="Q10" s="1"/>
      <c r="R10" s="1"/>
    </row>
    <row r="11">
      <c r="A11" s="1"/>
      <c r="B11" s="14">
        <v>8.0</v>
      </c>
      <c r="C11" s="15"/>
      <c r="D11" s="16"/>
      <c r="E11" s="17"/>
      <c r="F11" s="30"/>
      <c r="G11" s="19"/>
      <c r="H11" s="31"/>
      <c r="I11" s="22"/>
      <c r="J11" s="22"/>
      <c r="K11" s="22"/>
      <c r="L11" s="29"/>
      <c r="M11" s="29"/>
      <c r="N11" s="25"/>
      <c r="O11" s="26"/>
      <c r="P11" s="26"/>
      <c r="Q11" s="1"/>
      <c r="R11" s="1"/>
    </row>
    <row r="12">
      <c r="A12" s="1"/>
      <c r="B12" s="14">
        <v>9.0</v>
      </c>
      <c r="C12" s="15"/>
      <c r="D12" s="16"/>
      <c r="E12" s="17"/>
      <c r="F12" s="30"/>
      <c r="G12" s="19"/>
      <c r="H12" s="31"/>
      <c r="I12" s="22"/>
      <c r="J12" s="22"/>
      <c r="K12" s="22"/>
      <c r="L12" s="29"/>
      <c r="M12" s="29"/>
      <c r="N12" s="25"/>
      <c r="O12" s="26"/>
      <c r="P12" s="26"/>
      <c r="Q12" s="1"/>
      <c r="R12" s="1"/>
    </row>
    <row r="13">
      <c r="A13" s="1"/>
      <c r="B13" s="14">
        <v>10.0</v>
      </c>
      <c r="C13" s="15"/>
      <c r="D13" s="16"/>
      <c r="E13" s="17"/>
      <c r="F13" s="30"/>
      <c r="G13" s="19"/>
      <c r="H13" s="31"/>
      <c r="I13" s="22"/>
      <c r="J13" s="22"/>
      <c r="K13" s="22"/>
      <c r="L13" s="29"/>
      <c r="M13" s="29"/>
      <c r="N13" s="25"/>
      <c r="O13" s="26"/>
      <c r="P13" s="26"/>
      <c r="Q13" s="1"/>
      <c r="R13" s="1"/>
    </row>
    <row r="14">
      <c r="A14" s="1"/>
      <c r="B14" s="30"/>
      <c r="C14" s="15"/>
      <c r="D14" s="16"/>
      <c r="E14" s="17"/>
      <c r="F14" s="30"/>
      <c r="G14" s="19"/>
      <c r="H14" s="31"/>
      <c r="I14" s="22"/>
      <c r="J14" s="22"/>
      <c r="K14" s="22"/>
      <c r="L14" s="29"/>
      <c r="M14" s="29"/>
      <c r="N14" s="25"/>
      <c r="O14" s="26"/>
      <c r="P14" s="26"/>
      <c r="Q14" s="1"/>
      <c r="R14" s="1"/>
    </row>
    <row r="15">
      <c r="A15" s="1"/>
      <c r="B15" s="30"/>
      <c r="C15" s="15"/>
      <c r="D15" s="16"/>
      <c r="E15" s="17"/>
      <c r="F15" s="30"/>
      <c r="G15" s="19"/>
      <c r="H15" s="31"/>
      <c r="I15" s="22"/>
      <c r="J15" s="22"/>
      <c r="K15" s="22"/>
      <c r="L15" s="29"/>
      <c r="M15" s="29"/>
      <c r="N15" s="25"/>
      <c r="O15" s="26"/>
      <c r="P15" s="26"/>
      <c r="Q15" s="1"/>
      <c r="R15" s="1"/>
    </row>
    <row r="16">
      <c r="A16" s="1"/>
      <c r="B16" s="30"/>
      <c r="C16" s="15"/>
      <c r="D16" s="16"/>
      <c r="E16" s="17"/>
      <c r="F16" s="30"/>
      <c r="G16" s="19"/>
      <c r="H16" s="31"/>
      <c r="I16" s="22"/>
      <c r="J16" s="22"/>
      <c r="K16" s="22"/>
      <c r="L16" s="29"/>
      <c r="M16" s="29"/>
      <c r="N16" s="25"/>
      <c r="O16" s="26"/>
      <c r="P16" s="26"/>
      <c r="Q16" s="1"/>
      <c r="R16" s="1"/>
    </row>
    <row r="17">
      <c r="A17" s="1"/>
      <c r="B17" s="30"/>
      <c r="C17" s="15"/>
      <c r="D17" s="16"/>
      <c r="E17" s="17"/>
      <c r="F17" s="30"/>
      <c r="G17" s="19"/>
      <c r="H17" s="31"/>
      <c r="I17" s="22"/>
      <c r="J17" s="22"/>
      <c r="K17" s="22"/>
      <c r="L17" s="29"/>
      <c r="M17" s="29"/>
      <c r="N17" s="25"/>
      <c r="O17" s="26"/>
      <c r="P17" s="26"/>
      <c r="Q17" s="1"/>
      <c r="R17" s="1"/>
    </row>
    <row r="18">
      <c r="A18" s="1"/>
      <c r="B18" s="30"/>
      <c r="C18" s="32"/>
      <c r="D18" s="16"/>
      <c r="E18" s="17"/>
      <c r="F18" s="30"/>
      <c r="G18" s="28"/>
      <c r="H18" s="31"/>
      <c r="I18" s="29"/>
      <c r="J18" s="29"/>
      <c r="K18" s="29"/>
      <c r="L18" s="29"/>
      <c r="M18" s="29"/>
      <c r="N18" s="33"/>
      <c r="O18" s="33"/>
      <c r="P18" s="33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4">
        <f t="shared" ref="G19:H19" si="1">SUM(G4:G18)</f>
        <v>1900000</v>
      </c>
      <c r="H19" s="35">
        <f t="shared" si="1"/>
        <v>475000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6" t="s">
        <v>0</v>
      </c>
      <c r="C22" s="37" t="s">
        <v>6</v>
      </c>
      <c r="D22" s="37" t="s">
        <v>70</v>
      </c>
      <c r="E22" s="38"/>
      <c r="F22" s="1"/>
      <c r="G22" s="1"/>
      <c r="H22" s="1"/>
      <c r="I22" s="1"/>
      <c r="J22" s="1"/>
      <c r="K22" s="1"/>
      <c r="L22" s="1"/>
      <c r="M22" s="1"/>
      <c r="N22" s="37" t="s">
        <v>71</v>
      </c>
      <c r="O22" s="37" t="s">
        <v>1</v>
      </c>
      <c r="P22" s="1"/>
      <c r="Q22" s="1"/>
      <c r="R22" s="1"/>
    </row>
    <row r="23">
      <c r="A23" s="1"/>
      <c r="B23" s="39">
        <v>1.0</v>
      </c>
      <c r="C23" s="40" t="s">
        <v>72</v>
      </c>
      <c r="D23" s="41">
        <f>SUM(G19)</f>
        <v>1900000</v>
      </c>
      <c r="E23" s="42"/>
      <c r="F23" s="1"/>
      <c r="G23" s="1"/>
      <c r="H23" s="1"/>
      <c r="I23" s="1"/>
      <c r="J23" s="1"/>
      <c r="K23" s="1"/>
      <c r="L23" s="1"/>
      <c r="M23" s="1"/>
      <c r="N23" s="43" t="s">
        <v>73</v>
      </c>
      <c r="O23" s="23" t="s">
        <v>31</v>
      </c>
      <c r="P23" s="1"/>
      <c r="Q23" s="1"/>
      <c r="R23" s="1"/>
    </row>
    <row r="24">
      <c r="A24" s="1"/>
      <c r="B24" s="44">
        <v>2.0</v>
      </c>
      <c r="C24" s="45" t="s">
        <v>178</v>
      </c>
      <c r="D24" s="46">
        <v>-100000.0</v>
      </c>
      <c r="E24" s="47"/>
      <c r="F24" s="1"/>
      <c r="G24" s="1"/>
      <c r="H24" s="1"/>
      <c r="I24" s="1"/>
      <c r="J24" s="1"/>
      <c r="K24" s="1"/>
      <c r="L24" s="1"/>
      <c r="M24" s="1"/>
      <c r="N24" s="48" t="s">
        <v>75</v>
      </c>
      <c r="O24" s="49" t="s">
        <v>30</v>
      </c>
      <c r="P24" s="1"/>
      <c r="Q24" s="1"/>
      <c r="R24" s="1"/>
    </row>
    <row r="25">
      <c r="A25" s="1"/>
      <c r="B25" s="39">
        <v>3.0</v>
      </c>
      <c r="C25" s="40" t="s">
        <v>83</v>
      </c>
      <c r="D25" s="50">
        <v>-83000.0</v>
      </c>
      <c r="E25" s="47"/>
      <c r="F25" s="1"/>
      <c r="G25" s="1"/>
      <c r="H25" s="1"/>
      <c r="I25" s="1"/>
      <c r="J25" s="1"/>
      <c r="K25" s="1"/>
      <c r="L25" s="1"/>
      <c r="M25" s="1"/>
      <c r="N25" s="51" t="s">
        <v>77</v>
      </c>
      <c r="O25" s="25" t="s">
        <v>55</v>
      </c>
      <c r="P25" s="1"/>
      <c r="Q25" s="1"/>
      <c r="R25" s="1"/>
    </row>
    <row r="26">
      <c r="A26" s="1"/>
      <c r="B26" s="44">
        <v>4.0</v>
      </c>
      <c r="C26" s="45" t="s">
        <v>81</v>
      </c>
      <c r="D26" s="46">
        <v>-9000.0</v>
      </c>
      <c r="E26" s="47"/>
      <c r="F26" s="1"/>
      <c r="G26" s="1"/>
      <c r="H26" s="1"/>
      <c r="I26" s="1"/>
      <c r="J26" s="1"/>
      <c r="K26" s="1"/>
      <c r="L26" s="1"/>
      <c r="M26" s="1"/>
      <c r="N26" s="52" t="s">
        <v>79</v>
      </c>
      <c r="O26" s="49" t="s">
        <v>33</v>
      </c>
      <c r="P26" s="1"/>
      <c r="Q26" s="1"/>
      <c r="R26" s="1"/>
    </row>
    <row r="27">
      <c r="A27" s="1"/>
      <c r="B27" s="39"/>
      <c r="C27" s="40" t="s">
        <v>74</v>
      </c>
      <c r="D27" s="50">
        <v>-35000.0</v>
      </c>
      <c r="E27" s="42"/>
      <c r="F27" s="1"/>
      <c r="G27" s="1"/>
      <c r="H27" s="1"/>
      <c r="I27" s="1"/>
      <c r="J27" s="1"/>
      <c r="K27" s="1"/>
      <c r="L27" s="1"/>
      <c r="M27" s="1"/>
      <c r="N27" s="54"/>
      <c r="O27" s="1"/>
      <c r="P27" s="1"/>
      <c r="Q27" s="1"/>
      <c r="R27" s="1"/>
    </row>
    <row r="28">
      <c r="A28" s="1"/>
      <c r="B28" s="44"/>
      <c r="C28" s="45" t="s">
        <v>185</v>
      </c>
      <c r="D28" s="46">
        <v>-75000.0</v>
      </c>
      <c r="E28" s="42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9"/>
      <c r="C29" s="53"/>
      <c r="D29" s="41"/>
      <c r="E29" s="42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4"/>
      <c r="C30" s="55"/>
      <c r="D30" s="56"/>
      <c r="E30" s="42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9"/>
      <c r="C31" s="53"/>
      <c r="D31" s="41"/>
      <c r="E31" s="42"/>
      <c r="F31" s="64">
        <f>SUM(D24:D28)</f>
        <v>-302000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4"/>
      <c r="C32" s="55"/>
      <c r="D32" s="56"/>
      <c r="E32" s="4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7"/>
      <c r="C33" s="58"/>
      <c r="D33" s="59"/>
      <c r="E33" s="4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0">
        <f>SUM(D23:D33)</f>
        <v>1598000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"-,JIJANG,ADDEL,PENTIL,FAHME,INDAH"</formula1>
    </dataValidation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  <dataValidation type="list" allowBlank="1" showDropDown="1" showErrorMessage="1" sqref="M4:M18 O25:O26">
      <formula1>"-,VERO,FADEL,PENTIL,HANIF ,ADIF"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253</v>
      </c>
      <c r="D4" s="16" t="s">
        <v>22</v>
      </c>
      <c r="E4" s="17"/>
      <c r="F4" s="18">
        <v>46071.0</v>
      </c>
      <c r="G4" s="19"/>
      <c r="H4" s="21">
        <v>250000.0</v>
      </c>
      <c r="I4" s="22" t="s">
        <v>26</v>
      </c>
      <c r="J4" s="22" t="s">
        <v>28</v>
      </c>
      <c r="K4" s="22" t="s">
        <v>29</v>
      </c>
      <c r="L4" s="22" t="s">
        <v>30</v>
      </c>
      <c r="M4" s="22" t="s">
        <v>85</v>
      </c>
      <c r="N4" s="23"/>
      <c r="O4" s="23"/>
      <c r="P4" s="24">
        <v>45231.0</v>
      </c>
      <c r="Q4" s="1"/>
      <c r="R4" s="1"/>
    </row>
    <row r="5">
      <c r="A5" s="1"/>
      <c r="B5" s="14">
        <v>2.0</v>
      </c>
      <c r="C5" s="15" t="s">
        <v>255</v>
      </c>
      <c r="D5" s="16" t="s">
        <v>136</v>
      </c>
      <c r="E5" s="17"/>
      <c r="F5" s="18">
        <v>46071.0</v>
      </c>
      <c r="G5" s="19"/>
      <c r="H5" s="21">
        <v>100000.0</v>
      </c>
      <c r="I5" s="22" t="s">
        <v>26</v>
      </c>
      <c r="J5" s="22"/>
      <c r="K5" s="22"/>
      <c r="L5" s="22" t="s">
        <v>30</v>
      </c>
      <c r="M5" s="22"/>
      <c r="N5" s="25"/>
      <c r="O5" s="25"/>
      <c r="P5" s="26"/>
      <c r="Q5" s="1"/>
      <c r="R5" s="1"/>
    </row>
    <row r="6">
      <c r="A6" s="1"/>
      <c r="B6" s="14">
        <v>3.0</v>
      </c>
      <c r="C6" s="15" t="s">
        <v>256</v>
      </c>
      <c r="D6" s="16" t="s">
        <v>21</v>
      </c>
      <c r="E6" s="17"/>
      <c r="F6" s="20">
        <v>46112.0</v>
      </c>
      <c r="G6" s="28"/>
      <c r="H6" s="21">
        <v>100000.0</v>
      </c>
      <c r="I6" s="22" t="s">
        <v>25</v>
      </c>
      <c r="J6" s="22"/>
      <c r="K6" s="22"/>
      <c r="L6" s="22" t="s">
        <v>30</v>
      </c>
      <c r="M6" s="29"/>
      <c r="N6" s="25"/>
      <c r="O6" s="25"/>
      <c r="P6" s="26"/>
      <c r="Q6" s="1"/>
      <c r="R6" s="1"/>
    </row>
    <row r="7">
      <c r="A7" s="1"/>
      <c r="B7" s="14">
        <v>4.0</v>
      </c>
      <c r="C7" s="15" t="s">
        <v>255</v>
      </c>
      <c r="D7" s="16" t="s">
        <v>136</v>
      </c>
      <c r="E7" s="17"/>
      <c r="F7" s="20">
        <v>46071.0</v>
      </c>
      <c r="G7" s="19">
        <v>0.0</v>
      </c>
      <c r="H7" s="21">
        <v>0.0</v>
      </c>
      <c r="I7" s="22" t="s">
        <v>26</v>
      </c>
      <c r="J7" s="22" t="s">
        <v>28</v>
      </c>
      <c r="K7" s="22" t="s">
        <v>28</v>
      </c>
      <c r="L7" s="22" t="s">
        <v>30</v>
      </c>
      <c r="M7" s="22" t="s">
        <v>85</v>
      </c>
      <c r="N7" s="25"/>
      <c r="O7" s="25"/>
      <c r="P7" s="26"/>
      <c r="Q7" s="1"/>
      <c r="R7" s="1"/>
    </row>
    <row r="8">
      <c r="A8" s="1"/>
      <c r="B8" s="14">
        <v>5.0</v>
      </c>
      <c r="C8" s="15" t="s">
        <v>257</v>
      </c>
      <c r="D8" s="16" t="s">
        <v>22</v>
      </c>
      <c r="E8" s="17"/>
      <c r="F8" s="20">
        <v>46074.0</v>
      </c>
      <c r="G8" s="19"/>
      <c r="H8" s="21">
        <v>100000.0</v>
      </c>
      <c r="I8" s="22" t="s">
        <v>25</v>
      </c>
      <c r="J8" s="22"/>
      <c r="K8" s="22"/>
      <c r="L8" s="22" t="s">
        <v>30</v>
      </c>
      <c r="M8" s="29"/>
      <c r="N8" s="25"/>
      <c r="O8" s="26"/>
      <c r="P8" s="26"/>
      <c r="Q8" s="1"/>
      <c r="R8" s="1"/>
    </row>
    <row r="9">
      <c r="A9" s="1"/>
      <c r="B9" s="14">
        <v>6.0</v>
      </c>
      <c r="C9" s="15" t="s">
        <v>258</v>
      </c>
      <c r="D9" s="16" t="s">
        <v>36</v>
      </c>
      <c r="E9" s="17"/>
      <c r="F9" s="20">
        <v>46075.0</v>
      </c>
      <c r="G9" s="19"/>
      <c r="H9" s="21">
        <v>100000.0</v>
      </c>
      <c r="I9" s="22" t="s">
        <v>25</v>
      </c>
      <c r="J9" s="22"/>
      <c r="K9" s="22"/>
      <c r="L9" s="22" t="s">
        <v>30</v>
      </c>
      <c r="M9" s="29"/>
      <c r="N9" s="25"/>
      <c r="O9" s="26"/>
      <c r="P9" s="26"/>
      <c r="Q9" s="1"/>
      <c r="R9" s="1"/>
    </row>
    <row r="10">
      <c r="A10" s="1"/>
      <c r="B10" s="14">
        <v>7.0</v>
      </c>
      <c r="C10" s="15" t="s">
        <v>235</v>
      </c>
      <c r="D10" s="16" t="s">
        <v>36</v>
      </c>
      <c r="E10" s="17"/>
      <c r="F10" s="20">
        <v>46071.0</v>
      </c>
      <c r="G10" s="19"/>
      <c r="H10" s="21">
        <v>150000.0</v>
      </c>
      <c r="I10" s="22" t="s">
        <v>26</v>
      </c>
      <c r="J10" s="22" t="s">
        <v>28</v>
      </c>
      <c r="K10" s="22" t="s">
        <v>29</v>
      </c>
      <c r="L10" s="22" t="s">
        <v>30</v>
      </c>
      <c r="M10" s="22" t="s">
        <v>85</v>
      </c>
      <c r="N10" s="25"/>
      <c r="O10" s="26"/>
      <c r="P10" s="26"/>
      <c r="Q10" s="1"/>
      <c r="R10" s="1"/>
    </row>
    <row r="11">
      <c r="A11" s="1"/>
      <c r="B11" s="14">
        <v>8.0</v>
      </c>
      <c r="C11" s="15"/>
      <c r="D11" s="16"/>
      <c r="E11" s="17"/>
      <c r="F11" s="30"/>
      <c r="G11" s="19"/>
      <c r="H11" s="31"/>
      <c r="I11" s="22"/>
      <c r="J11" s="22"/>
      <c r="K11" s="22"/>
      <c r="L11" s="29"/>
      <c r="M11" s="29"/>
      <c r="N11" s="25"/>
      <c r="O11" s="26"/>
      <c r="P11" s="26"/>
      <c r="Q11" s="1"/>
      <c r="R11" s="1"/>
    </row>
    <row r="12">
      <c r="A12" s="1"/>
      <c r="B12" s="14">
        <v>9.0</v>
      </c>
      <c r="C12" s="15"/>
      <c r="D12" s="16"/>
      <c r="E12" s="17"/>
      <c r="F12" s="30"/>
      <c r="G12" s="19"/>
      <c r="H12" s="31"/>
      <c r="I12" s="22"/>
      <c r="J12" s="22"/>
      <c r="K12" s="22"/>
      <c r="L12" s="29"/>
      <c r="M12" s="29"/>
      <c r="N12" s="25"/>
      <c r="O12" s="26"/>
      <c r="P12" s="26"/>
      <c r="Q12" s="1"/>
      <c r="R12" s="1"/>
    </row>
    <row r="13">
      <c r="A13" s="1"/>
      <c r="B13" s="14">
        <v>10.0</v>
      </c>
      <c r="C13" s="15"/>
      <c r="D13" s="16"/>
      <c r="E13" s="17"/>
      <c r="F13" s="30"/>
      <c r="G13" s="19"/>
      <c r="H13" s="31"/>
      <c r="I13" s="22"/>
      <c r="J13" s="22"/>
      <c r="K13" s="22"/>
      <c r="L13" s="29"/>
      <c r="M13" s="29"/>
      <c r="N13" s="25"/>
      <c r="O13" s="26"/>
      <c r="P13" s="26"/>
      <c r="Q13" s="1"/>
      <c r="R13" s="1"/>
    </row>
    <row r="14">
      <c r="A14" s="1"/>
      <c r="B14" s="30"/>
      <c r="C14" s="15"/>
      <c r="D14" s="16"/>
      <c r="E14" s="17"/>
      <c r="F14" s="30"/>
      <c r="G14" s="19"/>
      <c r="H14" s="31"/>
      <c r="I14" s="22"/>
      <c r="J14" s="22"/>
      <c r="K14" s="22"/>
      <c r="L14" s="29"/>
      <c r="M14" s="29"/>
      <c r="N14" s="25"/>
      <c r="O14" s="26"/>
      <c r="P14" s="26"/>
      <c r="Q14" s="1"/>
      <c r="R14" s="1"/>
    </row>
    <row r="15">
      <c r="A15" s="1"/>
      <c r="B15" s="30"/>
      <c r="C15" s="15"/>
      <c r="D15" s="16"/>
      <c r="E15" s="17"/>
      <c r="F15" s="30"/>
      <c r="G15" s="19"/>
      <c r="H15" s="31"/>
      <c r="I15" s="22"/>
      <c r="J15" s="22"/>
      <c r="K15" s="22"/>
      <c r="L15" s="29"/>
      <c r="M15" s="29"/>
      <c r="N15" s="25"/>
      <c r="O15" s="26"/>
      <c r="P15" s="26"/>
      <c r="Q15" s="1"/>
      <c r="R15" s="1"/>
    </row>
    <row r="16">
      <c r="A16" s="1"/>
      <c r="B16" s="30"/>
      <c r="C16" s="15"/>
      <c r="D16" s="16"/>
      <c r="E16" s="17"/>
      <c r="F16" s="30"/>
      <c r="G16" s="19"/>
      <c r="H16" s="31"/>
      <c r="I16" s="22"/>
      <c r="J16" s="22"/>
      <c r="K16" s="22"/>
      <c r="L16" s="29"/>
      <c r="M16" s="29"/>
      <c r="N16" s="25"/>
      <c r="O16" s="26"/>
      <c r="P16" s="26"/>
      <c r="Q16" s="1"/>
      <c r="R16" s="1"/>
    </row>
    <row r="17">
      <c r="A17" s="1"/>
      <c r="B17" s="30"/>
      <c r="C17" s="15"/>
      <c r="D17" s="16"/>
      <c r="E17" s="17"/>
      <c r="F17" s="30"/>
      <c r="G17" s="19"/>
      <c r="H17" s="31"/>
      <c r="I17" s="22"/>
      <c r="J17" s="22"/>
      <c r="K17" s="22"/>
      <c r="L17" s="29"/>
      <c r="M17" s="29"/>
      <c r="N17" s="25"/>
      <c r="O17" s="26"/>
      <c r="P17" s="26"/>
      <c r="Q17" s="1"/>
      <c r="R17" s="1"/>
    </row>
    <row r="18">
      <c r="A18" s="1"/>
      <c r="B18" s="30"/>
      <c r="C18" s="32"/>
      <c r="D18" s="16"/>
      <c r="E18" s="17"/>
      <c r="F18" s="30"/>
      <c r="G18" s="28"/>
      <c r="H18" s="31"/>
      <c r="I18" s="29"/>
      <c r="J18" s="29"/>
      <c r="K18" s="29"/>
      <c r="L18" s="29"/>
      <c r="M18" s="29"/>
      <c r="N18" s="33"/>
      <c r="O18" s="33"/>
      <c r="P18" s="33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4">
        <f t="shared" ref="G19:H19" si="1">SUM(G4:G18)</f>
        <v>0</v>
      </c>
      <c r="H19" s="35">
        <f t="shared" si="1"/>
        <v>800000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6" t="s">
        <v>0</v>
      </c>
      <c r="C22" s="37" t="s">
        <v>6</v>
      </c>
      <c r="D22" s="37" t="s">
        <v>70</v>
      </c>
      <c r="E22" s="38"/>
      <c r="F22" s="1"/>
      <c r="G22" s="1"/>
      <c r="H22" s="1"/>
      <c r="I22" s="1"/>
      <c r="J22" s="1"/>
      <c r="K22" s="1"/>
      <c r="L22" s="1"/>
      <c r="M22" s="1"/>
      <c r="N22" s="37" t="s">
        <v>71</v>
      </c>
      <c r="O22" s="37" t="s">
        <v>1</v>
      </c>
      <c r="P22" s="1"/>
      <c r="Q22" s="1"/>
      <c r="R22" s="1"/>
    </row>
    <row r="23">
      <c r="A23" s="1"/>
      <c r="B23" s="39">
        <v>1.0</v>
      </c>
      <c r="C23" s="40" t="s">
        <v>72</v>
      </c>
      <c r="D23" s="41">
        <f>SUM(G19)</f>
        <v>0</v>
      </c>
      <c r="E23" s="42"/>
      <c r="F23" s="1"/>
      <c r="G23" s="1"/>
      <c r="H23" s="1"/>
      <c r="I23" s="1"/>
      <c r="J23" s="1"/>
      <c r="K23" s="1"/>
      <c r="L23" s="1"/>
      <c r="M23" s="1"/>
      <c r="N23" s="43" t="s">
        <v>73</v>
      </c>
      <c r="O23" s="23" t="s">
        <v>30</v>
      </c>
      <c r="P23" s="1"/>
      <c r="Q23" s="1"/>
      <c r="R23" s="1"/>
    </row>
    <row r="24">
      <c r="A24" s="1"/>
      <c r="B24" s="44">
        <v>2.0</v>
      </c>
      <c r="C24" s="45"/>
      <c r="D24" s="46"/>
      <c r="E24" s="47"/>
      <c r="F24" s="1"/>
      <c r="G24" s="1"/>
      <c r="H24" s="1"/>
      <c r="I24" s="1"/>
      <c r="J24" s="1"/>
      <c r="K24" s="1"/>
      <c r="L24" s="1"/>
      <c r="M24" s="1"/>
      <c r="N24" s="48" t="s">
        <v>75</v>
      </c>
      <c r="O24" s="49" t="s">
        <v>30</v>
      </c>
      <c r="P24" s="1"/>
      <c r="Q24" s="1"/>
      <c r="R24" s="1"/>
    </row>
    <row r="25">
      <c r="A25" s="1"/>
      <c r="B25" s="39">
        <v>3.0</v>
      </c>
      <c r="C25" s="40"/>
      <c r="D25" s="50"/>
      <c r="E25" s="47"/>
      <c r="F25" s="1"/>
      <c r="G25" s="1"/>
      <c r="H25" s="1"/>
      <c r="I25" s="1"/>
      <c r="J25" s="1"/>
      <c r="K25" s="1"/>
      <c r="L25" s="1"/>
      <c r="M25" s="1"/>
      <c r="N25" s="51" t="s">
        <v>77</v>
      </c>
      <c r="O25" s="25" t="s">
        <v>85</v>
      </c>
      <c r="P25" s="1"/>
      <c r="Q25" s="1"/>
      <c r="R25" s="1"/>
    </row>
    <row r="26">
      <c r="A26" s="1"/>
      <c r="B26" s="44">
        <v>4.0</v>
      </c>
      <c r="C26" s="45"/>
      <c r="D26" s="46"/>
      <c r="E26" s="47"/>
      <c r="F26" s="1"/>
      <c r="G26" s="1"/>
      <c r="H26" s="1"/>
      <c r="I26" s="1"/>
      <c r="J26" s="1"/>
      <c r="K26" s="1"/>
      <c r="L26" s="1"/>
      <c r="M26" s="1"/>
      <c r="N26" s="52" t="s">
        <v>79</v>
      </c>
      <c r="O26" s="49" t="s">
        <v>85</v>
      </c>
      <c r="P26" s="1"/>
      <c r="Q26" s="1"/>
      <c r="R26" s="1"/>
    </row>
    <row r="27">
      <c r="A27" s="1"/>
      <c r="B27" s="39"/>
      <c r="C27" s="53"/>
      <c r="D27" s="41"/>
      <c r="E27" s="42"/>
      <c r="F27" s="1"/>
      <c r="G27" s="1"/>
      <c r="H27" s="1"/>
      <c r="I27" s="1"/>
      <c r="J27" s="1"/>
      <c r="K27" s="1"/>
      <c r="L27" s="1"/>
      <c r="M27" s="1"/>
      <c r="N27" s="54"/>
      <c r="O27" s="1"/>
      <c r="P27" s="1"/>
      <c r="Q27" s="1"/>
      <c r="R27" s="1"/>
    </row>
    <row r="28">
      <c r="A28" s="1"/>
      <c r="B28" s="44"/>
      <c r="C28" s="55"/>
      <c r="D28" s="56"/>
      <c r="E28" s="42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9"/>
      <c r="C29" s="53"/>
      <c r="D29" s="41"/>
      <c r="E29" s="42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4"/>
      <c r="C30" s="55"/>
      <c r="D30" s="56"/>
      <c r="E30" s="42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9"/>
      <c r="C31" s="53"/>
      <c r="D31" s="41"/>
      <c r="E31" s="4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4"/>
      <c r="C32" s="55"/>
      <c r="D32" s="56"/>
      <c r="E32" s="4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7"/>
      <c r="C33" s="58"/>
      <c r="D33" s="59"/>
      <c r="E33" s="4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0">
        <f>SUM(D23:D33)</f>
        <v>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"-,JIJANG,AXEL,PENTIL,FAHME,INDAH"</formula1>
    </dataValidation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M4:M18 O25:O26">
      <formula1>"-,VERO,FADEL,PENTIL,FAHME,HANIF"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77">
        <v>1.0</v>
      </c>
      <c r="C4" s="78"/>
      <c r="D4" s="79"/>
      <c r="E4" s="17"/>
      <c r="F4" s="18">
        <v>45231.0</v>
      </c>
      <c r="G4" s="19"/>
      <c r="H4" s="21"/>
      <c r="I4" s="22"/>
      <c r="J4" s="22"/>
      <c r="K4" s="22"/>
      <c r="L4" s="22"/>
      <c r="M4" s="22"/>
      <c r="N4" s="23"/>
      <c r="O4" s="23"/>
      <c r="P4" s="24">
        <v>45231.0</v>
      </c>
      <c r="Q4" s="1"/>
      <c r="R4" s="1"/>
    </row>
    <row r="5">
      <c r="A5" s="1"/>
      <c r="B5" s="77">
        <v>2.0</v>
      </c>
      <c r="C5" s="78"/>
      <c r="D5" s="79"/>
      <c r="E5" s="17"/>
      <c r="F5" s="18"/>
      <c r="G5" s="19"/>
      <c r="H5" s="21"/>
      <c r="I5" s="22"/>
      <c r="J5" s="22"/>
      <c r="K5" s="22"/>
      <c r="L5" s="22"/>
      <c r="M5" s="22"/>
      <c r="N5" s="25"/>
      <c r="O5" s="25"/>
      <c r="P5" s="26"/>
      <c r="Q5" s="1"/>
      <c r="R5" s="1"/>
    </row>
    <row r="6">
      <c r="A6" s="1"/>
      <c r="B6" s="77">
        <v>3.0</v>
      </c>
      <c r="C6" s="78"/>
      <c r="D6" s="79"/>
      <c r="E6" s="17"/>
      <c r="F6" s="30"/>
      <c r="G6" s="28"/>
      <c r="H6" s="21"/>
      <c r="I6" s="22"/>
      <c r="J6" s="22"/>
      <c r="K6" s="22"/>
      <c r="L6" s="29"/>
      <c r="M6" s="29"/>
      <c r="N6" s="25"/>
      <c r="O6" s="25"/>
      <c r="P6" s="26"/>
      <c r="Q6" s="1"/>
      <c r="R6" s="1"/>
    </row>
    <row r="7">
      <c r="A7" s="1"/>
      <c r="B7" s="77">
        <v>4.0</v>
      </c>
      <c r="C7" s="78"/>
      <c r="D7" s="79"/>
      <c r="E7" s="17"/>
      <c r="F7" s="30"/>
      <c r="G7" s="19"/>
      <c r="H7" s="31"/>
      <c r="I7" s="22"/>
      <c r="J7" s="22"/>
      <c r="K7" s="22"/>
      <c r="L7" s="29"/>
      <c r="M7" s="29"/>
      <c r="N7" s="25"/>
      <c r="O7" s="25"/>
      <c r="P7" s="26"/>
      <c r="Q7" s="1"/>
      <c r="R7" s="1"/>
    </row>
    <row r="8">
      <c r="A8" s="1"/>
      <c r="B8" s="77">
        <v>5.0</v>
      </c>
      <c r="C8" s="78"/>
      <c r="D8" s="79"/>
      <c r="E8" s="17"/>
      <c r="F8" s="30"/>
      <c r="G8" s="19"/>
      <c r="H8" s="31"/>
      <c r="I8" s="22"/>
      <c r="J8" s="22"/>
      <c r="K8" s="22"/>
      <c r="L8" s="29"/>
      <c r="M8" s="29"/>
      <c r="N8" s="25"/>
      <c r="O8" s="26"/>
      <c r="P8" s="26"/>
      <c r="Q8" s="1"/>
      <c r="R8" s="1"/>
    </row>
    <row r="9">
      <c r="A9" s="1"/>
      <c r="B9" s="77">
        <v>6.0</v>
      </c>
      <c r="C9" s="78"/>
      <c r="D9" s="79"/>
      <c r="E9" s="17"/>
      <c r="F9" s="30"/>
      <c r="G9" s="19"/>
      <c r="H9" s="31"/>
      <c r="I9" s="22"/>
      <c r="J9" s="22"/>
      <c r="K9" s="22"/>
      <c r="L9" s="29"/>
      <c r="M9" s="29"/>
      <c r="N9" s="25"/>
      <c r="O9" s="26"/>
      <c r="P9" s="26"/>
      <c r="Q9" s="1"/>
      <c r="R9" s="1"/>
    </row>
    <row r="10">
      <c r="A10" s="1"/>
      <c r="B10" s="77">
        <v>7.0</v>
      </c>
      <c r="C10" s="78"/>
      <c r="D10" s="79"/>
      <c r="E10" s="17"/>
      <c r="F10" s="30"/>
      <c r="G10" s="19"/>
      <c r="H10" s="31"/>
      <c r="I10" s="22"/>
      <c r="J10" s="22"/>
      <c r="K10" s="22"/>
      <c r="L10" s="29"/>
      <c r="M10" s="29"/>
      <c r="N10" s="25"/>
      <c r="O10" s="26"/>
      <c r="P10" s="26"/>
      <c r="Q10" s="1"/>
      <c r="R10" s="1"/>
    </row>
    <row r="11">
      <c r="A11" s="1"/>
      <c r="B11" s="77">
        <v>8.0</v>
      </c>
      <c r="C11" s="78"/>
      <c r="D11" s="79"/>
      <c r="E11" s="17"/>
      <c r="F11" s="30"/>
      <c r="G11" s="19"/>
      <c r="H11" s="31"/>
      <c r="I11" s="22"/>
      <c r="J11" s="22"/>
      <c r="K11" s="22"/>
      <c r="L11" s="29"/>
      <c r="M11" s="29"/>
      <c r="N11" s="25"/>
      <c r="O11" s="26"/>
      <c r="P11" s="26"/>
      <c r="Q11" s="1"/>
      <c r="R11" s="1"/>
    </row>
    <row r="12">
      <c r="A12" s="1"/>
      <c r="B12" s="77">
        <v>9.0</v>
      </c>
      <c r="C12" s="78"/>
      <c r="D12" s="79"/>
      <c r="E12" s="17"/>
      <c r="F12" s="30"/>
      <c r="G12" s="19"/>
      <c r="H12" s="31"/>
      <c r="I12" s="22"/>
      <c r="J12" s="22"/>
      <c r="K12" s="22"/>
      <c r="L12" s="29"/>
      <c r="M12" s="29"/>
      <c r="N12" s="25"/>
      <c r="O12" s="26"/>
      <c r="P12" s="26"/>
      <c r="Q12" s="1"/>
      <c r="R12" s="1"/>
    </row>
    <row r="13">
      <c r="A13" s="1"/>
      <c r="B13" s="77">
        <v>10.0</v>
      </c>
      <c r="C13" s="78"/>
      <c r="D13" s="79"/>
      <c r="E13" s="17"/>
      <c r="F13" s="30"/>
      <c r="G13" s="19"/>
      <c r="H13" s="31"/>
      <c r="I13" s="22"/>
      <c r="J13" s="22"/>
      <c r="K13" s="22"/>
      <c r="L13" s="29"/>
      <c r="M13" s="29"/>
      <c r="N13" s="25"/>
      <c r="O13" s="26"/>
      <c r="P13" s="26"/>
      <c r="Q13" s="1"/>
      <c r="R13" s="1"/>
    </row>
    <row r="14">
      <c r="A14" s="1"/>
      <c r="B14" s="80"/>
      <c r="C14" s="78"/>
      <c r="D14" s="79"/>
      <c r="E14" s="17"/>
      <c r="F14" s="30"/>
      <c r="G14" s="19"/>
      <c r="H14" s="31"/>
      <c r="I14" s="22"/>
      <c r="J14" s="22"/>
      <c r="K14" s="22"/>
      <c r="L14" s="29"/>
      <c r="M14" s="29"/>
      <c r="N14" s="25"/>
      <c r="O14" s="26"/>
      <c r="P14" s="26"/>
      <c r="Q14" s="1"/>
      <c r="R14" s="1"/>
    </row>
    <row r="15">
      <c r="A15" s="1"/>
      <c r="B15" s="80"/>
      <c r="C15" s="78"/>
      <c r="D15" s="79"/>
      <c r="E15" s="17"/>
      <c r="F15" s="30"/>
      <c r="G15" s="19"/>
      <c r="H15" s="31"/>
      <c r="I15" s="22"/>
      <c r="J15" s="22"/>
      <c r="K15" s="22"/>
      <c r="L15" s="29"/>
      <c r="M15" s="29"/>
      <c r="N15" s="25"/>
      <c r="O15" s="26"/>
      <c r="P15" s="26"/>
      <c r="Q15" s="1"/>
      <c r="R15" s="1"/>
    </row>
    <row r="16">
      <c r="A16" s="1"/>
      <c r="B16" s="80"/>
      <c r="C16" s="78"/>
      <c r="D16" s="79"/>
      <c r="E16" s="17"/>
      <c r="F16" s="30"/>
      <c r="G16" s="19"/>
      <c r="H16" s="31"/>
      <c r="I16" s="22"/>
      <c r="J16" s="22"/>
      <c r="K16" s="22"/>
      <c r="L16" s="29"/>
      <c r="M16" s="29"/>
      <c r="N16" s="25"/>
      <c r="O16" s="26"/>
      <c r="P16" s="26"/>
      <c r="Q16" s="1"/>
      <c r="R16" s="1"/>
    </row>
    <row r="17">
      <c r="A17" s="1"/>
      <c r="B17" s="80"/>
      <c r="C17" s="78"/>
      <c r="D17" s="79"/>
      <c r="E17" s="17"/>
      <c r="F17" s="30"/>
      <c r="G17" s="19"/>
      <c r="H17" s="31"/>
      <c r="I17" s="22"/>
      <c r="J17" s="22"/>
      <c r="K17" s="22"/>
      <c r="L17" s="29"/>
      <c r="M17" s="29"/>
      <c r="N17" s="25"/>
      <c r="O17" s="26"/>
      <c r="P17" s="26"/>
      <c r="Q17" s="1"/>
      <c r="R17" s="1"/>
    </row>
    <row r="18">
      <c r="A18" s="1"/>
      <c r="B18" s="77">
        <v>11.0</v>
      </c>
      <c r="C18" s="78"/>
      <c r="D18" s="79"/>
      <c r="E18" s="17"/>
      <c r="F18" s="30"/>
      <c r="G18" s="28"/>
      <c r="H18" s="31"/>
      <c r="I18" s="29"/>
      <c r="J18" s="29"/>
      <c r="K18" s="29"/>
      <c r="L18" s="29"/>
      <c r="M18" s="29"/>
      <c r="N18" s="33"/>
      <c r="O18" s="33"/>
      <c r="P18" s="33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4">
        <f t="shared" ref="G19:H19" si="1">SUM(G4:G18)</f>
        <v>0</v>
      </c>
      <c r="H19" s="35">
        <f t="shared" si="1"/>
        <v>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6" t="s">
        <v>0</v>
      </c>
      <c r="C22" s="37" t="s">
        <v>6</v>
      </c>
      <c r="D22" s="37" t="s">
        <v>70</v>
      </c>
      <c r="E22" s="38"/>
      <c r="F22" s="1"/>
      <c r="G22" s="1"/>
      <c r="H22" s="1"/>
      <c r="I22" s="1"/>
      <c r="J22" s="1"/>
      <c r="K22" s="1"/>
      <c r="L22" s="1"/>
      <c r="M22" s="1"/>
      <c r="N22" s="37" t="s">
        <v>71</v>
      </c>
      <c r="O22" s="37" t="s">
        <v>1</v>
      </c>
      <c r="P22" s="1"/>
      <c r="Q22" s="1"/>
      <c r="R22" s="1"/>
    </row>
    <row r="23">
      <c r="A23" s="1"/>
      <c r="B23" s="39">
        <v>1.0</v>
      </c>
      <c r="C23" s="40" t="s">
        <v>72</v>
      </c>
      <c r="D23" s="41">
        <f>SUM(G19)</f>
        <v>0</v>
      </c>
      <c r="E23" s="42"/>
      <c r="F23" s="1"/>
      <c r="G23" s="1"/>
      <c r="H23" s="1"/>
      <c r="I23" s="1"/>
      <c r="J23" s="1"/>
      <c r="K23" s="1"/>
      <c r="L23" s="1"/>
      <c r="M23" s="1"/>
      <c r="N23" s="43" t="s">
        <v>73</v>
      </c>
      <c r="O23" s="23"/>
      <c r="P23" s="1"/>
      <c r="Q23" s="1"/>
      <c r="R23" s="1"/>
    </row>
    <row r="24">
      <c r="A24" s="1"/>
      <c r="B24" s="44">
        <v>2.0</v>
      </c>
      <c r="C24" s="45"/>
      <c r="D24" s="46"/>
      <c r="E24" s="47"/>
      <c r="F24" s="1"/>
      <c r="G24" s="1"/>
      <c r="H24" s="1"/>
      <c r="I24" s="1"/>
      <c r="J24" s="1"/>
      <c r="K24" s="1"/>
      <c r="L24" s="1"/>
      <c r="M24" s="1"/>
      <c r="N24" s="48" t="s">
        <v>75</v>
      </c>
      <c r="O24" s="49"/>
      <c r="P24" s="1"/>
      <c r="Q24" s="1"/>
      <c r="R24" s="1"/>
    </row>
    <row r="25">
      <c r="A25" s="1"/>
      <c r="B25" s="39">
        <v>3.0</v>
      </c>
      <c r="C25" s="40"/>
      <c r="D25" s="50"/>
      <c r="E25" s="47"/>
      <c r="F25" s="1"/>
      <c r="G25" s="1"/>
      <c r="H25" s="1"/>
      <c r="I25" s="1"/>
      <c r="J25" s="1"/>
      <c r="K25" s="1"/>
      <c r="L25" s="1"/>
      <c r="M25" s="1"/>
      <c r="N25" s="51" t="s">
        <v>77</v>
      </c>
      <c r="O25" s="25"/>
      <c r="P25" s="1"/>
      <c r="Q25" s="1"/>
      <c r="R25" s="1"/>
    </row>
    <row r="26">
      <c r="A26" s="1"/>
      <c r="B26" s="44">
        <v>4.0</v>
      </c>
      <c r="C26" s="45"/>
      <c r="D26" s="46"/>
      <c r="E26" s="47"/>
      <c r="F26" s="1"/>
      <c r="G26" s="1"/>
      <c r="H26" s="1"/>
      <c r="I26" s="1"/>
      <c r="J26" s="1"/>
      <c r="K26" s="1"/>
      <c r="L26" s="1"/>
      <c r="M26" s="1"/>
      <c r="N26" s="52" t="s">
        <v>79</v>
      </c>
      <c r="O26" s="49"/>
      <c r="P26" s="1"/>
      <c r="Q26" s="1"/>
      <c r="R26" s="1"/>
    </row>
    <row r="27">
      <c r="A27" s="1"/>
      <c r="B27" s="39"/>
      <c r="C27" s="53"/>
      <c r="D27" s="41"/>
      <c r="E27" s="42"/>
      <c r="F27" s="1"/>
      <c r="G27" s="1"/>
      <c r="H27" s="1"/>
      <c r="I27" s="1"/>
      <c r="J27" s="1"/>
      <c r="K27" s="1"/>
      <c r="L27" s="1"/>
      <c r="M27" s="1"/>
      <c r="N27" s="54"/>
      <c r="O27" s="1"/>
      <c r="P27" s="1"/>
      <c r="Q27" s="1"/>
      <c r="R27" s="1"/>
    </row>
    <row r="28">
      <c r="A28" s="1"/>
      <c r="B28" s="44"/>
      <c r="C28" s="55"/>
      <c r="D28" s="56"/>
      <c r="E28" s="42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9"/>
      <c r="C29" s="53"/>
      <c r="D29" s="41"/>
      <c r="E29" s="42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4"/>
      <c r="C30" s="55"/>
      <c r="D30" s="56"/>
      <c r="E30" s="42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9"/>
      <c r="C31" s="53"/>
      <c r="D31" s="41"/>
      <c r="E31" s="4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4"/>
      <c r="C32" s="55"/>
      <c r="D32" s="56"/>
      <c r="E32" s="4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7"/>
      <c r="C33" s="58"/>
      <c r="D33" s="59"/>
      <c r="E33" s="4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0">
        <f>SUM(D23:D33)</f>
        <v>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M4:M18 O25:O26">
      <formula1>"-,VERO,FADEL,PENTIL,FAHME"</formula1>
    </dataValidation>
    <dataValidation type="list" allowBlank="1" showDropDown="1" showErrorMessage="1" sqref="L4:L18 O23:O24">
      <formula1>"-,JIJANG,AXEL,PENTIL,FAHME"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28.25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259</v>
      </c>
      <c r="D4" s="16" t="s">
        <v>36</v>
      </c>
      <c r="E4" s="17"/>
      <c r="F4" s="18">
        <v>46074.0</v>
      </c>
      <c r="G4" s="19"/>
      <c r="H4" s="21">
        <v>100000.0</v>
      </c>
      <c r="I4" s="22" t="s">
        <v>25</v>
      </c>
      <c r="J4" s="22"/>
      <c r="K4" s="22"/>
      <c r="L4" s="22" t="s">
        <v>31</v>
      </c>
      <c r="M4" s="22"/>
      <c r="N4" s="23"/>
      <c r="O4" s="23"/>
      <c r="P4" s="24">
        <v>45231.0</v>
      </c>
      <c r="Q4" s="1"/>
      <c r="R4" s="1"/>
    </row>
    <row r="5">
      <c r="A5" s="1"/>
      <c r="B5" s="14">
        <v>2.0</v>
      </c>
      <c r="C5" s="15" t="s">
        <v>260</v>
      </c>
      <c r="D5" s="16" t="s">
        <v>22</v>
      </c>
      <c r="E5" s="17"/>
      <c r="F5" s="18">
        <v>46075.0</v>
      </c>
      <c r="G5" s="19"/>
      <c r="H5" s="21">
        <v>100000.0</v>
      </c>
      <c r="I5" s="22" t="s">
        <v>25</v>
      </c>
      <c r="J5" s="22"/>
      <c r="K5" s="22"/>
      <c r="L5" s="22" t="s">
        <v>31</v>
      </c>
      <c r="M5" s="22"/>
      <c r="N5" s="25"/>
      <c r="O5" s="25"/>
      <c r="P5" s="26"/>
      <c r="Q5" s="1"/>
      <c r="R5" s="1"/>
    </row>
    <row r="6">
      <c r="A6" s="1"/>
      <c r="B6" s="14">
        <v>3.0</v>
      </c>
      <c r="C6" s="15" t="s">
        <v>129</v>
      </c>
      <c r="D6" s="16" t="s">
        <v>136</v>
      </c>
      <c r="E6" s="17" t="s">
        <v>170</v>
      </c>
      <c r="F6" s="27">
        <v>46073.0</v>
      </c>
      <c r="G6" s="28"/>
      <c r="H6" s="21">
        <v>120000.0</v>
      </c>
      <c r="I6" s="22" t="s">
        <v>26</v>
      </c>
      <c r="J6" s="22" t="s">
        <v>28</v>
      </c>
      <c r="K6" s="22" t="s">
        <v>145</v>
      </c>
      <c r="L6" s="22" t="s">
        <v>31</v>
      </c>
      <c r="M6" s="22" t="s">
        <v>44</v>
      </c>
      <c r="N6" s="25"/>
      <c r="O6" s="25"/>
      <c r="P6" s="26"/>
      <c r="Q6" s="1"/>
      <c r="R6" s="1"/>
    </row>
    <row r="7">
      <c r="A7" s="1"/>
      <c r="B7" s="14">
        <v>4.0</v>
      </c>
      <c r="C7" s="15" t="s">
        <v>261</v>
      </c>
      <c r="D7" s="16" t="s">
        <v>36</v>
      </c>
      <c r="E7" s="17"/>
      <c r="F7" s="27">
        <v>46075.0</v>
      </c>
      <c r="G7" s="19"/>
      <c r="H7" s="21">
        <v>100000.0</v>
      </c>
      <c r="I7" s="22" t="s">
        <v>25</v>
      </c>
      <c r="J7" s="22"/>
      <c r="K7" s="22"/>
      <c r="L7" s="22" t="s">
        <v>31</v>
      </c>
      <c r="M7" s="29"/>
      <c r="N7" s="25"/>
      <c r="O7" s="25"/>
      <c r="P7" s="26"/>
      <c r="Q7" s="1"/>
      <c r="R7" s="1"/>
    </row>
    <row r="8">
      <c r="A8" s="1"/>
      <c r="B8" s="14">
        <v>5.0</v>
      </c>
      <c r="C8" s="15" t="s">
        <v>262</v>
      </c>
      <c r="D8" s="16" t="s">
        <v>36</v>
      </c>
      <c r="E8" s="17"/>
      <c r="F8" s="27">
        <v>46076.0</v>
      </c>
      <c r="G8" s="19"/>
      <c r="H8" s="21">
        <v>100000.0</v>
      </c>
      <c r="I8" s="22" t="s">
        <v>25</v>
      </c>
      <c r="J8" s="22"/>
      <c r="K8" s="22"/>
      <c r="L8" s="22" t="s">
        <v>31</v>
      </c>
      <c r="M8" s="29"/>
      <c r="N8" s="25"/>
      <c r="O8" s="26"/>
      <c r="P8" s="26"/>
      <c r="Q8" s="1"/>
      <c r="R8" s="1"/>
    </row>
    <row r="9">
      <c r="A9" s="1"/>
      <c r="B9" s="14">
        <v>6.0</v>
      </c>
      <c r="C9" s="15" t="s">
        <v>263</v>
      </c>
      <c r="D9" s="16" t="s">
        <v>136</v>
      </c>
      <c r="E9" s="17"/>
      <c r="F9" s="27">
        <v>46073.0</v>
      </c>
      <c r="G9" s="19"/>
      <c r="H9" s="21">
        <v>90000.0</v>
      </c>
      <c r="I9" s="22" t="s">
        <v>26</v>
      </c>
      <c r="J9" s="22" t="s">
        <v>28</v>
      </c>
      <c r="K9" s="22" t="s">
        <v>145</v>
      </c>
      <c r="L9" s="22" t="s">
        <v>31</v>
      </c>
      <c r="M9" s="22" t="s">
        <v>44</v>
      </c>
      <c r="N9" s="25"/>
      <c r="O9" s="26"/>
      <c r="P9" s="26"/>
      <c r="Q9" s="1"/>
      <c r="R9" s="1"/>
    </row>
    <row r="10">
      <c r="A10" s="1"/>
      <c r="B10" s="14">
        <v>7.0</v>
      </c>
      <c r="C10" s="15" t="s">
        <v>63</v>
      </c>
      <c r="D10" s="16" t="s">
        <v>36</v>
      </c>
      <c r="E10" s="17"/>
      <c r="F10" s="27">
        <v>46073.0</v>
      </c>
      <c r="G10" s="19"/>
      <c r="H10" s="21">
        <v>147500.0</v>
      </c>
      <c r="I10" s="22" t="s">
        <v>26</v>
      </c>
      <c r="J10" s="22" t="s">
        <v>28</v>
      </c>
      <c r="K10" s="22" t="s">
        <v>28</v>
      </c>
      <c r="L10" s="22" t="s">
        <v>31</v>
      </c>
      <c r="M10" s="22" t="s">
        <v>55</v>
      </c>
      <c r="N10" s="25"/>
      <c r="O10" s="26"/>
      <c r="P10" s="26"/>
      <c r="Q10" s="1"/>
      <c r="R10" s="1"/>
    </row>
    <row r="11">
      <c r="A11" s="1"/>
      <c r="B11" s="14">
        <v>8.0</v>
      </c>
      <c r="C11" s="15" t="s">
        <v>265</v>
      </c>
      <c r="D11" s="16" t="s">
        <v>36</v>
      </c>
      <c r="E11" s="17"/>
      <c r="F11" s="27">
        <v>46073.0</v>
      </c>
      <c r="G11" s="19"/>
      <c r="H11" s="21">
        <v>150000.0</v>
      </c>
      <c r="I11" s="22" t="s">
        <v>26</v>
      </c>
      <c r="J11" s="22" t="s">
        <v>28</v>
      </c>
      <c r="K11" s="22" t="s">
        <v>28</v>
      </c>
      <c r="L11" s="22" t="s">
        <v>31</v>
      </c>
      <c r="M11" s="22" t="s">
        <v>55</v>
      </c>
      <c r="N11" s="25"/>
      <c r="O11" s="26"/>
      <c r="P11" s="26"/>
      <c r="Q11" s="1"/>
      <c r="R11" s="1"/>
    </row>
    <row r="12">
      <c r="A12" s="1"/>
      <c r="B12" s="14">
        <v>9.0</v>
      </c>
      <c r="C12" s="15"/>
      <c r="D12" s="16"/>
      <c r="E12" s="17"/>
      <c r="F12" s="30"/>
      <c r="G12" s="19"/>
      <c r="H12" s="31"/>
      <c r="I12" s="22"/>
      <c r="J12" s="22"/>
      <c r="K12" s="22"/>
      <c r="L12" s="29"/>
      <c r="M12" s="29"/>
      <c r="N12" s="25"/>
      <c r="O12" s="26"/>
      <c r="P12" s="26"/>
      <c r="Q12" s="1"/>
      <c r="R12" s="1"/>
    </row>
    <row r="13">
      <c r="A13" s="1"/>
      <c r="B13" s="14">
        <v>10.0</v>
      </c>
      <c r="C13" s="15"/>
      <c r="D13" s="16"/>
      <c r="E13" s="17"/>
      <c r="F13" s="30"/>
      <c r="G13" s="19"/>
      <c r="H13" s="31"/>
      <c r="I13" s="22"/>
      <c r="J13" s="22"/>
      <c r="K13" s="22"/>
      <c r="L13" s="29"/>
      <c r="M13" s="29"/>
      <c r="N13" s="25"/>
      <c r="O13" s="26"/>
      <c r="P13" s="26"/>
      <c r="Q13" s="1"/>
      <c r="R13" s="1"/>
    </row>
    <row r="14">
      <c r="A14" s="1"/>
      <c r="B14" s="30"/>
      <c r="C14" s="15"/>
      <c r="D14" s="16"/>
      <c r="E14" s="17"/>
      <c r="F14" s="30"/>
      <c r="G14" s="19"/>
      <c r="H14" s="31"/>
      <c r="I14" s="22"/>
      <c r="J14" s="22"/>
      <c r="K14" s="22"/>
      <c r="L14" s="29"/>
      <c r="M14" s="29"/>
      <c r="N14" s="25"/>
      <c r="O14" s="26"/>
      <c r="P14" s="26"/>
      <c r="Q14" s="1"/>
      <c r="R14" s="1"/>
    </row>
    <row r="15">
      <c r="A15" s="1"/>
      <c r="B15" s="30"/>
      <c r="C15" s="15"/>
      <c r="D15" s="16"/>
      <c r="E15" s="17"/>
      <c r="F15" s="30"/>
      <c r="G15" s="19"/>
      <c r="H15" s="31"/>
      <c r="I15" s="22"/>
      <c r="J15" s="22"/>
      <c r="K15" s="22"/>
      <c r="L15" s="29"/>
      <c r="M15" s="29"/>
      <c r="N15" s="25"/>
      <c r="O15" s="26"/>
      <c r="P15" s="26"/>
      <c r="Q15" s="1"/>
      <c r="R15" s="1"/>
    </row>
    <row r="16">
      <c r="A16" s="1"/>
      <c r="B16" s="30"/>
      <c r="C16" s="15"/>
      <c r="D16" s="16"/>
      <c r="E16" s="17"/>
      <c r="F16" s="30"/>
      <c r="G16" s="19"/>
      <c r="H16" s="31"/>
      <c r="I16" s="22"/>
      <c r="J16" s="22"/>
      <c r="K16" s="22"/>
      <c r="L16" s="29"/>
      <c r="M16" s="29"/>
      <c r="N16" s="25"/>
      <c r="O16" s="26"/>
      <c r="P16" s="26"/>
      <c r="Q16" s="1"/>
      <c r="R16" s="1"/>
    </row>
    <row r="17">
      <c r="A17" s="1"/>
      <c r="B17" s="30"/>
      <c r="C17" s="15"/>
      <c r="D17" s="16"/>
      <c r="E17" s="17"/>
      <c r="F17" s="30"/>
      <c r="G17" s="19"/>
      <c r="H17" s="31"/>
      <c r="I17" s="22"/>
      <c r="J17" s="22"/>
      <c r="K17" s="22"/>
      <c r="L17" s="29"/>
      <c r="M17" s="29"/>
      <c r="N17" s="25"/>
      <c r="O17" s="26"/>
      <c r="P17" s="26"/>
      <c r="Q17" s="1"/>
      <c r="R17" s="1"/>
    </row>
    <row r="18">
      <c r="A18" s="1"/>
      <c r="B18" s="30"/>
      <c r="C18" s="32"/>
      <c r="D18" s="16"/>
      <c r="E18" s="17"/>
      <c r="F18" s="30"/>
      <c r="G18" s="28"/>
      <c r="H18" s="31"/>
      <c r="I18" s="29"/>
      <c r="J18" s="29"/>
      <c r="K18" s="29"/>
      <c r="L18" s="29"/>
      <c r="M18" s="29"/>
      <c r="N18" s="33"/>
      <c r="O18" s="33"/>
      <c r="P18" s="33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4">
        <f t="shared" ref="G19:H19" si="1">SUM(G4:G18)</f>
        <v>0</v>
      </c>
      <c r="H19" s="35">
        <f t="shared" si="1"/>
        <v>907500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6" t="s">
        <v>0</v>
      </c>
      <c r="C22" s="37" t="s">
        <v>6</v>
      </c>
      <c r="D22" s="37" t="s">
        <v>70</v>
      </c>
      <c r="E22" s="38"/>
      <c r="F22" s="1"/>
      <c r="G22" s="1"/>
      <c r="H22" s="1"/>
      <c r="I22" s="1"/>
      <c r="J22" s="1"/>
      <c r="K22" s="1"/>
      <c r="L22" s="1"/>
      <c r="M22" s="1"/>
      <c r="N22" s="37" t="s">
        <v>71</v>
      </c>
      <c r="O22" s="37" t="s">
        <v>1</v>
      </c>
      <c r="P22" s="1"/>
      <c r="Q22" s="1"/>
      <c r="R22" s="1"/>
    </row>
    <row r="23">
      <c r="A23" s="1"/>
      <c r="B23" s="39">
        <v>1.0</v>
      </c>
      <c r="C23" s="40" t="s">
        <v>72</v>
      </c>
      <c r="D23" s="41">
        <f>SUM(G19)</f>
        <v>0</v>
      </c>
      <c r="E23" s="42"/>
      <c r="F23" s="1"/>
      <c r="G23" s="1"/>
      <c r="H23" s="1"/>
      <c r="I23" s="1"/>
      <c r="J23" s="1"/>
      <c r="K23" s="1"/>
      <c r="L23" s="1"/>
      <c r="M23" s="1"/>
      <c r="N23" s="43" t="s">
        <v>73</v>
      </c>
      <c r="O23" s="23" t="s">
        <v>31</v>
      </c>
      <c r="P23" s="1"/>
      <c r="Q23" s="1"/>
      <c r="R23" s="1"/>
    </row>
    <row r="24">
      <c r="A24" s="1"/>
      <c r="B24" s="44">
        <v>2.0</v>
      </c>
      <c r="C24" s="45"/>
      <c r="D24" s="46"/>
      <c r="E24" s="47"/>
      <c r="F24" s="1"/>
      <c r="G24" s="1"/>
      <c r="H24" s="1"/>
      <c r="I24" s="1"/>
      <c r="J24" s="1"/>
      <c r="K24" s="1"/>
      <c r="L24" s="1"/>
      <c r="M24" s="1"/>
      <c r="N24" s="48" t="s">
        <v>75</v>
      </c>
      <c r="O24" s="49" t="s">
        <v>31</v>
      </c>
      <c r="P24" s="1"/>
      <c r="Q24" s="1"/>
      <c r="R24" s="1"/>
    </row>
    <row r="25">
      <c r="A25" s="1"/>
      <c r="B25" s="39">
        <v>3.0</v>
      </c>
      <c r="C25" s="40"/>
      <c r="D25" s="50"/>
      <c r="E25" s="47"/>
      <c r="F25" s="1"/>
      <c r="G25" s="1"/>
      <c r="H25" s="1"/>
      <c r="I25" s="1"/>
      <c r="J25" s="1"/>
      <c r="K25" s="1"/>
      <c r="L25" s="1"/>
      <c r="M25" s="1"/>
      <c r="N25" s="51" t="s">
        <v>77</v>
      </c>
      <c r="O25" s="25" t="s">
        <v>44</v>
      </c>
      <c r="P25" s="1"/>
      <c r="Q25" s="1"/>
      <c r="R25" s="1"/>
    </row>
    <row r="26">
      <c r="A26" s="1"/>
      <c r="B26" s="44">
        <v>4.0</v>
      </c>
      <c r="C26" s="45"/>
      <c r="D26" s="46"/>
      <c r="E26" s="47"/>
      <c r="F26" s="1"/>
      <c r="G26" s="1"/>
      <c r="H26" s="1"/>
      <c r="I26" s="1"/>
      <c r="J26" s="1"/>
      <c r="K26" s="1"/>
      <c r="L26" s="1"/>
      <c r="M26" s="1"/>
      <c r="N26" s="52" t="s">
        <v>79</v>
      </c>
      <c r="O26" s="49" t="s">
        <v>55</v>
      </c>
      <c r="P26" s="1"/>
      <c r="Q26" s="1"/>
      <c r="R26" s="1"/>
    </row>
    <row r="27">
      <c r="A27" s="1"/>
      <c r="B27" s="39"/>
      <c r="C27" s="53"/>
      <c r="D27" s="41"/>
      <c r="E27" s="42"/>
      <c r="F27" s="1"/>
      <c r="G27" s="1"/>
      <c r="H27" s="1"/>
      <c r="I27" s="1"/>
      <c r="J27" s="1"/>
      <c r="K27" s="1"/>
      <c r="L27" s="1"/>
      <c r="M27" s="1"/>
      <c r="N27" s="54"/>
      <c r="O27" s="1"/>
      <c r="P27" s="1"/>
      <c r="Q27" s="1"/>
      <c r="R27" s="1"/>
    </row>
    <row r="28">
      <c r="A28" s="1"/>
      <c r="B28" s="44"/>
      <c r="C28" s="55"/>
      <c r="D28" s="56"/>
      <c r="E28" s="42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9"/>
      <c r="C29" s="53"/>
      <c r="D29" s="41"/>
      <c r="E29" s="42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4"/>
      <c r="C30" s="55"/>
      <c r="D30" s="56"/>
      <c r="E30" s="42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9"/>
      <c r="C31" s="53"/>
      <c r="D31" s="41"/>
      <c r="E31" s="4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4"/>
      <c r="C32" s="55"/>
      <c r="D32" s="56"/>
      <c r="E32" s="4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7"/>
      <c r="C33" s="58"/>
      <c r="D33" s="59"/>
      <c r="E33" s="4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0">
        <f>SUM(D23:D33)</f>
        <v>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M4:M18 O25:O26">
      <formula1>"-,VERO,FADEL,PENTIL,ADIF ,HANIF "</formula1>
    </dataValidation>
    <dataValidation type="list" allowBlank="1" showDropDown="1" showErrorMessage="1" sqref="L4:L18 O23:O24">
      <formula1>"-,JIJANG,ADDEL,PENTIL,FAHME"</formula1>
    </dataValidation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264</v>
      </c>
      <c r="D4" s="16" t="s">
        <v>151</v>
      </c>
      <c r="E4" s="17"/>
      <c r="F4" s="18">
        <v>46082.0</v>
      </c>
      <c r="G4" s="19"/>
      <c r="H4" s="21">
        <v>450000.0</v>
      </c>
      <c r="I4" s="22" t="s">
        <v>26</v>
      </c>
      <c r="J4" s="22"/>
      <c r="K4" s="22"/>
      <c r="L4" s="22" t="s">
        <v>31</v>
      </c>
      <c r="M4" s="22"/>
      <c r="N4" s="23"/>
      <c r="O4" s="23"/>
      <c r="P4" s="24">
        <v>45231.0</v>
      </c>
      <c r="Q4" s="1"/>
      <c r="R4" s="1"/>
    </row>
    <row r="5">
      <c r="A5" s="1"/>
      <c r="B5" s="14">
        <v>2.0</v>
      </c>
      <c r="C5" s="15" t="s">
        <v>193</v>
      </c>
      <c r="D5" s="16" t="s">
        <v>36</v>
      </c>
      <c r="E5" s="61">
        <v>0.3</v>
      </c>
      <c r="F5" s="18">
        <v>46074.0</v>
      </c>
      <c r="G5" s="19">
        <v>652500.0</v>
      </c>
      <c r="H5" s="21"/>
      <c r="I5" s="22" t="s">
        <v>26</v>
      </c>
      <c r="J5" s="22" t="s">
        <v>28</v>
      </c>
      <c r="K5" s="22" t="s">
        <v>28</v>
      </c>
      <c r="L5" s="22" t="s">
        <v>31</v>
      </c>
      <c r="M5" s="22" t="s">
        <v>44</v>
      </c>
      <c r="N5" s="25"/>
      <c r="O5" s="25"/>
      <c r="P5" s="26"/>
      <c r="Q5" s="1"/>
      <c r="R5" s="1"/>
    </row>
    <row r="6">
      <c r="A6" s="1"/>
      <c r="B6" s="14">
        <v>3.0</v>
      </c>
      <c r="C6" s="15" t="s">
        <v>266</v>
      </c>
      <c r="D6" s="16" t="s">
        <v>36</v>
      </c>
      <c r="E6" s="17"/>
      <c r="F6" s="27">
        <v>46074.0</v>
      </c>
      <c r="G6" s="28"/>
      <c r="H6" s="21">
        <v>320000.0</v>
      </c>
      <c r="I6" s="22" t="s">
        <v>26</v>
      </c>
      <c r="J6" s="22" t="s">
        <v>28</v>
      </c>
      <c r="K6" s="22" t="s">
        <v>28</v>
      </c>
      <c r="L6" s="22" t="s">
        <v>31</v>
      </c>
      <c r="M6" s="22" t="s">
        <v>44</v>
      </c>
      <c r="N6" s="25"/>
      <c r="O6" s="25"/>
      <c r="P6" s="26"/>
      <c r="Q6" s="1"/>
      <c r="R6" s="1"/>
    </row>
    <row r="7">
      <c r="A7" s="1"/>
      <c r="B7" s="14">
        <v>4.0</v>
      </c>
      <c r="C7" s="15" t="s">
        <v>267</v>
      </c>
      <c r="D7" s="16" t="s">
        <v>22</v>
      </c>
      <c r="E7" s="61">
        <v>0.1</v>
      </c>
      <c r="F7" s="20">
        <v>46074.0</v>
      </c>
      <c r="G7" s="19"/>
      <c r="H7" s="21">
        <v>315000.0</v>
      </c>
      <c r="I7" s="22" t="s">
        <v>26</v>
      </c>
      <c r="J7" s="22" t="s">
        <v>28</v>
      </c>
      <c r="K7" s="22" t="s">
        <v>28</v>
      </c>
      <c r="L7" s="22" t="s">
        <v>30</v>
      </c>
      <c r="M7" s="22" t="s">
        <v>44</v>
      </c>
      <c r="N7" s="25"/>
      <c r="O7" s="25"/>
      <c r="P7" s="26"/>
      <c r="Q7" s="1"/>
      <c r="R7" s="1"/>
    </row>
    <row r="8">
      <c r="A8" s="1"/>
      <c r="B8" s="14">
        <v>5.0</v>
      </c>
      <c r="C8" s="15" t="s">
        <v>268</v>
      </c>
      <c r="D8" s="16" t="s">
        <v>151</v>
      </c>
      <c r="E8" s="17"/>
      <c r="F8" s="20">
        <v>46104.0</v>
      </c>
      <c r="G8" s="19"/>
      <c r="H8" s="21">
        <v>100000.0</v>
      </c>
      <c r="I8" s="22" t="s">
        <v>25</v>
      </c>
      <c r="J8" s="22"/>
      <c r="K8" s="22"/>
      <c r="L8" s="22" t="s">
        <v>30</v>
      </c>
      <c r="M8" s="29"/>
      <c r="N8" s="25"/>
      <c r="O8" s="26"/>
      <c r="P8" s="26"/>
      <c r="Q8" s="1"/>
      <c r="R8" s="1"/>
    </row>
    <row r="9">
      <c r="A9" s="1"/>
      <c r="B9" s="14">
        <v>6.0</v>
      </c>
      <c r="C9" s="15" t="s">
        <v>269</v>
      </c>
      <c r="D9" s="16" t="s">
        <v>136</v>
      </c>
      <c r="E9" s="17"/>
      <c r="F9" s="20">
        <v>46075.0</v>
      </c>
      <c r="G9" s="19"/>
      <c r="H9" s="21">
        <v>100000.0</v>
      </c>
      <c r="I9" s="22" t="s">
        <v>26</v>
      </c>
      <c r="J9" s="22"/>
      <c r="K9" s="22"/>
      <c r="L9" s="22" t="s">
        <v>30</v>
      </c>
      <c r="M9" s="29"/>
      <c r="N9" s="25"/>
      <c r="O9" s="26"/>
      <c r="P9" s="26"/>
      <c r="Q9" s="1"/>
      <c r="R9" s="1"/>
    </row>
    <row r="10">
      <c r="A10" s="1"/>
      <c r="B10" s="14">
        <v>7.0</v>
      </c>
      <c r="C10" s="15"/>
      <c r="D10" s="16"/>
      <c r="E10" s="17"/>
      <c r="F10" s="30"/>
      <c r="G10" s="19"/>
      <c r="H10" s="31"/>
      <c r="I10" s="22"/>
      <c r="J10" s="22"/>
      <c r="K10" s="22"/>
      <c r="L10" s="29"/>
      <c r="M10" s="29"/>
      <c r="N10" s="25"/>
      <c r="O10" s="26"/>
      <c r="P10" s="26"/>
      <c r="Q10" s="1"/>
      <c r="R10" s="1"/>
    </row>
    <row r="11">
      <c r="A11" s="1"/>
      <c r="B11" s="14">
        <v>8.0</v>
      </c>
      <c r="C11" s="15"/>
      <c r="D11" s="16"/>
      <c r="E11" s="17"/>
      <c r="F11" s="30"/>
      <c r="G11" s="19"/>
      <c r="H11" s="31"/>
      <c r="I11" s="22"/>
      <c r="J11" s="22"/>
      <c r="K11" s="22"/>
      <c r="L11" s="29"/>
      <c r="M11" s="29"/>
      <c r="N11" s="25"/>
      <c r="O11" s="26"/>
      <c r="P11" s="26"/>
      <c r="Q11" s="1"/>
      <c r="R11" s="1"/>
    </row>
    <row r="12">
      <c r="A12" s="1"/>
      <c r="B12" s="14">
        <v>9.0</v>
      </c>
      <c r="C12" s="15"/>
      <c r="D12" s="16"/>
      <c r="E12" s="17"/>
      <c r="F12" s="30"/>
      <c r="G12" s="19"/>
      <c r="H12" s="31"/>
      <c r="I12" s="22"/>
      <c r="J12" s="22"/>
      <c r="K12" s="22"/>
      <c r="L12" s="29"/>
      <c r="M12" s="29"/>
      <c r="N12" s="25"/>
      <c r="O12" s="26"/>
      <c r="P12" s="26"/>
      <c r="Q12" s="1"/>
      <c r="R12" s="1"/>
    </row>
    <row r="13">
      <c r="A13" s="1"/>
      <c r="B13" s="14">
        <v>10.0</v>
      </c>
      <c r="C13" s="15"/>
      <c r="D13" s="16"/>
      <c r="E13" s="17"/>
      <c r="F13" s="30"/>
      <c r="G13" s="19"/>
      <c r="H13" s="31"/>
      <c r="I13" s="22"/>
      <c r="J13" s="22"/>
      <c r="K13" s="22"/>
      <c r="L13" s="29"/>
      <c r="M13" s="29"/>
      <c r="N13" s="25"/>
      <c r="O13" s="26"/>
      <c r="P13" s="26"/>
      <c r="Q13" s="1"/>
      <c r="R13" s="1"/>
    </row>
    <row r="14">
      <c r="A14" s="1"/>
      <c r="B14" s="30"/>
      <c r="C14" s="15"/>
      <c r="D14" s="16"/>
      <c r="E14" s="17"/>
      <c r="F14" s="30"/>
      <c r="G14" s="19"/>
      <c r="H14" s="31"/>
      <c r="I14" s="22"/>
      <c r="J14" s="22"/>
      <c r="K14" s="22"/>
      <c r="L14" s="29"/>
      <c r="M14" s="29"/>
      <c r="N14" s="25"/>
      <c r="O14" s="26"/>
      <c r="P14" s="26"/>
      <c r="Q14" s="1"/>
      <c r="R14" s="1"/>
    </row>
    <row r="15">
      <c r="A15" s="1"/>
      <c r="B15" s="30"/>
      <c r="C15" s="15"/>
      <c r="D15" s="16"/>
      <c r="E15" s="17"/>
      <c r="F15" s="30"/>
      <c r="G15" s="19"/>
      <c r="H15" s="31"/>
      <c r="I15" s="22"/>
      <c r="J15" s="22"/>
      <c r="K15" s="22"/>
      <c r="L15" s="29"/>
      <c r="M15" s="29"/>
      <c r="N15" s="25"/>
      <c r="O15" s="26"/>
      <c r="P15" s="26"/>
      <c r="Q15" s="1"/>
      <c r="R15" s="1"/>
    </row>
    <row r="16">
      <c r="A16" s="1"/>
      <c r="B16" s="30"/>
      <c r="C16" s="15"/>
      <c r="D16" s="16"/>
      <c r="E16" s="17"/>
      <c r="F16" s="30"/>
      <c r="G16" s="19"/>
      <c r="H16" s="31"/>
      <c r="I16" s="22"/>
      <c r="J16" s="22"/>
      <c r="K16" s="22"/>
      <c r="L16" s="29"/>
      <c r="M16" s="29"/>
      <c r="N16" s="25"/>
      <c r="O16" s="26"/>
      <c r="P16" s="26"/>
      <c r="Q16" s="1"/>
      <c r="R16" s="1"/>
    </row>
    <row r="17">
      <c r="A17" s="1"/>
      <c r="B17" s="30"/>
      <c r="C17" s="15"/>
      <c r="D17" s="16"/>
      <c r="E17" s="17"/>
      <c r="F17" s="30"/>
      <c r="G17" s="19"/>
      <c r="H17" s="31"/>
      <c r="I17" s="22"/>
      <c r="J17" s="22"/>
      <c r="K17" s="22"/>
      <c r="L17" s="29"/>
      <c r="M17" s="29"/>
      <c r="N17" s="25"/>
      <c r="O17" s="26"/>
      <c r="P17" s="26"/>
      <c r="Q17" s="1"/>
      <c r="R17" s="1"/>
    </row>
    <row r="18">
      <c r="A18" s="1"/>
      <c r="B18" s="30"/>
      <c r="C18" s="32"/>
      <c r="D18" s="16"/>
      <c r="E18" s="17"/>
      <c r="F18" s="30"/>
      <c r="G18" s="28"/>
      <c r="H18" s="31"/>
      <c r="I18" s="29"/>
      <c r="J18" s="29"/>
      <c r="K18" s="29"/>
      <c r="L18" s="29"/>
      <c r="M18" s="29"/>
      <c r="N18" s="33"/>
      <c r="O18" s="33"/>
      <c r="P18" s="33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4">
        <f t="shared" ref="G19:H19" si="1">SUM(G4:G18)</f>
        <v>652500</v>
      </c>
      <c r="H19" s="35">
        <f t="shared" si="1"/>
        <v>1285000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6" t="s">
        <v>0</v>
      </c>
      <c r="C22" s="37" t="s">
        <v>6</v>
      </c>
      <c r="D22" s="37" t="s">
        <v>70</v>
      </c>
      <c r="E22" s="38"/>
      <c r="F22" s="1"/>
      <c r="G22" s="1"/>
      <c r="H22" s="1"/>
      <c r="I22" s="1"/>
      <c r="J22" s="1"/>
      <c r="K22" s="1"/>
      <c r="L22" s="1"/>
      <c r="M22" s="1"/>
      <c r="N22" s="37" t="s">
        <v>71</v>
      </c>
      <c r="O22" s="37" t="s">
        <v>1</v>
      </c>
      <c r="P22" s="1"/>
      <c r="Q22" s="1"/>
      <c r="R22" s="1"/>
    </row>
    <row r="23">
      <c r="A23" s="1"/>
      <c r="B23" s="39">
        <v>1.0</v>
      </c>
      <c r="C23" s="40" t="s">
        <v>72</v>
      </c>
      <c r="D23" s="41">
        <f>SUM(G19)</f>
        <v>652500</v>
      </c>
      <c r="E23" s="42"/>
      <c r="F23" s="1"/>
      <c r="G23" s="1"/>
      <c r="H23" s="1"/>
      <c r="I23" s="1"/>
      <c r="J23" s="1"/>
      <c r="K23" s="1"/>
      <c r="L23" s="1"/>
      <c r="M23" s="1"/>
      <c r="N23" s="43" t="s">
        <v>73</v>
      </c>
      <c r="O23" s="23" t="s">
        <v>31</v>
      </c>
      <c r="P23" s="1"/>
      <c r="Q23" s="1"/>
      <c r="R23" s="1"/>
    </row>
    <row r="24">
      <c r="A24" s="1"/>
      <c r="B24" s="44">
        <v>2.0</v>
      </c>
      <c r="C24" s="45" t="s">
        <v>178</v>
      </c>
      <c r="D24" s="46">
        <v>-50000.0</v>
      </c>
      <c r="E24" s="47"/>
      <c r="F24" s="1"/>
      <c r="G24" s="1"/>
      <c r="H24" s="1"/>
      <c r="I24" s="1"/>
      <c r="J24" s="1"/>
      <c r="K24" s="1"/>
      <c r="L24" s="1"/>
      <c r="M24" s="1"/>
      <c r="N24" s="48" t="s">
        <v>75</v>
      </c>
      <c r="O24" s="49" t="s">
        <v>30</v>
      </c>
      <c r="P24" s="1"/>
      <c r="Q24" s="1"/>
      <c r="R24" s="1"/>
    </row>
    <row r="25">
      <c r="A25" s="1"/>
      <c r="B25" s="39">
        <v>3.0</v>
      </c>
      <c r="C25" s="40" t="s">
        <v>83</v>
      </c>
      <c r="D25" s="50">
        <v>-16000.0</v>
      </c>
      <c r="E25" s="47"/>
      <c r="F25" s="1"/>
      <c r="G25" s="1"/>
      <c r="H25" s="1"/>
      <c r="I25" s="1"/>
      <c r="J25" s="1"/>
      <c r="K25" s="1"/>
      <c r="L25" s="1"/>
      <c r="M25" s="1"/>
      <c r="N25" s="51" t="s">
        <v>77</v>
      </c>
      <c r="O25" s="25" t="s">
        <v>44</v>
      </c>
      <c r="P25" s="1"/>
      <c r="Q25" s="1"/>
      <c r="R25" s="1"/>
    </row>
    <row r="26">
      <c r="A26" s="1"/>
      <c r="B26" s="44">
        <v>4.0</v>
      </c>
      <c r="C26" s="45" t="s">
        <v>76</v>
      </c>
      <c r="D26" s="46">
        <v>-136000.0</v>
      </c>
      <c r="E26" s="47"/>
      <c r="F26" s="1"/>
      <c r="G26" s="1"/>
      <c r="H26" s="1"/>
      <c r="I26" s="1"/>
      <c r="J26" s="1"/>
      <c r="K26" s="1"/>
      <c r="L26" s="1"/>
      <c r="M26" s="1"/>
      <c r="N26" s="52" t="s">
        <v>79</v>
      </c>
      <c r="O26" s="49" t="s">
        <v>85</v>
      </c>
      <c r="P26" s="1"/>
      <c r="Q26" s="1"/>
      <c r="R26" s="1"/>
    </row>
    <row r="27">
      <c r="A27" s="1"/>
      <c r="B27" s="39"/>
      <c r="C27" s="40" t="s">
        <v>81</v>
      </c>
      <c r="D27" s="50">
        <v>-50000.0</v>
      </c>
      <c r="E27" s="42"/>
      <c r="F27" s="1"/>
      <c r="G27" s="1"/>
      <c r="H27" s="1"/>
      <c r="I27" s="1"/>
      <c r="J27" s="1"/>
      <c r="K27" s="1"/>
      <c r="L27" s="1"/>
      <c r="M27" s="1"/>
      <c r="N27" s="54"/>
      <c r="O27" s="1"/>
      <c r="P27" s="1"/>
      <c r="Q27" s="1"/>
      <c r="R27" s="1"/>
    </row>
    <row r="28">
      <c r="A28" s="1"/>
      <c r="B28" s="44"/>
      <c r="C28" s="55"/>
      <c r="D28" s="56"/>
      <c r="E28" s="42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9"/>
      <c r="C29" s="53"/>
      <c r="D29" s="41"/>
      <c r="E29" s="42"/>
      <c r="F29" s="64">
        <f>D24+D25+D26+D27</f>
        <v>-252000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4"/>
      <c r="C30" s="55"/>
      <c r="D30" s="56"/>
      <c r="E30" s="42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9"/>
      <c r="C31" s="53"/>
      <c r="D31" s="41"/>
      <c r="E31" s="4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4"/>
      <c r="C32" s="55"/>
      <c r="D32" s="56"/>
      <c r="E32" s="4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7"/>
      <c r="C33" s="58"/>
      <c r="D33" s="59"/>
      <c r="E33" s="4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0">
        <f>SUM(D23:D33)</f>
        <v>400500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M4:M18 O25:O26">
      <formula1>"-,VERO,FADEL,PENTIL,ADIF ,HANIF"</formula1>
    </dataValidation>
    <dataValidation type="list" allowBlank="1" showDropDown="1" showErrorMessage="1" sqref="L4:L18 O23:O24">
      <formula1>"-,JIJANG,ADDEL,PENTIL,FAHME,INDAH"</formula1>
    </dataValidation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271</v>
      </c>
      <c r="D4" s="16" t="s">
        <v>36</v>
      </c>
      <c r="E4" s="17"/>
      <c r="F4" s="18">
        <v>46076.0</v>
      </c>
      <c r="G4" s="19"/>
      <c r="H4" s="21">
        <v>100000.0</v>
      </c>
      <c r="I4" s="22" t="s">
        <v>25</v>
      </c>
      <c r="J4" s="22"/>
      <c r="K4" s="22"/>
      <c r="L4" s="22" t="s">
        <v>30</v>
      </c>
      <c r="M4" s="22"/>
      <c r="N4" s="23"/>
      <c r="O4" s="23"/>
      <c r="P4" s="24">
        <v>45231.0</v>
      </c>
      <c r="Q4" s="1"/>
      <c r="R4" s="1"/>
    </row>
    <row r="5">
      <c r="A5" s="1"/>
      <c r="B5" s="14">
        <v>2.0</v>
      </c>
      <c r="C5" s="15" t="s">
        <v>273</v>
      </c>
      <c r="D5" s="16" t="s">
        <v>36</v>
      </c>
      <c r="E5" s="17"/>
      <c r="F5" s="18">
        <v>46076.0</v>
      </c>
      <c r="G5" s="19"/>
      <c r="H5" s="21">
        <v>100000.0</v>
      </c>
      <c r="I5" s="22" t="s">
        <v>25</v>
      </c>
      <c r="J5" s="22"/>
      <c r="K5" s="22"/>
      <c r="L5" s="22" t="s">
        <v>30</v>
      </c>
      <c r="M5" s="22"/>
      <c r="N5" s="25"/>
      <c r="O5" s="25"/>
      <c r="P5" s="26"/>
      <c r="Q5" s="1"/>
      <c r="R5" s="1"/>
    </row>
    <row r="6">
      <c r="A6" s="1"/>
      <c r="B6" s="14">
        <v>3.0</v>
      </c>
      <c r="C6" s="15" t="s">
        <v>269</v>
      </c>
      <c r="D6" s="16" t="s">
        <v>136</v>
      </c>
      <c r="E6" s="17" t="s">
        <v>170</v>
      </c>
      <c r="F6" s="20">
        <v>46075.0</v>
      </c>
      <c r="G6" s="19"/>
      <c r="H6" s="21">
        <v>50000.0</v>
      </c>
      <c r="I6" s="22" t="s">
        <v>26</v>
      </c>
      <c r="J6" s="22" t="s">
        <v>28</v>
      </c>
      <c r="K6" s="22" t="s">
        <v>28</v>
      </c>
      <c r="L6" s="22" t="s">
        <v>30</v>
      </c>
      <c r="M6" s="22" t="s">
        <v>85</v>
      </c>
      <c r="N6" s="25"/>
      <c r="O6" s="25"/>
      <c r="P6" s="26"/>
      <c r="Q6" s="1"/>
      <c r="R6" s="1"/>
    </row>
    <row r="7">
      <c r="A7" s="1"/>
      <c r="B7" s="14">
        <v>4.0</v>
      </c>
      <c r="C7" s="15" t="s">
        <v>260</v>
      </c>
      <c r="D7" s="16" t="s">
        <v>22</v>
      </c>
      <c r="E7" s="61">
        <v>0.3</v>
      </c>
      <c r="F7" s="20">
        <v>46075.0</v>
      </c>
      <c r="G7" s="19"/>
      <c r="H7" s="21">
        <v>145000.0</v>
      </c>
      <c r="I7" s="22" t="s">
        <v>26</v>
      </c>
      <c r="J7" s="22" t="s">
        <v>28</v>
      </c>
      <c r="K7" s="22" t="s">
        <v>28</v>
      </c>
      <c r="L7" s="22" t="s">
        <v>30</v>
      </c>
      <c r="M7" s="22" t="s">
        <v>85</v>
      </c>
      <c r="N7" s="25"/>
      <c r="O7" s="25"/>
      <c r="P7" s="26"/>
      <c r="Q7" s="1"/>
      <c r="R7" s="1"/>
    </row>
    <row r="8">
      <c r="A8" s="1"/>
      <c r="B8" s="14">
        <v>5.0</v>
      </c>
      <c r="C8" s="15" t="s">
        <v>276</v>
      </c>
      <c r="D8" s="16" t="s">
        <v>36</v>
      </c>
      <c r="E8" s="61">
        <v>0.1</v>
      </c>
      <c r="F8" s="20">
        <v>46075.0</v>
      </c>
      <c r="G8" s="19"/>
      <c r="H8" s="21">
        <v>192500.0</v>
      </c>
      <c r="I8" s="22" t="s">
        <v>26</v>
      </c>
      <c r="J8" s="22" t="s">
        <v>28</v>
      </c>
      <c r="K8" s="22" t="s">
        <v>28</v>
      </c>
      <c r="L8" s="22" t="s">
        <v>30</v>
      </c>
      <c r="M8" s="22" t="s">
        <v>33</v>
      </c>
      <c r="N8" s="25"/>
      <c r="O8" s="26"/>
      <c r="P8" s="26"/>
      <c r="Q8" s="1"/>
      <c r="R8" s="1"/>
    </row>
    <row r="9">
      <c r="A9" s="1"/>
      <c r="B9" s="14">
        <v>6.0</v>
      </c>
      <c r="C9" s="15" t="s">
        <v>278</v>
      </c>
      <c r="D9" s="16" t="s">
        <v>43</v>
      </c>
      <c r="E9" s="61">
        <v>0.1</v>
      </c>
      <c r="F9" s="20">
        <v>46075.0</v>
      </c>
      <c r="G9" s="19">
        <v>135000.0</v>
      </c>
      <c r="H9" s="31"/>
      <c r="I9" s="22" t="s">
        <v>26</v>
      </c>
      <c r="J9" s="22" t="s">
        <v>28</v>
      </c>
      <c r="K9" s="22" t="s">
        <v>28</v>
      </c>
      <c r="L9" s="22" t="s">
        <v>33</v>
      </c>
      <c r="M9" s="22" t="s">
        <v>33</v>
      </c>
      <c r="N9" s="25"/>
      <c r="O9" s="26"/>
      <c r="P9" s="26"/>
      <c r="Q9" s="1"/>
      <c r="R9" s="1"/>
    </row>
    <row r="10">
      <c r="A10" s="1"/>
      <c r="B10" s="14">
        <v>7.0</v>
      </c>
      <c r="C10" s="15" t="s">
        <v>279</v>
      </c>
      <c r="D10" s="16" t="s">
        <v>136</v>
      </c>
      <c r="E10" s="17" t="s">
        <v>170</v>
      </c>
      <c r="F10" s="20">
        <v>46075.0</v>
      </c>
      <c r="G10" s="19"/>
      <c r="H10" s="21">
        <v>150000.0</v>
      </c>
      <c r="I10" s="22" t="s">
        <v>26</v>
      </c>
      <c r="J10" s="22" t="s">
        <v>28</v>
      </c>
      <c r="K10" s="22" t="s">
        <v>29</v>
      </c>
      <c r="L10" s="22" t="s">
        <v>33</v>
      </c>
      <c r="M10" s="22" t="s">
        <v>33</v>
      </c>
      <c r="N10" s="25"/>
      <c r="O10" s="26"/>
      <c r="P10" s="26"/>
      <c r="Q10" s="1"/>
      <c r="R10" s="1"/>
    </row>
    <row r="11">
      <c r="A11" s="1"/>
      <c r="B11" s="14">
        <v>8.0</v>
      </c>
      <c r="C11" s="15"/>
      <c r="D11" s="16"/>
      <c r="E11" s="17"/>
      <c r="F11" s="30"/>
      <c r="G11" s="19"/>
      <c r="H11" s="31"/>
      <c r="I11" s="22"/>
      <c r="J11" s="22"/>
      <c r="K11" s="22"/>
      <c r="L11" s="29"/>
      <c r="M11" s="29"/>
      <c r="N11" s="25"/>
      <c r="O11" s="26"/>
      <c r="P11" s="26"/>
      <c r="Q11" s="1"/>
      <c r="R11" s="1"/>
    </row>
    <row r="12">
      <c r="A12" s="1"/>
      <c r="B12" s="14">
        <v>9.0</v>
      </c>
      <c r="C12" s="15"/>
      <c r="D12" s="16"/>
      <c r="E12" s="17"/>
      <c r="F12" s="30"/>
      <c r="G12" s="19"/>
      <c r="H12" s="31"/>
      <c r="I12" s="22"/>
      <c r="J12" s="22"/>
      <c r="K12" s="22"/>
      <c r="L12" s="29"/>
      <c r="M12" s="29"/>
      <c r="N12" s="25"/>
      <c r="O12" s="26"/>
      <c r="P12" s="26"/>
      <c r="Q12" s="1"/>
      <c r="R12" s="1"/>
    </row>
    <row r="13">
      <c r="A13" s="1"/>
      <c r="B13" s="14">
        <v>10.0</v>
      </c>
      <c r="C13" s="15"/>
      <c r="D13" s="16"/>
      <c r="E13" s="17"/>
      <c r="F13" s="30"/>
      <c r="G13" s="19"/>
      <c r="H13" s="31"/>
      <c r="I13" s="22"/>
      <c r="J13" s="22"/>
      <c r="K13" s="22"/>
      <c r="L13" s="29"/>
      <c r="M13" s="29"/>
      <c r="N13" s="25"/>
      <c r="O13" s="26"/>
      <c r="P13" s="26"/>
      <c r="Q13" s="1"/>
      <c r="R13" s="1"/>
    </row>
    <row r="14">
      <c r="A14" s="1"/>
      <c r="B14" s="30"/>
      <c r="C14" s="15"/>
      <c r="D14" s="16"/>
      <c r="E14" s="17"/>
      <c r="F14" s="30"/>
      <c r="G14" s="19"/>
      <c r="H14" s="31"/>
      <c r="I14" s="22"/>
      <c r="J14" s="22"/>
      <c r="K14" s="22"/>
      <c r="L14" s="29"/>
      <c r="M14" s="29"/>
      <c r="N14" s="25"/>
      <c r="O14" s="26"/>
      <c r="P14" s="26"/>
      <c r="Q14" s="1"/>
      <c r="R14" s="1"/>
    </row>
    <row r="15">
      <c r="A15" s="1"/>
      <c r="B15" s="30"/>
      <c r="C15" s="15"/>
      <c r="D15" s="16"/>
      <c r="E15" s="17"/>
      <c r="F15" s="30"/>
      <c r="G15" s="19"/>
      <c r="H15" s="31"/>
      <c r="I15" s="22"/>
      <c r="J15" s="22"/>
      <c r="K15" s="22"/>
      <c r="L15" s="29"/>
      <c r="M15" s="29"/>
      <c r="N15" s="25"/>
      <c r="O15" s="26"/>
      <c r="P15" s="26"/>
      <c r="Q15" s="1"/>
      <c r="R15" s="1"/>
    </row>
    <row r="16">
      <c r="A16" s="1"/>
      <c r="B16" s="30"/>
      <c r="C16" s="15"/>
      <c r="D16" s="16"/>
      <c r="E16" s="17"/>
      <c r="F16" s="30"/>
      <c r="G16" s="19"/>
      <c r="H16" s="31"/>
      <c r="I16" s="22"/>
      <c r="J16" s="22"/>
      <c r="K16" s="22"/>
      <c r="L16" s="29"/>
      <c r="M16" s="29"/>
      <c r="N16" s="25"/>
      <c r="O16" s="26"/>
      <c r="P16" s="26"/>
      <c r="Q16" s="1"/>
      <c r="R16" s="1"/>
    </row>
    <row r="17">
      <c r="A17" s="1"/>
      <c r="B17" s="30"/>
      <c r="C17" s="15"/>
      <c r="D17" s="16"/>
      <c r="E17" s="17"/>
      <c r="F17" s="30"/>
      <c r="G17" s="19"/>
      <c r="H17" s="31"/>
      <c r="I17" s="22"/>
      <c r="J17" s="22"/>
      <c r="K17" s="22"/>
      <c r="L17" s="29"/>
      <c r="M17" s="29"/>
      <c r="N17" s="25"/>
      <c r="O17" s="26"/>
      <c r="P17" s="26"/>
      <c r="Q17" s="1"/>
      <c r="R17" s="1"/>
    </row>
    <row r="18">
      <c r="A18" s="1"/>
      <c r="B18" s="30"/>
      <c r="C18" s="32"/>
      <c r="D18" s="16"/>
      <c r="E18" s="17"/>
      <c r="F18" s="30"/>
      <c r="G18" s="28"/>
      <c r="H18" s="31"/>
      <c r="I18" s="29"/>
      <c r="J18" s="29"/>
      <c r="K18" s="29"/>
      <c r="L18" s="29"/>
      <c r="M18" s="29"/>
      <c r="N18" s="33"/>
      <c r="O18" s="33"/>
      <c r="P18" s="33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4">
        <f t="shared" ref="G19:H19" si="1">SUM(G4:G18)</f>
        <v>135000</v>
      </c>
      <c r="H19" s="35">
        <f t="shared" si="1"/>
        <v>737500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6" t="s">
        <v>0</v>
      </c>
      <c r="C22" s="37" t="s">
        <v>6</v>
      </c>
      <c r="D22" s="37" t="s">
        <v>70</v>
      </c>
      <c r="E22" s="38"/>
      <c r="F22" s="1"/>
      <c r="G22" s="1"/>
      <c r="H22" s="1"/>
      <c r="I22" s="1"/>
      <c r="J22" s="1"/>
      <c r="K22" s="1"/>
      <c r="L22" s="1"/>
      <c r="M22" s="1"/>
      <c r="N22" s="37" t="s">
        <v>71</v>
      </c>
      <c r="O22" s="37" t="s">
        <v>1</v>
      </c>
      <c r="P22" s="1"/>
      <c r="Q22" s="1"/>
      <c r="R22" s="1"/>
    </row>
    <row r="23">
      <c r="A23" s="1"/>
      <c r="B23" s="39">
        <v>1.0</v>
      </c>
      <c r="C23" s="40" t="s">
        <v>72</v>
      </c>
      <c r="D23" s="41">
        <f>SUM(G19)</f>
        <v>135000</v>
      </c>
      <c r="E23" s="42"/>
      <c r="F23" s="1"/>
      <c r="G23" s="1"/>
      <c r="H23" s="1"/>
      <c r="I23" s="1"/>
      <c r="J23" s="1"/>
      <c r="K23" s="1"/>
      <c r="L23" s="1"/>
      <c r="M23" s="1"/>
      <c r="N23" s="43" t="s">
        <v>73</v>
      </c>
      <c r="O23" s="23" t="s">
        <v>30</v>
      </c>
      <c r="P23" s="1"/>
      <c r="Q23" s="1"/>
      <c r="R23" s="1"/>
    </row>
    <row r="24">
      <c r="A24" s="1"/>
      <c r="B24" s="44">
        <v>2.0</v>
      </c>
      <c r="C24" s="45" t="s">
        <v>178</v>
      </c>
      <c r="D24" s="46">
        <v>-100000.0</v>
      </c>
      <c r="E24" s="47"/>
      <c r="F24" s="1"/>
      <c r="G24" s="1"/>
      <c r="H24" s="1"/>
      <c r="I24" s="1"/>
      <c r="J24" s="1"/>
      <c r="K24" s="1"/>
      <c r="L24" s="1"/>
      <c r="M24" s="1"/>
      <c r="N24" s="48" t="s">
        <v>75</v>
      </c>
      <c r="O24" s="49" t="s">
        <v>33</v>
      </c>
      <c r="P24" s="1"/>
      <c r="Q24" s="1"/>
      <c r="R24" s="1"/>
    </row>
    <row r="25">
      <c r="A25" s="1"/>
      <c r="B25" s="39">
        <v>3.0</v>
      </c>
      <c r="C25" s="40" t="s">
        <v>83</v>
      </c>
      <c r="D25" s="50">
        <v>-35000.0</v>
      </c>
      <c r="E25" s="47"/>
      <c r="F25" s="1"/>
      <c r="G25" s="1"/>
      <c r="H25" s="1"/>
      <c r="I25" s="1"/>
      <c r="J25" s="1"/>
      <c r="K25" s="1"/>
      <c r="L25" s="1"/>
      <c r="M25" s="1"/>
      <c r="N25" s="51" t="s">
        <v>77</v>
      </c>
      <c r="O25" s="25" t="s">
        <v>85</v>
      </c>
      <c r="P25" s="1"/>
      <c r="Q25" s="1"/>
      <c r="R25" s="1"/>
    </row>
    <row r="26">
      <c r="A26" s="1"/>
      <c r="B26" s="44">
        <v>4.0</v>
      </c>
      <c r="C26" s="45"/>
      <c r="D26" s="46"/>
      <c r="E26" s="47"/>
      <c r="F26" s="1"/>
      <c r="G26" s="1"/>
      <c r="H26" s="1"/>
      <c r="I26" s="1"/>
      <c r="J26" s="1"/>
      <c r="K26" s="1"/>
      <c r="L26" s="1"/>
      <c r="M26" s="1"/>
      <c r="N26" s="52" t="s">
        <v>79</v>
      </c>
      <c r="O26" s="49" t="s">
        <v>33</v>
      </c>
      <c r="P26" s="1"/>
      <c r="Q26" s="1"/>
      <c r="R26" s="1"/>
    </row>
    <row r="27">
      <c r="A27" s="1"/>
      <c r="B27" s="39"/>
      <c r="C27" s="53"/>
      <c r="D27" s="41"/>
      <c r="E27" s="42"/>
      <c r="F27" s="1"/>
      <c r="G27" s="1"/>
      <c r="H27" s="1"/>
      <c r="I27" s="1"/>
      <c r="J27" s="1"/>
      <c r="K27" s="1"/>
      <c r="L27" s="1"/>
      <c r="M27" s="1"/>
      <c r="N27" s="54"/>
      <c r="O27" s="1"/>
      <c r="P27" s="1"/>
      <c r="Q27" s="1"/>
      <c r="R27" s="1"/>
    </row>
    <row r="28">
      <c r="A28" s="1"/>
      <c r="B28" s="44"/>
      <c r="C28" s="55"/>
      <c r="D28" s="56"/>
      <c r="E28" s="42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9"/>
      <c r="C29" s="53"/>
      <c r="D29" s="41"/>
      <c r="E29" s="42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4"/>
      <c r="C30" s="55"/>
      <c r="D30" s="56"/>
      <c r="E30" s="42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9"/>
      <c r="C31" s="53"/>
      <c r="D31" s="41"/>
      <c r="E31" s="4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4"/>
      <c r="C32" s="55"/>
      <c r="D32" s="56"/>
      <c r="E32" s="4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7"/>
      <c r="C33" s="58"/>
      <c r="D33" s="59"/>
      <c r="E33" s="4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0">
        <f>SUM(D23:D33)</f>
        <v>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M4:M18 O25:O26">
      <formula1>"-,VERO,FADEL,PENTIL,FAHME,HANIF,ADIF"</formula1>
    </dataValidation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DropDown="1" showErrorMessage="1" sqref="L4:L18 O23:O24">
      <formula1>"-,JIJANG,AXEL,PENTIL,FAHME,INDAH,ADIF"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16.88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38">
        <v>2.0</v>
      </c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270</v>
      </c>
      <c r="D4" s="16" t="s">
        <v>98</v>
      </c>
      <c r="E4" s="17" t="s">
        <v>272</v>
      </c>
      <c r="F4" s="18">
        <v>46076.0</v>
      </c>
      <c r="G4" s="19"/>
      <c r="H4" s="21">
        <v>125000.0</v>
      </c>
      <c r="I4" s="22" t="s">
        <v>26</v>
      </c>
      <c r="J4" s="22" t="s">
        <v>28</v>
      </c>
      <c r="K4" s="22" t="s">
        <v>28</v>
      </c>
      <c r="L4" s="22" t="s">
        <v>30</v>
      </c>
      <c r="M4" s="22" t="s">
        <v>33</v>
      </c>
      <c r="N4" s="23"/>
      <c r="O4" s="23"/>
      <c r="P4" s="24">
        <v>45231.0</v>
      </c>
      <c r="Q4" s="1"/>
      <c r="R4" s="1"/>
    </row>
    <row r="5">
      <c r="A5" s="1"/>
      <c r="B5" s="14">
        <v>2.0</v>
      </c>
      <c r="C5" s="15" t="s">
        <v>262</v>
      </c>
      <c r="D5" s="16" t="s">
        <v>36</v>
      </c>
      <c r="E5" s="17"/>
      <c r="F5" s="18">
        <v>46076.0</v>
      </c>
      <c r="G5" s="19"/>
      <c r="H5" s="21">
        <v>100000.0</v>
      </c>
      <c r="I5" s="22" t="s">
        <v>25</v>
      </c>
      <c r="J5" s="22"/>
      <c r="K5" s="22"/>
      <c r="L5" s="22" t="s">
        <v>30</v>
      </c>
      <c r="M5" s="22"/>
      <c r="N5" s="25"/>
      <c r="O5" s="25"/>
      <c r="P5" s="26"/>
      <c r="Q5" s="1"/>
      <c r="R5" s="1"/>
    </row>
    <row r="6">
      <c r="A6" s="1"/>
      <c r="B6" s="14">
        <v>3.0</v>
      </c>
      <c r="C6" s="15" t="s">
        <v>274</v>
      </c>
      <c r="D6" s="16" t="s">
        <v>98</v>
      </c>
      <c r="E6" s="17"/>
      <c r="F6" s="20">
        <v>46076.0</v>
      </c>
      <c r="G6" s="28"/>
      <c r="H6" s="21">
        <v>50000.0</v>
      </c>
      <c r="I6" s="22" t="s">
        <v>26</v>
      </c>
      <c r="J6" s="22" t="s">
        <v>28</v>
      </c>
      <c r="K6" s="22" t="s">
        <v>28</v>
      </c>
      <c r="L6" s="22" t="s">
        <v>30</v>
      </c>
      <c r="M6" s="22" t="s">
        <v>33</v>
      </c>
      <c r="N6" s="25"/>
      <c r="O6" s="25"/>
      <c r="P6" s="26"/>
      <c r="Q6" s="1"/>
      <c r="R6" s="1"/>
    </row>
    <row r="7">
      <c r="A7" s="1"/>
      <c r="B7" s="14">
        <v>4.0</v>
      </c>
      <c r="C7" s="15" t="s">
        <v>275</v>
      </c>
      <c r="D7" s="16" t="s">
        <v>43</v>
      </c>
      <c r="E7" s="17"/>
      <c r="F7" s="20">
        <v>46076.0</v>
      </c>
      <c r="G7" s="19"/>
      <c r="H7" s="21">
        <v>150000.0</v>
      </c>
      <c r="I7" s="22" t="s">
        <v>26</v>
      </c>
      <c r="J7" s="22"/>
      <c r="K7" s="22"/>
      <c r="L7" s="22" t="s">
        <v>30</v>
      </c>
      <c r="M7" s="29"/>
      <c r="N7" s="25"/>
      <c r="O7" s="25"/>
      <c r="P7" s="26"/>
      <c r="Q7" s="1"/>
      <c r="R7" s="1"/>
    </row>
    <row r="8">
      <c r="A8" s="1"/>
      <c r="B8" s="14">
        <v>5.0</v>
      </c>
      <c r="C8" s="15" t="s">
        <v>262</v>
      </c>
      <c r="D8" s="16" t="s">
        <v>36</v>
      </c>
      <c r="E8" s="61">
        <v>0.1</v>
      </c>
      <c r="F8" s="20">
        <v>46076.0</v>
      </c>
      <c r="G8" s="19"/>
      <c r="H8" s="21">
        <v>57500.0</v>
      </c>
      <c r="I8" s="22" t="s">
        <v>26</v>
      </c>
      <c r="J8" s="22" t="s">
        <v>28</v>
      </c>
      <c r="K8" s="22" t="s">
        <v>28</v>
      </c>
      <c r="L8" s="22" t="s">
        <v>30</v>
      </c>
      <c r="M8" s="22" t="s">
        <v>33</v>
      </c>
      <c r="N8" s="25"/>
      <c r="O8" s="26"/>
      <c r="P8" s="26"/>
      <c r="Q8" s="1"/>
      <c r="R8" s="1"/>
    </row>
    <row r="9">
      <c r="A9" s="1"/>
      <c r="B9" s="14">
        <v>6.0</v>
      </c>
      <c r="C9" s="15" t="s">
        <v>277</v>
      </c>
      <c r="D9" s="16" t="s">
        <v>36</v>
      </c>
      <c r="E9" s="17"/>
      <c r="F9" s="20">
        <v>46086.0</v>
      </c>
      <c r="G9" s="19"/>
      <c r="H9" s="21">
        <v>100000.0</v>
      </c>
      <c r="I9" s="22" t="s">
        <v>25</v>
      </c>
      <c r="J9" s="22"/>
      <c r="K9" s="22"/>
      <c r="L9" s="22" t="s">
        <v>30</v>
      </c>
      <c r="M9" s="29"/>
      <c r="N9" s="25"/>
      <c r="O9" s="26"/>
      <c r="P9" s="26"/>
      <c r="Q9" s="1"/>
      <c r="R9" s="1"/>
    </row>
    <row r="10">
      <c r="A10" s="1"/>
      <c r="B10" s="14">
        <v>7.0</v>
      </c>
      <c r="C10" s="15" t="s">
        <v>195</v>
      </c>
      <c r="D10" s="16" t="s">
        <v>36</v>
      </c>
      <c r="E10" s="61">
        <v>0.1</v>
      </c>
      <c r="F10" s="20">
        <v>46076.0</v>
      </c>
      <c r="G10" s="19">
        <v>1055000.0</v>
      </c>
      <c r="H10" s="31"/>
      <c r="I10" s="22" t="s">
        <v>26</v>
      </c>
      <c r="J10" s="22" t="s">
        <v>28</v>
      </c>
      <c r="K10" s="22" t="s">
        <v>28</v>
      </c>
      <c r="L10" s="22" t="s">
        <v>30</v>
      </c>
      <c r="M10" s="22" t="s">
        <v>33</v>
      </c>
      <c r="N10" s="25"/>
      <c r="O10" s="26"/>
      <c r="P10" s="26"/>
      <c r="Q10" s="1"/>
      <c r="R10" s="1"/>
    </row>
    <row r="11">
      <c r="A11" s="1"/>
      <c r="B11" s="14">
        <v>8.0</v>
      </c>
      <c r="C11" s="15" t="s">
        <v>280</v>
      </c>
      <c r="D11" s="16" t="s">
        <v>281</v>
      </c>
      <c r="E11" s="17"/>
      <c r="F11" s="20">
        <v>46067.0</v>
      </c>
      <c r="G11" s="19"/>
      <c r="H11" s="21">
        <v>20000.0</v>
      </c>
      <c r="I11" s="22" t="s">
        <v>26</v>
      </c>
      <c r="J11" s="22"/>
      <c r="K11" s="22"/>
      <c r="L11" s="22" t="s">
        <v>30</v>
      </c>
      <c r="M11" s="29"/>
      <c r="N11" s="25"/>
      <c r="O11" s="26"/>
      <c r="P11" s="26"/>
      <c r="Q11" s="1"/>
      <c r="R11" s="1"/>
    </row>
    <row r="12">
      <c r="A12" s="1"/>
      <c r="B12" s="14">
        <v>9.0</v>
      </c>
      <c r="C12" s="15" t="s">
        <v>275</v>
      </c>
      <c r="D12" s="16" t="s">
        <v>43</v>
      </c>
      <c r="E12" s="17"/>
      <c r="F12" s="20">
        <v>46076.0</v>
      </c>
      <c r="G12" s="19">
        <v>0.0</v>
      </c>
      <c r="H12" s="21">
        <v>0.0</v>
      </c>
      <c r="I12" s="22" t="s">
        <v>26</v>
      </c>
      <c r="J12" s="22" t="s">
        <v>28</v>
      </c>
      <c r="K12" s="22" t="s">
        <v>28</v>
      </c>
      <c r="L12" s="22" t="s">
        <v>30</v>
      </c>
      <c r="M12" s="22" t="s">
        <v>33</v>
      </c>
      <c r="N12" s="25"/>
      <c r="O12" s="26"/>
      <c r="P12" s="26"/>
      <c r="Q12" s="1"/>
      <c r="R12" s="1"/>
    </row>
    <row r="13">
      <c r="A13" s="1"/>
      <c r="B13" s="14">
        <v>10.0</v>
      </c>
      <c r="C13" s="15" t="s">
        <v>283</v>
      </c>
      <c r="D13" s="16" t="s">
        <v>22</v>
      </c>
      <c r="E13" s="17"/>
      <c r="F13" s="20">
        <v>46082.0</v>
      </c>
      <c r="G13" s="19"/>
      <c r="H13" s="21">
        <v>100000.0</v>
      </c>
      <c r="I13" s="22" t="s">
        <v>25</v>
      </c>
      <c r="J13" s="22"/>
      <c r="K13" s="22"/>
      <c r="L13" s="22" t="s">
        <v>30</v>
      </c>
      <c r="M13" s="29"/>
      <c r="N13" s="25"/>
      <c r="O13" s="26"/>
      <c r="P13" s="26"/>
      <c r="Q13" s="1"/>
      <c r="R13" s="1"/>
    </row>
    <row r="14">
      <c r="A14" s="1"/>
      <c r="B14" s="30"/>
      <c r="C14" s="15" t="s">
        <v>271</v>
      </c>
      <c r="D14" s="16" t="s">
        <v>36</v>
      </c>
      <c r="E14" s="61">
        <v>0.1</v>
      </c>
      <c r="F14" s="20">
        <v>46076.0</v>
      </c>
      <c r="G14" s="19"/>
      <c r="H14" s="21">
        <v>372500.0</v>
      </c>
      <c r="I14" s="22" t="s">
        <v>26</v>
      </c>
      <c r="J14" s="22" t="s">
        <v>28</v>
      </c>
      <c r="K14" s="22" t="s">
        <v>28</v>
      </c>
      <c r="L14" s="22" t="s">
        <v>30</v>
      </c>
      <c r="M14" s="22" t="s">
        <v>33</v>
      </c>
      <c r="N14" s="25"/>
      <c r="O14" s="26"/>
      <c r="P14" s="26"/>
      <c r="Q14" s="1"/>
      <c r="R14" s="1"/>
    </row>
    <row r="15">
      <c r="A15" s="1"/>
      <c r="B15" s="30"/>
      <c r="C15" s="15" t="s">
        <v>273</v>
      </c>
      <c r="D15" s="16" t="s">
        <v>36</v>
      </c>
      <c r="E15" s="61">
        <v>0.1</v>
      </c>
      <c r="F15" s="20">
        <v>46076.0</v>
      </c>
      <c r="G15" s="19">
        <v>102000.0</v>
      </c>
      <c r="H15" s="21">
        <v>45500.0</v>
      </c>
      <c r="I15" s="22" t="s">
        <v>26</v>
      </c>
      <c r="J15" s="22" t="s">
        <v>28</v>
      </c>
      <c r="K15" s="22" t="s">
        <v>28</v>
      </c>
      <c r="L15" s="22" t="s">
        <v>30</v>
      </c>
      <c r="M15" s="22" t="s">
        <v>33</v>
      </c>
      <c r="N15" s="25"/>
      <c r="O15" s="26"/>
      <c r="P15" s="26"/>
      <c r="Q15" s="1"/>
      <c r="R15" s="1"/>
    </row>
    <row r="16">
      <c r="A16" s="1"/>
      <c r="B16" s="30"/>
      <c r="C16" s="15" t="s">
        <v>286</v>
      </c>
      <c r="D16" s="16" t="s">
        <v>136</v>
      </c>
      <c r="E16" s="17"/>
      <c r="F16" s="20">
        <v>46076.0</v>
      </c>
      <c r="G16" s="19"/>
      <c r="H16" s="21">
        <v>100000.0</v>
      </c>
      <c r="I16" s="22" t="s">
        <v>26</v>
      </c>
      <c r="J16" s="22" t="s">
        <v>28</v>
      </c>
      <c r="K16" s="22" t="s">
        <v>28</v>
      </c>
      <c r="L16" s="22" t="s">
        <v>30</v>
      </c>
      <c r="M16" s="22" t="s">
        <v>33</v>
      </c>
      <c r="N16" s="25"/>
      <c r="O16" s="26"/>
      <c r="P16" s="26"/>
      <c r="Q16" s="1"/>
      <c r="R16" s="1"/>
    </row>
    <row r="17">
      <c r="A17" s="1"/>
      <c r="B17" s="30"/>
      <c r="C17" s="15"/>
      <c r="D17" s="16"/>
      <c r="E17" s="17"/>
      <c r="F17" s="30"/>
      <c r="G17" s="19"/>
      <c r="H17" s="31"/>
      <c r="I17" s="22"/>
      <c r="J17" s="22"/>
      <c r="K17" s="22"/>
      <c r="L17" s="29"/>
      <c r="M17" s="29"/>
      <c r="N17" s="25"/>
      <c r="O17" s="26"/>
      <c r="P17" s="26"/>
      <c r="Q17" s="1"/>
      <c r="R17" s="1"/>
    </row>
    <row r="18">
      <c r="A18" s="1"/>
      <c r="B18" s="30"/>
      <c r="C18" s="32"/>
      <c r="D18" s="16"/>
      <c r="E18" s="17"/>
      <c r="F18" s="30"/>
      <c r="G18" s="28"/>
      <c r="H18" s="31"/>
      <c r="I18" s="29"/>
      <c r="J18" s="29"/>
      <c r="K18" s="29"/>
      <c r="L18" s="29"/>
      <c r="M18" s="29"/>
      <c r="N18" s="33"/>
      <c r="O18" s="33"/>
      <c r="P18" s="33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4">
        <f t="shared" ref="G19:H19" si="1">SUM(G4:G18)</f>
        <v>1157000</v>
      </c>
      <c r="H19" s="35">
        <f t="shared" si="1"/>
        <v>1220500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6" t="s">
        <v>0</v>
      </c>
      <c r="C22" s="37" t="s">
        <v>6</v>
      </c>
      <c r="D22" s="37" t="s">
        <v>70</v>
      </c>
      <c r="E22" s="38"/>
      <c r="F22" s="1"/>
      <c r="G22" s="1"/>
      <c r="H22" s="1"/>
      <c r="I22" s="1"/>
      <c r="J22" s="1"/>
      <c r="K22" s="1"/>
      <c r="L22" s="1"/>
      <c r="M22" s="1"/>
      <c r="N22" s="37" t="s">
        <v>71</v>
      </c>
      <c r="O22" s="37" t="s">
        <v>1</v>
      </c>
      <c r="P22" s="1"/>
      <c r="Q22" s="1"/>
      <c r="R22" s="1"/>
    </row>
    <row r="23">
      <c r="A23" s="1"/>
      <c r="B23" s="39">
        <v>1.0</v>
      </c>
      <c r="C23" s="40" t="s">
        <v>72</v>
      </c>
      <c r="D23" s="41">
        <f>SUM(G19)</f>
        <v>1157000</v>
      </c>
      <c r="E23" s="42"/>
      <c r="F23" s="1"/>
      <c r="G23" s="1"/>
      <c r="H23" s="1"/>
      <c r="I23" s="1"/>
      <c r="J23" s="1"/>
      <c r="K23" s="1"/>
      <c r="L23" s="1"/>
      <c r="M23" s="1"/>
      <c r="N23" s="43" t="s">
        <v>73</v>
      </c>
      <c r="O23" s="23" t="s">
        <v>30</v>
      </c>
      <c r="P23" s="1"/>
      <c r="Q23" s="1"/>
      <c r="R23" s="1"/>
    </row>
    <row r="24">
      <c r="A24" s="1"/>
      <c r="B24" s="44">
        <v>2.0</v>
      </c>
      <c r="C24" s="45" t="s">
        <v>81</v>
      </c>
      <c r="D24" s="46">
        <v>-250000.0</v>
      </c>
      <c r="E24" s="47"/>
      <c r="F24" s="1"/>
      <c r="G24" s="1"/>
      <c r="H24" s="1"/>
      <c r="I24" s="1"/>
      <c r="J24" s="1"/>
      <c r="K24" s="1"/>
      <c r="L24" s="1"/>
      <c r="M24" s="1"/>
      <c r="N24" s="48" t="s">
        <v>75</v>
      </c>
      <c r="O24" s="49" t="s">
        <v>30</v>
      </c>
      <c r="P24" s="1"/>
      <c r="Q24" s="1"/>
      <c r="R24" s="1"/>
    </row>
    <row r="25">
      <c r="A25" s="1"/>
      <c r="B25" s="39">
        <v>3.0</v>
      </c>
      <c r="C25" s="40" t="s">
        <v>292</v>
      </c>
      <c r="D25" s="50">
        <v>-60000.0</v>
      </c>
      <c r="E25" s="47"/>
      <c r="F25" s="1"/>
      <c r="G25" s="1"/>
      <c r="H25" s="1"/>
      <c r="I25" s="1"/>
      <c r="J25" s="1"/>
      <c r="K25" s="1"/>
      <c r="L25" s="1"/>
      <c r="M25" s="1"/>
      <c r="N25" s="51" t="s">
        <v>77</v>
      </c>
      <c r="O25" s="25" t="s">
        <v>33</v>
      </c>
      <c r="P25" s="1"/>
      <c r="Q25" s="1"/>
      <c r="R25" s="1"/>
    </row>
    <row r="26">
      <c r="A26" s="1"/>
      <c r="B26" s="44">
        <v>4.0</v>
      </c>
      <c r="C26" s="45"/>
      <c r="D26" s="46"/>
      <c r="E26" s="47"/>
      <c r="F26" s="1"/>
      <c r="G26" s="1"/>
      <c r="H26" s="1"/>
      <c r="I26" s="1"/>
      <c r="J26" s="1"/>
      <c r="K26" s="1"/>
      <c r="L26" s="1"/>
      <c r="M26" s="1"/>
      <c r="N26" s="52" t="s">
        <v>79</v>
      </c>
      <c r="O26" s="49" t="s">
        <v>33</v>
      </c>
      <c r="P26" s="1"/>
      <c r="Q26" s="1"/>
      <c r="R26" s="1"/>
    </row>
    <row r="27">
      <c r="A27" s="1"/>
      <c r="B27" s="39"/>
      <c r="C27" s="53"/>
      <c r="D27" s="41"/>
      <c r="E27" s="42"/>
      <c r="F27" s="1"/>
      <c r="G27" s="1"/>
      <c r="H27" s="1"/>
      <c r="I27" s="1"/>
      <c r="J27" s="1"/>
      <c r="K27" s="1"/>
      <c r="L27" s="1"/>
      <c r="M27" s="1"/>
      <c r="N27" s="54"/>
      <c r="O27" s="1"/>
      <c r="P27" s="1"/>
      <c r="Q27" s="1"/>
      <c r="R27" s="1"/>
    </row>
    <row r="28">
      <c r="A28" s="1"/>
      <c r="B28" s="44"/>
      <c r="C28" s="55"/>
      <c r="D28" s="56"/>
      <c r="E28" s="42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9"/>
      <c r="C29" s="53"/>
      <c r="D29" s="41"/>
      <c r="E29" s="42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4"/>
      <c r="C30" s="55"/>
      <c r="D30" s="56"/>
      <c r="E30" s="42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9"/>
      <c r="C31" s="53"/>
      <c r="D31" s="41"/>
      <c r="E31" s="4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4"/>
      <c r="C32" s="55"/>
      <c r="D32" s="56"/>
      <c r="E32" s="4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7"/>
      <c r="C33" s="58"/>
      <c r="D33" s="59"/>
      <c r="E33" s="4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0">
        <f>SUM(D23:D33)</f>
        <v>847000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"-,JIJANG,AXEL,PENTIL,FAHME,INDAH"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Edit,Packing"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  <dataValidation type="list" allowBlank="1" showDropDown="1" showErrorMessage="1" sqref="M4:M18 O25:O26">
      <formula1>"-,VERO,FADEL,PENTIL,FAHME,ADIF,HANIF"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38">
        <v>2.0</v>
      </c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282</v>
      </c>
      <c r="D4" s="16" t="s">
        <v>36</v>
      </c>
      <c r="E4" s="17"/>
      <c r="F4" s="18">
        <v>46079.0</v>
      </c>
      <c r="G4" s="19"/>
      <c r="H4" s="21">
        <v>100000.0</v>
      </c>
      <c r="I4" s="22" t="s">
        <v>25</v>
      </c>
      <c r="J4" s="22"/>
      <c r="K4" s="22"/>
      <c r="L4" s="22" t="s">
        <v>30</v>
      </c>
      <c r="M4" s="22"/>
      <c r="N4" s="23"/>
      <c r="O4" s="23"/>
      <c r="P4" s="24">
        <v>45231.0</v>
      </c>
      <c r="Q4" s="1"/>
      <c r="R4" s="1"/>
    </row>
    <row r="5">
      <c r="A5" s="1"/>
      <c r="B5" s="14">
        <v>2.0</v>
      </c>
      <c r="C5" s="15" t="s">
        <v>284</v>
      </c>
      <c r="D5" s="16" t="s">
        <v>21</v>
      </c>
      <c r="E5" s="17"/>
      <c r="F5" s="18">
        <v>46112.0</v>
      </c>
      <c r="G5" s="19"/>
      <c r="H5" s="21">
        <v>200000.0</v>
      </c>
      <c r="I5" s="22" t="s">
        <v>25</v>
      </c>
      <c r="J5" s="22"/>
      <c r="K5" s="22"/>
      <c r="L5" s="22" t="s">
        <v>30</v>
      </c>
      <c r="M5" s="22"/>
      <c r="N5" s="25"/>
      <c r="O5" s="25"/>
      <c r="P5" s="26"/>
      <c r="Q5" s="1"/>
      <c r="R5" s="1"/>
    </row>
    <row r="6">
      <c r="A6" s="1"/>
      <c r="B6" s="14">
        <v>3.0</v>
      </c>
      <c r="C6" s="81" t="s">
        <v>285</v>
      </c>
      <c r="D6" s="16" t="s">
        <v>287</v>
      </c>
      <c r="E6" s="17"/>
      <c r="F6" s="20">
        <v>46062.0</v>
      </c>
      <c r="G6" s="28"/>
      <c r="H6" s="21">
        <v>290000.0</v>
      </c>
      <c r="I6" s="22" t="s">
        <v>26</v>
      </c>
      <c r="J6" s="22"/>
      <c r="K6" s="22"/>
      <c r="L6" s="22" t="s">
        <v>30</v>
      </c>
      <c r="M6" s="29"/>
      <c r="N6" s="25"/>
      <c r="O6" s="25"/>
      <c r="P6" s="26"/>
      <c r="Q6" s="1"/>
      <c r="R6" s="1"/>
    </row>
    <row r="7">
      <c r="A7" s="1"/>
      <c r="B7" s="14">
        <v>4.0</v>
      </c>
      <c r="C7" s="15" t="s">
        <v>129</v>
      </c>
      <c r="D7" s="16" t="s">
        <v>65</v>
      </c>
      <c r="E7" s="17"/>
      <c r="F7" s="20">
        <v>46112.0</v>
      </c>
      <c r="G7" s="19"/>
      <c r="H7" s="21">
        <v>100000.0</v>
      </c>
      <c r="I7" s="22" t="s">
        <v>25</v>
      </c>
      <c r="J7" s="22"/>
      <c r="K7" s="22"/>
      <c r="L7" s="22" t="s">
        <v>30</v>
      </c>
      <c r="M7" s="29"/>
      <c r="N7" s="25"/>
      <c r="O7" s="25"/>
      <c r="P7" s="26"/>
      <c r="Q7" s="1"/>
      <c r="R7" s="1"/>
    </row>
    <row r="8">
      <c r="A8" s="1"/>
      <c r="B8" s="14">
        <v>5.0</v>
      </c>
      <c r="C8" s="15" t="s">
        <v>288</v>
      </c>
      <c r="D8" s="16" t="s">
        <v>21</v>
      </c>
      <c r="E8" s="17"/>
      <c r="F8" s="20">
        <v>46112.0</v>
      </c>
      <c r="G8" s="19"/>
      <c r="H8" s="21">
        <v>100000.0</v>
      </c>
      <c r="I8" s="22" t="s">
        <v>25</v>
      </c>
      <c r="J8" s="22"/>
      <c r="K8" s="22"/>
      <c r="L8" s="22" t="s">
        <v>30</v>
      </c>
      <c r="M8" s="29"/>
      <c r="N8" s="25"/>
      <c r="O8" s="26"/>
      <c r="P8" s="26"/>
      <c r="Q8" s="1"/>
      <c r="R8" s="1"/>
    </row>
    <row r="9">
      <c r="A9" s="1"/>
      <c r="B9" s="14">
        <v>6.0</v>
      </c>
      <c r="C9" s="15" t="s">
        <v>172</v>
      </c>
      <c r="D9" s="16" t="s">
        <v>21</v>
      </c>
      <c r="E9" s="17"/>
      <c r="F9" s="20">
        <v>46112.0</v>
      </c>
      <c r="G9" s="19"/>
      <c r="H9" s="21">
        <v>100000.0</v>
      </c>
      <c r="I9" s="22" t="s">
        <v>25</v>
      </c>
      <c r="J9" s="22"/>
      <c r="K9" s="22"/>
      <c r="L9" s="22" t="s">
        <v>30</v>
      </c>
      <c r="M9" s="29"/>
      <c r="N9" s="25"/>
      <c r="O9" s="26"/>
      <c r="P9" s="26"/>
      <c r="Q9" s="1"/>
      <c r="R9" s="1"/>
    </row>
    <row r="10">
      <c r="A10" s="1"/>
      <c r="B10" s="14">
        <v>7.0</v>
      </c>
      <c r="C10" s="82" t="s">
        <v>289</v>
      </c>
      <c r="D10" s="83" t="s">
        <v>98</v>
      </c>
      <c r="E10" s="17"/>
      <c r="F10" s="27">
        <v>46077.0</v>
      </c>
      <c r="G10" s="19"/>
      <c r="H10" s="21">
        <v>90000.0</v>
      </c>
      <c r="I10" s="22" t="s">
        <v>26</v>
      </c>
      <c r="J10" s="22"/>
      <c r="K10" s="22"/>
      <c r="L10" s="22" t="s">
        <v>31</v>
      </c>
      <c r="M10" s="29"/>
      <c r="N10" s="25"/>
      <c r="O10" s="26"/>
      <c r="P10" s="26"/>
      <c r="Q10" s="1"/>
      <c r="R10" s="1"/>
    </row>
    <row r="11">
      <c r="A11" s="1"/>
      <c r="B11" s="14">
        <v>8.0</v>
      </c>
      <c r="C11" s="15" t="s">
        <v>290</v>
      </c>
      <c r="D11" s="16" t="s">
        <v>36</v>
      </c>
      <c r="E11" s="17"/>
      <c r="F11" s="27">
        <v>46079.0</v>
      </c>
      <c r="G11" s="19"/>
      <c r="H11" s="84">
        <v>100000.0</v>
      </c>
      <c r="I11" s="22" t="s">
        <v>25</v>
      </c>
      <c r="J11" s="22"/>
      <c r="K11" s="22"/>
      <c r="L11" s="22" t="s">
        <v>31</v>
      </c>
      <c r="M11" s="29"/>
      <c r="N11" s="25"/>
      <c r="O11" s="26"/>
      <c r="P11" s="26"/>
      <c r="Q11" s="1"/>
      <c r="R11" s="1"/>
    </row>
    <row r="12">
      <c r="A12" s="1"/>
      <c r="B12" s="14">
        <v>9.0</v>
      </c>
      <c r="C12" s="15" t="s">
        <v>291</v>
      </c>
      <c r="D12" s="16" t="s">
        <v>37</v>
      </c>
      <c r="E12" s="17"/>
      <c r="F12" s="27">
        <v>46086.0</v>
      </c>
      <c r="G12" s="19"/>
      <c r="H12" s="21">
        <v>100000.0</v>
      </c>
      <c r="I12" s="22" t="s">
        <v>25</v>
      </c>
      <c r="J12" s="22"/>
      <c r="K12" s="22"/>
      <c r="L12" s="22" t="s">
        <v>31</v>
      </c>
      <c r="M12" s="29"/>
      <c r="N12" s="25"/>
      <c r="O12" s="26"/>
      <c r="P12" s="26"/>
      <c r="Q12" s="1"/>
      <c r="R12" s="1"/>
    </row>
    <row r="13">
      <c r="A13" s="1"/>
      <c r="B13" s="14">
        <v>10.0</v>
      </c>
      <c r="C13" s="15"/>
      <c r="D13" s="16"/>
      <c r="E13" s="17"/>
      <c r="F13" s="30"/>
      <c r="G13" s="19"/>
      <c r="H13" s="31"/>
      <c r="I13" s="22"/>
      <c r="J13" s="22"/>
      <c r="K13" s="22"/>
      <c r="L13" s="29"/>
      <c r="M13" s="29"/>
      <c r="N13" s="25"/>
      <c r="O13" s="26"/>
      <c r="P13" s="26"/>
      <c r="Q13" s="1"/>
      <c r="R13" s="1"/>
    </row>
    <row r="14">
      <c r="A14" s="1"/>
      <c r="B14" s="30"/>
      <c r="C14" s="15"/>
      <c r="D14" s="16"/>
      <c r="E14" s="17"/>
      <c r="F14" s="30"/>
      <c r="G14" s="19"/>
      <c r="H14" s="31"/>
      <c r="I14" s="22"/>
      <c r="J14" s="22"/>
      <c r="K14" s="22"/>
      <c r="L14" s="29"/>
      <c r="M14" s="29"/>
      <c r="N14" s="25"/>
      <c r="O14" s="26"/>
      <c r="P14" s="26"/>
      <c r="Q14" s="1"/>
      <c r="R14" s="1"/>
    </row>
    <row r="15">
      <c r="A15" s="1"/>
      <c r="B15" s="30"/>
      <c r="C15" s="15"/>
      <c r="D15" s="16"/>
      <c r="E15" s="17"/>
      <c r="F15" s="30"/>
      <c r="G15" s="19"/>
      <c r="H15" s="31"/>
      <c r="I15" s="22"/>
      <c r="J15" s="22"/>
      <c r="K15" s="22"/>
      <c r="L15" s="29"/>
      <c r="M15" s="29"/>
      <c r="N15" s="25"/>
      <c r="O15" s="26"/>
      <c r="P15" s="26"/>
      <c r="Q15" s="1"/>
      <c r="R15" s="1"/>
    </row>
    <row r="16">
      <c r="A16" s="1"/>
      <c r="B16" s="30"/>
      <c r="C16" s="15"/>
      <c r="D16" s="16"/>
      <c r="E16" s="17"/>
      <c r="F16" s="30"/>
      <c r="G16" s="19"/>
      <c r="H16" s="31"/>
      <c r="I16" s="22"/>
      <c r="J16" s="22"/>
      <c r="K16" s="22"/>
      <c r="L16" s="29"/>
      <c r="M16" s="29"/>
      <c r="N16" s="25"/>
      <c r="O16" s="26"/>
      <c r="P16" s="26"/>
      <c r="Q16" s="1"/>
      <c r="R16" s="1"/>
    </row>
    <row r="17">
      <c r="A17" s="1"/>
      <c r="B17" s="30"/>
      <c r="C17" s="15"/>
      <c r="D17" s="16"/>
      <c r="E17" s="17"/>
      <c r="F17" s="30"/>
      <c r="G17" s="19"/>
      <c r="H17" s="31"/>
      <c r="I17" s="22"/>
      <c r="J17" s="22"/>
      <c r="K17" s="22"/>
      <c r="L17" s="29"/>
      <c r="M17" s="29"/>
      <c r="N17" s="25"/>
      <c r="O17" s="26"/>
      <c r="P17" s="26"/>
      <c r="Q17" s="1"/>
      <c r="R17" s="1"/>
    </row>
    <row r="18">
      <c r="A18" s="1"/>
      <c r="B18" s="30"/>
      <c r="C18" s="32"/>
      <c r="D18" s="16"/>
      <c r="E18" s="17"/>
      <c r="F18" s="30"/>
      <c r="G18" s="28"/>
      <c r="H18" s="31"/>
      <c r="I18" s="29"/>
      <c r="J18" s="29"/>
      <c r="K18" s="29"/>
      <c r="L18" s="29"/>
      <c r="M18" s="29"/>
      <c r="N18" s="33"/>
      <c r="O18" s="33"/>
      <c r="P18" s="33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4">
        <f t="shared" ref="G19:H19" si="1">SUM(G4:G18)</f>
        <v>0</v>
      </c>
      <c r="H19" s="35">
        <f t="shared" si="1"/>
        <v>1180000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6" t="s">
        <v>0</v>
      </c>
      <c r="C22" s="37" t="s">
        <v>6</v>
      </c>
      <c r="D22" s="37" t="s">
        <v>70</v>
      </c>
      <c r="E22" s="38"/>
      <c r="F22" s="1"/>
      <c r="G22" s="1"/>
      <c r="H22" s="1"/>
      <c r="I22" s="1"/>
      <c r="J22" s="1"/>
      <c r="K22" s="1"/>
      <c r="L22" s="1"/>
      <c r="M22" s="1"/>
      <c r="N22" s="37" t="s">
        <v>71</v>
      </c>
      <c r="O22" s="37" t="s">
        <v>1</v>
      </c>
      <c r="P22" s="1"/>
      <c r="Q22" s="1"/>
      <c r="R22" s="1"/>
    </row>
    <row r="23">
      <c r="A23" s="1"/>
      <c r="B23" s="39">
        <v>1.0</v>
      </c>
      <c r="C23" s="40" t="s">
        <v>72</v>
      </c>
      <c r="D23" s="41">
        <f>SUM(G19)</f>
        <v>0</v>
      </c>
      <c r="E23" s="42"/>
      <c r="F23" s="1"/>
      <c r="G23" s="1"/>
      <c r="H23" s="1"/>
      <c r="I23" s="1"/>
      <c r="J23" s="1"/>
      <c r="K23" s="1"/>
      <c r="L23" s="1"/>
      <c r="M23" s="1"/>
      <c r="N23" s="43" t="s">
        <v>73</v>
      </c>
      <c r="O23" s="23" t="s">
        <v>30</v>
      </c>
      <c r="P23" s="1"/>
      <c r="Q23" s="1"/>
      <c r="R23" s="1"/>
    </row>
    <row r="24">
      <c r="A24" s="1"/>
      <c r="B24" s="44">
        <v>2.0</v>
      </c>
      <c r="C24" s="45"/>
      <c r="D24" s="46"/>
      <c r="E24" s="47"/>
      <c r="F24" s="1"/>
      <c r="G24" s="1"/>
      <c r="H24" s="1"/>
      <c r="I24" s="1"/>
      <c r="J24" s="1"/>
      <c r="K24" s="1"/>
      <c r="L24" s="1"/>
      <c r="M24" s="1"/>
      <c r="N24" s="48" t="s">
        <v>75</v>
      </c>
      <c r="O24" s="49" t="s">
        <v>31</v>
      </c>
      <c r="P24" s="1"/>
      <c r="Q24" s="1"/>
      <c r="R24" s="1"/>
    </row>
    <row r="25">
      <c r="A25" s="1"/>
      <c r="B25" s="39">
        <v>3.0</v>
      </c>
      <c r="C25" s="40"/>
      <c r="D25" s="50"/>
      <c r="E25" s="47"/>
      <c r="F25" s="1"/>
      <c r="G25" s="1"/>
      <c r="H25" s="1"/>
      <c r="I25" s="1"/>
      <c r="J25" s="1"/>
      <c r="K25" s="1"/>
      <c r="L25" s="1"/>
      <c r="M25" s="1"/>
      <c r="N25" s="51" t="s">
        <v>77</v>
      </c>
      <c r="O25" s="25" t="s">
        <v>33</v>
      </c>
      <c r="P25" s="1"/>
      <c r="Q25" s="1"/>
      <c r="R25" s="1"/>
    </row>
    <row r="26">
      <c r="A26" s="1"/>
      <c r="B26" s="44">
        <v>4.0</v>
      </c>
      <c r="C26" s="45"/>
      <c r="D26" s="46"/>
      <c r="E26" s="47"/>
      <c r="F26" s="1"/>
      <c r="G26" s="1"/>
      <c r="H26" s="1"/>
      <c r="I26" s="1"/>
      <c r="J26" s="1"/>
      <c r="K26" s="1"/>
      <c r="L26" s="1"/>
      <c r="M26" s="1"/>
      <c r="N26" s="52" t="s">
        <v>79</v>
      </c>
      <c r="O26" s="49" t="s">
        <v>55</v>
      </c>
      <c r="P26" s="1"/>
      <c r="Q26" s="1"/>
      <c r="R26" s="1"/>
    </row>
    <row r="27">
      <c r="A27" s="1"/>
      <c r="B27" s="39"/>
      <c r="C27" s="53"/>
      <c r="D27" s="41"/>
      <c r="E27" s="42"/>
      <c r="F27" s="1"/>
      <c r="G27" s="1"/>
      <c r="H27" s="1"/>
      <c r="I27" s="1"/>
      <c r="J27" s="1"/>
      <c r="K27" s="1"/>
      <c r="L27" s="1"/>
      <c r="M27" s="1"/>
      <c r="N27" s="54"/>
      <c r="O27" s="1"/>
      <c r="P27" s="1"/>
      <c r="Q27" s="1"/>
      <c r="R27" s="1"/>
    </row>
    <row r="28">
      <c r="A28" s="1"/>
      <c r="B28" s="44"/>
      <c r="C28" s="55"/>
      <c r="D28" s="56"/>
      <c r="E28" s="42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9"/>
      <c r="C29" s="53"/>
      <c r="D29" s="41"/>
      <c r="E29" s="42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4"/>
      <c r="C30" s="55"/>
      <c r="D30" s="56"/>
      <c r="E30" s="42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9"/>
      <c r="C31" s="53"/>
      <c r="D31" s="41"/>
      <c r="E31" s="4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4"/>
      <c r="C32" s="55"/>
      <c r="D32" s="56"/>
      <c r="E32" s="4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7"/>
      <c r="C33" s="58"/>
      <c r="D33" s="59"/>
      <c r="E33" s="4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0">
        <f>SUM(D23:D33)</f>
        <v>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"-,JIJANG,ADDEL,PENTIL,FAHME,INDAH"</formula1>
    </dataValidation>
    <dataValidation type="list" allowBlank="1" showDropDown="1" showErrorMessage="1" sqref="D4:D9 D11:D18">
      <formula1>"-,Single,Couple A,Couple B,Group A,Group B,Group C,Large Group,Graduation,Graduation Premium,Family A,Family B,Maternity,Concept,Studio Rent,Pas Foto,Single,Add Person ,Add Edit,Add Cetak 16Rs"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D10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  <dataValidation type="list" allowBlank="1" showDropDown="1" showErrorMessage="1" sqref="M4:M18 O25:O26">
      <formula1>"-,VERO,FADEL,PENTIL,HANIF ,ADIF"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38">
        <v>2.0</v>
      </c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293</v>
      </c>
      <c r="D4" s="16" t="s">
        <v>36</v>
      </c>
      <c r="E4" s="17"/>
      <c r="F4" s="18">
        <v>46080.0</v>
      </c>
      <c r="G4" s="19"/>
      <c r="H4" s="21">
        <v>100000.0</v>
      </c>
      <c r="I4" s="22" t="s">
        <v>25</v>
      </c>
      <c r="J4" s="22"/>
      <c r="K4" s="22"/>
      <c r="L4" s="22" t="s">
        <v>31</v>
      </c>
      <c r="M4" s="22"/>
      <c r="N4" s="23"/>
      <c r="O4" s="23"/>
      <c r="P4" s="24">
        <v>45231.0</v>
      </c>
      <c r="Q4" s="1"/>
      <c r="R4" s="1"/>
    </row>
    <row r="5">
      <c r="A5" s="1"/>
      <c r="B5" s="14">
        <v>2.0</v>
      </c>
      <c r="C5" s="15" t="s">
        <v>294</v>
      </c>
      <c r="D5" s="16" t="s">
        <v>22</v>
      </c>
      <c r="E5" s="17"/>
      <c r="F5" s="18">
        <v>46078.0</v>
      </c>
      <c r="G5" s="19"/>
      <c r="H5" s="21">
        <v>315000.0</v>
      </c>
      <c r="I5" s="22" t="s">
        <v>26</v>
      </c>
      <c r="J5" s="22" t="s">
        <v>28</v>
      </c>
      <c r="K5" s="22" t="s">
        <v>29</v>
      </c>
      <c r="L5" s="22" t="s">
        <v>31</v>
      </c>
      <c r="M5" s="22" t="s">
        <v>55</v>
      </c>
      <c r="N5" s="25"/>
      <c r="O5" s="25"/>
      <c r="P5" s="26"/>
      <c r="Q5" s="1"/>
      <c r="R5" s="1"/>
    </row>
    <row r="6">
      <c r="A6" s="1"/>
      <c r="B6" s="14">
        <v>3.0</v>
      </c>
      <c r="C6" s="15" t="s">
        <v>295</v>
      </c>
      <c r="D6" s="16" t="s">
        <v>36</v>
      </c>
      <c r="E6" s="17"/>
      <c r="F6" s="27">
        <v>46080.0</v>
      </c>
      <c r="G6" s="28"/>
      <c r="H6" s="21">
        <v>100000.0</v>
      </c>
      <c r="I6" s="22" t="s">
        <v>25</v>
      </c>
      <c r="J6" s="22"/>
      <c r="K6" s="22"/>
      <c r="L6" s="22" t="s">
        <v>31</v>
      </c>
      <c r="M6" s="29"/>
      <c r="N6" s="25"/>
      <c r="O6" s="25"/>
      <c r="P6" s="26"/>
      <c r="Q6" s="1"/>
      <c r="R6" s="1"/>
    </row>
    <row r="7">
      <c r="A7" s="1"/>
      <c r="B7" s="14">
        <v>4.0</v>
      </c>
      <c r="C7" s="15" t="s">
        <v>296</v>
      </c>
      <c r="D7" s="16" t="s">
        <v>281</v>
      </c>
      <c r="E7" s="17"/>
      <c r="F7" s="27">
        <v>46067.0</v>
      </c>
      <c r="G7" s="19"/>
      <c r="H7" s="21">
        <v>20000.0</v>
      </c>
      <c r="I7" s="22" t="s">
        <v>26</v>
      </c>
      <c r="J7" s="22"/>
      <c r="K7" s="22"/>
      <c r="L7" s="22" t="s">
        <v>31</v>
      </c>
      <c r="M7" s="29"/>
      <c r="N7" s="25"/>
      <c r="O7" s="25"/>
      <c r="P7" s="26"/>
      <c r="Q7" s="1"/>
      <c r="R7" s="1"/>
    </row>
    <row r="8">
      <c r="A8" s="1"/>
      <c r="B8" s="14">
        <v>5.0</v>
      </c>
      <c r="C8" s="15" t="s">
        <v>298</v>
      </c>
      <c r="D8" s="16" t="s">
        <v>36</v>
      </c>
      <c r="E8" s="17"/>
      <c r="F8" s="27">
        <v>46089.0</v>
      </c>
      <c r="G8" s="19"/>
      <c r="H8" s="21">
        <v>100000.0</v>
      </c>
      <c r="I8" s="22" t="s">
        <v>25</v>
      </c>
      <c r="J8" s="22"/>
      <c r="K8" s="22"/>
      <c r="L8" s="22" t="s">
        <v>31</v>
      </c>
      <c r="M8" s="29"/>
      <c r="N8" s="25"/>
      <c r="O8" s="26"/>
      <c r="P8" s="26"/>
      <c r="Q8" s="1"/>
      <c r="R8" s="1"/>
    </row>
    <row r="9">
      <c r="A9" s="1"/>
      <c r="B9" s="14">
        <v>6.0</v>
      </c>
      <c r="C9" s="15" t="s">
        <v>299</v>
      </c>
      <c r="D9" s="16" t="s">
        <v>22</v>
      </c>
      <c r="E9" s="17"/>
      <c r="F9" s="27">
        <v>46082.0</v>
      </c>
      <c r="G9" s="19"/>
      <c r="H9" s="21">
        <v>100000.0</v>
      </c>
      <c r="I9" s="22" t="s">
        <v>25</v>
      </c>
      <c r="J9" s="22"/>
      <c r="K9" s="22"/>
      <c r="L9" s="22" t="s">
        <v>31</v>
      </c>
      <c r="M9" s="29"/>
      <c r="N9" s="25"/>
      <c r="O9" s="26"/>
      <c r="P9" s="26"/>
      <c r="Q9" s="1"/>
      <c r="R9" s="1"/>
    </row>
    <row r="10">
      <c r="A10" s="1"/>
      <c r="B10" s="14">
        <v>7.0</v>
      </c>
      <c r="C10" s="15"/>
      <c r="D10" s="16"/>
      <c r="E10" s="17"/>
      <c r="F10" s="30"/>
      <c r="G10" s="19"/>
      <c r="H10" s="31"/>
      <c r="I10" s="22"/>
      <c r="J10" s="22"/>
      <c r="K10" s="22"/>
      <c r="L10" s="29"/>
      <c r="M10" s="29"/>
      <c r="N10" s="25"/>
      <c r="O10" s="26"/>
      <c r="P10" s="26"/>
      <c r="Q10" s="1"/>
      <c r="R10" s="1"/>
    </row>
    <row r="11">
      <c r="A11" s="1"/>
      <c r="B11" s="14">
        <v>8.0</v>
      </c>
      <c r="C11" s="15"/>
      <c r="D11" s="16"/>
      <c r="E11" s="17"/>
      <c r="F11" s="30"/>
      <c r="G11" s="19"/>
      <c r="H11" s="31"/>
      <c r="I11" s="22"/>
      <c r="J11" s="22"/>
      <c r="K11" s="22"/>
      <c r="L11" s="29"/>
      <c r="M11" s="29"/>
      <c r="N11" s="25"/>
      <c r="O11" s="26"/>
      <c r="P11" s="26"/>
      <c r="Q11" s="1"/>
      <c r="R11" s="1"/>
    </row>
    <row r="12">
      <c r="A12" s="1"/>
      <c r="B12" s="14">
        <v>9.0</v>
      </c>
      <c r="C12" s="15"/>
      <c r="D12" s="16"/>
      <c r="E12" s="17"/>
      <c r="F12" s="30"/>
      <c r="G12" s="19"/>
      <c r="H12" s="31"/>
      <c r="I12" s="22"/>
      <c r="J12" s="22"/>
      <c r="K12" s="22"/>
      <c r="L12" s="29"/>
      <c r="M12" s="29"/>
      <c r="N12" s="25"/>
      <c r="O12" s="26"/>
      <c r="P12" s="26"/>
      <c r="Q12" s="1"/>
      <c r="R12" s="1"/>
    </row>
    <row r="13">
      <c r="A13" s="1"/>
      <c r="B13" s="14">
        <v>10.0</v>
      </c>
      <c r="C13" s="15"/>
      <c r="D13" s="16"/>
      <c r="E13" s="17"/>
      <c r="F13" s="30"/>
      <c r="G13" s="19"/>
      <c r="H13" s="31"/>
      <c r="I13" s="22"/>
      <c r="J13" s="22"/>
      <c r="K13" s="22"/>
      <c r="L13" s="29"/>
      <c r="M13" s="29"/>
      <c r="N13" s="25"/>
      <c r="O13" s="26"/>
      <c r="P13" s="26"/>
      <c r="Q13" s="1"/>
      <c r="R13" s="1"/>
    </row>
    <row r="14">
      <c r="A14" s="1"/>
      <c r="B14" s="30"/>
      <c r="C14" s="15"/>
      <c r="D14" s="16"/>
      <c r="E14" s="17"/>
      <c r="F14" s="30"/>
      <c r="G14" s="19"/>
      <c r="H14" s="31"/>
      <c r="I14" s="22"/>
      <c r="J14" s="22"/>
      <c r="K14" s="22"/>
      <c r="L14" s="29"/>
      <c r="M14" s="29"/>
      <c r="N14" s="25"/>
      <c r="O14" s="26"/>
      <c r="P14" s="26"/>
      <c r="Q14" s="1"/>
      <c r="R14" s="1"/>
    </row>
    <row r="15">
      <c r="A15" s="1"/>
      <c r="B15" s="30"/>
      <c r="C15" s="15"/>
      <c r="D15" s="16"/>
      <c r="E15" s="17"/>
      <c r="F15" s="30"/>
      <c r="G15" s="19"/>
      <c r="H15" s="31"/>
      <c r="I15" s="22"/>
      <c r="J15" s="22"/>
      <c r="K15" s="22"/>
      <c r="L15" s="29"/>
      <c r="M15" s="29"/>
      <c r="N15" s="25"/>
      <c r="O15" s="26"/>
      <c r="P15" s="26"/>
      <c r="Q15" s="1"/>
      <c r="R15" s="1"/>
    </row>
    <row r="16">
      <c r="A16" s="1"/>
      <c r="B16" s="30"/>
      <c r="C16" s="15"/>
      <c r="D16" s="16"/>
      <c r="E16" s="17"/>
      <c r="F16" s="30"/>
      <c r="G16" s="19"/>
      <c r="H16" s="31"/>
      <c r="I16" s="22"/>
      <c r="J16" s="22"/>
      <c r="K16" s="22"/>
      <c r="L16" s="29"/>
      <c r="M16" s="29"/>
      <c r="N16" s="25"/>
      <c r="O16" s="26"/>
      <c r="P16" s="26"/>
      <c r="Q16" s="1"/>
      <c r="R16" s="1"/>
    </row>
    <row r="17">
      <c r="A17" s="1"/>
      <c r="B17" s="30"/>
      <c r="C17" s="15"/>
      <c r="D17" s="16"/>
      <c r="E17" s="17"/>
      <c r="F17" s="30"/>
      <c r="G17" s="19"/>
      <c r="H17" s="31"/>
      <c r="I17" s="22"/>
      <c r="J17" s="22"/>
      <c r="K17" s="22"/>
      <c r="L17" s="29"/>
      <c r="M17" s="29"/>
      <c r="N17" s="25"/>
      <c r="O17" s="26"/>
      <c r="P17" s="26"/>
      <c r="Q17" s="1"/>
      <c r="R17" s="1"/>
    </row>
    <row r="18">
      <c r="A18" s="1"/>
      <c r="B18" s="30"/>
      <c r="C18" s="32"/>
      <c r="D18" s="16"/>
      <c r="E18" s="17"/>
      <c r="F18" s="30"/>
      <c r="G18" s="28"/>
      <c r="H18" s="31"/>
      <c r="I18" s="29"/>
      <c r="J18" s="29"/>
      <c r="K18" s="29"/>
      <c r="L18" s="29"/>
      <c r="M18" s="29"/>
      <c r="N18" s="33"/>
      <c r="O18" s="33"/>
      <c r="P18" s="33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4">
        <f t="shared" ref="G19:H19" si="1">SUM(G4:G18)</f>
        <v>0</v>
      </c>
      <c r="H19" s="35">
        <f t="shared" si="1"/>
        <v>735000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6" t="s">
        <v>0</v>
      </c>
      <c r="C22" s="37" t="s">
        <v>6</v>
      </c>
      <c r="D22" s="37" t="s">
        <v>70</v>
      </c>
      <c r="E22" s="38"/>
      <c r="F22" s="1"/>
      <c r="G22" s="1"/>
      <c r="H22" s="1"/>
      <c r="I22" s="1"/>
      <c r="J22" s="1"/>
      <c r="K22" s="1"/>
      <c r="L22" s="1"/>
      <c r="M22" s="1"/>
      <c r="N22" s="37" t="s">
        <v>71</v>
      </c>
      <c r="O22" s="37" t="s">
        <v>1</v>
      </c>
      <c r="P22" s="1"/>
      <c r="Q22" s="1"/>
      <c r="R22" s="1"/>
    </row>
    <row r="23">
      <c r="A23" s="1"/>
      <c r="B23" s="39">
        <v>1.0</v>
      </c>
      <c r="C23" s="40" t="s">
        <v>72</v>
      </c>
      <c r="D23" s="41">
        <f>SUM(G19)</f>
        <v>0</v>
      </c>
      <c r="E23" s="42"/>
      <c r="F23" s="1"/>
      <c r="G23" s="1"/>
      <c r="H23" s="1"/>
      <c r="I23" s="1"/>
      <c r="J23" s="1"/>
      <c r="K23" s="1"/>
      <c r="L23" s="1"/>
      <c r="M23" s="1"/>
      <c r="N23" s="43" t="s">
        <v>73</v>
      </c>
      <c r="O23" s="23" t="s">
        <v>31</v>
      </c>
      <c r="P23" s="1"/>
      <c r="Q23" s="1"/>
      <c r="R23" s="1"/>
    </row>
    <row r="24">
      <c r="A24" s="1"/>
      <c r="B24" s="44">
        <v>2.0</v>
      </c>
      <c r="C24" s="45"/>
      <c r="D24" s="46"/>
      <c r="E24" s="47"/>
      <c r="F24" s="1"/>
      <c r="G24" s="1"/>
      <c r="H24" s="1"/>
      <c r="I24" s="1"/>
      <c r="J24" s="1"/>
      <c r="K24" s="1"/>
      <c r="L24" s="1"/>
      <c r="M24" s="1"/>
      <c r="N24" s="48" t="s">
        <v>75</v>
      </c>
      <c r="O24" s="49" t="s">
        <v>31</v>
      </c>
      <c r="P24" s="1"/>
      <c r="Q24" s="1"/>
      <c r="R24" s="1"/>
    </row>
    <row r="25">
      <c r="A25" s="1"/>
      <c r="B25" s="39">
        <v>3.0</v>
      </c>
      <c r="C25" s="40"/>
      <c r="D25" s="50"/>
      <c r="E25" s="47"/>
      <c r="F25" s="1"/>
      <c r="G25" s="1"/>
      <c r="H25" s="1"/>
      <c r="I25" s="1"/>
      <c r="J25" s="1"/>
      <c r="K25" s="1"/>
      <c r="L25" s="1"/>
      <c r="M25" s="1"/>
      <c r="N25" s="51" t="s">
        <v>77</v>
      </c>
      <c r="O25" s="25" t="s">
        <v>55</v>
      </c>
      <c r="P25" s="1"/>
      <c r="Q25" s="1"/>
      <c r="R25" s="1"/>
    </row>
    <row r="26">
      <c r="A26" s="1"/>
      <c r="B26" s="44">
        <v>4.0</v>
      </c>
      <c r="C26" s="45"/>
      <c r="D26" s="46"/>
      <c r="E26" s="47"/>
      <c r="F26" s="1"/>
      <c r="G26" s="1"/>
      <c r="H26" s="1"/>
      <c r="I26" s="1"/>
      <c r="J26" s="1"/>
      <c r="K26" s="1"/>
      <c r="L26" s="1"/>
      <c r="M26" s="1"/>
      <c r="N26" s="52" t="s">
        <v>79</v>
      </c>
      <c r="O26" s="49" t="s">
        <v>44</v>
      </c>
      <c r="P26" s="1"/>
      <c r="Q26" s="1"/>
      <c r="R26" s="1"/>
    </row>
    <row r="27">
      <c r="A27" s="1"/>
      <c r="B27" s="39"/>
      <c r="C27" s="53"/>
      <c r="D27" s="41"/>
      <c r="E27" s="42"/>
      <c r="F27" s="1"/>
      <c r="G27" s="1"/>
      <c r="H27" s="1"/>
      <c r="I27" s="1"/>
      <c r="J27" s="1"/>
      <c r="K27" s="1"/>
      <c r="L27" s="1"/>
      <c r="M27" s="1"/>
      <c r="N27" s="54"/>
      <c r="O27" s="1"/>
      <c r="P27" s="1"/>
      <c r="Q27" s="1"/>
      <c r="R27" s="1"/>
    </row>
    <row r="28">
      <c r="A28" s="1"/>
      <c r="B28" s="44"/>
      <c r="C28" s="55"/>
      <c r="D28" s="56"/>
      <c r="E28" s="42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9"/>
      <c r="C29" s="53"/>
      <c r="D29" s="41"/>
      <c r="E29" s="42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4"/>
      <c r="C30" s="55"/>
      <c r="D30" s="56"/>
      <c r="E30" s="42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9"/>
      <c r="C31" s="53"/>
      <c r="D31" s="41"/>
      <c r="E31" s="4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4"/>
      <c r="C32" s="55"/>
      <c r="D32" s="56"/>
      <c r="E32" s="4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7"/>
      <c r="C33" s="58"/>
      <c r="D33" s="59"/>
      <c r="E33" s="4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0">
        <f>SUM(D23:D33)</f>
        <v>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Edit,Packing"</formula1>
    </dataValidation>
    <dataValidation type="list" allowBlank="1" showDropDown="1" showErrorMessage="1" sqref="L4:L18 O23:O24">
      <formula1>"-,JIJANG,ADDEL,PENTIL,FAHME"</formula1>
    </dataValidation>
    <dataValidation type="list" allowBlank="1" showDropDown="1" showErrorMessage="1" sqref="M4:M18 O25:O26">
      <formula1>"-,VERO,FADEL,ADIF ,HANIF 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38">
        <v>2.0</v>
      </c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297</v>
      </c>
      <c r="D4" s="16" t="s">
        <v>60</v>
      </c>
      <c r="E4" s="17"/>
      <c r="F4" s="18">
        <v>46079.0</v>
      </c>
      <c r="G4" s="19"/>
      <c r="H4" s="21">
        <v>100000.0</v>
      </c>
      <c r="I4" s="22" t="s">
        <v>25</v>
      </c>
      <c r="J4" s="22"/>
      <c r="K4" s="22"/>
      <c r="L4" s="22" t="s">
        <v>27</v>
      </c>
      <c r="M4" s="22"/>
      <c r="N4" s="23"/>
      <c r="O4" s="23"/>
      <c r="P4" s="24">
        <v>45231.0</v>
      </c>
      <c r="Q4" s="1"/>
      <c r="R4" s="1"/>
    </row>
    <row r="5">
      <c r="A5" s="1"/>
      <c r="B5" s="14">
        <v>2.0</v>
      </c>
      <c r="C5" s="15" t="s">
        <v>300</v>
      </c>
      <c r="D5" s="16" t="s">
        <v>98</v>
      </c>
      <c r="E5" s="17"/>
      <c r="F5" s="18">
        <v>46080.0</v>
      </c>
      <c r="G5" s="19"/>
      <c r="H5" s="21">
        <v>100000.0</v>
      </c>
      <c r="I5" s="22" t="s">
        <v>26</v>
      </c>
      <c r="J5" s="22"/>
      <c r="K5" s="22"/>
      <c r="L5" s="22" t="s">
        <v>27</v>
      </c>
      <c r="M5" s="22"/>
      <c r="N5" s="25"/>
      <c r="O5" s="25"/>
      <c r="P5" s="26"/>
      <c r="Q5" s="1"/>
      <c r="R5" s="1"/>
    </row>
    <row r="6">
      <c r="A6" s="1"/>
      <c r="B6" s="14">
        <v>3.0</v>
      </c>
      <c r="C6" s="15" t="s">
        <v>301</v>
      </c>
      <c r="D6" s="16" t="s">
        <v>21</v>
      </c>
      <c r="E6" s="17"/>
      <c r="F6" s="27">
        <v>46112.0</v>
      </c>
      <c r="G6" s="28"/>
      <c r="H6" s="21">
        <v>100000.0</v>
      </c>
      <c r="I6" s="22" t="s">
        <v>25</v>
      </c>
      <c r="J6" s="22"/>
      <c r="K6" s="22"/>
      <c r="L6" s="22" t="s">
        <v>27</v>
      </c>
      <c r="M6" s="29"/>
      <c r="N6" s="25"/>
      <c r="O6" s="25"/>
      <c r="P6" s="26"/>
      <c r="Q6" s="1"/>
      <c r="R6" s="1"/>
    </row>
    <row r="7">
      <c r="A7" s="1"/>
      <c r="B7" s="14">
        <v>4.0</v>
      </c>
      <c r="C7" s="15" t="s">
        <v>302</v>
      </c>
      <c r="D7" s="16" t="s">
        <v>43</v>
      </c>
      <c r="E7" s="17"/>
      <c r="F7" s="27">
        <v>46080.0</v>
      </c>
      <c r="G7" s="19"/>
      <c r="H7" s="21">
        <v>100000.0</v>
      </c>
      <c r="I7" s="22" t="s">
        <v>25</v>
      </c>
      <c r="J7" s="22"/>
      <c r="K7" s="22"/>
      <c r="L7" s="22" t="s">
        <v>27</v>
      </c>
      <c r="M7" s="29"/>
      <c r="N7" s="25"/>
      <c r="O7" s="25"/>
      <c r="P7" s="26"/>
      <c r="Q7" s="1"/>
      <c r="R7" s="1"/>
    </row>
    <row r="8">
      <c r="A8" s="1"/>
      <c r="B8" s="14">
        <v>5.0</v>
      </c>
      <c r="C8" s="15" t="s">
        <v>303</v>
      </c>
      <c r="D8" s="16" t="s">
        <v>36</v>
      </c>
      <c r="E8" s="17"/>
      <c r="F8" s="27">
        <v>46079.0</v>
      </c>
      <c r="G8" s="19"/>
      <c r="H8" s="21">
        <v>175000.0</v>
      </c>
      <c r="I8" s="22" t="s">
        <v>26</v>
      </c>
      <c r="J8" s="22" t="s">
        <v>28</v>
      </c>
      <c r="K8" s="22" t="s">
        <v>28</v>
      </c>
      <c r="L8" s="22" t="s">
        <v>27</v>
      </c>
      <c r="M8" s="22" t="s">
        <v>55</v>
      </c>
      <c r="N8" s="25"/>
      <c r="O8" s="26"/>
      <c r="P8" s="26"/>
      <c r="Q8" s="1"/>
      <c r="R8" s="1"/>
    </row>
    <row r="9">
      <c r="A9" s="1"/>
      <c r="B9" s="14">
        <v>6.0</v>
      </c>
      <c r="C9" s="15" t="s">
        <v>240</v>
      </c>
      <c r="D9" s="16" t="s">
        <v>305</v>
      </c>
      <c r="E9" s="17"/>
      <c r="F9" s="20">
        <v>46067.0</v>
      </c>
      <c r="G9" s="19">
        <v>125000.0</v>
      </c>
      <c r="H9" s="31"/>
      <c r="I9" s="22" t="s">
        <v>26</v>
      </c>
      <c r="J9" s="22"/>
      <c r="K9" s="22"/>
      <c r="L9" s="22" t="s">
        <v>30</v>
      </c>
      <c r="M9" s="29"/>
      <c r="N9" s="25"/>
      <c r="O9" s="26"/>
      <c r="P9" s="26"/>
      <c r="Q9" s="1"/>
      <c r="R9" s="1"/>
    </row>
    <row r="10">
      <c r="A10" s="1"/>
      <c r="B10" s="14">
        <v>7.0</v>
      </c>
      <c r="C10" s="15" t="s">
        <v>306</v>
      </c>
      <c r="D10" s="16" t="s">
        <v>125</v>
      </c>
      <c r="E10" s="17"/>
      <c r="F10" s="18">
        <v>45829.0</v>
      </c>
      <c r="G10" s="19"/>
      <c r="H10" s="21">
        <v>20000.0</v>
      </c>
      <c r="I10" s="22" t="s">
        <v>26</v>
      </c>
      <c r="J10" s="22"/>
      <c r="K10" s="22"/>
      <c r="L10" s="22" t="s">
        <v>30</v>
      </c>
      <c r="M10" s="29"/>
      <c r="N10" s="25"/>
      <c r="O10" s="26"/>
      <c r="P10" s="26"/>
      <c r="Q10" s="1"/>
      <c r="R10" s="1"/>
    </row>
    <row r="11">
      <c r="A11" s="1"/>
      <c r="B11" s="14">
        <v>8.0</v>
      </c>
      <c r="C11" s="15" t="s">
        <v>290</v>
      </c>
      <c r="D11" s="16" t="s">
        <v>36</v>
      </c>
      <c r="E11" s="17"/>
      <c r="F11" s="20">
        <v>46079.0</v>
      </c>
      <c r="G11" s="19"/>
      <c r="H11" s="21">
        <v>170000.0</v>
      </c>
      <c r="I11" s="22" t="s">
        <v>26</v>
      </c>
      <c r="J11" s="22" t="s">
        <v>28</v>
      </c>
      <c r="K11" s="22" t="s">
        <v>28</v>
      </c>
      <c r="L11" s="22" t="s">
        <v>30</v>
      </c>
      <c r="M11" s="22" t="s">
        <v>55</v>
      </c>
      <c r="N11" s="25"/>
      <c r="O11" s="26"/>
      <c r="P11" s="26"/>
      <c r="Q11" s="1"/>
      <c r="R11" s="1"/>
    </row>
    <row r="12">
      <c r="A12" s="1"/>
      <c r="B12" s="14">
        <v>9.0</v>
      </c>
      <c r="C12" s="15" t="s">
        <v>309</v>
      </c>
      <c r="D12" s="16" t="s">
        <v>60</v>
      </c>
      <c r="E12" s="17"/>
      <c r="F12" s="20">
        <v>46079.0</v>
      </c>
      <c r="G12" s="19"/>
      <c r="H12" s="21">
        <v>125000.0</v>
      </c>
      <c r="I12" s="22" t="s">
        <v>26</v>
      </c>
      <c r="J12" s="22"/>
      <c r="K12" s="22"/>
      <c r="L12" s="22" t="s">
        <v>30</v>
      </c>
      <c r="M12" s="29"/>
      <c r="N12" s="25"/>
      <c r="O12" s="26"/>
      <c r="P12" s="26"/>
      <c r="Q12" s="1"/>
      <c r="R12" s="1"/>
    </row>
    <row r="13">
      <c r="A13" s="1"/>
      <c r="B13" s="14">
        <v>10.0</v>
      </c>
      <c r="C13" s="15"/>
      <c r="D13" s="16"/>
      <c r="E13" s="17"/>
      <c r="F13" s="30"/>
      <c r="G13" s="19"/>
      <c r="H13" s="31"/>
      <c r="I13" s="22"/>
      <c r="J13" s="22"/>
      <c r="K13" s="22"/>
      <c r="L13" s="29"/>
      <c r="M13" s="29"/>
      <c r="N13" s="25"/>
      <c r="O13" s="26"/>
      <c r="P13" s="26"/>
      <c r="Q13" s="1"/>
      <c r="R13" s="1"/>
    </row>
    <row r="14">
      <c r="A14" s="1"/>
      <c r="B14" s="30"/>
      <c r="C14" s="15"/>
      <c r="D14" s="16"/>
      <c r="E14" s="17"/>
      <c r="F14" s="30"/>
      <c r="G14" s="19"/>
      <c r="H14" s="31"/>
      <c r="I14" s="22"/>
      <c r="J14" s="22"/>
      <c r="K14" s="22"/>
      <c r="L14" s="29"/>
      <c r="M14" s="29"/>
      <c r="N14" s="25"/>
      <c r="O14" s="26"/>
      <c r="P14" s="26"/>
      <c r="Q14" s="1"/>
      <c r="R14" s="1"/>
    </row>
    <row r="15">
      <c r="A15" s="1"/>
      <c r="B15" s="30"/>
      <c r="C15" s="15"/>
      <c r="D15" s="16"/>
      <c r="E15" s="17"/>
      <c r="F15" s="30"/>
      <c r="G15" s="19"/>
      <c r="H15" s="31"/>
      <c r="I15" s="22"/>
      <c r="J15" s="22"/>
      <c r="K15" s="22"/>
      <c r="L15" s="29"/>
      <c r="M15" s="29"/>
      <c r="N15" s="25"/>
      <c r="O15" s="26"/>
      <c r="P15" s="26"/>
      <c r="Q15" s="1"/>
      <c r="R15" s="1"/>
    </row>
    <row r="16">
      <c r="A16" s="1"/>
      <c r="B16" s="30"/>
      <c r="C16" s="15"/>
      <c r="D16" s="16"/>
      <c r="E16" s="17"/>
      <c r="F16" s="30"/>
      <c r="G16" s="19"/>
      <c r="H16" s="31"/>
      <c r="I16" s="22"/>
      <c r="J16" s="22"/>
      <c r="K16" s="22"/>
      <c r="L16" s="29"/>
      <c r="M16" s="29"/>
      <c r="N16" s="25"/>
      <c r="O16" s="26"/>
      <c r="P16" s="26"/>
      <c r="Q16" s="1"/>
      <c r="R16" s="1"/>
    </row>
    <row r="17">
      <c r="A17" s="1"/>
      <c r="B17" s="30"/>
      <c r="C17" s="15"/>
      <c r="D17" s="16"/>
      <c r="E17" s="17"/>
      <c r="F17" s="30"/>
      <c r="G17" s="19"/>
      <c r="H17" s="31"/>
      <c r="I17" s="22"/>
      <c r="J17" s="22"/>
      <c r="K17" s="22"/>
      <c r="L17" s="29"/>
      <c r="M17" s="29"/>
      <c r="N17" s="25"/>
      <c r="O17" s="26"/>
      <c r="P17" s="26"/>
      <c r="Q17" s="1"/>
      <c r="R17" s="1"/>
    </row>
    <row r="18">
      <c r="A18" s="1"/>
      <c r="B18" s="30"/>
      <c r="C18" s="32"/>
      <c r="D18" s="16"/>
      <c r="E18" s="17"/>
      <c r="F18" s="30"/>
      <c r="G18" s="28"/>
      <c r="H18" s="31"/>
      <c r="I18" s="29"/>
      <c r="J18" s="29"/>
      <c r="K18" s="29"/>
      <c r="L18" s="29"/>
      <c r="M18" s="29"/>
      <c r="N18" s="33"/>
      <c r="O18" s="33"/>
      <c r="P18" s="33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4">
        <f t="shared" ref="G19:H19" si="1">SUM(G4:G18)</f>
        <v>125000</v>
      </c>
      <c r="H19" s="35">
        <f t="shared" si="1"/>
        <v>890000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6" t="s">
        <v>0</v>
      </c>
      <c r="C22" s="37" t="s">
        <v>6</v>
      </c>
      <c r="D22" s="37" t="s">
        <v>70</v>
      </c>
      <c r="E22" s="38"/>
      <c r="F22" s="1"/>
      <c r="G22" s="1"/>
      <c r="H22" s="1"/>
      <c r="I22" s="1"/>
      <c r="J22" s="1"/>
      <c r="K22" s="1"/>
      <c r="L22" s="1"/>
      <c r="M22" s="1"/>
      <c r="N22" s="37" t="s">
        <v>71</v>
      </c>
      <c r="O22" s="37" t="s">
        <v>1</v>
      </c>
      <c r="P22" s="1"/>
      <c r="Q22" s="1"/>
      <c r="R22" s="1"/>
    </row>
    <row r="23">
      <c r="A23" s="1"/>
      <c r="B23" s="39">
        <v>1.0</v>
      </c>
      <c r="C23" s="40" t="s">
        <v>72</v>
      </c>
      <c r="D23" s="41">
        <f>SUM(G19)</f>
        <v>125000</v>
      </c>
      <c r="E23" s="42"/>
      <c r="F23" s="1"/>
      <c r="G23" s="1"/>
      <c r="H23" s="1"/>
      <c r="I23" s="1"/>
      <c r="J23" s="1"/>
      <c r="K23" s="1"/>
      <c r="L23" s="1"/>
      <c r="M23" s="1"/>
      <c r="N23" s="43" t="s">
        <v>73</v>
      </c>
      <c r="O23" s="23" t="s">
        <v>27</v>
      </c>
      <c r="P23" s="1"/>
      <c r="Q23" s="1"/>
      <c r="R23" s="1"/>
    </row>
    <row r="24">
      <c r="A24" s="1"/>
      <c r="B24" s="44">
        <v>2.0</v>
      </c>
      <c r="C24" s="45" t="s">
        <v>76</v>
      </c>
      <c r="D24" s="46">
        <v>-25000.0</v>
      </c>
      <c r="E24" s="47"/>
      <c r="F24" s="1"/>
      <c r="G24" s="1"/>
      <c r="H24" s="1"/>
      <c r="I24" s="1"/>
      <c r="J24" s="1"/>
      <c r="K24" s="1"/>
      <c r="L24" s="1"/>
      <c r="M24" s="1"/>
      <c r="N24" s="48" t="s">
        <v>75</v>
      </c>
      <c r="O24" s="49" t="s">
        <v>30</v>
      </c>
      <c r="P24" s="1"/>
      <c r="Q24" s="1"/>
      <c r="R24" s="1"/>
    </row>
    <row r="25">
      <c r="A25" s="1"/>
      <c r="B25" s="39">
        <v>3.0</v>
      </c>
      <c r="C25" s="40"/>
      <c r="D25" s="50"/>
      <c r="E25" s="47"/>
      <c r="F25" s="1"/>
      <c r="G25" s="1"/>
      <c r="H25" s="1"/>
      <c r="I25" s="1"/>
      <c r="J25" s="1"/>
      <c r="K25" s="1"/>
      <c r="L25" s="1"/>
      <c r="M25" s="1"/>
      <c r="N25" s="51" t="s">
        <v>77</v>
      </c>
      <c r="O25" s="25" t="s">
        <v>55</v>
      </c>
      <c r="P25" s="1"/>
      <c r="Q25" s="1"/>
      <c r="R25" s="1"/>
    </row>
    <row r="26">
      <c r="A26" s="1"/>
      <c r="B26" s="44">
        <v>4.0</v>
      </c>
      <c r="C26" s="45"/>
      <c r="D26" s="46"/>
      <c r="E26" s="47"/>
      <c r="F26" s="1"/>
      <c r="G26" s="1"/>
      <c r="H26" s="1"/>
      <c r="I26" s="1"/>
      <c r="J26" s="1"/>
      <c r="K26" s="1"/>
      <c r="L26" s="1"/>
      <c r="M26" s="1"/>
      <c r="N26" s="52" t="s">
        <v>79</v>
      </c>
      <c r="O26" s="49" t="s">
        <v>55</v>
      </c>
      <c r="P26" s="1"/>
      <c r="Q26" s="1"/>
      <c r="R26" s="1"/>
    </row>
    <row r="27">
      <c r="A27" s="1"/>
      <c r="B27" s="39"/>
      <c r="C27" s="53"/>
      <c r="D27" s="41"/>
      <c r="E27" s="42"/>
      <c r="F27" s="1"/>
      <c r="G27" s="1"/>
      <c r="H27" s="1"/>
      <c r="I27" s="1"/>
      <c r="J27" s="1"/>
      <c r="K27" s="1"/>
      <c r="L27" s="1"/>
      <c r="M27" s="1"/>
      <c r="N27" s="54"/>
      <c r="O27" s="1"/>
      <c r="P27" s="1"/>
      <c r="Q27" s="1"/>
      <c r="R27" s="1"/>
    </row>
    <row r="28">
      <c r="A28" s="1"/>
      <c r="B28" s="44"/>
      <c r="C28" s="55"/>
      <c r="D28" s="56"/>
      <c r="E28" s="42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9"/>
      <c r="C29" s="53"/>
      <c r="D29" s="41"/>
      <c r="E29" s="42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4"/>
      <c r="C30" s="55"/>
      <c r="D30" s="56"/>
      <c r="E30" s="42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9"/>
      <c r="C31" s="53"/>
      <c r="D31" s="41"/>
      <c r="E31" s="4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4"/>
      <c r="C32" s="55"/>
      <c r="D32" s="56"/>
      <c r="E32" s="4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7"/>
      <c r="C33" s="58"/>
      <c r="D33" s="59"/>
      <c r="E33" s="4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0">
        <f>SUM(D23:D33)</f>
        <v>100000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"-,JIJANG,ADDEL ,PENTIL,FAHME,INDAH"</formula1>
    </dataValidation>
    <dataValidation type="list" allowBlank="1" showDropDown="1" showErrorMessage="1" sqref="M4:M18 O25:O26">
      <formula1>"-,VERO,FADEL,PENTIL,HANIF 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Edit,Pas Foto,Frame"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38">
        <v>2.0</v>
      </c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304</v>
      </c>
      <c r="D4" s="16" t="s">
        <v>21</v>
      </c>
      <c r="E4" s="17"/>
      <c r="F4" s="18">
        <v>46112.0</v>
      </c>
      <c r="G4" s="19"/>
      <c r="H4" s="21">
        <v>100000.0</v>
      </c>
      <c r="I4" s="22" t="s">
        <v>25</v>
      </c>
      <c r="J4" s="22"/>
      <c r="K4" s="22"/>
      <c r="L4" s="22" t="s">
        <v>30</v>
      </c>
      <c r="M4" s="22"/>
      <c r="N4" s="23"/>
      <c r="O4" s="23"/>
      <c r="P4" s="24">
        <v>45231.0</v>
      </c>
      <c r="Q4" s="1"/>
      <c r="R4" s="1"/>
    </row>
    <row r="5">
      <c r="A5" s="1"/>
      <c r="B5" s="14">
        <v>2.0</v>
      </c>
      <c r="C5" s="85" t="s">
        <v>308</v>
      </c>
      <c r="D5" s="16" t="s">
        <v>21</v>
      </c>
      <c r="E5" s="17"/>
      <c r="F5" s="18">
        <v>46112.0</v>
      </c>
      <c r="G5" s="19"/>
      <c r="H5" s="21">
        <v>100000.0</v>
      </c>
      <c r="I5" s="22" t="s">
        <v>25</v>
      </c>
      <c r="J5" s="22"/>
      <c r="K5" s="22"/>
      <c r="L5" s="22" t="s">
        <v>30</v>
      </c>
      <c r="M5" s="22"/>
      <c r="N5" s="25"/>
      <c r="O5" s="25"/>
      <c r="P5" s="26"/>
      <c r="Q5" s="1"/>
      <c r="R5" s="1"/>
    </row>
    <row r="6">
      <c r="A6" s="1"/>
      <c r="B6" s="14">
        <v>3.0</v>
      </c>
      <c r="C6" s="15" t="s">
        <v>311</v>
      </c>
      <c r="D6" s="16" t="s">
        <v>98</v>
      </c>
      <c r="E6" s="17"/>
      <c r="F6" s="20">
        <v>46080.0</v>
      </c>
      <c r="G6" s="19">
        <v>0.0</v>
      </c>
      <c r="H6" s="21">
        <v>0.0</v>
      </c>
      <c r="I6" s="22" t="s">
        <v>26</v>
      </c>
      <c r="J6" s="22"/>
      <c r="K6" s="22"/>
      <c r="L6" s="22" t="s">
        <v>30</v>
      </c>
      <c r="M6" s="22" t="s">
        <v>85</v>
      </c>
      <c r="N6" s="25"/>
      <c r="O6" s="25"/>
      <c r="P6" s="26"/>
      <c r="Q6" s="1"/>
      <c r="R6" s="1"/>
    </row>
    <row r="7">
      <c r="A7" s="1"/>
      <c r="B7" s="14">
        <v>4.0</v>
      </c>
      <c r="C7" s="15" t="s">
        <v>312</v>
      </c>
      <c r="D7" s="16" t="s">
        <v>36</v>
      </c>
      <c r="E7" s="17"/>
      <c r="F7" s="20">
        <v>46112.0</v>
      </c>
      <c r="G7" s="19"/>
      <c r="H7" s="21">
        <v>100000.0</v>
      </c>
      <c r="I7" s="22" t="s">
        <v>25</v>
      </c>
      <c r="J7" s="22"/>
      <c r="K7" s="22"/>
      <c r="L7" s="22" t="s">
        <v>30</v>
      </c>
      <c r="M7" s="29"/>
      <c r="N7" s="25"/>
      <c r="O7" s="25"/>
      <c r="P7" s="26"/>
      <c r="Q7" s="1"/>
      <c r="R7" s="1"/>
    </row>
    <row r="8">
      <c r="A8" s="1"/>
      <c r="B8" s="14">
        <v>5.0</v>
      </c>
      <c r="C8" s="15" t="s">
        <v>314</v>
      </c>
      <c r="D8" s="16" t="s">
        <v>22</v>
      </c>
      <c r="E8" s="17"/>
      <c r="F8" s="20">
        <v>46081.0</v>
      </c>
      <c r="G8" s="19"/>
      <c r="H8" s="21">
        <v>100000.0</v>
      </c>
      <c r="I8" s="22" t="s">
        <v>25</v>
      </c>
      <c r="J8" s="22"/>
      <c r="K8" s="22"/>
      <c r="L8" s="22" t="s">
        <v>30</v>
      </c>
      <c r="M8" s="29"/>
      <c r="N8" s="25"/>
      <c r="O8" s="26"/>
      <c r="P8" s="26"/>
      <c r="Q8" s="1"/>
      <c r="R8" s="1"/>
    </row>
    <row r="9">
      <c r="A9" s="1"/>
      <c r="B9" s="14">
        <v>6.0</v>
      </c>
      <c r="C9" s="15" t="s">
        <v>293</v>
      </c>
      <c r="D9" s="16" t="s">
        <v>36</v>
      </c>
      <c r="E9" s="61">
        <v>0.1</v>
      </c>
      <c r="F9" s="20">
        <v>46080.0</v>
      </c>
      <c r="G9" s="19">
        <v>260000.0</v>
      </c>
      <c r="H9" s="31"/>
      <c r="I9" s="22" t="s">
        <v>26</v>
      </c>
      <c r="J9" s="22" t="s">
        <v>28</v>
      </c>
      <c r="K9" s="22" t="s">
        <v>28</v>
      </c>
      <c r="L9" s="22" t="s">
        <v>30</v>
      </c>
      <c r="M9" s="22" t="s">
        <v>85</v>
      </c>
      <c r="N9" s="25"/>
      <c r="O9" s="26"/>
      <c r="P9" s="26"/>
      <c r="Q9" s="1"/>
      <c r="R9" s="1"/>
    </row>
    <row r="10">
      <c r="A10" s="1"/>
      <c r="B10" s="14">
        <v>7.0</v>
      </c>
      <c r="C10" s="15" t="s">
        <v>317</v>
      </c>
      <c r="D10" s="16" t="s">
        <v>36</v>
      </c>
      <c r="E10" s="61">
        <v>0.1</v>
      </c>
      <c r="F10" s="27">
        <v>46080.0</v>
      </c>
      <c r="G10" s="19">
        <v>462500.0</v>
      </c>
      <c r="H10" s="31"/>
      <c r="I10" s="22" t="s">
        <v>26</v>
      </c>
      <c r="J10" s="22" t="s">
        <v>28</v>
      </c>
      <c r="K10" s="22" t="s">
        <v>29</v>
      </c>
      <c r="L10" s="22" t="s">
        <v>31</v>
      </c>
      <c r="M10" s="22" t="s">
        <v>85</v>
      </c>
      <c r="N10" s="25"/>
      <c r="O10" s="26"/>
      <c r="P10" s="26"/>
      <c r="Q10" s="1"/>
      <c r="R10" s="1"/>
    </row>
    <row r="11">
      <c r="A11" s="1"/>
      <c r="B11" s="14">
        <v>8.0</v>
      </c>
      <c r="C11" s="15" t="s">
        <v>320</v>
      </c>
      <c r="D11" s="16" t="s">
        <v>43</v>
      </c>
      <c r="E11" s="61">
        <v>0.1</v>
      </c>
      <c r="F11" s="27">
        <v>46080.0</v>
      </c>
      <c r="G11" s="19"/>
      <c r="H11" s="21">
        <v>35000.0</v>
      </c>
      <c r="I11" s="22" t="s">
        <v>26</v>
      </c>
      <c r="J11" s="22" t="s">
        <v>28</v>
      </c>
      <c r="K11" s="22" t="s">
        <v>28</v>
      </c>
      <c r="L11" s="22" t="s">
        <v>31</v>
      </c>
      <c r="M11" s="22" t="s">
        <v>44</v>
      </c>
      <c r="N11" s="25"/>
      <c r="O11" s="26"/>
      <c r="P11" s="26"/>
      <c r="Q11" s="1"/>
      <c r="R11" s="1"/>
    </row>
    <row r="12">
      <c r="A12" s="1"/>
      <c r="B12" s="14">
        <v>9.0</v>
      </c>
      <c r="C12" s="15" t="s">
        <v>322</v>
      </c>
      <c r="D12" s="16" t="s">
        <v>136</v>
      </c>
      <c r="E12" s="61">
        <v>0.1</v>
      </c>
      <c r="F12" s="27">
        <v>46080.0</v>
      </c>
      <c r="G12" s="19">
        <v>180000.0</v>
      </c>
      <c r="H12" s="31"/>
      <c r="I12" s="22" t="s">
        <v>26</v>
      </c>
      <c r="J12" s="22" t="s">
        <v>28</v>
      </c>
      <c r="K12" s="22" t="s">
        <v>29</v>
      </c>
      <c r="L12" s="22" t="s">
        <v>31</v>
      </c>
      <c r="M12" s="22" t="s">
        <v>44</v>
      </c>
      <c r="N12" s="25"/>
      <c r="O12" s="26"/>
      <c r="P12" s="26"/>
      <c r="Q12" s="1"/>
      <c r="R12" s="1"/>
    </row>
    <row r="13">
      <c r="A13" s="1"/>
      <c r="B13" s="14">
        <v>10.0</v>
      </c>
      <c r="C13" s="15" t="s">
        <v>324</v>
      </c>
      <c r="D13" s="16" t="s">
        <v>36</v>
      </c>
      <c r="E13" s="17"/>
      <c r="F13" s="27">
        <v>46084.0</v>
      </c>
      <c r="G13" s="19"/>
      <c r="H13" s="21">
        <v>100000.0</v>
      </c>
      <c r="I13" s="22" t="s">
        <v>25</v>
      </c>
      <c r="J13" s="22"/>
      <c r="K13" s="22"/>
      <c r="L13" s="22" t="s">
        <v>31</v>
      </c>
      <c r="M13" s="29"/>
      <c r="N13" s="25"/>
      <c r="O13" s="26"/>
      <c r="P13" s="26"/>
      <c r="Q13" s="1"/>
      <c r="R13" s="1"/>
    </row>
    <row r="14">
      <c r="A14" s="1"/>
      <c r="B14" s="30"/>
      <c r="C14" s="15"/>
      <c r="D14" s="16"/>
      <c r="E14" s="17"/>
      <c r="F14" s="30"/>
      <c r="G14" s="19"/>
      <c r="H14" s="31"/>
      <c r="I14" s="22"/>
      <c r="J14" s="22"/>
      <c r="K14" s="22"/>
      <c r="L14" s="29"/>
      <c r="M14" s="29"/>
      <c r="N14" s="25"/>
      <c r="O14" s="26"/>
      <c r="P14" s="26"/>
      <c r="Q14" s="1"/>
      <c r="R14" s="1"/>
    </row>
    <row r="15">
      <c r="A15" s="1"/>
      <c r="B15" s="30"/>
      <c r="C15" s="15"/>
      <c r="D15" s="16"/>
      <c r="E15" s="17"/>
      <c r="F15" s="30"/>
      <c r="G15" s="19"/>
      <c r="H15" s="31"/>
      <c r="I15" s="22"/>
      <c r="J15" s="22"/>
      <c r="K15" s="22"/>
      <c r="L15" s="29"/>
      <c r="M15" s="29"/>
      <c r="N15" s="25"/>
      <c r="O15" s="26"/>
      <c r="P15" s="26"/>
      <c r="Q15" s="1"/>
      <c r="R15" s="1"/>
    </row>
    <row r="16">
      <c r="A16" s="1"/>
      <c r="B16" s="30"/>
      <c r="C16" s="15"/>
      <c r="D16" s="16"/>
      <c r="E16" s="17"/>
      <c r="F16" s="30"/>
      <c r="G16" s="19"/>
      <c r="H16" s="31"/>
      <c r="I16" s="22"/>
      <c r="J16" s="22"/>
      <c r="K16" s="22"/>
      <c r="L16" s="29"/>
      <c r="M16" s="29"/>
      <c r="N16" s="25"/>
      <c r="O16" s="26"/>
      <c r="P16" s="26"/>
      <c r="Q16" s="1"/>
      <c r="R16" s="1"/>
    </row>
    <row r="17">
      <c r="A17" s="1"/>
      <c r="B17" s="30"/>
      <c r="C17" s="15"/>
      <c r="D17" s="16"/>
      <c r="E17" s="17"/>
      <c r="F17" s="30"/>
      <c r="G17" s="19"/>
      <c r="H17" s="31"/>
      <c r="I17" s="22"/>
      <c r="J17" s="22"/>
      <c r="K17" s="22"/>
      <c r="L17" s="29"/>
      <c r="M17" s="29"/>
      <c r="N17" s="25"/>
      <c r="O17" s="26"/>
      <c r="P17" s="26"/>
      <c r="Q17" s="1"/>
      <c r="R17" s="1"/>
    </row>
    <row r="18">
      <c r="A18" s="1"/>
      <c r="B18" s="30"/>
      <c r="C18" s="32"/>
      <c r="D18" s="16"/>
      <c r="E18" s="17"/>
      <c r="F18" s="30"/>
      <c r="G18" s="28"/>
      <c r="H18" s="31"/>
      <c r="I18" s="29"/>
      <c r="J18" s="29"/>
      <c r="K18" s="29"/>
      <c r="L18" s="29"/>
      <c r="M18" s="29"/>
      <c r="N18" s="33"/>
      <c r="O18" s="33"/>
      <c r="P18" s="33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4">
        <f t="shared" ref="G19:H19" si="1">SUM(G4:G18)</f>
        <v>902500</v>
      </c>
      <c r="H19" s="35">
        <f t="shared" si="1"/>
        <v>535000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6" t="s">
        <v>0</v>
      </c>
      <c r="C22" s="37" t="s">
        <v>6</v>
      </c>
      <c r="D22" s="37" t="s">
        <v>70</v>
      </c>
      <c r="E22" s="38"/>
      <c r="F22" s="1"/>
      <c r="G22" s="1"/>
      <c r="H22" s="1"/>
      <c r="I22" s="1"/>
      <c r="J22" s="1"/>
      <c r="K22" s="1"/>
      <c r="L22" s="1"/>
      <c r="M22" s="1"/>
      <c r="N22" s="37" t="s">
        <v>71</v>
      </c>
      <c r="O22" s="37" t="s">
        <v>1</v>
      </c>
      <c r="P22" s="1"/>
      <c r="Q22" s="1"/>
      <c r="R22" s="1"/>
    </row>
    <row r="23">
      <c r="A23" s="1"/>
      <c r="B23" s="39">
        <v>1.0</v>
      </c>
      <c r="C23" s="40" t="s">
        <v>72</v>
      </c>
      <c r="D23" s="41">
        <f>SUM(G19)</f>
        <v>902500</v>
      </c>
      <c r="E23" s="42"/>
      <c r="F23" s="1"/>
      <c r="G23" s="1"/>
      <c r="H23" s="1"/>
      <c r="I23" s="1"/>
      <c r="J23" s="1"/>
      <c r="K23" s="1"/>
      <c r="L23" s="1"/>
      <c r="M23" s="1"/>
      <c r="N23" s="43" t="s">
        <v>73</v>
      </c>
      <c r="O23" s="23" t="s">
        <v>30</v>
      </c>
      <c r="P23" s="1"/>
      <c r="Q23" s="1"/>
      <c r="R23" s="1"/>
    </row>
    <row r="24">
      <c r="A24" s="1"/>
      <c r="B24" s="44">
        <v>2.0</v>
      </c>
      <c r="C24" s="45" t="s">
        <v>76</v>
      </c>
      <c r="D24" s="46">
        <v>-50000.0</v>
      </c>
      <c r="E24" s="47"/>
      <c r="F24" s="1"/>
      <c r="G24" s="1"/>
      <c r="H24" s="1"/>
      <c r="I24" s="1"/>
      <c r="J24" s="1"/>
      <c r="K24" s="1"/>
      <c r="L24" s="1"/>
      <c r="M24" s="1"/>
      <c r="N24" s="48" t="s">
        <v>75</v>
      </c>
      <c r="O24" s="49" t="s">
        <v>31</v>
      </c>
      <c r="P24" s="1"/>
      <c r="Q24" s="1"/>
      <c r="R24" s="1"/>
    </row>
    <row r="25">
      <c r="A25" s="1"/>
      <c r="B25" s="39">
        <v>3.0</v>
      </c>
      <c r="C25" s="40" t="s">
        <v>328</v>
      </c>
      <c r="D25" s="50">
        <v>-12500.0</v>
      </c>
      <c r="E25" s="47"/>
      <c r="F25" s="1"/>
      <c r="G25" s="1"/>
      <c r="H25" s="1"/>
      <c r="I25" s="1"/>
      <c r="J25" s="1"/>
      <c r="K25" s="1"/>
      <c r="L25" s="1"/>
      <c r="M25" s="1"/>
      <c r="N25" s="51" t="s">
        <v>77</v>
      </c>
      <c r="O25" s="25" t="s">
        <v>85</v>
      </c>
      <c r="P25" s="1"/>
      <c r="Q25" s="1"/>
      <c r="R25" s="1"/>
    </row>
    <row r="26">
      <c r="A26" s="1"/>
      <c r="B26" s="44">
        <v>4.0</v>
      </c>
      <c r="C26" s="45" t="s">
        <v>178</v>
      </c>
      <c r="D26" s="46">
        <v>-40000.0</v>
      </c>
      <c r="E26" s="47"/>
      <c r="F26" s="1"/>
      <c r="G26" s="1"/>
      <c r="H26" s="1"/>
      <c r="I26" s="1"/>
      <c r="J26" s="1"/>
      <c r="K26" s="1"/>
      <c r="L26" s="1"/>
      <c r="M26" s="1"/>
      <c r="N26" s="52" t="s">
        <v>79</v>
      </c>
      <c r="O26" s="49" t="s">
        <v>44</v>
      </c>
      <c r="P26" s="1"/>
      <c r="Q26" s="1"/>
      <c r="R26" s="1"/>
    </row>
    <row r="27">
      <c r="A27" s="1"/>
      <c r="B27" s="39"/>
      <c r="C27" s="40"/>
      <c r="D27" s="41"/>
      <c r="E27" s="42"/>
      <c r="F27" s="1"/>
      <c r="G27" s="1"/>
      <c r="H27" s="1"/>
      <c r="I27" s="1"/>
      <c r="J27" s="1"/>
      <c r="K27" s="1"/>
      <c r="L27" s="1"/>
      <c r="M27" s="1"/>
      <c r="N27" s="54"/>
      <c r="O27" s="1"/>
      <c r="P27" s="1"/>
      <c r="Q27" s="1"/>
      <c r="R27" s="1"/>
    </row>
    <row r="28">
      <c r="A28" s="1"/>
      <c r="B28" s="44"/>
      <c r="C28" s="55"/>
      <c r="D28" s="56"/>
      <c r="E28" s="42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9"/>
      <c r="C29" s="53"/>
      <c r="D29" s="41"/>
      <c r="E29" s="42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4"/>
      <c r="C30" s="55"/>
      <c r="D30" s="56"/>
      <c r="E30" s="42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9"/>
      <c r="C31" s="53"/>
      <c r="D31" s="41"/>
      <c r="E31" s="4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4"/>
      <c r="C32" s="55"/>
      <c r="D32" s="56"/>
      <c r="E32" s="4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7"/>
      <c r="C33" s="58"/>
      <c r="D33" s="59"/>
      <c r="E33" s="4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0">
        <f>SUM(D23:D33)</f>
        <v>800000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"-,JIJANG,ADDEL,PENTIL,FAHME,INDAH"</formula1>
    </dataValidation>
    <dataValidation type="list" allowBlank="1" showDropDown="1" showErrorMessage="1" sqref="M4:M18 O25:O26">
      <formula1>"-,VERO,FADEL,PENTIL,FAHME,ADIF "</formula1>
    </dataValidation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38">
        <v>2.0</v>
      </c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307</v>
      </c>
      <c r="D4" s="16" t="s">
        <v>310</v>
      </c>
      <c r="E4" s="17"/>
      <c r="F4" s="18">
        <v>46084.0</v>
      </c>
      <c r="G4" s="19"/>
      <c r="H4" s="21">
        <v>100000.0</v>
      </c>
      <c r="I4" s="22" t="s">
        <v>25</v>
      </c>
      <c r="J4" s="22"/>
      <c r="K4" s="22"/>
      <c r="L4" s="22" t="s">
        <v>31</v>
      </c>
      <c r="M4" s="22"/>
      <c r="N4" s="23"/>
      <c r="O4" s="23"/>
      <c r="P4" s="24">
        <v>45231.0</v>
      </c>
      <c r="Q4" s="1"/>
      <c r="R4" s="1"/>
    </row>
    <row r="5">
      <c r="A5" s="1"/>
      <c r="B5" s="14">
        <v>2.0</v>
      </c>
      <c r="C5" s="15" t="s">
        <v>313</v>
      </c>
      <c r="D5" s="16" t="s">
        <v>21</v>
      </c>
      <c r="E5" s="17"/>
      <c r="F5" s="27">
        <v>46112.0</v>
      </c>
      <c r="G5" s="19"/>
      <c r="H5" s="21">
        <v>100000.0</v>
      </c>
      <c r="I5" s="22" t="s">
        <v>25</v>
      </c>
      <c r="J5" s="22"/>
      <c r="K5" s="22"/>
      <c r="L5" s="22" t="s">
        <v>31</v>
      </c>
      <c r="M5" s="22"/>
      <c r="N5" s="25"/>
      <c r="O5" s="25"/>
      <c r="P5" s="26"/>
      <c r="Q5" s="1"/>
      <c r="R5" s="1"/>
    </row>
    <row r="6">
      <c r="A6" s="1"/>
      <c r="B6" s="14">
        <v>3.0</v>
      </c>
      <c r="C6" s="15" t="s">
        <v>315</v>
      </c>
      <c r="D6" s="16" t="s">
        <v>43</v>
      </c>
      <c r="E6" s="17"/>
      <c r="F6" s="27">
        <v>46104.0</v>
      </c>
      <c r="G6" s="28"/>
      <c r="H6" s="21">
        <v>100000.0</v>
      </c>
      <c r="I6" s="22" t="s">
        <v>25</v>
      </c>
      <c r="J6" s="22"/>
      <c r="K6" s="22"/>
      <c r="L6" s="22" t="s">
        <v>31</v>
      </c>
      <c r="M6" s="29"/>
      <c r="N6" s="25"/>
      <c r="O6" s="25"/>
      <c r="P6" s="26"/>
      <c r="Q6" s="1"/>
      <c r="R6" s="1"/>
    </row>
    <row r="7">
      <c r="A7" s="1"/>
      <c r="B7" s="14">
        <v>4.0</v>
      </c>
      <c r="C7" s="15" t="s">
        <v>316</v>
      </c>
      <c r="D7" s="16" t="s">
        <v>22</v>
      </c>
      <c r="E7" s="17"/>
      <c r="F7" s="86">
        <v>46081.0</v>
      </c>
      <c r="G7" s="19"/>
      <c r="H7" s="21">
        <v>145000.0</v>
      </c>
      <c r="I7" s="22" t="s">
        <v>26</v>
      </c>
      <c r="J7" s="22" t="s">
        <v>28</v>
      </c>
      <c r="K7" s="22" t="s">
        <v>29</v>
      </c>
      <c r="L7" s="22" t="s">
        <v>31</v>
      </c>
      <c r="M7" s="22" t="s">
        <v>44</v>
      </c>
      <c r="N7" s="25"/>
      <c r="O7" s="25"/>
      <c r="P7" s="26"/>
      <c r="Q7" s="1"/>
      <c r="R7" s="1"/>
    </row>
    <row r="8">
      <c r="A8" s="1"/>
      <c r="B8" s="14">
        <v>5.0</v>
      </c>
      <c r="C8" s="15" t="s">
        <v>318</v>
      </c>
      <c r="D8" s="16" t="s">
        <v>21</v>
      </c>
      <c r="E8" s="17"/>
      <c r="F8" s="27">
        <v>46112.0</v>
      </c>
      <c r="G8" s="19"/>
      <c r="H8" s="21">
        <v>100000.0</v>
      </c>
      <c r="I8" s="22" t="s">
        <v>25</v>
      </c>
      <c r="J8" s="22"/>
      <c r="K8" s="22"/>
      <c r="L8" s="22" t="s">
        <v>31</v>
      </c>
      <c r="M8" s="29"/>
      <c r="N8" s="25"/>
      <c r="O8" s="26"/>
      <c r="P8" s="26"/>
      <c r="Q8" s="1"/>
      <c r="R8" s="1"/>
    </row>
    <row r="9">
      <c r="A9" s="1"/>
      <c r="B9" s="14">
        <v>6.0</v>
      </c>
      <c r="C9" s="15" t="s">
        <v>319</v>
      </c>
      <c r="D9" s="16" t="s">
        <v>22</v>
      </c>
      <c r="E9" s="17"/>
      <c r="F9" s="27">
        <v>46104.0</v>
      </c>
      <c r="G9" s="19"/>
      <c r="H9" s="21">
        <v>100000.0</v>
      </c>
      <c r="I9" s="22" t="s">
        <v>25</v>
      </c>
      <c r="J9" s="22"/>
      <c r="K9" s="22"/>
      <c r="L9" s="22" t="s">
        <v>31</v>
      </c>
      <c r="M9" s="29"/>
      <c r="N9" s="25"/>
      <c r="O9" s="26"/>
      <c r="P9" s="26"/>
      <c r="Q9" s="1"/>
      <c r="R9" s="1"/>
    </row>
    <row r="10">
      <c r="A10" s="1"/>
      <c r="B10" s="14">
        <v>7.0</v>
      </c>
      <c r="C10" s="15" t="s">
        <v>321</v>
      </c>
      <c r="D10" s="16" t="s">
        <v>36</v>
      </c>
      <c r="E10" s="17"/>
      <c r="F10" s="27">
        <v>46081.0</v>
      </c>
      <c r="G10" s="19">
        <v>1175000.0</v>
      </c>
      <c r="H10" s="31"/>
      <c r="I10" s="22" t="s">
        <v>26</v>
      </c>
      <c r="J10" s="22" t="s">
        <v>28</v>
      </c>
      <c r="K10" s="22" t="s">
        <v>28</v>
      </c>
      <c r="L10" s="22" t="s">
        <v>31</v>
      </c>
      <c r="M10" s="22" t="s">
        <v>44</v>
      </c>
      <c r="N10" s="25"/>
      <c r="O10" s="26"/>
      <c r="P10" s="26"/>
      <c r="Q10" s="1"/>
      <c r="R10" s="1"/>
    </row>
    <row r="11">
      <c r="A11" s="1"/>
      <c r="B11" s="14">
        <v>8.0</v>
      </c>
      <c r="C11" s="15" t="s">
        <v>323</v>
      </c>
      <c r="D11" s="16" t="s">
        <v>98</v>
      </c>
      <c r="E11" s="17"/>
      <c r="F11" s="27">
        <v>46081.0</v>
      </c>
      <c r="G11" s="19"/>
      <c r="H11" s="21">
        <v>45000.0</v>
      </c>
      <c r="I11" s="22" t="s">
        <v>26</v>
      </c>
      <c r="J11" s="22" t="s">
        <v>28</v>
      </c>
      <c r="K11" s="22" t="s">
        <v>28</v>
      </c>
      <c r="L11" s="22" t="s">
        <v>31</v>
      </c>
      <c r="M11" s="22" t="s">
        <v>44</v>
      </c>
      <c r="N11" s="25"/>
      <c r="O11" s="26"/>
      <c r="P11" s="26"/>
      <c r="Q11" s="1"/>
      <c r="R11" s="1"/>
    </row>
    <row r="12">
      <c r="A12" s="1"/>
      <c r="B12" s="14">
        <v>9.0</v>
      </c>
      <c r="C12" s="15" t="s">
        <v>325</v>
      </c>
      <c r="D12" s="16" t="s">
        <v>36</v>
      </c>
      <c r="E12" s="17"/>
      <c r="F12" s="27">
        <v>46083.0</v>
      </c>
      <c r="G12" s="19"/>
      <c r="H12" s="21">
        <v>100000.0</v>
      </c>
      <c r="I12" s="22" t="s">
        <v>25</v>
      </c>
      <c r="J12" s="22"/>
      <c r="K12" s="22"/>
      <c r="L12" s="22" t="s">
        <v>31</v>
      </c>
      <c r="M12" s="29"/>
      <c r="N12" s="25"/>
      <c r="O12" s="26"/>
      <c r="P12" s="26"/>
      <c r="Q12" s="1"/>
      <c r="R12" s="1"/>
    </row>
    <row r="13">
      <c r="A13" s="1"/>
      <c r="B13" s="14">
        <v>10.0</v>
      </c>
      <c r="C13" s="15" t="s">
        <v>326</v>
      </c>
      <c r="D13" s="16" t="s">
        <v>21</v>
      </c>
      <c r="E13" s="17"/>
      <c r="F13" s="20">
        <v>46112.0</v>
      </c>
      <c r="G13" s="19"/>
      <c r="H13" s="21">
        <v>100000.0</v>
      </c>
      <c r="I13" s="22" t="s">
        <v>25</v>
      </c>
      <c r="J13" s="22"/>
      <c r="K13" s="22"/>
      <c r="L13" s="22" t="s">
        <v>30</v>
      </c>
      <c r="M13" s="29"/>
      <c r="N13" s="25"/>
      <c r="O13" s="26"/>
      <c r="P13" s="26"/>
      <c r="Q13" s="1"/>
      <c r="R13" s="1"/>
    </row>
    <row r="14">
      <c r="A14" s="1"/>
      <c r="B14" s="30"/>
      <c r="C14" s="15" t="s">
        <v>327</v>
      </c>
      <c r="D14" s="16" t="s">
        <v>36</v>
      </c>
      <c r="E14" s="61">
        <v>0.1</v>
      </c>
      <c r="F14" s="20">
        <v>46081.0</v>
      </c>
      <c r="G14" s="19"/>
      <c r="H14" s="21">
        <v>247500.0</v>
      </c>
      <c r="I14" s="22" t="s">
        <v>26</v>
      </c>
      <c r="J14" s="22" t="s">
        <v>28</v>
      </c>
      <c r="K14" s="22" t="s">
        <v>28</v>
      </c>
      <c r="L14" s="22" t="s">
        <v>30</v>
      </c>
      <c r="M14" s="22" t="s">
        <v>44</v>
      </c>
      <c r="N14" s="25"/>
      <c r="O14" s="26"/>
      <c r="P14" s="26"/>
      <c r="Q14" s="1"/>
      <c r="R14" s="1"/>
    </row>
    <row r="15">
      <c r="A15" s="1"/>
      <c r="B15" s="30"/>
      <c r="C15" s="15"/>
      <c r="D15" s="16"/>
      <c r="E15" s="17"/>
      <c r="F15" s="30"/>
      <c r="G15" s="19"/>
      <c r="H15" s="31"/>
      <c r="I15" s="22"/>
      <c r="J15" s="22"/>
      <c r="K15" s="22"/>
      <c r="L15" s="29"/>
      <c r="M15" s="29"/>
      <c r="N15" s="25"/>
      <c r="O15" s="26"/>
      <c r="P15" s="26"/>
      <c r="Q15" s="1"/>
      <c r="R15" s="1"/>
    </row>
    <row r="16">
      <c r="A16" s="1"/>
      <c r="B16" s="30"/>
      <c r="C16" s="15"/>
      <c r="D16" s="16"/>
      <c r="E16" s="17"/>
      <c r="F16" s="30"/>
      <c r="G16" s="19"/>
      <c r="H16" s="31"/>
      <c r="I16" s="22"/>
      <c r="J16" s="22"/>
      <c r="K16" s="22"/>
      <c r="L16" s="29"/>
      <c r="M16" s="29"/>
      <c r="N16" s="25"/>
      <c r="O16" s="26"/>
      <c r="P16" s="26"/>
      <c r="Q16" s="1"/>
      <c r="R16" s="1"/>
    </row>
    <row r="17">
      <c r="A17" s="1"/>
      <c r="B17" s="30"/>
      <c r="C17" s="15"/>
      <c r="D17" s="16"/>
      <c r="E17" s="17"/>
      <c r="F17" s="30"/>
      <c r="G17" s="19"/>
      <c r="H17" s="31"/>
      <c r="I17" s="22"/>
      <c r="J17" s="22"/>
      <c r="K17" s="22"/>
      <c r="L17" s="29"/>
      <c r="M17" s="29"/>
      <c r="N17" s="25"/>
      <c r="O17" s="26"/>
      <c r="P17" s="26"/>
      <c r="Q17" s="1"/>
      <c r="R17" s="1"/>
    </row>
    <row r="18">
      <c r="A18" s="1"/>
      <c r="B18" s="30"/>
      <c r="C18" s="32"/>
      <c r="D18" s="16"/>
      <c r="E18" s="17"/>
      <c r="F18" s="30"/>
      <c r="G18" s="28"/>
      <c r="H18" s="31"/>
      <c r="I18" s="29"/>
      <c r="J18" s="29"/>
      <c r="K18" s="29"/>
      <c r="L18" s="29"/>
      <c r="M18" s="29"/>
      <c r="N18" s="33"/>
      <c r="O18" s="33"/>
      <c r="P18" s="33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4">
        <f t="shared" ref="G19:H19" si="1">SUM(G4:G18)</f>
        <v>1175000</v>
      </c>
      <c r="H19" s="35">
        <f t="shared" si="1"/>
        <v>1137500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6" t="s">
        <v>0</v>
      </c>
      <c r="C22" s="37" t="s">
        <v>6</v>
      </c>
      <c r="D22" s="37" t="s">
        <v>70</v>
      </c>
      <c r="E22" s="38"/>
      <c r="F22" s="1"/>
      <c r="G22" s="1"/>
      <c r="H22" s="1"/>
      <c r="I22" s="1"/>
      <c r="J22" s="1"/>
      <c r="K22" s="1"/>
      <c r="L22" s="1"/>
      <c r="M22" s="1"/>
      <c r="N22" s="37" t="s">
        <v>71</v>
      </c>
      <c r="O22" s="37" t="s">
        <v>1</v>
      </c>
      <c r="P22" s="1"/>
      <c r="Q22" s="1"/>
      <c r="R22" s="1"/>
    </row>
    <row r="23">
      <c r="A23" s="1"/>
      <c r="B23" s="39">
        <v>1.0</v>
      </c>
      <c r="C23" s="40" t="s">
        <v>72</v>
      </c>
      <c r="D23" s="41">
        <f>SUM(G19)</f>
        <v>1175000</v>
      </c>
      <c r="E23" s="42"/>
      <c r="F23" s="1"/>
      <c r="G23" s="1"/>
      <c r="H23" s="1"/>
      <c r="I23" s="1"/>
      <c r="J23" s="1"/>
      <c r="K23" s="1"/>
      <c r="L23" s="1"/>
      <c r="M23" s="1"/>
      <c r="N23" s="43" t="s">
        <v>73</v>
      </c>
      <c r="O23" s="23" t="s">
        <v>31</v>
      </c>
      <c r="P23" s="1"/>
      <c r="Q23" s="1"/>
      <c r="R23" s="1"/>
    </row>
    <row r="24">
      <c r="A24" s="1"/>
      <c r="B24" s="44">
        <v>2.0</v>
      </c>
      <c r="C24" s="45" t="s">
        <v>76</v>
      </c>
      <c r="D24" s="46">
        <v>-75000.0</v>
      </c>
      <c r="E24" s="47"/>
      <c r="F24" s="1"/>
      <c r="G24" s="1"/>
      <c r="H24" s="1"/>
      <c r="I24" s="1"/>
      <c r="J24" s="1"/>
      <c r="K24" s="1"/>
      <c r="L24" s="1"/>
      <c r="M24" s="1"/>
      <c r="N24" s="48" t="s">
        <v>75</v>
      </c>
      <c r="O24" s="49" t="s">
        <v>30</v>
      </c>
      <c r="P24" s="1"/>
      <c r="Q24" s="1"/>
      <c r="R24" s="1"/>
    </row>
    <row r="25">
      <c r="A25" s="1"/>
      <c r="B25" s="39">
        <v>3.0</v>
      </c>
      <c r="C25" s="40" t="s">
        <v>178</v>
      </c>
      <c r="D25" s="50">
        <v>-50000.0</v>
      </c>
      <c r="E25" s="47"/>
      <c r="F25" s="1"/>
      <c r="G25" s="1"/>
      <c r="H25" s="1"/>
      <c r="I25" s="1"/>
      <c r="J25" s="1"/>
      <c r="K25" s="1"/>
      <c r="L25" s="1"/>
      <c r="M25" s="1"/>
      <c r="N25" s="51" t="s">
        <v>77</v>
      </c>
      <c r="O25" s="25" t="s">
        <v>44</v>
      </c>
      <c r="P25" s="1"/>
      <c r="Q25" s="1"/>
      <c r="R25" s="1"/>
    </row>
    <row r="26">
      <c r="A26" s="1"/>
      <c r="B26" s="44">
        <v>4.0</v>
      </c>
      <c r="C26" s="45"/>
      <c r="D26" s="46"/>
      <c r="E26" s="47"/>
      <c r="F26" s="1"/>
      <c r="G26" s="1"/>
      <c r="H26" s="1"/>
      <c r="I26" s="1"/>
      <c r="J26" s="1"/>
      <c r="K26" s="1"/>
      <c r="L26" s="1"/>
      <c r="M26" s="1"/>
      <c r="N26" s="52" t="s">
        <v>79</v>
      </c>
      <c r="O26" s="49" t="s">
        <v>44</v>
      </c>
      <c r="P26" s="1"/>
      <c r="Q26" s="1"/>
      <c r="R26" s="1"/>
    </row>
    <row r="27">
      <c r="A27" s="1"/>
      <c r="B27" s="39"/>
      <c r="C27" s="53"/>
      <c r="D27" s="41"/>
      <c r="E27" s="42"/>
      <c r="F27" s="1"/>
      <c r="G27" s="1"/>
      <c r="H27" s="1"/>
      <c r="I27" s="1"/>
      <c r="J27" s="1"/>
      <c r="K27" s="1"/>
      <c r="L27" s="1"/>
      <c r="M27" s="1"/>
      <c r="N27" s="54"/>
      <c r="O27" s="1"/>
      <c r="P27" s="1"/>
      <c r="Q27" s="1"/>
      <c r="R27" s="1"/>
    </row>
    <row r="28">
      <c r="A28" s="1"/>
      <c r="B28" s="44"/>
      <c r="C28" s="55"/>
      <c r="D28" s="56"/>
      <c r="E28" s="42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9"/>
      <c r="C29" s="53"/>
      <c r="D29" s="41"/>
      <c r="E29" s="42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4"/>
      <c r="C30" s="55"/>
      <c r="D30" s="56"/>
      <c r="E30" s="42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9"/>
      <c r="C31" s="53"/>
      <c r="D31" s="41"/>
      <c r="E31" s="4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4"/>
      <c r="C32" s="55"/>
      <c r="D32" s="56"/>
      <c r="E32" s="4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7"/>
      <c r="C33" s="58"/>
      <c r="D33" s="59"/>
      <c r="E33" s="4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0">
        <f>SUM(D23:D33)</f>
        <v>1050000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"-,JIJANG,AXEL,ADDEL,FAHME,INDAH"</formula1>
    </dataValidation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Edit,Photofox 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M4:M18 O25:O26">
      <formula1>"-,VERO,FADEL,PENTIL,ADIF 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/>
      <c r="D4" s="16"/>
      <c r="E4" s="17"/>
      <c r="F4" s="18">
        <v>45231.0</v>
      </c>
      <c r="G4" s="19"/>
      <c r="H4" s="21"/>
      <c r="I4" s="22"/>
      <c r="J4" s="22"/>
      <c r="K4" s="22"/>
      <c r="L4" s="22"/>
      <c r="M4" s="22"/>
      <c r="N4" s="23"/>
      <c r="O4" s="23"/>
      <c r="P4" s="24">
        <v>45231.0</v>
      </c>
      <c r="Q4" s="1"/>
      <c r="R4" s="1"/>
    </row>
    <row r="5">
      <c r="A5" s="1"/>
      <c r="B5" s="14">
        <v>2.0</v>
      </c>
      <c r="C5" s="15"/>
      <c r="D5" s="16"/>
      <c r="E5" s="17"/>
      <c r="F5" s="18"/>
      <c r="G5" s="19"/>
      <c r="H5" s="21"/>
      <c r="I5" s="22"/>
      <c r="J5" s="22"/>
      <c r="K5" s="22"/>
      <c r="L5" s="22"/>
      <c r="M5" s="22"/>
      <c r="N5" s="25"/>
      <c r="O5" s="25"/>
      <c r="P5" s="26"/>
      <c r="Q5" s="1"/>
      <c r="R5" s="1"/>
    </row>
    <row r="6">
      <c r="A6" s="1"/>
      <c r="B6" s="14">
        <v>3.0</v>
      </c>
      <c r="C6" s="15"/>
      <c r="D6" s="16"/>
      <c r="E6" s="17"/>
      <c r="F6" s="30"/>
      <c r="G6" s="28"/>
      <c r="H6" s="21"/>
      <c r="I6" s="22"/>
      <c r="J6" s="22"/>
      <c r="K6" s="22"/>
      <c r="L6" s="29"/>
      <c r="M6" s="29"/>
      <c r="N6" s="25"/>
      <c r="O6" s="25"/>
      <c r="P6" s="26"/>
      <c r="Q6" s="1"/>
      <c r="R6" s="1"/>
    </row>
    <row r="7">
      <c r="A7" s="1"/>
      <c r="B7" s="14">
        <v>4.0</v>
      </c>
      <c r="C7" s="15"/>
      <c r="D7" s="16"/>
      <c r="E7" s="17"/>
      <c r="F7" s="30"/>
      <c r="G7" s="19"/>
      <c r="H7" s="31"/>
      <c r="I7" s="22"/>
      <c r="J7" s="22"/>
      <c r="K7" s="22"/>
      <c r="L7" s="29"/>
      <c r="M7" s="29"/>
      <c r="N7" s="25"/>
      <c r="O7" s="25"/>
      <c r="P7" s="26"/>
      <c r="Q7" s="1"/>
      <c r="R7" s="1"/>
    </row>
    <row r="8">
      <c r="A8" s="1"/>
      <c r="B8" s="14">
        <v>5.0</v>
      </c>
      <c r="C8" s="15"/>
      <c r="D8" s="16"/>
      <c r="E8" s="17"/>
      <c r="F8" s="30"/>
      <c r="G8" s="19"/>
      <c r="H8" s="31"/>
      <c r="I8" s="22"/>
      <c r="J8" s="22"/>
      <c r="K8" s="22"/>
      <c r="L8" s="29"/>
      <c r="M8" s="29"/>
      <c r="N8" s="25"/>
      <c r="O8" s="26"/>
      <c r="P8" s="26"/>
      <c r="Q8" s="1"/>
      <c r="R8" s="1"/>
    </row>
    <row r="9">
      <c r="A9" s="1"/>
      <c r="B9" s="14">
        <v>6.0</v>
      </c>
      <c r="C9" s="15"/>
      <c r="D9" s="16"/>
      <c r="E9" s="17"/>
      <c r="F9" s="30"/>
      <c r="G9" s="19"/>
      <c r="H9" s="31"/>
      <c r="I9" s="22"/>
      <c r="J9" s="22"/>
      <c r="K9" s="22"/>
      <c r="L9" s="29"/>
      <c r="M9" s="29"/>
      <c r="N9" s="25"/>
      <c r="O9" s="26"/>
      <c r="P9" s="26"/>
      <c r="Q9" s="1"/>
      <c r="R9" s="1"/>
    </row>
    <row r="10">
      <c r="A10" s="1"/>
      <c r="B10" s="14">
        <v>7.0</v>
      </c>
      <c r="C10" s="15"/>
      <c r="D10" s="16"/>
      <c r="E10" s="17"/>
      <c r="F10" s="30"/>
      <c r="G10" s="19"/>
      <c r="H10" s="31"/>
      <c r="I10" s="22"/>
      <c r="J10" s="22"/>
      <c r="K10" s="22"/>
      <c r="L10" s="29"/>
      <c r="M10" s="29"/>
      <c r="N10" s="25"/>
      <c r="O10" s="26"/>
      <c r="P10" s="26"/>
      <c r="Q10" s="1"/>
      <c r="R10" s="1"/>
    </row>
    <row r="11">
      <c r="A11" s="1"/>
      <c r="B11" s="14">
        <v>8.0</v>
      </c>
      <c r="C11" s="15"/>
      <c r="D11" s="16"/>
      <c r="E11" s="17"/>
      <c r="F11" s="30"/>
      <c r="G11" s="19"/>
      <c r="H11" s="31"/>
      <c r="I11" s="22"/>
      <c r="J11" s="22"/>
      <c r="K11" s="22"/>
      <c r="L11" s="29"/>
      <c r="M11" s="29"/>
      <c r="N11" s="25"/>
      <c r="O11" s="26"/>
      <c r="P11" s="26"/>
      <c r="Q11" s="1"/>
      <c r="R11" s="1"/>
    </row>
    <row r="12">
      <c r="A12" s="1"/>
      <c r="B12" s="14">
        <v>9.0</v>
      </c>
      <c r="C12" s="15"/>
      <c r="D12" s="16"/>
      <c r="E12" s="17"/>
      <c r="F12" s="30"/>
      <c r="G12" s="19"/>
      <c r="H12" s="31"/>
      <c r="I12" s="22"/>
      <c r="J12" s="22"/>
      <c r="K12" s="22"/>
      <c r="L12" s="29"/>
      <c r="M12" s="29"/>
      <c r="N12" s="25"/>
      <c r="O12" s="26"/>
      <c r="P12" s="26"/>
      <c r="Q12" s="1"/>
      <c r="R12" s="1"/>
    </row>
    <row r="13">
      <c r="A13" s="1"/>
      <c r="B13" s="14">
        <v>10.0</v>
      </c>
      <c r="C13" s="15"/>
      <c r="D13" s="16"/>
      <c r="E13" s="17"/>
      <c r="F13" s="30"/>
      <c r="G13" s="19"/>
      <c r="H13" s="31"/>
      <c r="I13" s="22"/>
      <c r="J13" s="22"/>
      <c r="K13" s="22"/>
      <c r="L13" s="29"/>
      <c r="M13" s="29"/>
      <c r="N13" s="25"/>
      <c r="O13" s="26"/>
      <c r="P13" s="26"/>
      <c r="Q13" s="1"/>
      <c r="R13" s="1"/>
    </row>
    <row r="14">
      <c r="A14" s="1"/>
      <c r="B14" s="30"/>
      <c r="C14" s="15"/>
      <c r="D14" s="16"/>
      <c r="E14" s="17"/>
      <c r="F14" s="30"/>
      <c r="G14" s="19"/>
      <c r="H14" s="31"/>
      <c r="I14" s="22"/>
      <c r="J14" s="22"/>
      <c r="K14" s="22"/>
      <c r="L14" s="29"/>
      <c r="M14" s="29"/>
      <c r="N14" s="25"/>
      <c r="O14" s="26"/>
      <c r="P14" s="26"/>
      <c r="Q14" s="1"/>
      <c r="R14" s="1"/>
    </row>
    <row r="15">
      <c r="A15" s="1"/>
      <c r="B15" s="30"/>
      <c r="C15" s="15"/>
      <c r="D15" s="16"/>
      <c r="E15" s="17"/>
      <c r="F15" s="30"/>
      <c r="G15" s="19"/>
      <c r="H15" s="31"/>
      <c r="I15" s="22"/>
      <c r="J15" s="22"/>
      <c r="K15" s="22"/>
      <c r="L15" s="29"/>
      <c r="M15" s="29"/>
      <c r="N15" s="25"/>
      <c r="O15" s="26"/>
      <c r="P15" s="26"/>
      <c r="Q15" s="1"/>
      <c r="R15" s="1"/>
    </row>
    <row r="16">
      <c r="A16" s="1"/>
      <c r="B16" s="30"/>
      <c r="C16" s="15"/>
      <c r="D16" s="16"/>
      <c r="E16" s="17"/>
      <c r="F16" s="30"/>
      <c r="G16" s="19"/>
      <c r="H16" s="31"/>
      <c r="I16" s="22"/>
      <c r="J16" s="22"/>
      <c r="K16" s="22"/>
      <c r="L16" s="29"/>
      <c r="M16" s="29"/>
      <c r="N16" s="25"/>
      <c r="O16" s="26"/>
      <c r="P16" s="26"/>
      <c r="Q16" s="1"/>
      <c r="R16" s="1"/>
    </row>
    <row r="17">
      <c r="A17" s="1"/>
      <c r="B17" s="30"/>
      <c r="C17" s="15"/>
      <c r="D17" s="16"/>
      <c r="E17" s="17"/>
      <c r="F17" s="30"/>
      <c r="G17" s="19"/>
      <c r="H17" s="31"/>
      <c r="I17" s="22"/>
      <c r="J17" s="22"/>
      <c r="K17" s="22"/>
      <c r="L17" s="29"/>
      <c r="M17" s="29"/>
      <c r="N17" s="25"/>
      <c r="O17" s="26"/>
      <c r="P17" s="26"/>
      <c r="Q17" s="1"/>
      <c r="R17" s="1"/>
    </row>
    <row r="18">
      <c r="A18" s="1"/>
      <c r="B18" s="30"/>
      <c r="C18" s="15"/>
      <c r="D18" s="16"/>
      <c r="E18" s="17"/>
      <c r="F18" s="30"/>
      <c r="G18" s="19"/>
      <c r="H18" s="31"/>
      <c r="I18" s="22"/>
      <c r="J18" s="22"/>
      <c r="K18" s="22"/>
      <c r="L18" s="29"/>
      <c r="M18" s="29"/>
      <c r="N18" s="25"/>
      <c r="O18" s="26"/>
      <c r="P18" s="26"/>
      <c r="Q18" s="1"/>
      <c r="R18" s="1"/>
    </row>
    <row r="19">
      <c r="A19" s="1"/>
      <c r="B19" s="30"/>
      <c r="C19" s="15"/>
      <c r="D19" s="16"/>
      <c r="E19" s="17"/>
      <c r="F19" s="30"/>
      <c r="G19" s="19"/>
      <c r="H19" s="31"/>
      <c r="I19" s="22"/>
      <c r="J19" s="22"/>
      <c r="K19" s="22"/>
      <c r="L19" s="29"/>
      <c r="M19" s="29"/>
      <c r="N19" s="25"/>
      <c r="O19" s="26"/>
      <c r="P19" s="26"/>
      <c r="Q19" s="1"/>
      <c r="R19" s="1"/>
    </row>
    <row r="20">
      <c r="A20" s="1"/>
      <c r="B20" s="30"/>
      <c r="C20" s="15"/>
      <c r="D20" s="16"/>
      <c r="E20" s="17"/>
      <c r="F20" s="30"/>
      <c r="G20" s="19"/>
      <c r="H20" s="31"/>
      <c r="I20" s="22"/>
      <c r="J20" s="22"/>
      <c r="K20" s="22"/>
      <c r="L20" s="29"/>
      <c r="M20" s="29"/>
      <c r="N20" s="25"/>
      <c r="O20" s="26"/>
      <c r="P20" s="26"/>
      <c r="Q20" s="1"/>
      <c r="R20" s="1"/>
    </row>
    <row r="21">
      <c r="A21" s="1"/>
      <c r="B21" s="30"/>
      <c r="C21" s="15"/>
      <c r="D21" s="16"/>
      <c r="E21" s="17"/>
      <c r="F21" s="30"/>
      <c r="G21" s="19"/>
      <c r="H21" s="31"/>
      <c r="I21" s="22"/>
      <c r="J21" s="22"/>
      <c r="K21" s="22"/>
      <c r="L21" s="29"/>
      <c r="M21" s="29"/>
      <c r="N21" s="25"/>
      <c r="O21" s="26"/>
      <c r="P21" s="26"/>
      <c r="Q21" s="1"/>
      <c r="R21" s="1"/>
    </row>
    <row r="22">
      <c r="A22" s="1"/>
      <c r="B22" s="30"/>
      <c r="C22" s="15"/>
      <c r="D22" s="16"/>
      <c r="E22" s="17"/>
      <c r="F22" s="30"/>
      <c r="G22" s="19"/>
      <c r="H22" s="31"/>
      <c r="I22" s="22"/>
      <c r="J22" s="22"/>
      <c r="K22" s="22"/>
      <c r="L22" s="29"/>
      <c r="M22" s="29"/>
      <c r="N22" s="25"/>
      <c r="O22" s="26"/>
      <c r="P22" s="26"/>
      <c r="Q22" s="1"/>
      <c r="R22" s="1"/>
    </row>
    <row r="23">
      <c r="A23" s="1"/>
      <c r="B23" s="30"/>
      <c r="C23" s="15"/>
      <c r="D23" s="16"/>
      <c r="E23" s="17"/>
      <c r="F23" s="30"/>
      <c r="G23" s="28"/>
      <c r="H23" s="21"/>
      <c r="I23" s="22"/>
      <c r="J23" s="22"/>
      <c r="K23" s="22"/>
      <c r="L23" s="29"/>
      <c r="M23" s="29"/>
      <c r="N23" s="25"/>
      <c r="O23" s="26"/>
      <c r="P23" s="26"/>
      <c r="Q23" s="1"/>
      <c r="R23" s="1"/>
    </row>
    <row r="24">
      <c r="A24" s="1"/>
      <c r="B24" s="30"/>
      <c r="C24" s="32"/>
      <c r="D24" s="16"/>
      <c r="E24" s="17"/>
      <c r="F24" s="30"/>
      <c r="G24" s="28"/>
      <c r="H24" s="31"/>
      <c r="I24" s="29"/>
      <c r="J24" s="22"/>
      <c r="K24" s="22"/>
      <c r="L24" s="29"/>
      <c r="M24" s="29"/>
      <c r="N24" s="25"/>
      <c r="O24" s="26"/>
      <c r="P24" s="26"/>
      <c r="Q24" s="1"/>
      <c r="R24" s="1"/>
    </row>
    <row r="25">
      <c r="A25" s="1"/>
      <c r="B25" s="30"/>
      <c r="C25" s="32"/>
      <c r="D25" s="16"/>
      <c r="E25" s="17"/>
      <c r="F25" s="30"/>
      <c r="G25" s="28"/>
      <c r="H25" s="31"/>
      <c r="I25" s="29"/>
      <c r="J25" s="29"/>
      <c r="K25" s="29"/>
      <c r="L25" s="29"/>
      <c r="M25" s="29"/>
      <c r="N25" s="26"/>
      <c r="O25" s="26"/>
      <c r="P25" s="26"/>
      <c r="Q25" s="1"/>
      <c r="R25" s="1"/>
    </row>
    <row r="26">
      <c r="A26" s="1"/>
      <c r="B26" s="30"/>
      <c r="C26" s="32"/>
      <c r="D26" s="16"/>
      <c r="E26" s="17"/>
      <c r="F26" s="30"/>
      <c r="G26" s="28"/>
      <c r="H26" s="31"/>
      <c r="I26" s="29"/>
      <c r="J26" s="29"/>
      <c r="K26" s="29"/>
      <c r="L26" s="29"/>
      <c r="M26" s="29"/>
      <c r="N26" s="26"/>
      <c r="O26" s="26"/>
      <c r="P26" s="26"/>
      <c r="Q26" s="1"/>
      <c r="R26" s="1"/>
    </row>
    <row r="27">
      <c r="A27" s="1"/>
      <c r="B27" s="30"/>
      <c r="C27" s="32"/>
      <c r="D27" s="16"/>
      <c r="E27" s="17"/>
      <c r="F27" s="30"/>
      <c r="G27" s="28"/>
      <c r="H27" s="31"/>
      <c r="I27" s="29"/>
      <c r="J27" s="29"/>
      <c r="K27" s="29"/>
      <c r="L27" s="29"/>
      <c r="M27" s="29"/>
      <c r="N27" s="26"/>
      <c r="O27" s="26"/>
      <c r="P27" s="26"/>
      <c r="Q27" s="1"/>
      <c r="R27" s="1"/>
    </row>
    <row r="28">
      <c r="A28" s="1"/>
      <c r="B28" s="30"/>
      <c r="C28" s="32"/>
      <c r="D28" s="16"/>
      <c r="E28" s="17"/>
      <c r="F28" s="30"/>
      <c r="G28" s="28"/>
      <c r="H28" s="31"/>
      <c r="I28" s="29"/>
      <c r="J28" s="29"/>
      <c r="K28" s="29"/>
      <c r="L28" s="29"/>
      <c r="M28" s="29"/>
      <c r="N28" s="26"/>
      <c r="O28" s="26"/>
      <c r="P28" s="26"/>
      <c r="Q28" s="1"/>
      <c r="R28" s="1"/>
    </row>
    <row r="29">
      <c r="A29" s="1"/>
      <c r="B29" s="30"/>
      <c r="C29" s="32"/>
      <c r="D29" s="16"/>
      <c r="E29" s="17"/>
      <c r="F29" s="30"/>
      <c r="G29" s="28"/>
      <c r="H29" s="31"/>
      <c r="I29" s="29"/>
      <c r="J29" s="29"/>
      <c r="K29" s="29"/>
      <c r="L29" s="29"/>
      <c r="M29" s="29"/>
      <c r="N29" s="26"/>
      <c r="O29" s="26"/>
      <c r="P29" s="26"/>
      <c r="Q29" s="1"/>
      <c r="R29" s="1"/>
    </row>
    <row r="30">
      <c r="A30" s="1"/>
      <c r="B30" s="30"/>
      <c r="C30" s="15"/>
      <c r="D30" s="16"/>
      <c r="E30" s="17"/>
      <c r="F30" s="30"/>
      <c r="G30" s="19"/>
      <c r="H30" s="31"/>
      <c r="I30" s="29"/>
      <c r="J30" s="29"/>
      <c r="K30" s="29"/>
      <c r="L30" s="29"/>
      <c r="M30" s="29"/>
      <c r="N30" s="26"/>
      <c r="O30" s="26"/>
      <c r="P30" s="26"/>
      <c r="Q30" s="1"/>
      <c r="R30" s="1"/>
    </row>
    <row r="31">
      <c r="A31" s="1"/>
      <c r="B31" s="30"/>
      <c r="C31" s="15"/>
      <c r="D31" s="16"/>
      <c r="E31" s="17"/>
      <c r="F31" s="30"/>
      <c r="G31" s="19"/>
      <c r="H31" s="31"/>
      <c r="I31" s="29"/>
      <c r="J31" s="29"/>
      <c r="K31" s="29"/>
      <c r="L31" s="29"/>
      <c r="M31" s="29"/>
      <c r="N31" s="26"/>
      <c r="O31" s="26"/>
      <c r="P31" s="26"/>
      <c r="Q31" s="1"/>
      <c r="R31" s="1"/>
    </row>
    <row r="32">
      <c r="A32" s="1"/>
      <c r="B32" s="30"/>
      <c r="C32" s="32"/>
      <c r="D32" s="16"/>
      <c r="E32" s="17"/>
      <c r="F32" s="30"/>
      <c r="G32" s="28"/>
      <c r="H32" s="31"/>
      <c r="I32" s="29"/>
      <c r="J32" s="29"/>
      <c r="K32" s="29"/>
      <c r="L32" s="29"/>
      <c r="M32" s="29"/>
      <c r="N32" s="26"/>
      <c r="O32" s="26"/>
      <c r="P32" s="26"/>
      <c r="Q32" s="1"/>
      <c r="R32" s="1"/>
    </row>
    <row r="33">
      <c r="A33" s="1"/>
      <c r="B33" s="30"/>
      <c r="C33" s="32"/>
      <c r="D33" s="16"/>
      <c r="E33" s="17"/>
      <c r="F33" s="30"/>
      <c r="G33" s="28"/>
      <c r="H33" s="31"/>
      <c r="I33" s="29"/>
      <c r="J33" s="29"/>
      <c r="K33" s="29"/>
      <c r="L33" s="29"/>
      <c r="M33" s="29"/>
      <c r="N33" s="26"/>
      <c r="O33" s="26"/>
      <c r="P33" s="26"/>
      <c r="Q33" s="1"/>
      <c r="R33" s="1"/>
    </row>
    <row r="34">
      <c r="A34" s="1"/>
      <c r="B34" s="30"/>
      <c r="C34" s="32"/>
      <c r="D34" s="16"/>
      <c r="E34" s="17"/>
      <c r="F34" s="30"/>
      <c r="G34" s="28"/>
      <c r="H34" s="31"/>
      <c r="I34" s="29"/>
      <c r="J34" s="29"/>
      <c r="K34" s="29"/>
      <c r="L34" s="29"/>
      <c r="M34" s="29"/>
      <c r="N34" s="33"/>
      <c r="O34" s="33"/>
      <c r="P34" s="33"/>
      <c r="Q34" s="1"/>
      <c r="R34" s="1"/>
    </row>
    <row r="35" ht="18.75" customHeight="1">
      <c r="A35" s="1"/>
      <c r="B35" s="1"/>
      <c r="C35" s="2"/>
      <c r="D35" s="2"/>
      <c r="E35" s="1"/>
      <c r="F35" s="1"/>
      <c r="G35" s="34">
        <f t="shared" ref="G35:H35" si="1">SUM(G4:G34)</f>
        <v>0</v>
      </c>
      <c r="H35" s="35">
        <f t="shared" si="1"/>
        <v>0</v>
      </c>
      <c r="I35" s="1"/>
      <c r="J35" s="1"/>
      <c r="K35" s="1"/>
      <c r="L35" s="1"/>
      <c r="M35" s="1"/>
      <c r="N35" s="1"/>
      <c r="O35" s="1"/>
      <c r="P35" s="1"/>
      <c r="Q35" s="1"/>
      <c r="R35" s="1"/>
    </row>
    <row r="36" ht="23.25" customHeight="1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36" t="s">
        <v>0</v>
      </c>
      <c r="C38" s="37" t="s">
        <v>6</v>
      </c>
      <c r="D38" s="37" t="s">
        <v>70</v>
      </c>
      <c r="E38" s="38"/>
      <c r="F38" s="1"/>
      <c r="G38" s="1"/>
      <c r="H38" s="1"/>
      <c r="I38" s="1"/>
      <c r="J38" s="1"/>
      <c r="K38" s="1"/>
      <c r="L38" s="1"/>
      <c r="M38" s="1"/>
      <c r="N38" s="37" t="s">
        <v>71</v>
      </c>
      <c r="O38" s="37" t="s">
        <v>1</v>
      </c>
      <c r="P38" s="1"/>
      <c r="Q38" s="1"/>
      <c r="R38" s="1"/>
    </row>
    <row r="39">
      <c r="A39" s="1"/>
      <c r="B39" s="39">
        <v>1.0</v>
      </c>
      <c r="C39" s="40" t="s">
        <v>72</v>
      </c>
      <c r="D39" s="41">
        <f>SUM(G35)</f>
        <v>0</v>
      </c>
      <c r="E39" s="42"/>
      <c r="F39" s="1"/>
      <c r="G39" s="1"/>
      <c r="H39" s="1"/>
      <c r="I39" s="1"/>
      <c r="J39" s="1"/>
      <c r="K39" s="1"/>
      <c r="L39" s="1"/>
      <c r="M39" s="1"/>
      <c r="N39" s="43" t="s">
        <v>73</v>
      </c>
      <c r="O39" s="23"/>
      <c r="P39" s="1"/>
      <c r="Q39" s="1"/>
      <c r="R39" s="1"/>
    </row>
    <row r="40">
      <c r="A40" s="1"/>
      <c r="B40" s="44">
        <v>2.0</v>
      </c>
      <c r="C40" s="45"/>
      <c r="D40" s="46"/>
      <c r="E40" s="47"/>
      <c r="F40" s="1"/>
      <c r="G40" s="1"/>
      <c r="H40" s="1"/>
      <c r="I40" s="1"/>
      <c r="J40" s="1"/>
      <c r="K40" s="1"/>
      <c r="L40" s="1"/>
      <c r="M40" s="1"/>
      <c r="N40" s="48" t="s">
        <v>75</v>
      </c>
      <c r="O40" s="49"/>
      <c r="P40" s="1"/>
      <c r="Q40" s="1"/>
      <c r="R40" s="1"/>
    </row>
    <row r="41">
      <c r="A41" s="1"/>
      <c r="B41" s="39">
        <v>3.0</v>
      </c>
      <c r="C41" s="40"/>
      <c r="D41" s="50"/>
      <c r="E41" s="47"/>
      <c r="F41" s="1"/>
      <c r="G41" s="1"/>
      <c r="H41" s="1"/>
      <c r="I41" s="1"/>
      <c r="J41" s="1"/>
      <c r="K41" s="1"/>
      <c r="L41" s="1"/>
      <c r="M41" s="1"/>
      <c r="N41" s="51" t="s">
        <v>77</v>
      </c>
      <c r="O41" s="25"/>
      <c r="P41" s="1"/>
      <c r="Q41" s="1"/>
      <c r="R41" s="1"/>
    </row>
    <row r="42">
      <c r="A42" s="1"/>
      <c r="B42" s="44">
        <v>4.0</v>
      </c>
      <c r="C42" s="45"/>
      <c r="D42" s="46"/>
      <c r="E42" s="47"/>
      <c r="F42" s="1"/>
      <c r="G42" s="1"/>
      <c r="H42" s="1"/>
      <c r="I42" s="1"/>
      <c r="J42" s="1"/>
      <c r="K42" s="1"/>
      <c r="L42" s="1"/>
      <c r="M42" s="1"/>
      <c r="N42" s="52" t="s">
        <v>79</v>
      </c>
      <c r="O42" s="49"/>
      <c r="P42" s="1"/>
      <c r="Q42" s="1"/>
      <c r="R42" s="1"/>
    </row>
    <row r="43">
      <c r="A43" s="1"/>
      <c r="B43" s="39"/>
      <c r="C43" s="53"/>
      <c r="D43" s="41"/>
      <c r="E43" s="42"/>
      <c r="F43" s="1"/>
      <c r="G43" s="1"/>
      <c r="H43" s="1"/>
      <c r="I43" s="1"/>
      <c r="J43" s="1"/>
      <c r="K43" s="1"/>
      <c r="L43" s="1"/>
      <c r="M43" s="1"/>
      <c r="N43" s="54"/>
      <c r="O43" s="1"/>
      <c r="P43" s="1"/>
      <c r="Q43" s="1"/>
      <c r="R43" s="1"/>
    </row>
    <row r="44">
      <c r="A44" s="1"/>
      <c r="B44" s="44"/>
      <c r="C44" s="55"/>
      <c r="D44" s="56"/>
      <c r="E44" s="42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39"/>
      <c r="C45" s="53"/>
      <c r="D45" s="41"/>
      <c r="E45" s="4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A46" s="1"/>
      <c r="B46" s="44"/>
      <c r="C46" s="55"/>
      <c r="D46" s="56"/>
      <c r="E46" s="4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A47" s="1"/>
      <c r="B47" s="39"/>
      <c r="C47" s="53"/>
      <c r="D47" s="41"/>
      <c r="E47" s="42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A48" s="1"/>
      <c r="B48" s="44"/>
      <c r="C48" s="55"/>
      <c r="D48" s="56"/>
      <c r="E48" s="4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>
      <c r="A49" s="1"/>
      <c r="B49" s="57"/>
      <c r="C49" s="58"/>
      <c r="D49" s="59"/>
      <c r="E49" s="4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>
      <c r="A50" s="1"/>
      <c r="B50" s="1"/>
      <c r="C50" s="2"/>
      <c r="D50" s="60">
        <f>SUM(D39:D49)</f>
        <v>0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>
      <c r="A51" s="1"/>
      <c r="B51" s="1"/>
      <c r="C51" s="2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>
      <c r="A52" s="1"/>
      <c r="B52" s="1"/>
      <c r="C52" s="2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>
      <c r="A53" s="1"/>
      <c r="B53" s="1"/>
      <c r="C53" s="2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>
      <c r="A54" s="1"/>
      <c r="B54" s="1"/>
      <c r="C54" s="2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ErrorMessage="1" sqref="N4:N34">
      <formula1>"-,Pending,Progress,Uploaded"</formula1>
    </dataValidation>
    <dataValidation type="list" allowBlank="1" showDropDown="1" showErrorMessage="1" sqref="D4:D34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34">
      <formula1>"-,In Pikako,In Foxe"</formula1>
    </dataValidation>
    <dataValidation type="list" allowBlank="1" showDropDown="1" showErrorMessage="1" sqref="M4:M34 O41:O42">
      <formula1>"-,VERO,FADEL,PENTIL,FAHME"</formula1>
    </dataValidation>
    <dataValidation type="list" allowBlank="1" showDropDown="1" showErrorMessage="1" sqref="L4:L34 O39:O40">
      <formula1>"-,JIJANG,AXEL,PENTIL,FAHME"</formula1>
    </dataValidation>
    <dataValidation type="list" allowBlank="1" showDropDown="1" showErrorMessage="1" sqref="I4:I34">
      <formula1>"-,DP,Lunas"</formula1>
    </dataValidation>
    <dataValidation type="list" allowBlank="1" showDropDown="1" showErrorMessage="1" sqref="J4:K34">
      <formula1>"-,Pending,Uploaded"</formula1>
    </dataValidation>
  </dataValidations>
  <drawing r:id="rId1"/>
</worksheet>
</file>