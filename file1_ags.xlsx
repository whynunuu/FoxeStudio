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  <sheet state="visible" name="11" sheetId="11" r:id="rId14"/>
    <sheet state="visible" name="12" sheetId="12" r:id="rId15"/>
    <sheet state="visible" name="13" sheetId="13" r:id="rId16"/>
    <sheet state="visible" name="14" sheetId="14" r:id="rId17"/>
    <sheet state="visible" name="15" sheetId="15" r:id="rId18"/>
    <sheet state="visible" name="16" sheetId="16" r:id="rId19"/>
    <sheet state="visible" name="17" sheetId="17" r:id="rId20"/>
    <sheet state="visible" name="18" sheetId="18" r:id="rId21"/>
    <sheet state="visible" name="19" sheetId="19" r:id="rId22"/>
    <sheet state="visible" name="20" sheetId="20" r:id="rId23"/>
    <sheet state="visible" name="21" sheetId="21" r:id="rId24"/>
    <sheet state="visible" name="22" sheetId="22" r:id="rId25"/>
    <sheet state="visible" name="23" sheetId="23" r:id="rId26"/>
    <sheet state="visible" name="24" sheetId="24" r:id="rId27"/>
    <sheet state="visible" name="25" sheetId="25" r:id="rId28"/>
    <sheet state="visible" name="26" sheetId="26" r:id="rId29"/>
    <sheet state="visible" name="27" sheetId="27" r:id="rId30"/>
    <sheet state="visible" name="28" sheetId="28" r:id="rId31"/>
    <sheet state="visible" name="29" sheetId="29" r:id="rId32"/>
    <sheet state="visible" name="30" sheetId="30" r:id="rId33"/>
    <sheet state="visible" name="31" sheetId="31" r:id="rId34"/>
    <sheet state="visible" name="Draft" sheetId="32" r:id="rId35"/>
    <sheet state="visible" name="Resume Karyawan KPI" sheetId="33" r:id="rId36"/>
  </sheets>
  <definedNames/>
  <calcPr/>
  <extLst>
    <ext uri="GoogleSheetsCustomDataVersion2">
      <go:sheetsCustomData xmlns:go="http://customooxmlschemas.google.com/" r:id="rId37" roundtripDataChecksum="w+L1UAaF6wQxCaJHDZk8orZrPHzIJMCHjgT9sgag2Ow="/>
    </ext>
  </extLst>
</workbook>
</file>

<file path=xl/sharedStrings.xml><?xml version="1.0" encoding="utf-8"?>
<sst xmlns="http://schemas.openxmlformats.org/spreadsheetml/2006/main" count="4872" uniqueCount="622">
  <si>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</si>
  <si>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</si>
  <si>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</si>
  <si>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</si>
  <si>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</si>
  <si>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</si>
  <si>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</si>
  <si>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</si>
  <si>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</si>
  <si>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</si>
  <si>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</si>
  <si>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</si>
  <si>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</si>
  <si>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</si>
  <si>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</si>
  <si>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</si>
  <si>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</si>
  <si>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</si>
  <si>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Titin Setiawati</t>
  </si>
  <si>
    <t>Mamer</t>
  </si>
  <si>
    <t>Mudzrikatun Chabibah</t>
  </si>
  <si>
    <t>queena</t>
  </si>
  <si>
    <t>Graduation</t>
  </si>
  <si>
    <t>Large Group</t>
  </si>
  <si>
    <t>Family A</t>
  </si>
  <si>
    <t>3 Oktober</t>
  </si>
  <si>
    <t>4 Agustus</t>
  </si>
  <si>
    <t>2 Agustus</t>
  </si>
  <si>
    <t>DP</t>
  </si>
  <si>
    <t>AMEL</t>
  </si>
  <si>
    <t>INDAH</t>
  </si>
  <si>
    <t>Rohis Kabupaten Banyumas</t>
  </si>
  <si>
    <t>Dilla</t>
  </si>
  <si>
    <t>Fedinda Nara</t>
  </si>
  <si>
    <t>Add Cetak 16R</t>
  </si>
  <si>
    <t>Lunas</t>
  </si>
  <si>
    <t>Uploaded</t>
  </si>
  <si>
    <t>ADIF</t>
  </si>
  <si>
    <t>Nanda</t>
  </si>
  <si>
    <t>Couple A</t>
  </si>
  <si>
    <t>PMR SMPN 8 PWT</t>
  </si>
  <si>
    <t>Ersi Erinawati</t>
  </si>
  <si>
    <t>1 Agustus</t>
  </si>
  <si>
    <t>Photo Fox</t>
  </si>
  <si>
    <t>Azalya</t>
  </si>
  <si>
    <t>17 Agustus</t>
  </si>
  <si>
    <t>5 Agustus</t>
  </si>
  <si>
    <t>SAKA</t>
  </si>
  <si>
    <t>3 Agustus</t>
  </si>
  <si>
    <t>Nella</t>
  </si>
  <si>
    <t>Wafik</t>
  </si>
  <si>
    <t xml:space="preserve">Sabina Rizka </t>
  </si>
  <si>
    <t>Puput Tri</t>
  </si>
  <si>
    <t>Hana</t>
  </si>
  <si>
    <t>Akhwat</t>
  </si>
  <si>
    <t>Cintya</t>
  </si>
  <si>
    <t>Andum</t>
  </si>
  <si>
    <t>Pas Foto</t>
  </si>
  <si>
    <t>8 Agustsus</t>
  </si>
  <si>
    <t>Emillia Athena</t>
  </si>
  <si>
    <t>Single</t>
  </si>
  <si>
    <t>Althea</t>
  </si>
  <si>
    <t>2 agustus</t>
  </si>
  <si>
    <t>Iqbal</t>
  </si>
  <si>
    <t>6 Agustus</t>
  </si>
  <si>
    <t>Bila</t>
  </si>
  <si>
    <t>1 agustus</t>
  </si>
  <si>
    <t>Alfa</t>
  </si>
  <si>
    <t xml:space="preserve"> depahmi</t>
  </si>
  <si>
    <t>hana</t>
  </si>
  <si>
    <t>Adinda Salsabilla Alya Petra</t>
  </si>
  <si>
    <t>3 agustus</t>
  </si>
  <si>
    <t>9 agustus</t>
  </si>
  <si>
    <t>Dela Setyaningrum</t>
  </si>
  <si>
    <t>HMPS AKUNTANSI</t>
  </si>
  <si>
    <t>Melody</t>
  </si>
  <si>
    <t>Kiki</t>
  </si>
  <si>
    <t>Pending</t>
  </si>
  <si>
    <t>Laeli</t>
  </si>
  <si>
    <t>Depahmi</t>
  </si>
  <si>
    <t>Dewi</t>
  </si>
  <si>
    <t xml:space="preserve"> Lulu Angger</t>
  </si>
  <si>
    <t>Ladya</t>
  </si>
  <si>
    <t>Rera</t>
  </si>
  <si>
    <t>Add Edit</t>
  </si>
  <si>
    <t>Pradita</t>
  </si>
  <si>
    <t>Queena</t>
  </si>
  <si>
    <t>add 5r</t>
  </si>
  <si>
    <t>Nominal</t>
  </si>
  <si>
    <t>Shift</t>
  </si>
  <si>
    <t>Pendapatan Tunai</t>
  </si>
  <si>
    <t>Admin 1</t>
  </si>
  <si>
    <t>Gosend</t>
  </si>
  <si>
    <t>Admin 2</t>
  </si>
  <si>
    <t>Aiz Kabel</t>
  </si>
  <si>
    <t>Fotografer 1</t>
  </si>
  <si>
    <t>Adif</t>
  </si>
  <si>
    <t>Fadel</t>
  </si>
  <si>
    <t>Fotografer 2</t>
  </si>
  <si>
    <t>Penthil</t>
  </si>
  <si>
    <t>KPI HARIAN | SKALA 1-5</t>
  </si>
  <si>
    <t>Fahme</t>
  </si>
  <si>
    <t>Disiplin</t>
  </si>
  <si>
    <t>Akurasi</t>
  </si>
  <si>
    <t>SOP</t>
  </si>
  <si>
    <t>Client</t>
  </si>
  <si>
    <t>Produktivitas</t>
  </si>
  <si>
    <t>KPI Score Helper</t>
  </si>
  <si>
    <t>Status Helper</t>
  </si>
  <si>
    <t>Role Helper</t>
  </si>
  <si>
    <t>Evaluated Flag</t>
  </si>
  <si>
    <t>Effective Name</t>
  </si>
  <si>
    <t>Skala: 1 Sangat Kurang | 2 Kurang | 3 Cukup | 4 Baik | 5 Sangat Baik | Jika Nama kosong, 4 baris pertama otomatis mengikuti urutan Shift</t>
  </si>
  <si>
    <t>ADMIN FOLLOW-UP</t>
  </si>
  <si>
    <t>Saving Contact</t>
  </si>
  <si>
    <t>Reminder</t>
  </si>
  <si>
    <t>16R</t>
  </si>
  <si>
    <t>5R</t>
  </si>
  <si>
    <t>TODAY | LEADS &amp; TRANSAKSI</t>
  </si>
  <si>
    <t>Leads</t>
  </si>
  <si>
    <t>Total DP</t>
  </si>
  <si>
    <t>Sesi Foto</t>
  </si>
  <si>
    <t>Jumlah Transaksi Harian</t>
  </si>
  <si>
    <t>Conversion Rate</t>
  </si>
  <si>
    <t>Koloni</t>
  </si>
  <si>
    <t>Ardelia</t>
  </si>
  <si>
    <t>Photofox</t>
  </si>
  <si>
    <t>Dita Panve</t>
  </si>
  <si>
    <t>Deva Aprilia</t>
  </si>
  <si>
    <t>Ofa</t>
  </si>
  <si>
    <t>Family B</t>
  </si>
  <si>
    <t>-</t>
  </si>
  <si>
    <t xml:space="preserve">Add Person </t>
  </si>
  <si>
    <t>Azeya</t>
  </si>
  <si>
    <t xml:space="preserve"> Zaida</t>
  </si>
  <si>
    <t>7 Agustus</t>
  </si>
  <si>
    <t>Naura</t>
  </si>
  <si>
    <t>Inez Annisa</t>
  </si>
  <si>
    <t>8 Agustus</t>
  </si>
  <si>
    <t xml:space="preserve"> Aan Priyanto</t>
  </si>
  <si>
    <t>Add Theme/time</t>
  </si>
  <si>
    <t>Balqis Nutvi</t>
  </si>
  <si>
    <t>Uli</t>
  </si>
  <si>
    <t>Esa</t>
  </si>
  <si>
    <t>Kitara</t>
  </si>
  <si>
    <t>Tia</t>
  </si>
  <si>
    <t>Zaida</t>
  </si>
  <si>
    <t>Ratna lailatunnisa</t>
  </si>
  <si>
    <t>Rifa</t>
  </si>
  <si>
    <t>Lintang</t>
  </si>
  <si>
    <t>Afrindanti</t>
  </si>
  <si>
    <t>: Mahendra Putra Wardhana</t>
  </si>
  <si>
    <t>anasta</t>
  </si>
  <si>
    <t>Reonald</t>
  </si>
  <si>
    <t>Bangkit</t>
  </si>
  <si>
    <t>ots</t>
  </si>
  <si>
    <t>Fani</t>
  </si>
  <si>
    <t>Couple C</t>
  </si>
  <si>
    <t>Hapsari</t>
  </si>
  <si>
    <t>Studio Rent</t>
  </si>
  <si>
    <t>Ade Ayu</t>
  </si>
  <si>
    <t>Pnthil</t>
  </si>
  <si>
    <t>Nizar Ramadham</t>
  </si>
  <si>
    <t>fahme</t>
  </si>
  <si>
    <t>1 Septemer</t>
  </si>
  <si>
    <t>Qotrunnada Maulidia</t>
  </si>
  <si>
    <t>Litara</t>
  </si>
  <si>
    <t>Citra</t>
  </si>
  <si>
    <t>all soft file</t>
  </si>
  <si>
    <t>Arista</t>
  </si>
  <si>
    <t>9 Agustus</t>
  </si>
  <si>
    <t>Tecca</t>
  </si>
  <si>
    <t>12 Agustus</t>
  </si>
  <si>
    <t>Yuyun</t>
  </si>
  <si>
    <t>Indah</t>
  </si>
  <si>
    <t>Nunu</t>
  </si>
  <si>
    <t>zahra</t>
  </si>
  <si>
    <t>Yomuda</t>
  </si>
  <si>
    <t>Antari Widayanti</t>
  </si>
  <si>
    <t>All Soft File</t>
  </si>
  <si>
    <t>sidar genk</t>
  </si>
  <si>
    <t>kkn susukan 7</t>
  </si>
  <si>
    <t>Spyder</t>
  </si>
  <si>
    <t>Adinda Salsabilla</t>
  </si>
  <si>
    <t>Ratna Lailatulnis</t>
  </si>
  <si>
    <t>Dino</t>
  </si>
  <si>
    <t>Intan</t>
  </si>
  <si>
    <t>Yoshvardan</t>
  </si>
  <si>
    <t>Paps Srenooo</t>
  </si>
  <si>
    <t>10 Agustus</t>
  </si>
  <si>
    <t>HMPS AKUNTANSI S1</t>
  </si>
  <si>
    <t>Add Cetak</t>
  </si>
  <si>
    <t>10R</t>
  </si>
  <si>
    <t>DLM KMBIK</t>
  </si>
  <si>
    <t>Nana</t>
  </si>
  <si>
    <t>Graduation Premium</t>
  </si>
  <si>
    <t>Neisha</t>
  </si>
  <si>
    <t>Abdullah Asyraf</t>
  </si>
  <si>
    <t>16R + Frame</t>
  </si>
  <si>
    <t>fasya</t>
  </si>
  <si>
    <t>Puput Aditya</t>
  </si>
  <si>
    <t>Paps srenoo</t>
  </si>
  <si>
    <t>Faqih</t>
  </si>
  <si>
    <t>all file</t>
  </si>
  <si>
    <t>Saka</t>
  </si>
  <si>
    <t>Zahra</t>
  </si>
  <si>
    <t>Oktafira</t>
  </si>
  <si>
    <t>Ristina Amelia</t>
  </si>
  <si>
    <t>4 Oktober</t>
  </si>
  <si>
    <t>Fadila</t>
  </si>
  <si>
    <t>KKN Silado</t>
  </si>
  <si>
    <t>Arini Nur Fatikhah</t>
  </si>
  <si>
    <t>Ata Qonira</t>
  </si>
  <si>
    <t>KKN Susukan 7</t>
  </si>
  <si>
    <t>Siska</t>
  </si>
  <si>
    <t>Frame</t>
  </si>
  <si>
    <t>Liaamalia</t>
  </si>
  <si>
    <t>Anasta</t>
  </si>
  <si>
    <t>Adinda</t>
  </si>
  <si>
    <t>Faraz</t>
  </si>
  <si>
    <t>Assa</t>
  </si>
  <si>
    <t>amelia</t>
  </si>
  <si>
    <t>Virgi Afis Gunadi</t>
  </si>
  <si>
    <t>27 Agustus</t>
  </si>
  <si>
    <t>Adnan</t>
  </si>
  <si>
    <t>Wawa</t>
  </si>
  <si>
    <t>13 Agustus</t>
  </si>
  <si>
    <t>yumni syara</t>
  </si>
  <si>
    <t>Tuti Priyani</t>
  </si>
  <si>
    <t xml:space="preserve">3 Oktoer </t>
  </si>
  <si>
    <t>Neneng Amalia</t>
  </si>
  <si>
    <t>FA Amikom</t>
  </si>
  <si>
    <t>14 Agustus</t>
  </si>
  <si>
    <t>Rahmat Desta</t>
  </si>
  <si>
    <t>Lu’lu Amanatul</t>
  </si>
  <si>
    <t xml:space="preserve">Clara </t>
  </si>
  <si>
    <t>22 Agustus</t>
  </si>
  <si>
    <t>Galon</t>
  </si>
  <si>
    <t>Jessica</t>
  </si>
  <si>
    <t>Sidar Genk</t>
  </si>
  <si>
    <t>Nasywa</t>
  </si>
  <si>
    <t>Krisna</t>
  </si>
  <si>
    <t xml:space="preserve"> Glad</t>
  </si>
  <si>
    <t>15 Agustus</t>
  </si>
  <si>
    <t>All file</t>
  </si>
  <si>
    <t>13 Agustsus</t>
  </si>
  <si>
    <t>Arya Diva</t>
  </si>
  <si>
    <t>Wibi</t>
  </si>
  <si>
    <t>25 Agustus</t>
  </si>
  <si>
    <t>Ujani</t>
  </si>
  <si>
    <t>Karangaseum</t>
  </si>
  <si>
    <t>UT PURWOKERTO/jes</t>
  </si>
  <si>
    <t>Annisa</t>
  </si>
  <si>
    <t>Lulu</t>
  </si>
  <si>
    <t>Felly</t>
  </si>
  <si>
    <t>16 Agustus</t>
  </si>
  <si>
    <t>yessa</t>
  </si>
  <si>
    <t>Zaskia</t>
  </si>
  <si>
    <t xml:space="preserve"> shevanandias</t>
  </si>
  <si>
    <t>Gendis</t>
  </si>
  <si>
    <t>Rp100,000</t>
  </si>
  <si>
    <t>Shidqi</t>
  </si>
  <si>
    <t>nadine</t>
  </si>
  <si>
    <t>Rp150,000</t>
  </si>
  <si>
    <t>roro nurkholifah</t>
  </si>
  <si>
    <t>Zafira</t>
  </si>
  <si>
    <t>Riung</t>
  </si>
  <si>
    <t>Nadia</t>
  </si>
  <si>
    <t>Abror</t>
  </si>
  <si>
    <t>Shevanandisa</t>
  </si>
  <si>
    <t>Roro</t>
  </si>
  <si>
    <t>add 16R (2)</t>
  </si>
  <si>
    <t>Arif Tri Fadilah</t>
  </si>
  <si>
    <t>Basecamp G4 M.M</t>
  </si>
  <si>
    <t>Nadine</t>
  </si>
  <si>
    <t>Glad</t>
  </si>
  <si>
    <t>add 16(4) &amp; 12R (4)</t>
  </si>
  <si>
    <t>Nada</t>
  </si>
  <si>
    <t>Nabila Hasna</t>
  </si>
  <si>
    <t>Shabrina Amalia</t>
  </si>
  <si>
    <t xml:space="preserve">3 Oktober </t>
  </si>
  <si>
    <t>ita 1017</t>
  </si>
  <si>
    <t>Rumai</t>
  </si>
  <si>
    <t>Salsa</t>
  </si>
  <si>
    <t>Sulton Hidayah</t>
  </si>
  <si>
    <t>Aliya Putr</t>
  </si>
  <si>
    <t>Yessa</t>
  </si>
  <si>
    <t>Fitri Diana</t>
  </si>
  <si>
    <t>Alika</t>
  </si>
  <si>
    <t>ITA</t>
  </si>
  <si>
    <t>Direct RO</t>
  </si>
  <si>
    <t>Jingga</t>
  </si>
  <si>
    <t>Tika Dwi</t>
  </si>
  <si>
    <t>Khanan Saputra</t>
  </si>
  <si>
    <t>Sepupu</t>
  </si>
  <si>
    <t>Alifia</t>
  </si>
  <si>
    <t>Mahes</t>
  </si>
  <si>
    <t>Menganti</t>
  </si>
  <si>
    <t>sachiko</t>
  </si>
  <si>
    <t>Izzatul lutfi</t>
  </si>
  <si>
    <t>18 Agustus</t>
  </si>
  <si>
    <t>add theme</t>
  </si>
  <si>
    <t>Wildan Ramdani</t>
  </si>
  <si>
    <t>Shisqi</t>
  </si>
  <si>
    <t>Devinta Khoerunnisa</t>
  </si>
  <si>
    <t>Ahmad Mufidudin</t>
  </si>
  <si>
    <t xml:space="preserve">17 Agustus </t>
  </si>
  <si>
    <t>Lia</t>
  </si>
  <si>
    <t>Fefe</t>
  </si>
  <si>
    <t>Almira Zamita</t>
  </si>
  <si>
    <t>23 Agustus</t>
  </si>
  <si>
    <t>Aya</t>
  </si>
  <si>
    <t>Vape obat nyamuk</t>
  </si>
  <si>
    <t>Maharani</t>
  </si>
  <si>
    <t>24 Agustus</t>
  </si>
  <si>
    <t>Kresek</t>
  </si>
  <si>
    <t>Destiana</t>
  </si>
  <si>
    <t>20 Agustus</t>
  </si>
  <si>
    <t>Sticky note, Lakban</t>
  </si>
  <si>
    <t>saka</t>
  </si>
  <si>
    <t>Khalifa</t>
  </si>
  <si>
    <t>19 Agustus</t>
  </si>
  <si>
    <t>Mutiara Indah</t>
  </si>
  <si>
    <t>Ainun Nissa</t>
  </si>
  <si>
    <t>Yeni A</t>
  </si>
  <si>
    <t>KKN TRIMULYO</t>
  </si>
  <si>
    <t>JAURA SAMSUL</t>
  </si>
  <si>
    <t>Naza</t>
  </si>
  <si>
    <t>Adit</t>
  </si>
  <si>
    <t>Nurrohman</t>
  </si>
  <si>
    <t>Nayaka</t>
  </si>
  <si>
    <t>Thalita</t>
  </si>
  <si>
    <t>andini</t>
  </si>
  <si>
    <t>labubu squad</t>
  </si>
  <si>
    <t>mita</t>
  </si>
  <si>
    <t>Couple B</t>
  </si>
  <si>
    <t>23 ag</t>
  </si>
  <si>
    <t>Fathi</t>
  </si>
  <si>
    <t>Dimas Tri Kurniawan</t>
  </si>
  <si>
    <t>Chesandra</t>
  </si>
  <si>
    <t>Jaura Samsul</t>
  </si>
  <si>
    <t>jony</t>
  </si>
  <si>
    <t xml:space="preserve"> Najma Furaida</t>
  </si>
  <si>
    <t>Vallen</t>
  </si>
  <si>
    <t>Abi</t>
  </si>
  <si>
    <t>Dinda</t>
  </si>
  <si>
    <t>Desti Ika c</t>
  </si>
  <si>
    <t>Reisya</t>
  </si>
  <si>
    <t>DLM KBMIK UNSOED</t>
  </si>
  <si>
    <t>Khansa</t>
  </si>
  <si>
    <t>Rani</t>
  </si>
  <si>
    <t>Arum</t>
  </si>
  <si>
    <t>keni</t>
  </si>
  <si>
    <t>Genta Gustian</t>
  </si>
  <si>
    <t>Lu’lu’ul Uyuni</t>
  </si>
  <si>
    <t>Clara</t>
  </si>
  <si>
    <t>Matuz family</t>
  </si>
  <si>
    <t>Iuran kelurahan</t>
  </si>
  <si>
    <t>Zarina</t>
  </si>
  <si>
    <t>Helmi Wildan</t>
  </si>
  <si>
    <t>Dimas</t>
  </si>
  <si>
    <t xml:space="preserve"> Dede imuet</t>
  </si>
  <si>
    <t>Itsna Nur Hidayat</t>
  </si>
  <si>
    <t>dwsr</t>
  </si>
  <si>
    <t>Labubu squad</t>
  </si>
  <si>
    <t>add cetak 5r (2)</t>
  </si>
  <si>
    <t>Lu'luúl Uyuni</t>
  </si>
  <si>
    <t>Matuz Family</t>
  </si>
  <si>
    <t>Gendis Kh.</t>
  </si>
  <si>
    <t>25 Agstus</t>
  </si>
  <si>
    <t>Keni</t>
  </si>
  <si>
    <t>Sabrina</t>
  </si>
  <si>
    <t>penthil</t>
  </si>
  <si>
    <t>Evelyn</t>
  </si>
  <si>
    <t>Orin</t>
  </si>
  <si>
    <t>Tata</t>
  </si>
  <si>
    <t>Sandlyra Anastasya</t>
  </si>
  <si>
    <t>3 Okotber</t>
  </si>
  <si>
    <t>minha</t>
  </si>
  <si>
    <t>Azizah</t>
  </si>
  <si>
    <t>24 agustus</t>
  </si>
  <si>
    <t xml:space="preserve"> Nayla</t>
  </si>
  <si>
    <t>medis baik</t>
  </si>
  <si>
    <t>Dede imuet</t>
  </si>
  <si>
    <t>andree</t>
  </si>
  <si>
    <t>Natalani</t>
  </si>
  <si>
    <t>Gigi</t>
  </si>
  <si>
    <t>Add all file &amp; pass photo</t>
  </si>
  <si>
    <t>Afifah</t>
  </si>
  <si>
    <t>Meilani</t>
  </si>
  <si>
    <t xml:space="preserve">10 agustus </t>
  </si>
  <si>
    <t>Ita</t>
  </si>
  <si>
    <t>add 10R (4)</t>
  </si>
  <si>
    <t>Umbrus</t>
  </si>
  <si>
    <t>Andree</t>
  </si>
  <si>
    <t>Zae</t>
  </si>
  <si>
    <t>Dhika</t>
  </si>
  <si>
    <t>Rahma</t>
  </si>
  <si>
    <t>Wisnu Pamungkas</t>
  </si>
  <si>
    <t>Nayla</t>
  </si>
  <si>
    <t>23 agustus</t>
  </si>
  <si>
    <t>Silvia</t>
  </si>
  <si>
    <t>Kurikulum</t>
  </si>
  <si>
    <t>Brussels</t>
  </si>
  <si>
    <t>Arumn</t>
  </si>
  <si>
    <t>26 agustus</t>
  </si>
  <si>
    <t>OSIS AKSATA</t>
  </si>
  <si>
    <t>Obert Farras</t>
  </si>
  <si>
    <t>Restu Alfareizzy</t>
  </si>
  <si>
    <t>Natasya</t>
  </si>
  <si>
    <t>Andini</t>
  </si>
  <si>
    <t>Ristiana</t>
  </si>
  <si>
    <t>Mita</t>
  </si>
  <si>
    <t xml:space="preserve"> Zulfan Fathullah</t>
  </si>
  <si>
    <t>Obert faras</t>
  </si>
  <si>
    <t>add time (2)</t>
  </si>
  <si>
    <t>Gendis Kh</t>
  </si>
  <si>
    <t>25 agustus</t>
  </si>
  <si>
    <t>Mesya</t>
  </si>
  <si>
    <t>Danda</t>
  </si>
  <si>
    <t>Nunik</t>
  </si>
  <si>
    <t>Jony</t>
  </si>
  <si>
    <t>Tazkia Farhani</t>
  </si>
  <si>
    <t>30 agustus</t>
  </si>
  <si>
    <t>Difa ruci</t>
  </si>
  <si>
    <t>Medis baik</t>
  </si>
  <si>
    <t>26 Agustus</t>
  </si>
  <si>
    <t>Nurul Lathiifa</t>
  </si>
  <si>
    <t>Fiza</t>
  </si>
  <si>
    <t>sabel kesmas</t>
  </si>
  <si>
    <t>28 agustus</t>
  </si>
  <si>
    <t>Virna GRJ</t>
  </si>
  <si>
    <t>Ihsan</t>
  </si>
  <si>
    <t>Dea</t>
  </si>
  <si>
    <t xml:space="preserve"> alan nahdi zamani</t>
  </si>
  <si>
    <t>KKN GUNUNG TAWANG</t>
  </si>
  <si>
    <t>31 Agustus</t>
  </si>
  <si>
    <t>Dswr</t>
  </si>
  <si>
    <t xml:space="preserve">Farhan </t>
  </si>
  <si>
    <t>Nova</t>
  </si>
  <si>
    <t xml:space="preserve">Couple C </t>
  </si>
  <si>
    <t>Fakhrian Yoga Permana</t>
  </si>
  <si>
    <t>Sopi</t>
  </si>
  <si>
    <t>Ilham</t>
  </si>
  <si>
    <t>zalfa</t>
  </si>
  <si>
    <t>lulu</t>
  </si>
  <si>
    <t>Hani</t>
  </si>
  <si>
    <t>30 Sumba</t>
  </si>
  <si>
    <t>kei</t>
  </si>
  <si>
    <t>TIDORE 60</t>
  </si>
  <si>
    <t>Desta</t>
  </si>
  <si>
    <t>Zyva</t>
  </si>
  <si>
    <t>Angelika</t>
  </si>
  <si>
    <t>Dian</t>
  </si>
  <si>
    <t>Amelia Nur</t>
  </si>
  <si>
    <t>KKN Timbang</t>
  </si>
  <si>
    <t>Dinta</t>
  </si>
  <si>
    <t>Febby</t>
  </si>
  <si>
    <t>Asa</t>
  </si>
  <si>
    <t>Arif</t>
  </si>
  <si>
    <t>Ayu</t>
  </si>
  <si>
    <t>30 Agustus</t>
  </si>
  <si>
    <t>Vania</t>
  </si>
  <si>
    <t>enji</t>
  </si>
  <si>
    <t>Khansa B</t>
  </si>
  <si>
    <t>29 Agustus</t>
  </si>
  <si>
    <t>Evan</t>
  </si>
  <si>
    <t>Dinah kurnia</t>
  </si>
  <si>
    <t>Baledu</t>
  </si>
  <si>
    <t>Aulia Setyo</t>
  </si>
  <si>
    <t>KKN 69</t>
  </si>
  <si>
    <t>Virgi</t>
  </si>
  <si>
    <t>Azahra</t>
  </si>
  <si>
    <t>KKN Desa Mlaya</t>
  </si>
  <si>
    <t>Faizah</t>
  </si>
  <si>
    <t xml:space="preserve"> batik adipati</t>
  </si>
  <si>
    <t>3 jam</t>
  </si>
  <si>
    <t>Novan</t>
  </si>
  <si>
    <t>Martial</t>
  </si>
  <si>
    <t>Revo</t>
  </si>
  <si>
    <t>31 agustus</t>
  </si>
  <si>
    <t>Farhan</t>
  </si>
  <si>
    <t>Sachiko</t>
  </si>
  <si>
    <t>Aida</t>
  </si>
  <si>
    <t xml:space="preserve"> ikbar rais</t>
  </si>
  <si>
    <t>21 Agustus</t>
  </si>
  <si>
    <t>PENTIL</t>
  </si>
  <si>
    <t>Osis Aksat</t>
  </si>
  <si>
    <t>Difa Ruci</t>
  </si>
  <si>
    <t>Syakira Trista</t>
  </si>
  <si>
    <t>Risky akmal</t>
  </si>
  <si>
    <t>22 sept</t>
  </si>
  <si>
    <t>Faiza Fidela</t>
  </si>
  <si>
    <t>Zalfa</t>
  </si>
  <si>
    <t xml:space="preserve">Sita </t>
  </si>
  <si>
    <t>29 agustus</t>
  </si>
  <si>
    <t>Amin</t>
  </si>
  <si>
    <t>Hanifah Sahidah</t>
  </si>
  <si>
    <t>nawasena</t>
  </si>
  <si>
    <t>Azzahra</t>
  </si>
  <si>
    <t>28 Agustus</t>
  </si>
  <si>
    <t>Ayume</t>
  </si>
  <si>
    <t>Anggun</t>
  </si>
  <si>
    <t>KKN timbang</t>
  </si>
  <si>
    <t>Gandring Guste Puand</t>
  </si>
  <si>
    <t>3 oktober</t>
  </si>
  <si>
    <t>Ica</t>
  </si>
  <si>
    <t>Pidin</t>
  </si>
  <si>
    <t>Sabel Kesmas</t>
  </si>
  <si>
    <t>Novalia</t>
  </si>
  <si>
    <t>Meysa</t>
  </si>
  <si>
    <t>Kei</t>
  </si>
  <si>
    <t>Jihan</t>
  </si>
  <si>
    <t>1 sept</t>
  </si>
  <si>
    <t>Sasa</t>
  </si>
  <si>
    <t>kkn danurejo</t>
  </si>
  <si>
    <t>Bensin</t>
  </si>
  <si>
    <t>Amplop C (Packing foto)</t>
  </si>
  <si>
    <t>fadel</t>
  </si>
  <si>
    <t>Khusni</t>
  </si>
  <si>
    <t>kusworo</t>
  </si>
  <si>
    <t>Amell</t>
  </si>
  <si>
    <t>lulu sahara</t>
  </si>
  <si>
    <t>30 agus</t>
  </si>
  <si>
    <t>Sasongko</t>
  </si>
  <si>
    <t>Wahyu Setianingsih</t>
  </si>
  <si>
    <t>Zvya</t>
  </si>
  <si>
    <t>Rizka</t>
  </si>
  <si>
    <t>KKN Danurejo</t>
  </si>
  <si>
    <t>Juna</t>
  </si>
  <si>
    <t>wafi wafa</t>
  </si>
  <si>
    <t>Isti</t>
  </si>
  <si>
    <t>Dian Meinarni</t>
  </si>
  <si>
    <t>Karlina</t>
  </si>
  <si>
    <t>umi fatmah</t>
  </si>
  <si>
    <t>Dymas Angga Agustir</t>
  </si>
  <si>
    <t>Runi</t>
  </si>
  <si>
    <t>Photo Product</t>
  </si>
  <si>
    <t>5r, 10r, 16r</t>
  </si>
  <si>
    <t>Jessica Enjelita</t>
  </si>
  <si>
    <t>Lesty Meitika</t>
  </si>
  <si>
    <r>
      <rPr>
        <rFont val="Arial"/>
        <b/>
        <color rgb="FF1155CC"/>
        <u/>
      </rPr>
      <t>Kelasmodeling.id</t>
    </r>
    <r>
      <rPr>
        <rFont val="Arial"/>
        <b/>
        <color theme="1"/>
      </rPr>
      <t xml:space="preserve"> purwokerto</t>
    </r>
  </si>
  <si>
    <t>RESUME KARYAWAN &amp; KPI | AGUSTUS 2026</t>
  </si>
  <si>
    <t>KPI SCALE</t>
  </si>
  <si>
    <t>FINAL. Dibangun ulang dari Log Order tanggal 1-31 tanpa formula lama.</t>
  </si>
  <si>
    <t>1. RESUME PAKET TERLARIS</t>
  </si>
  <si>
    <t>Status KPI</t>
  </si>
  <si>
    <t>elni</t>
  </si>
  <si>
    <t>Jumlah</t>
  </si>
  <si>
    <t>Ranking</t>
  </si>
  <si>
    <t>Jumlah Transaksi</t>
  </si>
  <si>
    <t>Share</t>
  </si>
  <si>
    <t>Kumulatif</t>
  </si>
  <si>
    <t>Agung</t>
  </si>
  <si>
    <t>31 Oktober</t>
  </si>
  <si>
    <t>Amel</t>
  </si>
  <si>
    <t>31 oktober</t>
  </si>
  <si>
    <t>Admin/CS</t>
  </si>
  <si>
    <t>Sabiq Muhammad</t>
  </si>
  <si>
    <t>Tiara</t>
  </si>
  <si>
    <t>Farah Mirza</t>
  </si>
  <si>
    <t xml:space="preserve"> sasy aml</t>
  </si>
  <si>
    <t>Devi Nawang</t>
  </si>
  <si>
    <t xml:space="preserve"> Diana Putri</t>
  </si>
  <si>
    <t>HANIF</t>
  </si>
  <si>
    <t>Dhiya</t>
  </si>
  <si>
    <t>tania</t>
  </si>
  <si>
    <t>Lisha</t>
  </si>
  <si>
    <t xml:space="preserve"> Sekar</t>
  </si>
  <si>
    <t xml:space="preserve"> Hermas Mauludin</t>
  </si>
  <si>
    <t>Rita</t>
  </si>
  <si>
    <t>Danta</t>
  </si>
  <si>
    <t>Kim</t>
  </si>
  <si>
    <t>Zaki</t>
  </si>
  <si>
    <t>Ika Siti Rokhana</t>
  </si>
  <si>
    <t xml:space="preserve"> Nadya Miko Azhara</t>
  </si>
  <si>
    <t>Widika Aden Agatha</t>
  </si>
  <si>
    <t>4 oktober</t>
  </si>
  <si>
    <t>Runduma</t>
  </si>
  <si>
    <t>Yumna</t>
  </si>
  <si>
    <t>Jany</t>
  </si>
  <si>
    <t xml:space="preserve">baterai alkaline </t>
  </si>
  <si>
    <t>KPI TEAM</t>
  </si>
  <si>
    <t>ADMIN / CS</t>
  </si>
  <si>
    <t>FOTOGRAFER</t>
  </si>
  <si>
    <t>EDITOR</t>
  </si>
  <si>
    <t>Posisi</t>
  </si>
  <si>
    <t>Hari Dinilai</t>
  </si>
  <si>
    <t>KPI Bulanan</t>
  </si>
  <si>
    <t>Hari Underperform</t>
  </si>
  <si>
    <t>Status Akhir</t>
  </si>
  <si>
    <t>Catatan Manager</t>
  </si>
  <si>
    <t>Sangat Baik</t>
  </si>
  <si>
    <t>ADDEL</t>
  </si>
  <si>
    <t>FAHME</t>
  </si>
  <si>
    <t>Baik</t>
  </si>
  <si>
    <t>Coaching</t>
  </si>
  <si>
    <t>ABROR</t>
  </si>
  <si>
    <t>PENILAIAN MANAGER AKHIR BULAN</t>
  </si>
  <si>
    <t>STAFF MASTER</t>
  </si>
  <si>
    <t>POSISI</t>
  </si>
  <si>
    <t>CHAT &amp; FOLLOW-UP BULANAN</t>
  </si>
  <si>
    <t>JIJANG</t>
  </si>
  <si>
    <t>Fotografer</t>
  </si>
  <si>
    <t>FADEL</t>
  </si>
  <si>
    <t>Underperform</t>
  </si>
  <si>
    <t>TOTAL PAKET UTAMA</t>
  </si>
  <si>
    <t>2A. TOTAL SHIFT PER KARYAWAN</t>
  </si>
  <si>
    <t>2B. CUSTOMER YANG DITANGANI ADMIN</t>
  </si>
  <si>
    <t>Role</t>
  </si>
  <si>
    <t>Jumlah Shift</t>
  </si>
  <si>
    <t>Porsi Shift</t>
  </si>
  <si>
    <t>Jumlah Order</t>
  </si>
  <si>
    <t>Porsi Order</t>
  </si>
  <si>
    <t>2C. CUSTOMER YANG DITANGANI FOTOGRAFER</t>
  </si>
  <si>
    <t>3. DASHBOARD KPI AKHIR BULAN</t>
  </si>
  <si>
    <t>KPI ADMIN</t>
  </si>
  <si>
    <t>KPI FOTOGRAFER</t>
  </si>
  <si>
    <t>TOP PERFORMER</t>
  </si>
  <si>
    <t>Status</t>
  </si>
  <si>
    <t>Trend Terakhir</t>
  </si>
  <si>
    <t>Trend Terakhir membandingkan skor KPI hari terakhir yang terisi dengan rata-rata KPI bulanan. ▲ di atas rata-rata, ▼ di bawah rata-rata, → relatif stabil.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</si>
</sst>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 mmmm yyyy"/>
    <numFmt numFmtId="165" formatCode="[$Rp]#,##0"/>
    <numFmt numFmtId="166" formatCode="d mmmm"/>
    <numFmt numFmtId="167" formatCode="d mmm"/>
    <numFmt numFmtId="168" formatCode="0.0%"/>
    <numFmt numFmtId="169" formatCode="dmmmm"/>
    <numFmt numFmtId="170" formatCode="0.0&quot;%&quot;"/>
    <numFmt numFmtId="171" formatCode="0&quot; hari&quot;"/>
  </numFmts>
  <fonts count="2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/>
    <font>
      <b/>
      <i/>
      <color theme="1"/>
      <name val="Arial"/>
    </font>
    <font>
      <color theme="1"/>
      <name val="Helvetica Neue"/>
    </font>
    <font>
      <b/>
      <color rgb="FF222222"/>
      <name val="Arial"/>
    </font>
    <font>
      <color theme="1"/>
      <name val="Arial"/>
      <scheme val="minor"/>
    </font>
    <font>
      <i/>
      <sz val="9.0"/>
      <color rgb="FF222222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i/>
      <sz val="10.0"/>
      <color rgb="FF222222"/>
      <name val="Arial"/>
    </font>
    <font>
      <sz val="10.0"/>
      <color rgb="FF222222"/>
      <name val="Arial"/>
    </font>
    <font>
      <b/>
      <sz val="10.0"/>
      <color rgb="FF222222"/>
      <name val="Arial"/>
    </font>
    <font>
      <b/>
      <color theme="1"/>
      <name val="Arial"/>
      <scheme val="minor"/>
    </font>
    <font>
      <b/>
      <sz val="16.0"/>
      <color rgb="FFFFFFFF"/>
      <name val="Arial"/>
    </font>
    <font>
      <b/>
      <u/>
      <color theme="1"/>
      <name val="Arial"/>
    </font>
    <font>
      <i/>
      <sz val="10.0"/>
      <color rgb="FF40635B"/>
      <name val="Arial"/>
    </font>
    <font>
      <b/>
      <sz val="11.0"/>
      <color rgb="FFFFFFFF"/>
      <name val="Arial"/>
    </font>
    <font>
      <b/>
      <sz val="10.0"/>
      <color rgb="FF155E54"/>
      <name val="Arial"/>
    </font>
    <font>
      <b/>
      <sz val="15.0"/>
      <color rgb="FF222222"/>
      <name val="Arial"/>
    </font>
    <font>
      <b/>
      <sz val="17.0"/>
      <color rgb="FF000000"/>
      <name val="Arial"/>
    </font>
    <font>
      <b/>
      <sz val="16.0"/>
      <color rgb="FF0F7C68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8E7"/>
        <bgColor rgb="FFFFF8E7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F6B26B"/>
        <bgColor rgb="FFF6B26B"/>
      </patternFill>
    </fill>
    <fill>
      <patternFill patternType="solid">
        <fgColor rgb="FF0000FF"/>
        <bgColor rgb="FF0000FF"/>
      </patternFill>
    </fill>
    <fill>
      <patternFill patternType="solid">
        <fgColor rgb="FFD9EAF7"/>
        <bgColor rgb="FFD9EAF7"/>
      </patternFill>
    </fill>
    <fill>
      <patternFill patternType="solid">
        <fgColor rgb="FFE06666"/>
        <bgColor rgb="FFE06666"/>
      </patternFill>
    </fill>
    <fill>
      <patternFill patternType="solid">
        <fgColor rgb="FF0F7C68"/>
        <bgColor rgb="FF0F7C68"/>
      </patternFill>
    </fill>
    <fill>
      <patternFill patternType="solid">
        <fgColor rgb="FFE8F4F0"/>
        <bgColor rgb="FFE8F4F0"/>
      </patternFill>
    </fill>
    <fill>
      <patternFill patternType="solid">
        <fgColor rgb="FFCFEDE4"/>
        <bgColor rgb="FFCFEDE4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1" numFmtId="164" xfId="0" applyAlignment="1" applyBorder="1" applyFont="1" applyNumberFormat="1">
      <alignment horizontal="center"/>
    </xf>
    <xf borderId="2" fillId="0" fontId="1" numFmtId="165" xfId="0" applyBorder="1" applyFont="1" applyNumberFormat="1"/>
    <xf borderId="6" fillId="0" fontId="1" numFmtId="166" xfId="0" applyAlignment="1" applyBorder="1" applyFont="1" applyNumberFormat="1">
      <alignment horizontal="center"/>
    </xf>
    <xf borderId="6" fillId="0" fontId="5" numFmtId="165" xfId="0" applyAlignment="1" applyBorder="1" applyFont="1" applyNumberFormat="1">
      <alignment horizontal="right"/>
    </xf>
    <xf borderId="6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6" fillId="0" fontId="1" numFmtId="9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horizontal="right"/>
    </xf>
    <xf borderId="6" fillId="0" fontId="1" numFmtId="165" xfId="0" applyBorder="1" applyFont="1" applyNumberFormat="1"/>
    <xf borderId="7" fillId="0" fontId="1" numFmtId="0" xfId="0" applyAlignment="1" applyBorder="1" applyFont="1">
      <alignment horizontal="center" vertical="center"/>
    </xf>
    <xf borderId="6" fillId="0" fontId="1" numFmtId="167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center"/>
    </xf>
    <xf borderId="6" fillId="0" fontId="1" numFmtId="166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right" vertical="center"/>
    </xf>
    <xf borderId="6" fillId="0" fontId="5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/>
    </xf>
    <xf borderId="6" fillId="0" fontId="1" numFmtId="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6" fillId="0" fontId="1" numFmtId="167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5" fontId="5" numFmtId="165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6" fillId="2" fontId="2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vertical="center"/>
    </xf>
    <xf borderId="7" fillId="0" fontId="2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vertical="center"/>
    </xf>
    <xf borderId="7" fillId="7" fontId="2" numFmtId="0" xfId="0" applyAlignment="1" applyBorder="1" applyFill="1" applyFont="1">
      <alignment horizontal="center" vertical="center"/>
    </xf>
    <xf borderId="7" fillId="7" fontId="2" numFmtId="0" xfId="0" applyAlignment="1" applyBorder="1" applyFill="1" applyFont="1">
      <alignment horizontal="left" vertical="center"/>
    </xf>
    <xf borderId="7" fillId="7" fontId="2" numFmtId="0" xfId="0" applyBorder="1" applyFill="1" applyFont="1"/>
    <xf borderId="7" fillId="7" fontId="2" numFmtId="165" xfId="0" applyAlignment="1" applyBorder="1" applyFill="1" applyFont="1" applyNumberFormat="1">
      <alignment horizontal="right" vertical="center"/>
    </xf>
    <xf borderId="7" fillId="7" fontId="2" numFmtId="165" xfId="0" applyAlignment="1" applyBorder="1" applyFill="1" applyFont="1" applyNumberFormat="1">
      <alignment horizontal="right"/>
    </xf>
    <xf borderId="5" fillId="6" fontId="1" numFmtId="0" xfId="0" applyAlignment="1" applyBorder="1" applyFill="1" applyFont="1">
      <alignment horizontal="left" vertical="center"/>
    </xf>
    <xf borderId="7" fillId="0" fontId="2" numFmtId="0" xfId="0" applyBorder="1" applyFont="1"/>
    <xf borderId="7" fillId="0" fontId="2" numFmtId="165" xfId="0" applyAlignment="1" applyBorder="1" applyFont="1" applyNumberFormat="1">
      <alignment horizontal="right"/>
    </xf>
    <xf borderId="7" fillId="4" fontId="1" numFmtId="0" xfId="0" applyAlignment="1" applyBorder="1" applyFill="1" applyFont="1">
      <alignment horizontal="left" vertical="center"/>
    </xf>
    <xf borderId="5" fillId="4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8" fontId="7" numFmtId="0" xfId="0" applyAlignment="1" applyFill="1" applyFont="1">
      <alignment horizontal="center" vertical="center"/>
    </xf>
    <xf borderId="0" fillId="2" fontId="7" numFmtId="0" xfId="0" applyAlignment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vertical="center"/>
    </xf>
    <xf borderId="0" fillId="0" fontId="1" numFmtId="0" xfId="0" applyFont="1"/>
    <xf borderId="0" fillId="0" fontId="8" numFmtId="0" xfId="0" applyFont="1"/>
    <xf borderId="0" fillId="9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5" fillId="0" fontId="2" numFmtId="165" xfId="0" applyAlignment="1" applyBorder="1" applyFont="1" applyNumberFormat="1">
      <alignment horizontal="right" vertical="center"/>
    </xf>
    <xf borderId="6" fillId="10" fontId="2" numFmtId="165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center" shrinkToFit="0" vertical="center" wrapText="1"/>
    </xf>
    <xf borderId="0" fillId="12" fontId="7" numFmtId="0" xfId="0" applyAlignment="1" applyFill="1" applyFont="1">
      <alignment horizontal="center" vertical="center"/>
    </xf>
    <xf borderId="0" fillId="12" fontId="10" numFmtId="0" xfId="0" applyAlignment="1" applyFill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9" fontId="11" numFmtId="1" xfId="0" applyAlignment="1" applyFill="1" applyFont="1" applyNumberFormat="1">
      <alignment horizontal="center" shrinkToFit="0" vertical="center" wrapText="0"/>
    </xf>
    <xf borderId="0" fillId="13" fontId="12" numFmtId="0" xfId="0" applyAlignment="1" applyFill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9" fontId="11" numFmtId="1" xfId="0" applyAlignment="1" applyFill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11" fontId="10" numFmtId="1" xfId="0" applyAlignment="1" applyFill="1" applyFont="1" applyNumberForma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14" fontId="10" numFmtId="168" xfId="0" applyAlignment="1" applyFill="1" applyFont="1" applyNumberFormat="1">
      <alignment horizontal="center" shrinkToFit="0" vertical="center" wrapText="0"/>
    </xf>
    <xf borderId="8" fillId="0" fontId="1" numFmtId="0" xfId="0" applyAlignment="1" applyBorder="1" applyFont="1">
      <alignment horizontal="center"/>
    </xf>
    <xf borderId="6" fillId="0" fontId="1" numFmtId="169" xfId="0" applyAlignment="1" applyBorder="1" applyFont="1" applyNumberFormat="1">
      <alignment horizontal="center"/>
    </xf>
    <xf borderId="6" fillId="0" fontId="1" numFmtId="9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2" fillId="0" fontId="2" numFmtId="165" xfId="0" applyAlignment="1" applyBorder="1" applyFont="1" applyNumberFormat="1">
      <alignment horizontal="right" readingOrder="0"/>
    </xf>
    <xf borderId="6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6" fillId="0" fontId="5" numFmtId="165" xfId="0" applyAlignment="1" applyBorder="1" applyFont="1" applyNumberFormat="1">
      <alignment horizontal="right" readingOrder="0" vertical="center"/>
    </xf>
    <xf borderId="6" fillId="0" fontId="1" numFmtId="166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/>
    </xf>
    <xf borderId="2" fillId="0" fontId="2" numFmtId="165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7" fontId="2" numFmtId="165" xfId="0" applyAlignment="1" applyBorder="1" applyFill="1" applyFont="1" applyNumberFormat="1">
      <alignment horizontal="right" readingOrder="0" vertical="center"/>
    </xf>
    <xf borderId="1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6" fillId="0" fontId="1" numFmtId="167" xfId="0" applyAlignment="1" applyBorder="1" applyFont="1" applyNumberFormat="1">
      <alignment horizontal="center" readingOrder="0" vertical="center"/>
    </xf>
    <xf borderId="0" fillId="15" fontId="1" numFmtId="0" xfId="0" applyAlignment="1" applyFill="1" applyFont="1">
      <alignment horizontal="center" vertical="center"/>
    </xf>
    <xf borderId="0" fillId="15" fontId="16" numFmtId="0" xfId="0" applyAlignment="1" applyFill="1" applyFont="1">
      <alignment readingOrder="0"/>
    </xf>
    <xf borderId="0" fillId="4" fontId="8" numFmtId="0" xfId="0" applyAlignment="1" applyFill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2" fillId="0" fontId="2" numFmtId="165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readingOrder="0" vertical="center"/>
    </xf>
    <xf borderId="6" fillId="0" fontId="5" numFmtId="165" xfId="0" applyAlignment="1" applyBorder="1" applyFont="1" applyNumberFormat="1">
      <alignment horizontal="center" readingOrder="0" vertical="center"/>
    </xf>
    <xf borderId="6" fillId="0" fontId="5" numFmtId="165" xfId="0" applyAlignment="1" applyBorder="1" applyFont="1" applyNumberFormat="1">
      <alignment horizontal="center" vertical="center"/>
    </xf>
    <xf borderId="5" fillId="0" fontId="2" numFmtId="165" xfId="0" applyAlignment="1" applyBorder="1" applyFont="1" applyNumberFormat="1">
      <alignment horizontal="right" readingOrder="0" vertical="center"/>
    </xf>
    <xf borderId="7" fillId="0" fontId="1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6" fillId="0" fontId="6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bottom"/>
    </xf>
    <xf borderId="6" fillId="0" fontId="1" numFmtId="167" xfId="0" applyAlignment="1" applyBorder="1" applyFont="1" applyNumberFormat="1">
      <alignment horizontal="center" readingOrder="0"/>
    </xf>
    <xf borderId="6" fillId="0" fontId="5" numFmtId="165" xfId="0" applyAlignment="1" applyBorder="1" applyFont="1" applyNumberFormat="1">
      <alignment horizontal="right" readingOrder="0"/>
    </xf>
    <xf borderId="0" fillId="16" fontId="17" numFmtId="0" xfId="0" applyAlignment="1" applyFill="1" applyFont="1">
      <alignment horizontal="left" shrinkToFit="0" vertical="bottom" wrapText="0"/>
    </xf>
    <xf borderId="6" fillId="0" fontId="18" numFmtId="0" xfId="0" applyAlignment="1" applyBorder="1" applyFont="1">
      <alignment horizontal="center" readingOrder="0" vertical="center"/>
    </xf>
    <xf borderId="0" fillId="17" fontId="19" numFmtId="0" xfId="0" applyAlignment="1" applyFill="1" applyFont="1">
      <alignment shrinkToFit="0" vertical="bottom" wrapText="0"/>
    </xf>
    <xf borderId="0" fillId="16" fontId="20" numFmtId="0" xfId="0" applyAlignment="1" applyFill="1" applyFont="1">
      <alignment horizontal="left" shrinkToFit="0" vertical="center" wrapText="0"/>
    </xf>
    <xf borderId="0" fillId="18" fontId="21" numFmtId="0" xfId="0" applyAlignment="1" applyFill="1" applyFont="1">
      <alignment horizontal="center" shrinkToFit="0" vertical="center" wrapText="1"/>
    </xf>
    <xf borderId="0" fillId="12" fontId="15" numFmtId="0" xfId="0" applyAlignment="1" applyFill="1" applyFont="1">
      <alignment horizontal="center" shrinkToFit="0" vertical="center" wrapText="0"/>
    </xf>
    <xf borderId="0" fillId="8" fontId="22" numFmtId="0" xfId="0" applyAlignment="1" applyFill="1" applyFont="1">
      <alignment horizontal="center" shrinkToFit="0" vertical="center" wrapText="0"/>
    </xf>
    <xf borderId="0" fillId="2" fontId="10" numFmtId="0" xfId="0" applyAlignment="1" applyFill="1" applyFont="1">
      <alignment horizontal="center" shrinkToFit="0" vertical="center" wrapText="0"/>
    </xf>
    <xf borderId="0" fillId="19" fontId="23" numFmtId="170" xfId="0" applyAlignment="1" applyFill="1" applyFont="1" applyNumberFormat="1">
      <alignment horizontal="center" shrinkToFit="0" vertical="center" wrapText="0"/>
    </xf>
    <xf borderId="0" fillId="2" fontId="10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171" xfId="0" applyAlignment="1" applyFont="1" applyNumberFormat="1">
      <alignment shrinkToFit="0" vertical="center" wrapText="1"/>
    </xf>
    <xf borderId="0" fillId="0" fontId="11" numFmtId="170" xfId="0" applyAlignment="1" applyFont="1" applyNumberFormat="1">
      <alignment shrinkToFit="0" vertical="center" wrapText="1"/>
    </xf>
    <xf borderId="0" fillId="9" fontId="11" numFmtId="0" xfId="0" applyAlignment="1" applyFill="1" applyFont="1">
      <alignment shrinkToFit="0" vertical="center" wrapText="1"/>
    </xf>
    <xf borderId="0" fillId="0" fontId="11" numFmtId="0" xfId="0" applyAlignment="1" applyFont="1">
      <alignment shrinkToFit="0" vertical="bottom" wrapText="0"/>
    </xf>
    <xf borderId="0" fillId="0" fontId="11" numFmtId="168" xfId="0" applyAlignment="1" applyFont="1" applyNumberFormat="1">
      <alignment shrinkToFit="0" vertical="bottom" wrapText="0"/>
    </xf>
    <xf borderId="0" fillId="3" fontId="10" numFmtId="0" xfId="0" applyAlignment="1" applyFill="1" applyFont="1">
      <alignment horizontal="center" shrinkToFit="0" vertical="bottom" wrapText="0"/>
    </xf>
    <xf borderId="0" fillId="9" fontId="11" numFmtId="0" xfId="0" applyAlignment="1" applyFill="1" applyFont="1">
      <alignment shrinkToFit="0" vertical="top" wrapText="1"/>
    </xf>
    <xf borderId="0" fillId="8" fontId="10" numFmtId="0" xfId="0" applyAlignment="1" applyFill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19" fontId="24" numFmtId="168" xfId="0" applyAlignment="1" applyFill="1" applyFont="1" applyNumberFormat="1">
      <alignment horizontal="center" shrinkToFit="0" vertical="center" wrapText="0"/>
    </xf>
    <xf borderId="0" fillId="19" fontId="24" numFmtId="0" xfId="0" applyAlignment="1" applyFill="1" applyFont="1">
      <alignment horizontal="center" shrinkToFit="0" vertical="center" wrapText="0"/>
    </xf>
    <xf borderId="0" fillId="0" fontId="11" numFmtId="171" xfId="0" applyAlignment="1" applyFont="1" applyNumberForma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17" fontId="19" numFmtId="0" xfId="0" applyAlignment="1" applyFill="1" applyFont="1">
      <alignment shrinkToFit="0" vertical="bottom" wrapText="1"/>
    </xf>
  </cellXfs>
  <cellStyles count="1">
    <cellStyle xfId="0" name="Normal" builtinId="0"/>
  </cellStyles>
  <dxfs count="10"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0070C0"/>
      </font>
      <fill>
        <patternFill patternType="solid">
          <fgColor rgb="FFCFE2F3"/>
          <bgColor rgb="FFCFE2F3"/>
        </patternFill>
      </fill>
      <border/>
    </dxf>
    <dxf>
      <font>
        <b/>
        <color rgb="FFFFFFFF"/>
      </font>
      <fill>
        <patternFill patternType="solid">
          <fgColor rgb="FF0B6E3F"/>
          <bgColor rgb="FF0B6E3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'31'!$D$84:$D$96</c:f>
              <c:numCache/>
            </c:numRef>
          </c:val>
        </c:ser>
        <c:axId val="1063679253"/>
        <c:axId val="1724896881"/>
      </c:barChart>
      <c:catAx>
        <c:axId val="1063679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24896881"/>
      </c:catAx>
      <c:valAx>
        <c:axId val="17248968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67925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'Resume Karyawan KPI'!$CA$5:$CA$8</c:f>
            </c:strRef>
          </c:cat>
          <c:val>
            <c:numRef>
              <c:f>'Resume Karyawan KPI'!$CB$5:$CB$8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KPI Team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'Resume Karyawan KPI'!$AV$4:$BZ$4</c:f>
            </c:strRef>
          </c:cat>
          <c:val>
            <c:numRef>
              <c:f>'Resume Karyawan KPI'!$AV$18:$BZ$18</c:f>
              <c:numCache/>
            </c:numRef>
          </c:val>
          <c:smooth val="0"/>
        </c:ser>
        <c:axId val="1264774756"/>
        <c:axId val="1462140338"/>
      </c:lineChart>
      <c:catAx>
        <c:axId val="1264774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140338"/>
      </c:catAx>
      <c:valAx>
        <c:axId val="1462140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7747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'Resume Karyawan KPI'!$B$6:$B$18</c:f>
            </c:strRef>
          </c:cat>
          <c:val>
            <c:numRef>
              <c:f>'Resume Karyawan KPI'!$C$6:$C$18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82</xdr:row>
      <xdr:rowOff>0</xdr:rowOff>
    </xdr:from>
    <xdr:ext cx="8591550" cy="3800475"/>
    <xdr:graphicFrame>
      <xdr:nvGraphicFramePr>
        <xdr:cNvPr id="12682363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22</xdr:row>
      <xdr:rowOff>0</xdr:rowOff>
    </xdr:from>
    <xdr:ext cx="5334000" cy="3600450"/>
    <xdr:graphicFrame>
      <xdr:nvGraphicFramePr>
        <xdr:cNvPr id="80645167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42</xdr:row>
      <xdr:rowOff>0</xdr:rowOff>
    </xdr:from>
    <xdr:ext cx="5334000" cy="4000500"/>
    <xdr:graphicFrame>
      <xdr:nvGraphicFramePr>
        <xdr:cNvPr id="679035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7543800" cy="3400425"/>
    <xdr:graphicFrame>
      <xdr:nvGraphicFramePr>
        <xdr:cNvPr id="80166842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kelasmodeling.id/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4">
        <v>1.0</v>
      </c>
      <c r="C4" s="16" t="s">
        <v>18</v>
      </c>
      <c r="D4" s="17" t="s">
        <v>22</v>
      </c>
      <c r="E4" s="18"/>
      <c r="F4" s="19" t="s">
        <v>25</v>
      </c>
      <c r="G4" s="20"/>
      <c r="H4" s="22">
        <v>100000.0</v>
      </c>
      <c r="I4" s="14" t="s">
        <v>28</v>
      </c>
      <c r="J4" s="23"/>
      <c r="K4" s="23"/>
      <c r="L4" s="14" t="s">
        <v>29</v>
      </c>
      <c r="M4" s="23"/>
      <c r="N4" s="24"/>
      <c r="O4" s="24"/>
      <c r="P4" s="25"/>
      <c r="Q4" s="1"/>
      <c r="R4" s="1"/>
    </row>
    <row r="5" ht="15.75" customHeight="1">
      <c r="A5" s="1"/>
      <c r="B5" s="14">
        <v>2.0</v>
      </c>
      <c r="C5" s="16" t="s">
        <v>33</v>
      </c>
      <c r="D5" s="17" t="s">
        <v>22</v>
      </c>
      <c r="E5" s="18"/>
      <c r="F5" s="19" t="s">
        <v>25</v>
      </c>
      <c r="G5" s="20"/>
      <c r="H5" s="22">
        <v>100000.0</v>
      </c>
      <c r="I5" s="14" t="s">
        <v>28</v>
      </c>
      <c r="J5" s="23"/>
      <c r="K5" s="23"/>
      <c r="L5" s="14" t="s">
        <v>29</v>
      </c>
      <c r="M5" s="23"/>
      <c r="N5" s="29"/>
      <c r="O5" s="29"/>
      <c r="P5" s="29"/>
      <c r="Q5" s="1"/>
      <c r="R5" s="1"/>
    </row>
    <row r="6" ht="15.75" customHeight="1">
      <c r="A6" s="1"/>
      <c r="B6" s="14">
        <v>3.0</v>
      </c>
      <c r="C6" s="16" t="s">
        <v>40</v>
      </c>
      <c r="D6" s="17" t="s">
        <v>23</v>
      </c>
      <c r="E6" s="18"/>
      <c r="F6" s="21" t="s">
        <v>42</v>
      </c>
      <c r="G6" s="27">
        <v>300000.0</v>
      </c>
      <c r="H6" s="28"/>
      <c r="I6" s="14" t="s">
        <v>35</v>
      </c>
      <c r="J6" s="14" t="s">
        <v>36</v>
      </c>
      <c r="K6" s="14" t="s">
        <v>36</v>
      </c>
      <c r="L6" s="14" t="s">
        <v>29</v>
      </c>
      <c r="M6" s="14" t="s">
        <v>47</v>
      </c>
      <c r="N6" s="29"/>
      <c r="O6" s="29"/>
      <c r="P6" s="29"/>
      <c r="Q6" s="1"/>
      <c r="R6" s="1"/>
    </row>
    <row r="7" ht="15.75" customHeight="1">
      <c r="A7" s="1"/>
      <c r="B7" s="14">
        <v>4.0</v>
      </c>
      <c r="C7" s="16" t="s">
        <v>49</v>
      </c>
      <c r="D7" s="17" t="s">
        <v>39</v>
      </c>
      <c r="E7" s="18"/>
      <c r="F7" s="21" t="s">
        <v>42</v>
      </c>
      <c r="G7" s="27">
        <v>50000.0</v>
      </c>
      <c r="H7" s="28"/>
      <c r="I7" s="14" t="s">
        <v>35</v>
      </c>
      <c r="J7" s="14" t="s">
        <v>36</v>
      </c>
      <c r="K7" s="14" t="s">
        <v>36</v>
      </c>
      <c r="L7" s="14" t="s">
        <v>29</v>
      </c>
      <c r="M7" s="14" t="s">
        <v>47</v>
      </c>
      <c r="N7" s="29"/>
      <c r="O7" s="29"/>
      <c r="P7" s="29"/>
      <c r="Q7" s="1"/>
      <c r="R7" s="1"/>
    </row>
    <row r="8" ht="15.75" customHeight="1">
      <c r="A8" s="1"/>
      <c r="B8" s="14">
        <v>5.0</v>
      </c>
      <c r="C8" s="16" t="s">
        <v>54</v>
      </c>
      <c r="D8" s="17" t="s">
        <v>23</v>
      </c>
      <c r="E8" s="18"/>
      <c r="F8" s="21" t="s">
        <v>42</v>
      </c>
      <c r="G8" s="20"/>
      <c r="H8" s="22">
        <v>100000.0</v>
      </c>
      <c r="I8" s="14" t="s">
        <v>28</v>
      </c>
      <c r="J8" s="23"/>
      <c r="K8" s="23"/>
      <c r="L8" s="14" t="s">
        <v>29</v>
      </c>
      <c r="M8" s="23"/>
      <c r="N8" s="29"/>
      <c r="O8" s="29"/>
      <c r="P8" s="29"/>
      <c r="Q8" s="1"/>
      <c r="R8" s="1"/>
    </row>
    <row r="9" ht="15.75" customHeight="1">
      <c r="A9" s="1"/>
      <c r="B9" s="14">
        <v>6.0</v>
      </c>
      <c r="C9" s="31" t="s">
        <v>59</v>
      </c>
      <c r="D9" s="17" t="s">
        <v>60</v>
      </c>
      <c r="E9" s="26"/>
      <c r="F9" s="21" t="s">
        <v>42</v>
      </c>
      <c r="G9" s="27">
        <v>100000.0</v>
      </c>
      <c r="H9" s="28"/>
      <c r="I9" s="14" t="s">
        <v>35</v>
      </c>
      <c r="J9" s="23"/>
      <c r="K9" s="23"/>
      <c r="L9" s="23"/>
      <c r="M9" s="23"/>
      <c r="N9" s="29"/>
      <c r="O9" s="29"/>
      <c r="P9" s="29"/>
      <c r="Q9" s="1"/>
      <c r="R9" s="1"/>
    </row>
    <row r="10" ht="15.75" customHeight="1">
      <c r="A10" s="1"/>
      <c r="B10" s="14">
        <v>7.0</v>
      </c>
      <c r="C10" s="16" t="s">
        <v>65</v>
      </c>
      <c r="D10" s="17" t="s">
        <v>23</v>
      </c>
      <c r="E10" s="26"/>
      <c r="F10" s="21" t="s">
        <v>66</v>
      </c>
      <c r="G10" s="27">
        <v>100000.0</v>
      </c>
      <c r="H10" s="28"/>
      <c r="I10" s="14" t="s">
        <v>35</v>
      </c>
      <c r="J10" s="14" t="s">
        <v>36</v>
      </c>
      <c r="K10" s="14" t="s">
        <v>36</v>
      </c>
      <c r="L10" s="14" t="s">
        <v>30</v>
      </c>
      <c r="M10" s="14" t="s">
        <v>47</v>
      </c>
      <c r="N10" s="29"/>
      <c r="O10" s="29"/>
      <c r="P10" s="29"/>
      <c r="Q10" s="1"/>
      <c r="R10" s="1"/>
    </row>
    <row r="11" ht="15.75" customHeight="1">
      <c r="A11" s="1"/>
      <c r="B11" s="14">
        <v>8.0</v>
      </c>
      <c r="C11" s="16" t="s">
        <v>70</v>
      </c>
      <c r="D11" s="17" t="s">
        <v>23</v>
      </c>
      <c r="E11" s="26"/>
      <c r="F11" s="21" t="s">
        <v>72</v>
      </c>
      <c r="G11" s="20"/>
      <c r="H11" s="22">
        <v>100000.0</v>
      </c>
      <c r="I11" s="14" t="s">
        <v>28</v>
      </c>
      <c r="J11" s="23"/>
      <c r="K11" s="23"/>
      <c r="L11" s="14" t="s">
        <v>30</v>
      </c>
      <c r="M11" s="23"/>
      <c r="N11" s="29"/>
      <c r="O11" s="29"/>
      <c r="P11" s="29"/>
      <c r="Q11" s="1"/>
      <c r="R11" s="1"/>
    </row>
    <row r="12" ht="15.75" customHeight="1">
      <c r="A12" s="1"/>
      <c r="B12" s="14">
        <v>9.0</v>
      </c>
      <c r="C12" s="16" t="s">
        <v>75</v>
      </c>
      <c r="D12" s="17" t="s">
        <v>23</v>
      </c>
      <c r="E12" s="26"/>
      <c r="F12" s="30" t="s">
        <v>66</v>
      </c>
      <c r="G12" s="27">
        <v>100000.0</v>
      </c>
      <c r="H12" s="22">
        <v>850000.0</v>
      </c>
      <c r="I12" s="14" t="s">
        <v>35</v>
      </c>
      <c r="J12" s="14" t="s">
        <v>36</v>
      </c>
      <c r="K12" s="14" t="s">
        <v>77</v>
      </c>
      <c r="L12" s="14" t="s">
        <v>30</v>
      </c>
      <c r="M12" s="14" t="s">
        <v>37</v>
      </c>
      <c r="N12" s="29"/>
      <c r="O12" s="29"/>
      <c r="P12" s="29"/>
      <c r="Q12" s="1"/>
      <c r="R12" s="1"/>
    </row>
    <row r="13" ht="15.75" customHeight="1">
      <c r="A13" s="1"/>
      <c r="B13" s="14">
        <v>10.0</v>
      </c>
      <c r="C13" s="16" t="s">
        <v>80</v>
      </c>
      <c r="D13" s="17" t="s">
        <v>23</v>
      </c>
      <c r="E13" s="26"/>
      <c r="F13" s="30" t="s">
        <v>66</v>
      </c>
      <c r="G13" s="20"/>
      <c r="H13" s="22">
        <v>900000.0</v>
      </c>
      <c r="I13" s="14" t="s">
        <v>35</v>
      </c>
      <c r="J13" s="14" t="s">
        <v>36</v>
      </c>
      <c r="K13" s="14" t="s">
        <v>36</v>
      </c>
      <c r="L13" s="14" t="s">
        <v>30</v>
      </c>
      <c r="M13" s="14" t="s">
        <v>37</v>
      </c>
      <c r="N13" s="29"/>
      <c r="O13" s="29"/>
      <c r="P13" s="29"/>
      <c r="Q13" s="1"/>
      <c r="R13" s="1"/>
    </row>
    <row r="14" ht="15.75" customHeight="1">
      <c r="A14" s="1"/>
      <c r="B14" s="14">
        <v>11.0</v>
      </c>
      <c r="C14" s="16" t="s">
        <v>54</v>
      </c>
      <c r="D14" s="17" t="s">
        <v>23</v>
      </c>
      <c r="E14" s="18"/>
      <c r="F14" s="30" t="s">
        <v>66</v>
      </c>
      <c r="G14" s="27">
        <v>75000.0</v>
      </c>
      <c r="H14" s="28"/>
      <c r="I14" s="14" t="s">
        <v>35</v>
      </c>
      <c r="J14" s="14" t="s">
        <v>36</v>
      </c>
      <c r="K14" s="14" t="s">
        <v>36</v>
      </c>
      <c r="L14" s="14" t="s">
        <v>30</v>
      </c>
      <c r="M14" s="14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40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40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725000</v>
      </c>
      <c r="H19" s="43">
        <f t="shared" si="1"/>
        <v>2150000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725000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29</v>
      </c>
      <c r="P23" s="1"/>
      <c r="Q23" s="1"/>
      <c r="R23" s="1"/>
    </row>
    <row r="24" ht="15.75" customHeight="1">
      <c r="A24" s="1"/>
      <c r="B24" s="51">
        <v>2.0</v>
      </c>
      <c r="C24" s="53" t="s">
        <v>96</v>
      </c>
      <c r="D24" s="55">
        <v>-10000.0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30</v>
      </c>
      <c r="P24" s="1"/>
      <c r="Q24" s="1"/>
      <c r="R24" s="1"/>
    </row>
    <row r="25" ht="15.75" customHeight="1">
      <c r="A25" s="1"/>
      <c r="B25" s="46">
        <v>3.0</v>
      </c>
      <c r="C25" s="47"/>
      <c r="D25" s="48"/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47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37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AMEL</v>
      </c>
      <c r="L30" s="68">
        <v>5.0</v>
      </c>
      <c r="M30" s="68">
        <v>4.0</v>
      </c>
      <c r="N30" s="68">
        <v>5.0</v>
      </c>
      <c r="O30" s="68">
        <v>4.0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92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AMEL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4.0</v>
      </c>
      <c r="P31" s="68">
        <v>5.0</v>
      </c>
      <c r="Q31" s="1"/>
      <c r="R31" s="1"/>
      <c r="AC31" s="65">
        <f t="shared" si="3"/>
        <v>97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4.0</v>
      </c>
      <c r="N32" s="68">
        <v>5.0</v>
      </c>
      <c r="O32" s="68">
        <v>4.0</v>
      </c>
      <c r="P32" s="68">
        <v>4.0</v>
      </c>
      <c r="Q32" s="1"/>
      <c r="R32" s="1"/>
      <c r="AC32" s="65">
        <f t="shared" si="3"/>
        <v>89</v>
      </c>
      <c r="AD32" s="65" t="str">
        <f t="shared" si="4"/>
        <v>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4.0</v>
      </c>
      <c r="N33" s="68">
        <v>5.0</v>
      </c>
      <c r="O33" s="68">
        <v>4.0</v>
      </c>
      <c r="P33" s="68">
        <v>5.0</v>
      </c>
      <c r="Q33" s="1"/>
      <c r="R33" s="1"/>
      <c r="AC33" s="65">
        <f t="shared" si="3"/>
        <v>92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1"/>
      <c r="C34" s="2"/>
      <c r="D34" s="72">
        <f>SUM(D23:D33)</f>
        <v>715000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AMEL</v>
      </c>
      <c r="L40" s="78"/>
      <c r="M40" s="78"/>
    </row>
    <row r="41" ht="15.75" customHeight="1">
      <c r="K41" s="77" t="str">
        <f t="shared" si="8"/>
        <v>INDAH</v>
      </c>
      <c r="L41" s="78"/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10.0</v>
      </c>
    </row>
    <row r="45" ht="19.5" customHeight="1">
      <c r="K45" s="82" t="s">
        <v>120</v>
      </c>
      <c r="M45" s="83">
        <f>COUNTIF($I$4:$I$21,"DP")</f>
        <v>4</v>
      </c>
    </row>
    <row r="46" ht="19.5" customHeight="1">
      <c r="K46" s="82" t="s">
        <v>121</v>
      </c>
      <c r="M46" s="83">
        <f>COUNTIFS($I$4:$I$21,"&lt;&gt;DP",$I$4:$I$21,"&lt;&gt;")</f>
        <v>7</v>
      </c>
    </row>
    <row r="47" ht="19.5" customHeight="1">
      <c r="K47" s="84" t="s">
        <v>122</v>
      </c>
      <c r="M47" s="83">
        <f>M45+M46</f>
        <v>11</v>
      </c>
    </row>
    <row r="48" ht="19.5" customHeight="1">
      <c r="K48" s="80" t="s">
        <v>123</v>
      </c>
      <c r="M48" s="85">
        <f>IF(OR(M44="",M44=0),"",M45/M44)</f>
        <v>0.4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M4:M14">
      <formula1>"-,VERO,FADEL,PENTIL,FAHME,SAKA,ADIF,SAKA"</formula1>
    </dataValidation>
    <dataValidation type="list" allowBlank="1" showDropDown="1" showErrorMessage="1" sqref="D15:D18">
      <formula1>"-,Single,Couple A,Couple B,Group A,Group B,Group C,Large Group,Graduation,Graduation Premium,Family A,Family B,Maternity,Concept,Studio Rent,Pas Foto,Single,Add Person,Add Edit,Packing,Photofox"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L4:L14">
      <formula1>"-,JIJANG,AXEL,PENTIL,FAHME,AMEL,INDAH,AMEL"</formula1>
    </dataValidation>
    <dataValidation type="list" allowBlank="1" showDropDown="1" showErrorMessage="1" sqref="L15:L18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15:M18">
      <formula1>"-,VERO,FADEL,PENTIL,FAHME,HANIF"</formula1>
    </dataValidation>
    <dataValidation type="list" allowBlank="1" showDropDown="1" showErrorMessage="1" sqref="D4:D14">
      <formula1>"-,Single,Couple A,Couple B,Group A,Group B,Group C,Large Group,Graduation,Graduation Premium,Family A,Family B,Maternity,Concept,Studio Rent,Pas Foto,Single,Add Person,Add Edit"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21</v>
      </c>
      <c r="D4" s="17" t="s">
        <v>24</v>
      </c>
      <c r="E4" s="18"/>
      <c r="F4" s="21" t="s">
        <v>27</v>
      </c>
      <c r="G4" s="20"/>
      <c r="H4" s="22">
        <v>100000.0</v>
      </c>
      <c r="I4" s="14" t="s">
        <v>28</v>
      </c>
      <c r="J4" s="23"/>
      <c r="K4" s="23"/>
      <c r="L4" s="14" t="s">
        <v>29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31</v>
      </c>
      <c r="D5" s="17" t="s">
        <v>23</v>
      </c>
      <c r="E5" s="26"/>
      <c r="F5" s="19" t="s">
        <v>27</v>
      </c>
      <c r="G5" s="27">
        <v>850000.0</v>
      </c>
      <c r="H5" s="28"/>
      <c r="I5" s="14" t="s">
        <v>35</v>
      </c>
      <c r="J5" s="14" t="s">
        <v>36</v>
      </c>
      <c r="K5" s="14" t="s">
        <v>36</v>
      </c>
      <c r="L5" s="14" t="s">
        <v>29</v>
      </c>
      <c r="M5" s="14" t="s">
        <v>37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41</v>
      </c>
      <c r="D6" s="17" t="s">
        <v>43</v>
      </c>
      <c r="E6" s="18"/>
      <c r="F6" s="30" t="s">
        <v>45</v>
      </c>
      <c r="G6" s="20"/>
      <c r="H6" s="22">
        <v>100000.0</v>
      </c>
      <c r="I6" s="14" t="s">
        <v>28</v>
      </c>
      <c r="J6" s="23"/>
      <c r="K6" s="23"/>
      <c r="L6" s="14" t="s">
        <v>29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51</v>
      </c>
      <c r="D7" s="17" t="s">
        <v>22</v>
      </c>
      <c r="E7" s="26"/>
      <c r="F7" s="21">
        <v>46266.0</v>
      </c>
      <c r="G7" s="20"/>
      <c r="H7" s="22">
        <v>200000.0</v>
      </c>
      <c r="I7" s="14" t="s">
        <v>28</v>
      </c>
      <c r="J7" s="23"/>
      <c r="K7" s="23"/>
      <c r="L7" s="14" t="s">
        <v>29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31" t="s">
        <v>55</v>
      </c>
      <c r="D8" s="17" t="s">
        <v>23</v>
      </c>
      <c r="E8" s="18"/>
      <c r="F8" s="30" t="s">
        <v>27</v>
      </c>
      <c r="G8" s="27">
        <v>450000.0</v>
      </c>
      <c r="H8" s="28"/>
      <c r="I8" s="14" t="s">
        <v>35</v>
      </c>
      <c r="J8" s="14" t="s">
        <v>36</v>
      </c>
      <c r="K8" s="14" t="s">
        <v>36</v>
      </c>
      <c r="L8" s="14" t="s">
        <v>29</v>
      </c>
      <c r="M8" s="14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61</v>
      </c>
      <c r="D9" s="17" t="s">
        <v>23</v>
      </c>
      <c r="E9" s="18"/>
      <c r="F9" s="14" t="s">
        <v>62</v>
      </c>
      <c r="G9" s="27">
        <v>1075000.0</v>
      </c>
      <c r="H9" s="28"/>
      <c r="I9" s="14" t="s">
        <v>35</v>
      </c>
      <c r="J9" s="14" t="s">
        <v>36</v>
      </c>
      <c r="K9" s="14" t="s">
        <v>36</v>
      </c>
      <c r="L9" s="14" t="s">
        <v>30</v>
      </c>
      <c r="M9" s="14" t="s">
        <v>37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67</v>
      </c>
      <c r="D10" s="17" t="s">
        <v>57</v>
      </c>
      <c r="E10" s="18"/>
      <c r="F10" s="14" t="s">
        <v>62</v>
      </c>
      <c r="G10" s="20"/>
      <c r="H10" s="22">
        <v>100000.0</v>
      </c>
      <c r="I10" s="14" t="s">
        <v>35</v>
      </c>
      <c r="J10" s="14" t="s">
        <v>36</v>
      </c>
      <c r="K10" s="14" t="s">
        <v>36</v>
      </c>
      <c r="L10" s="14" t="s">
        <v>30</v>
      </c>
      <c r="M10" s="14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69</v>
      </c>
      <c r="D11" s="17" t="s">
        <v>23</v>
      </c>
      <c r="E11" s="18"/>
      <c r="F11" s="14" t="s">
        <v>71</v>
      </c>
      <c r="G11" s="20"/>
      <c r="H11" s="22">
        <v>1075000.0</v>
      </c>
      <c r="I11" s="14" t="s">
        <v>28</v>
      </c>
      <c r="J11" s="23"/>
      <c r="K11" s="23"/>
      <c r="L11" s="14" t="s">
        <v>30</v>
      </c>
      <c r="M11" s="23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74</v>
      </c>
      <c r="D12" s="17" t="s">
        <v>23</v>
      </c>
      <c r="E12" s="18"/>
      <c r="F12" s="14" t="s">
        <v>62</v>
      </c>
      <c r="G12" s="20"/>
      <c r="H12" s="22">
        <v>600000.0</v>
      </c>
      <c r="I12" s="14" t="s">
        <v>35</v>
      </c>
      <c r="J12" s="14" t="s">
        <v>36</v>
      </c>
      <c r="K12" s="14" t="s">
        <v>36</v>
      </c>
      <c r="L12" s="14" t="s">
        <v>30</v>
      </c>
      <c r="M12" s="14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78</v>
      </c>
      <c r="D13" s="17" t="s">
        <v>23</v>
      </c>
      <c r="E13" s="18"/>
      <c r="F13" s="14" t="s">
        <v>62</v>
      </c>
      <c r="G13" s="20"/>
      <c r="H13" s="22">
        <v>800000.0</v>
      </c>
      <c r="I13" s="14" t="s">
        <v>35</v>
      </c>
      <c r="J13" s="14" t="s">
        <v>36</v>
      </c>
      <c r="K13" s="14" t="s">
        <v>36</v>
      </c>
      <c r="L13" s="14" t="s">
        <v>30</v>
      </c>
      <c r="M13" s="14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81</v>
      </c>
      <c r="D14" s="17" t="s">
        <v>22</v>
      </c>
      <c r="E14" s="18"/>
      <c r="F14" s="21">
        <v>46266.0</v>
      </c>
      <c r="G14" s="20"/>
      <c r="H14" s="22">
        <v>100000.0</v>
      </c>
      <c r="I14" s="14" t="s">
        <v>28</v>
      </c>
      <c r="J14" s="23"/>
      <c r="K14" s="23"/>
      <c r="L14" s="14" t="s">
        <v>30</v>
      </c>
      <c r="M14" s="23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83</v>
      </c>
      <c r="D15" s="17" t="s">
        <v>84</v>
      </c>
      <c r="E15" s="18"/>
      <c r="F15" s="21">
        <v>46228.0</v>
      </c>
      <c r="G15" s="20"/>
      <c r="H15" s="22">
        <v>60000.0</v>
      </c>
      <c r="I15" s="14" t="s">
        <v>35</v>
      </c>
      <c r="J15" s="23"/>
      <c r="K15" s="23"/>
      <c r="L15" s="14" t="s">
        <v>30</v>
      </c>
      <c r="M15" s="23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86</v>
      </c>
      <c r="D16" s="17" t="s">
        <v>24</v>
      </c>
      <c r="E16" s="18"/>
      <c r="F16" s="14" t="s">
        <v>62</v>
      </c>
      <c r="G16" s="20"/>
      <c r="H16" s="22">
        <v>370000.0</v>
      </c>
      <c r="I16" s="14" t="s">
        <v>35</v>
      </c>
      <c r="J16" s="14" t="s">
        <v>36</v>
      </c>
      <c r="K16" s="14" t="s">
        <v>77</v>
      </c>
      <c r="L16" s="14" t="s">
        <v>30</v>
      </c>
      <c r="M16" s="14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2375000</v>
      </c>
      <c r="H19" s="43">
        <f t="shared" si="1"/>
        <v>3505000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2375000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29</v>
      </c>
      <c r="P23" s="1"/>
      <c r="Q23" s="1"/>
      <c r="R23" s="1"/>
    </row>
    <row r="24" ht="15.75" customHeight="1">
      <c r="A24" s="1"/>
      <c r="B24" s="51">
        <v>2.0</v>
      </c>
      <c r="C24" s="53" t="s">
        <v>92</v>
      </c>
      <c r="D24" s="55">
        <v>-40000.0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30</v>
      </c>
      <c r="P24" s="1"/>
      <c r="Q24" s="1"/>
      <c r="R24" s="1"/>
    </row>
    <row r="25" ht="15.75" customHeight="1">
      <c r="A25" s="1"/>
      <c r="B25" s="46">
        <v>3.0</v>
      </c>
      <c r="C25" s="57" t="s">
        <v>94</v>
      </c>
      <c r="D25" s="58">
        <v>-15000.0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37</v>
      </c>
      <c r="P25" s="1"/>
      <c r="Q25" s="1"/>
      <c r="R25" s="1"/>
    </row>
    <row r="26" ht="15.75" customHeight="1">
      <c r="A26" s="1"/>
      <c r="B26" s="51">
        <v>4.0</v>
      </c>
      <c r="C26" s="53" t="s">
        <v>97</v>
      </c>
      <c r="D26" s="55">
        <v>-95000.0</v>
      </c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47</v>
      </c>
      <c r="P26" s="1"/>
      <c r="Q26" s="1"/>
      <c r="R26" s="1"/>
    </row>
    <row r="27" ht="15.75" customHeight="1">
      <c r="A27" s="1"/>
      <c r="B27" s="46">
        <v>5.0</v>
      </c>
      <c r="C27" s="57" t="s">
        <v>99</v>
      </c>
      <c r="D27" s="58">
        <v>-50000.0</v>
      </c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3" t="s">
        <v>101</v>
      </c>
      <c r="D28" s="55">
        <v>-100000.0</v>
      </c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64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AMEL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AMEL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ADIF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ADIF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SAKA</v>
      </c>
      <c r="L33" s="68">
        <v>5.0</v>
      </c>
      <c r="M33" s="68">
        <v>4.0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95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SAKA</v>
      </c>
    </row>
    <row r="34" ht="15.75" customHeight="1">
      <c r="A34" s="1"/>
      <c r="B34" s="1"/>
      <c r="C34" s="2"/>
      <c r="D34" s="72">
        <f>SUM(D23:D33)</f>
        <v>2075000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AMEL</v>
      </c>
      <c r="L40" s="78"/>
      <c r="M40" s="78"/>
    </row>
    <row r="41" ht="15.75" customHeight="1">
      <c r="K41" s="77" t="str">
        <f t="shared" si="8"/>
        <v>INDAH</v>
      </c>
      <c r="L41" s="78"/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16.0</v>
      </c>
    </row>
    <row r="45" ht="19.5" customHeight="1">
      <c r="K45" s="82" t="s">
        <v>120</v>
      </c>
      <c r="M45" s="83">
        <f>COUNTIF($I$4:$I$21,"DP")</f>
        <v>5</v>
      </c>
    </row>
    <row r="46" ht="19.5" customHeight="1">
      <c r="K46" s="82" t="s">
        <v>121</v>
      </c>
      <c r="M46" s="83">
        <f>COUNTIFS($I$4:$I$21,"&lt;&gt;DP",$I$4:$I$21,"&lt;&gt;")</f>
        <v>8</v>
      </c>
    </row>
    <row r="47" ht="19.5" customHeight="1">
      <c r="K47" s="84" t="s">
        <v>122</v>
      </c>
      <c r="M47" s="83">
        <f>M45+M46</f>
        <v>13</v>
      </c>
    </row>
    <row r="48" ht="19.5" customHeight="1">
      <c r="K48" s="80" t="s">
        <v>123</v>
      </c>
      <c r="M48" s="85">
        <f>IF(OR(M44="",M44=0),"",M45/M44)</f>
        <v>0.3125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M4:M16">
      <formula1>"-,VERO,FADEL,PENTIL,FAHME,ADIF,SAKA"</formula1>
    </dataValidation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DropDown="1" showErrorMessage="1" sqref="M17:M18">
      <formula1>"-,VERO,FADEL,PENTIL,FAHME,ADIF"</formula1>
    </dataValidation>
    <dataValidation type="list" allowBlank="1" showDropDown="1" showErrorMessage="1" sqref="L4:L16">
      <formula1>"-,JIJANG,AXEL,PENTIL,FAHME,AMEL,INDAH"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D4:D16">
      <formula1>"-,Single,Couple A,Couple B,Group A,Group B,Group C,Large Group,Graduation,Graduation Premium,Family A,Family B,Maternity,Concept,Studio Rent,Pas Foto,Single,Add Person,Add Edit,Photo Fox"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17:D18">
      <formula1>"-,Single,Couple A,Couple B,Group A,Group B,Group C,Large Group,Graduation,Graduation Premium,Family A,Family B,Maternity,Concept,Studio Rent,Pas Foto,Single,Add Person,Add Edit"</formula1>
    </dataValidation>
    <dataValidation type="list" allowBlank="1" showDropDown="1" showErrorMessage="1" sqref="L17:L18">
      <formula1>"-,ADDEL,AXEL,PENTIL,FAHME,INDAH"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20</v>
      </c>
      <c r="D4" s="17" t="s">
        <v>22</v>
      </c>
      <c r="E4" s="18"/>
      <c r="F4" s="19">
        <v>46266.0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32</v>
      </c>
      <c r="D5" s="17" t="s">
        <v>34</v>
      </c>
      <c r="E5" s="18"/>
      <c r="F5" s="19">
        <v>46140.0</v>
      </c>
      <c r="G5" s="20"/>
      <c r="H5" s="22">
        <v>125000.0</v>
      </c>
      <c r="I5" s="14" t="s">
        <v>35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38</v>
      </c>
      <c r="D6" s="17" t="s">
        <v>39</v>
      </c>
      <c r="E6" s="18"/>
      <c r="F6" s="21">
        <v>46237.0</v>
      </c>
      <c r="G6" s="20"/>
      <c r="H6" s="22">
        <v>100000.0</v>
      </c>
      <c r="I6" s="14" t="s">
        <v>28</v>
      </c>
      <c r="J6" s="23"/>
      <c r="K6" s="23"/>
      <c r="L6" s="14" t="s">
        <v>30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38</v>
      </c>
      <c r="D7" s="17" t="s">
        <v>39</v>
      </c>
      <c r="E7" s="18"/>
      <c r="F7" s="21" t="s">
        <v>48</v>
      </c>
      <c r="G7" s="20"/>
      <c r="H7" s="22">
        <v>50000.0</v>
      </c>
      <c r="I7" s="14" t="s">
        <v>35</v>
      </c>
      <c r="J7" s="14" t="s">
        <v>36</v>
      </c>
      <c r="K7" s="14" t="s">
        <v>36</v>
      </c>
      <c r="L7" s="14" t="s">
        <v>29</v>
      </c>
      <c r="M7" s="14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53</v>
      </c>
      <c r="D8" s="17" t="s">
        <v>23</v>
      </c>
      <c r="E8" s="26"/>
      <c r="F8" s="21" t="s">
        <v>48</v>
      </c>
      <c r="G8" s="27">
        <v>100000.0</v>
      </c>
      <c r="H8" s="28"/>
      <c r="I8" s="14" t="s">
        <v>35</v>
      </c>
      <c r="J8" s="14" t="s">
        <v>36</v>
      </c>
      <c r="K8" s="14" t="s">
        <v>36</v>
      </c>
      <c r="L8" s="14" t="s">
        <v>29</v>
      </c>
      <c r="M8" s="14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32"/>
      <c r="D9" s="16"/>
      <c r="E9" s="14"/>
      <c r="F9" s="33"/>
      <c r="G9" s="34"/>
      <c r="H9" s="35"/>
      <c r="I9" s="15"/>
      <c r="J9" s="15"/>
      <c r="K9" s="15"/>
      <c r="L9" s="15"/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32"/>
      <c r="D10" s="16"/>
      <c r="E10" s="14"/>
      <c r="F10" s="33"/>
      <c r="G10" s="34"/>
      <c r="H10" s="35"/>
      <c r="I10" s="15"/>
      <c r="J10" s="15"/>
      <c r="K10" s="15"/>
      <c r="L10" s="15"/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2"/>
      <c r="D11" s="16"/>
      <c r="E11" s="38"/>
      <c r="F11" s="33"/>
      <c r="G11" s="34"/>
      <c r="H11" s="35"/>
      <c r="I11" s="15"/>
      <c r="J11" s="15"/>
      <c r="K11" s="15"/>
      <c r="L11" s="15"/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39"/>
      <c r="D12" s="16"/>
      <c r="E12" s="14"/>
      <c r="F12" s="33"/>
      <c r="G12" s="34"/>
      <c r="H12" s="35"/>
      <c r="I12" s="15"/>
      <c r="J12" s="15"/>
      <c r="K12" s="15"/>
      <c r="L12" s="15"/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/>
      <c r="D13" s="16"/>
      <c r="E13" s="14"/>
      <c r="F13" s="33"/>
      <c r="G13" s="34"/>
      <c r="H13" s="35"/>
      <c r="I13" s="15"/>
      <c r="J13" s="15"/>
      <c r="K13" s="15"/>
      <c r="L13" s="15"/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/>
      <c r="D14" s="16"/>
      <c r="E14" s="38"/>
      <c r="F14" s="33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15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15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100000</v>
      </c>
      <c r="H19" s="43">
        <f t="shared" si="1"/>
        <v>375000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100000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30</v>
      </c>
      <c r="P23" s="1"/>
      <c r="Q23" s="1"/>
      <c r="R23" s="1"/>
    </row>
    <row r="24" ht="15.75" customHeight="1">
      <c r="A24" s="1"/>
      <c r="B24" s="51">
        <v>2.0</v>
      </c>
      <c r="C24" s="52"/>
      <c r="D24" s="54"/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29</v>
      </c>
      <c r="P24" s="1"/>
      <c r="Q24" s="1"/>
      <c r="R24" s="1"/>
    </row>
    <row r="25" ht="15.75" customHeight="1">
      <c r="A25" s="1"/>
      <c r="B25" s="46">
        <v>3.0</v>
      </c>
      <c r="C25" s="47"/>
      <c r="D25" s="48"/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47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37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INDAH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INDAH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AMEL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AMEL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4.0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95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1"/>
      <c r="C34" s="2"/>
      <c r="D34" s="72">
        <f>SUM(D23:D33)</f>
        <v>100000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INDAH</v>
      </c>
      <c r="L40" s="78">
        <v>1.0</v>
      </c>
      <c r="M40" s="78" t="s">
        <v>116</v>
      </c>
    </row>
    <row r="41" ht="15.75" customHeight="1">
      <c r="K41" s="77" t="str">
        <f t="shared" si="8"/>
        <v>AMEL</v>
      </c>
      <c r="L41" s="78">
        <v>2.0</v>
      </c>
      <c r="M41" s="78" t="s">
        <v>117</v>
      </c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20.0</v>
      </c>
    </row>
    <row r="45" ht="19.5" customHeight="1">
      <c r="K45" s="82" t="s">
        <v>120</v>
      </c>
      <c r="M45" s="83">
        <f>COUNTIF($I$4:$I$21,"DP")</f>
        <v>2</v>
      </c>
    </row>
    <row r="46" ht="19.5" customHeight="1">
      <c r="K46" s="82" t="s">
        <v>121</v>
      </c>
      <c r="M46" s="83">
        <f>COUNTIFS($I$4:$I$21,"&lt;&gt;DP",$I$4:$I$21,"&lt;&gt;")</f>
        <v>3</v>
      </c>
    </row>
    <row r="47" ht="19.5" customHeight="1">
      <c r="K47" s="84" t="s">
        <v>122</v>
      </c>
      <c r="M47" s="83">
        <f>M45+M46</f>
        <v>5</v>
      </c>
    </row>
    <row r="48" ht="19.5" customHeight="1">
      <c r="K48" s="80" t="s">
        <v>123</v>
      </c>
      <c r="M48" s="85">
        <f>IF(OR(M44="",M44=0),"",M45/M44)</f>
        <v>0.1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DropDown="1" showErrorMessage="1" sqref="M4:M8">
      <formula1>"-,VERO,FADEL,PENTIL,FAHME,SAKA,ADIF"</formula1>
    </dataValidation>
    <dataValidation type="list" allowBlank="1" showDropDown="1" showErrorMessage="1" sqref="D10:D18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D4:D8">
      <formula1>"-,Single,Couple A,Couple B,Group A,Group B,Group C,Large Group,Graduation,Graduation Premium,Family A,Family B,Maternity,Concept,Studio Rent,Pas Foto,Single,Add Person,Add Edit,Add Cetak 16R"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D9">
      <formula1>"-,Single,Couple A,Couple B,Group A,Group B,Group C,Large Group,Graduation,Graduation Premium,Family A,Family B,Maternity,Concept,Studio Rent,Pas Foto,Single,Add Person,Add Edit,Add Cetak"</formula1>
    </dataValidation>
    <dataValidation type="list" allowBlank="1" showDropDown="1" showErrorMessage="1" sqref="M9:M18">
      <formula1>"-,VERO,FADEL,PENTIL,FAHME,ADIF,HANIF"</formula1>
    </dataValidation>
    <dataValidation type="list" allowBlank="1" showDropDown="1" showErrorMessage="1" sqref="L9:L18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8">
      <formula1>"-,JIJANG,AXEL,PENTIL,FAHME,INDAH,AMEL"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29.13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4" t="s">
        <v>19</v>
      </c>
      <c r="D4" s="17" t="s">
        <v>23</v>
      </c>
      <c r="E4" s="18"/>
      <c r="F4" s="19" t="s">
        <v>26</v>
      </c>
      <c r="G4" s="20"/>
      <c r="H4" s="22">
        <v>100000.0</v>
      </c>
      <c r="I4" s="14" t="s">
        <v>28</v>
      </c>
      <c r="J4" s="23"/>
      <c r="K4" s="23"/>
      <c r="L4" s="14" t="s">
        <v>29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4" t="s">
        <v>44</v>
      </c>
      <c r="D5" s="17" t="s">
        <v>23</v>
      </c>
      <c r="E5" s="18"/>
      <c r="F5" s="19" t="s">
        <v>46</v>
      </c>
      <c r="G5" s="20"/>
      <c r="H5" s="22">
        <v>100000.0</v>
      </c>
      <c r="I5" s="14" t="s">
        <v>28</v>
      </c>
      <c r="J5" s="23"/>
      <c r="K5" s="23"/>
      <c r="L5" s="14" t="s">
        <v>29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4" t="s">
        <v>50</v>
      </c>
      <c r="D6" s="17" t="s">
        <v>22</v>
      </c>
      <c r="E6" s="18"/>
      <c r="F6" s="21">
        <v>46266.0</v>
      </c>
      <c r="G6" s="20"/>
      <c r="H6" s="22">
        <v>100000.0</v>
      </c>
      <c r="I6" s="14" t="s">
        <v>28</v>
      </c>
      <c r="J6" s="23"/>
      <c r="K6" s="23"/>
      <c r="L6" s="14" t="s">
        <v>29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4" t="s">
        <v>52</v>
      </c>
      <c r="D7" s="17" t="s">
        <v>22</v>
      </c>
      <c r="E7" s="18"/>
      <c r="F7" s="21">
        <v>46274.0</v>
      </c>
      <c r="G7" s="20"/>
      <c r="H7" s="22">
        <v>100000.0</v>
      </c>
      <c r="I7" s="14" t="s">
        <v>28</v>
      </c>
      <c r="J7" s="23"/>
      <c r="K7" s="23"/>
      <c r="L7" s="14" t="s">
        <v>29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4" t="s">
        <v>56</v>
      </c>
      <c r="D8" s="17" t="s">
        <v>57</v>
      </c>
      <c r="E8" s="18"/>
      <c r="F8" s="30" t="s">
        <v>58</v>
      </c>
      <c r="G8" s="20"/>
      <c r="H8" s="22">
        <v>50000.0</v>
      </c>
      <c r="I8" s="14" t="s">
        <v>35</v>
      </c>
      <c r="J8" s="23"/>
      <c r="K8" s="23"/>
      <c r="L8" s="14" t="s">
        <v>29</v>
      </c>
      <c r="M8" s="23"/>
      <c r="N8" s="29"/>
      <c r="O8" s="29"/>
      <c r="P8" s="29"/>
      <c r="Q8" s="1"/>
      <c r="R8" s="1"/>
    </row>
    <row r="9" ht="15.75" customHeight="1">
      <c r="A9" s="1"/>
      <c r="B9" s="15">
        <v>6.0</v>
      </c>
      <c r="C9" s="14" t="s">
        <v>63</v>
      </c>
      <c r="D9" s="17" t="s">
        <v>23</v>
      </c>
      <c r="E9" s="18"/>
      <c r="F9" s="30" t="s">
        <v>64</v>
      </c>
      <c r="G9" s="20"/>
      <c r="H9" s="22">
        <v>100000.0</v>
      </c>
      <c r="I9" s="14" t="s">
        <v>28</v>
      </c>
      <c r="J9" s="23"/>
      <c r="K9" s="23"/>
      <c r="L9" s="14" t="s">
        <v>29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4" t="s">
        <v>68</v>
      </c>
      <c r="D10" s="17" t="s">
        <v>57</v>
      </c>
      <c r="E10" s="36">
        <v>2.0</v>
      </c>
      <c r="F10" s="30" t="s">
        <v>26</v>
      </c>
      <c r="G10" s="20"/>
      <c r="H10" s="22">
        <v>100000.0</v>
      </c>
      <c r="I10" s="14" t="s">
        <v>35</v>
      </c>
      <c r="J10" s="23"/>
      <c r="K10" s="23"/>
      <c r="L10" s="14" t="s">
        <v>29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7" t="s">
        <v>73</v>
      </c>
      <c r="D11" s="17" t="s">
        <v>22</v>
      </c>
      <c r="E11" s="18"/>
      <c r="F11" s="21">
        <v>46266.0</v>
      </c>
      <c r="G11" s="20"/>
      <c r="H11" s="22">
        <v>100000.0</v>
      </c>
      <c r="I11" s="14" t="s">
        <v>28</v>
      </c>
      <c r="J11" s="23"/>
      <c r="K11" s="23"/>
      <c r="L11" s="14" t="s">
        <v>29</v>
      </c>
      <c r="M11" s="23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4" t="s">
        <v>76</v>
      </c>
      <c r="D12" s="17" t="s">
        <v>39</v>
      </c>
      <c r="E12" s="18"/>
      <c r="F12" s="14" t="s">
        <v>26</v>
      </c>
      <c r="G12" s="20"/>
      <c r="H12" s="22">
        <v>150000.0</v>
      </c>
      <c r="I12" s="14" t="s">
        <v>35</v>
      </c>
      <c r="J12" s="23"/>
      <c r="K12" s="23"/>
      <c r="L12" s="14" t="s">
        <v>29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79</v>
      </c>
      <c r="D13" s="17" t="s">
        <v>57</v>
      </c>
      <c r="E13" s="18"/>
      <c r="F13" s="21">
        <v>46238.0</v>
      </c>
      <c r="G13" s="27">
        <v>0.0</v>
      </c>
      <c r="H13" s="22">
        <v>0.0</v>
      </c>
      <c r="I13" s="14" t="s">
        <v>35</v>
      </c>
      <c r="J13" s="14" t="s">
        <v>36</v>
      </c>
      <c r="K13" s="14" t="s">
        <v>36</v>
      </c>
      <c r="L13" s="14" t="s">
        <v>30</v>
      </c>
      <c r="M13" s="14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19</v>
      </c>
      <c r="D14" s="17" t="s">
        <v>23</v>
      </c>
      <c r="E14" s="18"/>
      <c r="F14" s="21">
        <v>46238.0</v>
      </c>
      <c r="G14" s="20"/>
      <c r="H14" s="22">
        <v>575000.0</v>
      </c>
      <c r="I14" s="14" t="s">
        <v>35</v>
      </c>
      <c r="J14" s="14" t="s">
        <v>36</v>
      </c>
      <c r="K14" s="14" t="s">
        <v>77</v>
      </c>
      <c r="L14" s="14" t="s">
        <v>30</v>
      </c>
      <c r="M14" s="14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82</v>
      </c>
      <c r="D15" s="17" t="s">
        <v>57</v>
      </c>
      <c r="E15" s="18"/>
      <c r="F15" s="21">
        <v>46238.0</v>
      </c>
      <c r="G15" s="20"/>
      <c r="H15" s="22">
        <v>150000.0</v>
      </c>
      <c r="I15" s="14" t="s">
        <v>35</v>
      </c>
      <c r="J15" s="14" t="s">
        <v>36</v>
      </c>
      <c r="K15" s="14" t="s">
        <v>36</v>
      </c>
      <c r="L15" s="14" t="s">
        <v>30</v>
      </c>
      <c r="M15" s="14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85</v>
      </c>
      <c r="D16" s="17" t="s">
        <v>23</v>
      </c>
      <c r="E16" s="18"/>
      <c r="F16" s="21">
        <v>46239.0</v>
      </c>
      <c r="G16" s="20"/>
      <c r="H16" s="22">
        <v>100000.0</v>
      </c>
      <c r="I16" s="14" t="s">
        <v>28</v>
      </c>
      <c r="J16" s="23"/>
      <c r="K16" s="23"/>
      <c r="L16" s="14" t="s">
        <v>30</v>
      </c>
      <c r="M16" s="23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76</v>
      </c>
      <c r="D17" s="17" t="s">
        <v>39</v>
      </c>
      <c r="E17" s="36" t="s">
        <v>87</v>
      </c>
      <c r="F17" s="21">
        <v>46238.0</v>
      </c>
      <c r="G17" s="27">
        <v>10000.0</v>
      </c>
      <c r="H17" s="28"/>
      <c r="I17" s="14" t="s">
        <v>35</v>
      </c>
      <c r="J17" s="14" t="s">
        <v>36</v>
      </c>
      <c r="K17" s="14" t="s">
        <v>36</v>
      </c>
      <c r="L17" s="14" t="s">
        <v>30</v>
      </c>
      <c r="M17" s="14" t="s">
        <v>37</v>
      </c>
      <c r="N17" s="29"/>
      <c r="O17" s="29"/>
      <c r="P17" s="29"/>
      <c r="Q17" s="1"/>
      <c r="R17" s="1"/>
    </row>
    <row r="18" ht="15.75" customHeight="1">
      <c r="A18" s="1"/>
      <c r="B18" s="15"/>
      <c r="C18" s="16" t="s">
        <v>79</v>
      </c>
      <c r="D18" s="17" t="s">
        <v>84</v>
      </c>
      <c r="E18" s="18"/>
      <c r="F18" s="21">
        <v>46238.0</v>
      </c>
      <c r="G18" s="20"/>
      <c r="H18" s="22">
        <v>20000.0</v>
      </c>
      <c r="I18" s="14" t="s">
        <v>35</v>
      </c>
      <c r="J18" s="23"/>
      <c r="K18" s="23"/>
      <c r="L18" s="14" t="s">
        <v>30</v>
      </c>
      <c r="M18" s="23"/>
      <c r="N18" s="29"/>
      <c r="O18" s="29"/>
      <c r="P18" s="29"/>
      <c r="Q18" s="1"/>
      <c r="R18" s="1"/>
    </row>
    <row r="19" ht="15.75" customHeight="1">
      <c r="A19" s="1"/>
      <c r="B19" s="15"/>
      <c r="C19" s="32"/>
      <c r="D19" s="16"/>
      <c r="E19" s="14"/>
      <c r="F19" s="15"/>
      <c r="G19" s="34"/>
      <c r="H19" s="35"/>
      <c r="I19" s="15"/>
      <c r="J19" s="15"/>
      <c r="K19" s="15"/>
      <c r="L19" s="15"/>
      <c r="M19" s="15"/>
      <c r="N19" s="41"/>
      <c r="O19" s="41"/>
      <c r="P19" s="41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42">
        <f t="shared" ref="G20:H20" si="1">SUM(G4:G19)</f>
        <v>10000</v>
      </c>
      <c r="H20" s="43">
        <f t="shared" si="1"/>
        <v>1745000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1"/>
      <c r="B23" s="44" t="s">
        <v>0</v>
      </c>
      <c r="C23" s="45" t="s">
        <v>6</v>
      </c>
      <c r="D23" s="45" t="s">
        <v>88</v>
      </c>
      <c r="E23" s="1"/>
      <c r="F23" s="1"/>
      <c r="G23" s="1"/>
      <c r="H23" s="1"/>
      <c r="I23" s="1"/>
      <c r="J23" s="1"/>
      <c r="K23" s="1"/>
      <c r="L23" s="1"/>
      <c r="M23" s="1"/>
      <c r="N23" s="45" t="s">
        <v>89</v>
      </c>
      <c r="O23" s="45" t="s">
        <v>1</v>
      </c>
      <c r="P23" s="1"/>
      <c r="Q23" s="1"/>
      <c r="R23" s="1"/>
    </row>
    <row r="24" ht="15.75" customHeight="1">
      <c r="A24" s="1"/>
      <c r="B24" s="46">
        <v>1.0</v>
      </c>
      <c r="C24" s="47" t="s">
        <v>90</v>
      </c>
      <c r="D24" s="48">
        <f>SUM(G20)</f>
        <v>10000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91</v>
      </c>
      <c r="O24" s="24" t="s">
        <v>29</v>
      </c>
      <c r="P24" s="1"/>
      <c r="Q24" s="1"/>
      <c r="R24" s="1"/>
    </row>
    <row r="25" ht="15.75" customHeight="1">
      <c r="A25" s="1"/>
      <c r="B25" s="51">
        <v>2.0</v>
      </c>
      <c r="C25" s="52"/>
      <c r="D25" s="54"/>
      <c r="E25" s="49"/>
      <c r="F25" s="1"/>
      <c r="G25" s="1"/>
      <c r="H25" s="1"/>
      <c r="I25" s="1"/>
      <c r="J25" s="1"/>
      <c r="K25" s="1"/>
      <c r="L25" s="1"/>
      <c r="M25" s="1"/>
      <c r="N25" s="56" t="s">
        <v>93</v>
      </c>
      <c r="O25" s="41" t="s">
        <v>30</v>
      </c>
      <c r="P25" s="1"/>
      <c r="Q25" s="1"/>
      <c r="R25" s="1"/>
    </row>
    <row r="26" ht="15.75" customHeight="1">
      <c r="A26" s="1"/>
      <c r="B26" s="46">
        <v>3.0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9" t="s">
        <v>95</v>
      </c>
      <c r="O26" s="29" t="s">
        <v>47</v>
      </c>
      <c r="P26" s="1"/>
      <c r="Q26" s="1"/>
      <c r="R26" s="1"/>
    </row>
    <row r="27" ht="15.75" customHeight="1">
      <c r="A27" s="1"/>
      <c r="B27" s="51">
        <v>4.0</v>
      </c>
      <c r="C27" s="52"/>
      <c r="D27" s="54"/>
      <c r="E27" s="49"/>
      <c r="F27" s="1"/>
      <c r="G27" s="1"/>
      <c r="H27" s="1"/>
      <c r="I27" s="1"/>
      <c r="J27" s="1"/>
      <c r="K27" s="1"/>
      <c r="L27" s="1"/>
      <c r="M27" s="1"/>
      <c r="N27" s="60" t="s">
        <v>98</v>
      </c>
      <c r="O27" s="41" t="s">
        <v>37</v>
      </c>
      <c r="P27" s="1"/>
      <c r="Q27" s="1"/>
      <c r="R27" s="1"/>
    </row>
    <row r="28" ht="15.75" customHeight="1">
      <c r="A28" s="1"/>
      <c r="B28" s="46">
        <v>5.0</v>
      </c>
      <c r="C28" s="47"/>
      <c r="D28" s="48"/>
      <c r="E28" s="49"/>
      <c r="F28" s="1"/>
      <c r="G28" s="1"/>
      <c r="H28" s="1"/>
      <c r="I28" s="1"/>
      <c r="J28" s="1"/>
      <c r="K28" s="1"/>
      <c r="L28" s="1"/>
      <c r="M28" s="1"/>
      <c r="N28" s="61"/>
      <c r="O28" s="1"/>
      <c r="P28" s="1"/>
      <c r="Q28" s="1"/>
      <c r="R28" s="1"/>
    </row>
    <row r="29" ht="15.75" customHeight="1">
      <c r="A29" s="1"/>
      <c r="B29" s="51">
        <v>6.0</v>
      </c>
      <c r="C29" s="52"/>
      <c r="D29" s="54"/>
      <c r="E29" s="49"/>
      <c r="F29" s="1"/>
      <c r="G29" s="1"/>
      <c r="H29" s="1"/>
      <c r="I29" s="1"/>
      <c r="J29" s="1"/>
      <c r="K29" s="62" t="s">
        <v>100</v>
      </c>
      <c r="Q29" s="1"/>
      <c r="R29" s="1"/>
    </row>
    <row r="30" ht="15.75" customHeight="1">
      <c r="A30" s="1"/>
      <c r="B30" s="46">
        <v>7.0</v>
      </c>
      <c r="C30" s="47"/>
      <c r="D30" s="48"/>
      <c r="E30" s="49"/>
      <c r="F30" s="1"/>
      <c r="G30" s="1"/>
      <c r="H30" s="1"/>
      <c r="I30" s="1"/>
      <c r="J30" s="1"/>
      <c r="K30" s="63" t="s">
        <v>1</v>
      </c>
      <c r="L30" s="63" t="s">
        <v>102</v>
      </c>
      <c r="M30" s="63" t="s">
        <v>103</v>
      </c>
      <c r="N30" s="63" t="s">
        <v>104</v>
      </c>
      <c r="O30" s="63" t="s">
        <v>105</v>
      </c>
      <c r="P30" s="63" t="s">
        <v>106</v>
      </c>
      <c r="Q30" s="1"/>
      <c r="R30" s="1"/>
      <c r="AC30" s="65" t="s">
        <v>107</v>
      </c>
      <c r="AD30" s="65" t="s">
        <v>108</v>
      </c>
      <c r="AE30" s="65" t="s">
        <v>109</v>
      </c>
      <c r="AF30" s="65" t="s">
        <v>110</v>
      </c>
      <c r="AG30" s="66" t="s">
        <v>111</v>
      </c>
    </row>
    <row r="31" ht="15.75" customHeight="1">
      <c r="A31" s="1"/>
      <c r="B31" s="51">
        <v>8.0</v>
      </c>
      <c r="C31" s="52"/>
      <c r="D31" s="54"/>
      <c r="E31" s="49"/>
      <c r="F31" s="1"/>
      <c r="G31" s="1"/>
      <c r="H31" s="1"/>
      <c r="I31" s="1"/>
      <c r="J31" s="1"/>
      <c r="K31" s="67" t="str">
        <f t="shared" ref="K31:K34" si="2">IF(O24="","",O24)</f>
        <v>AMEL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ref="AC31:AC36" si="3">IF(AG31="","",IF(COUNT(L31:P31)&lt;5,"",L31/5*20+M31/5*25+N31/5*25+O31/5*15+P31/5*15))</f>
        <v>100</v>
      </c>
      <c r="AD31" s="65" t="str">
        <f t="shared" ref="AD31:AD36" si="4">IF(AC31="","",IF(AC31&gt;=90,"Sangat Baik",IF(AC31&gt;=80,"Baik",IF(AC31&gt;=70,"Coaching","Underperform"))))</f>
        <v>Sangat Baik</v>
      </c>
      <c r="AE31" s="65" t="str">
        <f t="shared" ref="AE31:AE36" si="5">IF(AG31="","",IF(OR(AG31="INDAH",AG31="ADDEL",AG31="AMEL",AG31="PENTIL",AG31="JIJANG"),"Admin/CS","Fotografer"))</f>
        <v>Admin/CS</v>
      </c>
      <c r="AF31" s="65">
        <f t="shared" ref="AF31:AF36" si="6">IF(OR(AG31="",COUNT(L31:P31)&lt;5),"",1)</f>
        <v>1</v>
      </c>
      <c r="AG31" s="66" t="str">
        <f t="shared" ref="AG31:AG36" si="7">IFERROR(K31,"")</f>
        <v>AMEL</v>
      </c>
    </row>
    <row r="32" ht="15.75" customHeight="1">
      <c r="A32" s="1"/>
      <c r="B32" s="46">
        <v>9.0</v>
      </c>
      <c r="C32" s="47"/>
      <c r="D32" s="48"/>
      <c r="E32" s="49"/>
      <c r="F32" s="1"/>
      <c r="G32" s="1"/>
      <c r="H32" s="1"/>
      <c r="I32" s="1"/>
      <c r="J32" s="1"/>
      <c r="K32" s="67" t="str">
        <f t="shared" si="2"/>
        <v>INDAH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Admin/CS</v>
      </c>
      <c r="AF32" s="65">
        <f t="shared" si="6"/>
        <v>1</v>
      </c>
      <c r="AG32" s="66" t="str">
        <f t="shared" si="7"/>
        <v>INDAH</v>
      </c>
    </row>
    <row r="33" ht="15.75" customHeight="1">
      <c r="A33" s="1"/>
      <c r="B33" s="51">
        <v>10.0</v>
      </c>
      <c r="C33" s="52"/>
      <c r="D33" s="54"/>
      <c r="E33" s="49"/>
      <c r="F33" s="1"/>
      <c r="G33" s="1"/>
      <c r="H33" s="1"/>
      <c r="I33" s="1"/>
      <c r="J33" s="1"/>
      <c r="K33" s="67" t="str">
        <f t="shared" si="2"/>
        <v>SAKA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SAKA</v>
      </c>
    </row>
    <row r="34" ht="15.75" customHeight="1">
      <c r="A34" s="1"/>
      <c r="B34" s="69">
        <v>11.0</v>
      </c>
      <c r="C34" s="70"/>
      <c r="D34" s="71"/>
      <c r="E34" s="49"/>
      <c r="F34" s="1"/>
      <c r="G34" s="1"/>
      <c r="H34" s="1"/>
      <c r="I34" s="1"/>
      <c r="J34" s="1"/>
      <c r="K34" s="67" t="str">
        <f t="shared" si="2"/>
        <v>ADIF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si="3"/>
        <v>100</v>
      </c>
      <c r="AD34" s="65" t="str">
        <f t="shared" si="4"/>
        <v>Sangat Baik</v>
      </c>
      <c r="AE34" s="65" t="str">
        <f t="shared" si="5"/>
        <v>Fotografer</v>
      </c>
      <c r="AF34" s="65">
        <f t="shared" si="6"/>
        <v>1</v>
      </c>
      <c r="AG34" s="66" t="str">
        <f t="shared" si="7"/>
        <v>ADIF</v>
      </c>
    </row>
    <row r="35" ht="15.75" customHeight="1">
      <c r="A35" s="1"/>
      <c r="B35" s="1"/>
      <c r="C35" s="2"/>
      <c r="D35" s="72">
        <f>SUM(D24:D34)</f>
        <v>10000</v>
      </c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67"/>
      <c r="L36" s="73"/>
      <c r="M36" s="73"/>
      <c r="N36" s="73"/>
      <c r="O36" s="73"/>
      <c r="P36" s="73"/>
      <c r="Q36" s="1"/>
      <c r="R36" s="1"/>
      <c r="AC36" s="65" t="str">
        <f t="shared" si="3"/>
        <v/>
      </c>
      <c r="AD36" s="65" t="str">
        <f t="shared" si="4"/>
        <v/>
      </c>
      <c r="AE36" s="65" t="str">
        <f t="shared" si="5"/>
        <v/>
      </c>
      <c r="AF36" s="65" t="str">
        <f t="shared" si="6"/>
        <v/>
      </c>
      <c r="AG36" s="66" t="str">
        <f t="shared" si="7"/>
        <v/>
      </c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74" t="s">
        <v>112</v>
      </c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5" t="s">
        <v>113</v>
      </c>
      <c r="N39" s="1"/>
      <c r="O39" s="1"/>
      <c r="P39" s="1"/>
      <c r="Q39" s="1"/>
      <c r="R39" s="1"/>
    </row>
    <row r="40" ht="15.75" customHeight="1">
      <c r="K40" s="76" t="s">
        <v>7</v>
      </c>
      <c r="L40" s="76" t="s">
        <v>114</v>
      </c>
      <c r="M40" s="76" t="s">
        <v>115</v>
      </c>
    </row>
    <row r="41" ht="15.75" customHeight="1">
      <c r="K41" s="77" t="str">
        <f t="shared" ref="K41:K42" si="8">IF(O24="","",O24)</f>
        <v>AMEL</v>
      </c>
      <c r="L41" s="78">
        <v>9.0</v>
      </c>
      <c r="M41" s="78"/>
    </row>
    <row r="42" ht="15.75" customHeight="1">
      <c r="K42" s="77" t="str">
        <f t="shared" si="8"/>
        <v>INDAH</v>
      </c>
      <c r="L42" s="78">
        <v>2.0</v>
      </c>
      <c r="M42" s="78"/>
    </row>
    <row r="43" ht="15.75" customHeight="1"/>
    <row r="44" ht="19.5" customHeight="1">
      <c r="K44" s="79" t="s">
        <v>118</v>
      </c>
    </row>
    <row r="45" ht="19.5" customHeight="1">
      <c r="K45" s="80" t="s">
        <v>119</v>
      </c>
      <c r="M45" s="81">
        <v>12.0</v>
      </c>
    </row>
    <row r="46" ht="19.5" customHeight="1">
      <c r="K46" s="82" t="s">
        <v>120</v>
      </c>
      <c r="M46" s="83">
        <f>COUNTIF($I$4:$I$22,"DP")</f>
        <v>7</v>
      </c>
    </row>
    <row r="47" ht="19.5" customHeight="1">
      <c r="K47" s="82" t="s">
        <v>121</v>
      </c>
      <c r="M47" s="83">
        <f>COUNTIFS($I$4:$I$22,"&lt;&gt;DP",$I$4:$I$22,"&lt;&gt;")</f>
        <v>8</v>
      </c>
    </row>
    <row r="48" ht="19.5" customHeight="1">
      <c r="K48" s="84" t="s">
        <v>122</v>
      </c>
      <c r="M48" s="83">
        <f>M46+M47</f>
        <v>15</v>
      </c>
    </row>
    <row r="49" ht="19.5" customHeight="1">
      <c r="K49" s="80" t="s">
        <v>123</v>
      </c>
      <c r="M49" s="85">
        <f>IF(OR(M45="",M45=0),"",M46/M45)</f>
        <v>0.5833333333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5:L45"/>
    <mergeCell ref="K46:L46"/>
    <mergeCell ref="K47:L47"/>
    <mergeCell ref="K48:L48"/>
    <mergeCell ref="K49:L49"/>
    <mergeCell ref="L2:L3"/>
    <mergeCell ref="M2:M3"/>
    <mergeCell ref="N2:P2"/>
    <mergeCell ref="K29:P29"/>
    <mergeCell ref="K37:P37"/>
    <mergeCell ref="K39:M39"/>
    <mergeCell ref="K44:M44"/>
  </mergeCells>
  <conditionalFormatting sqref="I4:I22">
    <cfRule type="expression" dxfId="0" priority="1">
      <formula>I4="DP"</formula>
    </cfRule>
  </conditionalFormatting>
  <conditionalFormatting sqref="I4:I22">
    <cfRule type="expression" dxfId="1" priority="2">
      <formula>I4="Lunas"</formula>
    </cfRule>
  </conditionalFormatting>
  <conditionalFormatting sqref="J4:K22">
    <cfRule type="expression" dxfId="2" priority="3">
      <formula>OR(J4="Uploaded",J4="Delivered")</formula>
    </cfRule>
  </conditionalFormatting>
  <dataValidations>
    <dataValidation type="list" allowBlank="1" showDropDown="1" showErrorMessage="1" sqref="I4:I19">
      <formula1>"-,DP,Lunas"</formula1>
    </dataValidation>
    <dataValidation type="list" allowBlank="1" showDropDown="1" showErrorMessage="1" sqref="M19">
      <formula1>"-,VERO,FADEL,HANIF,ADIF"</formula1>
    </dataValidation>
    <dataValidation type="list" allowBlank="1" sqref="L31:P36">
      <formula1>"1,2,3,4,5"</formula1>
    </dataValidation>
    <dataValidation type="list" allowBlank="1" showDropDown="1" showErrorMessage="1" sqref="J4:K19">
      <formula1>"-,Pending,Uploaded"</formula1>
    </dataValidation>
    <dataValidation type="list" allowBlank="1" showDropDown="1" showErrorMessage="1" sqref="L19">
      <formula1>"-,JIJANG,ADDEL,PENTIL,FAHME,INDAH"</formula1>
    </dataValidation>
    <dataValidation type="list" allowBlank="1" sqref="K31:K36">
      <formula1>'Resume Karyawan KPI'!$AK$5:$AK$15</formula1>
    </dataValidation>
    <dataValidation type="list" allowBlank="1" showDropDown="1" showErrorMessage="1" sqref="M4:M18">
      <formula1>"-,VERO,FADEL,PENTIL,FAHME,SAKA,ADIF"</formula1>
    </dataValidation>
    <dataValidation type="list" allowBlank="1" showErrorMessage="1" sqref="N4:N19">
      <formula1>"-,Pending,Progress,Uploaded"</formula1>
    </dataValidation>
    <dataValidation type="list" allowBlank="1" showDropDown="1" showErrorMessage="1" sqref="L4:L18">
      <formula1>"-,JIJANG,AXEL,PENTIL,FAHME,AMEL,INDAH"</formula1>
    </dataValidation>
    <dataValidation type="list" allowBlank="1" sqref="O24:O27">
      <formula1>"INDAH,ADDEL,AMEL,PENTIL,JIJANG,HANIF,FAHME,ADIF,ABROR,FADEL,SAKA"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D4:D19">
      <formula1>"-,Single,Couple A,Couple B,Group A,Group B,Group C,Large Group,Graduation,Graduation Premium,Family A,Family B,Maternity,Concept,Studio Rent,Pas Foto,Single,Add Person,Add Edit"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4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125</v>
      </c>
      <c r="D4" s="17" t="s">
        <v>60</v>
      </c>
      <c r="E4" s="18"/>
      <c r="F4" s="19">
        <v>46240.0</v>
      </c>
      <c r="G4" s="20"/>
      <c r="H4" s="22">
        <v>100000.0</v>
      </c>
      <c r="I4" s="14" t="s">
        <v>35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127</v>
      </c>
      <c r="D5" s="17" t="s">
        <v>126</v>
      </c>
      <c r="E5" s="18"/>
      <c r="F5" s="19">
        <v>46240.0</v>
      </c>
      <c r="G5" s="20"/>
      <c r="H5" s="22">
        <v>100000.0</v>
      </c>
      <c r="I5" s="14" t="s">
        <v>28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129</v>
      </c>
      <c r="D6" s="17" t="s">
        <v>130</v>
      </c>
      <c r="E6" s="18"/>
      <c r="F6" s="21">
        <v>46239.0</v>
      </c>
      <c r="G6" s="20"/>
      <c r="H6" s="22">
        <v>450000.0</v>
      </c>
      <c r="I6" s="14" t="s">
        <v>35</v>
      </c>
      <c r="J6" s="23"/>
      <c r="K6" s="23"/>
      <c r="L6" s="14" t="s">
        <v>30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129</v>
      </c>
      <c r="D7" s="17" t="s">
        <v>132</v>
      </c>
      <c r="E7" s="18"/>
      <c r="F7" s="21">
        <v>46239.0</v>
      </c>
      <c r="G7" s="20"/>
      <c r="H7" s="22">
        <v>40000.0</v>
      </c>
      <c r="I7" s="14" t="s">
        <v>35</v>
      </c>
      <c r="J7" s="23"/>
      <c r="K7" s="23"/>
      <c r="L7" s="14" t="s">
        <v>30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133</v>
      </c>
      <c r="D8" s="17" t="s">
        <v>23</v>
      </c>
      <c r="E8" s="26"/>
      <c r="F8" s="21" t="s">
        <v>46</v>
      </c>
      <c r="G8" s="20"/>
      <c r="H8" s="22">
        <v>100000.0</v>
      </c>
      <c r="I8" s="14" t="s">
        <v>35</v>
      </c>
      <c r="J8" s="14" t="s">
        <v>36</v>
      </c>
      <c r="K8" s="14" t="s">
        <v>131</v>
      </c>
      <c r="L8" s="14" t="s">
        <v>29</v>
      </c>
      <c r="M8" s="14" t="s">
        <v>47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137</v>
      </c>
      <c r="D9" s="17" t="s">
        <v>130</v>
      </c>
      <c r="E9" s="18"/>
      <c r="F9" s="21" t="s">
        <v>138</v>
      </c>
      <c r="G9" s="20"/>
      <c r="H9" s="22">
        <v>100000.0</v>
      </c>
      <c r="I9" s="14" t="s">
        <v>28</v>
      </c>
      <c r="J9" s="23"/>
      <c r="K9" s="23"/>
      <c r="L9" s="14" t="s">
        <v>29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139</v>
      </c>
      <c r="D10" s="17" t="s">
        <v>57</v>
      </c>
      <c r="E10" s="18"/>
      <c r="F10" s="21" t="s">
        <v>64</v>
      </c>
      <c r="G10" s="20"/>
      <c r="H10" s="22">
        <v>50000.0</v>
      </c>
      <c r="I10" s="14" t="s">
        <v>35</v>
      </c>
      <c r="J10" s="23"/>
      <c r="K10" s="23"/>
      <c r="L10" s="14" t="s">
        <v>29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86" t="s">
        <v>85</v>
      </c>
      <c r="D11" s="17" t="s">
        <v>23</v>
      </c>
      <c r="E11" s="26"/>
      <c r="F11" s="87" t="s">
        <v>46</v>
      </c>
      <c r="G11" s="20"/>
      <c r="H11" s="22">
        <v>100000.0</v>
      </c>
      <c r="I11" s="14" t="s">
        <v>35</v>
      </c>
      <c r="J11" s="14" t="s">
        <v>36</v>
      </c>
      <c r="K11" s="14" t="s">
        <v>131</v>
      </c>
      <c r="L11" s="14" t="s">
        <v>29</v>
      </c>
      <c r="M11" s="14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141</v>
      </c>
      <c r="D12" s="17" t="s">
        <v>23</v>
      </c>
      <c r="E12" s="26"/>
      <c r="F12" s="30" t="s">
        <v>135</v>
      </c>
      <c r="G12" s="20"/>
      <c r="H12" s="22">
        <v>100000.0</v>
      </c>
      <c r="I12" s="14" t="s">
        <v>28</v>
      </c>
      <c r="J12" s="23"/>
      <c r="K12" s="23"/>
      <c r="L12" s="14" t="s">
        <v>29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/>
      <c r="D13" s="16"/>
      <c r="E13" s="14"/>
      <c r="F13" s="40"/>
      <c r="G13" s="34"/>
      <c r="H13" s="35"/>
      <c r="I13" s="15"/>
      <c r="J13" s="15"/>
      <c r="K13" s="15"/>
      <c r="L13" s="15"/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/>
      <c r="D14" s="16"/>
      <c r="E14" s="14"/>
      <c r="F14" s="40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40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40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40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40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/>
      <c r="D19" s="16"/>
      <c r="E19" s="14"/>
      <c r="F19" s="40"/>
      <c r="G19" s="34"/>
      <c r="H19" s="35"/>
      <c r="I19" s="15"/>
      <c r="J19" s="15"/>
      <c r="K19" s="15"/>
      <c r="L19" s="15"/>
      <c r="M19" s="15"/>
      <c r="N19" s="41"/>
      <c r="O19" s="41"/>
      <c r="P19" s="41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42">
        <f t="shared" ref="G20:H20" si="1">SUM(G4:G19)</f>
        <v>0</v>
      </c>
      <c r="H20" s="43">
        <f t="shared" si="1"/>
        <v>1140000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1"/>
      <c r="B23" s="44" t="s">
        <v>0</v>
      </c>
      <c r="C23" s="45" t="s">
        <v>6</v>
      </c>
      <c r="D23" s="45" t="s">
        <v>88</v>
      </c>
      <c r="E23" s="1"/>
      <c r="F23" s="1"/>
      <c r="G23" s="1"/>
      <c r="H23" s="1"/>
      <c r="I23" s="1"/>
      <c r="J23" s="1"/>
      <c r="K23" s="1"/>
      <c r="L23" s="1"/>
      <c r="M23" s="1"/>
      <c r="N23" s="45" t="s">
        <v>89</v>
      </c>
      <c r="O23" s="45" t="s">
        <v>1</v>
      </c>
      <c r="P23" s="1"/>
      <c r="Q23" s="1"/>
      <c r="R23" s="1"/>
    </row>
    <row r="24" ht="15.75" customHeight="1">
      <c r="A24" s="1"/>
      <c r="B24" s="46">
        <v>1.0</v>
      </c>
      <c r="C24" s="47" t="s">
        <v>90</v>
      </c>
      <c r="D24" s="48">
        <f>SUM(G20)</f>
        <v>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91</v>
      </c>
      <c r="O24" s="24" t="s">
        <v>30</v>
      </c>
      <c r="P24" s="1"/>
      <c r="Q24" s="1"/>
      <c r="R24" s="1"/>
    </row>
    <row r="25" ht="15.75" customHeight="1">
      <c r="A25" s="1"/>
      <c r="B25" s="51">
        <v>2.0</v>
      </c>
      <c r="C25" s="52"/>
      <c r="D25" s="54"/>
      <c r="E25" s="49"/>
      <c r="F25" s="1"/>
      <c r="G25" s="1"/>
      <c r="H25" s="1"/>
      <c r="I25" s="1"/>
      <c r="J25" s="1"/>
      <c r="K25" s="1"/>
      <c r="L25" s="1"/>
      <c r="M25" s="1"/>
      <c r="N25" s="56" t="s">
        <v>93</v>
      </c>
      <c r="O25" s="41" t="s">
        <v>29</v>
      </c>
      <c r="P25" s="1"/>
      <c r="Q25" s="1"/>
      <c r="R25" s="1"/>
    </row>
    <row r="26" ht="15.75" customHeight="1">
      <c r="A26" s="1"/>
      <c r="B26" s="46">
        <v>3.0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9" t="s">
        <v>95</v>
      </c>
      <c r="O26" s="29" t="s">
        <v>37</v>
      </c>
      <c r="P26" s="1"/>
      <c r="Q26" s="1"/>
      <c r="R26" s="1"/>
    </row>
    <row r="27" ht="15.75" customHeight="1">
      <c r="A27" s="1"/>
      <c r="B27" s="51">
        <v>4.0</v>
      </c>
      <c r="C27" s="52"/>
      <c r="D27" s="54"/>
      <c r="E27" s="49"/>
      <c r="F27" s="1"/>
      <c r="G27" s="1"/>
      <c r="H27" s="1"/>
      <c r="I27" s="1"/>
      <c r="J27" s="1"/>
      <c r="K27" s="1"/>
      <c r="L27" s="1"/>
      <c r="M27" s="1"/>
      <c r="N27" s="60" t="s">
        <v>98</v>
      </c>
      <c r="O27" s="41" t="s">
        <v>47</v>
      </c>
      <c r="P27" s="1"/>
      <c r="Q27" s="1"/>
      <c r="R27" s="1"/>
    </row>
    <row r="28" ht="15.75" customHeight="1">
      <c r="A28" s="1"/>
      <c r="B28" s="46">
        <v>5.0</v>
      </c>
      <c r="C28" s="47"/>
      <c r="D28" s="48"/>
      <c r="E28" s="49"/>
      <c r="F28" s="1"/>
      <c r="G28" s="1"/>
      <c r="H28" s="1"/>
      <c r="I28" s="1"/>
      <c r="J28" s="1"/>
      <c r="K28" s="1"/>
      <c r="L28" s="1"/>
      <c r="M28" s="1"/>
      <c r="N28" s="61"/>
      <c r="O28" s="1"/>
      <c r="P28" s="1"/>
      <c r="Q28" s="1"/>
      <c r="R28" s="1"/>
    </row>
    <row r="29" ht="15.75" customHeight="1">
      <c r="A29" s="1"/>
      <c r="B29" s="51">
        <v>6.0</v>
      </c>
      <c r="C29" s="52"/>
      <c r="D29" s="54"/>
      <c r="E29" s="49"/>
      <c r="F29" s="1"/>
      <c r="G29" s="1"/>
      <c r="H29" s="1"/>
      <c r="I29" s="1"/>
      <c r="J29" s="1"/>
      <c r="K29" s="62" t="s">
        <v>100</v>
      </c>
      <c r="Q29" s="1"/>
      <c r="R29" s="1"/>
    </row>
    <row r="30" ht="15.75" customHeight="1">
      <c r="A30" s="1"/>
      <c r="B30" s="46">
        <v>7.0</v>
      </c>
      <c r="C30" s="47"/>
      <c r="D30" s="48"/>
      <c r="E30" s="49"/>
      <c r="F30" s="1"/>
      <c r="G30" s="1"/>
      <c r="H30" s="1"/>
      <c r="I30" s="1"/>
      <c r="J30" s="1"/>
      <c r="K30" s="63" t="s">
        <v>1</v>
      </c>
      <c r="L30" s="63" t="s">
        <v>102</v>
      </c>
      <c r="M30" s="63" t="s">
        <v>103</v>
      </c>
      <c r="N30" s="63" t="s">
        <v>104</v>
      </c>
      <c r="O30" s="63" t="s">
        <v>105</v>
      </c>
      <c r="P30" s="63" t="s">
        <v>106</v>
      </c>
      <c r="Q30" s="1"/>
      <c r="R30" s="1"/>
      <c r="AC30" s="65" t="s">
        <v>107</v>
      </c>
      <c r="AD30" s="65" t="s">
        <v>108</v>
      </c>
      <c r="AE30" s="65" t="s">
        <v>109</v>
      </c>
      <c r="AF30" s="65" t="s">
        <v>110</v>
      </c>
      <c r="AG30" s="66" t="s">
        <v>111</v>
      </c>
    </row>
    <row r="31" ht="15.75" customHeight="1">
      <c r="A31" s="1"/>
      <c r="B31" s="51">
        <v>8.0</v>
      </c>
      <c r="C31" s="52"/>
      <c r="D31" s="54"/>
      <c r="E31" s="49"/>
      <c r="F31" s="1"/>
      <c r="G31" s="1"/>
      <c r="H31" s="1"/>
      <c r="I31" s="1"/>
      <c r="J31" s="1"/>
      <c r="K31" s="67" t="str">
        <f t="shared" ref="K31:K34" si="2">IF(O24="","",O24)</f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ref="AC31:AC36" si="3">IF(AG31="","",IF(COUNT(L31:P31)&lt;5,"",L31/5*20+M31/5*25+N31/5*25+O31/5*15+P31/5*15))</f>
        <v>100</v>
      </c>
      <c r="AD31" s="65" t="str">
        <f t="shared" ref="AD31:AD36" si="4">IF(AC31="","",IF(AC31&gt;=90,"Sangat Baik",IF(AC31&gt;=80,"Baik",IF(AC31&gt;=70,"Coaching","Underperform"))))</f>
        <v>Sangat Baik</v>
      </c>
      <c r="AE31" s="65" t="str">
        <f t="shared" ref="AE31:AE36" si="5">IF(AG31="","",IF(OR(AG31="INDAH",AG31="ADDEL",AG31="AMEL",AG31="PENTIL",AG31="JIJANG"),"Admin/CS","Fotografer"))</f>
        <v>Admin/CS</v>
      </c>
      <c r="AF31" s="65">
        <f t="shared" ref="AF31:AF36" si="6">IF(OR(AG31="",COUNT(L31:P31)&lt;5),"",1)</f>
        <v>1</v>
      </c>
      <c r="AG31" s="66" t="str">
        <f t="shared" ref="AG31:AG36" si="7">IFERROR(K31,"")</f>
        <v>INDAH</v>
      </c>
    </row>
    <row r="32" ht="15.75" customHeight="1">
      <c r="A32" s="1"/>
      <c r="B32" s="46">
        <v>9.0</v>
      </c>
      <c r="C32" s="47"/>
      <c r="D32" s="48"/>
      <c r="E32" s="49"/>
      <c r="F32" s="1"/>
      <c r="G32" s="1"/>
      <c r="H32" s="1"/>
      <c r="I32" s="1"/>
      <c r="J32" s="1"/>
      <c r="K32" s="67" t="str">
        <f t="shared" si="2"/>
        <v>AMEL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Admin/CS</v>
      </c>
      <c r="AF32" s="65">
        <f t="shared" si="6"/>
        <v>1</v>
      </c>
      <c r="AG32" s="66" t="str">
        <f t="shared" si="7"/>
        <v>AMEL</v>
      </c>
    </row>
    <row r="33" ht="15.75" customHeight="1">
      <c r="A33" s="1"/>
      <c r="B33" s="51">
        <v>10.0</v>
      </c>
      <c r="C33" s="52"/>
      <c r="D33" s="54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69">
        <v>11.0</v>
      </c>
      <c r="C34" s="70"/>
      <c r="D34" s="71"/>
      <c r="E34" s="49"/>
      <c r="F34" s="1"/>
      <c r="G34" s="1"/>
      <c r="H34" s="1"/>
      <c r="I34" s="1"/>
      <c r="J34" s="1"/>
      <c r="K34" s="67" t="str">
        <f t="shared" si="2"/>
        <v>SAKA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si="3"/>
        <v>100</v>
      </c>
      <c r="AD34" s="65" t="str">
        <f t="shared" si="4"/>
        <v>Sangat Baik</v>
      </c>
      <c r="AE34" s="65" t="str">
        <f t="shared" si="5"/>
        <v>Fotografer</v>
      </c>
      <c r="AF34" s="65">
        <f t="shared" si="6"/>
        <v>1</v>
      </c>
      <c r="AG34" s="66" t="str">
        <f t="shared" si="7"/>
        <v>SAKA</v>
      </c>
    </row>
    <row r="35" ht="15.75" customHeight="1">
      <c r="A35" s="1"/>
      <c r="B35" s="1"/>
      <c r="C35" s="2"/>
      <c r="D35" s="72">
        <f>SUM(D24:D34)</f>
        <v>0</v>
      </c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67"/>
      <c r="L36" s="73"/>
      <c r="M36" s="73"/>
      <c r="N36" s="73"/>
      <c r="O36" s="73"/>
      <c r="P36" s="73"/>
      <c r="Q36" s="1"/>
      <c r="R36" s="1"/>
      <c r="AC36" s="65" t="str">
        <f t="shared" si="3"/>
        <v/>
      </c>
      <c r="AD36" s="65" t="str">
        <f t="shared" si="4"/>
        <v/>
      </c>
      <c r="AE36" s="65" t="str">
        <f t="shared" si="5"/>
        <v/>
      </c>
      <c r="AF36" s="65" t="str">
        <f t="shared" si="6"/>
        <v/>
      </c>
      <c r="AG36" s="66" t="str">
        <f t="shared" si="7"/>
        <v/>
      </c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74" t="s">
        <v>112</v>
      </c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5" t="s">
        <v>113</v>
      </c>
      <c r="N39" s="1"/>
      <c r="O39" s="1"/>
      <c r="P39" s="1"/>
      <c r="Q39" s="1"/>
      <c r="R39" s="1"/>
    </row>
    <row r="40" ht="15.75" customHeight="1">
      <c r="K40" s="76" t="s">
        <v>7</v>
      </c>
      <c r="L40" s="76" t="s">
        <v>114</v>
      </c>
      <c r="M40" s="76" t="s">
        <v>115</v>
      </c>
    </row>
    <row r="41" ht="15.75" customHeight="1">
      <c r="K41" s="77" t="str">
        <f t="shared" ref="K41:K42" si="8">IF(O24="","",O24)</f>
        <v>INDAH</v>
      </c>
      <c r="L41" s="78">
        <v>3.0</v>
      </c>
      <c r="M41" s="78"/>
    </row>
    <row r="42" ht="15.75" customHeight="1">
      <c r="K42" s="77" t="str">
        <f t="shared" si="8"/>
        <v>AMEL</v>
      </c>
      <c r="L42" s="78">
        <v>2.0</v>
      </c>
      <c r="M42" s="78"/>
    </row>
    <row r="43" ht="15.75" customHeight="1"/>
    <row r="44" ht="19.5" customHeight="1">
      <c r="K44" s="79" t="s">
        <v>118</v>
      </c>
    </row>
    <row r="45" ht="19.5" customHeight="1">
      <c r="K45" s="80" t="s">
        <v>119</v>
      </c>
      <c r="M45" s="81">
        <v>22.0</v>
      </c>
    </row>
    <row r="46" ht="19.5" customHeight="1">
      <c r="K46" s="82" t="s">
        <v>120</v>
      </c>
      <c r="M46" s="83">
        <f>COUNTIF($I$4:$I$22,"DP")</f>
        <v>3</v>
      </c>
    </row>
    <row r="47" ht="19.5" customHeight="1">
      <c r="K47" s="82" t="s">
        <v>121</v>
      </c>
      <c r="M47" s="83">
        <f>COUNTIFS($I$4:$I$22,"&lt;&gt;DP",$I$4:$I$22,"&lt;&gt;")</f>
        <v>6</v>
      </c>
    </row>
    <row r="48" ht="19.5" customHeight="1">
      <c r="K48" s="84" t="s">
        <v>122</v>
      </c>
      <c r="M48" s="83">
        <f>M46+M47</f>
        <v>9</v>
      </c>
    </row>
    <row r="49" ht="19.5" customHeight="1">
      <c r="K49" s="80" t="s">
        <v>123</v>
      </c>
      <c r="M49" s="85">
        <f>IF(OR(M45="",M45=0),"",M46/M45)</f>
        <v>0.1363636364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5:L45"/>
    <mergeCell ref="K46:L46"/>
    <mergeCell ref="K47:L47"/>
    <mergeCell ref="K48:L48"/>
    <mergeCell ref="K49:L49"/>
    <mergeCell ref="L2:L3"/>
    <mergeCell ref="M2:M3"/>
    <mergeCell ref="N2:P2"/>
    <mergeCell ref="K29:P29"/>
    <mergeCell ref="K37:P37"/>
    <mergeCell ref="K39:M39"/>
    <mergeCell ref="K44:M44"/>
  </mergeCells>
  <conditionalFormatting sqref="I4:I22">
    <cfRule type="expression" dxfId="0" priority="1">
      <formula>I4="DP"</formula>
    </cfRule>
  </conditionalFormatting>
  <conditionalFormatting sqref="I4:I22">
    <cfRule type="expression" dxfId="1" priority="2">
      <formula>I4="Lunas"</formula>
    </cfRule>
  </conditionalFormatting>
  <conditionalFormatting sqref="J4:K22">
    <cfRule type="expression" dxfId="2" priority="3">
      <formula>OR(J4="Uploaded",J4="Delivered")</formula>
    </cfRule>
  </conditionalFormatting>
  <dataValidations>
    <dataValidation type="list" allowBlank="1" showDropDown="1" showErrorMessage="1" sqref="M4:M12">
      <formula1>"-,VERO,FADEL,PENTIL,FAHME,ADIF,SAKA"</formula1>
    </dataValidation>
    <dataValidation type="list" allowBlank="1" showDropDown="1" showErrorMessage="1" sqref="J4:K19">
      <formula1>"-,Pending,Uploaded"</formula1>
    </dataValidation>
    <dataValidation type="list" allowBlank="1" sqref="K31:K36">
      <formula1>'Resume Karyawan KPI'!$AK$5:$AK$15</formula1>
    </dataValidation>
    <dataValidation type="list" allowBlank="1" showDropDown="1" showErrorMessage="1" sqref="D4:D12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M13:M19">
      <formula1>"-,VERO,FADEL,ADIF,FAHME,HANIF"</formula1>
    </dataValidation>
    <dataValidation type="list" allowBlank="1" sqref="O24:O27">
      <formula1>"INDAH,ADDEL,AMEL,PENTIL,JIJANG,HANIF,FAHME,ADIF,ABROR,FADEL,SAKA"</formula1>
    </dataValidation>
    <dataValidation type="list" allowBlank="1" showDropDown="1" showErrorMessage="1" sqref="I4:I19">
      <formula1>"-,DP,Lunas"</formula1>
    </dataValidation>
    <dataValidation type="list" allowBlank="1" sqref="L31:P36">
      <formula1>"1,2,3,4,5"</formula1>
    </dataValidation>
    <dataValidation type="list" allowBlank="1" showDropDown="1" showErrorMessage="1" sqref="L13:L19">
      <formula1>"-,JIJANG,AXEL,ADDEL,FAHME,INDAH"</formula1>
    </dataValidation>
    <dataValidation type="list" allowBlank="1" showErrorMessage="1" sqref="N4:N19">
      <formula1>"-,Pending,Progress,Uploaded"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L4:L12">
      <formula1>"-,JIJANG,AXEL,PENTIL,FAHME,INDAH,AMEL"</formula1>
    </dataValidation>
    <dataValidation type="list" allowBlank="1" showDropDown="1" showErrorMessage="1" sqref="D13:D19">
      <formula1>"-,Single,Couple A,Couple B,Group A,Group B,Group C,Large Group,Graduation,Graduation Premium,Family A,Family B,Maternity,Concept,Studio Rent,Pas Foto,Single,Add Person,Add Edit,All File"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124</v>
      </c>
      <c r="D4" s="17" t="s">
        <v>126</v>
      </c>
      <c r="E4" s="18"/>
      <c r="F4" s="19" t="s">
        <v>64</v>
      </c>
      <c r="G4" s="20"/>
      <c r="H4" s="22">
        <v>100000.0</v>
      </c>
      <c r="I4" s="14" t="s">
        <v>28</v>
      </c>
      <c r="J4" s="23"/>
      <c r="K4" s="23"/>
      <c r="L4" s="14" t="s">
        <v>29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128</v>
      </c>
      <c r="D5" s="17" t="s">
        <v>24</v>
      </c>
      <c r="E5" s="18"/>
      <c r="F5" s="19" t="s">
        <v>64</v>
      </c>
      <c r="G5" s="20"/>
      <c r="H5" s="22">
        <v>350000.0</v>
      </c>
      <c r="I5" s="14" t="s">
        <v>35</v>
      </c>
      <c r="J5" s="23"/>
      <c r="K5" s="23"/>
      <c r="L5" s="14" t="s">
        <v>29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124</v>
      </c>
      <c r="D6" s="17" t="s">
        <v>126</v>
      </c>
      <c r="E6" s="18"/>
      <c r="F6" s="30" t="s">
        <v>64</v>
      </c>
      <c r="G6" s="20"/>
      <c r="H6" s="22">
        <v>100000.0</v>
      </c>
      <c r="I6" s="14" t="s">
        <v>35</v>
      </c>
      <c r="J6" s="14" t="s">
        <v>36</v>
      </c>
      <c r="K6" s="14" t="s">
        <v>131</v>
      </c>
      <c r="L6" s="14" t="s">
        <v>29</v>
      </c>
      <c r="M6" s="14" t="s">
        <v>47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31" t="s">
        <v>127</v>
      </c>
      <c r="D7" s="17" t="s">
        <v>126</v>
      </c>
      <c r="E7" s="18"/>
      <c r="F7" s="30" t="s">
        <v>64</v>
      </c>
      <c r="G7" s="27">
        <v>200000.0</v>
      </c>
      <c r="H7" s="28"/>
      <c r="I7" s="14" t="s">
        <v>35</v>
      </c>
      <c r="J7" s="14" t="s">
        <v>36</v>
      </c>
      <c r="K7" s="14" t="s">
        <v>131</v>
      </c>
      <c r="L7" s="14" t="s">
        <v>29</v>
      </c>
      <c r="M7" s="14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134</v>
      </c>
      <c r="D8" s="17" t="s">
        <v>39</v>
      </c>
      <c r="E8" s="18"/>
      <c r="F8" s="30" t="s">
        <v>135</v>
      </c>
      <c r="G8" s="20"/>
      <c r="H8" s="22">
        <v>100000.0</v>
      </c>
      <c r="I8" s="14" t="s">
        <v>28</v>
      </c>
      <c r="J8" s="23"/>
      <c r="K8" s="23"/>
      <c r="L8" s="14" t="s">
        <v>29</v>
      </c>
      <c r="M8" s="23"/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63</v>
      </c>
      <c r="D9" s="17" t="s">
        <v>23</v>
      </c>
      <c r="E9" s="18"/>
      <c r="F9" s="21" t="s">
        <v>64</v>
      </c>
      <c r="G9" s="27">
        <v>550000.0</v>
      </c>
      <c r="H9" s="28"/>
      <c r="I9" s="14" t="s">
        <v>35</v>
      </c>
      <c r="J9" s="14" t="s">
        <v>36</v>
      </c>
      <c r="K9" s="14" t="s">
        <v>36</v>
      </c>
      <c r="L9" s="14" t="s">
        <v>29</v>
      </c>
      <c r="M9" s="14" t="s">
        <v>47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128</v>
      </c>
      <c r="D10" s="17" t="s">
        <v>140</v>
      </c>
      <c r="E10" s="36">
        <v>1.0</v>
      </c>
      <c r="F10" s="21" t="s">
        <v>64</v>
      </c>
      <c r="G10" s="27">
        <v>100000.0</v>
      </c>
      <c r="H10" s="28"/>
      <c r="I10" s="14" t="s">
        <v>35</v>
      </c>
      <c r="J10" s="14" t="s">
        <v>36</v>
      </c>
      <c r="K10" s="14" t="s">
        <v>77</v>
      </c>
      <c r="L10" s="14" t="s">
        <v>29</v>
      </c>
      <c r="M10" s="14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2"/>
      <c r="D11" s="16"/>
      <c r="E11" s="14"/>
      <c r="F11" s="33"/>
      <c r="G11" s="34"/>
      <c r="H11" s="35"/>
      <c r="I11" s="15"/>
      <c r="J11" s="15"/>
      <c r="K11" s="15"/>
      <c r="L11" s="15"/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32"/>
      <c r="D12" s="16"/>
      <c r="E12" s="14"/>
      <c r="F12" s="15"/>
      <c r="G12" s="34"/>
      <c r="H12" s="35"/>
      <c r="I12" s="15"/>
      <c r="J12" s="15"/>
      <c r="K12" s="15"/>
      <c r="L12" s="15"/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/>
      <c r="D13" s="16"/>
      <c r="E13" s="14"/>
      <c r="F13" s="15"/>
      <c r="G13" s="34"/>
      <c r="H13" s="35"/>
      <c r="I13" s="15"/>
      <c r="J13" s="15"/>
      <c r="K13" s="15"/>
      <c r="L13" s="15"/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/>
      <c r="D14" s="16"/>
      <c r="E14" s="14"/>
      <c r="F14" s="15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15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15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850000</v>
      </c>
      <c r="H19" s="43">
        <f t="shared" si="1"/>
        <v>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850000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29</v>
      </c>
      <c r="P23" s="1"/>
      <c r="Q23" s="1"/>
      <c r="R23" s="1"/>
    </row>
    <row r="24" ht="15.75" customHeight="1">
      <c r="A24" s="1"/>
      <c r="B24" s="51">
        <v>2.0</v>
      </c>
      <c r="C24" s="53" t="s">
        <v>161</v>
      </c>
      <c r="D24" s="55">
        <v>-100000.0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29</v>
      </c>
      <c r="P24" s="1"/>
      <c r="Q24" s="1"/>
      <c r="R24" s="1"/>
    </row>
    <row r="25" ht="15.75" customHeight="1">
      <c r="A25" s="1"/>
      <c r="B25" s="46">
        <v>3.0</v>
      </c>
      <c r="C25" s="57" t="s">
        <v>163</v>
      </c>
      <c r="D25" s="58">
        <v>-100000.0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47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47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AMEL</v>
      </c>
      <c r="L30" s="68">
        <v>5.0</v>
      </c>
      <c r="M30" s="68">
        <v>4.0</v>
      </c>
      <c r="N30" s="68">
        <v>5.0</v>
      </c>
      <c r="O30" s="68">
        <v>4.0</v>
      </c>
      <c r="P30" s="68">
        <v>4.0</v>
      </c>
      <c r="Q30" s="1"/>
      <c r="R30" s="1"/>
      <c r="AC30" s="65">
        <f t="shared" ref="AC30:AC35" si="3">IF(AG30="","",IF(COUNT(L30:P30)&lt;5,"",L30/5*20+M30/5*25+N30/5*25+O30/5*15+P30/5*15))</f>
        <v>89</v>
      </c>
      <c r="AD30" s="65" t="str">
        <f t="shared" ref="AD30:AD35" si="4">IF(AC30="","",IF(AC30&gt;=90,"Sangat Baik",IF(AC30&gt;=80,"Baik",IF(AC30&gt;=70,"Coaching","Underperform"))))</f>
        <v>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AMEL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AMEL</v>
      </c>
      <c r="L31" s="68">
        <v>5.0</v>
      </c>
      <c r="M31" s="68">
        <v>4.0</v>
      </c>
      <c r="N31" s="68">
        <v>5.0</v>
      </c>
      <c r="O31" s="68">
        <v>4.0</v>
      </c>
      <c r="P31" s="68">
        <v>4.0</v>
      </c>
      <c r="Q31" s="1"/>
      <c r="R31" s="1"/>
      <c r="AC31" s="65">
        <f t="shared" si="3"/>
        <v>89</v>
      </c>
      <c r="AD31" s="65" t="str">
        <f t="shared" si="4"/>
        <v>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AMEL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4.0</v>
      </c>
      <c r="N32" s="68">
        <v>5.0</v>
      </c>
      <c r="O32" s="68">
        <v>4.0</v>
      </c>
      <c r="P32" s="68">
        <v>4.0</v>
      </c>
      <c r="Q32" s="1"/>
      <c r="R32" s="1"/>
      <c r="AC32" s="65">
        <f t="shared" si="3"/>
        <v>89</v>
      </c>
      <c r="AD32" s="65" t="str">
        <f t="shared" si="4"/>
        <v>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SAKA</v>
      </c>
      <c r="L33" s="68">
        <v>5.0</v>
      </c>
      <c r="M33" s="68">
        <v>4.0</v>
      </c>
      <c r="N33" s="68">
        <v>5.0</v>
      </c>
      <c r="O33" s="68">
        <v>4.0</v>
      </c>
      <c r="P33" s="68">
        <v>4.0</v>
      </c>
      <c r="Q33" s="1"/>
      <c r="R33" s="1"/>
      <c r="AC33" s="65">
        <f t="shared" si="3"/>
        <v>89</v>
      </c>
      <c r="AD33" s="65" t="str">
        <f t="shared" si="4"/>
        <v>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SAKA</v>
      </c>
    </row>
    <row r="34" ht="15.75" customHeight="1">
      <c r="A34" s="1"/>
      <c r="B34" s="1"/>
      <c r="C34" s="2"/>
      <c r="D34" s="72">
        <f>SUM(D23:D33)</f>
        <v>650000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AMEL</v>
      </c>
      <c r="L40" s="78"/>
      <c r="M40" s="78"/>
    </row>
    <row r="41" ht="15.75" customHeight="1">
      <c r="K41" s="77" t="str">
        <f t="shared" si="8"/>
        <v>AMEL</v>
      </c>
      <c r="L41" s="78"/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20.0</v>
      </c>
    </row>
    <row r="45" ht="19.5" customHeight="1">
      <c r="K45" s="82" t="s">
        <v>120</v>
      </c>
      <c r="M45" s="83">
        <f>COUNTIF($I$4:$I$21,"DP")</f>
        <v>2</v>
      </c>
    </row>
    <row r="46" ht="19.5" customHeight="1">
      <c r="K46" s="82" t="s">
        <v>121</v>
      </c>
      <c r="M46" s="83">
        <f>COUNTIFS($I$4:$I$21,"&lt;&gt;DP",$I$4:$I$21,"&lt;&gt;")</f>
        <v>5</v>
      </c>
    </row>
    <row r="47" ht="19.5" customHeight="1">
      <c r="K47" s="84" t="s">
        <v>122</v>
      </c>
      <c r="M47" s="83">
        <f>M45+M46</f>
        <v>7</v>
      </c>
    </row>
    <row r="48" ht="19.5" customHeight="1">
      <c r="K48" s="80" t="s">
        <v>123</v>
      </c>
      <c r="M48" s="85">
        <f>IF(OR(M44="",M44=0),"",M45/M44)</f>
        <v>0.1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J4:K18">
      <formula1>"-,Pending,Uploaded"</formula1>
    </dataValidation>
    <dataValidation type="list" allowBlank="1" showDropDown="1" showErrorMessage="1" sqref="L11:L18">
      <formula1>"-,JIJANG,ADDEL,PENTIL,FAHME,INDAH"</formula1>
    </dataValidation>
    <dataValidation type="list" allowBlank="1" sqref="K30:K35">
      <formula1>'Resume Karyawan KPI'!$AK$5:$AK$15</formula1>
    </dataValidation>
    <dataValidation type="list" allowBlank="1" showDropDown="1" showErrorMessage="1" sqref="L4:L10">
      <formula1>"-,JIJANG,AXEL,PENTIL,FAHME,AMEL"</formula1>
    </dataValidation>
    <dataValidation type="list" allowBlank="1" showDropDown="1" showErrorMessage="1" sqref="D11:D18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D4:D10">
      <formula1>"-,Single,Couple A,Couple B,Group A,Group B,Group C,Large Group,Graduation,Graduation Premium,Family A,Family B,Maternity,Concept,Studio Rent,Pas Foto,Single,Add Person,Add Edit,Photofox,Add Theme/time"</formula1>
    </dataValidation>
    <dataValidation type="list" allowBlank="1" showDropDown="1" showErrorMessage="1" sqref="M4:M10">
      <formula1>"-,VERO,FADEL,PENTIL,FAHME,SAKA"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M11:M18">
      <formula1>"-,VERO,FADEL,PENTIL,FAHME,ADIF,HANIF"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136</v>
      </c>
      <c r="D4" s="17" t="s">
        <v>23</v>
      </c>
      <c r="E4" s="18"/>
      <c r="F4" s="21">
        <v>46246.0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142</v>
      </c>
      <c r="D5" s="17" t="s">
        <v>23</v>
      </c>
      <c r="E5" s="18"/>
      <c r="F5" s="19">
        <v>46247.0</v>
      </c>
      <c r="G5" s="20"/>
      <c r="H5" s="22">
        <v>100000.0</v>
      </c>
      <c r="I5" s="14" t="s">
        <v>28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141</v>
      </c>
      <c r="D6" s="17" t="s">
        <v>23</v>
      </c>
      <c r="E6" s="88">
        <v>0.2</v>
      </c>
      <c r="F6" s="21">
        <v>46241.0</v>
      </c>
      <c r="G6" s="27">
        <v>700000.0</v>
      </c>
      <c r="H6" s="22">
        <v>40000.0</v>
      </c>
      <c r="I6" s="14" t="s">
        <v>35</v>
      </c>
      <c r="J6" s="14" t="s">
        <v>36</v>
      </c>
      <c r="K6" s="14" t="s">
        <v>36</v>
      </c>
      <c r="L6" s="14" t="s">
        <v>30</v>
      </c>
      <c r="M6" s="14" t="s">
        <v>37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144</v>
      </c>
      <c r="D7" s="17" t="s">
        <v>23</v>
      </c>
      <c r="E7" s="26"/>
      <c r="F7" s="21">
        <v>46242.0</v>
      </c>
      <c r="G7" s="20"/>
      <c r="H7" s="22">
        <v>100000.0</v>
      </c>
      <c r="I7" s="14" t="s">
        <v>28</v>
      </c>
      <c r="J7" s="23"/>
      <c r="K7" s="23"/>
      <c r="L7" s="14" t="s">
        <v>30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146</v>
      </c>
      <c r="D8" s="17" t="s">
        <v>39</v>
      </c>
      <c r="E8" s="18"/>
      <c r="F8" s="21">
        <v>46241.0</v>
      </c>
      <c r="G8" s="20"/>
      <c r="H8" s="22">
        <v>50000.0</v>
      </c>
      <c r="I8" s="14" t="s">
        <v>35</v>
      </c>
      <c r="J8" s="14" t="s">
        <v>36</v>
      </c>
      <c r="K8" s="14" t="s">
        <v>77</v>
      </c>
      <c r="L8" s="14" t="s">
        <v>30</v>
      </c>
      <c r="M8" s="14" t="s">
        <v>47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148</v>
      </c>
      <c r="D9" s="17" t="s">
        <v>23</v>
      </c>
      <c r="E9" s="18"/>
      <c r="F9" s="21">
        <v>46243.0</v>
      </c>
      <c r="G9" s="20"/>
      <c r="H9" s="22">
        <v>100000.0</v>
      </c>
      <c r="I9" s="14" t="s">
        <v>28</v>
      </c>
      <c r="J9" s="23"/>
      <c r="K9" s="23"/>
      <c r="L9" s="14" t="s">
        <v>30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149</v>
      </c>
      <c r="D10" s="17" t="s">
        <v>126</v>
      </c>
      <c r="E10" s="26"/>
      <c r="F10" s="21">
        <v>46242.0</v>
      </c>
      <c r="G10" s="20"/>
      <c r="H10" s="22">
        <v>100000.0</v>
      </c>
      <c r="I10" s="14" t="s">
        <v>28</v>
      </c>
      <c r="J10" s="23"/>
      <c r="K10" s="23"/>
      <c r="L10" s="14" t="s">
        <v>30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150</v>
      </c>
      <c r="D11" s="17" t="s">
        <v>22</v>
      </c>
      <c r="E11" s="18"/>
      <c r="F11" s="21">
        <v>46298.0</v>
      </c>
      <c r="G11" s="20"/>
      <c r="H11" s="22">
        <v>100000.0</v>
      </c>
      <c r="I11" s="14" t="s">
        <v>28</v>
      </c>
      <c r="J11" s="23"/>
      <c r="K11" s="23"/>
      <c r="L11" s="14" t="s">
        <v>30</v>
      </c>
      <c r="M11" s="23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151</v>
      </c>
      <c r="D12" s="17" t="s">
        <v>22</v>
      </c>
      <c r="E12" s="18"/>
      <c r="F12" s="21">
        <v>46298.0</v>
      </c>
      <c r="G12" s="20"/>
      <c r="H12" s="22">
        <v>100000.0</v>
      </c>
      <c r="I12" s="14" t="s">
        <v>28</v>
      </c>
      <c r="J12" s="23"/>
      <c r="K12" s="23"/>
      <c r="L12" s="14" t="s">
        <v>30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153</v>
      </c>
      <c r="D13" s="17" t="s">
        <v>23</v>
      </c>
      <c r="E13" s="18"/>
      <c r="F13" s="21">
        <v>46242.0</v>
      </c>
      <c r="G13" s="20"/>
      <c r="H13" s="22">
        <v>350000.0</v>
      </c>
      <c r="I13" s="14" t="s">
        <v>35</v>
      </c>
      <c r="J13" s="23"/>
      <c r="K13" s="23"/>
      <c r="L13" s="14" t="s">
        <v>30</v>
      </c>
      <c r="M13" s="23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156</v>
      </c>
      <c r="D14" s="17" t="s">
        <v>157</v>
      </c>
      <c r="E14" s="18"/>
      <c r="F14" s="21">
        <v>46241.0</v>
      </c>
      <c r="G14" s="20"/>
      <c r="H14" s="22">
        <v>300000.0</v>
      </c>
      <c r="I14" s="14" t="s">
        <v>35</v>
      </c>
      <c r="J14" s="14" t="s">
        <v>36</v>
      </c>
      <c r="K14" s="14" t="s">
        <v>77</v>
      </c>
      <c r="L14" s="14" t="s">
        <v>30</v>
      </c>
      <c r="M14" s="14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160</v>
      </c>
      <c r="D15" s="17" t="s">
        <v>22</v>
      </c>
      <c r="E15" s="18"/>
      <c r="F15" s="21">
        <v>46266.0</v>
      </c>
      <c r="G15" s="20"/>
      <c r="H15" s="22">
        <v>100000.0</v>
      </c>
      <c r="I15" s="14" t="s">
        <v>28</v>
      </c>
      <c r="J15" s="23"/>
      <c r="K15" s="23"/>
      <c r="L15" s="14" t="s">
        <v>30</v>
      </c>
      <c r="M15" s="23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165</v>
      </c>
      <c r="D16" s="17" t="s">
        <v>22</v>
      </c>
      <c r="E16" s="18"/>
      <c r="F16" s="21">
        <v>46298.0</v>
      </c>
      <c r="G16" s="20"/>
      <c r="H16" s="22">
        <v>100000.0</v>
      </c>
      <c r="I16" s="14" t="s">
        <v>28</v>
      </c>
      <c r="J16" s="23"/>
      <c r="K16" s="23"/>
      <c r="L16" s="14" t="s">
        <v>30</v>
      </c>
      <c r="M16" s="23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167</v>
      </c>
      <c r="D17" s="17" t="s">
        <v>60</v>
      </c>
      <c r="E17" s="36" t="s">
        <v>168</v>
      </c>
      <c r="F17" s="21">
        <v>46241.0</v>
      </c>
      <c r="G17" s="27">
        <v>150000.0</v>
      </c>
      <c r="H17" s="28"/>
      <c r="I17" s="14" t="s">
        <v>35</v>
      </c>
      <c r="J17" s="14" t="s">
        <v>36</v>
      </c>
      <c r="K17" s="14" t="s">
        <v>77</v>
      </c>
      <c r="L17" s="14" t="s">
        <v>30</v>
      </c>
      <c r="M17" s="14" t="s">
        <v>47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850000</v>
      </c>
      <c r="H19" s="43">
        <f t="shared" si="1"/>
        <v>1640000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850000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30</v>
      </c>
      <c r="P23" s="1"/>
      <c r="Q23" s="1"/>
      <c r="R23" s="1"/>
    </row>
    <row r="24" ht="15.75" customHeight="1">
      <c r="A24" s="1"/>
      <c r="B24" s="51">
        <v>2.0</v>
      </c>
      <c r="C24" s="53" t="s">
        <v>99</v>
      </c>
      <c r="D24" s="55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30</v>
      </c>
      <c r="P24" s="1"/>
      <c r="Q24" s="1"/>
      <c r="R24" s="1"/>
    </row>
    <row r="25" ht="15.75" customHeight="1">
      <c r="A25" s="1"/>
      <c r="B25" s="46">
        <v>3.0</v>
      </c>
      <c r="C25" s="57" t="s">
        <v>174</v>
      </c>
      <c r="D25" s="58">
        <v>-100000.0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37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47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2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INDAH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INDAH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ADIF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ADIF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SAKA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SAKA</v>
      </c>
    </row>
    <row r="34" ht="15.75" customHeight="1">
      <c r="A34" s="1"/>
      <c r="B34" s="1"/>
      <c r="C34" s="2"/>
      <c r="D34" s="72">
        <f>SUM(D23:D33)</f>
        <v>700000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INDAH</v>
      </c>
      <c r="L40" s="78">
        <v>10.0</v>
      </c>
      <c r="M40" s="78"/>
    </row>
    <row r="41" ht="15.75" customHeight="1">
      <c r="K41" s="77" t="str">
        <f t="shared" si="8"/>
        <v>INDAH</v>
      </c>
      <c r="L41" s="78"/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28.0</v>
      </c>
    </row>
    <row r="45" ht="19.5" customHeight="1">
      <c r="K45" s="82" t="s">
        <v>120</v>
      </c>
      <c r="M45" s="83">
        <f>COUNTIF($I$4:$I$21,"DP")</f>
        <v>9</v>
      </c>
    </row>
    <row r="46" ht="19.5" customHeight="1">
      <c r="K46" s="82" t="s">
        <v>121</v>
      </c>
      <c r="M46" s="83">
        <f>COUNTIFS($I$4:$I$21,"&lt;&gt;DP",$I$4:$I$21,"&lt;&gt;")</f>
        <v>5</v>
      </c>
    </row>
    <row r="47" ht="19.5" customHeight="1">
      <c r="K47" s="84" t="s">
        <v>122</v>
      </c>
      <c r="M47" s="83">
        <f>M45+M46</f>
        <v>14</v>
      </c>
    </row>
    <row r="48" ht="19.5" customHeight="1">
      <c r="K48" s="80" t="s">
        <v>123</v>
      </c>
      <c r="M48" s="85">
        <f>IF(OR(M44="",M44=0),"",M45/M44)</f>
        <v>0.3214285714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M4:M17">
      <formula1>"-,VERO,FADEL,PENTIL,FAHME,ADIF,SAKA"</formula1>
    </dataValidation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DropDown="1" showErrorMessage="1" sqref="D4:D17">
      <formula1>"-,Single,Couple A,Couple B,Group A,Group B,Group C,Large Group,Graduation,Graduation Premium,Family A,Family B,Maternity,Concept,Studio Rent,Pas Foto,Single,Add Person,Add Edit,Photofox,Couple C"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L4:L17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M18">
      <formula1>"-,VERO,FADEL,PENTIL,ADIF,HANIF"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18">
      <formula1>"-,Single,Couple A,Couple B,Group A,Group B,Group C,Large Group,Graduation,Graduation Premium,Family A,Family B,Maternity,Concept,Studio Rent,Pas Foto,Single,Add Person,Add Edit"</formula1>
    </dataValidation>
    <dataValidation type="list" allowBlank="1" showDropDown="1" showErrorMessage="1" sqref="L18">
      <formula1>"-,ADDEL,AXEL,PENTIL,FAHME,INDAH"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143</v>
      </c>
      <c r="D4" s="17" t="s">
        <v>23</v>
      </c>
      <c r="E4" s="18"/>
      <c r="F4" s="19">
        <v>46242.0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145</v>
      </c>
      <c r="D5" s="17" t="s">
        <v>23</v>
      </c>
      <c r="E5" s="18"/>
      <c r="F5" s="19">
        <v>46243.0</v>
      </c>
      <c r="G5" s="20"/>
      <c r="H5" s="22">
        <v>100000.0</v>
      </c>
      <c r="I5" s="14" t="s">
        <v>28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137</v>
      </c>
      <c r="D6" s="17" t="s">
        <v>130</v>
      </c>
      <c r="E6" s="18"/>
      <c r="F6" s="21">
        <v>46242.0</v>
      </c>
      <c r="G6" s="20"/>
      <c r="H6" s="22">
        <v>350000.0</v>
      </c>
      <c r="I6" s="14" t="s">
        <v>35</v>
      </c>
      <c r="J6" s="14" t="s">
        <v>36</v>
      </c>
      <c r="K6" s="14" t="s">
        <v>36</v>
      </c>
      <c r="L6" s="14" t="s">
        <v>30</v>
      </c>
      <c r="M6" s="14" t="s">
        <v>37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147</v>
      </c>
      <c r="D7" s="17" t="s">
        <v>23</v>
      </c>
      <c r="E7" s="18"/>
      <c r="F7" s="21">
        <v>46243.0</v>
      </c>
      <c r="G7" s="20"/>
      <c r="H7" s="22">
        <v>100000.0</v>
      </c>
      <c r="I7" s="14" t="s">
        <v>28</v>
      </c>
      <c r="J7" s="23"/>
      <c r="K7" s="23"/>
      <c r="L7" s="14" t="s">
        <v>30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143</v>
      </c>
      <c r="D8" s="17" t="s">
        <v>23</v>
      </c>
      <c r="E8" s="18"/>
      <c r="F8" s="21">
        <v>46242.0</v>
      </c>
      <c r="G8" s="27">
        <v>200000.0</v>
      </c>
      <c r="H8" s="28"/>
      <c r="I8" s="14" t="s">
        <v>35</v>
      </c>
      <c r="J8" s="14" t="s">
        <v>36</v>
      </c>
      <c r="K8" s="14" t="s">
        <v>36</v>
      </c>
      <c r="L8" s="14" t="s">
        <v>30</v>
      </c>
      <c r="M8" s="14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149</v>
      </c>
      <c r="D9" s="17" t="s">
        <v>126</v>
      </c>
      <c r="E9" s="88">
        <v>0.2</v>
      </c>
      <c r="F9" s="21">
        <v>46242.0</v>
      </c>
      <c r="G9" s="20"/>
      <c r="H9" s="22">
        <v>80000.0</v>
      </c>
      <c r="I9" s="14" t="s">
        <v>35</v>
      </c>
      <c r="J9" s="14" t="s">
        <v>36</v>
      </c>
      <c r="K9" s="14" t="s">
        <v>36</v>
      </c>
      <c r="L9" s="14" t="s">
        <v>30</v>
      </c>
      <c r="M9" s="14" t="s">
        <v>37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152</v>
      </c>
      <c r="D10" s="17" t="s">
        <v>23</v>
      </c>
      <c r="E10" s="26"/>
      <c r="F10" s="21">
        <v>46245.0</v>
      </c>
      <c r="G10" s="20"/>
      <c r="H10" s="22">
        <v>100000.0</v>
      </c>
      <c r="I10" s="14" t="s">
        <v>28</v>
      </c>
      <c r="J10" s="23"/>
      <c r="K10" s="23"/>
      <c r="L10" s="14" t="s">
        <v>30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154</v>
      </c>
      <c r="D11" s="17" t="s">
        <v>57</v>
      </c>
      <c r="E11" s="36" t="s">
        <v>155</v>
      </c>
      <c r="F11" s="21">
        <v>46242.0</v>
      </c>
      <c r="G11" s="20"/>
      <c r="H11" s="22">
        <v>50000.0</v>
      </c>
      <c r="I11" s="14" t="s">
        <v>35</v>
      </c>
      <c r="J11" s="14" t="s">
        <v>36</v>
      </c>
      <c r="K11" s="14" t="s">
        <v>36</v>
      </c>
      <c r="L11" s="14" t="s">
        <v>30</v>
      </c>
      <c r="M11" s="14" t="s">
        <v>37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158</v>
      </c>
      <c r="D12" s="17" t="s">
        <v>159</v>
      </c>
      <c r="E12" s="18"/>
      <c r="F12" s="30" t="s">
        <v>138</v>
      </c>
      <c r="G12" s="20"/>
      <c r="H12" s="22">
        <v>150000.0</v>
      </c>
      <c r="I12" s="14" t="s">
        <v>35</v>
      </c>
      <c r="J12" s="23"/>
      <c r="K12" s="23"/>
      <c r="L12" s="14" t="s">
        <v>29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162</v>
      </c>
      <c r="D13" s="17" t="s">
        <v>22</v>
      </c>
      <c r="E13" s="18"/>
      <c r="F13" s="30" t="s">
        <v>164</v>
      </c>
      <c r="G13" s="20"/>
      <c r="H13" s="22">
        <v>100000.0</v>
      </c>
      <c r="I13" s="14" t="s">
        <v>28</v>
      </c>
      <c r="J13" s="23"/>
      <c r="K13" s="23"/>
      <c r="L13" s="14" t="s">
        <v>29</v>
      </c>
      <c r="M13" s="23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166</v>
      </c>
      <c r="D14" s="17" t="s">
        <v>23</v>
      </c>
      <c r="E14" s="18"/>
      <c r="F14" s="30" t="s">
        <v>138</v>
      </c>
      <c r="G14" s="20"/>
      <c r="H14" s="22">
        <v>175000.0</v>
      </c>
      <c r="I14" s="14" t="s">
        <v>35</v>
      </c>
      <c r="J14" s="14" t="s">
        <v>36</v>
      </c>
      <c r="K14" s="14" t="s">
        <v>36</v>
      </c>
      <c r="L14" s="14" t="s">
        <v>29</v>
      </c>
      <c r="M14" s="14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169</v>
      </c>
      <c r="D15" s="17" t="s">
        <v>39</v>
      </c>
      <c r="E15" s="18"/>
      <c r="F15" s="30" t="s">
        <v>170</v>
      </c>
      <c r="G15" s="20"/>
      <c r="H15" s="22">
        <v>100000.0</v>
      </c>
      <c r="I15" s="14" t="s">
        <v>28</v>
      </c>
      <c r="J15" s="23"/>
      <c r="K15" s="23"/>
      <c r="L15" s="14" t="s">
        <v>29</v>
      </c>
      <c r="M15" s="23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171</v>
      </c>
      <c r="D16" s="17" t="s">
        <v>23</v>
      </c>
      <c r="E16" s="18"/>
      <c r="F16" s="30" t="s">
        <v>172</v>
      </c>
      <c r="G16" s="20"/>
      <c r="H16" s="22">
        <v>100000.0</v>
      </c>
      <c r="I16" s="14" t="s">
        <v>28</v>
      </c>
      <c r="J16" s="23"/>
      <c r="K16" s="23"/>
      <c r="L16" s="14" t="s">
        <v>29</v>
      </c>
      <c r="M16" s="23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173</v>
      </c>
      <c r="D17" s="17" t="s">
        <v>60</v>
      </c>
      <c r="E17" s="36" t="s">
        <v>155</v>
      </c>
      <c r="F17" s="30" t="s">
        <v>138</v>
      </c>
      <c r="G17" s="27">
        <v>100000.0</v>
      </c>
      <c r="H17" s="28"/>
      <c r="I17" s="14" t="s">
        <v>35</v>
      </c>
      <c r="J17" s="14" t="s">
        <v>36</v>
      </c>
      <c r="K17" s="14" t="s">
        <v>36</v>
      </c>
      <c r="L17" s="14" t="s">
        <v>29</v>
      </c>
      <c r="M17" s="14" t="s">
        <v>37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89"/>
      <c r="D18" s="16"/>
      <c r="E18" s="14"/>
      <c r="F18" s="40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89"/>
      <c r="D19" s="16"/>
      <c r="E19" s="14"/>
      <c r="F19" s="40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89"/>
      <c r="D20" s="16"/>
      <c r="E20" s="14"/>
      <c r="F20" s="40"/>
      <c r="G20" s="34"/>
      <c r="H20" s="35"/>
      <c r="I20" s="15"/>
      <c r="J20" s="15"/>
      <c r="K20" s="15"/>
      <c r="L20" s="15"/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31"/>
      <c r="D21" s="16"/>
      <c r="E21" s="14"/>
      <c r="F21" s="40"/>
      <c r="G21" s="34"/>
      <c r="H21" s="35"/>
      <c r="I21" s="15"/>
      <c r="J21" s="15"/>
      <c r="K21" s="15"/>
      <c r="L21" s="15"/>
      <c r="M21" s="15"/>
      <c r="N21" s="41"/>
      <c r="O21" s="41"/>
      <c r="P21" s="41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42">
        <f t="shared" ref="G22:H22" si="1">SUM(G4:G21)</f>
        <v>300000</v>
      </c>
      <c r="H22" s="43">
        <f t="shared" si="1"/>
        <v>1505000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5.7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1"/>
      <c r="B25" s="44" t="s">
        <v>0</v>
      </c>
      <c r="C25" s="45" t="s">
        <v>6</v>
      </c>
      <c r="D25" s="45" t="s">
        <v>88</v>
      </c>
      <c r="E25" s="1"/>
      <c r="F25" s="1"/>
      <c r="G25" s="1"/>
      <c r="H25" s="1"/>
      <c r="I25" s="1"/>
      <c r="J25" s="1"/>
      <c r="K25" s="1"/>
      <c r="L25" s="1"/>
      <c r="M25" s="1"/>
      <c r="N25" s="45" t="s">
        <v>89</v>
      </c>
      <c r="O25" s="45" t="s">
        <v>1</v>
      </c>
      <c r="P25" s="1"/>
      <c r="Q25" s="1"/>
      <c r="R25" s="1"/>
    </row>
    <row r="26" ht="15.75" customHeight="1">
      <c r="A26" s="1"/>
      <c r="B26" s="46">
        <v>1.0</v>
      </c>
      <c r="C26" s="47" t="s">
        <v>90</v>
      </c>
      <c r="D26" s="48">
        <f>SUM(G22)</f>
        <v>300000</v>
      </c>
      <c r="E26" s="49"/>
      <c r="F26" s="1"/>
      <c r="G26" s="1"/>
      <c r="H26" s="1"/>
      <c r="I26" s="1"/>
      <c r="J26" s="1"/>
      <c r="K26" s="1"/>
      <c r="L26" s="1"/>
      <c r="M26" s="1"/>
      <c r="N26" s="50" t="s">
        <v>91</v>
      </c>
      <c r="O26" s="24" t="s">
        <v>30</v>
      </c>
      <c r="P26" s="1"/>
      <c r="Q26" s="1"/>
      <c r="R26" s="1"/>
    </row>
    <row r="27" ht="15.75" customHeight="1">
      <c r="A27" s="1"/>
      <c r="B27" s="51">
        <v>2.0</v>
      </c>
      <c r="C27" s="53" t="s">
        <v>96</v>
      </c>
      <c r="D27" s="55">
        <v>-10000.0</v>
      </c>
      <c r="E27" s="49"/>
      <c r="F27" s="1"/>
      <c r="G27" s="1"/>
      <c r="H27" s="1"/>
      <c r="I27" s="1"/>
      <c r="J27" s="1"/>
      <c r="K27" s="1"/>
      <c r="L27" s="1"/>
      <c r="M27" s="1"/>
      <c r="N27" s="56" t="s">
        <v>93</v>
      </c>
      <c r="O27" s="41" t="s">
        <v>29</v>
      </c>
      <c r="P27" s="1"/>
      <c r="Q27" s="1"/>
      <c r="R27" s="1"/>
    </row>
    <row r="28" ht="15.75" customHeight="1">
      <c r="A28" s="1"/>
      <c r="B28" s="46">
        <v>3.0</v>
      </c>
      <c r="C28" s="57" t="s">
        <v>175</v>
      </c>
      <c r="D28" s="58">
        <v>-50000.0</v>
      </c>
      <c r="E28" s="49"/>
      <c r="F28" s="1"/>
      <c r="G28" s="1"/>
      <c r="H28" s="1"/>
      <c r="I28" s="1"/>
      <c r="J28" s="1"/>
      <c r="K28" s="1"/>
      <c r="L28" s="1"/>
      <c r="M28" s="1"/>
      <c r="N28" s="59" t="s">
        <v>95</v>
      </c>
      <c r="O28" s="29" t="s">
        <v>37</v>
      </c>
      <c r="P28" s="1"/>
      <c r="Q28" s="1"/>
      <c r="R28" s="1"/>
    </row>
    <row r="29" ht="15.75" customHeight="1">
      <c r="A29" s="1"/>
      <c r="B29" s="51">
        <v>4.0</v>
      </c>
      <c r="C29" s="52"/>
      <c r="D29" s="54"/>
      <c r="E29" s="49"/>
      <c r="F29" s="1"/>
      <c r="G29" s="1"/>
      <c r="H29" s="1"/>
      <c r="I29" s="1"/>
      <c r="J29" s="1"/>
      <c r="K29" s="1"/>
      <c r="L29" s="1"/>
      <c r="M29" s="1"/>
      <c r="N29" s="60" t="s">
        <v>98</v>
      </c>
      <c r="O29" s="41" t="s">
        <v>37</v>
      </c>
      <c r="P29" s="1"/>
      <c r="Q29" s="1"/>
      <c r="R29" s="1"/>
    </row>
    <row r="30" ht="15.75" customHeight="1">
      <c r="A30" s="1"/>
      <c r="B30" s="46">
        <v>5.0</v>
      </c>
      <c r="C30" s="47"/>
      <c r="D30" s="48"/>
      <c r="E30" s="49"/>
      <c r="F30" s="1"/>
      <c r="G30" s="1"/>
      <c r="H30" s="1"/>
      <c r="I30" s="1"/>
      <c r="J30" s="1"/>
      <c r="K30" s="1"/>
      <c r="L30" s="1"/>
      <c r="M30" s="1"/>
      <c r="N30" s="61"/>
      <c r="O30" s="1"/>
      <c r="P30" s="1"/>
      <c r="Q30" s="1"/>
      <c r="R30" s="1"/>
    </row>
    <row r="31" ht="15.75" customHeight="1">
      <c r="A31" s="1"/>
      <c r="B31" s="51">
        <v>6.0</v>
      </c>
      <c r="C31" s="52"/>
      <c r="D31" s="54"/>
      <c r="E31" s="49"/>
      <c r="F31" s="1"/>
      <c r="G31" s="1"/>
      <c r="H31" s="1"/>
      <c r="I31" s="1"/>
      <c r="J31" s="1"/>
      <c r="K31" s="62" t="s">
        <v>100</v>
      </c>
      <c r="Q31" s="1"/>
      <c r="R31" s="1"/>
    </row>
    <row r="32" ht="15.75" customHeight="1">
      <c r="A32" s="1"/>
      <c r="B32" s="46">
        <v>7.0</v>
      </c>
      <c r="C32" s="47"/>
      <c r="D32" s="48"/>
      <c r="E32" s="49"/>
      <c r="F32" s="1"/>
      <c r="G32" s="1"/>
      <c r="H32" s="1"/>
      <c r="I32" s="1"/>
      <c r="J32" s="1"/>
      <c r="K32" s="63" t="s">
        <v>1</v>
      </c>
      <c r="L32" s="63" t="s">
        <v>102</v>
      </c>
      <c r="M32" s="63" t="s">
        <v>103</v>
      </c>
      <c r="N32" s="63" t="s">
        <v>104</v>
      </c>
      <c r="O32" s="63" t="s">
        <v>105</v>
      </c>
      <c r="P32" s="63" t="s">
        <v>106</v>
      </c>
      <c r="Q32" s="1"/>
      <c r="R32" s="1"/>
      <c r="AC32" s="65" t="s">
        <v>107</v>
      </c>
      <c r="AD32" s="65" t="s">
        <v>108</v>
      </c>
      <c r="AE32" s="65" t="s">
        <v>109</v>
      </c>
      <c r="AF32" s="65" t="s">
        <v>110</v>
      </c>
      <c r="AG32" s="66" t="s">
        <v>111</v>
      </c>
    </row>
    <row r="33" ht="15.75" customHeight="1">
      <c r="A33" s="1"/>
      <c r="B33" s="51">
        <v>8.0</v>
      </c>
      <c r="C33" s="52"/>
      <c r="D33" s="54"/>
      <c r="E33" s="49"/>
      <c r="F33" s="1"/>
      <c r="G33" s="1"/>
      <c r="H33" s="1"/>
      <c r="I33" s="1"/>
      <c r="J33" s="1"/>
      <c r="K33" s="67" t="str">
        <f t="shared" ref="K33:K36" si="2">IF(O26="","",O26)</f>
        <v>INDAH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ref="AC33:AC38" si="3">IF(AG33="","",IF(COUNT(L33:P33)&lt;5,"",L33/5*20+M33/5*25+N33/5*25+O33/5*15+P33/5*15))</f>
        <v>100</v>
      </c>
      <c r="AD33" s="65" t="str">
        <f t="shared" ref="AD33:AD38" si="4">IF(AC33="","",IF(AC33&gt;=90,"Sangat Baik",IF(AC33&gt;=80,"Baik",IF(AC33&gt;=70,"Coaching","Underperform"))))</f>
        <v>Sangat Baik</v>
      </c>
      <c r="AE33" s="65" t="str">
        <f t="shared" ref="AE33:AE38" si="5">IF(AG33="","",IF(OR(AG33="INDAH",AG33="ADDEL",AG33="AMEL",AG33="PENTIL",AG33="JIJANG"),"Admin/CS","Fotografer"))</f>
        <v>Admin/CS</v>
      </c>
      <c r="AF33" s="65">
        <f t="shared" ref="AF33:AF38" si="6">IF(OR(AG33="",COUNT(L33:P33)&lt;5),"",1)</f>
        <v>1</v>
      </c>
      <c r="AG33" s="66" t="str">
        <f t="shared" ref="AG33:AG38" si="7">IFERROR(K33,"")</f>
        <v>INDAH</v>
      </c>
    </row>
    <row r="34" ht="15.75" customHeight="1">
      <c r="A34" s="1"/>
      <c r="B34" s="46">
        <v>9.0</v>
      </c>
      <c r="C34" s="47"/>
      <c r="D34" s="48"/>
      <c r="E34" s="49"/>
      <c r="F34" s="1"/>
      <c r="G34" s="1"/>
      <c r="H34" s="1"/>
      <c r="I34" s="1"/>
      <c r="J34" s="1"/>
      <c r="K34" s="67" t="str">
        <f t="shared" si="2"/>
        <v>AMEL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si="3"/>
        <v>100</v>
      </c>
      <c r="AD34" s="65" t="str">
        <f t="shared" si="4"/>
        <v>Sangat Baik</v>
      </c>
      <c r="AE34" s="65" t="str">
        <f t="shared" si="5"/>
        <v>Admin/CS</v>
      </c>
      <c r="AF34" s="65">
        <f t="shared" si="6"/>
        <v>1</v>
      </c>
      <c r="AG34" s="66" t="str">
        <f t="shared" si="7"/>
        <v>AMEL</v>
      </c>
    </row>
    <row r="35" ht="15.75" customHeight="1">
      <c r="A35" s="1"/>
      <c r="B35" s="51">
        <v>10.0</v>
      </c>
      <c r="C35" s="52"/>
      <c r="D35" s="54"/>
      <c r="E35" s="49"/>
      <c r="F35" s="1"/>
      <c r="G35" s="1"/>
      <c r="H35" s="1"/>
      <c r="I35" s="1"/>
      <c r="J35" s="1"/>
      <c r="K35" s="67" t="str">
        <f t="shared" si="2"/>
        <v>ADIF</v>
      </c>
      <c r="L35" s="68">
        <v>5.0</v>
      </c>
      <c r="M35" s="68">
        <v>5.0</v>
      </c>
      <c r="N35" s="68">
        <v>5.0</v>
      </c>
      <c r="O35" s="68">
        <v>5.0</v>
      </c>
      <c r="P35" s="68">
        <v>5.0</v>
      </c>
      <c r="Q35" s="1"/>
      <c r="R35" s="1"/>
      <c r="AC35" s="65">
        <f t="shared" si="3"/>
        <v>100</v>
      </c>
      <c r="AD35" s="65" t="str">
        <f t="shared" si="4"/>
        <v>Sangat Baik</v>
      </c>
      <c r="AE35" s="65" t="str">
        <f t="shared" si="5"/>
        <v>Fotografer</v>
      </c>
      <c r="AF35" s="65">
        <f t="shared" si="6"/>
        <v>1</v>
      </c>
      <c r="AG35" s="66" t="str">
        <f t="shared" si="7"/>
        <v>ADIF</v>
      </c>
    </row>
    <row r="36" ht="15.75" customHeight="1">
      <c r="A36" s="1"/>
      <c r="B36" s="69">
        <v>11.0</v>
      </c>
      <c r="C36" s="70"/>
      <c r="D36" s="71"/>
      <c r="E36" s="49"/>
      <c r="F36" s="1"/>
      <c r="G36" s="1"/>
      <c r="H36" s="1"/>
      <c r="I36" s="1"/>
      <c r="J36" s="1"/>
      <c r="K36" s="67" t="str">
        <f t="shared" si="2"/>
        <v>ADIF</v>
      </c>
      <c r="L36" s="68">
        <v>5.0</v>
      </c>
      <c r="M36" s="68">
        <v>5.0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si="3"/>
        <v>100</v>
      </c>
      <c r="AD36" s="65" t="str">
        <f t="shared" si="4"/>
        <v>Sangat Baik</v>
      </c>
      <c r="AE36" s="65" t="str">
        <f t="shared" si="5"/>
        <v>Fotografer</v>
      </c>
      <c r="AF36" s="65">
        <f t="shared" si="6"/>
        <v>1</v>
      </c>
      <c r="AG36" s="66" t="str">
        <f t="shared" si="7"/>
        <v>ADIF</v>
      </c>
    </row>
    <row r="37" ht="15.75" customHeight="1">
      <c r="A37" s="1"/>
      <c r="B37" s="1"/>
      <c r="C37" s="2"/>
      <c r="D37" s="72">
        <f>SUM(D26:D36)</f>
        <v>240000</v>
      </c>
      <c r="E37" s="1"/>
      <c r="F37" s="1"/>
      <c r="G37" s="1"/>
      <c r="H37" s="1"/>
      <c r="I37" s="1"/>
      <c r="J37" s="1"/>
      <c r="K37" s="67"/>
      <c r="L37" s="73"/>
      <c r="M37" s="73"/>
      <c r="N37" s="73"/>
      <c r="O37" s="73"/>
      <c r="P37" s="73"/>
      <c r="Q37" s="1"/>
      <c r="R37" s="1"/>
      <c r="AC37" s="65" t="str">
        <f t="shared" si="3"/>
        <v/>
      </c>
      <c r="AD37" s="65" t="str">
        <f t="shared" si="4"/>
        <v/>
      </c>
      <c r="AE37" s="65" t="str">
        <f t="shared" si="5"/>
        <v/>
      </c>
      <c r="AF37" s="65" t="str">
        <f t="shared" si="6"/>
        <v/>
      </c>
      <c r="AG37" s="66" t="str">
        <f t="shared" si="7"/>
        <v/>
      </c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67"/>
      <c r="L38" s="73"/>
      <c r="M38" s="73"/>
      <c r="N38" s="73"/>
      <c r="O38" s="73"/>
      <c r="P38" s="73"/>
      <c r="Q38" s="1"/>
      <c r="R38" s="1"/>
      <c r="AC38" s="65" t="str">
        <f t="shared" si="3"/>
        <v/>
      </c>
      <c r="AD38" s="65" t="str">
        <f t="shared" si="4"/>
        <v/>
      </c>
      <c r="AE38" s="65" t="str">
        <f t="shared" si="5"/>
        <v/>
      </c>
      <c r="AF38" s="65" t="str">
        <f t="shared" si="6"/>
        <v/>
      </c>
      <c r="AG38" s="66" t="str">
        <f t="shared" si="7"/>
        <v/>
      </c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4" t="s">
        <v>112</v>
      </c>
      <c r="Q39" s="1"/>
      <c r="R39" s="1"/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75" t="s">
        <v>113</v>
      </c>
      <c r="N41" s="1"/>
      <c r="O41" s="1"/>
      <c r="P41" s="1"/>
      <c r="Q41" s="1"/>
      <c r="R41" s="1"/>
    </row>
    <row r="42" ht="15.75" customHeight="1">
      <c r="K42" s="76" t="s">
        <v>7</v>
      </c>
      <c r="L42" s="76" t="s">
        <v>114</v>
      </c>
      <c r="M42" s="76" t="s">
        <v>115</v>
      </c>
    </row>
    <row r="43" ht="15.75" customHeight="1">
      <c r="K43" s="77" t="str">
        <f t="shared" ref="K43:K44" si="8">IF(O26="","",O26)</f>
        <v>INDAH</v>
      </c>
      <c r="L43" s="78">
        <v>4.0</v>
      </c>
      <c r="M43" s="78"/>
    </row>
    <row r="44" ht="15.75" customHeight="1">
      <c r="K44" s="77" t="str">
        <f t="shared" si="8"/>
        <v>AMEL</v>
      </c>
      <c r="L44" s="78">
        <v>3.0</v>
      </c>
      <c r="M44" s="78"/>
    </row>
    <row r="45" ht="15.75" customHeight="1"/>
    <row r="46" ht="19.5" customHeight="1">
      <c r="K46" s="79" t="s">
        <v>118</v>
      </c>
    </row>
    <row r="47" ht="19.5" customHeight="1">
      <c r="K47" s="80" t="s">
        <v>119</v>
      </c>
      <c r="M47" s="81">
        <v>33.0</v>
      </c>
    </row>
    <row r="48" ht="19.5" customHeight="1">
      <c r="K48" s="82" t="s">
        <v>120</v>
      </c>
      <c r="M48" s="83">
        <f>COUNTIF($I$4:$I$24,"DP")</f>
        <v>7</v>
      </c>
    </row>
    <row r="49" ht="19.5" customHeight="1">
      <c r="K49" s="82" t="s">
        <v>121</v>
      </c>
      <c r="M49" s="83">
        <f>COUNTIFS($I$4:$I$24,"&lt;&gt;DP",$I$4:$I$24,"&lt;&gt;")</f>
        <v>7</v>
      </c>
    </row>
    <row r="50" ht="19.5" customHeight="1">
      <c r="K50" s="84" t="s">
        <v>122</v>
      </c>
      <c r="M50" s="83">
        <f>M48+M49</f>
        <v>14</v>
      </c>
    </row>
    <row r="51" ht="19.5" customHeight="1">
      <c r="K51" s="80" t="s">
        <v>123</v>
      </c>
      <c r="M51" s="85">
        <f>IF(OR(M47="",M47=0),"",M48/M47)</f>
        <v>0.2121212121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7:L47"/>
    <mergeCell ref="K48:L48"/>
    <mergeCell ref="K49:L49"/>
    <mergeCell ref="K50:L50"/>
    <mergeCell ref="K51:L51"/>
    <mergeCell ref="L2:L3"/>
    <mergeCell ref="M2:M3"/>
    <mergeCell ref="N2:P2"/>
    <mergeCell ref="K31:P31"/>
    <mergeCell ref="K39:P39"/>
    <mergeCell ref="K41:M41"/>
    <mergeCell ref="K46:M46"/>
  </mergeCells>
  <conditionalFormatting sqref="I4:I24">
    <cfRule type="expression" dxfId="0" priority="1">
      <formula>I4="DP"</formula>
    </cfRule>
  </conditionalFormatting>
  <conditionalFormatting sqref="I4:I24">
    <cfRule type="expression" dxfId="1" priority="2">
      <formula>I4="Lunas"</formula>
    </cfRule>
  </conditionalFormatting>
  <conditionalFormatting sqref="J4:K24">
    <cfRule type="expression" dxfId="2" priority="3">
      <formula>OR(J4="Uploaded",J4="Delivered")</formula>
    </cfRule>
  </conditionalFormatting>
  <dataValidations>
    <dataValidation type="list" allowBlank="1" showDropDown="1" showErrorMessage="1" sqref="I4:I21">
      <formula1>"-,DP,Lunas"</formula1>
    </dataValidation>
    <dataValidation type="list" allowBlank="1" sqref="L33:P38">
      <formula1>"1,2,3,4,5"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L18:L21">
      <formula1>"-,JIJANG,ADDEL,PENTIL,FAHME,INDAH"</formula1>
    </dataValidation>
    <dataValidation type="list" allowBlank="1" sqref="K33:K38">
      <formula1>'Resume Karyawan KPI'!$AK$5:$AK$15</formula1>
    </dataValidation>
    <dataValidation type="list" allowBlank="1" showDropDown="1" showErrorMessage="1" sqref="M4:M17">
      <formula1>"-,VERO,FADEL,PENTIL,FAHME,ADIF"</formula1>
    </dataValidation>
    <dataValidation type="list" allowBlank="1" showErrorMessage="1" sqref="N4:N21">
      <formula1>"-,Pending,Progress,Uploaded"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qref="O26:O29">
      <formula1>"INDAH,ADDEL,AMEL,PENTIL,JIJANG,HANIF,FAHME,ADIF,ABROR,FADEL,SAKA"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L4:L17">
      <formula1>"-,JIJANG,AXEL,PENTIL,FAHME,INDAH,AMEL"</formula1>
    </dataValidation>
    <dataValidation type="list" allowBlank="1" showDropDown="1" showErrorMessage="1" sqref="M18:M21">
      <formula1>"-,VERO,FADEL,PENTIL,HANIF,ADIF"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88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176</v>
      </c>
      <c r="D4" s="17" t="s">
        <v>126</v>
      </c>
      <c r="E4" s="18"/>
      <c r="F4" s="19">
        <v>46243.0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177</v>
      </c>
      <c r="D5" s="17" t="s">
        <v>23</v>
      </c>
      <c r="E5" s="26"/>
      <c r="F5" s="19">
        <v>46243.0</v>
      </c>
      <c r="G5" s="20"/>
      <c r="H5" s="22">
        <v>100000.0</v>
      </c>
      <c r="I5" s="14" t="s">
        <v>28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178</v>
      </c>
      <c r="D6" s="17" t="s">
        <v>60</v>
      </c>
      <c r="E6" s="18"/>
      <c r="F6" s="21">
        <v>46243.0</v>
      </c>
      <c r="G6" s="20"/>
      <c r="H6" s="22">
        <v>100000.0</v>
      </c>
      <c r="I6" s="14" t="s">
        <v>35</v>
      </c>
      <c r="J6" s="23"/>
      <c r="K6" s="23"/>
      <c r="L6" s="14" t="s">
        <v>30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169</v>
      </c>
      <c r="D7" s="17" t="s">
        <v>39</v>
      </c>
      <c r="E7" s="18"/>
      <c r="F7" s="21">
        <v>46243.0</v>
      </c>
      <c r="G7" s="20"/>
      <c r="H7" s="22">
        <v>50000.0</v>
      </c>
      <c r="I7" s="14" t="s">
        <v>35</v>
      </c>
      <c r="J7" s="14" t="s">
        <v>36</v>
      </c>
      <c r="K7" s="14" t="s">
        <v>36</v>
      </c>
      <c r="L7" s="14" t="s">
        <v>30</v>
      </c>
      <c r="M7" s="14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178</v>
      </c>
      <c r="D8" s="17" t="s">
        <v>179</v>
      </c>
      <c r="E8" s="18"/>
      <c r="F8" s="21">
        <v>46243.0</v>
      </c>
      <c r="G8" s="20"/>
      <c r="H8" s="22">
        <v>50000.0</v>
      </c>
      <c r="I8" s="14" t="s">
        <v>35</v>
      </c>
      <c r="J8" s="14" t="s">
        <v>36</v>
      </c>
      <c r="K8" s="14" t="s">
        <v>77</v>
      </c>
      <c r="L8" s="14" t="s">
        <v>30</v>
      </c>
      <c r="M8" s="14" t="s">
        <v>47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180</v>
      </c>
      <c r="D9" s="17" t="s">
        <v>23</v>
      </c>
      <c r="E9" s="18"/>
      <c r="F9" s="21">
        <v>46247.0</v>
      </c>
      <c r="G9" s="20"/>
      <c r="H9" s="22">
        <v>100000.0</v>
      </c>
      <c r="I9" s="14" t="s">
        <v>28</v>
      </c>
      <c r="J9" s="23"/>
      <c r="K9" s="23"/>
      <c r="L9" s="14" t="s">
        <v>30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148</v>
      </c>
      <c r="D10" s="17" t="s">
        <v>23</v>
      </c>
      <c r="E10" s="18"/>
      <c r="F10" s="21">
        <v>46243.0</v>
      </c>
      <c r="G10" s="27">
        <v>75000.0</v>
      </c>
      <c r="H10" s="28"/>
      <c r="I10" s="14" t="s">
        <v>35</v>
      </c>
      <c r="J10" s="14" t="s">
        <v>36</v>
      </c>
      <c r="K10" s="14" t="s">
        <v>36</v>
      </c>
      <c r="L10" s="14" t="s">
        <v>30</v>
      </c>
      <c r="M10" s="14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182</v>
      </c>
      <c r="D11" s="17" t="s">
        <v>23</v>
      </c>
      <c r="E11" s="18"/>
      <c r="F11" s="21">
        <v>46243.0</v>
      </c>
      <c r="G11" s="90">
        <v>1355000.0</v>
      </c>
      <c r="H11" s="28"/>
      <c r="I11" s="14" t="s">
        <v>35</v>
      </c>
      <c r="J11" s="14" t="s">
        <v>36</v>
      </c>
      <c r="K11" s="14" t="s">
        <v>36</v>
      </c>
      <c r="L11" s="14" t="s">
        <v>30</v>
      </c>
      <c r="M11" s="14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183</v>
      </c>
      <c r="D12" s="17" t="s">
        <v>23</v>
      </c>
      <c r="E12" s="18"/>
      <c r="F12" s="21" t="s">
        <v>170</v>
      </c>
      <c r="G12" s="27">
        <v>1325000.0</v>
      </c>
      <c r="H12" s="28"/>
      <c r="I12" s="14" t="s">
        <v>35</v>
      </c>
      <c r="J12" s="14" t="s">
        <v>36</v>
      </c>
      <c r="K12" s="14" t="s">
        <v>77</v>
      </c>
      <c r="L12" s="14" t="s">
        <v>29</v>
      </c>
      <c r="M12" s="14" t="s">
        <v>37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184</v>
      </c>
      <c r="D13" s="17" t="s">
        <v>23</v>
      </c>
      <c r="E13" s="18"/>
      <c r="F13" s="21" t="s">
        <v>170</v>
      </c>
      <c r="G13" s="20"/>
      <c r="H13" s="22">
        <v>875000.0</v>
      </c>
      <c r="I13" s="14" t="s">
        <v>35</v>
      </c>
      <c r="J13" s="14" t="s">
        <v>36</v>
      </c>
      <c r="K13" s="14" t="s">
        <v>77</v>
      </c>
      <c r="L13" s="14" t="s">
        <v>29</v>
      </c>
      <c r="M13" s="14" t="s">
        <v>37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186</v>
      </c>
      <c r="D14" s="17" t="s">
        <v>23</v>
      </c>
      <c r="E14" s="18"/>
      <c r="F14" s="21" t="s">
        <v>170</v>
      </c>
      <c r="G14" s="20"/>
      <c r="H14" s="22">
        <v>700000.0</v>
      </c>
      <c r="I14" s="14" t="s">
        <v>35</v>
      </c>
      <c r="J14" s="14" t="s">
        <v>36</v>
      </c>
      <c r="K14" s="14" t="s">
        <v>36</v>
      </c>
      <c r="L14" s="14" t="s">
        <v>29</v>
      </c>
      <c r="M14" s="14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153</v>
      </c>
      <c r="D15" s="17" t="s">
        <v>23</v>
      </c>
      <c r="E15" s="18"/>
      <c r="F15" s="21" t="s">
        <v>170</v>
      </c>
      <c r="G15" s="20"/>
      <c r="H15" s="22">
        <v>350000.0</v>
      </c>
      <c r="I15" s="14" t="s">
        <v>35</v>
      </c>
      <c r="J15" s="14" t="s">
        <v>36</v>
      </c>
      <c r="K15" s="14" t="s">
        <v>36</v>
      </c>
      <c r="L15" s="14" t="s">
        <v>29</v>
      </c>
      <c r="M15" s="14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188</v>
      </c>
      <c r="D16" s="17" t="s">
        <v>23</v>
      </c>
      <c r="E16" s="18"/>
      <c r="F16" s="21" t="s">
        <v>189</v>
      </c>
      <c r="G16" s="20"/>
      <c r="H16" s="22">
        <v>100000.0</v>
      </c>
      <c r="I16" s="14" t="s">
        <v>28</v>
      </c>
      <c r="J16" s="23"/>
      <c r="K16" s="23"/>
      <c r="L16" s="14" t="s">
        <v>29</v>
      </c>
      <c r="M16" s="23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187</v>
      </c>
      <c r="D17" s="17" t="s">
        <v>60</v>
      </c>
      <c r="E17" s="18"/>
      <c r="F17" s="14" t="s">
        <v>189</v>
      </c>
      <c r="G17" s="20"/>
      <c r="H17" s="22">
        <v>100000.0</v>
      </c>
      <c r="I17" s="14" t="s">
        <v>35</v>
      </c>
      <c r="J17" s="23"/>
      <c r="K17" s="23"/>
      <c r="L17" s="14" t="s">
        <v>29</v>
      </c>
      <c r="M17" s="23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16" t="s">
        <v>176</v>
      </c>
      <c r="D18" s="17" t="s">
        <v>126</v>
      </c>
      <c r="E18" s="18"/>
      <c r="F18" s="14" t="s">
        <v>170</v>
      </c>
      <c r="G18" s="20"/>
      <c r="H18" s="22">
        <v>400000.0</v>
      </c>
      <c r="I18" s="14" t="s">
        <v>35</v>
      </c>
      <c r="J18" s="14" t="s">
        <v>36</v>
      </c>
      <c r="K18" s="14" t="s">
        <v>77</v>
      </c>
      <c r="L18" s="14" t="s">
        <v>29</v>
      </c>
      <c r="M18" s="14" t="s">
        <v>37</v>
      </c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2755000</v>
      </c>
      <c r="H19" s="43">
        <f t="shared" si="1"/>
        <v>3025000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2755000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30</v>
      </c>
      <c r="P23" s="1"/>
      <c r="Q23" s="1"/>
      <c r="R23" s="1"/>
    </row>
    <row r="24" ht="15.75" customHeight="1">
      <c r="A24" s="1"/>
      <c r="B24" s="51">
        <v>2.0</v>
      </c>
      <c r="C24" s="53" t="s">
        <v>204</v>
      </c>
      <c r="D24" s="55">
        <v>-19000.0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29</v>
      </c>
      <c r="P24" s="1"/>
      <c r="Q24" s="1"/>
      <c r="R24" s="1"/>
    </row>
    <row r="25" ht="15.75" customHeight="1">
      <c r="A25" s="1"/>
      <c r="B25" s="46">
        <v>3.0</v>
      </c>
      <c r="C25" s="57" t="s">
        <v>99</v>
      </c>
      <c r="D25" s="58">
        <v>-50000.0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47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37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INDAH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INDAH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AMEL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AMEL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1"/>
      <c r="C34" s="2"/>
      <c r="D34" s="72">
        <f>SUM(D23:D33)</f>
        <v>2686000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INDAH</v>
      </c>
      <c r="L40" s="78">
        <v>4.0</v>
      </c>
      <c r="M40" s="78"/>
    </row>
    <row r="41" ht="15.75" customHeight="1">
      <c r="K41" s="77" t="str">
        <f t="shared" si="8"/>
        <v>AMEL</v>
      </c>
      <c r="L41" s="78">
        <v>1.0</v>
      </c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19.0</v>
      </c>
    </row>
    <row r="45" ht="19.5" customHeight="1">
      <c r="K45" s="82" t="s">
        <v>120</v>
      </c>
      <c r="M45" s="83">
        <f>COUNTIF($I$4:$I$21,"DP")</f>
        <v>4</v>
      </c>
    </row>
    <row r="46" ht="19.5" customHeight="1">
      <c r="K46" s="82" t="s">
        <v>121</v>
      </c>
      <c r="M46" s="83">
        <f>COUNTIFS($I$4:$I$21,"&lt;&gt;DP",$I$4:$I$21,"&lt;&gt;")</f>
        <v>11</v>
      </c>
    </row>
    <row r="47" ht="19.5" customHeight="1">
      <c r="K47" s="84" t="s">
        <v>122</v>
      </c>
      <c r="M47" s="83">
        <f>M45+M46</f>
        <v>15</v>
      </c>
    </row>
    <row r="48" ht="19.5" customHeight="1">
      <c r="K48" s="80" t="s">
        <v>123</v>
      </c>
      <c r="M48" s="85">
        <f>IF(OR(M44="",M44=0),"",M45/M44)</f>
        <v>0.2105263158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DropDown="1" showErrorMessage="1" sqref="M4:M18">
      <formula1>"-,VERO,FADEL,PENTIL,FAHME,SAKA,ADIF"</formula1>
    </dataValidation>
    <dataValidation type="list" allowBlank="1" showErrorMessage="1" sqref="N4:N18">
      <formula1>"-,Pending,Progress,Uploaded"</formula1>
    </dataValidation>
    <dataValidation type="list" allowBlank="1" sqref="O23:O26">
      <formula1>"INDAH,ADDEL,AMEL,PENTIL,JIJANG,HANIF,FAHME,ADIF,ABROR,FADEL,SAKA"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">
      <formula1>"-,JIJANG,AXEL,PENTIL,FAHME,INDAH,AMEL"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Person,Add Edit,Photofox,All Soft File"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181</v>
      </c>
      <c r="D4" s="17" t="s">
        <v>23</v>
      </c>
      <c r="E4" s="18"/>
      <c r="F4" s="19">
        <v>46245.0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185</v>
      </c>
      <c r="D5" s="17" t="s">
        <v>23</v>
      </c>
      <c r="E5" s="18"/>
      <c r="F5" s="19">
        <v>46246.0</v>
      </c>
      <c r="G5" s="20"/>
      <c r="H5" s="22">
        <v>100000.0</v>
      </c>
      <c r="I5" s="14" t="s">
        <v>28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187</v>
      </c>
      <c r="D6" s="17" t="s">
        <v>60</v>
      </c>
      <c r="E6" s="18"/>
      <c r="F6" s="21">
        <v>46244.0</v>
      </c>
      <c r="G6" s="27">
        <v>0.0</v>
      </c>
      <c r="H6" s="22">
        <v>0.0</v>
      </c>
      <c r="I6" s="14" t="s">
        <v>35</v>
      </c>
      <c r="J6" s="14" t="s">
        <v>36</v>
      </c>
      <c r="K6" s="14" t="s">
        <v>36</v>
      </c>
      <c r="L6" s="14" t="s">
        <v>30</v>
      </c>
      <c r="M6" s="14" t="s">
        <v>47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190</v>
      </c>
      <c r="D7" s="17" t="s">
        <v>191</v>
      </c>
      <c r="E7" s="36" t="s">
        <v>192</v>
      </c>
      <c r="F7" s="21">
        <v>46236.0</v>
      </c>
      <c r="G7" s="20"/>
      <c r="H7" s="22">
        <v>25000.0</v>
      </c>
      <c r="I7" s="14" t="s">
        <v>35</v>
      </c>
      <c r="J7" s="23"/>
      <c r="K7" s="23"/>
      <c r="L7" s="14" t="s">
        <v>30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193</v>
      </c>
      <c r="D8" s="17" t="s">
        <v>23</v>
      </c>
      <c r="E8" s="18"/>
      <c r="F8" s="21">
        <v>46255.0</v>
      </c>
      <c r="G8" s="20"/>
      <c r="H8" s="22">
        <v>100000.0</v>
      </c>
      <c r="I8" s="14" t="s">
        <v>28</v>
      </c>
      <c r="J8" s="23"/>
      <c r="K8" s="23"/>
      <c r="L8" s="14" t="s">
        <v>30</v>
      </c>
      <c r="M8" s="23"/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196</v>
      </c>
      <c r="D9" s="17" t="s">
        <v>23</v>
      </c>
      <c r="E9" s="18"/>
      <c r="F9" s="21">
        <v>46251.0</v>
      </c>
      <c r="G9" s="20"/>
      <c r="H9" s="22">
        <v>100000.0</v>
      </c>
      <c r="I9" s="14" t="s">
        <v>28</v>
      </c>
      <c r="J9" s="23"/>
      <c r="K9" s="23"/>
      <c r="L9" s="14" t="s">
        <v>30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197</v>
      </c>
      <c r="D10" s="17" t="s">
        <v>191</v>
      </c>
      <c r="E10" s="36" t="s">
        <v>198</v>
      </c>
      <c r="F10" s="21">
        <v>46179.0</v>
      </c>
      <c r="G10" s="27">
        <v>250000.0</v>
      </c>
      <c r="H10" s="28"/>
      <c r="I10" s="14" t="s">
        <v>35</v>
      </c>
      <c r="J10" s="23"/>
      <c r="K10" s="23"/>
      <c r="L10" s="14" t="s">
        <v>30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197</v>
      </c>
      <c r="D11" s="17" t="s">
        <v>84</v>
      </c>
      <c r="E11" s="18"/>
      <c r="F11" s="21">
        <v>46179.0</v>
      </c>
      <c r="G11" s="27">
        <v>10000.0</v>
      </c>
      <c r="H11" s="28"/>
      <c r="I11" s="14" t="s">
        <v>35</v>
      </c>
      <c r="J11" s="23"/>
      <c r="K11" s="23"/>
      <c r="L11" s="14" t="s">
        <v>30</v>
      </c>
      <c r="M11" s="23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201</v>
      </c>
      <c r="D12" s="17" t="s">
        <v>23</v>
      </c>
      <c r="E12" s="18"/>
      <c r="F12" s="21">
        <v>46244.0</v>
      </c>
      <c r="G12" s="20"/>
      <c r="H12" s="22">
        <v>875000.0</v>
      </c>
      <c r="I12" s="14" t="s">
        <v>35</v>
      </c>
      <c r="J12" s="14" t="s">
        <v>36</v>
      </c>
      <c r="K12" s="14" t="s">
        <v>36</v>
      </c>
      <c r="L12" s="14" t="s">
        <v>30</v>
      </c>
      <c r="M12" s="14" t="s">
        <v>37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202</v>
      </c>
      <c r="D13" s="17" t="s">
        <v>60</v>
      </c>
      <c r="E13" s="36" t="s">
        <v>203</v>
      </c>
      <c r="F13" s="21">
        <v>46244.0</v>
      </c>
      <c r="G13" s="20"/>
      <c r="H13" s="22">
        <v>150000.0</v>
      </c>
      <c r="I13" s="14" t="s">
        <v>35</v>
      </c>
      <c r="J13" s="14" t="s">
        <v>36</v>
      </c>
      <c r="K13" s="14" t="s">
        <v>36</v>
      </c>
      <c r="L13" s="14" t="s">
        <v>30</v>
      </c>
      <c r="M13" s="14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/>
      <c r="D14" s="16"/>
      <c r="E14" s="14"/>
      <c r="F14" s="15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15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15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260000</v>
      </c>
      <c r="H19" s="43">
        <f t="shared" si="1"/>
        <v>1450000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260000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24" t="s">
        <v>30</v>
      </c>
      <c r="P23" s="1"/>
      <c r="Q23" s="1"/>
      <c r="R23" s="1"/>
    </row>
    <row r="24" ht="15.75" customHeight="1">
      <c r="A24" s="1"/>
      <c r="B24" s="51">
        <v>2.0</v>
      </c>
      <c r="C24" s="53" t="s">
        <v>97</v>
      </c>
      <c r="D24" s="55">
        <v>-50000.0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41" t="s">
        <v>30</v>
      </c>
      <c r="P24" s="1"/>
      <c r="Q24" s="1"/>
      <c r="R24" s="1"/>
    </row>
    <row r="25" ht="15.75" customHeight="1">
      <c r="A25" s="1"/>
      <c r="B25" s="46">
        <v>3.0</v>
      </c>
      <c r="C25" s="57" t="s">
        <v>96</v>
      </c>
      <c r="D25" s="58">
        <v>-10000.0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29" t="s">
        <v>47</v>
      </c>
      <c r="P25" s="1"/>
      <c r="Q25" s="1"/>
      <c r="R25" s="1"/>
    </row>
    <row r="26" ht="15.75" customHeight="1">
      <c r="A26" s="1"/>
      <c r="B26" s="51">
        <v>4.0</v>
      </c>
      <c r="C26" s="53" t="s">
        <v>99</v>
      </c>
      <c r="D26" s="55">
        <v>-100000.0</v>
      </c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41" t="s">
        <v>37</v>
      </c>
      <c r="P26" s="1"/>
      <c r="Q26" s="1"/>
      <c r="R26" s="1"/>
    </row>
    <row r="27" ht="15.75" customHeight="1">
      <c r="A27" s="1"/>
      <c r="B27" s="46">
        <v>5.0</v>
      </c>
      <c r="C27" s="57" t="s">
        <v>101</v>
      </c>
      <c r="D27" s="58">
        <v>-100000.0</v>
      </c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INDAH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INDAH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1"/>
      <c r="C34" s="2"/>
      <c r="D34" s="72">
        <f>SUM(D23:D33)</f>
        <v>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INDAH</v>
      </c>
      <c r="L40" s="78">
        <v>4.0</v>
      </c>
      <c r="M40" s="78"/>
    </row>
    <row r="41" ht="15.75" customHeight="1">
      <c r="K41" s="77" t="str">
        <f t="shared" si="8"/>
        <v>INDAH</v>
      </c>
      <c r="L41" s="78"/>
      <c r="M41" s="78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21.0</v>
      </c>
    </row>
    <row r="45" ht="19.5" customHeight="1">
      <c r="K45" s="82" t="s">
        <v>120</v>
      </c>
      <c r="M45" s="83">
        <f>COUNTIF($I$4:$I$21,"DP")</f>
        <v>4</v>
      </c>
    </row>
    <row r="46" ht="19.5" customHeight="1">
      <c r="K46" s="82" t="s">
        <v>121</v>
      </c>
      <c r="M46" s="83">
        <f>COUNTIFS($I$4:$I$21,"&lt;&gt;DP",$I$4:$I$21,"&lt;&gt;")</f>
        <v>6</v>
      </c>
    </row>
    <row r="47" ht="19.5" customHeight="1">
      <c r="K47" s="84" t="s">
        <v>122</v>
      </c>
      <c r="M47" s="83">
        <f>M45+M46</f>
        <v>10</v>
      </c>
    </row>
    <row r="48" ht="19.5" customHeight="1">
      <c r="K48" s="80" t="s">
        <v>123</v>
      </c>
      <c r="M48" s="85">
        <f>IF(OR(M44="",M44=0),"",M45/M44)</f>
        <v>0.1904761905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M4:M13">
      <formula1>"-,VERO,FADEL,PENTIL,FAHME,ADIF,SAKA"</formula1>
    </dataValidation>
    <dataValidation type="list" allowBlank="1" showDropDown="1" showErrorMessage="1" sqref="D4:D13">
      <formula1>"-,Single,Couple A,Couple B,Group A,Group B,Group C,Large Group,Graduation,Graduation Premium,Family A,Family B,Maternity,Concept,Studio Rent,Pas Foto,Single,Add Person,Add Edit,Add Cetak,Photofox,Couple C"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L14:L18">
      <formula1>"-,JIJANG,ADDEL,PENTIL,FAHME,INDAH"</formula1>
    </dataValidation>
    <dataValidation type="list" allowBlank="1" sqref="K30:K35">
      <formula1>'Resume Karyawan KPI'!$AK$5:$AK$15</formula1>
    </dataValidation>
    <dataValidation type="list" allowBlank="1" sqref="O23:O26">
      <formula1>"INDAH,ADDEL,AMEL,PENTIL,JIJANG,HANIF,FAHME,ADIF,ABROR,FADEL,SAKA"</formula1>
    </dataValidation>
    <dataValidation type="list" allowBlank="1" showDropDown="1" showErrorMessage="1" sqref="D14:D18">
      <formula1>"-,Single,Couple A,Couple B,Group A,Group B,Group C,Large Group,Graduation,Graduation Premium,Family A,Family B,Maternity,Concept,Studio Rent,Pas Foto,Single,Add Person,Add Edit,Studio Rent"</formula1>
    </dataValidation>
    <dataValidation type="list" allowBlank="1" showDropDown="1" showErrorMessage="1" sqref="M14:M18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L4:L13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4.63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194</v>
      </c>
      <c r="D4" s="17" t="s">
        <v>195</v>
      </c>
      <c r="E4" s="18"/>
      <c r="F4" s="19">
        <v>46298.0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199</v>
      </c>
      <c r="D5" s="17" t="s">
        <v>60</v>
      </c>
      <c r="E5" s="18"/>
      <c r="F5" s="19">
        <v>46245.0</v>
      </c>
      <c r="G5" s="20"/>
      <c r="H5" s="22">
        <v>100000.0</v>
      </c>
      <c r="I5" s="14" t="s">
        <v>35</v>
      </c>
      <c r="J5" s="23"/>
      <c r="K5" s="23"/>
      <c r="L5" s="14" t="s">
        <v>30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200</v>
      </c>
      <c r="D6" s="17" t="s">
        <v>22</v>
      </c>
      <c r="E6" s="18"/>
      <c r="F6" s="21">
        <v>46267.0</v>
      </c>
      <c r="G6" s="20"/>
      <c r="H6" s="22">
        <v>100000.0</v>
      </c>
      <c r="I6" s="14" t="s">
        <v>28</v>
      </c>
      <c r="J6" s="23"/>
      <c r="K6" s="23"/>
      <c r="L6" s="14" t="s">
        <v>30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177</v>
      </c>
      <c r="D7" s="17" t="s">
        <v>23</v>
      </c>
      <c r="E7" s="18"/>
      <c r="F7" s="21">
        <v>46245.0</v>
      </c>
      <c r="G7" s="20"/>
      <c r="H7" s="22">
        <v>125000.0</v>
      </c>
      <c r="I7" s="14" t="s">
        <v>35</v>
      </c>
      <c r="J7" s="14" t="s">
        <v>36</v>
      </c>
      <c r="K7" s="14" t="s">
        <v>36</v>
      </c>
      <c r="L7" s="14" t="s">
        <v>30</v>
      </c>
      <c r="M7" s="14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205</v>
      </c>
      <c r="D8" s="17" t="s">
        <v>84</v>
      </c>
      <c r="E8" s="18"/>
      <c r="F8" s="21">
        <v>46243.0</v>
      </c>
      <c r="G8" s="20"/>
      <c r="H8" s="22">
        <v>20000.0</v>
      </c>
      <c r="I8" s="14" t="s">
        <v>35</v>
      </c>
      <c r="J8" s="23"/>
      <c r="K8" s="23"/>
      <c r="L8" s="14" t="s">
        <v>30</v>
      </c>
      <c r="M8" s="23"/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207</v>
      </c>
      <c r="D9" s="17" t="s">
        <v>130</v>
      </c>
      <c r="E9" s="18"/>
      <c r="F9" s="21">
        <v>46258.0</v>
      </c>
      <c r="G9" s="20"/>
      <c r="H9" s="22">
        <v>100000.0</v>
      </c>
      <c r="I9" s="14" t="s">
        <v>28</v>
      </c>
      <c r="J9" s="23"/>
      <c r="K9" s="23"/>
      <c r="L9" s="14" t="s">
        <v>30</v>
      </c>
      <c r="M9" s="23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209</v>
      </c>
      <c r="D10" s="17" t="s">
        <v>22</v>
      </c>
      <c r="E10" s="18"/>
      <c r="F10" s="21">
        <v>46298.0</v>
      </c>
      <c r="G10" s="20"/>
      <c r="H10" s="22">
        <v>100000.0</v>
      </c>
      <c r="I10" s="14" t="s">
        <v>28</v>
      </c>
      <c r="J10" s="23"/>
      <c r="K10" s="23"/>
      <c r="L10" s="14" t="s">
        <v>30</v>
      </c>
      <c r="M10" s="23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210</v>
      </c>
      <c r="D11" s="17" t="s">
        <v>23</v>
      </c>
      <c r="E11" s="18"/>
      <c r="F11" s="21">
        <v>46245.0</v>
      </c>
      <c r="G11" s="20"/>
      <c r="H11" s="22">
        <v>100000.0</v>
      </c>
      <c r="I11" s="14" t="s">
        <v>28</v>
      </c>
      <c r="J11" s="23"/>
      <c r="K11" s="23"/>
      <c r="L11" s="14" t="s">
        <v>30</v>
      </c>
      <c r="M11" s="23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211</v>
      </c>
      <c r="D12" s="17" t="s">
        <v>22</v>
      </c>
      <c r="E12" s="18"/>
      <c r="F12" s="21">
        <v>46267.0</v>
      </c>
      <c r="G12" s="20"/>
      <c r="H12" s="22">
        <v>100000.0</v>
      </c>
      <c r="I12" s="14" t="s">
        <v>28</v>
      </c>
      <c r="J12" s="23"/>
      <c r="K12" s="23"/>
      <c r="L12" s="14" t="s">
        <v>30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213</v>
      </c>
      <c r="D13" s="17" t="s">
        <v>23</v>
      </c>
      <c r="E13" s="18"/>
      <c r="F13" s="21">
        <v>46245.0</v>
      </c>
      <c r="G13" s="20"/>
      <c r="H13" s="22">
        <v>200000.0</v>
      </c>
      <c r="I13" s="14" t="s">
        <v>35</v>
      </c>
      <c r="J13" s="14" t="s">
        <v>36</v>
      </c>
      <c r="K13" s="14" t="s">
        <v>36</v>
      </c>
      <c r="L13" s="14" t="s">
        <v>30</v>
      </c>
      <c r="M13" s="14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32</v>
      </c>
      <c r="D14" s="17" t="s">
        <v>215</v>
      </c>
      <c r="E14" s="18"/>
      <c r="F14" s="21">
        <v>46245.0</v>
      </c>
      <c r="G14" s="27">
        <v>125000.0</v>
      </c>
      <c r="H14" s="28"/>
      <c r="I14" s="14" t="s">
        <v>35</v>
      </c>
      <c r="J14" s="23"/>
      <c r="K14" s="23"/>
      <c r="L14" s="14" t="s">
        <v>30</v>
      </c>
      <c r="M14" s="23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217</v>
      </c>
      <c r="D15" s="17" t="s">
        <v>23</v>
      </c>
      <c r="E15" s="18"/>
      <c r="F15" s="21">
        <v>46245.0</v>
      </c>
      <c r="G15" s="20"/>
      <c r="H15" s="22">
        <v>825000.0</v>
      </c>
      <c r="I15" s="14" t="s">
        <v>35</v>
      </c>
      <c r="J15" s="14" t="s">
        <v>36</v>
      </c>
      <c r="K15" s="14" t="s">
        <v>77</v>
      </c>
      <c r="L15" s="14" t="s">
        <v>30</v>
      </c>
      <c r="M15" s="14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219</v>
      </c>
      <c r="D16" s="17" t="s">
        <v>23</v>
      </c>
      <c r="E16" s="88" t="s">
        <v>155</v>
      </c>
      <c r="F16" s="21">
        <v>46245.0</v>
      </c>
      <c r="G16" s="27">
        <v>550000.0</v>
      </c>
      <c r="H16" s="28"/>
      <c r="I16" s="14" t="s">
        <v>35</v>
      </c>
      <c r="J16" s="14" t="s">
        <v>36</v>
      </c>
      <c r="K16" s="14" t="s">
        <v>36</v>
      </c>
      <c r="L16" s="14" t="s">
        <v>30</v>
      </c>
      <c r="M16" s="14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202</v>
      </c>
      <c r="D17" s="17" t="s">
        <v>84</v>
      </c>
      <c r="E17" s="18"/>
      <c r="F17" s="21">
        <v>46244.0</v>
      </c>
      <c r="G17" s="20"/>
      <c r="H17" s="22">
        <v>30000.0</v>
      </c>
      <c r="I17" s="14" t="s">
        <v>35</v>
      </c>
      <c r="J17" s="23"/>
      <c r="K17" s="23"/>
      <c r="L17" s="14" t="s">
        <v>30</v>
      </c>
      <c r="M17" s="23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16" t="s">
        <v>210</v>
      </c>
      <c r="D18" s="17" t="s">
        <v>23</v>
      </c>
      <c r="E18" s="18"/>
      <c r="F18" s="21">
        <v>46245.0</v>
      </c>
      <c r="G18" s="27">
        <v>175000.0</v>
      </c>
      <c r="H18" s="28"/>
      <c r="I18" s="14" t="s">
        <v>35</v>
      </c>
      <c r="J18" s="14" t="s">
        <v>36</v>
      </c>
      <c r="K18" s="14" t="s">
        <v>36</v>
      </c>
      <c r="L18" s="14" t="s">
        <v>30</v>
      </c>
      <c r="M18" s="14" t="s">
        <v>47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16" t="s">
        <v>221</v>
      </c>
      <c r="D19" s="17" t="s">
        <v>57</v>
      </c>
      <c r="E19" s="18"/>
      <c r="F19" s="21">
        <v>46245.0</v>
      </c>
      <c r="G19" s="20"/>
      <c r="H19" s="22">
        <v>100000.0</v>
      </c>
      <c r="I19" s="14" t="s">
        <v>35</v>
      </c>
      <c r="J19" s="14" t="s">
        <v>36</v>
      </c>
      <c r="K19" s="14" t="s">
        <v>36</v>
      </c>
      <c r="L19" s="14" t="s">
        <v>30</v>
      </c>
      <c r="M19" s="14" t="s">
        <v>47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16" t="s">
        <v>224</v>
      </c>
      <c r="D20" s="17" t="s">
        <v>195</v>
      </c>
      <c r="E20" s="18"/>
      <c r="F20" s="21">
        <v>46267.0</v>
      </c>
      <c r="G20" s="20"/>
      <c r="H20" s="22">
        <v>100000.0</v>
      </c>
      <c r="I20" s="14" t="s">
        <v>28</v>
      </c>
      <c r="J20" s="23"/>
      <c r="K20" s="23"/>
      <c r="L20" s="14" t="s">
        <v>30</v>
      </c>
      <c r="M20" s="23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16" t="s">
        <v>227</v>
      </c>
      <c r="D21" s="17" t="s">
        <v>39</v>
      </c>
      <c r="E21" s="18"/>
      <c r="F21" s="21">
        <v>46250.0</v>
      </c>
      <c r="G21" s="20"/>
      <c r="H21" s="22">
        <v>150000.0</v>
      </c>
      <c r="I21" s="14" t="s">
        <v>35</v>
      </c>
      <c r="J21" s="23"/>
      <c r="K21" s="23"/>
      <c r="L21" s="14" t="s">
        <v>30</v>
      </c>
      <c r="M21" s="23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32"/>
      <c r="D22" s="16"/>
      <c r="E22" s="14"/>
      <c r="F22" s="15"/>
      <c r="G22" s="34"/>
      <c r="H22" s="35"/>
      <c r="I22" s="15"/>
      <c r="J22" s="15"/>
      <c r="K22" s="15"/>
      <c r="L22" s="15"/>
      <c r="M22" s="15"/>
      <c r="N22" s="41"/>
      <c r="O22" s="41"/>
      <c r="P22" s="41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42">
        <f t="shared" ref="G23:H23" si="1">SUM(G4:G22)</f>
        <v>850000</v>
      </c>
      <c r="H23" s="43">
        <f t="shared" si="1"/>
        <v>2250000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5.75" customHeight="1">
      <c r="A26" s="1"/>
      <c r="B26" s="44" t="s">
        <v>0</v>
      </c>
      <c r="C26" s="45" t="s">
        <v>6</v>
      </c>
      <c r="D26" s="45" t="s">
        <v>88</v>
      </c>
      <c r="E26" s="1"/>
      <c r="F26" s="1"/>
      <c r="G26" s="1"/>
      <c r="H26" s="1"/>
      <c r="I26" s="1"/>
      <c r="J26" s="1"/>
      <c r="K26" s="1"/>
      <c r="L26" s="1"/>
      <c r="M26" s="1"/>
      <c r="N26" s="45" t="s">
        <v>89</v>
      </c>
      <c r="O26" s="45" t="s">
        <v>1</v>
      </c>
      <c r="P26" s="1"/>
      <c r="Q26" s="1"/>
      <c r="R26" s="1"/>
    </row>
    <row r="27" ht="15.75" customHeight="1">
      <c r="A27" s="1"/>
      <c r="B27" s="46">
        <v>1.0</v>
      </c>
      <c r="C27" s="47" t="s">
        <v>90</v>
      </c>
      <c r="D27" s="48">
        <f>SUM(G23)</f>
        <v>850000</v>
      </c>
      <c r="E27" s="49"/>
      <c r="F27" s="1"/>
      <c r="G27" s="1"/>
      <c r="H27" s="1"/>
      <c r="I27" s="1"/>
      <c r="J27" s="1"/>
      <c r="K27" s="1"/>
      <c r="L27" s="1"/>
      <c r="M27" s="1"/>
      <c r="N27" s="50" t="s">
        <v>91</v>
      </c>
      <c r="O27" s="24" t="s">
        <v>30</v>
      </c>
      <c r="P27" s="1"/>
      <c r="Q27" s="1"/>
      <c r="R27" s="1"/>
    </row>
    <row r="28" ht="15.75" customHeight="1">
      <c r="A28" s="1"/>
      <c r="B28" s="51">
        <v>2.0</v>
      </c>
      <c r="C28" s="53" t="s">
        <v>237</v>
      </c>
      <c r="D28" s="55">
        <v>-16000.0</v>
      </c>
      <c r="E28" s="49"/>
      <c r="F28" s="1"/>
      <c r="G28" s="1"/>
      <c r="H28" s="1"/>
      <c r="I28" s="1"/>
      <c r="J28" s="1"/>
      <c r="K28" s="1"/>
      <c r="L28" s="1"/>
      <c r="M28" s="1"/>
      <c r="N28" s="56" t="s">
        <v>93</v>
      </c>
      <c r="O28" s="41" t="s">
        <v>30</v>
      </c>
      <c r="P28" s="1"/>
      <c r="Q28" s="1"/>
      <c r="R28" s="1"/>
    </row>
    <row r="29" ht="15.75" customHeight="1">
      <c r="A29" s="1"/>
      <c r="B29" s="46">
        <v>3.0</v>
      </c>
      <c r="C29" s="57" t="s">
        <v>99</v>
      </c>
      <c r="D29" s="58">
        <v>-50000.0</v>
      </c>
      <c r="E29" s="49"/>
      <c r="F29" s="1"/>
      <c r="G29" s="1"/>
      <c r="H29" s="1"/>
      <c r="I29" s="1"/>
      <c r="J29" s="1"/>
      <c r="K29" s="1"/>
      <c r="L29" s="1"/>
      <c r="M29" s="1"/>
      <c r="N29" s="59" t="s">
        <v>95</v>
      </c>
      <c r="O29" s="29" t="s">
        <v>47</v>
      </c>
      <c r="P29" s="1"/>
      <c r="Q29" s="1"/>
      <c r="R29" s="1"/>
    </row>
    <row r="30" ht="15.75" customHeight="1">
      <c r="A30" s="1"/>
      <c r="B30" s="51">
        <v>4.0</v>
      </c>
      <c r="C30" s="52" t="s">
        <v>174</v>
      </c>
      <c r="D30" s="54">
        <v>-34000.0</v>
      </c>
      <c r="E30" s="49"/>
      <c r="F30" s="1"/>
      <c r="G30" s="1"/>
      <c r="H30" s="1"/>
      <c r="I30" s="1"/>
      <c r="J30" s="1"/>
      <c r="K30" s="1"/>
      <c r="L30" s="1"/>
      <c r="M30" s="1"/>
      <c r="N30" s="60" t="s">
        <v>98</v>
      </c>
      <c r="O30" s="41" t="s">
        <v>47</v>
      </c>
      <c r="P30" s="1"/>
      <c r="Q30" s="1"/>
      <c r="R30" s="1"/>
    </row>
    <row r="31" ht="15.75" customHeight="1">
      <c r="A31" s="1"/>
      <c r="B31" s="46">
        <v>5.0</v>
      </c>
      <c r="C31" s="47"/>
      <c r="D31" s="48"/>
      <c r="E31" s="49"/>
      <c r="F31" s="1"/>
      <c r="G31" s="1"/>
      <c r="H31" s="1"/>
      <c r="I31" s="1"/>
      <c r="J31" s="1"/>
      <c r="K31" s="1"/>
      <c r="L31" s="1"/>
      <c r="M31" s="1"/>
      <c r="N31" s="61"/>
      <c r="O31" s="1"/>
      <c r="P31" s="1"/>
      <c r="Q31" s="1"/>
      <c r="R31" s="1"/>
    </row>
    <row r="32" ht="15.75" customHeight="1">
      <c r="A32" s="1"/>
      <c r="B32" s="51">
        <v>6.0</v>
      </c>
      <c r="C32" s="52"/>
      <c r="D32" s="54"/>
      <c r="E32" s="49"/>
      <c r="F32" s="1"/>
      <c r="G32" s="1"/>
      <c r="H32" s="1"/>
      <c r="I32" s="1"/>
      <c r="J32" s="1"/>
      <c r="K32" s="62" t="s">
        <v>100</v>
      </c>
      <c r="Q32" s="1"/>
      <c r="R32" s="1"/>
    </row>
    <row r="33" ht="15.75" customHeight="1">
      <c r="A33" s="1"/>
      <c r="B33" s="46">
        <v>7.0</v>
      </c>
      <c r="C33" s="47"/>
      <c r="D33" s="48"/>
      <c r="E33" s="49"/>
      <c r="F33" s="1"/>
      <c r="G33" s="1"/>
      <c r="H33" s="1"/>
      <c r="I33" s="1"/>
      <c r="J33" s="1"/>
      <c r="K33" s="63" t="s">
        <v>1</v>
      </c>
      <c r="L33" s="63" t="s">
        <v>102</v>
      </c>
      <c r="M33" s="63" t="s">
        <v>103</v>
      </c>
      <c r="N33" s="63" t="s">
        <v>104</v>
      </c>
      <c r="O33" s="63" t="s">
        <v>105</v>
      </c>
      <c r="P33" s="63" t="s">
        <v>106</v>
      </c>
      <c r="Q33" s="1"/>
      <c r="R33" s="1"/>
      <c r="AC33" s="65" t="s">
        <v>107</v>
      </c>
      <c r="AD33" s="65" t="s">
        <v>108</v>
      </c>
      <c r="AE33" s="65" t="s">
        <v>109</v>
      </c>
      <c r="AF33" s="65" t="s">
        <v>110</v>
      </c>
      <c r="AG33" s="66" t="s">
        <v>111</v>
      </c>
    </row>
    <row r="34" ht="15.75" customHeight="1">
      <c r="A34" s="1"/>
      <c r="B34" s="51">
        <v>8.0</v>
      </c>
      <c r="C34" s="52"/>
      <c r="D34" s="54"/>
      <c r="E34" s="49"/>
      <c r="F34" s="1"/>
      <c r="G34" s="1"/>
      <c r="H34" s="1"/>
      <c r="I34" s="1"/>
      <c r="J34" s="1"/>
      <c r="K34" s="67" t="str">
        <f t="shared" ref="K34:K37" si="2">IF(O27="","",O27)</f>
        <v>INDAH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ref="AC34:AC39" si="3">IF(AG34="","",IF(COUNT(L34:P34)&lt;5,"",L34/5*20+M34/5*25+N34/5*25+O34/5*15+P34/5*15))</f>
        <v>100</v>
      </c>
      <c r="AD34" s="65" t="str">
        <f t="shared" ref="AD34:AD39" si="4">IF(AC34="","",IF(AC34&gt;=90,"Sangat Baik",IF(AC34&gt;=80,"Baik",IF(AC34&gt;=70,"Coaching","Underperform"))))</f>
        <v>Sangat Baik</v>
      </c>
      <c r="AE34" s="65" t="str">
        <f t="shared" ref="AE34:AE39" si="5">IF(AG34="","",IF(OR(AG34="INDAH",AG34="ADDEL",AG34="AMEL",AG34="PENTIL",AG34="JIJANG"),"Admin/CS","Fotografer"))</f>
        <v>Admin/CS</v>
      </c>
      <c r="AF34" s="65">
        <f t="shared" ref="AF34:AF39" si="6">IF(OR(AG34="",COUNT(L34:P34)&lt;5),"",1)</f>
        <v>1</v>
      </c>
      <c r="AG34" s="66" t="str">
        <f t="shared" ref="AG34:AG39" si="7">IFERROR(K34,"")</f>
        <v>INDAH</v>
      </c>
    </row>
    <row r="35" ht="15.75" customHeight="1">
      <c r="A35" s="1"/>
      <c r="B35" s="46">
        <v>9.0</v>
      </c>
      <c r="C35" s="47"/>
      <c r="D35" s="48"/>
      <c r="E35" s="49"/>
      <c r="F35" s="1"/>
      <c r="G35" s="1"/>
      <c r="H35" s="1"/>
      <c r="I35" s="1"/>
      <c r="J35" s="1"/>
      <c r="K35" s="67" t="str">
        <f t="shared" si="2"/>
        <v>INDAH</v>
      </c>
      <c r="L35" s="68">
        <v>5.0</v>
      </c>
      <c r="M35" s="68">
        <v>5.0</v>
      </c>
      <c r="N35" s="68">
        <v>5.0</v>
      </c>
      <c r="O35" s="68">
        <v>5.0</v>
      </c>
      <c r="P35" s="68">
        <v>5.0</v>
      </c>
      <c r="Q35" s="1"/>
      <c r="R35" s="1"/>
      <c r="AC35" s="65">
        <f t="shared" si="3"/>
        <v>100</v>
      </c>
      <c r="AD35" s="65" t="str">
        <f t="shared" si="4"/>
        <v>Sangat Baik</v>
      </c>
      <c r="AE35" s="65" t="str">
        <f t="shared" si="5"/>
        <v>Admin/CS</v>
      </c>
      <c r="AF35" s="65">
        <f t="shared" si="6"/>
        <v>1</v>
      </c>
      <c r="AG35" s="66" t="str">
        <f t="shared" si="7"/>
        <v>INDAH</v>
      </c>
    </row>
    <row r="36" ht="15.75" customHeight="1">
      <c r="A36" s="1"/>
      <c r="B36" s="51">
        <v>10.0</v>
      </c>
      <c r="C36" s="52"/>
      <c r="D36" s="54"/>
      <c r="E36" s="49"/>
      <c r="F36" s="1"/>
      <c r="G36" s="1"/>
      <c r="H36" s="1"/>
      <c r="I36" s="1"/>
      <c r="J36" s="1"/>
      <c r="K36" s="67" t="str">
        <f t="shared" si="2"/>
        <v>SAKA</v>
      </c>
      <c r="L36" s="68">
        <v>5.0</v>
      </c>
      <c r="M36" s="68">
        <v>5.0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si="3"/>
        <v>100</v>
      </c>
      <c r="AD36" s="65" t="str">
        <f t="shared" si="4"/>
        <v>Sangat Baik</v>
      </c>
      <c r="AE36" s="65" t="str">
        <f t="shared" si="5"/>
        <v>Fotografer</v>
      </c>
      <c r="AF36" s="65">
        <f t="shared" si="6"/>
        <v>1</v>
      </c>
      <c r="AG36" s="66" t="str">
        <f t="shared" si="7"/>
        <v>SAKA</v>
      </c>
    </row>
    <row r="37" ht="15.75" customHeight="1">
      <c r="A37" s="1"/>
      <c r="B37" s="69">
        <v>11.0</v>
      </c>
      <c r="C37" s="70"/>
      <c r="D37" s="71"/>
      <c r="E37" s="49"/>
      <c r="F37" s="1"/>
      <c r="G37" s="1"/>
      <c r="H37" s="1"/>
      <c r="I37" s="1"/>
      <c r="J37" s="1"/>
      <c r="K37" s="67" t="str">
        <f t="shared" si="2"/>
        <v>SAKA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si="3"/>
        <v>100</v>
      </c>
      <c r="AD37" s="65" t="str">
        <f t="shared" si="4"/>
        <v>Sangat Baik</v>
      </c>
      <c r="AE37" s="65" t="str">
        <f t="shared" si="5"/>
        <v>Fotografer</v>
      </c>
      <c r="AF37" s="65">
        <f t="shared" si="6"/>
        <v>1</v>
      </c>
      <c r="AG37" s="66" t="str">
        <f t="shared" si="7"/>
        <v>SAKA</v>
      </c>
    </row>
    <row r="38" ht="15.75" customHeight="1">
      <c r="A38" s="1"/>
      <c r="B38" s="1"/>
      <c r="C38" s="2"/>
      <c r="D38" s="72">
        <f>SUM(D27:D37)</f>
        <v>750000</v>
      </c>
      <c r="E38" s="1"/>
      <c r="F38" s="1"/>
      <c r="G38" s="1"/>
      <c r="H38" s="1"/>
      <c r="I38" s="1"/>
      <c r="J38" s="1"/>
      <c r="K38" s="67"/>
      <c r="L38" s="73"/>
      <c r="M38" s="73"/>
      <c r="N38" s="73"/>
      <c r="O38" s="73"/>
      <c r="P38" s="73"/>
      <c r="Q38" s="1"/>
      <c r="R38" s="1"/>
      <c r="AC38" s="65" t="str">
        <f t="shared" si="3"/>
        <v/>
      </c>
      <c r="AD38" s="65" t="str">
        <f t="shared" si="4"/>
        <v/>
      </c>
      <c r="AE38" s="65" t="str">
        <f t="shared" si="5"/>
        <v/>
      </c>
      <c r="AF38" s="65" t="str">
        <f t="shared" si="6"/>
        <v/>
      </c>
      <c r="AG38" s="66" t="str">
        <f t="shared" si="7"/>
        <v/>
      </c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67"/>
      <c r="L39" s="73"/>
      <c r="M39" s="73"/>
      <c r="N39" s="73"/>
      <c r="O39" s="73"/>
      <c r="P39" s="73"/>
      <c r="Q39" s="1"/>
      <c r="R39" s="1"/>
      <c r="AC39" s="65" t="str">
        <f t="shared" si="3"/>
        <v/>
      </c>
      <c r="AD39" s="65" t="str">
        <f t="shared" si="4"/>
        <v/>
      </c>
      <c r="AE39" s="65" t="str">
        <f t="shared" si="5"/>
        <v/>
      </c>
      <c r="AF39" s="65" t="str">
        <f t="shared" si="6"/>
        <v/>
      </c>
      <c r="AG39" s="66" t="str">
        <f t="shared" si="7"/>
        <v/>
      </c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74" t="s">
        <v>112</v>
      </c>
      <c r="Q40" s="1"/>
      <c r="R40" s="1"/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75" t="s">
        <v>113</v>
      </c>
      <c r="N42" s="1"/>
      <c r="O42" s="1"/>
      <c r="P42" s="1"/>
      <c r="Q42" s="1"/>
      <c r="R42" s="1"/>
    </row>
    <row r="43" ht="15.75" customHeight="1">
      <c r="K43" s="76" t="s">
        <v>7</v>
      </c>
      <c r="L43" s="76" t="s">
        <v>114</v>
      </c>
      <c r="M43" s="76" t="s">
        <v>115</v>
      </c>
    </row>
    <row r="44" ht="15.75" customHeight="1">
      <c r="K44" s="77" t="str">
        <f t="shared" ref="K44:K45" si="8">IF(O27="","",O27)</f>
        <v>INDAH</v>
      </c>
      <c r="L44" s="78">
        <v>10.0</v>
      </c>
      <c r="M44" s="78"/>
    </row>
    <row r="45" ht="15.75" customHeight="1">
      <c r="K45" s="77" t="str">
        <f t="shared" si="8"/>
        <v>INDAH</v>
      </c>
      <c r="L45" s="78"/>
      <c r="M45" s="78"/>
    </row>
    <row r="46" ht="15.75" customHeight="1"/>
    <row r="47" ht="19.5" customHeight="1">
      <c r="K47" s="79" t="s">
        <v>118</v>
      </c>
    </row>
    <row r="48" ht="19.5" customHeight="1">
      <c r="K48" s="80" t="s">
        <v>119</v>
      </c>
      <c r="M48" s="81">
        <v>37.0</v>
      </c>
    </row>
    <row r="49" ht="19.5" customHeight="1">
      <c r="K49" s="82" t="s">
        <v>120</v>
      </c>
      <c r="M49" s="83">
        <f>COUNTIF($I$4:$I$25,"DP")</f>
        <v>7</v>
      </c>
    </row>
    <row r="50" ht="19.5" customHeight="1">
      <c r="K50" s="82" t="s">
        <v>121</v>
      </c>
      <c r="M50" s="83">
        <f>COUNTIFS($I$4:$I$25,"&lt;&gt;DP",$I$4:$I$25,"&lt;&gt;")</f>
        <v>11</v>
      </c>
    </row>
    <row r="51" ht="19.5" customHeight="1">
      <c r="K51" s="84" t="s">
        <v>122</v>
      </c>
      <c r="M51" s="83">
        <f>M49+M50</f>
        <v>18</v>
      </c>
    </row>
    <row r="52" ht="19.5" customHeight="1">
      <c r="K52" s="80" t="s">
        <v>123</v>
      </c>
      <c r="M52" s="85">
        <f>IF(OR(M48="",M48=0),"",M49/M48)</f>
        <v>0.1891891892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8:L48"/>
    <mergeCell ref="K49:L49"/>
    <mergeCell ref="K50:L50"/>
    <mergeCell ref="K51:L51"/>
    <mergeCell ref="K52:L52"/>
    <mergeCell ref="L2:L3"/>
    <mergeCell ref="M2:M3"/>
    <mergeCell ref="N2:P2"/>
    <mergeCell ref="K32:P32"/>
    <mergeCell ref="K40:P40"/>
    <mergeCell ref="K42:M42"/>
    <mergeCell ref="K47:M47"/>
  </mergeCells>
  <conditionalFormatting sqref="I4:I25">
    <cfRule type="expression" dxfId="0" priority="1">
      <formula>I4="DP"</formula>
    </cfRule>
  </conditionalFormatting>
  <conditionalFormatting sqref="I4:I25">
    <cfRule type="expression" dxfId="1" priority="2">
      <formula>I4="Lunas"</formula>
    </cfRule>
  </conditionalFormatting>
  <conditionalFormatting sqref="J4:K25">
    <cfRule type="expression" dxfId="2" priority="3">
      <formula>OR(J4="Uploaded",J4="Delivered")</formula>
    </cfRule>
  </conditionalFormatting>
  <dataValidations>
    <dataValidation type="list" allowBlank="1" showDropDown="1" showErrorMessage="1" sqref="J4:K22">
      <formula1>"-,Pending,Uploaded"</formula1>
    </dataValidation>
    <dataValidation type="list" allowBlank="1" showDropDown="1" showErrorMessage="1" sqref="L22">
      <formula1>"-,JIJANG,ADDEL,PENTIL,FAHME,INDAH"</formula1>
    </dataValidation>
    <dataValidation type="list" allowBlank="1" sqref="K34:K39">
      <formula1>'Resume Karyawan KPI'!$AK$5:$AK$15</formula1>
    </dataValidation>
    <dataValidation type="list" allowBlank="1" sqref="O27:O30">
      <formula1>"INDAH,ADDEL,AMEL,PENTIL,JIJANG,HANIF,FAHME,ADIF,ABROR,FADEL,SAKA"</formula1>
    </dataValidation>
    <dataValidation type="list" allowBlank="1" showDropDown="1" showErrorMessage="1" sqref="M4:M21">
      <formula1>"-,VERO,FADEL,PENTIL,FAHME,SAKA"</formula1>
    </dataValidation>
    <dataValidation type="list" allowBlank="1" showDropDown="1" showErrorMessage="1" sqref="M22">
      <formula1>"-,VERO,ADIF,PENTIL,FAHME,HANIF"</formula1>
    </dataValidation>
    <dataValidation type="list" allowBlank="1" showDropDown="1" showErrorMessage="1" sqref="I4:I22">
      <formula1>"-,DP,Lunas"</formula1>
    </dataValidation>
    <dataValidation type="list" allowBlank="1" sqref="L34:P39">
      <formula1>"1,2,3,4,5"</formula1>
    </dataValidation>
    <dataValidation type="list" allowBlank="1" showDropDown="1" showErrorMessage="1" sqref="D22">
      <formula1>"-,Single,Couple A,Couple B,Group A,Group B,Group C,Large Group,Graduation,Graduation Premium,Family A,Family B,Maternity,Concept,Studio Rent,Pas Foto,Single,Add Person,Add Edit,Add Cetak 10R,Photofox"</formula1>
    </dataValidation>
    <dataValidation type="list" allowBlank="1" showDropDown="1" showErrorMessage="1" sqref="L4:L21">
      <formula1>"-,JIJANG,AXEL,PENTIL,FAHME,INDAH"</formula1>
    </dataValidation>
    <dataValidation type="list" allowBlank="1" showErrorMessage="1" sqref="N4:N22">
      <formula1>"-,Pending,Progress,Uploaded"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Person,Add Edit,Frame,Photofox"</formula1>
    </dataValidation>
    <dataValidation type="list" allowBlank="1" showErrorMessage="1" sqref="O4:O22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206</v>
      </c>
      <c r="D4" s="17" t="s">
        <v>22</v>
      </c>
      <c r="E4" s="18"/>
      <c r="F4" s="19" t="s">
        <v>208</v>
      </c>
      <c r="G4" s="20"/>
      <c r="H4" s="22">
        <v>100000.0</v>
      </c>
      <c r="I4" s="14" t="s">
        <v>28</v>
      </c>
      <c r="J4" s="23"/>
      <c r="K4" s="23"/>
      <c r="L4" s="14" t="s">
        <v>29</v>
      </c>
      <c r="M4" s="23"/>
      <c r="N4" s="24"/>
      <c r="O4" s="24"/>
      <c r="P4" s="25"/>
      <c r="Q4" s="1"/>
      <c r="R4" s="1"/>
    </row>
    <row r="5" ht="15.75" customHeight="1">
      <c r="A5" s="1"/>
      <c r="B5" s="15">
        <v>2.0</v>
      </c>
      <c r="C5" s="16" t="s">
        <v>212</v>
      </c>
      <c r="D5" s="17" t="s">
        <v>22</v>
      </c>
      <c r="E5" s="18"/>
      <c r="F5" s="19">
        <v>46267.0</v>
      </c>
      <c r="G5" s="20"/>
      <c r="H5" s="22">
        <v>100000.0</v>
      </c>
      <c r="I5" s="14" t="s">
        <v>28</v>
      </c>
      <c r="J5" s="23"/>
      <c r="K5" s="23"/>
      <c r="L5" s="14" t="s">
        <v>29</v>
      </c>
      <c r="M5" s="23"/>
      <c r="N5" s="29"/>
      <c r="O5" s="29"/>
      <c r="P5" s="29"/>
      <c r="Q5" s="1"/>
      <c r="R5" s="1"/>
    </row>
    <row r="6" ht="15.75" customHeight="1">
      <c r="A6" s="1"/>
      <c r="B6" s="15">
        <v>3.0</v>
      </c>
      <c r="C6" s="16" t="s">
        <v>214</v>
      </c>
      <c r="D6" s="17" t="s">
        <v>23</v>
      </c>
      <c r="E6" s="18"/>
      <c r="F6" s="21" t="s">
        <v>172</v>
      </c>
      <c r="G6" s="20"/>
      <c r="H6" s="22">
        <v>100000.0</v>
      </c>
      <c r="I6" s="14" t="s">
        <v>28</v>
      </c>
      <c r="J6" s="23"/>
      <c r="K6" s="23"/>
      <c r="L6" s="89" t="s">
        <v>29</v>
      </c>
      <c r="M6" s="23"/>
      <c r="N6" s="29"/>
      <c r="O6" s="29"/>
      <c r="P6" s="29"/>
      <c r="Q6" s="1"/>
      <c r="R6" s="1"/>
    </row>
    <row r="7" ht="15.75" customHeight="1">
      <c r="A7" s="1"/>
      <c r="B7" s="15">
        <v>4.0</v>
      </c>
      <c r="C7" s="16" t="s">
        <v>216</v>
      </c>
      <c r="D7" s="17" t="s">
        <v>159</v>
      </c>
      <c r="E7" s="36">
        <v>2.0</v>
      </c>
      <c r="F7" s="21" t="s">
        <v>172</v>
      </c>
      <c r="G7" s="20"/>
      <c r="H7" s="22">
        <v>450000.0</v>
      </c>
      <c r="I7" s="14" t="s">
        <v>35</v>
      </c>
      <c r="J7" s="23"/>
      <c r="K7" s="23"/>
      <c r="L7" s="14" t="s">
        <v>29</v>
      </c>
      <c r="M7" s="23"/>
      <c r="N7" s="29"/>
      <c r="O7" s="29"/>
      <c r="P7" s="29"/>
      <c r="Q7" s="1"/>
      <c r="R7" s="1"/>
    </row>
    <row r="8" ht="15.75" customHeight="1">
      <c r="A8" s="1"/>
      <c r="B8" s="15">
        <v>5.0</v>
      </c>
      <c r="C8" s="16" t="s">
        <v>218</v>
      </c>
      <c r="D8" s="17" t="s">
        <v>23</v>
      </c>
      <c r="E8" s="18"/>
      <c r="F8" s="21" t="s">
        <v>172</v>
      </c>
      <c r="G8" s="20"/>
      <c r="H8" s="22">
        <v>300000.0</v>
      </c>
      <c r="I8" s="14" t="s">
        <v>35</v>
      </c>
      <c r="J8" s="14" t="s">
        <v>36</v>
      </c>
      <c r="K8" s="14" t="s">
        <v>36</v>
      </c>
      <c r="L8" s="14" t="s">
        <v>29</v>
      </c>
      <c r="M8" s="14" t="s">
        <v>47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16" t="s">
        <v>214</v>
      </c>
      <c r="D9" s="17" t="s">
        <v>23</v>
      </c>
      <c r="E9" s="18"/>
      <c r="F9" s="21" t="s">
        <v>172</v>
      </c>
      <c r="G9" s="20"/>
      <c r="H9" s="22">
        <v>350000.0</v>
      </c>
      <c r="I9" s="14" t="s">
        <v>35</v>
      </c>
      <c r="J9" s="14" t="s">
        <v>36</v>
      </c>
      <c r="K9" s="14" t="s">
        <v>36</v>
      </c>
      <c r="L9" s="14" t="s">
        <v>29</v>
      </c>
      <c r="M9" s="14" t="s">
        <v>47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16" t="s">
        <v>136</v>
      </c>
      <c r="D10" s="17" t="s">
        <v>23</v>
      </c>
      <c r="E10" s="18"/>
      <c r="F10" s="30" t="s">
        <v>172</v>
      </c>
      <c r="G10" s="20"/>
      <c r="H10" s="22">
        <v>200000.0</v>
      </c>
      <c r="I10" s="14" t="s">
        <v>35</v>
      </c>
      <c r="J10" s="14" t="s">
        <v>36</v>
      </c>
      <c r="K10" s="14" t="s">
        <v>36</v>
      </c>
      <c r="L10" s="14" t="s">
        <v>29</v>
      </c>
      <c r="M10" s="14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6" t="s">
        <v>220</v>
      </c>
      <c r="D11" s="17" t="s">
        <v>23</v>
      </c>
      <c r="E11" s="18"/>
      <c r="F11" s="30" t="s">
        <v>172</v>
      </c>
      <c r="G11" s="27">
        <v>200000.0</v>
      </c>
      <c r="H11" s="28"/>
      <c r="I11" s="14" t="s">
        <v>35</v>
      </c>
      <c r="J11" s="14" t="s">
        <v>36</v>
      </c>
      <c r="K11" s="14" t="s">
        <v>36</v>
      </c>
      <c r="L11" s="14" t="s">
        <v>29</v>
      </c>
      <c r="M11" s="14" t="s">
        <v>37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16" t="s">
        <v>222</v>
      </c>
      <c r="D12" s="17" t="s">
        <v>22</v>
      </c>
      <c r="E12" s="18"/>
      <c r="F12" s="30" t="s">
        <v>223</v>
      </c>
      <c r="G12" s="20"/>
      <c r="H12" s="22">
        <v>100000.0</v>
      </c>
      <c r="I12" s="14" t="s">
        <v>28</v>
      </c>
      <c r="J12" s="23"/>
      <c r="K12" s="23"/>
      <c r="L12" s="14" t="s">
        <v>29</v>
      </c>
      <c r="M12" s="23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16" t="s">
        <v>225</v>
      </c>
      <c r="D13" s="17" t="s">
        <v>23</v>
      </c>
      <c r="E13" s="18"/>
      <c r="F13" s="30" t="s">
        <v>226</v>
      </c>
      <c r="G13" s="20"/>
      <c r="H13" s="22">
        <v>100000.0</v>
      </c>
      <c r="I13" s="14" t="s">
        <v>28</v>
      </c>
      <c r="J13" s="23"/>
      <c r="K13" s="23"/>
      <c r="L13" s="14" t="s">
        <v>29</v>
      </c>
      <c r="M13" s="23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6" t="s">
        <v>228</v>
      </c>
      <c r="D14" s="17" t="s">
        <v>22</v>
      </c>
      <c r="E14" s="18"/>
      <c r="F14" s="30" t="s">
        <v>229</v>
      </c>
      <c r="G14" s="20"/>
      <c r="H14" s="22">
        <v>100000.0</v>
      </c>
      <c r="I14" s="14" t="s">
        <v>28</v>
      </c>
      <c r="J14" s="23"/>
      <c r="K14" s="23"/>
      <c r="L14" s="14" t="s">
        <v>29</v>
      </c>
      <c r="M14" s="23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16" t="s">
        <v>230</v>
      </c>
      <c r="D15" s="17" t="s">
        <v>22</v>
      </c>
      <c r="E15" s="18"/>
      <c r="F15" s="21">
        <v>46284.0</v>
      </c>
      <c r="G15" s="20"/>
      <c r="H15" s="22">
        <v>100000.0</v>
      </c>
      <c r="I15" s="14" t="s">
        <v>28</v>
      </c>
      <c r="J15" s="23"/>
      <c r="K15" s="23"/>
      <c r="L15" s="14" t="s">
        <v>29</v>
      </c>
      <c r="M15" s="23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16" t="s">
        <v>231</v>
      </c>
      <c r="D16" s="17" t="s">
        <v>23</v>
      </c>
      <c r="E16" s="18"/>
      <c r="F16" s="14" t="s">
        <v>232</v>
      </c>
      <c r="G16" s="20"/>
      <c r="H16" s="22">
        <v>100000.0</v>
      </c>
      <c r="I16" s="14" t="s">
        <v>28</v>
      </c>
      <c r="J16" s="23"/>
      <c r="K16" s="23"/>
      <c r="L16" s="14" t="s">
        <v>29</v>
      </c>
      <c r="M16" s="23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16" t="s">
        <v>233</v>
      </c>
      <c r="D17" s="17" t="s">
        <v>22</v>
      </c>
      <c r="E17" s="18"/>
      <c r="F17" s="21">
        <v>46266.0</v>
      </c>
      <c r="G17" s="20"/>
      <c r="H17" s="22">
        <v>100000.0</v>
      </c>
      <c r="I17" s="14" t="s">
        <v>28</v>
      </c>
      <c r="J17" s="23"/>
      <c r="K17" s="23"/>
      <c r="L17" s="14" t="s">
        <v>29</v>
      </c>
      <c r="M17" s="23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16" t="s">
        <v>234</v>
      </c>
      <c r="D18" s="17" t="s">
        <v>22</v>
      </c>
      <c r="E18" s="18"/>
      <c r="F18" s="21">
        <v>46284.0</v>
      </c>
      <c r="G18" s="20"/>
      <c r="H18" s="22">
        <v>100000.0</v>
      </c>
      <c r="I18" s="14" t="s">
        <v>28</v>
      </c>
      <c r="J18" s="23"/>
      <c r="K18" s="23"/>
      <c r="L18" s="14" t="s">
        <v>29</v>
      </c>
      <c r="M18" s="23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16" t="s">
        <v>185</v>
      </c>
      <c r="D19" s="17" t="s">
        <v>23</v>
      </c>
      <c r="E19" s="18"/>
      <c r="F19" s="21">
        <v>46284.0</v>
      </c>
      <c r="G19" s="20"/>
      <c r="H19" s="22">
        <v>200000.0</v>
      </c>
      <c r="I19" s="14" t="s">
        <v>35</v>
      </c>
      <c r="J19" s="14" t="s">
        <v>36</v>
      </c>
      <c r="K19" s="14" t="s">
        <v>36</v>
      </c>
      <c r="L19" s="14" t="s">
        <v>29</v>
      </c>
      <c r="M19" s="14" t="s">
        <v>37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16" t="s">
        <v>235</v>
      </c>
      <c r="D20" s="17" t="s">
        <v>39</v>
      </c>
      <c r="E20" s="18"/>
      <c r="F20" s="14" t="s">
        <v>236</v>
      </c>
      <c r="G20" s="20"/>
      <c r="H20" s="22">
        <v>100000.0</v>
      </c>
      <c r="I20" s="14" t="s">
        <v>28</v>
      </c>
      <c r="J20" s="23"/>
      <c r="K20" s="23"/>
      <c r="L20" s="14" t="s">
        <v>29</v>
      </c>
      <c r="M20" s="23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16" t="s">
        <v>171</v>
      </c>
      <c r="D21" s="17" t="s">
        <v>23</v>
      </c>
      <c r="E21" s="18"/>
      <c r="F21" s="14" t="s">
        <v>172</v>
      </c>
      <c r="G21" s="20"/>
      <c r="H21" s="22">
        <v>300000.0</v>
      </c>
      <c r="I21" s="14" t="s">
        <v>35</v>
      </c>
      <c r="J21" s="14" t="s">
        <v>36</v>
      </c>
      <c r="K21" s="14" t="s">
        <v>36</v>
      </c>
      <c r="L21" s="14" t="s">
        <v>29</v>
      </c>
      <c r="M21" s="14" t="s">
        <v>37</v>
      </c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32"/>
      <c r="D22" s="16"/>
      <c r="E22" s="14"/>
      <c r="F22" s="15"/>
      <c r="G22" s="34"/>
      <c r="H22" s="35"/>
      <c r="I22" s="15"/>
      <c r="J22" s="15"/>
      <c r="K22" s="15"/>
      <c r="L22" s="15"/>
      <c r="M22" s="15"/>
      <c r="N22" s="41"/>
      <c r="O22" s="41"/>
      <c r="P22" s="41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42">
        <f t="shared" ref="G23:H23" si="1">SUM(G4:G22)</f>
        <v>200000</v>
      </c>
      <c r="H23" s="43">
        <f t="shared" si="1"/>
        <v>2900000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5.75" customHeight="1">
      <c r="A26" s="1"/>
      <c r="B26" s="44" t="s">
        <v>0</v>
      </c>
      <c r="C26" s="45" t="s">
        <v>6</v>
      </c>
      <c r="D26" s="45" t="s">
        <v>88</v>
      </c>
      <c r="E26" s="1"/>
      <c r="F26" s="1"/>
      <c r="G26" s="1"/>
      <c r="H26" s="1"/>
      <c r="I26" s="1"/>
      <c r="J26" s="1"/>
      <c r="K26" s="1"/>
      <c r="L26" s="1"/>
      <c r="M26" s="1"/>
      <c r="N26" s="45" t="s">
        <v>89</v>
      </c>
      <c r="O26" s="45" t="s">
        <v>1</v>
      </c>
      <c r="P26" s="1"/>
      <c r="Q26" s="1"/>
      <c r="R26" s="1"/>
    </row>
    <row r="27" ht="15.75" customHeight="1">
      <c r="A27" s="1"/>
      <c r="B27" s="46">
        <v>1.0</v>
      </c>
      <c r="C27" s="47" t="s">
        <v>90</v>
      </c>
      <c r="D27" s="48">
        <f>SUM(G23)</f>
        <v>200000</v>
      </c>
      <c r="E27" s="49"/>
      <c r="F27" s="1"/>
      <c r="G27" s="1"/>
      <c r="H27" s="1"/>
      <c r="I27" s="1"/>
      <c r="J27" s="1"/>
      <c r="K27" s="1"/>
      <c r="L27" s="1"/>
      <c r="M27" s="1"/>
      <c r="N27" s="50" t="s">
        <v>91</v>
      </c>
      <c r="O27" s="24" t="s">
        <v>29</v>
      </c>
      <c r="P27" s="1"/>
      <c r="Q27" s="1"/>
      <c r="R27" s="1"/>
    </row>
    <row r="28" ht="15.75" customHeight="1">
      <c r="A28" s="1"/>
      <c r="B28" s="51">
        <v>2.0</v>
      </c>
      <c r="C28" s="53" t="s">
        <v>101</v>
      </c>
      <c r="D28" s="55">
        <v>-100000.0</v>
      </c>
      <c r="E28" s="49"/>
      <c r="F28" s="1"/>
      <c r="G28" s="1"/>
      <c r="H28" s="1"/>
      <c r="I28" s="1"/>
      <c r="J28" s="1"/>
      <c r="K28" s="1"/>
      <c r="L28" s="1"/>
      <c r="M28" s="1"/>
      <c r="N28" s="56" t="s">
        <v>93</v>
      </c>
      <c r="O28" s="41" t="s">
        <v>29</v>
      </c>
      <c r="P28" s="1"/>
      <c r="Q28" s="1"/>
      <c r="R28" s="1"/>
    </row>
    <row r="29" ht="15.75" customHeight="1">
      <c r="A29" s="1"/>
      <c r="B29" s="46">
        <v>3.0</v>
      </c>
      <c r="C29" s="57" t="s">
        <v>99</v>
      </c>
      <c r="D29" s="58">
        <v>-100000.0</v>
      </c>
      <c r="E29" s="49"/>
      <c r="F29" s="1"/>
      <c r="G29" s="1"/>
      <c r="H29" s="1"/>
      <c r="I29" s="1"/>
      <c r="J29" s="1"/>
      <c r="K29" s="1"/>
      <c r="L29" s="1"/>
      <c r="M29" s="1"/>
      <c r="N29" s="59" t="s">
        <v>95</v>
      </c>
      <c r="O29" s="29" t="s">
        <v>47</v>
      </c>
      <c r="P29" s="1"/>
      <c r="Q29" s="1"/>
      <c r="R29" s="1"/>
    </row>
    <row r="30" ht="15.75" customHeight="1">
      <c r="A30" s="1"/>
      <c r="B30" s="51">
        <v>4.0</v>
      </c>
      <c r="C30" s="52"/>
      <c r="D30" s="54"/>
      <c r="E30" s="49"/>
      <c r="F30" s="1"/>
      <c r="G30" s="1"/>
      <c r="H30" s="1"/>
      <c r="I30" s="1"/>
      <c r="J30" s="1"/>
      <c r="K30" s="1"/>
      <c r="L30" s="1"/>
      <c r="M30" s="1"/>
      <c r="N30" s="60" t="s">
        <v>98</v>
      </c>
      <c r="O30" s="41" t="s">
        <v>37</v>
      </c>
      <c r="P30" s="1"/>
      <c r="Q30" s="1"/>
      <c r="R30" s="1"/>
    </row>
    <row r="31" ht="15.75" customHeight="1">
      <c r="A31" s="1"/>
      <c r="B31" s="46">
        <v>5.0</v>
      </c>
      <c r="C31" s="47"/>
      <c r="D31" s="48"/>
      <c r="E31" s="49"/>
      <c r="F31" s="1"/>
      <c r="G31" s="1"/>
      <c r="H31" s="1"/>
      <c r="I31" s="1"/>
      <c r="J31" s="1"/>
      <c r="K31" s="1"/>
      <c r="L31" s="1"/>
      <c r="M31" s="1"/>
      <c r="N31" s="61"/>
      <c r="O31" s="1"/>
      <c r="P31" s="1"/>
      <c r="Q31" s="1"/>
      <c r="R31" s="1"/>
    </row>
    <row r="32" ht="15.75" customHeight="1">
      <c r="A32" s="1"/>
      <c r="B32" s="51">
        <v>6.0</v>
      </c>
      <c r="C32" s="52"/>
      <c r="D32" s="54"/>
      <c r="E32" s="49"/>
      <c r="F32" s="1"/>
      <c r="G32" s="1"/>
      <c r="H32" s="1"/>
      <c r="I32" s="1"/>
      <c r="J32" s="1"/>
      <c r="K32" s="62" t="s">
        <v>100</v>
      </c>
      <c r="Q32" s="1"/>
      <c r="R32" s="1"/>
    </row>
    <row r="33" ht="15.75" customHeight="1">
      <c r="A33" s="1"/>
      <c r="B33" s="46">
        <v>7.0</v>
      </c>
      <c r="C33" s="47"/>
      <c r="D33" s="48"/>
      <c r="E33" s="49"/>
      <c r="F33" s="1"/>
      <c r="G33" s="1"/>
      <c r="H33" s="1"/>
      <c r="I33" s="1"/>
      <c r="J33" s="1"/>
      <c r="K33" s="63" t="s">
        <v>1</v>
      </c>
      <c r="L33" s="63" t="s">
        <v>102</v>
      </c>
      <c r="M33" s="63" t="s">
        <v>103</v>
      </c>
      <c r="N33" s="63" t="s">
        <v>104</v>
      </c>
      <c r="O33" s="63" t="s">
        <v>105</v>
      </c>
      <c r="P33" s="63" t="s">
        <v>106</v>
      </c>
      <c r="Q33" s="1"/>
      <c r="R33" s="1"/>
      <c r="AC33" s="65" t="s">
        <v>107</v>
      </c>
      <c r="AD33" s="65" t="s">
        <v>108</v>
      </c>
      <c r="AE33" s="65" t="s">
        <v>109</v>
      </c>
      <c r="AF33" s="65" t="s">
        <v>110</v>
      </c>
      <c r="AG33" s="66" t="s">
        <v>111</v>
      </c>
    </row>
    <row r="34" ht="15.75" customHeight="1">
      <c r="A34" s="1"/>
      <c r="B34" s="51">
        <v>8.0</v>
      </c>
      <c r="C34" s="52"/>
      <c r="D34" s="54"/>
      <c r="E34" s="49"/>
      <c r="F34" s="1"/>
      <c r="G34" s="1"/>
      <c r="H34" s="1"/>
      <c r="I34" s="1"/>
      <c r="J34" s="1"/>
      <c r="K34" s="67" t="str">
        <f t="shared" ref="K34:K37" si="2">IF(O27="","",O27)</f>
        <v>AMEL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ref="AC34:AC39" si="3">IF(AG34="","",IF(COUNT(L34:P34)&lt;5,"",L34/5*20+M34/5*25+N34/5*25+O34/5*15+P34/5*15))</f>
        <v>100</v>
      </c>
      <c r="AD34" s="65" t="str">
        <f t="shared" ref="AD34:AD39" si="4">IF(AC34="","",IF(AC34&gt;=90,"Sangat Baik",IF(AC34&gt;=80,"Baik",IF(AC34&gt;=70,"Coaching","Underperform"))))</f>
        <v>Sangat Baik</v>
      </c>
      <c r="AE34" s="65" t="str">
        <f t="shared" ref="AE34:AE39" si="5">IF(AG34="","",IF(OR(AG34="INDAH",AG34="ADDEL",AG34="AMEL",AG34="PENTIL",AG34="JIJANG"),"Admin/CS","Fotografer"))</f>
        <v>Admin/CS</v>
      </c>
      <c r="AF34" s="65">
        <f t="shared" ref="AF34:AF39" si="6">IF(OR(AG34="",COUNT(L34:P34)&lt;5),"",1)</f>
        <v>1</v>
      </c>
      <c r="AG34" s="66" t="str">
        <f t="shared" ref="AG34:AG39" si="7">IFERROR(K34,"")</f>
        <v>AMEL</v>
      </c>
    </row>
    <row r="35" ht="15.75" customHeight="1">
      <c r="A35" s="1"/>
      <c r="B35" s="46">
        <v>9.0</v>
      </c>
      <c r="C35" s="47"/>
      <c r="D35" s="48"/>
      <c r="E35" s="49"/>
      <c r="F35" s="1"/>
      <c r="G35" s="1"/>
      <c r="H35" s="1"/>
      <c r="I35" s="1"/>
      <c r="J35" s="1"/>
      <c r="K35" s="67" t="str">
        <f t="shared" si="2"/>
        <v>AMEL</v>
      </c>
      <c r="L35" s="68">
        <v>5.0</v>
      </c>
      <c r="M35" s="68">
        <v>5.0</v>
      </c>
      <c r="N35" s="68">
        <v>5.0</v>
      </c>
      <c r="O35" s="68">
        <v>5.0</v>
      </c>
      <c r="P35" s="68">
        <v>5.0</v>
      </c>
      <c r="Q35" s="1"/>
      <c r="R35" s="1"/>
      <c r="AC35" s="65">
        <f t="shared" si="3"/>
        <v>100</v>
      </c>
      <c r="AD35" s="65" t="str">
        <f t="shared" si="4"/>
        <v>Sangat Baik</v>
      </c>
      <c r="AE35" s="65" t="str">
        <f t="shared" si="5"/>
        <v>Admin/CS</v>
      </c>
      <c r="AF35" s="65">
        <f t="shared" si="6"/>
        <v>1</v>
      </c>
      <c r="AG35" s="66" t="str">
        <f t="shared" si="7"/>
        <v>AMEL</v>
      </c>
    </row>
    <row r="36" ht="15.75" customHeight="1">
      <c r="A36" s="1"/>
      <c r="B36" s="51">
        <v>10.0</v>
      </c>
      <c r="C36" s="52"/>
      <c r="D36" s="54"/>
      <c r="E36" s="49"/>
      <c r="F36" s="1"/>
      <c r="G36" s="1"/>
      <c r="H36" s="1"/>
      <c r="I36" s="1"/>
      <c r="J36" s="1"/>
      <c r="K36" s="67" t="str">
        <f t="shared" si="2"/>
        <v>SAKA</v>
      </c>
      <c r="L36" s="68">
        <v>5.0</v>
      </c>
      <c r="M36" s="68">
        <v>5.0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si="3"/>
        <v>100</v>
      </c>
      <c r="AD36" s="65" t="str">
        <f t="shared" si="4"/>
        <v>Sangat Baik</v>
      </c>
      <c r="AE36" s="65" t="str">
        <f t="shared" si="5"/>
        <v>Fotografer</v>
      </c>
      <c r="AF36" s="65">
        <f t="shared" si="6"/>
        <v>1</v>
      </c>
      <c r="AG36" s="66" t="str">
        <f t="shared" si="7"/>
        <v>SAKA</v>
      </c>
    </row>
    <row r="37" ht="15.75" customHeight="1">
      <c r="A37" s="1"/>
      <c r="B37" s="69">
        <v>11.0</v>
      </c>
      <c r="C37" s="70"/>
      <c r="D37" s="71"/>
      <c r="E37" s="49"/>
      <c r="F37" s="1"/>
      <c r="G37" s="1"/>
      <c r="H37" s="1"/>
      <c r="I37" s="1"/>
      <c r="J37" s="1"/>
      <c r="K37" s="67" t="str">
        <f t="shared" si="2"/>
        <v>ADIF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si="3"/>
        <v>100</v>
      </c>
      <c r="AD37" s="65" t="str">
        <f t="shared" si="4"/>
        <v>Sangat Baik</v>
      </c>
      <c r="AE37" s="65" t="str">
        <f t="shared" si="5"/>
        <v>Fotografer</v>
      </c>
      <c r="AF37" s="65">
        <f t="shared" si="6"/>
        <v>1</v>
      </c>
      <c r="AG37" s="66" t="str">
        <f t="shared" si="7"/>
        <v>ADIF</v>
      </c>
    </row>
    <row r="38" ht="15.75" customHeight="1">
      <c r="A38" s="1"/>
      <c r="B38" s="1"/>
      <c r="C38" s="2"/>
      <c r="D38" s="72">
        <f>SUM(D27:D37)</f>
        <v>0</v>
      </c>
      <c r="E38" s="1"/>
      <c r="F38" s="1"/>
      <c r="G38" s="1"/>
      <c r="H38" s="1"/>
      <c r="I38" s="1"/>
      <c r="J38" s="1"/>
      <c r="K38" s="67"/>
      <c r="L38" s="73"/>
      <c r="M38" s="73"/>
      <c r="N38" s="73"/>
      <c r="O38" s="73"/>
      <c r="P38" s="73"/>
      <c r="Q38" s="1"/>
      <c r="R38" s="1"/>
      <c r="AC38" s="65" t="str">
        <f t="shared" si="3"/>
        <v/>
      </c>
      <c r="AD38" s="65" t="str">
        <f t="shared" si="4"/>
        <v/>
      </c>
      <c r="AE38" s="65" t="str">
        <f t="shared" si="5"/>
        <v/>
      </c>
      <c r="AF38" s="65" t="str">
        <f t="shared" si="6"/>
        <v/>
      </c>
      <c r="AG38" s="66" t="str">
        <f t="shared" si="7"/>
        <v/>
      </c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67"/>
      <c r="L39" s="73"/>
      <c r="M39" s="73"/>
      <c r="N39" s="73"/>
      <c r="O39" s="73"/>
      <c r="P39" s="73"/>
      <c r="Q39" s="1"/>
      <c r="R39" s="1"/>
      <c r="AC39" s="65" t="str">
        <f t="shared" si="3"/>
        <v/>
      </c>
      <c r="AD39" s="65" t="str">
        <f t="shared" si="4"/>
        <v/>
      </c>
      <c r="AE39" s="65" t="str">
        <f t="shared" si="5"/>
        <v/>
      </c>
      <c r="AF39" s="65" t="str">
        <f t="shared" si="6"/>
        <v/>
      </c>
      <c r="AG39" s="66" t="str">
        <f t="shared" si="7"/>
        <v/>
      </c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74" t="s">
        <v>112</v>
      </c>
      <c r="Q40" s="1"/>
      <c r="R40" s="1"/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75" t="s">
        <v>113</v>
      </c>
      <c r="N42" s="1"/>
      <c r="O42" s="1"/>
      <c r="P42" s="1"/>
      <c r="Q42" s="1"/>
      <c r="R42" s="1"/>
    </row>
    <row r="43" ht="15.75" customHeight="1">
      <c r="K43" s="76" t="s">
        <v>7</v>
      </c>
      <c r="L43" s="76" t="s">
        <v>114</v>
      </c>
      <c r="M43" s="76" t="s">
        <v>115</v>
      </c>
    </row>
    <row r="44" ht="15.75" customHeight="1">
      <c r="K44" s="77" t="str">
        <f t="shared" ref="K44:K45" si="8">IF(O27="","",O27)</f>
        <v>AMEL</v>
      </c>
      <c r="L44" s="78">
        <v>11.0</v>
      </c>
      <c r="M44" s="78"/>
    </row>
    <row r="45" ht="15.75" customHeight="1">
      <c r="K45" s="77" t="str">
        <f t="shared" si="8"/>
        <v>AMEL</v>
      </c>
      <c r="L45" s="78"/>
      <c r="M45" s="78"/>
    </row>
    <row r="46" ht="15.75" customHeight="1"/>
    <row r="47" ht="19.5" customHeight="1">
      <c r="K47" s="79" t="s">
        <v>118</v>
      </c>
    </row>
    <row r="48" ht="19.5" customHeight="1">
      <c r="K48" s="80" t="s">
        <v>119</v>
      </c>
      <c r="M48" s="81">
        <v>19.0</v>
      </c>
    </row>
    <row r="49" ht="19.5" customHeight="1">
      <c r="K49" s="82" t="s">
        <v>120</v>
      </c>
      <c r="M49" s="83">
        <f>COUNTIF($I$4:$I$25,"DP")</f>
        <v>11</v>
      </c>
    </row>
    <row r="50" ht="19.5" customHeight="1">
      <c r="K50" s="82" t="s">
        <v>121</v>
      </c>
      <c r="M50" s="83">
        <f>COUNTIFS($I$4:$I$25,"&lt;&gt;DP",$I$4:$I$25,"&lt;&gt;")</f>
        <v>7</v>
      </c>
    </row>
    <row r="51" ht="19.5" customHeight="1">
      <c r="K51" s="84" t="s">
        <v>122</v>
      </c>
      <c r="M51" s="83">
        <f>M49+M50</f>
        <v>18</v>
      </c>
    </row>
    <row r="52" ht="19.5" customHeight="1">
      <c r="K52" s="80" t="s">
        <v>123</v>
      </c>
      <c r="M52" s="85">
        <f>IF(OR(M48="",M48=0),"",M49/M48)</f>
        <v>0.5789473684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8:L48"/>
    <mergeCell ref="K49:L49"/>
    <mergeCell ref="K50:L50"/>
    <mergeCell ref="K51:L51"/>
    <mergeCell ref="K52:L52"/>
    <mergeCell ref="L2:L3"/>
    <mergeCell ref="M2:M3"/>
    <mergeCell ref="N2:P2"/>
    <mergeCell ref="K32:P32"/>
    <mergeCell ref="K40:P40"/>
    <mergeCell ref="K42:M42"/>
    <mergeCell ref="K47:M47"/>
  </mergeCells>
  <conditionalFormatting sqref="I4:I25">
    <cfRule type="expression" dxfId="0" priority="1">
      <formula>I4="DP"</formula>
    </cfRule>
  </conditionalFormatting>
  <conditionalFormatting sqref="I4:I25">
    <cfRule type="expression" dxfId="1" priority="2">
      <formula>I4="Lunas"</formula>
    </cfRule>
  </conditionalFormatting>
  <conditionalFormatting sqref="J4:K25">
    <cfRule type="expression" dxfId="2" priority="3">
      <formula>OR(J4="Uploaded",J4="Delivered")</formula>
    </cfRule>
  </conditionalFormatting>
  <dataValidations>
    <dataValidation type="list" allowBlank="1" showDropDown="1" showErrorMessage="1" sqref="J4:K22">
      <formula1>"-,Pending,Uploaded"</formula1>
    </dataValidation>
    <dataValidation type="list" allowBlank="1" sqref="K34:K39">
      <formula1>'Resume Karyawan KPI'!$AK$5:$AK$15</formula1>
    </dataValidation>
    <dataValidation type="list" allowBlank="1" showDropDown="1" showErrorMessage="1" sqref="M4:M21">
      <formula1>"-,VERO,FADEL,PENTIL,FAHME,SAKA,ADIF"</formula1>
    </dataValidation>
    <dataValidation type="list" allowBlank="1" sqref="O27:O30">
      <formula1>"INDAH,ADDEL,AMEL,PENTIL,JIJANG,HANIF,FAHME,ADIF,ABROR,FADEL,SAKA"</formula1>
    </dataValidation>
    <dataValidation type="list" allowBlank="1" showDropDown="1" showErrorMessage="1" sqref="I4:I22">
      <formula1>"-,DP,Lunas"</formula1>
    </dataValidation>
    <dataValidation type="list" allowBlank="1" sqref="L34:P39">
      <formula1>"1,2,3,4,5"</formula1>
    </dataValidation>
    <dataValidation type="list" allowBlank="1" showDropDown="1" showErrorMessage="1" sqref="D22">
      <formula1>"-,Single,Couple A,Couple B,Group A,Group B,Group C,Large Group,Graduation,Graduation Premium,Family A,Family B,Maternity,Concept,Studio Rent,Pas Foto,Single,Add Person,Add Edit,Add Cetak"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M22">
      <formula1>"-,VERO,FADEL,PENTIL,FAHME,HANIF"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Person,Add Edit"</formula1>
    </dataValidation>
    <dataValidation type="list" allowBlank="1" showDropDown="1" showErrorMessage="1" sqref="L4:L5 L7:L21">
      <formula1>"-,JIJANG,AXEL,PENTIL,FAHME,INDAH,AMEL"</formula1>
    </dataValidation>
    <dataValidation type="list" allowBlank="1" showDropDown="1" showErrorMessage="1" sqref="L6 L22">
      <formula1>"-,JIJANG,AXEL,PENTIL,FAHME,ADDEL,INDAH"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16" t="s">
        <v>136</v>
      </c>
      <c r="D4" s="17" t="s">
        <v>24</v>
      </c>
      <c r="E4" s="18"/>
      <c r="F4" s="21">
        <v>46247.0</v>
      </c>
      <c r="G4" s="20"/>
      <c r="H4" s="22">
        <v>100000.0</v>
      </c>
      <c r="I4" s="14" t="s">
        <v>28</v>
      </c>
      <c r="J4" s="23"/>
      <c r="K4" s="23"/>
      <c r="L4" s="14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32" t="s">
        <v>225</v>
      </c>
      <c r="D5" s="16" t="s">
        <v>23</v>
      </c>
      <c r="E5" s="14"/>
      <c r="F5" s="91">
        <v>46247.0</v>
      </c>
      <c r="G5" s="34"/>
      <c r="H5" s="35">
        <v>275000.0</v>
      </c>
      <c r="I5" s="15" t="s">
        <v>35</v>
      </c>
      <c r="J5" s="15" t="s">
        <v>36</v>
      </c>
      <c r="K5" s="15" t="s">
        <v>36</v>
      </c>
      <c r="L5" s="15" t="s">
        <v>30</v>
      </c>
      <c r="M5" s="15" t="s">
        <v>37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32" t="s">
        <v>238</v>
      </c>
      <c r="D6" s="16" t="s">
        <v>24</v>
      </c>
      <c r="E6" s="14"/>
      <c r="F6" s="40">
        <v>46247.0</v>
      </c>
      <c r="G6" s="34"/>
      <c r="H6" s="35">
        <v>100000.0</v>
      </c>
      <c r="I6" s="15" t="s">
        <v>28</v>
      </c>
      <c r="J6" s="15"/>
      <c r="K6" s="15"/>
      <c r="L6" s="15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32" t="s">
        <v>239</v>
      </c>
      <c r="D7" s="16" t="s">
        <v>23</v>
      </c>
      <c r="E7" s="14"/>
      <c r="F7" s="40">
        <v>46247.0</v>
      </c>
      <c r="G7" s="34"/>
      <c r="H7" s="35">
        <v>150000.0</v>
      </c>
      <c r="I7" s="15" t="s">
        <v>35</v>
      </c>
      <c r="J7" s="15" t="s">
        <v>36</v>
      </c>
      <c r="K7" s="15" t="s">
        <v>36</v>
      </c>
      <c r="L7" s="15" t="s">
        <v>30</v>
      </c>
      <c r="M7" s="15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32" t="s">
        <v>240</v>
      </c>
      <c r="D8" s="16" t="s">
        <v>60</v>
      </c>
      <c r="E8" s="14"/>
      <c r="F8" s="40">
        <v>46247.0</v>
      </c>
      <c r="G8" s="34"/>
      <c r="H8" s="35">
        <v>100000.0</v>
      </c>
      <c r="I8" s="15" t="s">
        <v>35</v>
      </c>
      <c r="J8" s="15"/>
      <c r="K8" s="15"/>
      <c r="L8" s="15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32" t="s">
        <v>238</v>
      </c>
      <c r="D9" s="16" t="s">
        <v>24</v>
      </c>
      <c r="E9" s="14"/>
      <c r="F9" s="40">
        <v>46247.0</v>
      </c>
      <c r="G9" s="34"/>
      <c r="H9" s="35">
        <v>250000.0</v>
      </c>
      <c r="I9" s="15" t="s">
        <v>35</v>
      </c>
      <c r="J9" s="15" t="s">
        <v>36</v>
      </c>
      <c r="K9" s="15" t="s">
        <v>77</v>
      </c>
      <c r="L9" s="15" t="s">
        <v>30</v>
      </c>
      <c r="M9" s="15" t="s">
        <v>37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32" t="s">
        <v>241</v>
      </c>
      <c r="D10" s="16" t="s">
        <v>60</v>
      </c>
      <c r="E10" s="14" t="s">
        <v>155</v>
      </c>
      <c r="F10" s="40">
        <v>46247.0</v>
      </c>
      <c r="G10" s="34"/>
      <c r="H10" s="35">
        <v>150000.0</v>
      </c>
      <c r="I10" s="15" t="s">
        <v>35</v>
      </c>
      <c r="J10" s="15" t="s">
        <v>36</v>
      </c>
      <c r="K10" s="15" t="s">
        <v>77</v>
      </c>
      <c r="L10" s="15" t="s">
        <v>30</v>
      </c>
      <c r="M10" s="15" t="s">
        <v>37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2" t="s">
        <v>242</v>
      </c>
      <c r="D11" s="16" t="s">
        <v>130</v>
      </c>
      <c r="E11" s="14"/>
      <c r="F11" s="15" t="s">
        <v>243</v>
      </c>
      <c r="G11" s="34"/>
      <c r="H11" s="35">
        <v>100000.0</v>
      </c>
      <c r="I11" s="15" t="s">
        <v>28</v>
      </c>
      <c r="J11" s="15"/>
      <c r="K11" s="15"/>
      <c r="L11" s="15" t="s">
        <v>29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32" t="s">
        <v>240</v>
      </c>
      <c r="D12" s="16" t="s">
        <v>244</v>
      </c>
      <c r="E12" s="14"/>
      <c r="F12" s="15" t="s">
        <v>245</v>
      </c>
      <c r="G12" s="34"/>
      <c r="H12" s="35">
        <v>50000.0</v>
      </c>
      <c r="I12" s="15" t="s">
        <v>35</v>
      </c>
      <c r="J12" s="15" t="s">
        <v>36</v>
      </c>
      <c r="K12" s="15" t="s">
        <v>36</v>
      </c>
      <c r="L12" s="15" t="s">
        <v>29</v>
      </c>
      <c r="M12" s="15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 t="s">
        <v>246</v>
      </c>
      <c r="D13" s="16" t="s">
        <v>60</v>
      </c>
      <c r="E13" s="14"/>
      <c r="F13" s="15" t="s">
        <v>226</v>
      </c>
      <c r="G13" s="34"/>
      <c r="H13" s="35">
        <v>150000.0</v>
      </c>
      <c r="I13" s="15" t="s">
        <v>35</v>
      </c>
      <c r="J13" s="15" t="s">
        <v>36</v>
      </c>
      <c r="K13" s="15" t="s">
        <v>36</v>
      </c>
      <c r="L13" s="15" t="s">
        <v>29</v>
      </c>
      <c r="M13" s="15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 t="s">
        <v>247</v>
      </c>
      <c r="D14" s="16" t="s">
        <v>157</v>
      </c>
      <c r="E14" s="14"/>
      <c r="F14" s="15" t="s">
        <v>248</v>
      </c>
      <c r="G14" s="34"/>
      <c r="H14" s="35">
        <v>100000.0</v>
      </c>
      <c r="I14" s="15" t="s">
        <v>28</v>
      </c>
      <c r="J14" s="15"/>
      <c r="K14" s="15"/>
      <c r="L14" s="15" t="s">
        <v>29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 t="s">
        <v>249</v>
      </c>
      <c r="D15" s="16" t="s">
        <v>23</v>
      </c>
      <c r="E15" s="14"/>
      <c r="F15" s="15" t="s">
        <v>232</v>
      </c>
      <c r="G15" s="34"/>
      <c r="H15" s="35">
        <v>100000.0</v>
      </c>
      <c r="I15" s="15" t="s">
        <v>28</v>
      </c>
      <c r="J15" s="15"/>
      <c r="K15" s="15"/>
      <c r="L15" s="15" t="s">
        <v>29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 t="s">
        <v>136</v>
      </c>
      <c r="D16" s="16" t="s">
        <v>24</v>
      </c>
      <c r="E16" s="14"/>
      <c r="F16" s="15" t="s">
        <v>232</v>
      </c>
      <c r="G16" s="34"/>
      <c r="H16" s="35">
        <v>100000.0</v>
      </c>
      <c r="I16" s="15" t="s">
        <v>35</v>
      </c>
      <c r="J16" s="15" t="s">
        <v>36</v>
      </c>
      <c r="K16" s="15" t="s">
        <v>36</v>
      </c>
      <c r="L16" s="15" t="s">
        <v>29</v>
      </c>
      <c r="M16" s="15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 t="s">
        <v>250</v>
      </c>
      <c r="D17" s="16" t="s">
        <v>23</v>
      </c>
      <c r="E17" s="14"/>
      <c r="F17" s="15" t="s">
        <v>232</v>
      </c>
      <c r="G17" s="34"/>
      <c r="H17" s="35">
        <v>100000.0</v>
      </c>
      <c r="I17" s="15" t="s">
        <v>28</v>
      </c>
      <c r="J17" s="15"/>
      <c r="K17" s="15"/>
      <c r="L17" s="15" t="s">
        <v>29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 t="s">
        <v>142</v>
      </c>
      <c r="D18" s="16" t="s">
        <v>23</v>
      </c>
      <c r="E18" s="14"/>
      <c r="F18" s="15" t="s">
        <v>226</v>
      </c>
      <c r="G18" s="34"/>
      <c r="H18" s="35">
        <v>625000.0</v>
      </c>
      <c r="I18" s="15" t="s">
        <v>35</v>
      </c>
      <c r="J18" s="15" t="s">
        <v>36</v>
      </c>
      <c r="K18" s="92" t="s">
        <v>36</v>
      </c>
      <c r="L18" s="15" t="s">
        <v>29</v>
      </c>
      <c r="M18" s="15" t="s">
        <v>47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 t="s">
        <v>251</v>
      </c>
      <c r="D19" s="16" t="s">
        <v>23</v>
      </c>
      <c r="E19" s="14"/>
      <c r="F19" s="15" t="s">
        <v>243</v>
      </c>
      <c r="G19" s="34"/>
      <c r="H19" s="35">
        <v>100000.0</v>
      </c>
      <c r="I19" s="15" t="s">
        <v>28</v>
      </c>
      <c r="J19" s="15"/>
      <c r="K19" s="15"/>
      <c r="L19" s="15" t="s">
        <v>29</v>
      </c>
      <c r="M19" s="15"/>
      <c r="N19" s="41"/>
      <c r="O19" s="41"/>
      <c r="P19" s="41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42">
        <f t="shared" ref="G20:H20" si="1">SUM(G4:G19)</f>
        <v>0</v>
      </c>
      <c r="H20" s="43">
        <f t="shared" si="1"/>
        <v>2550000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1"/>
      <c r="B23" s="44" t="s">
        <v>0</v>
      </c>
      <c r="C23" s="45" t="s">
        <v>6</v>
      </c>
      <c r="D23" s="45" t="s">
        <v>88</v>
      </c>
      <c r="E23" s="1"/>
      <c r="F23" s="1"/>
      <c r="G23" s="1"/>
      <c r="H23" s="1"/>
      <c r="I23" s="1"/>
      <c r="J23" s="1"/>
      <c r="K23" s="1"/>
      <c r="L23" s="1"/>
      <c r="M23" s="1"/>
      <c r="N23" s="45" t="s">
        <v>89</v>
      </c>
      <c r="O23" s="45" t="s">
        <v>1</v>
      </c>
      <c r="P23" s="1"/>
      <c r="Q23" s="1"/>
      <c r="R23" s="1"/>
    </row>
    <row r="24" ht="15.75" customHeight="1">
      <c r="A24" s="1"/>
      <c r="B24" s="46">
        <v>1.0</v>
      </c>
      <c r="C24" s="47" t="s">
        <v>90</v>
      </c>
      <c r="D24" s="48">
        <f>SUM(G20)</f>
        <v>0</v>
      </c>
      <c r="E24" s="49"/>
      <c r="F24" s="1"/>
      <c r="G24" s="1"/>
      <c r="H24" s="1"/>
      <c r="I24" s="1"/>
      <c r="J24" s="1"/>
      <c r="K24" s="1"/>
      <c r="L24" s="1"/>
      <c r="M24" s="1"/>
      <c r="N24" s="50" t="s">
        <v>91</v>
      </c>
      <c r="O24" s="24" t="s">
        <v>30</v>
      </c>
      <c r="P24" s="1"/>
      <c r="Q24" s="1"/>
      <c r="R24" s="1"/>
    </row>
    <row r="25" ht="15.75" customHeight="1">
      <c r="A25" s="1"/>
      <c r="B25" s="51">
        <v>2.0</v>
      </c>
      <c r="C25" s="93"/>
      <c r="D25" s="54"/>
      <c r="E25" s="49"/>
      <c r="F25" s="1"/>
      <c r="G25" s="1"/>
      <c r="H25" s="1"/>
      <c r="I25" s="1"/>
      <c r="J25" s="1"/>
      <c r="K25" s="1"/>
      <c r="L25" s="1"/>
      <c r="M25" s="1"/>
      <c r="N25" s="56" t="s">
        <v>93</v>
      </c>
      <c r="O25" s="41" t="s">
        <v>29</v>
      </c>
      <c r="P25" s="1"/>
      <c r="Q25" s="1"/>
      <c r="R25" s="1"/>
    </row>
    <row r="26" ht="15.75" customHeight="1">
      <c r="A26" s="1"/>
      <c r="B26" s="46">
        <v>3.0</v>
      </c>
      <c r="C26" s="47"/>
      <c r="D26" s="48"/>
      <c r="E26" s="49"/>
      <c r="F26" s="1"/>
      <c r="G26" s="1"/>
      <c r="H26" s="1"/>
      <c r="I26" s="1"/>
      <c r="J26" s="1"/>
      <c r="K26" s="1"/>
      <c r="L26" s="1"/>
      <c r="M26" s="1"/>
      <c r="N26" s="59" t="s">
        <v>95</v>
      </c>
      <c r="O26" s="29" t="s">
        <v>37</v>
      </c>
      <c r="P26" s="1"/>
      <c r="Q26" s="1"/>
      <c r="R26" s="1"/>
    </row>
    <row r="27" ht="15.75" customHeight="1">
      <c r="A27" s="1"/>
      <c r="B27" s="51">
        <v>4.0</v>
      </c>
      <c r="C27" s="52"/>
      <c r="D27" s="54"/>
      <c r="E27" s="49"/>
      <c r="F27" s="1"/>
      <c r="G27" s="1"/>
      <c r="H27" s="1"/>
      <c r="I27" s="1"/>
      <c r="J27" s="1"/>
      <c r="K27" s="1"/>
      <c r="L27" s="1"/>
      <c r="M27" s="1"/>
      <c r="N27" s="60" t="s">
        <v>98</v>
      </c>
      <c r="O27" s="41" t="s">
        <v>47</v>
      </c>
      <c r="P27" s="1"/>
      <c r="Q27" s="1"/>
      <c r="R27" s="1"/>
    </row>
    <row r="28" ht="15.75" customHeight="1">
      <c r="A28" s="1"/>
      <c r="B28" s="46">
        <v>5.0</v>
      </c>
      <c r="C28" s="47"/>
      <c r="D28" s="48"/>
      <c r="E28" s="49"/>
      <c r="F28" s="1"/>
      <c r="G28" s="1"/>
      <c r="H28" s="1"/>
      <c r="I28" s="1"/>
      <c r="J28" s="1"/>
      <c r="K28" s="1"/>
      <c r="L28" s="1"/>
      <c r="M28" s="1"/>
      <c r="N28" s="61"/>
      <c r="O28" s="1"/>
      <c r="P28" s="1"/>
      <c r="Q28" s="1"/>
      <c r="R28" s="1"/>
    </row>
    <row r="29" ht="15.75" customHeight="1">
      <c r="A29" s="1"/>
      <c r="B29" s="51">
        <v>6.0</v>
      </c>
      <c r="C29" s="52"/>
      <c r="D29" s="54"/>
      <c r="E29" s="49"/>
      <c r="F29" s="1"/>
      <c r="G29" s="1"/>
      <c r="H29" s="1"/>
      <c r="I29" s="1"/>
      <c r="J29" s="1"/>
      <c r="K29" s="62" t="s">
        <v>100</v>
      </c>
      <c r="Q29" s="1"/>
      <c r="R29" s="1"/>
    </row>
    <row r="30" ht="15.75" customHeight="1">
      <c r="A30" s="1"/>
      <c r="B30" s="46">
        <v>7.0</v>
      </c>
      <c r="C30" s="47"/>
      <c r="D30" s="48"/>
      <c r="E30" s="49"/>
      <c r="F30" s="1"/>
      <c r="G30" s="1"/>
      <c r="H30" s="1"/>
      <c r="I30" s="1"/>
      <c r="J30" s="1"/>
      <c r="K30" s="63" t="s">
        <v>1</v>
      </c>
      <c r="L30" s="63" t="s">
        <v>102</v>
      </c>
      <c r="M30" s="63" t="s">
        <v>103</v>
      </c>
      <c r="N30" s="63" t="s">
        <v>104</v>
      </c>
      <c r="O30" s="63" t="s">
        <v>105</v>
      </c>
      <c r="P30" s="63" t="s">
        <v>106</v>
      </c>
      <c r="Q30" s="1"/>
      <c r="R30" s="1"/>
      <c r="AC30" s="65" t="s">
        <v>107</v>
      </c>
      <c r="AD30" s="65" t="s">
        <v>108</v>
      </c>
      <c r="AE30" s="65" t="s">
        <v>109</v>
      </c>
      <c r="AF30" s="65" t="s">
        <v>110</v>
      </c>
      <c r="AG30" s="66" t="s">
        <v>111</v>
      </c>
    </row>
    <row r="31" ht="15.75" customHeight="1">
      <c r="A31" s="1"/>
      <c r="B31" s="51">
        <v>8.0</v>
      </c>
      <c r="C31" s="52"/>
      <c r="D31" s="54"/>
      <c r="E31" s="49"/>
      <c r="F31" s="1"/>
      <c r="G31" s="1"/>
      <c r="H31" s="1"/>
      <c r="I31" s="1"/>
      <c r="J31" s="1"/>
      <c r="K31" s="67" t="str">
        <f t="shared" ref="K31:K34" si="2">IF(O24="","",O24)</f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ref="AC31:AC36" si="3">IF(AG31="","",IF(COUNT(L31:P31)&lt;5,"",L31/5*20+M31/5*25+N31/5*25+O31/5*15+P31/5*15))</f>
        <v>100</v>
      </c>
      <c r="AD31" s="65" t="str">
        <f t="shared" ref="AD31:AD36" si="4">IF(AC31="","",IF(AC31&gt;=90,"Sangat Baik",IF(AC31&gt;=80,"Baik",IF(AC31&gt;=70,"Coaching","Underperform"))))</f>
        <v>Sangat Baik</v>
      </c>
      <c r="AE31" s="65" t="str">
        <f t="shared" ref="AE31:AE36" si="5">IF(AG31="","",IF(OR(AG31="INDAH",AG31="ADDEL",AG31="AMEL",AG31="PENTIL",AG31="JIJANG"),"Admin/CS","Fotografer"))</f>
        <v>Admin/CS</v>
      </c>
      <c r="AF31" s="65">
        <f t="shared" ref="AF31:AF36" si="6">IF(OR(AG31="",COUNT(L31:P31)&lt;5),"",1)</f>
        <v>1</v>
      </c>
      <c r="AG31" s="66" t="str">
        <f t="shared" ref="AG31:AG36" si="7">IFERROR(K31,"")</f>
        <v>INDAH</v>
      </c>
    </row>
    <row r="32" ht="15.75" customHeight="1">
      <c r="A32" s="1"/>
      <c r="B32" s="46">
        <v>9.0</v>
      </c>
      <c r="C32" s="47"/>
      <c r="D32" s="48"/>
      <c r="E32" s="49"/>
      <c r="F32" s="1"/>
      <c r="G32" s="1"/>
      <c r="H32" s="1"/>
      <c r="I32" s="1"/>
      <c r="J32" s="1"/>
      <c r="K32" s="67" t="str">
        <f t="shared" si="2"/>
        <v>AMEL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Admin/CS</v>
      </c>
      <c r="AF32" s="65">
        <f t="shared" si="6"/>
        <v>1</v>
      </c>
      <c r="AG32" s="66" t="str">
        <f t="shared" si="7"/>
        <v>AMEL</v>
      </c>
    </row>
    <row r="33" ht="15.75" customHeight="1">
      <c r="A33" s="1"/>
      <c r="B33" s="51">
        <v>10.0</v>
      </c>
      <c r="C33" s="52"/>
      <c r="D33" s="54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69">
        <v>11.0</v>
      </c>
      <c r="C34" s="70"/>
      <c r="D34" s="71"/>
      <c r="E34" s="49"/>
      <c r="F34" s="1"/>
      <c r="G34" s="1"/>
      <c r="H34" s="1"/>
      <c r="I34" s="1"/>
      <c r="J34" s="1"/>
      <c r="K34" s="67" t="str">
        <f t="shared" si="2"/>
        <v>SAKA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si="3"/>
        <v>100</v>
      </c>
      <c r="AD34" s="65" t="str">
        <f t="shared" si="4"/>
        <v>Sangat Baik</v>
      </c>
      <c r="AE34" s="65" t="str">
        <f t="shared" si="5"/>
        <v>Fotografer</v>
      </c>
      <c r="AF34" s="65">
        <f t="shared" si="6"/>
        <v>1</v>
      </c>
      <c r="AG34" s="66" t="str">
        <f t="shared" si="7"/>
        <v>SAKA</v>
      </c>
    </row>
    <row r="35" ht="15.75" customHeight="1">
      <c r="A35" s="1"/>
      <c r="B35" s="1"/>
      <c r="C35" s="2"/>
      <c r="D35" s="72">
        <f>SUM(D24:D34)</f>
        <v>0</v>
      </c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67"/>
      <c r="L36" s="73"/>
      <c r="M36" s="73"/>
      <c r="N36" s="73"/>
      <c r="O36" s="73"/>
      <c r="P36" s="73"/>
      <c r="Q36" s="1"/>
      <c r="R36" s="1"/>
      <c r="AC36" s="65" t="str">
        <f t="shared" si="3"/>
        <v/>
      </c>
      <c r="AD36" s="65" t="str">
        <f t="shared" si="4"/>
        <v/>
      </c>
      <c r="AE36" s="65" t="str">
        <f t="shared" si="5"/>
        <v/>
      </c>
      <c r="AF36" s="65" t="str">
        <f t="shared" si="6"/>
        <v/>
      </c>
      <c r="AG36" s="66" t="str">
        <f t="shared" si="7"/>
        <v/>
      </c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74" t="s">
        <v>112</v>
      </c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5" t="s">
        <v>113</v>
      </c>
      <c r="N39" s="1"/>
      <c r="O39" s="1"/>
      <c r="P39" s="1"/>
      <c r="Q39" s="1"/>
      <c r="R39" s="1"/>
    </row>
    <row r="40" ht="15.75" customHeight="1">
      <c r="K40" s="76" t="s">
        <v>7</v>
      </c>
      <c r="L40" s="76" t="s">
        <v>114</v>
      </c>
      <c r="M40" s="76" t="s">
        <v>115</v>
      </c>
    </row>
    <row r="41" ht="15.75" customHeight="1">
      <c r="K41" s="77" t="str">
        <f t="shared" ref="K41:K42" si="8">IF(O24="","",O24)</f>
        <v>INDAH</v>
      </c>
      <c r="L41" s="78">
        <v>4.0</v>
      </c>
      <c r="M41" s="78"/>
    </row>
    <row r="42" ht="15.75" customHeight="1">
      <c r="K42" s="77" t="str">
        <f t="shared" si="8"/>
        <v>AMEL</v>
      </c>
      <c r="L42" s="78">
        <v>7.0</v>
      </c>
      <c r="M42" s="78"/>
    </row>
    <row r="43" ht="15.75" customHeight="1"/>
    <row r="44" ht="19.5" customHeight="1">
      <c r="K44" s="79" t="s">
        <v>118</v>
      </c>
    </row>
    <row r="45" ht="19.5" customHeight="1">
      <c r="K45" s="80" t="s">
        <v>119</v>
      </c>
      <c r="M45" s="81">
        <v>18.0</v>
      </c>
    </row>
    <row r="46" ht="19.5" customHeight="1">
      <c r="K46" s="82" t="s">
        <v>120</v>
      </c>
      <c r="M46" s="83">
        <f>COUNTIF($I$4:$I$22,"DP")</f>
        <v>7</v>
      </c>
    </row>
    <row r="47" ht="19.5" customHeight="1">
      <c r="K47" s="82" t="s">
        <v>121</v>
      </c>
      <c r="M47" s="83">
        <f>COUNTIFS($I$4:$I$22,"&lt;&gt;DP",$I$4:$I$22,"&lt;&gt;")</f>
        <v>9</v>
      </c>
    </row>
    <row r="48" ht="19.5" customHeight="1">
      <c r="K48" s="84" t="s">
        <v>122</v>
      </c>
      <c r="M48" s="83">
        <f>M46+M47</f>
        <v>16</v>
      </c>
    </row>
    <row r="49" ht="19.5" customHeight="1">
      <c r="K49" s="80" t="s">
        <v>123</v>
      </c>
      <c r="M49" s="85">
        <f>IF(OR(M45="",M45=0),"",M46/M45)</f>
        <v>0.3888888889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5:L45"/>
    <mergeCell ref="K46:L46"/>
    <mergeCell ref="K47:L47"/>
    <mergeCell ref="K48:L48"/>
    <mergeCell ref="K49:L49"/>
    <mergeCell ref="L2:L3"/>
    <mergeCell ref="M2:M3"/>
    <mergeCell ref="N2:P2"/>
    <mergeCell ref="K29:P29"/>
    <mergeCell ref="K37:P37"/>
    <mergeCell ref="K39:M39"/>
    <mergeCell ref="K44:M44"/>
  </mergeCells>
  <conditionalFormatting sqref="I4:I22">
    <cfRule type="expression" dxfId="0" priority="1">
      <formula>I4="DP"</formula>
    </cfRule>
  </conditionalFormatting>
  <conditionalFormatting sqref="I4:I22">
    <cfRule type="expression" dxfId="1" priority="2">
      <formula>I4="Lunas"</formula>
    </cfRule>
  </conditionalFormatting>
  <conditionalFormatting sqref="J4:K22">
    <cfRule type="expression" dxfId="2" priority="3">
      <formula>OR(J4="Uploaded",J4="Delivered")</formula>
    </cfRule>
  </conditionalFormatting>
  <dataValidations>
    <dataValidation type="list" allowBlank="1" showDropDown="1" showErrorMessage="1" sqref="I4:I19">
      <formula1>"-,DP,Lunas"</formula1>
    </dataValidation>
    <dataValidation type="list" allowBlank="1" sqref="L31:P36">
      <formula1>"1,2,3,4,5"</formula1>
    </dataValidation>
    <dataValidation type="list" allowBlank="1" showDropDown="1" showErrorMessage="1" sqref="J4:K19">
      <formula1>"-,Pending,Uploaded"</formula1>
    </dataValidation>
    <dataValidation type="list" allowBlank="1" sqref="K31:K36">
      <formula1>'Resume Karyawan KPI'!$AK$5:$AK$15</formula1>
    </dataValidation>
    <dataValidation type="list" allowBlank="1" showDropDown="1" showErrorMessage="1" sqref="D5:D19">
      <formula1>"-,Single,Couple A,Couple B,Group A,Group B,Group C,Large Group,Graduation,Graduation Premium,Family A,Family B,Maternity,Concept,Studio Rent,Pas Foto,Single,Add Person,Add Edit,All file,Couple C"</formula1>
    </dataValidation>
    <dataValidation type="list" allowBlank="1" showDropDown="1" showErrorMessage="1" sqref="L4">
      <formula1>"-,JIJANG,AXEL,PENTIL,FAHME,INDAH"</formula1>
    </dataValidation>
    <dataValidation type="list" allowBlank="1" showDropDown="1" showErrorMessage="1" sqref="M4:M19">
      <formula1>"-,VERO,FADEL,HANIF,ADIF,SAKA"</formula1>
    </dataValidation>
    <dataValidation type="list" allowBlank="1" showErrorMessage="1" sqref="N4:N19">
      <formula1>"-,Pending,Progress,Uploaded"</formula1>
    </dataValidation>
    <dataValidation type="list" allowBlank="1" showDropDown="1" showErrorMessage="1" sqref="L5:L19">
      <formula1>"-,JIJANG,AXEL,ADDEL,FAHME,INDAH,AMEL"</formula1>
    </dataValidation>
    <dataValidation type="list" allowBlank="1" sqref="O24:O27">
      <formula1>"INDAH,ADDEL,AMEL,PENTIL,JIJANG,HANIF,FAHME,ADIF,ABROR,FADEL,SAKA"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D4">
      <formula1>"-,Single,Couple A,Couple B,Group A,Group B,Group C,Large Group,Graduation,Graduation Premium,Family A,Family B,Maternity,Concept,Studio Rent,Pas Foto,Single,Add Person,Add Edit"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32" t="s">
        <v>252</v>
      </c>
      <c r="D4" s="16" t="s">
        <v>57</v>
      </c>
      <c r="E4" s="14"/>
      <c r="F4" s="15" t="s">
        <v>232</v>
      </c>
      <c r="G4" s="34">
        <v>50000.0</v>
      </c>
      <c r="H4" s="35"/>
      <c r="I4" s="15" t="s">
        <v>35</v>
      </c>
      <c r="J4" s="15" t="s">
        <v>36</v>
      </c>
      <c r="K4" s="15" t="s">
        <v>36</v>
      </c>
      <c r="L4" s="15" t="s">
        <v>29</v>
      </c>
      <c r="M4" s="15" t="s">
        <v>37</v>
      </c>
      <c r="N4" s="24"/>
      <c r="O4" s="24"/>
      <c r="P4" s="25"/>
      <c r="Q4" s="1"/>
      <c r="R4" s="1"/>
    </row>
    <row r="5" ht="15.75" customHeight="1">
      <c r="A5" s="1"/>
      <c r="B5" s="15">
        <v>2.0</v>
      </c>
      <c r="C5" s="32" t="s">
        <v>253</v>
      </c>
      <c r="D5" s="16" t="s">
        <v>23</v>
      </c>
      <c r="E5" s="14"/>
      <c r="F5" s="15" t="s">
        <v>232</v>
      </c>
      <c r="G5" s="34"/>
      <c r="H5" s="35">
        <v>100000.0</v>
      </c>
      <c r="I5" s="15" t="s">
        <v>28</v>
      </c>
      <c r="J5" s="15"/>
      <c r="K5" s="15"/>
      <c r="L5" s="15" t="s">
        <v>29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32" t="s">
        <v>254</v>
      </c>
      <c r="D6" s="16" t="s">
        <v>23</v>
      </c>
      <c r="E6" s="14"/>
      <c r="F6" s="15" t="s">
        <v>255</v>
      </c>
      <c r="G6" s="34"/>
      <c r="H6" s="35">
        <v>100000.0</v>
      </c>
      <c r="I6" s="15" t="s">
        <v>28</v>
      </c>
      <c r="J6" s="15"/>
      <c r="K6" s="15"/>
      <c r="L6" s="15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32" t="s">
        <v>231</v>
      </c>
      <c r="D7" s="16" t="s">
        <v>23</v>
      </c>
      <c r="E7" s="14"/>
      <c r="F7" s="15" t="s">
        <v>232</v>
      </c>
      <c r="G7" s="34">
        <v>240000.0</v>
      </c>
      <c r="H7" s="35">
        <v>60000.0</v>
      </c>
      <c r="I7" s="15" t="s">
        <v>35</v>
      </c>
      <c r="J7" s="15" t="s">
        <v>36</v>
      </c>
      <c r="K7" s="15" t="s">
        <v>36</v>
      </c>
      <c r="L7" s="15" t="s">
        <v>29</v>
      </c>
      <c r="M7" s="15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32" t="s">
        <v>257</v>
      </c>
      <c r="D8" s="16" t="s">
        <v>23</v>
      </c>
      <c r="E8" s="14"/>
      <c r="F8" s="15" t="s">
        <v>45</v>
      </c>
      <c r="G8" s="34"/>
      <c r="H8" s="35">
        <v>100000.0</v>
      </c>
      <c r="I8" s="15" t="s">
        <v>28</v>
      </c>
      <c r="J8" s="15"/>
      <c r="K8" s="15"/>
      <c r="L8" s="15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32" t="s">
        <v>258</v>
      </c>
      <c r="D9" s="16" t="s">
        <v>22</v>
      </c>
      <c r="E9" s="14"/>
      <c r="F9" s="15" t="s">
        <v>232</v>
      </c>
      <c r="G9" s="34"/>
      <c r="H9" s="35">
        <v>100000.0</v>
      </c>
      <c r="I9" s="15" t="s">
        <v>28</v>
      </c>
      <c r="J9" s="15"/>
      <c r="K9" s="15"/>
      <c r="L9" s="15" t="s">
        <v>29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259</v>
      </c>
      <c r="D10" s="95" t="s">
        <v>60</v>
      </c>
      <c r="E10" s="14"/>
      <c r="F10" s="98">
        <v>46248.0</v>
      </c>
      <c r="G10" s="34"/>
      <c r="H10" s="97" t="s">
        <v>260</v>
      </c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37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261</v>
      </c>
      <c r="D11" s="95" t="s">
        <v>23</v>
      </c>
      <c r="E11" s="14"/>
      <c r="F11" s="98">
        <v>46251.0</v>
      </c>
      <c r="G11" s="34"/>
      <c r="H11" s="97" t="s">
        <v>260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9" t="s">
        <v>253</v>
      </c>
      <c r="D12" s="95" t="s">
        <v>23</v>
      </c>
      <c r="E12" s="14"/>
      <c r="F12" s="98">
        <v>46248.0</v>
      </c>
      <c r="G12" s="34"/>
      <c r="H12" s="97" t="s">
        <v>263</v>
      </c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37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264</v>
      </c>
      <c r="D13" s="95" t="s">
        <v>24</v>
      </c>
      <c r="E13" s="14"/>
      <c r="F13" s="98">
        <v>46249.0</v>
      </c>
      <c r="G13" s="34"/>
      <c r="H13" s="97" t="s">
        <v>260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266</v>
      </c>
      <c r="D14" s="95" t="s">
        <v>23</v>
      </c>
      <c r="E14" s="14"/>
      <c r="F14" s="98">
        <v>46251.0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268</v>
      </c>
      <c r="D15" s="95" t="s">
        <v>23</v>
      </c>
      <c r="E15" s="14"/>
      <c r="F15" s="98">
        <v>46248.0</v>
      </c>
      <c r="G15" s="34"/>
      <c r="H15" s="97">
        <v>275000.0</v>
      </c>
      <c r="I15" s="92" t="s">
        <v>35</v>
      </c>
      <c r="J15" s="92" t="s">
        <v>36</v>
      </c>
      <c r="K15" s="92" t="s">
        <v>36</v>
      </c>
      <c r="L15" s="92" t="s">
        <v>30</v>
      </c>
      <c r="M15" s="92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269</v>
      </c>
      <c r="D16" s="95" t="s">
        <v>22</v>
      </c>
      <c r="E16" s="14"/>
      <c r="F16" s="98">
        <v>46248.0</v>
      </c>
      <c r="G16" s="34"/>
      <c r="H16" s="97">
        <v>250000.0</v>
      </c>
      <c r="I16" s="92" t="s">
        <v>35</v>
      </c>
      <c r="J16" s="92" t="s">
        <v>36</v>
      </c>
      <c r="K16" s="92" t="s">
        <v>36</v>
      </c>
      <c r="L16" s="92" t="s">
        <v>30</v>
      </c>
      <c r="M16" s="92" t="s">
        <v>37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272</v>
      </c>
      <c r="D17" s="95" t="s">
        <v>22</v>
      </c>
      <c r="E17" s="14"/>
      <c r="F17" s="98">
        <v>46261.0</v>
      </c>
      <c r="G17" s="34"/>
      <c r="H17" s="97">
        <v>100000.0</v>
      </c>
      <c r="I17" s="92" t="s">
        <v>28</v>
      </c>
      <c r="J17" s="15"/>
      <c r="K17" s="15"/>
      <c r="L17" s="92" t="s">
        <v>30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/>
      <c r="D18" s="95"/>
      <c r="E18" s="14"/>
      <c r="F18" s="98"/>
      <c r="G18" s="34"/>
      <c r="H18" s="97"/>
      <c r="I18" s="92"/>
      <c r="J18" s="15"/>
      <c r="K18" s="15"/>
      <c r="L18" s="92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/>
      <c r="D19" s="16"/>
      <c r="E19" s="14"/>
      <c r="F19" s="33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32"/>
      <c r="D20" s="16"/>
      <c r="E20" s="14"/>
      <c r="F20" s="33"/>
      <c r="G20" s="34"/>
      <c r="H20" s="35"/>
      <c r="I20" s="15"/>
      <c r="J20" s="15"/>
      <c r="K20" s="15"/>
      <c r="L20" s="15"/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32"/>
      <c r="D21" s="16"/>
      <c r="E21" s="14"/>
      <c r="F21" s="33"/>
      <c r="G21" s="34"/>
      <c r="H21" s="35"/>
      <c r="I21" s="15"/>
      <c r="J21" s="15"/>
      <c r="K21" s="15"/>
      <c r="L21" s="15"/>
      <c r="M21" s="15"/>
      <c r="N21" s="29"/>
      <c r="O21" s="29"/>
      <c r="P21" s="29"/>
      <c r="Q21" s="1"/>
      <c r="R21" s="1"/>
    </row>
    <row r="22" ht="15.75" customHeight="1">
      <c r="A22" s="1"/>
      <c r="B22" s="14">
        <v>19.0</v>
      </c>
      <c r="C22" s="16"/>
      <c r="D22" s="17"/>
      <c r="E22" s="18"/>
      <c r="F22" s="21"/>
      <c r="G22" s="20"/>
      <c r="H22" s="22"/>
      <c r="I22" s="14"/>
      <c r="J22" s="14"/>
      <c r="K22" s="14"/>
      <c r="L22" s="14"/>
      <c r="M22" s="14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102"/>
      <c r="D23" s="17"/>
      <c r="E23" s="18"/>
      <c r="F23" s="21"/>
      <c r="G23" s="20"/>
      <c r="H23" s="22"/>
      <c r="I23" s="14"/>
      <c r="J23" s="23"/>
      <c r="K23" s="23"/>
      <c r="L23" s="14"/>
      <c r="M23" s="15"/>
      <c r="N23" s="29"/>
      <c r="O23" s="29"/>
      <c r="P23" s="29"/>
      <c r="Q23" s="1"/>
      <c r="R23" s="1"/>
    </row>
    <row r="24" ht="15.75" customHeight="1">
      <c r="A24" s="1"/>
      <c r="B24" s="103">
        <v>21.0</v>
      </c>
      <c r="C24" s="32"/>
      <c r="D24" s="104"/>
      <c r="E24" s="14"/>
      <c r="F24" s="33"/>
      <c r="G24" s="34"/>
      <c r="H24" s="35"/>
      <c r="I24" s="15"/>
      <c r="J24" s="15"/>
      <c r="K24" s="15"/>
      <c r="L24" s="15"/>
      <c r="M24" s="15"/>
      <c r="N24" s="29"/>
      <c r="O24" s="29"/>
      <c r="P24" s="29"/>
      <c r="Q24" s="1"/>
      <c r="R24" s="1"/>
    </row>
    <row r="25" ht="15.75" customHeight="1">
      <c r="A25" s="1"/>
      <c r="B25" s="103">
        <v>22.0</v>
      </c>
      <c r="C25" s="32"/>
      <c r="D25" s="104"/>
      <c r="E25" s="14"/>
      <c r="F25" s="33"/>
      <c r="G25" s="34"/>
      <c r="H25" s="35"/>
      <c r="I25" s="15"/>
      <c r="J25" s="15"/>
      <c r="K25" s="15"/>
      <c r="L25" s="15"/>
      <c r="M25" s="15"/>
      <c r="N25" s="41"/>
      <c r="O25" s="41"/>
      <c r="P25" s="41"/>
      <c r="Q25" s="1"/>
      <c r="R25" s="1"/>
    </row>
    <row r="26" ht="18.75" customHeight="1">
      <c r="A26" s="1"/>
      <c r="B26" s="1"/>
      <c r="D26" s="2"/>
      <c r="E26" s="1"/>
      <c r="F26" s="1"/>
      <c r="G26" s="42">
        <f t="shared" ref="G26:H26" si="1">SUM(G4:G25)</f>
        <v>290000</v>
      </c>
      <c r="H26" s="43">
        <f t="shared" si="1"/>
        <v>1185000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1"/>
      <c r="B29" s="44" t="s">
        <v>0</v>
      </c>
      <c r="C29" s="45" t="s">
        <v>6</v>
      </c>
      <c r="D29" s="45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45" t="s">
        <v>89</v>
      </c>
      <c r="O29" s="45" t="s">
        <v>1</v>
      </c>
      <c r="P29" s="1"/>
      <c r="Q29" s="1"/>
      <c r="R29" s="1"/>
    </row>
    <row r="30" ht="15.75" customHeight="1">
      <c r="A30" s="1"/>
      <c r="B30" s="46">
        <v>1.0</v>
      </c>
      <c r="C30" s="47" t="s">
        <v>90</v>
      </c>
      <c r="D30" s="48">
        <f>SUM(G26)</f>
        <v>290000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91</v>
      </c>
      <c r="O30" s="24" t="s">
        <v>29</v>
      </c>
      <c r="P30" s="1"/>
      <c r="Q30" s="1"/>
      <c r="R30" s="1"/>
    </row>
    <row r="31" ht="15.75" customHeight="1">
      <c r="A31" s="1"/>
      <c r="B31" s="51">
        <v>2.0</v>
      </c>
      <c r="C31" s="52"/>
      <c r="D31" s="54"/>
      <c r="E31" s="49"/>
      <c r="F31" s="1"/>
      <c r="G31" s="1"/>
      <c r="H31" s="1"/>
      <c r="I31" s="1"/>
      <c r="J31" s="1"/>
      <c r="K31" s="1"/>
      <c r="L31" s="1"/>
      <c r="M31" s="1"/>
      <c r="N31" s="56" t="s">
        <v>93</v>
      </c>
      <c r="O31" s="105" t="s">
        <v>30</v>
      </c>
      <c r="P31" s="1"/>
      <c r="Q31" s="1"/>
      <c r="R31" s="1"/>
    </row>
    <row r="32" ht="15.75" customHeight="1">
      <c r="A32" s="1"/>
      <c r="B32" s="46">
        <v>3.0</v>
      </c>
      <c r="C32" s="106" t="s">
        <v>96</v>
      </c>
      <c r="D32" s="107">
        <v>-15000.0</v>
      </c>
      <c r="E32" s="49"/>
      <c r="F32" s="1"/>
      <c r="G32" s="1"/>
      <c r="H32" s="1"/>
      <c r="I32" s="1"/>
      <c r="J32" s="1"/>
      <c r="K32" s="1"/>
      <c r="L32" s="1"/>
      <c r="M32" s="1"/>
      <c r="N32" s="59" t="s">
        <v>95</v>
      </c>
      <c r="O32" s="29" t="s">
        <v>37</v>
      </c>
      <c r="P32" s="1"/>
      <c r="Q32" s="1"/>
      <c r="R32" s="1"/>
    </row>
    <row r="33" ht="15.75" customHeight="1">
      <c r="A33" s="1"/>
      <c r="B33" s="51">
        <v>4.0</v>
      </c>
      <c r="C33" s="93" t="s">
        <v>101</v>
      </c>
      <c r="D33" s="108">
        <v>-50000.0</v>
      </c>
      <c r="E33" s="49"/>
      <c r="F33" s="1"/>
      <c r="G33" s="1"/>
      <c r="H33" s="1"/>
      <c r="I33" s="1"/>
      <c r="J33" s="1"/>
      <c r="K33" s="1"/>
      <c r="L33" s="1"/>
      <c r="M33" s="1"/>
      <c r="N33" s="60" t="s">
        <v>98</v>
      </c>
      <c r="O33" s="105" t="s">
        <v>37</v>
      </c>
      <c r="P33" s="1"/>
      <c r="Q33" s="1"/>
      <c r="R33" s="1"/>
    </row>
    <row r="34" ht="15.75" customHeight="1">
      <c r="A34" s="1"/>
      <c r="B34" s="46">
        <v>5.0</v>
      </c>
      <c r="C34" s="106" t="s">
        <v>99</v>
      </c>
      <c r="D34" s="107">
        <v>-50000.0</v>
      </c>
      <c r="E34" s="49"/>
      <c r="F34" s="1"/>
      <c r="G34" s="1"/>
      <c r="H34" s="1"/>
      <c r="I34" s="1"/>
      <c r="J34" s="1"/>
      <c r="K34" s="1"/>
      <c r="L34" s="1"/>
      <c r="M34" s="1"/>
      <c r="N34" s="61"/>
      <c r="O34" s="1"/>
      <c r="P34" s="1"/>
      <c r="Q34" s="1"/>
      <c r="R34" s="1"/>
    </row>
    <row r="35" ht="15.75" customHeight="1">
      <c r="A35" s="1"/>
      <c r="B35" s="51">
        <v>6.0</v>
      </c>
      <c r="C35" s="93" t="s">
        <v>174</v>
      </c>
      <c r="D35" s="108">
        <v>-150000.0</v>
      </c>
      <c r="E35" s="49"/>
      <c r="F35" s="1"/>
      <c r="G35" s="1"/>
      <c r="H35" s="1"/>
      <c r="I35" s="1"/>
      <c r="J35" s="1"/>
      <c r="K35" s="62" t="s">
        <v>100</v>
      </c>
      <c r="Q35" s="1"/>
      <c r="R35" s="1"/>
    </row>
    <row r="36" ht="15.75" customHeight="1">
      <c r="A36" s="1"/>
      <c r="B36" s="46">
        <v>7.0</v>
      </c>
      <c r="C36" s="106"/>
      <c r="D36" s="107"/>
      <c r="E36" s="49"/>
      <c r="F36" s="1"/>
      <c r="G36" s="1"/>
      <c r="H36" s="1"/>
      <c r="I36" s="1"/>
      <c r="J36" s="1"/>
      <c r="K36" s="63" t="s">
        <v>1</v>
      </c>
      <c r="L36" s="63" t="s">
        <v>102</v>
      </c>
      <c r="M36" s="63" t="s">
        <v>103</v>
      </c>
      <c r="N36" s="63" t="s">
        <v>104</v>
      </c>
      <c r="O36" s="63" t="s">
        <v>105</v>
      </c>
      <c r="P36" s="63" t="s">
        <v>106</v>
      </c>
      <c r="Q36" s="1"/>
      <c r="R36" s="1"/>
      <c r="AC36" s="65" t="s">
        <v>107</v>
      </c>
      <c r="AD36" s="65" t="s">
        <v>108</v>
      </c>
      <c r="AE36" s="65" t="s">
        <v>109</v>
      </c>
      <c r="AF36" s="65" t="s">
        <v>110</v>
      </c>
      <c r="AG36" s="66" t="s">
        <v>111</v>
      </c>
    </row>
    <row r="37" ht="15.75" customHeight="1">
      <c r="A37" s="1"/>
      <c r="B37" s="51">
        <v>8.0</v>
      </c>
      <c r="C37" s="52"/>
      <c r="D37" s="54"/>
      <c r="E37" s="49"/>
      <c r="F37" s="1"/>
      <c r="G37" s="1"/>
      <c r="H37" s="1"/>
      <c r="I37" s="1"/>
      <c r="J37" s="1"/>
      <c r="K37" s="67" t="str">
        <f t="shared" ref="K37:K40" si="2">IF(O30="","",O30)</f>
        <v>AMEL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ref="AC37:AC42" si="3">IF(AG37="","",IF(COUNT(L37:P37)&lt;5,"",L37/5*20+M37/5*25+N37/5*25+O37/5*15+P37/5*15))</f>
        <v>100</v>
      </c>
      <c r="AD37" s="65" t="str">
        <f t="shared" ref="AD37:AD42" si="4">IF(AC37="","",IF(AC37&gt;=90,"Sangat Baik",IF(AC37&gt;=80,"Baik",IF(AC37&gt;=70,"Coaching","Underperform"))))</f>
        <v>Sangat Baik</v>
      </c>
      <c r="AE37" s="65" t="str">
        <f t="shared" ref="AE37:AE42" si="5">IF(AG37="","",IF(OR(AG37="INDAH",AG37="ADDEL",AG37="AMEL",AG37="PENTIL",AG37="JIJANG"),"Admin/CS","Fotografer"))</f>
        <v>Admin/CS</v>
      </c>
      <c r="AF37" s="65">
        <f t="shared" ref="AF37:AF42" si="6">IF(OR(AG37="",COUNT(L37:P37)&lt;5),"",1)</f>
        <v>1</v>
      </c>
      <c r="AG37" s="66" t="str">
        <f t="shared" ref="AG37:AG42" si="7">IFERROR(K37,"")</f>
        <v>AMEL</v>
      </c>
    </row>
    <row r="38" ht="15.75" customHeight="1">
      <c r="A38" s="1"/>
      <c r="B38" s="46">
        <v>9.0</v>
      </c>
      <c r="C38" s="47"/>
      <c r="D38" s="48"/>
      <c r="E38" s="49"/>
      <c r="F38" s="1"/>
      <c r="G38" s="1"/>
      <c r="H38" s="1"/>
      <c r="I38" s="1"/>
      <c r="J38" s="1"/>
      <c r="K38" s="67" t="str">
        <f t="shared" si="2"/>
        <v>INDAH</v>
      </c>
      <c r="L38" s="68">
        <v>5.0</v>
      </c>
      <c r="M38" s="68">
        <v>5.0</v>
      </c>
      <c r="N38" s="68">
        <v>5.0</v>
      </c>
      <c r="O38" s="68">
        <v>5.0</v>
      </c>
      <c r="P38" s="68">
        <v>5.0</v>
      </c>
      <c r="Q38" s="1"/>
      <c r="R38" s="1"/>
      <c r="AC38" s="65">
        <f t="shared" si="3"/>
        <v>100</v>
      </c>
      <c r="AD38" s="65" t="str">
        <f t="shared" si="4"/>
        <v>Sangat Baik</v>
      </c>
      <c r="AE38" s="65" t="str">
        <f t="shared" si="5"/>
        <v>Admin/CS</v>
      </c>
      <c r="AF38" s="65">
        <f t="shared" si="6"/>
        <v>1</v>
      </c>
      <c r="AG38" s="66" t="str">
        <f t="shared" si="7"/>
        <v>INDAH</v>
      </c>
    </row>
    <row r="39" ht="15.75" customHeight="1">
      <c r="A39" s="1"/>
      <c r="B39" s="51">
        <v>10.0</v>
      </c>
      <c r="C39" s="52"/>
      <c r="D39" s="54"/>
      <c r="E39" s="49"/>
      <c r="F39" s="1"/>
      <c r="G39" s="1"/>
      <c r="H39" s="1"/>
      <c r="I39" s="1"/>
      <c r="J39" s="1"/>
      <c r="K39" s="67" t="str">
        <f t="shared" si="2"/>
        <v>ADIF</v>
      </c>
      <c r="L39" s="68">
        <v>5.0</v>
      </c>
      <c r="M39" s="68">
        <v>5.0</v>
      </c>
      <c r="N39" s="68">
        <v>5.0</v>
      </c>
      <c r="O39" s="68">
        <v>5.0</v>
      </c>
      <c r="P39" s="68">
        <v>5.0</v>
      </c>
      <c r="Q39" s="1"/>
      <c r="R39" s="1"/>
      <c r="AC39" s="65">
        <f t="shared" si="3"/>
        <v>100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ADIF</v>
      </c>
    </row>
    <row r="40" ht="15.75" customHeight="1">
      <c r="A40" s="1"/>
      <c r="B40" s="69">
        <v>11.0</v>
      </c>
      <c r="C40" s="70"/>
      <c r="D40" s="71"/>
      <c r="E40" s="49"/>
      <c r="F40" s="1"/>
      <c r="G40" s="1"/>
      <c r="H40" s="1"/>
      <c r="I40" s="1"/>
      <c r="J40" s="1"/>
      <c r="K40" s="67" t="str">
        <f t="shared" si="2"/>
        <v>ADIF</v>
      </c>
      <c r="L40" s="68">
        <v>5.0</v>
      </c>
      <c r="M40" s="68">
        <v>5.0</v>
      </c>
      <c r="N40" s="68">
        <v>5.0</v>
      </c>
      <c r="O40" s="68">
        <v>5.0</v>
      </c>
      <c r="P40" s="68">
        <v>5.0</v>
      </c>
      <c r="Q40" s="1"/>
      <c r="R40" s="1"/>
      <c r="AC40" s="65">
        <f t="shared" si="3"/>
        <v>100</v>
      </c>
      <c r="AD40" s="65" t="str">
        <f t="shared" si="4"/>
        <v>Sangat Baik</v>
      </c>
      <c r="AE40" s="65" t="str">
        <f t="shared" si="5"/>
        <v>Fotografer</v>
      </c>
      <c r="AF40" s="65">
        <f t="shared" si="6"/>
        <v>1</v>
      </c>
      <c r="AG40" s="66" t="str">
        <f t="shared" si="7"/>
        <v>ADIF</v>
      </c>
    </row>
    <row r="41" ht="15.75" customHeight="1">
      <c r="A41" s="1"/>
      <c r="B41" s="1"/>
      <c r="C41" s="2"/>
      <c r="D41" s="72">
        <f>SUM(D30:D40)</f>
        <v>25000</v>
      </c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67"/>
      <c r="L42" s="73"/>
      <c r="M42" s="73"/>
      <c r="N42" s="73"/>
      <c r="O42" s="73"/>
      <c r="P42" s="73"/>
      <c r="Q42" s="1"/>
      <c r="R42" s="1"/>
      <c r="AC42" s="65" t="str">
        <f t="shared" si="3"/>
        <v/>
      </c>
      <c r="AD42" s="65" t="str">
        <f t="shared" si="4"/>
        <v/>
      </c>
      <c r="AE42" s="65" t="str">
        <f t="shared" si="5"/>
        <v/>
      </c>
      <c r="AF42" s="65" t="str">
        <f t="shared" si="6"/>
        <v/>
      </c>
      <c r="AG42" s="66" t="str">
        <f t="shared" si="7"/>
        <v/>
      </c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4" t="s">
        <v>112</v>
      </c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5" t="s">
        <v>113</v>
      </c>
      <c r="N45" s="1"/>
      <c r="O45" s="1"/>
      <c r="P45" s="1"/>
      <c r="Q45" s="1"/>
      <c r="R45" s="1"/>
    </row>
    <row r="46" ht="15.75" customHeight="1">
      <c r="K46" s="76" t="s">
        <v>7</v>
      </c>
      <c r="L46" s="76" t="s">
        <v>114</v>
      </c>
      <c r="M46" s="76" t="s">
        <v>115</v>
      </c>
    </row>
    <row r="47" ht="15.75" customHeight="1">
      <c r="K47" s="77" t="str">
        <f t="shared" ref="K47:K48" si="8">IF(O30="","",O30)</f>
        <v>AMEL</v>
      </c>
      <c r="L47" s="81">
        <v>4.0</v>
      </c>
      <c r="M47" s="78"/>
    </row>
    <row r="48" ht="15.75" customHeight="1">
      <c r="K48" s="77" t="str">
        <f t="shared" si="8"/>
        <v>INDAH</v>
      </c>
      <c r="L48" s="81">
        <v>4.0</v>
      </c>
      <c r="M48" s="78"/>
    </row>
    <row r="49" ht="15.75" customHeight="1"/>
    <row r="50" ht="19.5" customHeight="1">
      <c r="K50" s="79" t="s">
        <v>118</v>
      </c>
    </row>
    <row r="51" ht="19.5" customHeight="1">
      <c r="K51" s="80" t="s">
        <v>119</v>
      </c>
      <c r="M51" s="81">
        <v>22.0</v>
      </c>
    </row>
    <row r="52" ht="19.5" customHeight="1">
      <c r="K52" s="82" t="s">
        <v>120</v>
      </c>
      <c r="M52" s="83">
        <f>COUNTIF($I$4:$I$28,"DP")</f>
        <v>8</v>
      </c>
    </row>
    <row r="53" ht="19.5" customHeight="1">
      <c r="K53" s="82" t="s">
        <v>121</v>
      </c>
      <c r="M53" s="83">
        <f>COUNTIFS($I$4:$I$28,"&lt;&gt;DP",$I$4:$I$28,"&lt;&gt;")</f>
        <v>6</v>
      </c>
    </row>
    <row r="54" ht="19.5" customHeight="1">
      <c r="K54" s="84" t="s">
        <v>122</v>
      </c>
      <c r="M54" s="83">
        <f>M52+M53</f>
        <v>14</v>
      </c>
    </row>
    <row r="55" ht="19.5" customHeight="1">
      <c r="K55" s="80" t="s">
        <v>123</v>
      </c>
      <c r="M55" s="85">
        <f>IF(OR(M51="",M51=0),"",M52/M51)</f>
        <v>0.3636363636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1:L51"/>
    <mergeCell ref="K52:L52"/>
    <mergeCell ref="K53:L53"/>
    <mergeCell ref="K54:L54"/>
    <mergeCell ref="K55:L55"/>
    <mergeCell ref="L2:L3"/>
    <mergeCell ref="M2:M3"/>
    <mergeCell ref="N2:P2"/>
    <mergeCell ref="K35:P35"/>
    <mergeCell ref="K43:P43"/>
    <mergeCell ref="K45:M45"/>
    <mergeCell ref="K50:M50"/>
  </mergeCells>
  <conditionalFormatting sqref="I4:I28">
    <cfRule type="expression" dxfId="0" priority="1">
      <formula>I4="DP"</formula>
    </cfRule>
  </conditionalFormatting>
  <conditionalFormatting sqref="I4:I28">
    <cfRule type="expression" dxfId="1" priority="2">
      <formula>I4="Lunas"</formula>
    </cfRule>
  </conditionalFormatting>
  <conditionalFormatting sqref="J4:K28">
    <cfRule type="expression" dxfId="2" priority="3">
      <formula>OR(J4="Uploaded",J4="Delivered")</formula>
    </cfRule>
  </conditionalFormatting>
  <dataValidations>
    <dataValidation type="list" allowBlank="1" showDropDown="1" showErrorMessage="1" sqref="I4:I25">
      <formula1>"-,DP,Lunas"</formula1>
    </dataValidation>
    <dataValidation type="list" allowBlank="1" sqref="L37:P42">
      <formula1>"1,2,3,4,5"</formula1>
    </dataValidation>
    <dataValidation type="list" allowBlank="1" showDropDown="1" showErrorMessage="1" sqref="J4:K25">
      <formula1>"-,Pending,Uploaded"</formula1>
    </dataValidation>
    <dataValidation type="list" allowBlank="1" sqref="K37:K42">
      <formula1>'Resume Karyawan KPI'!$AK$5:$AK$15</formula1>
    </dataValidation>
    <dataValidation type="list" allowBlank="1" showDropDown="1" showErrorMessage="1" sqref="M4:M25">
      <formula1>"-,VERO,FADEL,PENTIL,FAHME,ADIF,HANIF"</formula1>
    </dataValidation>
    <dataValidation type="list" allowBlank="1" showErrorMessage="1" sqref="N4:N25">
      <formula1>"-,Pending,Progress,Uploaded"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qref="O30:O33">
      <formula1>"INDAH,ADDEL,AMEL,PENTIL,JIJANG,HANIF,FAHME,ADIF,ABROR,FADEL,SAKA"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L4:L25">
      <formula1>"-,JIJANG,AXEL,PENTIL,FAHME,INDAH,AMEL"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6.5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256</v>
      </c>
      <c r="D4" s="95" t="s">
        <v>23</v>
      </c>
      <c r="E4" s="14"/>
      <c r="F4" s="96">
        <v>46250.0</v>
      </c>
      <c r="G4" s="34"/>
      <c r="H4" s="97">
        <v>100000.0</v>
      </c>
      <c r="I4" s="92" t="s">
        <v>28</v>
      </c>
      <c r="J4" s="92"/>
      <c r="K4" s="92"/>
      <c r="L4" s="92" t="s">
        <v>30</v>
      </c>
      <c r="M4" s="92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262</v>
      </c>
      <c r="D5" s="95" t="s">
        <v>23</v>
      </c>
      <c r="E5" s="14"/>
      <c r="F5" s="98">
        <v>46249.0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9" t="s">
        <v>265</v>
      </c>
      <c r="D6" s="95" t="s">
        <v>23</v>
      </c>
      <c r="E6" s="14"/>
      <c r="F6" s="98">
        <v>46249.0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32" t="s">
        <v>267</v>
      </c>
      <c r="D7" s="16" t="s">
        <v>39</v>
      </c>
      <c r="E7" s="14"/>
      <c r="F7" s="33">
        <v>46249.0</v>
      </c>
      <c r="G7" s="34"/>
      <c r="H7" s="35">
        <v>100000.0</v>
      </c>
      <c r="I7" s="15" t="s">
        <v>28</v>
      </c>
      <c r="J7" s="15"/>
      <c r="K7" s="15"/>
      <c r="L7" s="15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270</v>
      </c>
      <c r="D8" s="95" t="s">
        <v>24</v>
      </c>
      <c r="E8" s="100" t="s">
        <v>271</v>
      </c>
      <c r="F8" s="98">
        <v>46249.0</v>
      </c>
      <c r="G8" s="34"/>
      <c r="H8" s="97">
        <v>560000.0</v>
      </c>
      <c r="I8" s="92" t="s">
        <v>35</v>
      </c>
      <c r="J8" s="92" t="s">
        <v>36</v>
      </c>
      <c r="K8" s="92" t="s">
        <v>36</v>
      </c>
      <c r="L8" s="92" t="s">
        <v>30</v>
      </c>
      <c r="M8" s="92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273</v>
      </c>
      <c r="D9" s="95" t="s">
        <v>126</v>
      </c>
      <c r="E9" s="14"/>
      <c r="F9" s="98">
        <v>46252.0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274</v>
      </c>
      <c r="D10" s="95" t="s">
        <v>23</v>
      </c>
      <c r="E10" s="14"/>
      <c r="F10" s="98">
        <v>46249.0</v>
      </c>
      <c r="G10" s="101">
        <v>100000.0</v>
      </c>
      <c r="H10" s="35"/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37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275</v>
      </c>
      <c r="D11" s="95" t="s">
        <v>130</v>
      </c>
      <c r="E11" s="100" t="s">
        <v>276</v>
      </c>
      <c r="F11" s="92" t="s">
        <v>243</v>
      </c>
      <c r="G11" s="34"/>
      <c r="H11" s="97">
        <v>1210000.0</v>
      </c>
      <c r="I11" s="92" t="s">
        <v>35</v>
      </c>
      <c r="J11" s="92" t="s">
        <v>36</v>
      </c>
      <c r="K11" s="92" t="s">
        <v>36</v>
      </c>
      <c r="L11" s="92" t="s">
        <v>29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9" t="s">
        <v>251</v>
      </c>
      <c r="D12" s="95" t="s">
        <v>23</v>
      </c>
      <c r="E12" s="14"/>
      <c r="F12" s="92" t="s">
        <v>243</v>
      </c>
      <c r="G12" s="101">
        <v>200000.0</v>
      </c>
      <c r="H12" s="97">
        <v>225000.0</v>
      </c>
      <c r="I12" s="92" t="s">
        <v>35</v>
      </c>
      <c r="J12" s="92" t="s">
        <v>36</v>
      </c>
      <c r="K12" s="92" t="s">
        <v>36</v>
      </c>
      <c r="L12" s="92" t="s">
        <v>29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277</v>
      </c>
      <c r="D13" s="95" t="s">
        <v>23</v>
      </c>
      <c r="E13" s="14"/>
      <c r="F13" s="92" t="s">
        <v>45</v>
      </c>
      <c r="G13" s="34"/>
      <c r="H13" s="97">
        <v>100000.0</v>
      </c>
      <c r="I13" s="92" t="s">
        <v>28</v>
      </c>
      <c r="J13" s="15"/>
      <c r="K13" s="15"/>
      <c r="L13" s="92" t="s">
        <v>29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265</v>
      </c>
      <c r="D14" s="95" t="s">
        <v>23</v>
      </c>
      <c r="E14" s="14"/>
      <c r="F14" s="92" t="s">
        <v>243</v>
      </c>
      <c r="G14" s="101">
        <v>300000.0</v>
      </c>
      <c r="H14" s="97">
        <v>100000.0</v>
      </c>
      <c r="I14" s="92" t="s">
        <v>35</v>
      </c>
      <c r="J14" s="92" t="s">
        <v>36</v>
      </c>
      <c r="K14" s="92" t="s">
        <v>77</v>
      </c>
      <c r="L14" s="92" t="s">
        <v>29</v>
      </c>
      <c r="M14" s="92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267</v>
      </c>
      <c r="D15" s="95" t="s">
        <v>39</v>
      </c>
      <c r="E15" s="14"/>
      <c r="F15" s="92" t="s">
        <v>243</v>
      </c>
      <c r="G15" s="34"/>
      <c r="H15" s="97">
        <v>50000.0</v>
      </c>
      <c r="I15" s="92" t="s">
        <v>35</v>
      </c>
      <c r="J15" s="92" t="s">
        <v>36</v>
      </c>
      <c r="K15" s="92" t="s">
        <v>36</v>
      </c>
      <c r="L15" s="92" t="s">
        <v>29</v>
      </c>
      <c r="M15" s="92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278</v>
      </c>
      <c r="D16" s="95" t="s">
        <v>22</v>
      </c>
      <c r="E16" s="14"/>
      <c r="F16" s="92" t="s">
        <v>25</v>
      </c>
      <c r="G16" s="34"/>
      <c r="H16" s="97">
        <v>100000.0</v>
      </c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279</v>
      </c>
      <c r="D17" s="95" t="s">
        <v>22</v>
      </c>
      <c r="E17" s="14"/>
      <c r="F17" s="92" t="s">
        <v>280</v>
      </c>
      <c r="G17" s="34"/>
      <c r="H17" s="97">
        <v>100000.0</v>
      </c>
      <c r="I17" s="92" t="s">
        <v>28</v>
      </c>
      <c r="J17" s="15"/>
      <c r="K17" s="15"/>
      <c r="L17" s="92" t="s">
        <v>29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40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/>
      <c r="D19" s="16"/>
      <c r="E19" s="14"/>
      <c r="F19" s="40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32"/>
      <c r="D20" s="16"/>
      <c r="E20" s="14"/>
      <c r="F20" s="40"/>
      <c r="G20" s="34"/>
      <c r="H20" s="35"/>
      <c r="I20" s="15"/>
      <c r="J20" s="15"/>
      <c r="K20" s="15"/>
      <c r="L20" s="15"/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32"/>
      <c r="D21" s="16"/>
      <c r="E21" s="14"/>
      <c r="F21" s="40"/>
      <c r="G21" s="34"/>
      <c r="H21" s="35"/>
      <c r="I21" s="15"/>
      <c r="J21" s="15"/>
      <c r="K21" s="15"/>
      <c r="L21" s="15"/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32"/>
      <c r="D22" s="16"/>
      <c r="E22" s="14"/>
      <c r="F22" s="40"/>
      <c r="G22" s="34"/>
      <c r="H22" s="35"/>
      <c r="I22" s="15"/>
      <c r="J22" s="15"/>
      <c r="K22" s="15"/>
      <c r="L22" s="15"/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32"/>
      <c r="D23" s="16"/>
      <c r="E23" s="14"/>
      <c r="F23" s="15"/>
      <c r="G23" s="34"/>
      <c r="H23" s="35"/>
      <c r="I23" s="15"/>
      <c r="J23" s="15"/>
      <c r="K23" s="15"/>
      <c r="L23" s="15"/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32"/>
      <c r="D24" s="16"/>
      <c r="E24" s="14"/>
      <c r="F24" s="15"/>
      <c r="G24" s="34"/>
      <c r="H24" s="35"/>
      <c r="I24" s="15"/>
      <c r="J24" s="15"/>
      <c r="K24" s="15"/>
      <c r="L24" s="15"/>
      <c r="M24" s="15"/>
      <c r="N24" s="41"/>
      <c r="O24" s="41"/>
      <c r="P24" s="41"/>
      <c r="Q24" s="1"/>
      <c r="R24" s="1"/>
    </row>
    <row r="25" ht="18.75" customHeight="1">
      <c r="A25" s="1"/>
      <c r="B25" s="1"/>
      <c r="C25" s="2"/>
      <c r="D25" s="2"/>
      <c r="E25" s="1"/>
      <c r="F25" s="1"/>
      <c r="G25" s="42">
        <f t="shared" ref="G25:H25" si="1">SUM(G4:G24)</f>
        <v>600000</v>
      </c>
      <c r="H25" s="43">
        <f t="shared" si="1"/>
        <v>2945000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23.25" customHeight="1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5.7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44" t="s">
        <v>0</v>
      </c>
      <c r="C28" s="45" t="s">
        <v>6</v>
      </c>
      <c r="D28" s="45" t="s">
        <v>88</v>
      </c>
      <c r="E28" s="1"/>
      <c r="F28" s="1"/>
      <c r="G28" s="1"/>
      <c r="H28" s="1"/>
      <c r="I28" s="1"/>
      <c r="J28" s="1"/>
      <c r="K28" s="1"/>
      <c r="L28" s="1"/>
      <c r="M28" s="1"/>
      <c r="N28" s="45" t="s">
        <v>89</v>
      </c>
      <c r="O28" s="45" t="s">
        <v>1</v>
      </c>
      <c r="P28" s="1"/>
      <c r="Q28" s="1"/>
      <c r="R28" s="1"/>
    </row>
    <row r="29" ht="15.75" customHeight="1">
      <c r="A29" s="1"/>
      <c r="B29" s="46">
        <v>1.0</v>
      </c>
      <c r="C29" s="47" t="s">
        <v>90</v>
      </c>
      <c r="D29" s="48">
        <f>SUM(G25)</f>
        <v>600000</v>
      </c>
      <c r="E29" s="49"/>
      <c r="F29" s="1"/>
      <c r="G29" s="1"/>
      <c r="H29" s="1"/>
      <c r="I29" s="1"/>
      <c r="J29" s="1"/>
      <c r="K29" s="1"/>
      <c r="L29" s="1"/>
      <c r="M29" s="1"/>
      <c r="N29" s="50" t="s">
        <v>91</v>
      </c>
      <c r="O29" s="109" t="s">
        <v>30</v>
      </c>
      <c r="P29" s="1"/>
      <c r="Q29" s="1"/>
      <c r="R29" s="1"/>
    </row>
    <row r="30" ht="15.75" customHeight="1">
      <c r="A30" s="1"/>
      <c r="B30" s="51">
        <v>2.0</v>
      </c>
      <c r="C30" s="93" t="s">
        <v>96</v>
      </c>
      <c r="D30" s="108">
        <v>-20000.0</v>
      </c>
      <c r="E30" s="49"/>
      <c r="F30" s="1"/>
      <c r="G30" s="1"/>
      <c r="H30" s="1"/>
      <c r="I30" s="1"/>
      <c r="J30" s="1"/>
      <c r="K30" s="1"/>
      <c r="L30" s="1"/>
      <c r="M30" s="1"/>
      <c r="N30" s="56" t="s">
        <v>93</v>
      </c>
      <c r="O30" s="105" t="s">
        <v>29</v>
      </c>
      <c r="P30" s="1"/>
      <c r="Q30" s="1"/>
      <c r="R30" s="1"/>
    </row>
    <row r="31" ht="15.75" customHeight="1">
      <c r="A31" s="1"/>
      <c r="B31" s="46">
        <v>3.0</v>
      </c>
      <c r="C31" s="106" t="s">
        <v>99</v>
      </c>
      <c r="D31" s="107">
        <v>-80000.0</v>
      </c>
      <c r="E31" s="49"/>
      <c r="F31" s="1"/>
      <c r="G31" s="1"/>
      <c r="H31" s="1"/>
      <c r="I31" s="1"/>
      <c r="J31" s="1"/>
      <c r="K31" s="1"/>
      <c r="L31" s="1"/>
      <c r="M31" s="1"/>
      <c r="N31" s="59" t="s">
        <v>95</v>
      </c>
      <c r="O31" s="110" t="s">
        <v>37</v>
      </c>
      <c r="P31" s="1"/>
      <c r="Q31" s="1"/>
      <c r="R31" s="1"/>
    </row>
    <row r="32" ht="15.75" customHeight="1">
      <c r="A32" s="1"/>
      <c r="B32" s="51">
        <v>4.0</v>
      </c>
      <c r="C32" s="52"/>
      <c r="D32" s="54"/>
      <c r="E32" s="49"/>
      <c r="F32" s="1"/>
      <c r="G32" s="1"/>
      <c r="H32" s="1"/>
      <c r="I32" s="1"/>
      <c r="J32" s="1"/>
      <c r="K32" s="1"/>
      <c r="L32" s="1"/>
      <c r="M32" s="1"/>
      <c r="N32" s="60" t="s">
        <v>98</v>
      </c>
      <c r="O32" s="105" t="s">
        <v>47</v>
      </c>
      <c r="P32" s="1"/>
      <c r="Q32" s="1"/>
      <c r="R32" s="1"/>
    </row>
    <row r="33" ht="15.75" customHeight="1">
      <c r="A33" s="1"/>
      <c r="B33" s="46">
        <v>5.0</v>
      </c>
      <c r="C33" s="47"/>
      <c r="D33" s="48"/>
      <c r="E33" s="49"/>
      <c r="F33" s="1"/>
      <c r="G33" s="1"/>
      <c r="H33" s="1"/>
      <c r="I33" s="1"/>
      <c r="J33" s="1"/>
      <c r="K33" s="1"/>
      <c r="L33" s="1"/>
      <c r="M33" s="1"/>
      <c r="N33" s="61"/>
      <c r="O33" s="1"/>
      <c r="P33" s="1"/>
      <c r="Q33" s="1"/>
      <c r="R33" s="1"/>
    </row>
    <row r="34" ht="15.75" customHeight="1">
      <c r="A34" s="1"/>
      <c r="B34" s="51">
        <v>6.0</v>
      </c>
      <c r="C34" s="52"/>
      <c r="D34" s="54"/>
      <c r="E34" s="49"/>
      <c r="F34" s="1"/>
      <c r="G34" s="1"/>
      <c r="H34" s="1"/>
      <c r="I34" s="1"/>
      <c r="J34" s="1"/>
      <c r="K34" s="62" t="s">
        <v>100</v>
      </c>
      <c r="Q34" s="1"/>
      <c r="R34" s="1"/>
    </row>
    <row r="35" ht="15.75" customHeight="1">
      <c r="A35" s="1"/>
      <c r="B35" s="46">
        <v>7.0</v>
      </c>
      <c r="C35" s="47"/>
      <c r="D35" s="48"/>
      <c r="E35" s="49"/>
      <c r="F35" s="1"/>
      <c r="G35" s="1"/>
      <c r="H35" s="1"/>
      <c r="I35" s="1"/>
      <c r="J35" s="1"/>
      <c r="K35" s="63" t="s">
        <v>1</v>
      </c>
      <c r="L35" s="63" t="s">
        <v>102</v>
      </c>
      <c r="M35" s="63" t="s">
        <v>103</v>
      </c>
      <c r="N35" s="63" t="s">
        <v>104</v>
      </c>
      <c r="O35" s="63" t="s">
        <v>105</v>
      </c>
      <c r="P35" s="63" t="s">
        <v>106</v>
      </c>
      <c r="Q35" s="1"/>
      <c r="R35" s="1"/>
      <c r="AC35" s="65" t="s">
        <v>107</v>
      </c>
      <c r="AD35" s="65" t="s">
        <v>108</v>
      </c>
      <c r="AE35" s="65" t="s">
        <v>109</v>
      </c>
      <c r="AF35" s="65" t="s">
        <v>110</v>
      </c>
      <c r="AG35" s="66" t="s">
        <v>111</v>
      </c>
    </row>
    <row r="36" ht="15.75" customHeight="1">
      <c r="A36" s="1"/>
      <c r="B36" s="51">
        <v>8.0</v>
      </c>
      <c r="C36" s="52"/>
      <c r="D36" s="54"/>
      <c r="E36" s="49"/>
      <c r="F36" s="1"/>
      <c r="G36" s="1"/>
      <c r="H36" s="1"/>
      <c r="I36" s="1"/>
      <c r="J36" s="1"/>
      <c r="K36" s="67" t="str">
        <f t="shared" ref="K36:K39" si="2">IF(O29="","",O29)</f>
        <v>INDAH</v>
      </c>
      <c r="L36" s="68">
        <v>5.0</v>
      </c>
      <c r="M36" s="68">
        <v>5.0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ref="AC36:AC41" si="3">IF(AG36="","",IF(COUNT(L36:P36)&lt;5,"",L36/5*20+M36/5*25+N36/5*25+O36/5*15+P36/5*15))</f>
        <v>100</v>
      </c>
      <c r="AD36" s="65" t="str">
        <f t="shared" ref="AD36:AD41" si="4">IF(AC36="","",IF(AC36&gt;=90,"Sangat Baik",IF(AC36&gt;=80,"Baik",IF(AC36&gt;=70,"Coaching","Underperform"))))</f>
        <v>Sangat Baik</v>
      </c>
      <c r="AE36" s="65" t="str">
        <f t="shared" ref="AE36:AE41" si="5">IF(AG36="","",IF(OR(AG36="INDAH",AG36="ADDEL",AG36="AMEL",AG36="PENTIL",AG36="JIJANG"),"Admin/CS","Fotografer"))</f>
        <v>Admin/CS</v>
      </c>
      <c r="AF36" s="65">
        <f t="shared" ref="AF36:AF41" si="6">IF(OR(AG36="",COUNT(L36:P36)&lt;5),"",1)</f>
        <v>1</v>
      </c>
      <c r="AG36" s="66" t="str">
        <f t="shared" ref="AG36:AG41" si="7">IFERROR(K36,"")</f>
        <v>INDAH</v>
      </c>
    </row>
    <row r="37" ht="15.75" customHeight="1">
      <c r="A37" s="1"/>
      <c r="B37" s="46">
        <v>9.0</v>
      </c>
      <c r="C37" s="47"/>
      <c r="D37" s="48"/>
      <c r="E37" s="49"/>
      <c r="F37" s="1"/>
      <c r="G37" s="1"/>
      <c r="H37" s="1"/>
      <c r="I37" s="1"/>
      <c r="J37" s="1"/>
      <c r="K37" s="67" t="str">
        <f t="shared" si="2"/>
        <v>AMEL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si="3"/>
        <v>100</v>
      </c>
      <c r="AD37" s="65" t="str">
        <f t="shared" si="4"/>
        <v>Sangat Baik</v>
      </c>
      <c r="AE37" s="65" t="str">
        <f t="shared" si="5"/>
        <v>Admin/CS</v>
      </c>
      <c r="AF37" s="65">
        <f t="shared" si="6"/>
        <v>1</v>
      </c>
      <c r="AG37" s="66" t="str">
        <f t="shared" si="7"/>
        <v>AMEL</v>
      </c>
    </row>
    <row r="38" ht="15.75" customHeight="1">
      <c r="A38" s="1"/>
      <c r="B38" s="51">
        <v>10.0</v>
      </c>
      <c r="C38" s="52"/>
      <c r="D38" s="54"/>
      <c r="E38" s="49"/>
      <c r="F38" s="1"/>
      <c r="G38" s="1"/>
      <c r="H38" s="1"/>
      <c r="I38" s="1"/>
      <c r="J38" s="1"/>
      <c r="K38" s="67" t="str">
        <f t="shared" si="2"/>
        <v>ADIF</v>
      </c>
      <c r="L38" s="68">
        <v>4.0</v>
      </c>
      <c r="M38" s="68">
        <v>5.0</v>
      </c>
      <c r="N38" s="68">
        <v>4.0</v>
      </c>
      <c r="O38" s="68">
        <v>5.0</v>
      </c>
      <c r="P38" s="68">
        <v>4.0</v>
      </c>
      <c r="Q38" s="1"/>
      <c r="R38" s="1"/>
      <c r="AC38" s="65">
        <f t="shared" si="3"/>
        <v>88</v>
      </c>
      <c r="AD38" s="65" t="str">
        <f t="shared" si="4"/>
        <v>Baik</v>
      </c>
      <c r="AE38" s="65" t="str">
        <f t="shared" si="5"/>
        <v>Fotografer</v>
      </c>
      <c r="AF38" s="65">
        <f t="shared" si="6"/>
        <v>1</v>
      </c>
      <c r="AG38" s="66" t="str">
        <f t="shared" si="7"/>
        <v>ADIF</v>
      </c>
    </row>
    <row r="39" ht="15.75" customHeight="1">
      <c r="A39" s="1"/>
      <c r="B39" s="69">
        <v>11.0</v>
      </c>
      <c r="C39" s="70"/>
      <c r="D39" s="71"/>
      <c r="E39" s="49"/>
      <c r="F39" s="1"/>
      <c r="G39" s="1"/>
      <c r="H39" s="1"/>
      <c r="I39" s="1"/>
      <c r="J39" s="1"/>
      <c r="K39" s="67" t="str">
        <f t="shared" si="2"/>
        <v>SAKA</v>
      </c>
      <c r="L39" s="68">
        <v>4.0</v>
      </c>
      <c r="M39" s="68">
        <v>5.0</v>
      </c>
      <c r="N39" s="68">
        <v>4.0</v>
      </c>
      <c r="O39" s="68">
        <v>5.0</v>
      </c>
      <c r="P39" s="68">
        <v>4.0</v>
      </c>
      <c r="Q39" s="1"/>
      <c r="R39" s="1"/>
      <c r="AC39" s="65">
        <f t="shared" si="3"/>
        <v>88</v>
      </c>
      <c r="AD39" s="65" t="str">
        <f t="shared" si="4"/>
        <v>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SAKA</v>
      </c>
    </row>
    <row r="40" ht="15.75" customHeight="1">
      <c r="A40" s="1"/>
      <c r="B40" s="1"/>
      <c r="C40" s="2"/>
      <c r="D40" s="72">
        <f>SUM(D29:D39)</f>
        <v>500000</v>
      </c>
      <c r="E40" s="1"/>
      <c r="F40" s="1"/>
      <c r="G40" s="1"/>
      <c r="H40" s="1"/>
      <c r="I40" s="1"/>
      <c r="J40" s="1"/>
      <c r="K40" s="67"/>
      <c r="L40" s="73"/>
      <c r="M40" s="73"/>
      <c r="N40" s="73"/>
      <c r="O40" s="73"/>
      <c r="P40" s="73"/>
      <c r="Q40" s="1"/>
      <c r="R40" s="1"/>
      <c r="AC40" s="65" t="str">
        <f t="shared" si="3"/>
        <v/>
      </c>
      <c r="AD40" s="65" t="str">
        <f t="shared" si="4"/>
        <v/>
      </c>
      <c r="AE40" s="65" t="str">
        <f t="shared" si="5"/>
        <v/>
      </c>
      <c r="AF40" s="65" t="str">
        <f t="shared" si="6"/>
        <v/>
      </c>
      <c r="AG40" s="66" t="str">
        <f t="shared" si="7"/>
        <v/>
      </c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74" t="s">
        <v>112</v>
      </c>
      <c r="Q42" s="1"/>
      <c r="R42" s="1"/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75" t="s">
        <v>113</v>
      </c>
      <c r="N44" s="112"/>
      <c r="O44" s="1"/>
      <c r="P44" s="1"/>
      <c r="Q44" s="1"/>
      <c r="R44" s="1"/>
    </row>
    <row r="45" ht="15.75" customHeight="1">
      <c r="K45" s="76" t="s">
        <v>7</v>
      </c>
      <c r="L45" s="76" t="s">
        <v>114</v>
      </c>
      <c r="M45" s="76" t="s">
        <v>115</v>
      </c>
      <c r="N45" s="113" t="s">
        <v>290</v>
      </c>
    </row>
    <row r="46" ht="15.75" customHeight="1">
      <c r="K46" s="77" t="str">
        <f t="shared" ref="K46:K47" si="8">IF(O29="","",O29)</f>
        <v>INDAH</v>
      </c>
      <c r="L46" s="81">
        <v>6.0</v>
      </c>
      <c r="M46" s="81" t="s">
        <v>117</v>
      </c>
      <c r="N46" s="114">
        <v>29.0</v>
      </c>
    </row>
    <row r="47" ht="15.75" customHeight="1">
      <c r="K47" s="77" t="str">
        <f t="shared" si="8"/>
        <v>AMEL</v>
      </c>
      <c r="L47" s="81">
        <v>4.0</v>
      </c>
      <c r="M47" s="78"/>
      <c r="N47" s="114">
        <v>46.0</v>
      </c>
    </row>
    <row r="48" ht="15.75" customHeight="1"/>
    <row r="49" ht="19.5" customHeight="1">
      <c r="K49" s="79" t="s">
        <v>118</v>
      </c>
    </row>
    <row r="50" ht="19.5" customHeight="1">
      <c r="K50" s="80" t="s">
        <v>119</v>
      </c>
      <c r="M50" s="81">
        <v>23.0</v>
      </c>
    </row>
    <row r="51" ht="19.5" customHeight="1">
      <c r="K51" s="82" t="s">
        <v>120</v>
      </c>
      <c r="M51" s="83">
        <f>COUNTIF($I$4:$I$27,"DP")</f>
        <v>8</v>
      </c>
    </row>
    <row r="52" ht="19.5" customHeight="1">
      <c r="K52" s="82" t="s">
        <v>121</v>
      </c>
      <c r="M52" s="83">
        <f>COUNTIFS($I$4:$I$27,"&lt;&gt;DP",$I$4:$I$27,"&lt;&gt;")</f>
        <v>6</v>
      </c>
    </row>
    <row r="53" ht="19.5" customHeight="1">
      <c r="K53" s="84" t="s">
        <v>122</v>
      </c>
      <c r="M53" s="83">
        <f>M51+M52</f>
        <v>14</v>
      </c>
    </row>
    <row r="54" ht="19.5" customHeight="1">
      <c r="K54" s="80" t="s">
        <v>123</v>
      </c>
      <c r="M54" s="85">
        <f>IF(OR(M50="",M50=0),"",M51/M50)</f>
        <v>0.347826087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0:L50"/>
    <mergeCell ref="K51:L51"/>
    <mergeCell ref="K52:L52"/>
    <mergeCell ref="K53:L53"/>
    <mergeCell ref="K54:L54"/>
    <mergeCell ref="L2:L3"/>
    <mergeCell ref="M2:M3"/>
    <mergeCell ref="N2:P2"/>
    <mergeCell ref="K34:P34"/>
    <mergeCell ref="K42:P42"/>
    <mergeCell ref="K44:M44"/>
    <mergeCell ref="K49:M49"/>
  </mergeCells>
  <conditionalFormatting sqref="I4:I27">
    <cfRule type="expression" dxfId="0" priority="1">
      <formula>I4="DP"</formula>
    </cfRule>
  </conditionalFormatting>
  <conditionalFormatting sqref="I4:I27">
    <cfRule type="expression" dxfId="1" priority="2">
      <formula>I4="Lunas"</formula>
    </cfRule>
  </conditionalFormatting>
  <conditionalFormatting sqref="J4:K27">
    <cfRule type="expression" dxfId="2" priority="3">
      <formula>OR(J4="Uploaded",J4="Delivered")</formula>
    </cfRule>
  </conditionalFormatting>
  <dataValidations>
    <dataValidation type="list" allowBlank="1" showDropDown="1" showErrorMessage="1" sqref="I4:I24">
      <formula1>"-,DP,Lunas"</formula1>
    </dataValidation>
    <dataValidation type="list" allowBlank="1" showDropDown="1" showErrorMessage="1" sqref="L4:L24">
      <formula1>"-,JIJANG,AXEL,ADDEL,FAHME,INDAH,AMEL"</formula1>
    </dataValidation>
    <dataValidation type="list" allowBlank="1" sqref="L36:P41">
      <formula1>"1,2,3,4,5"</formula1>
    </dataValidation>
    <dataValidation type="list" allowBlank="1" showDropDown="1" showErrorMessage="1" sqref="J4:K24">
      <formula1>"-,Pending,Uploaded"</formula1>
    </dataValidation>
    <dataValidation type="list" allowBlank="1" sqref="K36:K41">
      <formula1>'Resume Karyawan KPI'!$AK$5:$AK$15</formula1>
    </dataValidation>
    <dataValidation type="list" allowBlank="1" showErrorMessage="1" sqref="N4:N24">
      <formula1>"-,Pending,Progress,Uploaded"</formula1>
    </dataValidation>
    <dataValidation type="list" allowBlank="1" showDropDown="1" showErrorMessage="1" sqref="M4:M24">
      <formula1>"-,VERO,FADEL,PENTIL,HANIF,ADIF,SAKA"</formula1>
    </dataValidation>
    <dataValidation type="list" allowBlank="1" sqref="O29:O32">
      <formula1>"INDAH,ADDEL,AMEL,PENTIL,JIJANG,HANIF,FAHME,ADIF,ABROR,FADEL,SAKA"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Person,Add Edit,Photofox"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281</v>
      </c>
      <c r="D4" s="95" t="s">
        <v>23</v>
      </c>
      <c r="E4" s="14"/>
      <c r="F4" s="92" t="s">
        <v>255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282</v>
      </c>
      <c r="D5" s="95" t="s">
        <v>39</v>
      </c>
      <c r="E5" s="14"/>
      <c r="F5" s="92" t="s">
        <v>45</v>
      </c>
      <c r="G5" s="34"/>
      <c r="H5" s="97">
        <v>100000.0</v>
      </c>
      <c r="I5" s="92" t="s">
        <v>28</v>
      </c>
      <c r="J5" s="15"/>
      <c r="K5" s="15"/>
      <c r="L5" s="92" t="s">
        <v>29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283</v>
      </c>
      <c r="D6" s="95" t="s">
        <v>60</v>
      </c>
      <c r="E6" s="14"/>
      <c r="F6" s="92" t="s">
        <v>255</v>
      </c>
      <c r="G6" s="34"/>
      <c r="H6" s="97">
        <v>100000.0</v>
      </c>
      <c r="I6" s="92" t="s">
        <v>28</v>
      </c>
      <c r="J6" s="15"/>
      <c r="K6" s="15"/>
      <c r="L6" s="92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284</v>
      </c>
      <c r="D7" s="95" t="s">
        <v>22</v>
      </c>
      <c r="E7" s="14"/>
      <c r="F7" s="92" t="s">
        <v>208</v>
      </c>
      <c r="G7" s="34"/>
      <c r="H7" s="97">
        <v>100000.0</v>
      </c>
      <c r="I7" s="92" t="s">
        <v>28</v>
      </c>
      <c r="J7" s="15"/>
      <c r="K7" s="15"/>
      <c r="L7" s="92" t="s">
        <v>29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285</v>
      </c>
      <c r="D8" s="95" t="s">
        <v>22</v>
      </c>
      <c r="E8" s="14"/>
      <c r="F8" s="111">
        <v>46284.0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254</v>
      </c>
      <c r="D9" s="95" t="s">
        <v>23</v>
      </c>
      <c r="E9" s="14"/>
      <c r="F9" s="111">
        <v>46250.0</v>
      </c>
      <c r="G9" s="34"/>
      <c r="H9" s="97">
        <v>250000.0</v>
      </c>
      <c r="I9" s="92" t="s">
        <v>35</v>
      </c>
      <c r="J9" s="92" t="s">
        <v>36</v>
      </c>
      <c r="K9" s="92" t="s">
        <v>36</v>
      </c>
      <c r="L9" s="92" t="s">
        <v>30</v>
      </c>
      <c r="M9" s="92" t="s">
        <v>47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281</v>
      </c>
      <c r="D10" s="95" t="s">
        <v>23</v>
      </c>
      <c r="E10" s="14"/>
      <c r="F10" s="98">
        <v>46250.0</v>
      </c>
      <c r="G10" s="34"/>
      <c r="H10" s="97">
        <v>250000.0</v>
      </c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283</v>
      </c>
      <c r="D11" s="95" t="s">
        <v>13</v>
      </c>
      <c r="E11" s="14"/>
      <c r="F11" s="98">
        <v>46250.0</v>
      </c>
      <c r="G11" s="101">
        <v>50000.0</v>
      </c>
      <c r="H11" s="35"/>
      <c r="I11" s="92" t="s">
        <v>35</v>
      </c>
      <c r="J11" s="92" t="s">
        <v>36</v>
      </c>
      <c r="K11" s="92" t="s">
        <v>36</v>
      </c>
      <c r="L11" s="92" t="s">
        <v>30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286</v>
      </c>
      <c r="D12" s="95" t="s">
        <v>23</v>
      </c>
      <c r="E12" s="14"/>
      <c r="F12" s="98">
        <v>46250.0</v>
      </c>
      <c r="G12" s="101">
        <v>200000.0</v>
      </c>
      <c r="H12" s="35"/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287</v>
      </c>
      <c r="D13" s="95" t="s">
        <v>22</v>
      </c>
      <c r="E13" s="14"/>
      <c r="F13" s="98">
        <v>46299.0</v>
      </c>
      <c r="G13" s="34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288</v>
      </c>
      <c r="D14" s="95" t="s">
        <v>23</v>
      </c>
      <c r="E14" s="14"/>
      <c r="F14" s="98">
        <v>46258.0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289</v>
      </c>
      <c r="D15" s="95" t="s">
        <v>23</v>
      </c>
      <c r="E15" s="14"/>
      <c r="F15" s="98">
        <v>46258.0</v>
      </c>
      <c r="G15" s="34"/>
      <c r="H15" s="97">
        <v>100000.0</v>
      </c>
      <c r="I15" s="92" t="s">
        <v>28</v>
      </c>
      <c r="J15" s="15"/>
      <c r="K15" s="15"/>
      <c r="L15" s="92" t="s">
        <v>30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33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33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/>
      <c r="D19" s="16"/>
      <c r="E19" s="14"/>
      <c r="F19" s="15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32"/>
      <c r="D20" s="16"/>
      <c r="E20" s="14"/>
      <c r="F20" s="15"/>
      <c r="G20" s="34"/>
      <c r="H20" s="35"/>
      <c r="I20" s="15"/>
      <c r="J20" s="15"/>
      <c r="K20" s="15"/>
      <c r="L20" s="15"/>
      <c r="M20" s="15"/>
      <c r="N20" s="41"/>
      <c r="O20" s="41"/>
      <c r="P20" s="41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42">
        <f t="shared" ref="G21:H21" si="1">SUM(G4:G20)</f>
        <v>250000</v>
      </c>
      <c r="H21" s="43">
        <f t="shared" si="1"/>
        <v>1300000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5.75" customHeight="1">
      <c r="A24" s="1"/>
      <c r="B24" s="44" t="s">
        <v>0</v>
      </c>
      <c r="C24" s="45" t="s">
        <v>6</v>
      </c>
      <c r="D24" s="45" t="s">
        <v>88</v>
      </c>
      <c r="E24" s="1"/>
      <c r="F24" s="1"/>
      <c r="G24" s="1"/>
      <c r="H24" s="1"/>
      <c r="I24" s="1"/>
      <c r="J24" s="1"/>
      <c r="K24" s="1"/>
      <c r="L24" s="1"/>
      <c r="M24" s="1"/>
      <c r="N24" s="45" t="s">
        <v>89</v>
      </c>
      <c r="O24" s="45" t="s">
        <v>1</v>
      </c>
      <c r="P24" s="1"/>
      <c r="Q24" s="1"/>
      <c r="R24" s="1"/>
    </row>
    <row r="25" ht="15.75" customHeight="1">
      <c r="A25" s="1"/>
      <c r="B25" s="46">
        <v>1.0</v>
      </c>
      <c r="C25" s="47" t="s">
        <v>90</v>
      </c>
      <c r="D25" s="48">
        <f>SUM(G21)</f>
        <v>250000</v>
      </c>
      <c r="E25" s="49"/>
      <c r="F25" s="1"/>
      <c r="G25" s="1"/>
      <c r="H25" s="1"/>
      <c r="I25" s="1"/>
      <c r="J25" s="1"/>
      <c r="K25" s="1"/>
      <c r="L25" s="1"/>
      <c r="M25" s="1"/>
      <c r="N25" s="50" t="s">
        <v>91</v>
      </c>
      <c r="O25" s="109" t="s">
        <v>29</v>
      </c>
      <c r="P25" s="1"/>
      <c r="Q25" s="1"/>
      <c r="R25" s="1"/>
    </row>
    <row r="26" ht="15.75" customHeight="1">
      <c r="A26" s="1"/>
      <c r="B26" s="51">
        <v>2.0</v>
      </c>
      <c r="C26" s="93" t="s">
        <v>101</v>
      </c>
      <c r="D26" s="108">
        <v>-50000.0</v>
      </c>
      <c r="E26" s="49"/>
      <c r="F26" s="1"/>
      <c r="G26" s="1"/>
      <c r="H26" s="1"/>
      <c r="I26" s="1"/>
      <c r="J26" s="1"/>
      <c r="K26" s="1"/>
      <c r="L26" s="1"/>
      <c r="M26" s="1"/>
      <c r="N26" s="56" t="s">
        <v>93</v>
      </c>
      <c r="O26" s="105" t="s">
        <v>30</v>
      </c>
      <c r="P26" s="1"/>
      <c r="Q26" s="1"/>
      <c r="R26" s="1"/>
    </row>
    <row r="27" ht="15.75" customHeight="1">
      <c r="A27" s="1"/>
      <c r="B27" s="46">
        <v>3.0</v>
      </c>
      <c r="C27" s="106" t="s">
        <v>204</v>
      </c>
      <c r="D27" s="107">
        <v>-100000.0</v>
      </c>
      <c r="E27" s="49"/>
      <c r="F27" s="1"/>
      <c r="G27" s="1"/>
      <c r="H27" s="1"/>
      <c r="I27" s="1"/>
      <c r="J27" s="1"/>
      <c r="K27" s="1"/>
      <c r="L27" s="1"/>
      <c r="M27" s="1"/>
      <c r="N27" s="59" t="s">
        <v>95</v>
      </c>
      <c r="O27" s="110" t="s">
        <v>37</v>
      </c>
      <c r="P27" s="1"/>
      <c r="Q27" s="1"/>
      <c r="R27" s="1"/>
    </row>
    <row r="28" ht="15.75" customHeight="1">
      <c r="A28" s="1"/>
      <c r="B28" s="51">
        <v>4.0</v>
      </c>
      <c r="C28" s="93" t="s">
        <v>174</v>
      </c>
      <c r="D28" s="108">
        <v>-100000.0</v>
      </c>
      <c r="E28" s="49"/>
      <c r="F28" s="1"/>
      <c r="G28" s="1"/>
      <c r="H28" s="1"/>
      <c r="I28" s="1"/>
      <c r="J28" s="1"/>
      <c r="K28" s="1"/>
      <c r="L28" s="1"/>
      <c r="M28" s="1"/>
      <c r="N28" s="60" t="s">
        <v>98</v>
      </c>
      <c r="O28" s="105" t="s">
        <v>47</v>
      </c>
      <c r="P28" s="1"/>
      <c r="Q28" s="1"/>
      <c r="R28" s="1"/>
    </row>
    <row r="29" ht="15.75" customHeight="1">
      <c r="A29" s="1"/>
      <c r="B29" s="46">
        <v>5.0</v>
      </c>
      <c r="C29" s="47"/>
      <c r="D29" s="48"/>
      <c r="E29" s="49"/>
      <c r="F29" s="1"/>
      <c r="G29" s="1"/>
      <c r="H29" s="1"/>
      <c r="I29" s="1"/>
      <c r="J29" s="1"/>
      <c r="K29" s="1"/>
      <c r="L29" s="1"/>
      <c r="M29" s="1"/>
      <c r="N29" s="61"/>
      <c r="O29" s="1"/>
      <c r="P29" s="1"/>
      <c r="Q29" s="1"/>
      <c r="R29" s="1"/>
    </row>
    <row r="30" ht="15.75" customHeight="1">
      <c r="A30" s="1"/>
      <c r="B30" s="51">
        <v>6.0</v>
      </c>
      <c r="C30" s="52"/>
      <c r="D30" s="54"/>
      <c r="E30" s="49"/>
      <c r="F30" s="1"/>
      <c r="G30" s="1"/>
      <c r="H30" s="1"/>
      <c r="I30" s="1"/>
      <c r="J30" s="1"/>
      <c r="K30" s="62" t="s">
        <v>100</v>
      </c>
      <c r="Q30" s="1"/>
      <c r="R30" s="1"/>
    </row>
    <row r="31" ht="15.75" customHeight="1">
      <c r="A31" s="1"/>
      <c r="B31" s="46">
        <v>7.0</v>
      </c>
      <c r="C31" s="47"/>
      <c r="D31" s="48"/>
      <c r="E31" s="49"/>
      <c r="F31" s="1"/>
      <c r="G31" s="1"/>
      <c r="H31" s="1"/>
      <c r="I31" s="1"/>
      <c r="J31" s="1"/>
      <c r="K31" s="63" t="s">
        <v>1</v>
      </c>
      <c r="L31" s="63" t="s">
        <v>102</v>
      </c>
      <c r="M31" s="63" t="s">
        <v>103</v>
      </c>
      <c r="N31" s="63" t="s">
        <v>104</v>
      </c>
      <c r="O31" s="63" t="s">
        <v>105</v>
      </c>
      <c r="P31" s="63" t="s">
        <v>106</v>
      </c>
      <c r="Q31" s="1"/>
      <c r="R31" s="1"/>
      <c r="AC31" s="65" t="s">
        <v>107</v>
      </c>
      <c r="AD31" s="65" t="s">
        <v>108</v>
      </c>
      <c r="AE31" s="65" t="s">
        <v>109</v>
      </c>
      <c r="AF31" s="65" t="s">
        <v>110</v>
      </c>
      <c r="AG31" s="66" t="s">
        <v>111</v>
      </c>
    </row>
    <row r="32" ht="15.75" customHeight="1">
      <c r="A32" s="1"/>
      <c r="B32" s="51">
        <v>8.0</v>
      </c>
      <c r="C32" s="52"/>
      <c r="D32" s="54"/>
      <c r="E32" s="49"/>
      <c r="F32" s="1"/>
      <c r="G32" s="1"/>
      <c r="H32" s="1"/>
      <c r="I32" s="1"/>
      <c r="J32" s="1"/>
      <c r="K32" s="67" t="str">
        <f t="shared" ref="K32:K35" si="2">IF(O25="","",O25)</f>
        <v>AMEL</v>
      </c>
      <c r="L32" s="68">
        <v>5.0</v>
      </c>
      <c r="M32" s="68">
        <v>5.0</v>
      </c>
      <c r="N32" s="68">
        <v>4.0</v>
      </c>
      <c r="O32" s="68">
        <v>5.0</v>
      </c>
      <c r="P32" s="68">
        <v>4.0</v>
      </c>
      <c r="Q32" s="1"/>
      <c r="R32" s="1"/>
      <c r="AC32" s="65">
        <f t="shared" ref="AC32:AC37" si="3">IF(AG32="","",IF(COUNT(L32:P32)&lt;5,"",L32/5*20+M32/5*25+N32/5*25+O32/5*15+P32/5*15))</f>
        <v>92</v>
      </c>
      <c r="AD32" s="65" t="str">
        <f t="shared" ref="AD32:AD37" si="4">IF(AC32="","",IF(AC32&gt;=90,"Sangat Baik",IF(AC32&gt;=80,"Baik",IF(AC32&gt;=70,"Coaching","Underperform"))))</f>
        <v>Sangat Baik</v>
      </c>
      <c r="AE32" s="65" t="str">
        <f t="shared" ref="AE32:AE37" si="5">IF(AG32="","",IF(OR(AG32="INDAH",AG32="ADDEL",AG32="AMEL",AG32="PENTIL",AG32="JIJANG"),"Admin/CS","Fotografer"))</f>
        <v>Admin/CS</v>
      </c>
      <c r="AF32" s="65">
        <f t="shared" ref="AF32:AF37" si="6">IF(OR(AG32="",COUNT(L32:P32)&lt;5),"",1)</f>
        <v>1</v>
      </c>
      <c r="AG32" s="66" t="str">
        <f t="shared" ref="AG32:AG37" si="7">IFERROR(K32,"")</f>
        <v>AMEL</v>
      </c>
    </row>
    <row r="33" ht="15.75" customHeight="1">
      <c r="A33" s="1"/>
      <c r="B33" s="46">
        <v>9.0</v>
      </c>
      <c r="C33" s="47"/>
      <c r="D33" s="48"/>
      <c r="E33" s="49"/>
      <c r="F33" s="1"/>
      <c r="G33" s="1"/>
      <c r="H33" s="1"/>
      <c r="I33" s="1"/>
      <c r="J33" s="1"/>
      <c r="K33" s="67" t="str">
        <f t="shared" si="2"/>
        <v>INDAH</v>
      </c>
      <c r="L33" s="68">
        <v>5.0</v>
      </c>
      <c r="M33" s="68">
        <v>5.0</v>
      </c>
      <c r="N33" s="68">
        <v>5.0</v>
      </c>
      <c r="O33" s="68">
        <v>5.0</v>
      </c>
      <c r="P33" s="68">
        <v>4.0</v>
      </c>
      <c r="Q33" s="1"/>
      <c r="R33" s="1"/>
      <c r="AC33" s="65">
        <f t="shared" si="3"/>
        <v>97</v>
      </c>
      <c r="AD33" s="65" t="str">
        <f t="shared" si="4"/>
        <v>Sangat Baik</v>
      </c>
      <c r="AE33" s="65" t="str">
        <f t="shared" si="5"/>
        <v>Admin/CS</v>
      </c>
      <c r="AF33" s="65">
        <f t="shared" si="6"/>
        <v>1</v>
      </c>
      <c r="AG33" s="66" t="str">
        <f t="shared" si="7"/>
        <v>INDAH</v>
      </c>
    </row>
    <row r="34" ht="15.75" customHeight="1">
      <c r="A34" s="1"/>
      <c r="B34" s="51">
        <v>10.0</v>
      </c>
      <c r="C34" s="52"/>
      <c r="D34" s="54"/>
      <c r="E34" s="49"/>
      <c r="F34" s="1"/>
      <c r="G34" s="1"/>
      <c r="H34" s="1"/>
      <c r="I34" s="1"/>
      <c r="J34" s="1"/>
      <c r="K34" s="67" t="str">
        <f t="shared" si="2"/>
        <v>ADIF</v>
      </c>
      <c r="L34" s="68">
        <v>5.0</v>
      </c>
      <c r="M34" s="68">
        <v>5.0</v>
      </c>
      <c r="N34" s="68">
        <v>4.0</v>
      </c>
      <c r="O34" s="68">
        <v>5.0</v>
      </c>
      <c r="P34" s="68">
        <v>4.0</v>
      </c>
      <c r="Q34" s="1"/>
      <c r="R34" s="1"/>
      <c r="AC34" s="65">
        <f t="shared" si="3"/>
        <v>92</v>
      </c>
      <c r="AD34" s="65" t="str">
        <f t="shared" si="4"/>
        <v>Sangat Baik</v>
      </c>
      <c r="AE34" s="65" t="str">
        <f t="shared" si="5"/>
        <v>Fotografer</v>
      </c>
      <c r="AF34" s="65">
        <f t="shared" si="6"/>
        <v>1</v>
      </c>
      <c r="AG34" s="66" t="str">
        <f t="shared" si="7"/>
        <v>ADIF</v>
      </c>
    </row>
    <row r="35" ht="15.75" customHeight="1">
      <c r="A35" s="1"/>
      <c r="B35" s="69">
        <v>11.0</v>
      </c>
      <c r="C35" s="70"/>
      <c r="D35" s="71"/>
      <c r="E35" s="49"/>
      <c r="F35" s="1"/>
      <c r="G35" s="1"/>
      <c r="H35" s="1"/>
      <c r="I35" s="1"/>
      <c r="J35" s="1"/>
      <c r="K35" s="67" t="str">
        <f t="shared" si="2"/>
        <v>SAKA</v>
      </c>
      <c r="L35" s="68">
        <v>5.0</v>
      </c>
      <c r="M35" s="68">
        <v>5.0</v>
      </c>
      <c r="N35" s="68">
        <v>5.0</v>
      </c>
      <c r="O35" s="68">
        <v>5.0</v>
      </c>
      <c r="P35" s="68">
        <v>4.0</v>
      </c>
      <c r="Q35" s="1"/>
      <c r="R35" s="1"/>
      <c r="AC35" s="65">
        <f t="shared" si="3"/>
        <v>97</v>
      </c>
      <c r="AD35" s="65" t="str">
        <f t="shared" si="4"/>
        <v>Sangat Baik</v>
      </c>
      <c r="AE35" s="65" t="str">
        <f t="shared" si="5"/>
        <v>Fotografer</v>
      </c>
      <c r="AF35" s="65">
        <f t="shared" si="6"/>
        <v>1</v>
      </c>
      <c r="AG35" s="66" t="str">
        <f t="shared" si="7"/>
        <v>SAKA</v>
      </c>
    </row>
    <row r="36" ht="15.75" customHeight="1">
      <c r="A36" s="1"/>
      <c r="B36" s="1"/>
      <c r="C36" s="2"/>
      <c r="D36" s="72">
        <f>SUM(D25:D35)</f>
        <v>0</v>
      </c>
      <c r="E36" s="1"/>
      <c r="F36" s="1"/>
      <c r="G36" s="1"/>
      <c r="H36" s="1"/>
      <c r="I36" s="1"/>
      <c r="J36" s="1"/>
      <c r="K36" s="67"/>
      <c r="L36" s="73"/>
      <c r="M36" s="73"/>
      <c r="N36" s="73"/>
      <c r="O36" s="73"/>
      <c r="P36" s="73"/>
      <c r="Q36" s="1"/>
      <c r="R36" s="1"/>
      <c r="AC36" s="65" t="str">
        <f t="shared" si="3"/>
        <v/>
      </c>
      <c r="AD36" s="65" t="str">
        <f t="shared" si="4"/>
        <v/>
      </c>
      <c r="AE36" s="65" t="str">
        <f t="shared" si="5"/>
        <v/>
      </c>
      <c r="AF36" s="65" t="str">
        <f t="shared" si="6"/>
        <v/>
      </c>
      <c r="AG36" s="66" t="str">
        <f t="shared" si="7"/>
        <v/>
      </c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67"/>
      <c r="L37" s="73"/>
      <c r="M37" s="73"/>
      <c r="N37" s="73"/>
      <c r="O37" s="73"/>
      <c r="P37" s="73"/>
      <c r="Q37" s="1"/>
      <c r="R37" s="1"/>
      <c r="AC37" s="65" t="str">
        <f t="shared" si="3"/>
        <v/>
      </c>
      <c r="AD37" s="65" t="str">
        <f t="shared" si="4"/>
        <v/>
      </c>
      <c r="AE37" s="65" t="str">
        <f t="shared" si="5"/>
        <v/>
      </c>
      <c r="AF37" s="65" t="str">
        <f t="shared" si="6"/>
        <v/>
      </c>
      <c r="AG37" s="66" t="str">
        <f t="shared" si="7"/>
        <v/>
      </c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4" t="s">
        <v>112</v>
      </c>
      <c r="Q38" s="1"/>
      <c r="R38" s="1"/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75" t="s">
        <v>113</v>
      </c>
      <c r="N40" s="112"/>
      <c r="O40" s="1"/>
      <c r="P40" s="1"/>
      <c r="Q40" s="1"/>
      <c r="R40" s="1"/>
    </row>
    <row r="41" ht="15.75" customHeight="1">
      <c r="K41" s="76" t="s">
        <v>7</v>
      </c>
      <c r="L41" s="76" t="s">
        <v>114</v>
      </c>
      <c r="M41" s="76" t="s">
        <v>115</v>
      </c>
      <c r="N41" s="113" t="s">
        <v>290</v>
      </c>
    </row>
    <row r="42" ht="15.75" customHeight="1">
      <c r="K42" s="115" t="s">
        <v>29</v>
      </c>
      <c r="L42" s="81">
        <v>8.0</v>
      </c>
      <c r="M42" s="78"/>
      <c r="N42" s="114"/>
    </row>
    <row r="43" ht="15.75" customHeight="1">
      <c r="K43" s="77" t="str">
        <f>IF(O26="","",O26)</f>
        <v>INDAH</v>
      </c>
      <c r="L43" s="81">
        <v>1.0</v>
      </c>
      <c r="M43" s="78"/>
      <c r="N43" s="114">
        <v>12.0</v>
      </c>
    </row>
    <row r="44" ht="15.75" customHeight="1"/>
    <row r="45" ht="19.5" customHeight="1">
      <c r="K45" s="79" t="s">
        <v>118</v>
      </c>
    </row>
    <row r="46" ht="19.5" customHeight="1">
      <c r="K46" s="80" t="s">
        <v>119</v>
      </c>
      <c r="M46" s="81">
        <v>33.0</v>
      </c>
    </row>
    <row r="47" ht="19.5" customHeight="1">
      <c r="K47" s="82" t="s">
        <v>120</v>
      </c>
      <c r="M47" s="83">
        <f>COUNTIF($I$4:$I$23,"DP")</f>
        <v>8</v>
      </c>
    </row>
    <row r="48" ht="19.5" customHeight="1">
      <c r="K48" s="82" t="s">
        <v>121</v>
      </c>
      <c r="M48" s="83">
        <f>COUNTIFS($I$4:$I$23,"&lt;&gt;DP",$I$4:$I$23,"&lt;&gt;")</f>
        <v>4</v>
      </c>
    </row>
    <row r="49" ht="19.5" customHeight="1">
      <c r="K49" s="84" t="s">
        <v>122</v>
      </c>
      <c r="M49" s="83">
        <f>M47+M48</f>
        <v>12</v>
      </c>
    </row>
    <row r="50" ht="19.5" customHeight="1">
      <c r="K50" s="80" t="s">
        <v>123</v>
      </c>
      <c r="M50" s="85">
        <f>IF(OR(M46="",M46=0),"",M47/M46)</f>
        <v>0.2424242424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6:L46"/>
    <mergeCell ref="K47:L47"/>
    <mergeCell ref="K48:L48"/>
    <mergeCell ref="K49:L49"/>
    <mergeCell ref="K50:L50"/>
    <mergeCell ref="L2:L3"/>
    <mergeCell ref="M2:M3"/>
    <mergeCell ref="N2:P2"/>
    <mergeCell ref="K30:P30"/>
    <mergeCell ref="K38:P38"/>
    <mergeCell ref="K40:M40"/>
    <mergeCell ref="K45:M45"/>
  </mergeCells>
  <conditionalFormatting sqref="I4:I23">
    <cfRule type="expression" dxfId="0" priority="1">
      <formula>I4="DP"</formula>
    </cfRule>
  </conditionalFormatting>
  <conditionalFormatting sqref="I4:I23">
    <cfRule type="expression" dxfId="1" priority="2">
      <formula>I4="Lunas"</formula>
    </cfRule>
  </conditionalFormatting>
  <conditionalFormatting sqref="J4:K23">
    <cfRule type="expression" dxfId="2" priority="3">
      <formula>OR(J4="Uploaded",J4="Delivered")</formula>
    </cfRule>
  </conditionalFormatting>
  <dataValidations>
    <dataValidation type="list" allowBlank="1" showDropDown="1" showErrorMessage="1" sqref="I4:I20">
      <formula1>"-,DP,Lunas"</formula1>
    </dataValidation>
    <dataValidation type="list" allowBlank="1" sqref="L32:P37">
      <formula1>"1,2,3,4,5"</formula1>
    </dataValidation>
    <dataValidation type="list" allowBlank="1" showDropDown="1" showErrorMessage="1" sqref="J4:K20">
      <formula1>"-,Pending,Uploaded"</formula1>
    </dataValidation>
    <dataValidation type="list" allowBlank="1" sqref="K32:K37">
      <formula1>'Resume Karyawan KPI'!$AK$5:$AK$15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Person,Add Edit,All File"</formula1>
    </dataValidation>
    <dataValidation type="list" allowBlank="1" showDropDown="1" showErrorMessage="1" sqref="M4:M20">
      <formula1>"-,VERO,ADIF,PENTIL,FAHME,HANIF,SAKA"</formula1>
    </dataValidation>
    <dataValidation type="list" allowBlank="1" showErrorMessage="1" sqref="N4:N20">
      <formula1>"-,Pending,Progress,Uploaded"</formula1>
    </dataValidation>
    <dataValidation type="list" allowBlank="1" sqref="O25:O28">
      <formula1>"INDAH,ADDEL,AMEL,PENTIL,JIJANG,HANIF,FAHME,ADIF,ABROR,FADEL,SAKA"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L4:L20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291</v>
      </c>
      <c r="D4" s="95" t="s">
        <v>23</v>
      </c>
      <c r="E4" s="14"/>
      <c r="F4" s="96">
        <v>46252.0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292</v>
      </c>
      <c r="D5" s="95" t="s">
        <v>195</v>
      </c>
      <c r="E5" s="14"/>
      <c r="F5" s="96">
        <v>46298.0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293</v>
      </c>
      <c r="D6" s="95" t="s">
        <v>23</v>
      </c>
      <c r="E6" s="14"/>
      <c r="F6" s="111">
        <v>46251.0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196</v>
      </c>
      <c r="D7" s="95" t="s">
        <v>23</v>
      </c>
      <c r="E7" s="14"/>
      <c r="F7" s="111">
        <v>46251.0</v>
      </c>
      <c r="G7" s="101">
        <v>75000.0</v>
      </c>
      <c r="H7" s="35"/>
      <c r="I7" s="92" t="s">
        <v>35</v>
      </c>
      <c r="J7" s="92" t="s">
        <v>36</v>
      </c>
      <c r="K7" s="92" t="s">
        <v>36</v>
      </c>
      <c r="L7" s="92" t="s">
        <v>30</v>
      </c>
      <c r="M7" s="92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294</v>
      </c>
      <c r="D8" s="95" t="s">
        <v>126</v>
      </c>
      <c r="E8" s="14"/>
      <c r="F8" s="111">
        <v>46251.0</v>
      </c>
      <c r="G8" s="34"/>
      <c r="H8" s="97">
        <v>100000.0</v>
      </c>
      <c r="I8" s="92" t="s">
        <v>28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295</v>
      </c>
      <c r="D9" s="95" t="s">
        <v>23</v>
      </c>
      <c r="E9" s="14"/>
      <c r="F9" s="111">
        <v>46252.0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297</v>
      </c>
      <c r="D10" s="95" t="s">
        <v>126</v>
      </c>
      <c r="E10" s="14"/>
      <c r="F10" s="111">
        <v>46251.0</v>
      </c>
      <c r="G10" s="101">
        <v>100000.0</v>
      </c>
      <c r="H10" s="35"/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277</v>
      </c>
      <c r="D11" s="95" t="s">
        <v>23</v>
      </c>
      <c r="E11" s="14"/>
      <c r="F11" s="111">
        <v>46251.0</v>
      </c>
      <c r="G11" s="97">
        <v>325000.0</v>
      </c>
      <c r="H11" s="35"/>
      <c r="I11" s="92" t="s">
        <v>35</v>
      </c>
      <c r="J11" s="92" t="s">
        <v>36</v>
      </c>
      <c r="K11" s="92" t="s">
        <v>36</v>
      </c>
      <c r="L11" s="92" t="s">
        <v>30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293</v>
      </c>
      <c r="D12" s="95" t="s">
        <v>23</v>
      </c>
      <c r="E12" s="14"/>
      <c r="F12" s="111">
        <v>46251.0</v>
      </c>
      <c r="G12" s="34"/>
      <c r="H12" s="97">
        <v>175000.0</v>
      </c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298</v>
      </c>
      <c r="D13" s="95" t="s">
        <v>23</v>
      </c>
      <c r="E13" s="14"/>
      <c r="F13" s="111">
        <v>46261.0</v>
      </c>
      <c r="G13" s="34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41</v>
      </c>
      <c r="D14" s="95" t="s">
        <v>126</v>
      </c>
      <c r="E14" s="100" t="s">
        <v>301</v>
      </c>
      <c r="F14" s="92" t="s">
        <v>45</v>
      </c>
      <c r="G14" s="34"/>
      <c r="H14" s="97">
        <v>200000.0</v>
      </c>
      <c r="I14" s="92" t="s">
        <v>35</v>
      </c>
      <c r="J14" s="92" t="s">
        <v>36</v>
      </c>
      <c r="K14" s="92" t="s">
        <v>131</v>
      </c>
      <c r="L14" s="92" t="s">
        <v>29</v>
      </c>
      <c r="M14" s="92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302</v>
      </c>
      <c r="D15" s="95" t="s">
        <v>22</v>
      </c>
      <c r="E15" s="14"/>
      <c r="F15" s="92" t="s">
        <v>25</v>
      </c>
      <c r="G15" s="34"/>
      <c r="H15" s="97">
        <v>100000.0</v>
      </c>
      <c r="I15" s="92" t="s">
        <v>28</v>
      </c>
      <c r="J15" s="15"/>
      <c r="K15" s="15"/>
      <c r="L15" s="92" t="s">
        <v>29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303</v>
      </c>
      <c r="D16" s="95" t="s">
        <v>23</v>
      </c>
      <c r="E16" s="14"/>
      <c r="F16" s="92" t="s">
        <v>45</v>
      </c>
      <c r="G16" s="101">
        <v>75000.0</v>
      </c>
      <c r="H16" s="35"/>
      <c r="I16" s="92" t="s">
        <v>35</v>
      </c>
      <c r="J16" s="92" t="s">
        <v>36</v>
      </c>
      <c r="K16" s="92" t="s">
        <v>36</v>
      </c>
      <c r="L16" s="92" t="s">
        <v>29</v>
      </c>
      <c r="M16" s="92" t="s">
        <v>37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305</v>
      </c>
      <c r="D17" s="95" t="s">
        <v>22</v>
      </c>
      <c r="E17" s="14"/>
      <c r="F17" s="98">
        <v>46267.0</v>
      </c>
      <c r="G17" s="34"/>
      <c r="H17" s="97">
        <v>100000.0</v>
      </c>
      <c r="I17" s="92" t="s">
        <v>28</v>
      </c>
      <c r="J17" s="15"/>
      <c r="K17" s="15"/>
      <c r="L17" s="92" t="s">
        <v>29</v>
      </c>
      <c r="M17" s="15"/>
      <c r="N17" s="29"/>
      <c r="O17" s="29"/>
      <c r="P17" s="29"/>
      <c r="Q17" s="1"/>
      <c r="R17" s="1"/>
    </row>
    <row r="18" ht="15.75" customHeight="1">
      <c r="A18" s="1"/>
      <c r="B18" s="92">
        <v>16.0</v>
      </c>
      <c r="C18" s="94" t="s">
        <v>257</v>
      </c>
      <c r="D18" s="95" t="s">
        <v>23</v>
      </c>
      <c r="E18" s="14"/>
      <c r="F18" s="92" t="s">
        <v>45</v>
      </c>
      <c r="G18" s="34"/>
      <c r="H18" s="97">
        <v>450000.0</v>
      </c>
      <c r="I18" s="92" t="s">
        <v>35</v>
      </c>
      <c r="J18" s="92" t="s">
        <v>36</v>
      </c>
      <c r="K18" s="92" t="s">
        <v>36</v>
      </c>
      <c r="L18" s="92" t="s">
        <v>29</v>
      </c>
      <c r="M18" s="92" t="s">
        <v>37</v>
      </c>
      <c r="N18" s="29"/>
      <c r="O18" s="29"/>
      <c r="P18" s="29"/>
      <c r="Q18" s="1"/>
      <c r="R18" s="1"/>
    </row>
    <row r="19" ht="15.75" customHeight="1">
      <c r="A19" s="1"/>
      <c r="B19" s="92">
        <v>17.0</v>
      </c>
      <c r="C19" s="94" t="s">
        <v>282</v>
      </c>
      <c r="D19" s="95" t="s">
        <v>39</v>
      </c>
      <c r="E19" s="14"/>
      <c r="F19" s="92" t="s">
        <v>306</v>
      </c>
      <c r="G19" s="34"/>
      <c r="H19" s="97">
        <v>50000.0</v>
      </c>
      <c r="I19" s="92" t="s">
        <v>35</v>
      </c>
      <c r="J19" s="92" t="s">
        <v>36</v>
      </c>
      <c r="K19" s="92" t="s">
        <v>36</v>
      </c>
      <c r="L19" s="92" t="s">
        <v>29</v>
      </c>
      <c r="M19" s="92" t="s">
        <v>37</v>
      </c>
      <c r="N19" s="29"/>
      <c r="O19" s="29"/>
      <c r="P19" s="29"/>
      <c r="Q19" s="1"/>
      <c r="R19" s="1"/>
    </row>
    <row r="20" ht="15.75" customHeight="1">
      <c r="A20" s="1"/>
      <c r="B20" s="92">
        <v>18.0</v>
      </c>
      <c r="C20" s="94" t="s">
        <v>266</v>
      </c>
      <c r="D20" s="95" t="s">
        <v>23</v>
      </c>
      <c r="E20" s="14"/>
      <c r="F20" s="92" t="s">
        <v>45</v>
      </c>
      <c r="G20" s="34"/>
      <c r="H20" s="97">
        <v>625000.0</v>
      </c>
      <c r="I20" s="92" t="s">
        <v>35</v>
      </c>
      <c r="J20" s="92" t="s">
        <v>36</v>
      </c>
      <c r="K20" s="92" t="s">
        <v>36</v>
      </c>
      <c r="L20" s="92" t="s">
        <v>29</v>
      </c>
      <c r="M20" s="92" t="s">
        <v>37</v>
      </c>
      <c r="N20" s="29"/>
      <c r="O20" s="29"/>
      <c r="P20" s="29"/>
      <c r="Q20" s="1"/>
      <c r="R20" s="1"/>
    </row>
    <row r="21" ht="15.75" customHeight="1">
      <c r="A21" s="1"/>
      <c r="B21" s="92">
        <v>19.0</v>
      </c>
      <c r="C21" s="94" t="s">
        <v>307</v>
      </c>
      <c r="D21" s="95" t="s">
        <v>60</v>
      </c>
      <c r="E21" s="100" t="s">
        <v>155</v>
      </c>
      <c r="F21" s="92" t="s">
        <v>45</v>
      </c>
      <c r="G21" s="34"/>
      <c r="H21" s="97">
        <v>150000.0</v>
      </c>
      <c r="I21" s="92" t="s">
        <v>35</v>
      </c>
      <c r="J21" s="92" t="s">
        <v>36</v>
      </c>
      <c r="K21" s="92" t="s">
        <v>36</v>
      </c>
      <c r="L21" s="92" t="s">
        <v>29</v>
      </c>
      <c r="M21" s="92" t="s">
        <v>37</v>
      </c>
      <c r="N21" s="29"/>
      <c r="O21" s="29"/>
      <c r="P21" s="29"/>
      <c r="Q21" s="1"/>
      <c r="R21" s="1"/>
    </row>
    <row r="22" ht="15.75" customHeight="1">
      <c r="A22" s="1"/>
      <c r="B22" s="92">
        <v>20.0</v>
      </c>
      <c r="C22" s="94" t="s">
        <v>145</v>
      </c>
      <c r="D22" s="95" t="s">
        <v>23</v>
      </c>
      <c r="E22" s="14"/>
      <c r="F22" s="92" t="s">
        <v>45</v>
      </c>
      <c r="G22" s="34"/>
      <c r="H22" s="97">
        <v>450000.0</v>
      </c>
      <c r="I22" s="92" t="s">
        <v>35</v>
      </c>
      <c r="J22" s="92" t="s">
        <v>36</v>
      </c>
      <c r="K22" s="92" t="s">
        <v>36</v>
      </c>
      <c r="L22" s="92" t="s">
        <v>29</v>
      </c>
      <c r="M22" s="92" t="s">
        <v>37</v>
      </c>
      <c r="N22" s="29"/>
      <c r="O22" s="29"/>
      <c r="P22" s="29"/>
      <c r="Q22" s="1"/>
      <c r="R22" s="1"/>
    </row>
    <row r="23" ht="15.75" customHeight="1">
      <c r="A23" s="1"/>
      <c r="B23" s="92">
        <v>21.0</v>
      </c>
      <c r="C23" s="94" t="s">
        <v>308</v>
      </c>
      <c r="D23" s="95" t="s">
        <v>57</v>
      </c>
      <c r="E23" s="100" t="s">
        <v>155</v>
      </c>
      <c r="F23" s="92" t="s">
        <v>45</v>
      </c>
      <c r="G23" s="101">
        <v>50000.0</v>
      </c>
      <c r="H23" s="97"/>
      <c r="I23" s="92" t="s">
        <v>35</v>
      </c>
      <c r="J23" s="92" t="s">
        <v>36</v>
      </c>
      <c r="K23" s="92" t="s">
        <v>36</v>
      </c>
      <c r="L23" s="92" t="s">
        <v>29</v>
      </c>
      <c r="M23" s="92" t="s">
        <v>37</v>
      </c>
      <c r="N23" s="29"/>
      <c r="O23" s="29"/>
      <c r="P23" s="29"/>
      <c r="Q23" s="1"/>
      <c r="R23" s="1"/>
    </row>
    <row r="24" ht="15.75" customHeight="1">
      <c r="A24" s="1"/>
      <c r="B24" s="92">
        <v>22.0</v>
      </c>
      <c r="C24" s="94" t="s">
        <v>299</v>
      </c>
      <c r="D24" s="95" t="s">
        <v>126</v>
      </c>
      <c r="E24" s="14"/>
      <c r="F24" s="92" t="s">
        <v>300</v>
      </c>
      <c r="G24" s="34"/>
      <c r="H24" s="97">
        <v>100000.0</v>
      </c>
      <c r="I24" s="92" t="s">
        <v>28</v>
      </c>
      <c r="J24" s="92"/>
      <c r="K24" s="92"/>
      <c r="L24" s="92" t="s">
        <v>29</v>
      </c>
      <c r="M24" s="92"/>
      <c r="N24" s="29"/>
      <c r="O24" s="29"/>
      <c r="P24" s="29"/>
      <c r="Q24" s="1"/>
      <c r="R24" s="1"/>
    </row>
    <row r="25" ht="15.75" customHeight="1">
      <c r="A25" s="1"/>
      <c r="B25" s="92">
        <v>23.0</v>
      </c>
      <c r="C25" s="94" t="s">
        <v>294</v>
      </c>
      <c r="D25" s="95" t="s">
        <v>126</v>
      </c>
      <c r="E25" s="14"/>
      <c r="F25" s="92" t="s">
        <v>45</v>
      </c>
      <c r="G25" s="34"/>
      <c r="H25" s="97">
        <v>100000.0</v>
      </c>
      <c r="I25" s="92" t="s">
        <v>35</v>
      </c>
      <c r="J25" s="92" t="s">
        <v>36</v>
      </c>
      <c r="K25" s="92" t="s">
        <v>131</v>
      </c>
      <c r="L25" s="92" t="s">
        <v>29</v>
      </c>
      <c r="M25" s="92" t="s">
        <v>37</v>
      </c>
      <c r="N25" s="41"/>
      <c r="O25" s="41"/>
      <c r="P25" s="41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42">
        <f t="shared" ref="G26:H26" si="1">SUM(G4:G25)</f>
        <v>625000</v>
      </c>
      <c r="H26" s="43">
        <f t="shared" si="1"/>
        <v>3100000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1"/>
      <c r="B29" s="44" t="s">
        <v>0</v>
      </c>
      <c r="C29" s="45" t="s">
        <v>6</v>
      </c>
      <c r="D29" s="45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45" t="s">
        <v>89</v>
      </c>
      <c r="O29" s="45" t="s">
        <v>1</v>
      </c>
      <c r="P29" s="1"/>
      <c r="Q29" s="1"/>
      <c r="R29" s="1"/>
    </row>
    <row r="30" ht="15.75" customHeight="1">
      <c r="A30" s="1"/>
      <c r="B30" s="46">
        <v>1.0</v>
      </c>
      <c r="C30" s="47" t="s">
        <v>90</v>
      </c>
      <c r="D30" s="48">
        <f>SUM(G26)</f>
        <v>625000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91</v>
      </c>
      <c r="O30" s="109" t="s">
        <v>30</v>
      </c>
      <c r="P30" s="1"/>
      <c r="Q30" s="1"/>
      <c r="R30" s="1"/>
    </row>
    <row r="31" ht="15.75" customHeight="1">
      <c r="A31" s="1"/>
      <c r="B31" s="51">
        <v>2.0</v>
      </c>
      <c r="C31" s="93" t="s">
        <v>99</v>
      </c>
      <c r="D31" s="108">
        <v>-50000.0</v>
      </c>
      <c r="E31" s="49"/>
      <c r="F31" s="1"/>
      <c r="G31" s="1"/>
      <c r="H31" s="1"/>
      <c r="I31" s="1"/>
      <c r="J31" s="1"/>
      <c r="K31" s="1"/>
      <c r="L31" s="1"/>
      <c r="M31" s="1"/>
      <c r="N31" s="56" t="s">
        <v>93</v>
      </c>
      <c r="O31" s="105" t="s">
        <v>29</v>
      </c>
      <c r="P31" s="1"/>
      <c r="Q31" s="1"/>
      <c r="R31" s="1"/>
    </row>
    <row r="32" ht="15.75" customHeight="1">
      <c r="A32" s="1"/>
      <c r="B32" s="46">
        <v>3.0</v>
      </c>
      <c r="C32" s="106" t="s">
        <v>311</v>
      </c>
      <c r="D32" s="107">
        <v>-25000.0</v>
      </c>
      <c r="E32" s="49"/>
      <c r="F32" s="1"/>
      <c r="G32" s="1"/>
      <c r="H32" s="1"/>
      <c r="I32" s="1"/>
      <c r="J32" s="1"/>
      <c r="K32" s="1"/>
      <c r="L32" s="1"/>
      <c r="M32" s="1"/>
      <c r="N32" s="59" t="s">
        <v>95</v>
      </c>
      <c r="O32" s="110" t="s">
        <v>47</v>
      </c>
      <c r="P32" s="1"/>
      <c r="Q32" s="1"/>
      <c r="R32" s="1"/>
    </row>
    <row r="33" ht="15.75" customHeight="1">
      <c r="A33" s="1"/>
      <c r="B33" s="51">
        <v>4.0</v>
      </c>
      <c r="C33" s="93" t="s">
        <v>96</v>
      </c>
      <c r="D33" s="108">
        <v>-10000.0</v>
      </c>
      <c r="E33" s="49"/>
      <c r="F33" s="1"/>
      <c r="G33" s="1"/>
      <c r="H33" s="1"/>
      <c r="I33" s="1"/>
      <c r="J33" s="1"/>
      <c r="K33" s="1"/>
      <c r="L33" s="1"/>
      <c r="M33" s="1"/>
      <c r="N33" s="60" t="s">
        <v>98</v>
      </c>
      <c r="O33" s="105" t="s">
        <v>37</v>
      </c>
      <c r="P33" s="1"/>
      <c r="Q33" s="1"/>
      <c r="R33" s="1"/>
    </row>
    <row r="34" ht="15.75" customHeight="1">
      <c r="A34" s="1"/>
      <c r="B34" s="46">
        <v>5.0</v>
      </c>
      <c r="C34" s="106" t="s">
        <v>312</v>
      </c>
      <c r="D34" s="107">
        <v>-38000.0</v>
      </c>
      <c r="E34" s="49"/>
      <c r="F34" s="64">
        <f>D31+D33</f>
        <v>-60000</v>
      </c>
      <c r="G34" s="1"/>
      <c r="H34" s="1"/>
      <c r="I34" s="1"/>
      <c r="J34" s="1"/>
      <c r="K34" s="1"/>
      <c r="L34" s="1"/>
      <c r="M34" s="1"/>
      <c r="N34" s="61"/>
      <c r="O34" s="1"/>
      <c r="P34" s="1"/>
      <c r="Q34" s="1"/>
      <c r="R34" s="1"/>
    </row>
    <row r="35" ht="15.75" customHeight="1">
      <c r="A35" s="1"/>
      <c r="B35" s="51">
        <v>6.0</v>
      </c>
      <c r="C35" s="93" t="s">
        <v>315</v>
      </c>
      <c r="D35" s="108">
        <v>-39000.0</v>
      </c>
      <c r="E35" s="49"/>
      <c r="F35" s="64">
        <f>D32+D34+D35+D36</f>
        <v>-143000</v>
      </c>
      <c r="G35" s="1"/>
      <c r="H35" s="1"/>
      <c r="I35" s="1"/>
      <c r="J35" s="1"/>
      <c r="K35" s="62" t="s">
        <v>100</v>
      </c>
      <c r="Q35" s="1"/>
      <c r="R35" s="1"/>
    </row>
    <row r="36" ht="15.75" customHeight="1">
      <c r="A36" s="1"/>
      <c r="B36" s="46">
        <v>7.0</v>
      </c>
      <c r="C36" s="106" t="s">
        <v>318</v>
      </c>
      <c r="D36" s="107">
        <v>-41000.0</v>
      </c>
      <c r="E36" s="49"/>
      <c r="F36" s="1"/>
      <c r="G36" s="1"/>
      <c r="H36" s="1"/>
      <c r="I36" s="1"/>
      <c r="J36" s="1"/>
      <c r="K36" s="63" t="s">
        <v>1</v>
      </c>
      <c r="L36" s="63" t="s">
        <v>102</v>
      </c>
      <c r="M36" s="63" t="s">
        <v>103</v>
      </c>
      <c r="N36" s="63" t="s">
        <v>104</v>
      </c>
      <c r="O36" s="63" t="s">
        <v>105</v>
      </c>
      <c r="P36" s="63" t="s">
        <v>106</v>
      </c>
      <c r="Q36" s="1"/>
      <c r="R36" s="1"/>
      <c r="AC36" s="65" t="s">
        <v>107</v>
      </c>
      <c r="AD36" s="65" t="s">
        <v>108</v>
      </c>
      <c r="AE36" s="65" t="s">
        <v>109</v>
      </c>
      <c r="AF36" s="65" t="s">
        <v>110</v>
      </c>
      <c r="AG36" s="66" t="s">
        <v>111</v>
      </c>
    </row>
    <row r="37" ht="15.75" customHeight="1">
      <c r="A37" s="1"/>
      <c r="B37" s="51">
        <v>8.0</v>
      </c>
      <c r="C37" s="52"/>
      <c r="D37" s="54"/>
      <c r="E37" s="49"/>
      <c r="F37" s="1"/>
      <c r="G37" s="1"/>
      <c r="H37" s="1"/>
      <c r="I37" s="1"/>
      <c r="J37" s="1"/>
      <c r="K37" s="67" t="str">
        <f t="shared" ref="K37:K40" si="2">IF(O30="","",O30)</f>
        <v>INDAH</v>
      </c>
      <c r="L37" s="68">
        <v>5.0</v>
      </c>
      <c r="M37" s="68">
        <v>5.0</v>
      </c>
      <c r="N37" s="68">
        <v>4.0</v>
      </c>
      <c r="O37" s="68">
        <v>5.0</v>
      </c>
      <c r="P37" s="68">
        <v>5.0</v>
      </c>
      <c r="Q37" s="1"/>
      <c r="R37" s="1"/>
      <c r="AC37" s="65">
        <f t="shared" ref="AC37:AC42" si="3">IF(AG37="","",IF(COUNT(L37:P37)&lt;5,"",L37/5*20+M37/5*25+N37/5*25+O37/5*15+P37/5*15))</f>
        <v>95</v>
      </c>
      <c r="AD37" s="65" t="str">
        <f t="shared" ref="AD37:AD42" si="4">IF(AC37="","",IF(AC37&gt;=90,"Sangat Baik",IF(AC37&gt;=80,"Baik",IF(AC37&gt;=70,"Coaching","Underperform"))))</f>
        <v>Sangat Baik</v>
      </c>
      <c r="AE37" s="65" t="str">
        <f t="shared" ref="AE37:AE42" si="5">IF(AG37="","",IF(OR(AG37="INDAH",AG37="ADDEL",AG37="AMEL",AG37="PENTIL",AG37="JIJANG"),"Admin/CS","Fotografer"))</f>
        <v>Admin/CS</v>
      </c>
      <c r="AF37" s="65">
        <f t="shared" ref="AF37:AF42" si="6">IF(OR(AG37="",COUNT(L37:P37)&lt;5),"",1)</f>
        <v>1</v>
      </c>
      <c r="AG37" s="66" t="str">
        <f t="shared" ref="AG37:AG42" si="7">IFERROR(K37,"")</f>
        <v>INDAH</v>
      </c>
    </row>
    <row r="38" ht="15.75" customHeight="1">
      <c r="A38" s="1"/>
      <c r="B38" s="46">
        <v>9.0</v>
      </c>
      <c r="C38" s="47"/>
      <c r="D38" s="48"/>
      <c r="E38" s="49"/>
      <c r="F38" s="1"/>
      <c r="G38" s="1"/>
      <c r="H38" s="1"/>
      <c r="I38" s="1"/>
      <c r="J38" s="1"/>
      <c r="K38" s="67" t="str">
        <f t="shared" si="2"/>
        <v>AMEL</v>
      </c>
      <c r="L38" s="68">
        <v>5.0</v>
      </c>
      <c r="M38" s="68">
        <v>5.0</v>
      </c>
      <c r="N38" s="68">
        <v>5.0</v>
      </c>
      <c r="O38" s="68">
        <v>5.0</v>
      </c>
      <c r="P38" s="68">
        <v>4.0</v>
      </c>
      <c r="Q38" s="1"/>
      <c r="R38" s="1"/>
      <c r="AC38" s="65">
        <f t="shared" si="3"/>
        <v>97</v>
      </c>
      <c r="AD38" s="65" t="str">
        <f t="shared" si="4"/>
        <v>Sangat Baik</v>
      </c>
      <c r="AE38" s="65" t="str">
        <f t="shared" si="5"/>
        <v>Admin/CS</v>
      </c>
      <c r="AF38" s="65">
        <f t="shared" si="6"/>
        <v>1</v>
      </c>
      <c r="AG38" s="66" t="str">
        <f t="shared" si="7"/>
        <v>AMEL</v>
      </c>
    </row>
    <row r="39" ht="15.75" customHeight="1">
      <c r="A39" s="1"/>
      <c r="B39" s="51">
        <v>10.0</v>
      </c>
      <c r="C39" s="52"/>
      <c r="D39" s="54"/>
      <c r="E39" s="49"/>
      <c r="F39" s="1"/>
      <c r="G39" s="1"/>
      <c r="H39" s="1"/>
      <c r="I39" s="1"/>
      <c r="J39" s="1"/>
      <c r="K39" s="67" t="str">
        <f t="shared" si="2"/>
        <v>SAKA</v>
      </c>
      <c r="L39" s="68">
        <v>5.0</v>
      </c>
      <c r="M39" s="68">
        <v>5.0</v>
      </c>
      <c r="N39" s="68">
        <v>4.0</v>
      </c>
      <c r="O39" s="68">
        <v>5.0</v>
      </c>
      <c r="P39" s="68">
        <v>5.0</v>
      </c>
      <c r="Q39" s="1"/>
      <c r="R39" s="1"/>
      <c r="AC39" s="65">
        <f t="shared" si="3"/>
        <v>95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SAKA</v>
      </c>
    </row>
    <row r="40" ht="15.75" customHeight="1">
      <c r="A40" s="1"/>
      <c r="B40" s="69">
        <v>11.0</v>
      </c>
      <c r="C40" s="70"/>
      <c r="D40" s="120"/>
      <c r="E40" s="49"/>
      <c r="F40" s="1"/>
      <c r="G40" s="1"/>
      <c r="H40" s="1"/>
      <c r="I40" s="1"/>
      <c r="J40" s="1"/>
      <c r="K40" s="67" t="str">
        <f t="shared" si="2"/>
        <v>ADIF</v>
      </c>
      <c r="L40" s="68">
        <v>5.0</v>
      </c>
      <c r="M40" s="68">
        <v>5.0</v>
      </c>
      <c r="N40" s="68">
        <v>5.0</v>
      </c>
      <c r="O40" s="68">
        <v>5.0</v>
      </c>
      <c r="P40" s="68">
        <v>4.0</v>
      </c>
      <c r="Q40" s="1"/>
      <c r="R40" s="1"/>
      <c r="AC40" s="65">
        <f t="shared" si="3"/>
        <v>97</v>
      </c>
      <c r="AD40" s="65" t="str">
        <f t="shared" si="4"/>
        <v>Sangat Baik</v>
      </c>
      <c r="AE40" s="65" t="str">
        <f t="shared" si="5"/>
        <v>Fotografer</v>
      </c>
      <c r="AF40" s="65">
        <f t="shared" si="6"/>
        <v>1</v>
      </c>
      <c r="AG40" s="66" t="str">
        <f t="shared" si="7"/>
        <v>ADIF</v>
      </c>
    </row>
    <row r="41" ht="15.75" customHeight="1">
      <c r="A41" s="1"/>
      <c r="B41" s="1"/>
      <c r="C41" s="2"/>
      <c r="D41" s="72">
        <f>SUM(D30:D40)</f>
        <v>422000</v>
      </c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67"/>
      <c r="L42" s="73"/>
      <c r="M42" s="73"/>
      <c r="N42" s="73"/>
      <c r="O42" s="73"/>
      <c r="P42" s="73"/>
      <c r="Q42" s="1"/>
      <c r="R42" s="1"/>
      <c r="AC42" s="65" t="str">
        <f t="shared" si="3"/>
        <v/>
      </c>
      <c r="AD42" s="65" t="str">
        <f t="shared" si="4"/>
        <v/>
      </c>
      <c r="AE42" s="65" t="str">
        <f t="shared" si="5"/>
        <v/>
      </c>
      <c r="AF42" s="65" t="str">
        <f t="shared" si="6"/>
        <v/>
      </c>
      <c r="AG42" s="66" t="str">
        <f t="shared" si="7"/>
        <v/>
      </c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4" t="s">
        <v>112</v>
      </c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5" t="s">
        <v>113</v>
      </c>
      <c r="N45" s="112"/>
      <c r="O45" s="1"/>
      <c r="P45" s="1"/>
      <c r="Q45" s="1"/>
      <c r="R45" s="1"/>
    </row>
    <row r="46" ht="15.75" customHeight="1">
      <c r="K46" s="76" t="s">
        <v>7</v>
      </c>
      <c r="L46" s="76" t="s">
        <v>114</v>
      </c>
      <c r="M46" s="76" t="s">
        <v>115</v>
      </c>
      <c r="N46" s="113" t="s">
        <v>290</v>
      </c>
    </row>
    <row r="47" ht="15.75" customHeight="1">
      <c r="K47" s="77" t="str">
        <f t="shared" ref="K47:K48" si="8">IF(O30="","",O30)</f>
        <v>INDAH</v>
      </c>
      <c r="L47" s="81">
        <v>5.0</v>
      </c>
      <c r="M47" s="81" t="s">
        <v>117</v>
      </c>
      <c r="N47" s="114">
        <v>16.0</v>
      </c>
    </row>
    <row r="48" ht="15.75" customHeight="1">
      <c r="K48" s="77" t="str">
        <f t="shared" si="8"/>
        <v>AMEL</v>
      </c>
      <c r="L48" s="81">
        <v>4.0</v>
      </c>
      <c r="M48" s="78"/>
      <c r="N48" s="114"/>
    </row>
    <row r="49" ht="15.75" customHeight="1"/>
    <row r="50" ht="19.5" customHeight="1">
      <c r="K50" s="79" t="s">
        <v>118</v>
      </c>
    </row>
    <row r="51" ht="19.5" customHeight="1">
      <c r="K51" s="80" t="s">
        <v>119</v>
      </c>
      <c r="M51" s="81">
        <v>29.0</v>
      </c>
    </row>
    <row r="52" ht="19.5" customHeight="1">
      <c r="K52" s="82" t="s">
        <v>120</v>
      </c>
      <c r="M52" s="83">
        <f>COUNTIF($I$4:$I$28,"DP")</f>
        <v>9</v>
      </c>
    </row>
    <row r="53" ht="19.5" customHeight="1">
      <c r="K53" s="82" t="s">
        <v>121</v>
      </c>
      <c r="M53" s="83">
        <f>COUNTIFS($I$4:$I$28,"&lt;&gt;DP",$I$4:$I$28,"&lt;&gt;")</f>
        <v>13</v>
      </c>
    </row>
    <row r="54" ht="19.5" customHeight="1">
      <c r="K54" s="84" t="s">
        <v>122</v>
      </c>
      <c r="M54" s="83">
        <f>M52+M53</f>
        <v>22</v>
      </c>
    </row>
    <row r="55" ht="19.5" customHeight="1">
      <c r="K55" s="80" t="s">
        <v>123</v>
      </c>
      <c r="M55" s="85">
        <f>IF(OR(M51="",M51=0),"",M52/M51)</f>
        <v>0.3103448276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1:L51"/>
    <mergeCell ref="K52:L52"/>
    <mergeCell ref="K53:L53"/>
    <mergeCell ref="K54:L54"/>
    <mergeCell ref="K55:L55"/>
    <mergeCell ref="L2:L3"/>
    <mergeCell ref="M2:M3"/>
    <mergeCell ref="N2:P2"/>
    <mergeCell ref="K35:P35"/>
    <mergeCell ref="K43:P43"/>
    <mergeCell ref="K45:M45"/>
    <mergeCell ref="K50:M50"/>
  </mergeCells>
  <conditionalFormatting sqref="I4:I28">
    <cfRule type="expression" dxfId="0" priority="1">
      <formula>I4="DP"</formula>
    </cfRule>
  </conditionalFormatting>
  <conditionalFormatting sqref="I4:I28">
    <cfRule type="expression" dxfId="1" priority="2">
      <formula>I4="Lunas"</formula>
    </cfRule>
  </conditionalFormatting>
  <conditionalFormatting sqref="J4:K28">
    <cfRule type="expression" dxfId="2" priority="3">
      <formula>OR(J4="Uploaded",J4="Delivered")</formula>
    </cfRule>
  </conditionalFormatting>
  <dataValidations>
    <dataValidation type="list" allowBlank="1" showDropDown="1" showErrorMessage="1" sqref="I4:I25">
      <formula1>"-,DP,Lunas"</formula1>
    </dataValidation>
    <dataValidation type="list" allowBlank="1" sqref="L37:P42">
      <formula1>"1,2,3,4,5"</formula1>
    </dataValidation>
    <dataValidation type="list" allowBlank="1" showDropDown="1" showErrorMessage="1" sqref="J4:K25">
      <formula1>"-,Pending,Uploaded"</formula1>
    </dataValidation>
    <dataValidation type="list" allowBlank="1" sqref="K37:K42">
      <formula1>'Resume Karyawan KPI'!$AK$5:$AK$15</formula1>
    </dataValidation>
    <dataValidation type="list" allowBlank="1" showErrorMessage="1" sqref="N4:N25">
      <formula1>"-,Pending,Progress,Uploaded"</formula1>
    </dataValidation>
    <dataValidation type="list" allowBlank="1" sqref="O30:O33">
      <formula1>"INDAH,ADDEL,AMEL,PENTIL,JIJANG,HANIF,FAHME,ADIF,ABROR,FADEL,SAKA"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M4:M25">
      <formula1>"-,VERO,FADEL,PENTIL,HANIF,SAKA,ADIF"</formula1>
    </dataValidation>
    <dataValidation type="list" allowBlank="1" showDropDown="1" showErrorMessage="1" sqref="L4:L25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296</v>
      </c>
      <c r="D4" s="95" t="s">
        <v>23</v>
      </c>
      <c r="E4" s="14"/>
      <c r="F4" s="92" t="s">
        <v>236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299</v>
      </c>
      <c r="D5" s="95" t="s">
        <v>126</v>
      </c>
      <c r="E5" s="14"/>
      <c r="F5" s="92" t="s">
        <v>300</v>
      </c>
      <c r="G5" s="101">
        <v>100000.0</v>
      </c>
      <c r="H5" s="35"/>
      <c r="I5" s="92" t="s">
        <v>35</v>
      </c>
      <c r="J5" s="92" t="s">
        <v>36</v>
      </c>
      <c r="K5" s="92" t="s">
        <v>131</v>
      </c>
      <c r="L5" s="92" t="s">
        <v>29</v>
      </c>
      <c r="M5" s="92" t="s">
        <v>37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273</v>
      </c>
      <c r="D6" s="95" t="s">
        <v>126</v>
      </c>
      <c r="E6" s="14"/>
      <c r="F6" s="92" t="s">
        <v>300</v>
      </c>
      <c r="G6" s="34"/>
      <c r="H6" s="97">
        <v>100000.0</v>
      </c>
      <c r="I6" s="92" t="s">
        <v>35</v>
      </c>
      <c r="J6" s="92" t="s">
        <v>36</v>
      </c>
      <c r="K6" s="92" t="s">
        <v>131</v>
      </c>
      <c r="L6" s="92" t="s">
        <v>29</v>
      </c>
      <c r="M6" s="92" t="s">
        <v>47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291</v>
      </c>
      <c r="D7" s="95" t="s">
        <v>23</v>
      </c>
      <c r="E7" s="14"/>
      <c r="F7" s="92" t="s">
        <v>300</v>
      </c>
      <c r="G7" s="34"/>
      <c r="H7" s="97">
        <v>775000.0</v>
      </c>
      <c r="I7" s="92" t="s">
        <v>35</v>
      </c>
      <c r="J7" s="92" t="s">
        <v>36</v>
      </c>
      <c r="K7" s="92" t="s">
        <v>36</v>
      </c>
      <c r="L7" s="92" t="s">
        <v>29</v>
      </c>
      <c r="M7" s="92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304</v>
      </c>
      <c r="D8" s="95" t="s">
        <v>22</v>
      </c>
      <c r="E8" s="14"/>
      <c r="F8" s="92" t="s">
        <v>25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250</v>
      </c>
      <c r="D9" s="95" t="s">
        <v>23</v>
      </c>
      <c r="E9" s="14"/>
      <c r="F9" s="92" t="s">
        <v>300</v>
      </c>
      <c r="G9" s="34"/>
      <c r="H9" s="97">
        <v>200000.0</v>
      </c>
      <c r="I9" s="92" t="s">
        <v>35</v>
      </c>
      <c r="J9" s="92" t="s">
        <v>36</v>
      </c>
      <c r="K9" s="92" t="s">
        <v>36</v>
      </c>
      <c r="L9" s="92" t="s">
        <v>29</v>
      </c>
      <c r="M9" s="92" t="s">
        <v>47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32"/>
      <c r="D10" s="16"/>
      <c r="E10" s="14"/>
      <c r="F10" s="33"/>
      <c r="G10" s="34"/>
      <c r="H10" s="35"/>
      <c r="I10" s="15"/>
      <c r="J10" s="15"/>
      <c r="K10" s="15"/>
      <c r="L10" s="15"/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2"/>
      <c r="D11" s="16"/>
      <c r="E11" s="14"/>
      <c r="F11" s="33"/>
      <c r="G11" s="34"/>
      <c r="H11" s="35"/>
      <c r="I11" s="15"/>
      <c r="J11" s="15"/>
      <c r="K11" s="15"/>
      <c r="L11" s="15"/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32"/>
      <c r="D12" s="16"/>
      <c r="E12" s="14"/>
      <c r="F12" s="33"/>
      <c r="G12" s="34"/>
      <c r="H12" s="35"/>
      <c r="I12" s="15"/>
      <c r="J12" s="15"/>
      <c r="K12" s="15"/>
      <c r="L12" s="15"/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/>
      <c r="D13" s="16"/>
      <c r="E13" s="14"/>
      <c r="F13" s="33"/>
      <c r="G13" s="34"/>
      <c r="H13" s="35"/>
      <c r="I13" s="15"/>
      <c r="J13" s="15"/>
      <c r="K13" s="15"/>
      <c r="L13" s="15"/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32"/>
      <c r="D14" s="16"/>
      <c r="E14" s="14"/>
      <c r="F14" s="33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33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33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33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33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32"/>
      <c r="D19" s="16"/>
      <c r="E19" s="14"/>
      <c r="F19" s="33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32"/>
      <c r="D20" s="16"/>
      <c r="E20" s="14"/>
      <c r="F20" s="33"/>
      <c r="G20" s="34"/>
      <c r="H20" s="35"/>
      <c r="I20" s="15"/>
      <c r="J20" s="15"/>
      <c r="K20" s="15"/>
      <c r="L20" s="15"/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32"/>
      <c r="D21" s="16"/>
      <c r="E21" s="14"/>
      <c r="F21" s="33"/>
      <c r="G21" s="34"/>
      <c r="H21" s="35"/>
      <c r="I21" s="15"/>
      <c r="J21" s="15"/>
      <c r="K21" s="15"/>
      <c r="L21" s="15"/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32"/>
      <c r="D22" s="16"/>
      <c r="E22" s="14"/>
      <c r="F22" s="33"/>
      <c r="G22" s="34"/>
      <c r="H22" s="35"/>
      <c r="I22" s="15"/>
      <c r="J22" s="15"/>
      <c r="K22" s="15"/>
      <c r="L22" s="15"/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32"/>
      <c r="D23" s="16"/>
      <c r="E23" s="14"/>
      <c r="F23" s="33"/>
      <c r="G23" s="34"/>
      <c r="H23" s="35"/>
      <c r="I23" s="15"/>
      <c r="J23" s="15"/>
      <c r="K23" s="15"/>
      <c r="L23" s="15"/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32"/>
      <c r="D24" s="16"/>
      <c r="E24" s="14"/>
      <c r="F24" s="33"/>
      <c r="G24" s="34"/>
      <c r="H24" s="35"/>
      <c r="I24" s="15"/>
      <c r="J24" s="15"/>
      <c r="K24" s="15"/>
      <c r="L24" s="15"/>
      <c r="M24" s="15"/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32"/>
      <c r="D25" s="16"/>
      <c r="E25" s="14"/>
      <c r="F25" s="15"/>
      <c r="G25" s="34"/>
      <c r="H25" s="35"/>
      <c r="I25" s="15"/>
      <c r="J25" s="15"/>
      <c r="K25" s="15"/>
      <c r="L25" s="15"/>
      <c r="M25" s="15"/>
      <c r="N25" s="41"/>
      <c r="O25" s="41"/>
      <c r="P25" s="41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42">
        <f t="shared" ref="G26:H26" si="1">SUM(G4:G25)</f>
        <v>100000</v>
      </c>
      <c r="H26" s="43">
        <f t="shared" si="1"/>
        <v>1275000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1"/>
      <c r="B29" s="44" t="s">
        <v>0</v>
      </c>
      <c r="C29" s="45" t="s">
        <v>6</v>
      </c>
      <c r="D29" s="45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45" t="s">
        <v>89</v>
      </c>
      <c r="O29" s="45" t="s">
        <v>1</v>
      </c>
      <c r="P29" s="1"/>
      <c r="Q29" s="1"/>
      <c r="R29" s="1"/>
    </row>
    <row r="30" ht="15.75" customHeight="1">
      <c r="A30" s="1"/>
      <c r="B30" s="46">
        <v>1.0</v>
      </c>
      <c r="C30" s="47" t="s">
        <v>90</v>
      </c>
      <c r="D30" s="48">
        <f>SUM(G26)</f>
        <v>100000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91</v>
      </c>
      <c r="O30" s="109" t="s">
        <v>29</v>
      </c>
      <c r="P30" s="1"/>
      <c r="Q30" s="1"/>
      <c r="R30" s="1"/>
    </row>
    <row r="31" ht="15.75" customHeight="1">
      <c r="A31" s="1"/>
      <c r="B31" s="51">
        <v>2.0</v>
      </c>
      <c r="C31" s="93" t="s">
        <v>319</v>
      </c>
      <c r="D31" s="108">
        <v>-100000.0</v>
      </c>
      <c r="E31" s="49"/>
      <c r="F31" s="1"/>
      <c r="G31" s="1"/>
      <c r="H31" s="1"/>
      <c r="I31" s="1"/>
      <c r="J31" s="1"/>
      <c r="K31" s="1"/>
      <c r="L31" s="1"/>
      <c r="M31" s="1"/>
      <c r="N31" s="56" t="s">
        <v>93</v>
      </c>
      <c r="O31" s="105" t="s">
        <v>29</v>
      </c>
      <c r="P31" s="1"/>
      <c r="Q31" s="1"/>
      <c r="R31" s="1"/>
    </row>
    <row r="32" ht="15.75" customHeight="1">
      <c r="A32" s="1"/>
      <c r="B32" s="46">
        <v>3.0</v>
      </c>
      <c r="C32" s="47"/>
      <c r="D32" s="48"/>
      <c r="E32" s="49"/>
      <c r="F32" s="1"/>
      <c r="G32" s="1"/>
      <c r="H32" s="1"/>
      <c r="I32" s="1"/>
      <c r="J32" s="1"/>
      <c r="K32" s="1"/>
      <c r="L32" s="1"/>
      <c r="M32" s="1"/>
      <c r="N32" s="59" t="s">
        <v>95</v>
      </c>
      <c r="O32" s="110" t="s">
        <v>37</v>
      </c>
      <c r="P32" s="1"/>
      <c r="Q32" s="1"/>
      <c r="R32" s="1"/>
    </row>
    <row r="33" ht="15.75" customHeight="1">
      <c r="A33" s="1"/>
      <c r="B33" s="51">
        <v>4.0</v>
      </c>
      <c r="C33" s="52"/>
      <c r="D33" s="54"/>
      <c r="E33" s="49"/>
      <c r="F33" s="1"/>
      <c r="G33" s="1"/>
      <c r="H33" s="1"/>
      <c r="I33" s="1"/>
      <c r="J33" s="1"/>
      <c r="K33" s="1"/>
      <c r="L33" s="1"/>
      <c r="M33" s="1"/>
      <c r="N33" s="60" t="s">
        <v>98</v>
      </c>
      <c r="O33" s="105" t="s">
        <v>47</v>
      </c>
      <c r="P33" s="1"/>
      <c r="Q33" s="1"/>
      <c r="R33" s="1"/>
    </row>
    <row r="34" ht="15.75" customHeight="1">
      <c r="A34" s="1"/>
      <c r="B34" s="46">
        <v>5.0</v>
      </c>
      <c r="C34" s="47"/>
      <c r="D34" s="48"/>
      <c r="E34" s="49"/>
      <c r="F34" s="1"/>
      <c r="G34" s="1"/>
      <c r="H34" s="1"/>
      <c r="I34" s="1"/>
      <c r="J34" s="1"/>
      <c r="K34" s="1"/>
      <c r="L34" s="1"/>
      <c r="M34" s="1"/>
      <c r="N34" s="61"/>
      <c r="O34" s="1"/>
      <c r="P34" s="1"/>
      <c r="Q34" s="1"/>
      <c r="R34" s="1"/>
    </row>
    <row r="35" ht="15.75" customHeight="1">
      <c r="A35" s="1"/>
      <c r="B35" s="51">
        <v>6.0</v>
      </c>
      <c r="C35" s="52"/>
      <c r="D35" s="54"/>
      <c r="E35" s="49"/>
      <c r="F35" s="1"/>
      <c r="G35" s="1"/>
      <c r="H35" s="1"/>
      <c r="I35" s="1"/>
      <c r="J35" s="1"/>
      <c r="K35" s="62" t="s">
        <v>100</v>
      </c>
      <c r="Q35" s="1"/>
      <c r="R35" s="1"/>
    </row>
    <row r="36" ht="15.75" customHeight="1">
      <c r="A36" s="1"/>
      <c r="B36" s="46">
        <v>7.0</v>
      </c>
      <c r="C36" s="47"/>
      <c r="D36" s="48"/>
      <c r="E36" s="49"/>
      <c r="F36" s="1"/>
      <c r="G36" s="1"/>
      <c r="H36" s="1"/>
      <c r="I36" s="1"/>
      <c r="J36" s="1"/>
      <c r="K36" s="63" t="s">
        <v>1</v>
      </c>
      <c r="L36" s="63" t="s">
        <v>102</v>
      </c>
      <c r="M36" s="63" t="s">
        <v>103</v>
      </c>
      <c r="N36" s="63" t="s">
        <v>104</v>
      </c>
      <c r="O36" s="63" t="s">
        <v>105</v>
      </c>
      <c r="P36" s="63" t="s">
        <v>106</v>
      </c>
      <c r="Q36" s="1"/>
      <c r="R36" s="1"/>
      <c r="AC36" s="65" t="s">
        <v>107</v>
      </c>
      <c r="AD36" s="65" t="s">
        <v>108</v>
      </c>
      <c r="AE36" s="65" t="s">
        <v>109</v>
      </c>
      <c r="AF36" s="65" t="s">
        <v>110</v>
      </c>
      <c r="AG36" s="66" t="s">
        <v>111</v>
      </c>
    </row>
    <row r="37" ht="15.75" customHeight="1">
      <c r="A37" s="1"/>
      <c r="B37" s="51">
        <v>8.0</v>
      </c>
      <c r="C37" s="52"/>
      <c r="D37" s="54"/>
      <c r="E37" s="49"/>
      <c r="F37" s="1"/>
      <c r="G37" s="1"/>
      <c r="H37" s="1"/>
      <c r="I37" s="1"/>
      <c r="J37" s="1"/>
      <c r="K37" s="67" t="str">
        <f t="shared" ref="K37:K40" si="2">IF(O30="","",O30)</f>
        <v>AMEL</v>
      </c>
      <c r="L37" s="68">
        <v>5.0</v>
      </c>
      <c r="M37" s="68">
        <v>5.0</v>
      </c>
      <c r="N37" s="68">
        <v>5.0</v>
      </c>
      <c r="O37" s="68">
        <v>4.0</v>
      </c>
      <c r="P37" s="68">
        <v>5.0</v>
      </c>
      <c r="Q37" s="1"/>
      <c r="R37" s="1"/>
      <c r="AC37" s="65">
        <f t="shared" ref="AC37:AC42" si="3">IF(AG37="","",IF(COUNT(L37:P37)&lt;5,"",L37/5*20+M37/5*25+N37/5*25+O37/5*15+P37/5*15))</f>
        <v>97</v>
      </c>
      <c r="AD37" s="65" t="str">
        <f t="shared" ref="AD37:AD42" si="4">IF(AC37="","",IF(AC37&gt;=90,"Sangat Baik",IF(AC37&gt;=80,"Baik",IF(AC37&gt;=70,"Coaching","Underperform"))))</f>
        <v>Sangat Baik</v>
      </c>
      <c r="AE37" s="65" t="str">
        <f t="shared" ref="AE37:AE42" si="5">IF(AG37="","",IF(OR(AG37="INDAH",AG37="ADDEL",AG37="AMEL",AG37="PENTIL",AG37="JIJANG"),"Admin/CS","Fotografer"))</f>
        <v>Admin/CS</v>
      </c>
      <c r="AF37" s="65">
        <f t="shared" ref="AF37:AF42" si="6">IF(OR(AG37="",COUNT(L37:P37)&lt;5),"",1)</f>
        <v>1</v>
      </c>
      <c r="AG37" s="66" t="str">
        <f t="shared" ref="AG37:AG42" si="7">IFERROR(K37,"")</f>
        <v>AMEL</v>
      </c>
    </row>
    <row r="38" ht="15.75" customHeight="1">
      <c r="A38" s="1"/>
      <c r="B38" s="46">
        <v>9.0</v>
      </c>
      <c r="C38" s="47"/>
      <c r="D38" s="48"/>
      <c r="E38" s="49"/>
      <c r="F38" s="1"/>
      <c r="G38" s="1"/>
      <c r="H38" s="1"/>
      <c r="I38" s="1"/>
      <c r="J38" s="1"/>
      <c r="K38" s="67" t="str">
        <f t="shared" si="2"/>
        <v>AMEL</v>
      </c>
      <c r="L38" s="68">
        <v>5.0</v>
      </c>
      <c r="M38" s="68">
        <v>5.0</v>
      </c>
      <c r="N38" s="68">
        <v>5.0</v>
      </c>
      <c r="O38" s="68">
        <v>4.0</v>
      </c>
      <c r="P38" s="68">
        <v>5.0</v>
      </c>
      <c r="Q38" s="1"/>
      <c r="R38" s="1"/>
      <c r="AC38" s="65">
        <f t="shared" si="3"/>
        <v>97</v>
      </c>
      <c r="AD38" s="65" t="str">
        <f t="shared" si="4"/>
        <v>Sangat Baik</v>
      </c>
      <c r="AE38" s="65" t="str">
        <f t="shared" si="5"/>
        <v>Admin/CS</v>
      </c>
      <c r="AF38" s="65">
        <f t="shared" si="6"/>
        <v>1</v>
      </c>
      <c r="AG38" s="66" t="str">
        <f t="shared" si="7"/>
        <v>AMEL</v>
      </c>
    </row>
    <row r="39" ht="15.75" customHeight="1">
      <c r="A39" s="1"/>
      <c r="B39" s="51">
        <v>10.0</v>
      </c>
      <c r="C39" s="52"/>
      <c r="D39" s="54"/>
      <c r="E39" s="49"/>
      <c r="F39" s="1"/>
      <c r="G39" s="1"/>
      <c r="H39" s="1"/>
      <c r="I39" s="1"/>
      <c r="J39" s="1"/>
      <c r="K39" s="67" t="str">
        <f t="shared" si="2"/>
        <v>ADIF</v>
      </c>
      <c r="L39" s="68">
        <v>5.0</v>
      </c>
      <c r="M39" s="68">
        <v>5.0</v>
      </c>
      <c r="N39" s="68">
        <v>5.0</v>
      </c>
      <c r="O39" s="68">
        <v>5.0</v>
      </c>
      <c r="P39" s="68">
        <v>4.0</v>
      </c>
      <c r="Q39" s="1"/>
      <c r="R39" s="1"/>
      <c r="AC39" s="65">
        <f t="shared" si="3"/>
        <v>97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ADIF</v>
      </c>
    </row>
    <row r="40" ht="15.75" customHeight="1">
      <c r="A40" s="1"/>
      <c r="B40" s="69">
        <v>11.0</v>
      </c>
      <c r="C40" s="70"/>
      <c r="D40" s="71"/>
      <c r="E40" s="49"/>
      <c r="F40" s="1"/>
      <c r="G40" s="1"/>
      <c r="H40" s="1"/>
      <c r="I40" s="1"/>
      <c r="J40" s="1"/>
      <c r="K40" s="67" t="str">
        <f t="shared" si="2"/>
        <v>SAKA</v>
      </c>
      <c r="L40" s="68">
        <v>5.0</v>
      </c>
      <c r="M40" s="68">
        <v>5.0</v>
      </c>
      <c r="N40" s="68">
        <v>5.0</v>
      </c>
      <c r="O40" s="68">
        <v>5.0</v>
      </c>
      <c r="P40" s="68">
        <v>4.0</v>
      </c>
      <c r="Q40" s="1"/>
      <c r="R40" s="1"/>
      <c r="AC40" s="65">
        <f t="shared" si="3"/>
        <v>97</v>
      </c>
      <c r="AD40" s="65" t="str">
        <f t="shared" si="4"/>
        <v>Sangat Baik</v>
      </c>
      <c r="AE40" s="65" t="str">
        <f t="shared" si="5"/>
        <v>Fotografer</v>
      </c>
      <c r="AF40" s="65">
        <f t="shared" si="6"/>
        <v>1</v>
      </c>
      <c r="AG40" s="66" t="str">
        <f t="shared" si="7"/>
        <v>SAKA</v>
      </c>
    </row>
    <row r="41" ht="15.75" customHeight="1">
      <c r="A41" s="1"/>
      <c r="B41" s="1"/>
      <c r="C41" s="2"/>
      <c r="D41" s="72">
        <f>SUM(D30:D40)</f>
        <v>0</v>
      </c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67"/>
      <c r="L42" s="73"/>
      <c r="M42" s="73"/>
      <c r="N42" s="73"/>
      <c r="O42" s="73"/>
      <c r="P42" s="73"/>
      <c r="Q42" s="1"/>
      <c r="R42" s="1"/>
      <c r="AC42" s="65" t="str">
        <f t="shared" si="3"/>
        <v/>
      </c>
      <c r="AD42" s="65" t="str">
        <f t="shared" si="4"/>
        <v/>
      </c>
      <c r="AE42" s="65" t="str">
        <f t="shared" si="5"/>
        <v/>
      </c>
      <c r="AF42" s="65" t="str">
        <f t="shared" si="6"/>
        <v/>
      </c>
      <c r="AG42" s="66" t="str">
        <f t="shared" si="7"/>
        <v/>
      </c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4" t="s">
        <v>112</v>
      </c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5" t="s">
        <v>113</v>
      </c>
      <c r="N45" s="1"/>
      <c r="O45" s="1"/>
      <c r="P45" s="1"/>
      <c r="Q45" s="1"/>
      <c r="R45" s="1"/>
    </row>
    <row r="46" ht="15.75" customHeight="1">
      <c r="K46" s="76" t="s">
        <v>7</v>
      </c>
      <c r="L46" s="76" t="s">
        <v>114</v>
      </c>
      <c r="M46" s="76" t="s">
        <v>115</v>
      </c>
    </row>
    <row r="47" ht="15.75" customHeight="1">
      <c r="K47" s="77" t="str">
        <f t="shared" ref="K47:K48" si="8">IF(O30="","",O30)</f>
        <v>AMEL</v>
      </c>
      <c r="L47" s="81">
        <v>2.0</v>
      </c>
      <c r="M47" s="78"/>
    </row>
    <row r="48" ht="15.75" customHeight="1">
      <c r="K48" s="77" t="str">
        <f t="shared" si="8"/>
        <v>AMEL</v>
      </c>
      <c r="L48" s="78"/>
      <c r="M48" s="78"/>
    </row>
    <row r="49" ht="15.75" customHeight="1"/>
    <row r="50" ht="19.5" customHeight="1">
      <c r="K50" s="79" t="s">
        <v>118</v>
      </c>
    </row>
    <row r="51" ht="19.5" customHeight="1">
      <c r="K51" s="80" t="s">
        <v>119</v>
      </c>
      <c r="M51" s="81">
        <v>17.0</v>
      </c>
    </row>
    <row r="52" ht="19.5" customHeight="1">
      <c r="K52" s="82" t="s">
        <v>120</v>
      </c>
      <c r="M52" s="83">
        <f>COUNTIF($I$4:$I$28,"DP")</f>
        <v>2</v>
      </c>
    </row>
    <row r="53" ht="19.5" customHeight="1">
      <c r="K53" s="82" t="s">
        <v>121</v>
      </c>
      <c r="M53" s="83">
        <f>COUNTIFS($I$4:$I$28,"&lt;&gt;DP",$I$4:$I$28,"&lt;&gt;")</f>
        <v>4</v>
      </c>
    </row>
    <row r="54" ht="19.5" customHeight="1">
      <c r="K54" s="84" t="s">
        <v>122</v>
      </c>
      <c r="M54" s="83">
        <f>M52+M53</f>
        <v>6</v>
      </c>
    </row>
    <row r="55" ht="19.5" customHeight="1">
      <c r="K55" s="80" t="s">
        <v>123</v>
      </c>
      <c r="M55" s="85">
        <f>IF(OR(M51="",M51=0),"",M52/M51)</f>
        <v>0.1176470588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1:L51"/>
    <mergeCell ref="K52:L52"/>
    <mergeCell ref="K53:L53"/>
    <mergeCell ref="K54:L54"/>
    <mergeCell ref="K55:L55"/>
    <mergeCell ref="L2:L3"/>
    <mergeCell ref="M2:M3"/>
    <mergeCell ref="N2:P2"/>
    <mergeCell ref="K35:P35"/>
    <mergeCell ref="K43:P43"/>
    <mergeCell ref="K45:M45"/>
    <mergeCell ref="K50:M50"/>
  </mergeCells>
  <conditionalFormatting sqref="I4:I28">
    <cfRule type="expression" dxfId="0" priority="1">
      <formula>I4="DP"</formula>
    </cfRule>
  </conditionalFormatting>
  <conditionalFormatting sqref="I4:I28">
    <cfRule type="expression" dxfId="1" priority="2">
      <formula>I4="Lunas"</formula>
    </cfRule>
  </conditionalFormatting>
  <conditionalFormatting sqref="J4:K28">
    <cfRule type="expression" dxfId="2" priority="3">
      <formula>OR(J4="Uploaded",J4="Delivered")</formula>
    </cfRule>
  </conditionalFormatting>
  <dataValidations>
    <dataValidation type="list" allowBlank="1" showDropDown="1" showErrorMessage="1" sqref="I4:I25">
      <formula1>"-,DP,Lunas"</formula1>
    </dataValidation>
    <dataValidation type="list" allowBlank="1" sqref="L37:P42">
      <formula1>"1,2,3,4,5"</formula1>
    </dataValidation>
    <dataValidation type="list" allowBlank="1" showDropDown="1" showErrorMessage="1" sqref="J4:K25">
      <formula1>"-,Pending,Uploaded"</formula1>
    </dataValidation>
    <dataValidation type="list" allowBlank="1" showDropDown="1" showErrorMessage="1" sqref="L4:L25">
      <formula1>"-,JIJANG,AXEL,PENTIL,FAHME,INDAH,AMEL"</formula1>
    </dataValidation>
    <dataValidation type="list" allowBlank="1" sqref="K37:K42">
      <formula1>'Resume Karyawan KPI'!$AK$5:$AK$15</formula1>
    </dataValidation>
    <dataValidation type="list" allowBlank="1" showDropDown="1" showErrorMessage="1" sqref="M4:M25">
      <formula1>"-,VERO,FADEL,PENTIL,FAHME,ADIF,HANIF,SAKA"</formula1>
    </dataValidation>
    <dataValidation type="list" allowBlank="1" showErrorMessage="1" sqref="N4:N25">
      <formula1>"-,Pending,Progress,Uploaded"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qref="O30:O33">
      <formula1>"INDAH,ADDEL,AMEL,PENTIL,JIJANG,HANIF,FAHME,ADIF,ABROR,FADEL,SAKA"</formula1>
    </dataValidation>
    <dataValidation type="list" allowBlank="1" showErrorMessage="1" sqref="O4:O25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63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309</v>
      </c>
      <c r="D4" s="95" t="s">
        <v>23</v>
      </c>
      <c r="E4" s="14"/>
      <c r="F4" s="92" t="s">
        <v>310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313</v>
      </c>
      <c r="D5" s="95" t="s">
        <v>23</v>
      </c>
      <c r="E5" s="14"/>
      <c r="F5" s="92" t="s">
        <v>314</v>
      </c>
      <c r="G5" s="34"/>
      <c r="H5" s="97">
        <v>100000.0</v>
      </c>
      <c r="I5" s="92" t="s">
        <v>28</v>
      </c>
      <c r="J5" s="15"/>
      <c r="K5" s="15"/>
      <c r="L5" s="92" t="s">
        <v>29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316</v>
      </c>
      <c r="D6" s="95" t="s">
        <v>23</v>
      </c>
      <c r="E6" s="14"/>
      <c r="F6" s="92" t="s">
        <v>317</v>
      </c>
      <c r="G6" s="34"/>
      <c r="H6" s="97">
        <v>100000.0</v>
      </c>
      <c r="I6" s="92" t="s">
        <v>28</v>
      </c>
      <c r="J6" s="15"/>
      <c r="K6" s="15"/>
      <c r="L6" s="92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320</v>
      </c>
      <c r="D7" s="95" t="s">
        <v>126</v>
      </c>
      <c r="E7" s="14"/>
      <c r="F7" s="92" t="s">
        <v>317</v>
      </c>
      <c r="G7" s="34"/>
      <c r="H7" s="97">
        <v>100000.0</v>
      </c>
      <c r="I7" s="92" t="s">
        <v>28</v>
      </c>
      <c r="J7" s="15"/>
      <c r="K7" s="15"/>
      <c r="L7" s="92" t="s">
        <v>29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320</v>
      </c>
      <c r="D8" s="95" t="s">
        <v>23</v>
      </c>
      <c r="E8" s="14"/>
      <c r="F8" s="92" t="s">
        <v>321</v>
      </c>
      <c r="G8" s="116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322</v>
      </c>
      <c r="D9" s="95" t="s">
        <v>126</v>
      </c>
      <c r="E9" s="14"/>
      <c r="F9" s="98">
        <v>46257.0</v>
      </c>
      <c r="G9" s="116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323</v>
      </c>
      <c r="D10" s="95" t="s">
        <v>22</v>
      </c>
      <c r="E10" s="14"/>
      <c r="F10" s="98">
        <v>46266.0</v>
      </c>
      <c r="G10" s="116"/>
      <c r="H10" s="97">
        <v>100000.0</v>
      </c>
      <c r="I10" s="92" t="s">
        <v>28</v>
      </c>
      <c r="J10" s="15"/>
      <c r="K10" s="15"/>
      <c r="L10" s="92" t="s">
        <v>30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324</v>
      </c>
      <c r="D11" s="95" t="s">
        <v>22</v>
      </c>
      <c r="E11" s="14"/>
      <c r="F11" s="98">
        <v>46299.0</v>
      </c>
      <c r="G11" s="116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325</v>
      </c>
      <c r="D12" s="95" t="s">
        <v>23</v>
      </c>
      <c r="E12" s="14"/>
      <c r="F12" s="98">
        <v>46253.0</v>
      </c>
      <c r="G12" s="117">
        <v>150000.0</v>
      </c>
      <c r="H12" s="35"/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37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326</v>
      </c>
      <c r="D13" s="95" t="s">
        <v>23</v>
      </c>
      <c r="E13" s="14"/>
      <c r="F13" s="111">
        <v>46254.0</v>
      </c>
      <c r="G13" s="116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327</v>
      </c>
      <c r="D14" s="95" t="s">
        <v>23</v>
      </c>
      <c r="E14" s="14"/>
      <c r="F14" s="111">
        <v>46255.0</v>
      </c>
      <c r="G14" s="116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328</v>
      </c>
      <c r="D15" s="95" t="s">
        <v>60</v>
      </c>
      <c r="E15" s="100" t="s">
        <v>244</v>
      </c>
      <c r="F15" s="111">
        <v>46253.0</v>
      </c>
      <c r="G15" s="118">
        <v>150000.0</v>
      </c>
      <c r="H15" s="35"/>
      <c r="I15" s="92" t="s">
        <v>35</v>
      </c>
      <c r="J15" s="92" t="s">
        <v>36</v>
      </c>
      <c r="K15" s="92" t="s">
        <v>77</v>
      </c>
      <c r="L15" s="92" t="s">
        <v>30</v>
      </c>
      <c r="M15" s="92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40"/>
      <c r="G16" s="119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40"/>
      <c r="G17" s="119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40"/>
      <c r="G18" s="119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300000</v>
      </c>
      <c r="H19" s="43">
        <f t="shared" si="1"/>
        <v>1000000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300000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109" t="s">
        <v>29</v>
      </c>
      <c r="P23" s="1"/>
      <c r="Q23" s="1"/>
      <c r="R23" s="1"/>
    </row>
    <row r="24" ht="15.75" customHeight="1">
      <c r="A24" s="1"/>
      <c r="B24" s="51">
        <v>2.0</v>
      </c>
      <c r="C24" s="93" t="s">
        <v>97</v>
      </c>
      <c r="D24" s="108">
        <v>-92000.0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105" t="s">
        <v>30</v>
      </c>
      <c r="P24" s="1"/>
      <c r="Q24" s="1"/>
      <c r="R24" s="1"/>
    </row>
    <row r="25" ht="15.75" customHeight="1">
      <c r="A25" s="1"/>
      <c r="B25" s="46">
        <v>3.0</v>
      </c>
      <c r="C25" s="106" t="s">
        <v>96</v>
      </c>
      <c r="D25" s="107">
        <v>-8000.0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110" t="s">
        <v>47</v>
      </c>
      <c r="P25" s="1"/>
      <c r="Q25" s="1"/>
      <c r="R25" s="1"/>
    </row>
    <row r="26" ht="15.75" customHeight="1">
      <c r="A26" s="1"/>
      <c r="B26" s="51">
        <v>4.0</v>
      </c>
      <c r="C26" s="93" t="s">
        <v>174</v>
      </c>
      <c r="D26" s="108">
        <v>-100000.0</v>
      </c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105" t="s">
        <v>37</v>
      </c>
      <c r="P26" s="1"/>
      <c r="Q26" s="1"/>
      <c r="R26" s="1"/>
    </row>
    <row r="27" ht="15.75" customHeight="1">
      <c r="A27" s="1"/>
      <c r="B27" s="46">
        <v>5.0</v>
      </c>
      <c r="C27" s="106" t="s">
        <v>99</v>
      </c>
      <c r="D27" s="107">
        <v>-20000.0</v>
      </c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93" t="s">
        <v>237</v>
      </c>
      <c r="D28" s="108">
        <v>-16000.0</v>
      </c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AMEL</v>
      </c>
      <c r="L30" s="68">
        <v>5.0</v>
      </c>
      <c r="M30" s="68">
        <v>5.0</v>
      </c>
      <c r="N30" s="68">
        <v>5.0</v>
      </c>
      <c r="O30" s="68">
        <v>5.0</v>
      </c>
      <c r="P30" s="68">
        <v>4.0</v>
      </c>
      <c r="Q30" s="1"/>
      <c r="R30" s="1"/>
      <c r="AC30" s="65">
        <f t="shared" ref="AC30:AC35" si="3">IF(AG30="","",IF(COUNT(L30:P30)&lt;5,"",L30/5*20+M30/5*25+N30/5*25+O30/5*15+P30/5*15))</f>
        <v>97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AMEL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4.0</v>
      </c>
      <c r="P31" s="68">
        <v>5.0</v>
      </c>
      <c r="Q31" s="1"/>
      <c r="R31" s="1"/>
      <c r="AC31" s="65">
        <f t="shared" si="3"/>
        <v>97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5.0</v>
      </c>
      <c r="N32" s="68">
        <v>5.0</v>
      </c>
      <c r="O32" s="68">
        <v>5.0</v>
      </c>
      <c r="P32" s="68">
        <v>4.0</v>
      </c>
      <c r="Q32" s="1"/>
      <c r="R32" s="1"/>
      <c r="AC32" s="65">
        <f t="shared" si="3"/>
        <v>97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ADIF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ADIF</v>
      </c>
    </row>
    <row r="34" ht="15.75" customHeight="1">
      <c r="A34" s="1"/>
      <c r="B34" s="1"/>
      <c r="C34" s="2"/>
      <c r="D34" s="72">
        <f>SUM(D23:D33)</f>
        <v>64000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</row>
    <row r="40" ht="15.75" customHeight="1">
      <c r="K40" s="77" t="str">
        <f t="shared" ref="K40:K41" si="8">IF(O23="","",O23)</f>
        <v>AMEL</v>
      </c>
      <c r="L40" s="81">
        <v>6.0</v>
      </c>
      <c r="M40" s="81" t="s">
        <v>117</v>
      </c>
    </row>
    <row r="41" ht="15.75" customHeight="1">
      <c r="K41" s="77" t="str">
        <f t="shared" si="8"/>
        <v>INDAH</v>
      </c>
      <c r="L41" s="81">
        <v>6.0</v>
      </c>
      <c r="M41" s="81" t="s">
        <v>116</v>
      </c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32.0</v>
      </c>
    </row>
    <row r="45" ht="19.5" customHeight="1">
      <c r="K45" s="82" t="s">
        <v>120</v>
      </c>
      <c r="M45" s="83">
        <f>COUNTIF($I$4:$I$21,"DP")</f>
        <v>10</v>
      </c>
    </row>
    <row r="46" ht="19.5" customHeight="1">
      <c r="K46" s="82" t="s">
        <v>121</v>
      </c>
      <c r="M46" s="83">
        <f>COUNTIFS($I$4:$I$21,"&lt;&gt;DP",$I$4:$I$21,"&lt;&gt;")</f>
        <v>2</v>
      </c>
    </row>
    <row r="47" ht="19.5" customHeight="1">
      <c r="K47" s="84" t="s">
        <v>122</v>
      </c>
      <c r="M47" s="83">
        <f>M45+M46</f>
        <v>12</v>
      </c>
    </row>
    <row r="48" ht="19.5" customHeight="1">
      <c r="K48" s="80" t="s">
        <v>123</v>
      </c>
      <c r="M48" s="85">
        <f>IF(OR(M44="",M44=0),"",M45/M44)</f>
        <v>0.3125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Person,Add Edit,Add Cetak 16R,Photofox"</formula1>
    </dataValidation>
    <dataValidation type="list" allowBlank="1" showDropDown="1" showErrorMessage="1" sqref="I4:I18">
      <formula1>"-,DP,Lunas"</formula1>
    </dataValidation>
    <dataValidation type="list" allowBlank="1" sqref="L30:P35">
      <formula1>"1,2,3,4,5"</formula1>
    </dataValidation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DropDown="1" showErrorMessage="1" sqref="M4:M18">
      <formula1>"-,VERO,FADEL,PENTIL,FAHME,ADIF"</formula1>
    </dataValidation>
    <dataValidation type="list" allowBlank="1" showErrorMessage="1" sqref="N4:N18">
      <formula1>"-,Pending,Progress,Uploaded"</formula1>
    </dataValidation>
    <dataValidation type="list" allowBlank="1" sqref="O23:O26">
      <formula1>"INDAH,ADDEL,AMEL,PENTIL,JIJANG,HANIF,FAHME,ADIF,ABROR,FADEL,SAKA"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329</v>
      </c>
      <c r="D4" s="95" t="s">
        <v>39</v>
      </c>
      <c r="E4" s="14"/>
      <c r="F4" s="96">
        <v>46254.0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330</v>
      </c>
      <c r="D5" s="95" t="s">
        <v>23</v>
      </c>
      <c r="E5" s="14"/>
      <c r="F5" s="96">
        <v>46256.0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331</v>
      </c>
      <c r="D6" s="95" t="s">
        <v>23</v>
      </c>
      <c r="E6" s="14"/>
      <c r="F6" s="111">
        <v>46256.0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316</v>
      </c>
      <c r="D7" s="95" t="s">
        <v>23</v>
      </c>
      <c r="E7" s="14"/>
      <c r="F7" s="111">
        <v>46254.0</v>
      </c>
      <c r="G7" s="34"/>
      <c r="H7" s="97">
        <v>250000.0</v>
      </c>
      <c r="I7" s="92" t="s">
        <v>35</v>
      </c>
      <c r="J7" s="92" t="s">
        <v>36</v>
      </c>
      <c r="K7" s="92" t="s">
        <v>36</v>
      </c>
      <c r="L7" s="92" t="s">
        <v>30</v>
      </c>
      <c r="M7" s="92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332</v>
      </c>
      <c r="D8" s="95" t="s">
        <v>23</v>
      </c>
      <c r="E8" s="14"/>
      <c r="F8" s="111">
        <v>46257.0</v>
      </c>
      <c r="G8" s="34"/>
      <c r="H8" s="97">
        <v>100000.0</v>
      </c>
      <c r="I8" s="92" t="s">
        <v>28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333</v>
      </c>
      <c r="D9" s="95" t="s">
        <v>23</v>
      </c>
      <c r="E9" s="14"/>
      <c r="F9" s="111">
        <v>46256.0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334</v>
      </c>
      <c r="D10" s="95" t="s">
        <v>335</v>
      </c>
      <c r="E10" s="14"/>
      <c r="F10" s="92" t="s">
        <v>336</v>
      </c>
      <c r="G10" s="34"/>
      <c r="H10" s="97">
        <v>100000.0</v>
      </c>
      <c r="I10" s="92" t="s">
        <v>28</v>
      </c>
      <c r="J10" s="15"/>
      <c r="K10" s="15"/>
      <c r="L10" s="92" t="s">
        <v>30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337</v>
      </c>
      <c r="D11" s="95" t="s">
        <v>23</v>
      </c>
      <c r="E11" s="14"/>
      <c r="F11" s="111">
        <v>46259.0</v>
      </c>
      <c r="G11" s="34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338</v>
      </c>
      <c r="D12" s="95" t="s">
        <v>23</v>
      </c>
      <c r="E12" s="14"/>
      <c r="F12" s="111">
        <v>46256.0</v>
      </c>
      <c r="G12" s="34"/>
      <c r="H12" s="97">
        <v>100000.0</v>
      </c>
      <c r="I12" s="92" t="s">
        <v>28</v>
      </c>
      <c r="J12" s="15"/>
      <c r="K12" s="15"/>
      <c r="L12" s="92" t="s">
        <v>30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339</v>
      </c>
      <c r="D13" s="95" t="s">
        <v>23</v>
      </c>
      <c r="E13" s="14"/>
      <c r="F13" s="111">
        <v>46256.0</v>
      </c>
      <c r="G13" s="34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340</v>
      </c>
      <c r="D14" s="95" t="s">
        <v>23</v>
      </c>
      <c r="E14" s="14"/>
      <c r="F14" s="111">
        <v>46254.0</v>
      </c>
      <c r="G14" s="101">
        <v>75000.0</v>
      </c>
      <c r="H14" s="35"/>
      <c r="I14" s="92" t="s">
        <v>35</v>
      </c>
      <c r="J14" s="92" t="s">
        <v>36</v>
      </c>
      <c r="K14" s="92" t="s">
        <v>36</v>
      </c>
      <c r="L14" s="92" t="s">
        <v>30</v>
      </c>
      <c r="M14" s="92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329</v>
      </c>
      <c r="D15" s="95" t="s">
        <v>23</v>
      </c>
      <c r="E15" s="14"/>
      <c r="F15" s="111">
        <v>46254.0</v>
      </c>
      <c r="G15" s="101">
        <v>50000.0</v>
      </c>
      <c r="H15" s="35"/>
      <c r="I15" s="92" t="s">
        <v>35</v>
      </c>
      <c r="J15" s="92" t="s">
        <v>36</v>
      </c>
      <c r="K15" s="92" t="s">
        <v>36</v>
      </c>
      <c r="L15" s="92" t="s">
        <v>30</v>
      </c>
      <c r="M15" s="92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341</v>
      </c>
      <c r="D16" s="95" t="s">
        <v>23</v>
      </c>
      <c r="E16" s="14"/>
      <c r="F16" s="111">
        <v>46259.0</v>
      </c>
      <c r="G16" s="34"/>
      <c r="H16" s="97">
        <v>100000.0</v>
      </c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342</v>
      </c>
      <c r="D17" s="95" t="s">
        <v>57</v>
      </c>
      <c r="E17" s="14"/>
      <c r="F17" s="92" t="s">
        <v>248</v>
      </c>
      <c r="G17" s="34"/>
      <c r="H17" s="97">
        <v>50000.0</v>
      </c>
      <c r="I17" s="92" t="s">
        <v>35</v>
      </c>
      <c r="J17" s="92" t="s">
        <v>36</v>
      </c>
      <c r="K17" s="92" t="s">
        <v>36</v>
      </c>
      <c r="L17" s="92" t="s">
        <v>29</v>
      </c>
      <c r="M17" s="92" t="s">
        <v>47</v>
      </c>
      <c r="N17" s="29"/>
      <c r="O17" s="29"/>
      <c r="P17" s="29"/>
      <c r="Q17" s="1"/>
      <c r="R17" s="1"/>
    </row>
    <row r="18" ht="15.75" customHeight="1">
      <c r="A18" s="1"/>
      <c r="B18" s="92">
        <v>15.0</v>
      </c>
      <c r="C18" s="94" t="s">
        <v>295</v>
      </c>
      <c r="D18" s="95" t="s">
        <v>23</v>
      </c>
      <c r="E18" s="14"/>
      <c r="F18" s="92" t="s">
        <v>317</v>
      </c>
      <c r="G18" s="34"/>
      <c r="H18" s="97">
        <v>175000.0</v>
      </c>
      <c r="I18" s="92" t="s">
        <v>35</v>
      </c>
      <c r="J18" s="92" t="s">
        <v>36</v>
      </c>
      <c r="K18" s="92" t="s">
        <v>36</v>
      </c>
      <c r="L18" s="92" t="s">
        <v>29</v>
      </c>
      <c r="M18" s="92" t="s">
        <v>47</v>
      </c>
      <c r="N18" s="29"/>
      <c r="O18" s="29"/>
      <c r="P18" s="29"/>
      <c r="Q18" s="1"/>
      <c r="R18" s="1"/>
    </row>
    <row r="19" ht="15.75" customHeight="1">
      <c r="A19" s="1"/>
      <c r="B19" s="92">
        <v>16.0</v>
      </c>
      <c r="C19" s="94" t="s">
        <v>343</v>
      </c>
      <c r="D19" s="95" t="s">
        <v>23</v>
      </c>
      <c r="E19" s="14"/>
      <c r="F19" s="92" t="s">
        <v>317</v>
      </c>
      <c r="G19" s="34"/>
      <c r="H19" s="97">
        <v>100000.0</v>
      </c>
      <c r="I19" s="92" t="s">
        <v>28</v>
      </c>
      <c r="J19" s="15"/>
      <c r="K19" s="15"/>
      <c r="L19" s="92" t="s">
        <v>29</v>
      </c>
      <c r="M19" s="15"/>
      <c r="N19" s="29"/>
      <c r="O19" s="29"/>
      <c r="P19" s="29"/>
      <c r="Q19" s="1"/>
      <c r="R19" s="1"/>
    </row>
    <row r="20" ht="15.75" customHeight="1">
      <c r="A20" s="1"/>
      <c r="B20" s="92">
        <v>17.0</v>
      </c>
      <c r="C20" s="94" t="s">
        <v>344</v>
      </c>
      <c r="D20" s="95" t="s">
        <v>22</v>
      </c>
      <c r="E20" s="14"/>
      <c r="F20" s="98">
        <v>46267.0</v>
      </c>
      <c r="G20" s="34"/>
      <c r="H20" s="97">
        <v>100000.0</v>
      </c>
      <c r="I20" s="92" t="s">
        <v>28</v>
      </c>
      <c r="J20" s="15"/>
      <c r="K20" s="15"/>
      <c r="L20" s="92" t="s">
        <v>29</v>
      </c>
      <c r="M20" s="15"/>
      <c r="N20" s="29"/>
      <c r="O20" s="29"/>
      <c r="P20" s="29"/>
      <c r="Q20" s="1"/>
      <c r="R20" s="1"/>
    </row>
    <row r="21" ht="15.75" customHeight="1">
      <c r="A21" s="1"/>
      <c r="B21" s="92">
        <v>18.0</v>
      </c>
      <c r="C21" s="94" t="s">
        <v>320</v>
      </c>
      <c r="D21" s="95" t="s">
        <v>126</v>
      </c>
      <c r="E21" s="14"/>
      <c r="F21" s="92" t="s">
        <v>317</v>
      </c>
      <c r="G21" s="34"/>
      <c r="H21" s="97">
        <v>100000.0</v>
      </c>
      <c r="I21" s="92" t="s">
        <v>35</v>
      </c>
      <c r="J21" s="92" t="s">
        <v>36</v>
      </c>
      <c r="K21" s="92" t="s">
        <v>131</v>
      </c>
      <c r="L21" s="92" t="s">
        <v>29</v>
      </c>
      <c r="M21" s="92" t="s">
        <v>47</v>
      </c>
      <c r="N21" s="29"/>
      <c r="O21" s="29"/>
      <c r="P21" s="29"/>
      <c r="Q21" s="1"/>
      <c r="R21" s="1"/>
    </row>
    <row r="22" ht="15.75" customHeight="1">
      <c r="A22" s="1"/>
      <c r="B22" s="92">
        <v>19.0</v>
      </c>
      <c r="C22" s="94"/>
      <c r="D22" s="95"/>
      <c r="E22" s="14"/>
      <c r="F22" s="92"/>
      <c r="G22" s="34"/>
      <c r="H22" s="97"/>
      <c r="I22" s="92"/>
      <c r="J22" s="92"/>
      <c r="K22" s="92"/>
      <c r="L22" s="15"/>
      <c r="M22" s="15"/>
      <c r="N22" s="29"/>
      <c r="O22" s="29"/>
      <c r="P22" s="29"/>
      <c r="Q22" s="1"/>
      <c r="R22" s="1"/>
    </row>
    <row r="23" ht="15.75" customHeight="1">
      <c r="A23" s="1"/>
      <c r="B23" s="92">
        <v>20.0</v>
      </c>
      <c r="C23" s="94" t="s">
        <v>343</v>
      </c>
      <c r="D23" s="95" t="s">
        <v>23</v>
      </c>
      <c r="E23" s="14"/>
      <c r="F23" s="92" t="s">
        <v>317</v>
      </c>
      <c r="G23" s="34"/>
      <c r="H23" s="97">
        <v>400000.0</v>
      </c>
      <c r="I23" s="92" t="s">
        <v>35</v>
      </c>
      <c r="J23" s="92" t="s">
        <v>36</v>
      </c>
      <c r="K23" s="92" t="s">
        <v>36</v>
      </c>
      <c r="L23" s="15"/>
      <c r="M23" s="15"/>
      <c r="N23" s="41"/>
      <c r="O23" s="41"/>
      <c r="P23" s="41"/>
      <c r="Q23" s="1"/>
      <c r="R23" s="1"/>
    </row>
    <row r="24" ht="18.75" customHeight="1">
      <c r="A24" s="1"/>
      <c r="B24" s="1"/>
      <c r="C24" s="2"/>
      <c r="D24" s="2"/>
      <c r="E24" s="1"/>
      <c r="F24" s="1"/>
      <c r="G24" s="42">
        <f t="shared" ref="G24:H24" si="1">SUM(G4:G23)</f>
        <v>125000</v>
      </c>
      <c r="H24" s="43">
        <f t="shared" si="1"/>
        <v>2175000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23.25" customHeight="1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5.75" customHeight="1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5.75" customHeight="1">
      <c r="A27" s="1"/>
      <c r="B27" s="44" t="s">
        <v>0</v>
      </c>
      <c r="C27" s="45" t="s">
        <v>6</v>
      </c>
      <c r="D27" s="45" t="s">
        <v>88</v>
      </c>
      <c r="E27" s="1"/>
      <c r="F27" s="1"/>
      <c r="G27" s="1"/>
      <c r="H27" s="1"/>
      <c r="I27" s="1"/>
      <c r="J27" s="1"/>
      <c r="K27" s="1"/>
      <c r="L27" s="1"/>
      <c r="M27" s="1"/>
      <c r="N27" s="45" t="s">
        <v>89</v>
      </c>
      <c r="O27" s="45" t="s">
        <v>1</v>
      </c>
      <c r="P27" s="1"/>
      <c r="Q27" s="1"/>
      <c r="R27" s="1"/>
    </row>
    <row r="28" ht="15.75" customHeight="1">
      <c r="A28" s="1"/>
      <c r="B28" s="46">
        <v>1.0</v>
      </c>
      <c r="C28" s="47" t="s">
        <v>90</v>
      </c>
      <c r="D28" s="48">
        <f>SUM(G24)</f>
        <v>125000</v>
      </c>
      <c r="E28" s="49"/>
      <c r="F28" s="1"/>
      <c r="G28" s="1"/>
      <c r="H28" s="1"/>
      <c r="I28" s="1"/>
      <c r="J28" s="1"/>
      <c r="K28" s="1"/>
      <c r="L28" s="1"/>
      <c r="M28" s="1"/>
      <c r="N28" s="50" t="s">
        <v>91</v>
      </c>
      <c r="O28" s="109" t="s">
        <v>30</v>
      </c>
      <c r="P28" s="1"/>
      <c r="Q28" s="1"/>
      <c r="R28" s="1"/>
    </row>
    <row r="29" ht="15.75" customHeight="1">
      <c r="A29" s="1"/>
      <c r="B29" s="51">
        <v>2.0</v>
      </c>
      <c r="C29" s="93" t="s">
        <v>319</v>
      </c>
      <c r="D29" s="108">
        <v>-100000.0</v>
      </c>
      <c r="E29" s="49"/>
      <c r="F29" s="1"/>
      <c r="G29" s="1"/>
      <c r="H29" s="1"/>
      <c r="I29" s="1"/>
      <c r="J29" s="1"/>
      <c r="K29" s="1"/>
      <c r="L29" s="1"/>
      <c r="M29" s="1"/>
      <c r="N29" s="56" t="s">
        <v>93</v>
      </c>
      <c r="O29" s="105" t="s">
        <v>29</v>
      </c>
      <c r="P29" s="1"/>
      <c r="Q29" s="1"/>
      <c r="R29" s="1"/>
    </row>
    <row r="30" ht="15.75" customHeight="1">
      <c r="A30" s="1"/>
      <c r="B30" s="46">
        <v>3.0</v>
      </c>
      <c r="C30" s="47"/>
      <c r="D30" s="48"/>
      <c r="E30" s="49"/>
      <c r="F30" s="1"/>
      <c r="G30" s="1"/>
      <c r="H30" s="1"/>
      <c r="I30" s="1"/>
      <c r="J30" s="1"/>
      <c r="K30" s="1"/>
      <c r="L30" s="1"/>
      <c r="M30" s="1"/>
      <c r="N30" s="59" t="s">
        <v>95</v>
      </c>
      <c r="O30" s="110" t="s">
        <v>37</v>
      </c>
      <c r="P30" s="1"/>
      <c r="Q30" s="1"/>
      <c r="R30" s="1"/>
    </row>
    <row r="31" ht="15.75" customHeight="1">
      <c r="A31" s="1"/>
      <c r="B31" s="51">
        <v>4.0</v>
      </c>
      <c r="C31" s="52"/>
      <c r="D31" s="54"/>
      <c r="E31" s="49"/>
      <c r="F31" s="1"/>
      <c r="G31" s="1"/>
      <c r="H31" s="1"/>
      <c r="I31" s="1"/>
      <c r="J31" s="1"/>
      <c r="K31" s="1"/>
      <c r="L31" s="1"/>
      <c r="M31" s="1"/>
      <c r="N31" s="60" t="s">
        <v>98</v>
      </c>
      <c r="O31" s="105" t="s">
        <v>47</v>
      </c>
      <c r="P31" s="1"/>
      <c r="Q31" s="1"/>
      <c r="R31" s="1"/>
    </row>
    <row r="32" ht="15.75" customHeight="1">
      <c r="A32" s="1"/>
      <c r="B32" s="46">
        <v>5.0</v>
      </c>
      <c r="C32" s="47"/>
      <c r="D32" s="48"/>
      <c r="E32" s="49"/>
      <c r="F32" s="1"/>
      <c r="G32" s="1"/>
      <c r="H32" s="1"/>
      <c r="I32" s="1"/>
      <c r="J32" s="1"/>
      <c r="K32" s="1"/>
      <c r="L32" s="1"/>
      <c r="M32" s="1"/>
      <c r="N32" s="61"/>
      <c r="O32" s="1"/>
      <c r="P32" s="1"/>
      <c r="Q32" s="1"/>
      <c r="R32" s="1"/>
    </row>
    <row r="33" ht="15.75" customHeight="1">
      <c r="A33" s="1"/>
      <c r="B33" s="51">
        <v>6.0</v>
      </c>
      <c r="C33" s="52"/>
      <c r="D33" s="54"/>
      <c r="E33" s="49"/>
      <c r="F33" s="1"/>
      <c r="G33" s="1"/>
      <c r="H33" s="1"/>
      <c r="I33" s="1"/>
      <c r="J33" s="1"/>
      <c r="K33" s="62" t="s">
        <v>100</v>
      </c>
      <c r="Q33" s="1"/>
      <c r="R33" s="1"/>
    </row>
    <row r="34" ht="15.75" customHeight="1">
      <c r="A34" s="1"/>
      <c r="B34" s="46">
        <v>7.0</v>
      </c>
      <c r="C34" s="47"/>
      <c r="D34" s="48"/>
      <c r="E34" s="49"/>
      <c r="F34" s="1"/>
      <c r="G34" s="1"/>
      <c r="H34" s="1"/>
      <c r="I34" s="1"/>
      <c r="J34" s="1"/>
      <c r="K34" s="63" t="s">
        <v>1</v>
      </c>
      <c r="L34" s="63" t="s">
        <v>102</v>
      </c>
      <c r="M34" s="63" t="s">
        <v>103</v>
      </c>
      <c r="N34" s="63" t="s">
        <v>104</v>
      </c>
      <c r="O34" s="63" t="s">
        <v>105</v>
      </c>
      <c r="P34" s="63" t="s">
        <v>106</v>
      </c>
      <c r="Q34" s="1"/>
      <c r="R34" s="1"/>
      <c r="AC34" s="65" t="s">
        <v>107</v>
      </c>
      <c r="AD34" s="65" t="s">
        <v>108</v>
      </c>
      <c r="AE34" s="65" t="s">
        <v>109</v>
      </c>
      <c r="AF34" s="65" t="s">
        <v>110</v>
      </c>
      <c r="AG34" s="66" t="s">
        <v>111</v>
      </c>
    </row>
    <row r="35" ht="15.75" customHeight="1">
      <c r="A35" s="1"/>
      <c r="B35" s="51">
        <v>8.0</v>
      </c>
      <c r="C35" s="52"/>
      <c r="D35" s="54"/>
      <c r="E35" s="49"/>
      <c r="F35" s="1"/>
      <c r="G35" s="1"/>
      <c r="H35" s="1"/>
      <c r="I35" s="1"/>
      <c r="J35" s="1"/>
      <c r="K35" s="67" t="str">
        <f t="shared" ref="K35:K38" si="2">IF(O28="","",O28)</f>
        <v>INDAH</v>
      </c>
      <c r="L35" s="68">
        <v>5.0</v>
      </c>
      <c r="M35" s="68">
        <v>5.0</v>
      </c>
      <c r="N35" s="68">
        <v>5.0</v>
      </c>
      <c r="O35" s="68">
        <v>5.0</v>
      </c>
      <c r="P35" s="68">
        <v>4.0</v>
      </c>
      <c r="Q35" s="1"/>
      <c r="R35" s="1"/>
      <c r="AC35" s="65">
        <f t="shared" ref="AC35:AC40" si="3">IF(AG35="","",IF(COUNT(L35:P35)&lt;5,"",L35/5*20+M35/5*25+N35/5*25+O35/5*15+P35/5*15))</f>
        <v>97</v>
      </c>
      <c r="AD35" s="65" t="str">
        <f t="shared" ref="AD35:AD40" si="4">IF(AC35="","",IF(AC35&gt;=90,"Sangat Baik",IF(AC35&gt;=80,"Baik",IF(AC35&gt;=70,"Coaching","Underperform"))))</f>
        <v>Sangat Baik</v>
      </c>
      <c r="AE35" s="65" t="str">
        <f t="shared" ref="AE35:AE40" si="5">IF(AG35="","",IF(OR(AG35="INDAH",AG35="ADDEL",AG35="AMEL",AG35="PENTIL",AG35="JIJANG"),"Admin/CS","Fotografer"))</f>
        <v>Admin/CS</v>
      </c>
      <c r="AF35" s="65">
        <f t="shared" ref="AF35:AF40" si="6">IF(OR(AG35="",COUNT(L35:P35)&lt;5),"",1)</f>
        <v>1</v>
      </c>
      <c r="AG35" s="66" t="str">
        <f t="shared" ref="AG35:AG40" si="7">IFERROR(K35,"")</f>
        <v>INDAH</v>
      </c>
    </row>
    <row r="36" ht="15.75" customHeight="1">
      <c r="A36" s="1"/>
      <c r="B36" s="46">
        <v>9.0</v>
      </c>
      <c r="C36" s="47"/>
      <c r="D36" s="48"/>
      <c r="E36" s="49"/>
      <c r="F36" s="1"/>
      <c r="G36" s="1"/>
      <c r="H36" s="1"/>
      <c r="I36" s="1"/>
      <c r="J36" s="1"/>
      <c r="K36" s="67" t="str">
        <f t="shared" si="2"/>
        <v>AMEL</v>
      </c>
      <c r="L36" s="68">
        <v>5.0</v>
      </c>
      <c r="M36" s="68">
        <v>5.0</v>
      </c>
      <c r="N36" s="68">
        <v>4.0</v>
      </c>
      <c r="O36" s="68">
        <v>5.0</v>
      </c>
      <c r="P36" s="68">
        <v>4.0</v>
      </c>
      <c r="Q36" s="1"/>
      <c r="R36" s="1"/>
      <c r="AC36" s="65">
        <f t="shared" si="3"/>
        <v>92</v>
      </c>
      <c r="AD36" s="65" t="str">
        <f t="shared" si="4"/>
        <v>Sangat Baik</v>
      </c>
      <c r="AE36" s="65" t="str">
        <f t="shared" si="5"/>
        <v>Admin/CS</v>
      </c>
      <c r="AF36" s="65">
        <f t="shared" si="6"/>
        <v>1</v>
      </c>
      <c r="AG36" s="66" t="str">
        <f t="shared" si="7"/>
        <v>AMEL</v>
      </c>
    </row>
    <row r="37" ht="15.75" customHeight="1">
      <c r="A37" s="1"/>
      <c r="B37" s="51">
        <v>10.0</v>
      </c>
      <c r="C37" s="52"/>
      <c r="D37" s="54"/>
      <c r="E37" s="49"/>
      <c r="F37" s="1"/>
      <c r="G37" s="1"/>
      <c r="H37" s="1"/>
      <c r="I37" s="1"/>
      <c r="J37" s="1"/>
      <c r="K37" s="67" t="str">
        <f t="shared" si="2"/>
        <v>ADIF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si="3"/>
        <v>100</v>
      </c>
      <c r="AD37" s="65" t="str">
        <f t="shared" si="4"/>
        <v>Sangat Baik</v>
      </c>
      <c r="AE37" s="65" t="str">
        <f t="shared" si="5"/>
        <v>Fotografer</v>
      </c>
      <c r="AF37" s="65">
        <f t="shared" si="6"/>
        <v>1</v>
      </c>
      <c r="AG37" s="66" t="str">
        <f t="shared" si="7"/>
        <v>ADIF</v>
      </c>
    </row>
    <row r="38" ht="15.75" customHeight="1">
      <c r="A38" s="1"/>
      <c r="B38" s="69">
        <v>11.0</v>
      </c>
      <c r="C38" s="70"/>
      <c r="D38" s="71"/>
      <c r="E38" s="49"/>
      <c r="F38" s="1"/>
      <c r="G38" s="1"/>
      <c r="H38" s="1"/>
      <c r="I38" s="1"/>
      <c r="J38" s="1"/>
      <c r="K38" s="67" t="str">
        <f t="shared" si="2"/>
        <v>SAKA</v>
      </c>
      <c r="L38" s="68">
        <v>5.0</v>
      </c>
      <c r="M38" s="68">
        <v>5.0</v>
      </c>
      <c r="N38" s="68">
        <v>5.0</v>
      </c>
      <c r="O38" s="68">
        <v>5.0</v>
      </c>
      <c r="P38" s="68">
        <v>5.0</v>
      </c>
      <c r="Q38" s="1"/>
      <c r="R38" s="1"/>
      <c r="AC38" s="65">
        <f t="shared" si="3"/>
        <v>100</v>
      </c>
      <c r="AD38" s="65" t="str">
        <f t="shared" si="4"/>
        <v>Sangat Baik</v>
      </c>
      <c r="AE38" s="65" t="str">
        <f t="shared" si="5"/>
        <v>Fotografer</v>
      </c>
      <c r="AF38" s="65">
        <f t="shared" si="6"/>
        <v>1</v>
      </c>
      <c r="AG38" s="66" t="str">
        <f t="shared" si="7"/>
        <v>SAKA</v>
      </c>
    </row>
    <row r="39" ht="15.75" customHeight="1">
      <c r="A39" s="1"/>
      <c r="B39" s="1"/>
      <c r="C39" s="2"/>
      <c r="D39" s="72">
        <f>SUM(D28:D38)</f>
        <v>25000</v>
      </c>
      <c r="E39" s="1"/>
      <c r="F39" s="1"/>
      <c r="G39" s="1"/>
      <c r="H39" s="1"/>
      <c r="I39" s="1"/>
      <c r="J39" s="1"/>
      <c r="K39" s="67"/>
      <c r="L39" s="73"/>
      <c r="M39" s="73"/>
      <c r="N39" s="73"/>
      <c r="O39" s="73"/>
      <c r="P39" s="73"/>
      <c r="Q39" s="1"/>
      <c r="R39" s="1"/>
      <c r="AC39" s="65" t="str">
        <f t="shared" si="3"/>
        <v/>
      </c>
      <c r="AD39" s="65" t="str">
        <f t="shared" si="4"/>
        <v/>
      </c>
      <c r="AE39" s="65" t="str">
        <f t="shared" si="5"/>
        <v/>
      </c>
      <c r="AF39" s="65" t="str">
        <f t="shared" si="6"/>
        <v/>
      </c>
      <c r="AG39" s="66" t="str">
        <f t="shared" si="7"/>
        <v/>
      </c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67"/>
      <c r="L40" s="73"/>
      <c r="M40" s="73"/>
      <c r="N40" s="73"/>
      <c r="O40" s="73"/>
      <c r="P40" s="73"/>
      <c r="Q40" s="1"/>
      <c r="R40" s="1"/>
      <c r="AC40" s="65" t="str">
        <f t="shared" si="3"/>
        <v/>
      </c>
      <c r="AD40" s="65" t="str">
        <f t="shared" si="4"/>
        <v/>
      </c>
      <c r="AE40" s="65" t="str">
        <f t="shared" si="5"/>
        <v/>
      </c>
      <c r="AF40" s="65" t="str">
        <f t="shared" si="6"/>
        <v/>
      </c>
      <c r="AG40" s="66" t="str">
        <f t="shared" si="7"/>
        <v/>
      </c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74" t="s">
        <v>112</v>
      </c>
      <c r="Q41" s="1"/>
      <c r="R41" s="1"/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5" t="s">
        <v>113</v>
      </c>
      <c r="N43" s="112"/>
      <c r="O43" s="1"/>
      <c r="P43" s="1"/>
      <c r="Q43" s="1"/>
      <c r="R43" s="1"/>
    </row>
    <row r="44" ht="15.75" customHeight="1">
      <c r="K44" s="76" t="s">
        <v>7</v>
      </c>
      <c r="L44" s="76" t="s">
        <v>114</v>
      </c>
      <c r="M44" s="76" t="s">
        <v>115</v>
      </c>
      <c r="N44" s="113" t="s">
        <v>290</v>
      </c>
    </row>
    <row r="45" ht="15.75" customHeight="1">
      <c r="K45" s="77" t="str">
        <f t="shared" ref="K45:K46" si="8">IF(O28="","",O28)</f>
        <v>INDAH</v>
      </c>
      <c r="L45" s="81">
        <v>10.0</v>
      </c>
      <c r="M45" s="81" t="s">
        <v>117</v>
      </c>
      <c r="N45" s="114">
        <v>10.0</v>
      </c>
    </row>
    <row r="46" ht="15.75" customHeight="1">
      <c r="K46" s="77" t="str">
        <f t="shared" si="8"/>
        <v>AMEL</v>
      </c>
      <c r="L46" s="81">
        <v>3.0</v>
      </c>
      <c r="M46" s="78"/>
      <c r="N46" s="114">
        <v>14.0</v>
      </c>
    </row>
    <row r="47" ht="15.75" customHeight="1"/>
    <row r="48" ht="19.5" customHeight="1">
      <c r="K48" s="79" t="s">
        <v>118</v>
      </c>
    </row>
    <row r="49" ht="19.5" customHeight="1">
      <c r="K49" s="80" t="s">
        <v>119</v>
      </c>
      <c r="M49" s="81">
        <v>34.0</v>
      </c>
    </row>
    <row r="50" ht="19.5" customHeight="1">
      <c r="K50" s="82" t="s">
        <v>120</v>
      </c>
      <c r="M50" s="83">
        <f>COUNTIF($I$4:$I$26,"DP")</f>
        <v>12</v>
      </c>
    </row>
    <row r="51" ht="19.5" customHeight="1">
      <c r="K51" s="82" t="s">
        <v>121</v>
      </c>
      <c r="M51" s="83">
        <f>COUNTIFS($I$4:$I$26,"&lt;&gt;DP",$I$4:$I$26,"&lt;&gt;")</f>
        <v>7</v>
      </c>
    </row>
    <row r="52" ht="19.5" customHeight="1">
      <c r="K52" s="84" t="s">
        <v>122</v>
      </c>
      <c r="M52" s="83">
        <f>M50+M51</f>
        <v>19</v>
      </c>
    </row>
    <row r="53" ht="19.5" customHeight="1">
      <c r="K53" s="80" t="s">
        <v>123</v>
      </c>
      <c r="M53" s="85">
        <f>IF(OR(M49="",M49=0),"",M50/M49)</f>
        <v>0.3529411765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9:L49"/>
    <mergeCell ref="K50:L50"/>
    <mergeCell ref="K51:L51"/>
    <mergeCell ref="K52:L52"/>
    <mergeCell ref="K53:L53"/>
    <mergeCell ref="L2:L3"/>
    <mergeCell ref="M2:M3"/>
    <mergeCell ref="N2:P2"/>
    <mergeCell ref="K33:P33"/>
    <mergeCell ref="K41:P41"/>
    <mergeCell ref="K43:M43"/>
    <mergeCell ref="K48:M48"/>
  </mergeCells>
  <conditionalFormatting sqref="I4:I26">
    <cfRule type="expression" dxfId="0" priority="1">
      <formula>I4="DP"</formula>
    </cfRule>
  </conditionalFormatting>
  <conditionalFormatting sqref="I4:I26">
    <cfRule type="expression" dxfId="1" priority="2">
      <formula>I4="Lunas"</formula>
    </cfRule>
  </conditionalFormatting>
  <conditionalFormatting sqref="J4:K26">
    <cfRule type="expression" dxfId="2" priority="3">
      <formula>OR(J4="Uploaded",J4="Delivered")</formula>
    </cfRule>
  </conditionalFormatting>
  <dataValidations>
    <dataValidation type="list" allowBlank="1" showDropDown="1" showErrorMessage="1" sqref="I4:I23">
      <formula1>"-,DP,Lunas"</formula1>
    </dataValidation>
    <dataValidation type="list" allowBlank="1" sqref="L35:P40">
      <formula1>"1,2,3,4,5"</formula1>
    </dataValidation>
    <dataValidation type="list" allowBlank="1" showDropDown="1" showErrorMessage="1" sqref="J4:K23">
      <formula1>"-,Pending,Uploaded"</formula1>
    </dataValidation>
    <dataValidation type="list" allowBlank="1" showDropDown="1" showErrorMessage="1" sqref="L4:L23">
      <formula1>"-,JIJANG,AXEL,PENTIL,FAHME,INDAH,AMEL"</formula1>
    </dataValidation>
    <dataValidation type="list" allowBlank="1" sqref="K35:K40">
      <formula1>'Resume Karyawan KPI'!$AK$5:$AK$15</formula1>
    </dataValidation>
    <dataValidation type="list" allowBlank="1" showDropDown="1" showErrorMessage="1" sqref="M4:M23">
      <formula1>"-,VERO,FADEL,PENTIL,FAHME,ADIF,SAKA"</formula1>
    </dataValidation>
    <dataValidation type="list" allowBlank="1" showErrorMessage="1" sqref="N4:N23">
      <formula1>"-,Pending,Progress,Uploaded"</formula1>
    </dataValidation>
    <dataValidation type="list" allowBlank="1" sqref="O28:O31">
      <formula1>"INDAH,ADDEL,AMEL,PENTIL,JIJANG,HANIF,FAHME,ADIF,ABROR,FADEL,SAKA"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Person,Add Edit,Photofox"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345</v>
      </c>
      <c r="D4" s="95" t="s">
        <v>23</v>
      </c>
      <c r="E4" s="14"/>
      <c r="F4" s="96">
        <v>46255.0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346</v>
      </c>
      <c r="D5" s="95" t="s">
        <v>195</v>
      </c>
      <c r="E5" s="14"/>
      <c r="F5" s="96">
        <v>46298.0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347</v>
      </c>
      <c r="D6" s="95" t="s">
        <v>195</v>
      </c>
      <c r="E6" s="14"/>
      <c r="F6" s="111">
        <v>46255.0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348</v>
      </c>
      <c r="D7" s="95" t="s">
        <v>23</v>
      </c>
      <c r="E7" s="14"/>
      <c r="F7" s="111">
        <v>46255.0</v>
      </c>
      <c r="G7" s="34"/>
      <c r="H7" s="97">
        <v>375000.0</v>
      </c>
      <c r="I7" s="92" t="s">
        <v>35</v>
      </c>
      <c r="J7" s="92" t="s">
        <v>36</v>
      </c>
      <c r="K7" s="92" t="s">
        <v>36</v>
      </c>
      <c r="L7" s="92" t="s">
        <v>30</v>
      </c>
      <c r="M7" s="92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349</v>
      </c>
      <c r="D8" s="95" t="s">
        <v>23</v>
      </c>
      <c r="E8" s="14"/>
      <c r="F8" s="111">
        <v>46263.0</v>
      </c>
      <c r="G8" s="34"/>
      <c r="H8" s="97">
        <v>100000.0</v>
      </c>
      <c r="I8" s="92" t="s">
        <v>28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347</v>
      </c>
      <c r="D9" s="95" t="s">
        <v>195</v>
      </c>
      <c r="E9" s="14"/>
      <c r="F9" s="111">
        <v>46255.0</v>
      </c>
      <c r="G9" s="101">
        <v>400000.0</v>
      </c>
      <c r="H9" s="35"/>
      <c r="I9" s="92" t="s">
        <v>35</v>
      </c>
      <c r="J9" s="92" t="s">
        <v>36</v>
      </c>
      <c r="K9" s="92" t="s">
        <v>77</v>
      </c>
      <c r="L9" s="92" t="s">
        <v>30</v>
      </c>
      <c r="M9" s="92" t="s">
        <v>47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350</v>
      </c>
      <c r="D10" s="95" t="s">
        <v>22</v>
      </c>
      <c r="E10" s="14"/>
      <c r="F10" s="98">
        <v>46298.0</v>
      </c>
      <c r="G10" s="34"/>
      <c r="H10" s="97">
        <v>100000.0</v>
      </c>
      <c r="I10" s="92" t="s">
        <v>28</v>
      </c>
      <c r="J10" s="15"/>
      <c r="K10" s="15"/>
      <c r="L10" s="92" t="s">
        <v>30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345</v>
      </c>
      <c r="D11" s="95" t="s">
        <v>23</v>
      </c>
      <c r="E11" s="14"/>
      <c r="F11" s="111">
        <v>46255.0</v>
      </c>
      <c r="G11" s="34"/>
      <c r="H11" s="97">
        <v>125000.0</v>
      </c>
      <c r="I11" s="92" t="s">
        <v>35</v>
      </c>
      <c r="J11" s="92" t="s">
        <v>36</v>
      </c>
      <c r="K11" s="92" t="s">
        <v>36</v>
      </c>
      <c r="L11" s="92" t="s">
        <v>30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327</v>
      </c>
      <c r="D12" s="95" t="s">
        <v>23</v>
      </c>
      <c r="E12" s="14"/>
      <c r="F12" s="111">
        <v>46255.0</v>
      </c>
      <c r="G12" s="34"/>
      <c r="H12" s="97">
        <v>200000.0</v>
      </c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351</v>
      </c>
      <c r="D13" s="95" t="s">
        <v>23</v>
      </c>
      <c r="E13" s="14"/>
      <c r="F13" s="111">
        <v>46258.0</v>
      </c>
      <c r="G13" s="34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352</v>
      </c>
      <c r="D14" s="95" t="s">
        <v>24</v>
      </c>
      <c r="E14" s="14"/>
      <c r="F14" s="111">
        <v>46256.0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32"/>
      <c r="D15" s="16"/>
      <c r="E15" s="14"/>
      <c r="F15" s="15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32"/>
      <c r="D16" s="16"/>
      <c r="E16" s="14"/>
      <c r="F16" s="15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400000</v>
      </c>
      <c r="H19" s="43">
        <f t="shared" si="1"/>
        <v>1400000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1"/>
      <c r="B22" s="44" t="s">
        <v>0</v>
      </c>
      <c r="C22" s="45" t="s">
        <v>6</v>
      </c>
      <c r="D22" s="45" t="s">
        <v>88</v>
      </c>
      <c r="E22" s="1"/>
      <c r="F22" s="1"/>
      <c r="G22" s="1"/>
      <c r="H22" s="1"/>
      <c r="I22" s="1"/>
      <c r="J22" s="1"/>
      <c r="K22" s="1"/>
      <c r="L22" s="1"/>
      <c r="M22" s="1"/>
      <c r="N22" s="45" t="s">
        <v>89</v>
      </c>
      <c r="O22" s="45" t="s">
        <v>1</v>
      </c>
      <c r="P22" s="1"/>
      <c r="Q22" s="1"/>
      <c r="R22" s="1"/>
    </row>
    <row r="23" ht="15.75" customHeight="1">
      <c r="A23" s="1"/>
      <c r="B23" s="46">
        <v>1.0</v>
      </c>
      <c r="C23" s="47" t="s">
        <v>90</v>
      </c>
      <c r="D23" s="48">
        <f>SUM(G19)</f>
        <v>400000</v>
      </c>
      <c r="E23" s="49"/>
      <c r="F23" s="1"/>
      <c r="G23" s="1"/>
      <c r="H23" s="1"/>
      <c r="I23" s="1"/>
      <c r="J23" s="1"/>
      <c r="K23" s="1"/>
      <c r="L23" s="1"/>
      <c r="M23" s="1"/>
      <c r="N23" s="50" t="s">
        <v>91</v>
      </c>
      <c r="O23" s="109" t="s">
        <v>30</v>
      </c>
      <c r="P23" s="1"/>
      <c r="Q23" s="1"/>
      <c r="R23" s="1"/>
    </row>
    <row r="24" ht="15.75" customHeight="1">
      <c r="A24" s="1"/>
      <c r="B24" s="51">
        <v>2.0</v>
      </c>
      <c r="C24" s="93" t="s">
        <v>357</v>
      </c>
      <c r="D24" s="108">
        <v>-200000.0</v>
      </c>
      <c r="E24" s="49"/>
      <c r="F24" s="1"/>
      <c r="G24" s="1"/>
      <c r="H24" s="1"/>
      <c r="I24" s="1"/>
      <c r="J24" s="1"/>
      <c r="K24" s="1"/>
      <c r="L24" s="1"/>
      <c r="M24" s="1"/>
      <c r="N24" s="56" t="s">
        <v>93</v>
      </c>
      <c r="O24" s="105" t="s">
        <v>30</v>
      </c>
      <c r="P24" s="1"/>
      <c r="Q24" s="1"/>
      <c r="R24" s="1"/>
    </row>
    <row r="25" ht="15.75" customHeight="1">
      <c r="A25" s="1"/>
      <c r="B25" s="46">
        <v>3.0</v>
      </c>
      <c r="C25" s="106" t="s">
        <v>101</v>
      </c>
      <c r="D25" s="107">
        <v>-100000.0</v>
      </c>
      <c r="E25" s="49"/>
      <c r="F25" s="1"/>
      <c r="G25" s="1"/>
      <c r="H25" s="1"/>
      <c r="I25" s="1"/>
      <c r="J25" s="1"/>
      <c r="K25" s="1"/>
      <c r="L25" s="1"/>
      <c r="M25" s="1"/>
      <c r="N25" s="59" t="s">
        <v>95</v>
      </c>
      <c r="O25" s="110" t="s">
        <v>47</v>
      </c>
      <c r="P25" s="1"/>
      <c r="Q25" s="1"/>
      <c r="R25" s="1"/>
    </row>
    <row r="26" ht="15.75" customHeight="1">
      <c r="A26" s="1"/>
      <c r="B26" s="51">
        <v>4.0</v>
      </c>
      <c r="C26" s="52"/>
      <c r="D26" s="54"/>
      <c r="E26" s="49"/>
      <c r="F26" s="1"/>
      <c r="G26" s="1"/>
      <c r="H26" s="1"/>
      <c r="I26" s="1"/>
      <c r="J26" s="1"/>
      <c r="K26" s="1"/>
      <c r="L26" s="1"/>
      <c r="M26" s="1"/>
      <c r="N26" s="60" t="s">
        <v>98</v>
      </c>
      <c r="O26" s="105" t="s">
        <v>47</v>
      </c>
      <c r="P26" s="1"/>
      <c r="Q26" s="1"/>
      <c r="R26" s="1"/>
    </row>
    <row r="27" ht="15.75" customHeight="1">
      <c r="A27" s="1"/>
      <c r="B27" s="46">
        <v>5.0</v>
      </c>
      <c r="C27" s="47"/>
      <c r="D27" s="48"/>
      <c r="E27" s="49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 ht="15.75" customHeight="1">
      <c r="A28" s="1"/>
      <c r="B28" s="51">
        <v>6.0</v>
      </c>
      <c r="C28" s="52"/>
      <c r="D28" s="54"/>
      <c r="E28" s="49"/>
      <c r="F28" s="1"/>
      <c r="G28" s="1"/>
      <c r="H28" s="1"/>
      <c r="I28" s="1"/>
      <c r="J28" s="1"/>
      <c r="K28" s="62" t="s">
        <v>100</v>
      </c>
      <c r="Q28" s="1"/>
      <c r="R28" s="1"/>
    </row>
    <row r="29" ht="15.75" customHeight="1">
      <c r="A29" s="1"/>
      <c r="B29" s="46">
        <v>7.0</v>
      </c>
      <c r="C29" s="47"/>
      <c r="D29" s="48"/>
      <c r="E29" s="49"/>
      <c r="F29" s="1"/>
      <c r="G29" s="1"/>
      <c r="H29" s="1"/>
      <c r="I29" s="1"/>
      <c r="J29" s="1"/>
      <c r="K29" s="63" t="s">
        <v>1</v>
      </c>
      <c r="L29" s="63" t="s">
        <v>102</v>
      </c>
      <c r="M29" s="63" t="s">
        <v>103</v>
      </c>
      <c r="N29" s="63" t="s">
        <v>104</v>
      </c>
      <c r="O29" s="63" t="s">
        <v>105</v>
      </c>
      <c r="P29" s="63" t="s">
        <v>106</v>
      </c>
      <c r="Q29" s="1"/>
      <c r="R29" s="1"/>
      <c r="AC29" s="65" t="s">
        <v>107</v>
      </c>
      <c r="AD29" s="65" t="s">
        <v>108</v>
      </c>
      <c r="AE29" s="65" t="s">
        <v>109</v>
      </c>
      <c r="AF29" s="65" t="s">
        <v>110</v>
      </c>
      <c r="AG29" s="66" t="s">
        <v>111</v>
      </c>
    </row>
    <row r="30" ht="15.75" customHeight="1">
      <c r="A30" s="1"/>
      <c r="B30" s="51">
        <v>8.0</v>
      </c>
      <c r="C30" s="52"/>
      <c r="D30" s="54"/>
      <c r="E30" s="49"/>
      <c r="F30" s="1"/>
      <c r="G30" s="1"/>
      <c r="H30" s="1"/>
      <c r="I30" s="1"/>
      <c r="J30" s="1"/>
      <c r="K30" s="67" t="str">
        <f t="shared" ref="K30:K33" si="2">IF(O23="","",O23)</f>
        <v>INDAH</v>
      </c>
      <c r="L30" s="68">
        <v>5.0</v>
      </c>
      <c r="M30" s="68">
        <v>5.0</v>
      </c>
      <c r="N30" s="68">
        <v>5.0</v>
      </c>
      <c r="O30" s="68">
        <v>5.0</v>
      </c>
      <c r="P30" s="68">
        <v>5.0</v>
      </c>
      <c r="Q30" s="1"/>
      <c r="R30" s="1"/>
      <c r="AC30" s="65">
        <f t="shared" ref="AC30:AC35" si="3">IF(AG30="","",IF(COUNT(L30:P30)&lt;5,"",L30/5*20+M30/5*25+N30/5*25+O30/5*15+P30/5*15))</f>
        <v>100</v>
      </c>
      <c r="AD30" s="65" t="str">
        <f t="shared" ref="AD30:AD35" si="4">IF(AC30="","",IF(AC30&gt;=90,"Sangat Baik",IF(AC30&gt;=80,"Baik",IF(AC30&gt;=70,"Coaching","Underperform"))))</f>
        <v>Sangat Baik</v>
      </c>
      <c r="AE30" s="65" t="str">
        <f t="shared" ref="AE30:AE35" si="5">IF(AG30="","",IF(OR(AG30="INDAH",AG30="ADDEL",AG30="AMEL",AG30="PENTIL",AG30="JIJANG"),"Admin/CS","Fotografer"))</f>
        <v>Admin/CS</v>
      </c>
      <c r="AF30" s="65">
        <f t="shared" ref="AF30:AF35" si="6">IF(OR(AG30="",COUNT(L30:P30)&lt;5),"",1)</f>
        <v>1</v>
      </c>
      <c r="AG30" s="66" t="str">
        <f t="shared" ref="AG30:AG35" si="7">IFERROR(K30,"")</f>
        <v>INDAH</v>
      </c>
    </row>
    <row r="31" ht="15.75" customHeight="1">
      <c r="A31" s="1"/>
      <c r="B31" s="46">
        <v>9.0</v>
      </c>
      <c r="C31" s="47"/>
      <c r="D31" s="48"/>
      <c r="E31" s="49"/>
      <c r="F31" s="1"/>
      <c r="G31" s="1"/>
      <c r="H31" s="1"/>
      <c r="I31" s="1"/>
      <c r="J31" s="1"/>
      <c r="K31" s="67" t="str">
        <f t="shared" si="2"/>
        <v>INDAH</v>
      </c>
      <c r="L31" s="68">
        <v>5.0</v>
      </c>
      <c r="M31" s="68">
        <v>5.0</v>
      </c>
      <c r="N31" s="68">
        <v>5.0</v>
      </c>
      <c r="O31" s="68">
        <v>5.0</v>
      </c>
      <c r="P31" s="68">
        <v>5.0</v>
      </c>
      <c r="Q31" s="1"/>
      <c r="R31" s="1"/>
      <c r="AC31" s="65">
        <f t="shared" si="3"/>
        <v>100</v>
      </c>
      <c r="AD31" s="65" t="str">
        <f t="shared" si="4"/>
        <v>Sangat Baik</v>
      </c>
      <c r="AE31" s="65" t="str">
        <f t="shared" si="5"/>
        <v>Admin/CS</v>
      </c>
      <c r="AF31" s="65">
        <f t="shared" si="6"/>
        <v>1</v>
      </c>
      <c r="AG31" s="66" t="str">
        <f t="shared" si="7"/>
        <v>INDAH</v>
      </c>
    </row>
    <row r="32" ht="15.75" customHeight="1">
      <c r="A32" s="1"/>
      <c r="B32" s="51">
        <v>10.0</v>
      </c>
      <c r="C32" s="52"/>
      <c r="D32" s="54"/>
      <c r="E32" s="49"/>
      <c r="F32" s="1"/>
      <c r="G32" s="1"/>
      <c r="H32" s="1"/>
      <c r="I32" s="1"/>
      <c r="J32" s="1"/>
      <c r="K32" s="67" t="str">
        <f t="shared" si="2"/>
        <v>SAKA</v>
      </c>
      <c r="L32" s="68">
        <v>5.0</v>
      </c>
      <c r="M32" s="68">
        <v>5.0</v>
      </c>
      <c r="N32" s="68">
        <v>5.0</v>
      </c>
      <c r="O32" s="68">
        <v>5.0</v>
      </c>
      <c r="P32" s="68">
        <v>5.0</v>
      </c>
      <c r="Q32" s="1"/>
      <c r="R32" s="1"/>
      <c r="AC32" s="65">
        <f t="shared" si="3"/>
        <v>100</v>
      </c>
      <c r="AD32" s="65" t="str">
        <f t="shared" si="4"/>
        <v>Sangat Baik</v>
      </c>
      <c r="AE32" s="65" t="str">
        <f t="shared" si="5"/>
        <v>Fotografer</v>
      </c>
      <c r="AF32" s="65">
        <f t="shared" si="6"/>
        <v>1</v>
      </c>
      <c r="AG32" s="66" t="str">
        <f t="shared" si="7"/>
        <v>SAKA</v>
      </c>
    </row>
    <row r="33" ht="15.75" customHeight="1">
      <c r="A33" s="1"/>
      <c r="B33" s="69">
        <v>11.0</v>
      </c>
      <c r="C33" s="70"/>
      <c r="D33" s="71"/>
      <c r="E33" s="49"/>
      <c r="F33" s="1"/>
      <c r="G33" s="1"/>
      <c r="H33" s="1"/>
      <c r="I33" s="1"/>
      <c r="J33" s="1"/>
      <c r="K33" s="67" t="str">
        <f t="shared" si="2"/>
        <v>SAKA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si="3"/>
        <v>100</v>
      </c>
      <c r="AD33" s="65" t="str">
        <f t="shared" si="4"/>
        <v>Sangat Baik</v>
      </c>
      <c r="AE33" s="65" t="str">
        <f t="shared" si="5"/>
        <v>Fotografer</v>
      </c>
      <c r="AF33" s="65">
        <f t="shared" si="6"/>
        <v>1</v>
      </c>
      <c r="AG33" s="66" t="str">
        <f t="shared" si="7"/>
        <v>SAKA</v>
      </c>
    </row>
    <row r="34" ht="15.75" customHeight="1">
      <c r="A34" s="1"/>
      <c r="B34" s="1"/>
      <c r="C34" s="2"/>
      <c r="D34" s="72">
        <f>SUM(D23:D33)</f>
        <v>100000</v>
      </c>
      <c r="E34" s="1"/>
      <c r="F34" s="1"/>
      <c r="G34" s="1"/>
      <c r="H34" s="1"/>
      <c r="I34" s="1"/>
      <c r="J34" s="1"/>
      <c r="K34" s="67"/>
      <c r="L34" s="73"/>
      <c r="M34" s="73"/>
      <c r="N34" s="73"/>
      <c r="O34" s="73"/>
      <c r="P34" s="73"/>
      <c r="Q34" s="1"/>
      <c r="R34" s="1"/>
      <c r="AC34" s="65" t="str">
        <f t="shared" si="3"/>
        <v/>
      </c>
      <c r="AD34" s="65" t="str">
        <f t="shared" si="4"/>
        <v/>
      </c>
      <c r="AE34" s="65" t="str">
        <f t="shared" si="5"/>
        <v/>
      </c>
      <c r="AF34" s="65" t="str">
        <f t="shared" si="6"/>
        <v/>
      </c>
      <c r="AG34" s="66" t="str">
        <f t="shared" si="7"/>
        <v/>
      </c>
    </row>
    <row r="35" ht="15.75" customHeight="1">
      <c r="A35" s="1"/>
      <c r="B35" s="1"/>
      <c r="C35" s="2"/>
      <c r="D35" s="2"/>
      <c r="E35" s="1"/>
      <c r="F35" s="1"/>
      <c r="G35" s="1"/>
      <c r="H35" s="1"/>
      <c r="I35" s="1"/>
      <c r="J35" s="1"/>
      <c r="K35" s="67"/>
      <c r="L35" s="73"/>
      <c r="M35" s="73"/>
      <c r="N35" s="73"/>
      <c r="O35" s="73"/>
      <c r="P35" s="73"/>
      <c r="Q35" s="1"/>
      <c r="R35" s="1"/>
      <c r="AC35" s="65" t="str">
        <f t="shared" si="3"/>
        <v/>
      </c>
      <c r="AD35" s="65" t="str">
        <f t="shared" si="4"/>
        <v/>
      </c>
      <c r="AE35" s="65" t="str">
        <f t="shared" si="5"/>
        <v/>
      </c>
      <c r="AF35" s="65" t="str">
        <f t="shared" si="6"/>
        <v/>
      </c>
      <c r="AG35" s="66" t="str">
        <f t="shared" si="7"/>
        <v/>
      </c>
    </row>
    <row r="36" ht="15.7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74" t="s">
        <v>112</v>
      </c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75" t="s">
        <v>113</v>
      </c>
      <c r="N38" s="112"/>
      <c r="O38" s="1"/>
      <c r="P38" s="1"/>
      <c r="Q38" s="1"/>
      <c r="R38" s="1"/>
    </row>
    <row r="39" ht="15.75" customHeight="1">
      <c r="K39" s="76" t="s">
        <v>7</v>
      </c>
      <c r="L39" s="76" t="s">
        <v>114</v>
      </c>
      <c r="M39" s="76" t="s">
        <v>115</v>
      </c>
      <c r="N39" s="113" t="s">
        <v>290</v>
      </c>
    </row>
    <row r="40" ht="15.75" customHeight="1">
      <c r="K40" s="77" t="str">
        <f t="shared" ref="K40:K41" si="8">IF(O23="","",O23)</f>
        <v>INDAH</v>
      </c>
      <c r="L40" s="81">
        <v>7.0</v>
      </c>
      <c r="M40" s="78"/>
      <c r="N40" s="114">
        <v>17.0</v>
      </c>
    </row>
    <row r="41" ht="15.75" customHeight="1">
      <c r="K41" s="77" t="str">
        <f t="shared" si="8"/>
        <v>INDAH</v>
      </c>
      <c r="L41" s="78"/>
      <c r="M41" s="78"/>
      <c r="N41" s="114"/>
    </row>
    <row r="42" ht="15.75" customHeight="1"/>
    <row r="43" ht="19.5" customHeight="1">
      <c r="K43" s="79" t="s">
        <v>118</v>
      </c>
    </row>
    <row r="44" ht="19.5" customHeight="1">
      <c r="K44" s="80" t="s">
        <v>119</v>
      </c>
      <c r="M44" s="81">
        <v>28.0</v>
      </c>
    </row>
    <row r="45" ht="19.5" customHeight="1">
      <c r="K45" s="82" t="s">
        <v>120</v>
      </c>
      <c r="M45" s="83">
        <f>COUNTIF($I$4:$I$21,"DP")</f>
        <v>7</v>
      </c>
    </row>
    <row r="46" ht="19.5" customHeight="1">
      <c r="K46" s="82" t="s">
        <v>121</v>
      </c>
      <c r="M46" s="83">
        <f>COUNTIFS($I$4:$I$21,"&lt;&gt;DP",$I$4:$I$21,"&lt;&gt;")</f>
        <v>4</v>
      </c>
    </row>
    <row r="47" ht="19.5" customHeight="1">
      <c r="K47" s="84" t="s">
        <v>122</v>
      </c>
      <c r="M47" s="83">
        <f>M45+M46</f>
        <v>11</v>
      </c>
    </row>
    <row r="48" ht="19.5" customHeight="1">
      <c r="K48" s="80" t="s">
        <v>123</v>
      </c>
      <c r="M48" s="85">
        <f>IF(OR(M44="",M44=0),"",M45/M44)</f>
        <v>0.25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4:L44"/>
    <mergeCell ref="K45:L45"/>
    <mergeCell ref="K46:L46"/>
    <mergeCell ref="K47:L47"/>
    <mergeCell ref="K48:L48"/>
    <mergeCell ref="L2:L3"/>
    <mergeCell ref="M2:M3"/>
    <mergeCell ref="N2:P2"/>
    <mergeCell ref="K28:P28"/>
    <mergeCell ref="K36:P36"/>
    <mergeCell ref="K38:M38"/>
    <mergeCell ref="K43:M43"/>
  </mergeCells>
  <conditionalFormatting sqref="I4:I21">
    <cfRule type="expression" dxfId="0" priority="1">
      <formula>I4="DP"</formula>
    </cfRule>
  </conditionalFormatting>
  <conditionalFormatting sqref="I4:I21">
    <cfRule type="expression" dxfId="1" priority="2">
      <formula>I4="Lunas"</formula>
    </cfRule>
  </conditionalFormatting>
  <conditionalFormatting sqref="J4:K21">
    <cfRule type="expression" dxfId="2" priority="3">
      <formula>OR(J4="Uploaded",J4="Delivered")</formula>
    </cfRule>
  </conditionalFormatting>
  <dataValidations>
    <dataValidation type="list" allowBlank="1" showDropDown="1" showErrorMessage="1" sqref="I4:I18">
      <formula1>"-,DP,Lunas"</formula1>
    </dataValidation>
    <dataValidation type="list" allowBlank="1" showDropDown="1" showErrorMessage="1" sqref="L4:L18">
      <formula1>"-,JIJANG,AXEL,PENTIL,FAHME,INDAH"</formula1>
    </dataValidation>
    <dataValidation type="list" allowBlank="1" sqref="L30:P35">
      <formula1>"1,2,3,4,5"</formula1>
    </dataValidation>
    <dataValidation type="list" allowBlank="1" showDropDown="1" showErrorMessage="1" sqref="M4:M18">
      <formula1>"-,VERO,FADEL,PENTIL,FAHME,SAKA"</formula1>
    </dataValidation>
    <dataValidation type="list" allowBlank="1" showDropDown="1" showErrorMessage="1" sqref="J4:K18">
      <formula1>"-,Pending,Uploaded"</formula1>
    </dataValidation>
    <dataValidation type="list" allowBlank="1" sqref="K30:K35">
      <formula1>'Resume Karyawan KPI'!$AK$5:$AK$15</formula1>
    </dataValidation>
    <dataValidation type="list" allowBlank="1" showErrorMessage="1" sqref="N4:N18">
      <formula1>"-,Pending,Progress,Uploaded"</formula1>
    </dataValidation>
    <dataValidation type="list" allowBlank="1" sqref="O23:O26">
      <formula1>"INDAH,ADDEL,AMEL,PENTIL,JIJANG,HANIF,FAHME,ADIF,ABROR,FADEL,SAKA"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Person,Add Edit"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13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353</v>
      </c>
      <c r="D4" s="95" t="s">
        <v>22</v>
      </c>
      <c r="E4" s="14"/>
      <c r="F4" s="96">
        <v>46265.0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354</v>
      </c>
      <c r="D5" s="95" t="s">
        <v>23</v>
      </c>
      <c r="E5" s="14"/>
      <c r="F5" s="96">
        <v>46256.0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355</v>
      </c>
      <c r="D6" s="95" t="s">
        <v>39</v>
      </c>
      <c r="E6" s="14"/>
      <c r="F6" s="111">
        <v>46256.0</v>
      </c>
      <c r="G6" s="34"/>
      <c r="H6" s="97">
        <v>50000.0</v>
      </c>
      <c r="I6" s="92" t="s">
        <v>35</v>
      </c>
      <c r="J6" s="92" t="s">
        <v>36</v>
      </c>
      <c r="K6" s="92" t="s">
        <v>36</v>
      </c>
      <c r="L6" s="92" t="s">
        <v>30</v>
      </c>
      <c r="M6" s="92" t="s">
        <v>37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356</v>
      </c>
      <c r="D7" s="95" t="s">
        <v>23</v>
      </c>
      <c r="E7" s="14"/>
      <c r="F7" s="111">
        <v>46256.0</v>
      </c>
      <c r="G7" s="34"/>
      <c r="H7" s="97">
        <v>100000.0</v>
      </c>
      <c r="I7" s="92" t="s">
        <v>28</v>
      </c>
      <c r="J7" s="15"/>
      <c r="K7" s="15"/>
      <c r="L7" s="92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330</v>
      </c>
      <c r="D8" s="95" t="s">
        <v>23</v>
      </c>
      <c r="E8" s="14"/>
      <c r="F8" s="111">
        <v>46256.0</v>
      </c>
      <c r="G8" s="101">
        <v>375000.0</v>
      </c>
      <c r="H8" s="35"/>
      <c r="I8" s="92" t="s">
        <v>35</v>
      </c>
      <c r="J8" s="92" t="s">
        <v>36</v>
      </c>
      <c r="K8" s="92" t="s">
        <v>36</v>
      </c>
      <c r="L8" s="92" t="s">
        <v>30</v>
      </c>
      <c r="M8" s="92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358</v>
      </c>
      <c r="D9" s="95" t="s">
        <v>24</v>
      </c>
      <c r="E9" s="14"/>
      <c r="F9" s="111">
        <v>46257.0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339</v>
      </c>
      <c r="D10" s="95" t="s">
        <v>23</v>
      </c>
      <c r="E10" s="14"/>
      <c r="F10" s="111">
        <v>46256.0</v>
      </c>
      <c r="G10" s="34"/>
      <c r="H10" s="97">
        <v>200000.0</v>
      </c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37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359</v>
      </c>
      <c r="D11" s="95" t="s">
        <v>60</v>
      </c>
      <c r="E11" s="14"/>
      <c r="F11" s="111">
        <v>46258.0</v>
      </c>
      <c r="G11" s="34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360</v>
      </c>
      <c r="D12" s="95" t="s">
        <v>23</v>
      </c>
      <c r="E12" s="14"/>
      <c r="F12" s="92" t="s">
        <v>314</v>
      </c>
      <c r="G12" s="34"/>
      <c r="H12" s="97">
        <v>100000.0</v>
      </c>
      <c r="I12" s="92" t="s">
        <v>28</v>
      </c>
      <c r="J12" s="15"/>
      <c r="K12" s="15"/>
      <c r="L12" s="92" t="s">
        <v>29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361</v>
      </c>
      <c r="D13" s="95" t="s">
        <v>126</v>
      </c>
      <c r="E13" s="14"/>
      <c r="F13" s="92" t="s">
        <v>310</v>
      </c>
      <c r="G13" s="34"/>
      <c r="H13" s="97">
        <v>100000.0</v>
      </c>
      <c r="I13" s="92" t="s">
        <v>28</v>
      </c>
      <c r="J13" s="15"/>
      <c r="K13" s="15"/>
      <c r="L13" s="92" t="s">
        <v>29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296</v>
      </c>
      <c r="D14" s="95" t="s">
        <v>23</v>
      </c>
      <c r="E14" s="14"/>
      <c r="F14" s="92" t="s">
        <v>236</v>
      </c>
      <c r="G14" s="101">
        <v>175000.0</v>
      </c>
      <c r="H14" s="35"/>
      <c r="I14" s="92" t="s">
        <v>35</v>
      </c>
      <c r="J14" s="92" t="s">
        <v>36</v>
      </c>
      <c r="K14" s="92" t="s">
        <v>36</v>
      </c>
      <c r="L14" s="92" t="s">
        <v>29</v>
      </c>
      <c r="M14" s="92" t="s">
        <v>37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362</v>
      </c>
      <c r="D15" s="95" t="s">
        <v>23</v>
      </c>
      <c r="E15" s="14"/>
      <c r="F15" s="92" t="s">
        <v>248</v>
      </c>
      <c r="G15" s="34"/>
      <c r="H15" s="97">
        <v>100000.0</v>
      </c>
      <c r="I15" s="92" t="s">
        <v>28</v>
      </c>
      <c r="J15" s="15"/>
      <c r="K15" s="15"/>
      <c r="L15" s="92" t="s">
        <v>29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363</v>
      </c>
      <c r="D16" s="95" t="s">
        <v>23</v>
      </c>
      <c r="E16" s="14"/>
      <c r="F16" s="40"/>
      <c r="G16" s="34"/>
      <c r="H16" s="97">
        <v>100000.0</v>
      </c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364</v>
      </c>
      <c r="D17" s="95" t="s">
        <v>23</v>
      </c>
      <c r="E17" s="100" t="s">
        <v>365</v>
      </c>
      <c r="F17" s="92" t="s">
        <v>236</v>
      </c>
      <c r="G17" s="101">
        <v>10000.0</v>
      </c>
      <c r="H17" s="97">
        <v>185000.0</v>
      </c>
      <c r="I17" s="92" t="s">
        <v>35</v>
      </c>
      <c r="J17" s="92" t="s">
        <v>36</v>
      </c>
      <c r="K17" s="92" t="s">
        <v>36</v>
      </c>
      <c r="L17" s="92" t="s">
        <v>29</v>
      </c>
      <c r="M17" s="92" t="s">
        <v>37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331</v>
      </c>
      <c r="D18" s="95" t="s">
        <v>23</v>
      </c>
      <c r="E18" s="100" t="s">
        <v>301</v>
      </c>
      <c r="F18" s="92" t="s">
        <v>236</v>
      </c>
      <c r="G18" s="34"/>
      <c r="H18" s="97">
        <v>275000.0</v>
      </c>
      <c r="I18" s="92" t="s">
        <v>35</v>
      </c>
      <c r="J18" s="92" t="s">
        <v>36</v>
      </c>
      <c r="K18" s="92" t="s">
        <v>36</v>
      </c>
      <c r="L18" s="92" t="s">
        <v>29</v>
      </c>
      <c r="M18" s="92" t="s">
        <v>37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338</v>
      </c>
      <c r="D19" s="95" t="s">
        <v>23</v>
      </c>
      <c r="E19" s="14"/>
      <c r="F19" s="92" t="s">
        <v>236</v>
      </c>
      <c r="G19" s="34"/>
      <c r="H19" s="97">
        <v>150000.0</v>
      </c>
      <c r="I19" s="92" t="s">
        <v>35</v>
      </c>
      <c r="J19" s="92" t="s">
        <v>36</v>
      </c>
      <c r="K19" s="92" t="s">
        <v>36</v>
      </c>
      <c r="L19" s="92" t="s">
        <v>29</v>
      </c>
      <c r="M19" s="92" t="s">
        <v>37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366</v>
      </c>
      <c r="D20" s="95" t="s">
        <v>23</v>
      </c>
      <c r="E20" s="14"/>
      <c r="F20" s="92" t="s">
        <v>236</v>
      </c>
      <c r="G20" s="34"/>
      <c r="H20" s="97">
        <v>200000.0</v>
      </c>
      <c r="I20" s="92" t="s">
        <v>35</v>
      </c>
      <c r="J20" s="92" t="s">
        <v>36</v>
      </c>
      <c r="K20" s="92" t="s">
        <v>36</v>
      </c>
      <c r="L20" s="92" t="s">
        <v>29</v>
      </c>
      <c r="M20" s="92" t="s">
        <v>37</v>
      </c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367</v>
      </c>
      <c r="D21" s="95" t="s">
        <v>23</v>
      </c>
      <c r="E21" s="14"/>
      <c r="F21" s="92" t="s">
        <v>236</v>
      </c>
      <c r="G21" s="101">
        <v>75000.0</v>
      </c>
      <c r="H21" s="35"/>
      <c r="I21" s="92" t="s">
        <v>35</v>
      </c>
      <c r="J21" s="92" t="s">
        <v>36</v>
      </c>
      <c r="K21" s="92" t="s">
        <v>36</v>
      </c>
      <c r="L21" s="92" t="s">
        <v>29</v>
      </c>
      <c r="M21" s="92" t="s">
        <v>37</v>
      </c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368</v>
      </c>
      <c r="D22" s="95" t="s">
        <v>23</v>
      </c>
      <c r="E22" s="14"/>
      <c r="F22" s="92" t="s">
        <v>369</v>
      </c>
      <c r="G22" s="34"/>
      <c r="H22" s="97">
        <v>100000.0</v>
      </c>
      <c r="I22" s="92" t="s">
        <v>28</v>
      </c>
      <c r="J22" s="15"/>
      <c r="K22" s="15"/>
      <c r="L22" s="92" t="s">
        <v>29</v>
      </c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370</v>
      </c>
      <c r="D23" s="95" t="s">
        <v>24</v>
      </c>
      <c r="E23" s="14"/>
      <c r="F23" s="92" t="s">
        <v>236</v>
      </c>
      <c r="G23" s="34"/>
      <c r="H23" s="97">
        <v>250000.0</v>
      </c>
      <c r="I23" s="92" t="s">
        <v>35</v>
      </c>
      <c r="J23" s="92" t="s">
        <v>36</v>
      </c>
      <c r="K23" s="92" t="s">
        <v>36</v>
      </c>
      <c r="L23" s="92" t="s">
        <v>29</v>
      </c>
      <c r="M23" s="92" t="s">
        <v>37</v>
      </c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32"/>
      <c r="D24" s="16"/>
      <c r="E24" s="14"/>
      <c r="F24" s="15"/>
      <c r="G24" s="34"/>
      <c r="H24" s="35"/>
      <c r="I24" s="15"/>
      <c r="J24" s="15"/>
      <c r="K24" s="15"/>
      <c r="L24" s="15"/>
      <c r="M24" s="15"/>
      <c r="N24" s="41"/>
      <c r="O24" s="41"/>
      <c r="P24" s="41"/>
      <c r="Q24" s="1"/>
      <c r="R24" s="1"/>
    </row>
    <row r="25" ht="18.75" customHeight="1">
      <c r="A25" s="1"/>
      <c r="B25" s="1"/>
      <c r="C25" s="2"/>
      <c r="D25" s="2"/>
      <c r="E25" s="1"/>
      <c r="F25" s="1"/>
      <c r="G25" s="42">
        <f t="shared" ref="G25:H25" si="1">SUM(G4:G24)</f>
        <v>635000</v>
      </c>
      <c r="H25" s="43">
        <f t="shared" si="1"/>
        <v>2310000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23.25" customHeight="1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5.7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44" t="s">
        <v>0</v>
      </c>
      <c r="C28" s="45" t="s">
        <v>6</v>
      </c>
      <c r="D28" s="45" t="s">
        <v>88</v>
      </c>
      <c r="E28" s="1"/>
      <c r="F28" s="1"/>
      <c r="G28" s="1"/>
      <c r="H28" s="1"/>
      <c r="I28" s="1"/>
      <c r="J28" s="1"/>
      <c r="K28" s="1"/>
      <c r="L28" s="1"/>
      <c r="M28" s="1"/>
      <c r="N28" s="45" t="s">
        <v>89</v>
      </c>
      <c r="O28" s="45" t="s">
        <v>1</v>
      </c>
      <c r="P28" s="1"/>
      <c r="Q28" s="1"/>
      <c r="R28" s="1"/>
    </row>
    <row r="29" ht="15.75" customHeight="1">
      <c r="A29" s="1"/>
      <c r="B29" s="46">
        <v>1.0</v>
      </c>
      <c r="C29" s="47" t="s">
        <v>90</v>
      </c>
      <c r="D29" s="48">
        <f>SUM(G25)</f>
        <v>635000</v>
      </c>
      <c r="E29" s="49"/>
      <c r="F29" s="1"/>
      <c r="G29" s="1"/>
      <c r="H29" s="1"/>
      <c r="I29" s="1"/>
      <c r="J29" s="1"/>
      <c r="K29" s="1"/>
      <c r="L29" s="1"/>
      <c r="M29" s="1"/>
      <c r="N29" s="50" t="s">
        <v>91</v>
      </c>
      <c r="O29" s="109" t="s">
        <v>30</v>
      </c>
      <c r="P29" s="1"/>
      <c r="Q29" s="1"/>
      <c r="R29" s="1"/>
    </row>
    <row r="30" ht="15.75" customHeight="1">
      <c r="A30" s="1"/>
      <c r="B30" s="51">
        <v>2.0</v>
      </c>
      <c r="C30" s="93" t="s">
        <v>99</v>
      </c>
      <c r="D30" s="108">
        <v>-75000.0</v>
      </c>
      <c r="E30" s="49"/>
      <c r="F30" s="1"/>
      <c r="G30" s="1"/>
      <c r="H30" s="1"/>
      <c r="I30" s="1"/>
      <c r="J30" s="1"/>
      <c r="K30" s="1"/>
      <c r="L30" s="1"/>
      <c r="M30" s="1"/>
      <c r="N30" s="56" t="s">
        <v>93</v>
      </c>
      <c r="O30" s="105" t="s">
        <v>29</v>
      </c>
      <c r="P30" s="1"/>
      <c r="Q30" s="1"/>
      <c r="R30" s="1"/>
    </row>
    <row r="31" ht="15.75" customHeight="1">
      <c r="A31" s="1"/>
      <c r="B31" s="46">
        <v>3.0</v>
      </c>
      <c r="C31" s="106" t="s">
        <v>96</v>
      </c>
      <c r="D31" s="107">
        <v>-50000.0</v>
      </c>
      <c r="E31" s="49"/>
      <c r="F31" s="1"/>
      <c r="G31" s="1"/>
      <c r="H31" s="1"/>
      <c r="I31" s="1"/>
      <c r="J31" s="1"/>
      <c r="K31" s="1"/>
      <c r="L31" s="1"/>
      <c r="M31" s="1"/>
      <c r="N31" s="59" t="s">
        <v>95</v>
      </c>
      <c r="O31" s="121" t="s">
        <v>37</v>
      </c>
      <c r="P31" s="1"/>
      <c r="Q31" s="1"/>
      <c r="R31" s="1"/>
    </row>
    <row r="32" ht="15.75" customHeight="1">
      <c r="A32" s="1"/>
      <c r="B32" s="51">
        <v>4.0</v>
      </c>
      <c r="C32" s="93" t="s">
        <v>372</v>
      </c>
      <c r="D32" s="108">
        <v>-50000.0</v>
      </c>
      <c r="E32" s="49"/>
      <c r="F32" s="1"/>
      <c r="G32" s="1"/>
      <c r="H32" s="1"/>
      <c r="I32" s="1"/>
      <c r="J32" s="1"/>
      <c r="K32" s="1"/>
      <c r="L32" s="1"/>
      <c r="M32" s="1"/>
      <c r="N32" s="60" t="s">
        <v>98</v>
      </c>
      <c r="O32" s="105" t="s">
        <v>37</v>
      </c>
      <c r="P32" s="1"/>
      <c r="Q32" s="1"/>
      <c r="R32" s="1"/>
    </row>
    <row r="33" ht="15.75" customHeight="1">
      <c r="A33" s="1"/>
      <c r="B33" s="46">
        <v>5.0</v>
      </c>
      <c r="C33" s="106" t="s">
        <v>97</v>
      </c>
      <c r="D33" s="107">
        <v>-50000.0</v>
      </c>
      <c r="E33" s="49"/>
      <c r="F33" s="1"/>
      <c r="G33" s="1"/>
      <c r="H33" s="1"/>
      <c r="I33" s="1"/>
      <c r="J33" s="1"/>
      <c r="K33" s="1"/>
      <c r="L33" s="1"/>
      <c r="M33" s="1"/>
      <c r="N33" s="61"/>
      <c r="O33" s="1"/>
      <c r="P33" s="1"/>
      <c r="Q33" s="1"/>
      <c r="R33" s="1"/>
    </row>
    <row r="34" ht="15.75" customHeight="1">
      <c r="A34" s="1"/>
      <c r="B34" s="51">
        <v>6.0</v>
      </c>
      <c r="C34" s="52"/>
      <c r="D34" s="54"/>
      <c r="E34" s="49"/>
      <c r="F34" s="1"/>
      <c r="G34" s="1"/>
      <c r="H34" s="1"/>
      <c r="I34" s="1"/>
      <c r="J34" s="1"/>
      <c r="K34" s="62" t="s">
        <v>100</v>
      </c>
      <c r="Q34" s="1"/>
      <c r="R34" s="1"/>
    </row>
    <row r="35" ht="15.75" customHeight="1">
      <c r="A35" s="1"/>
      <c r="B35" s="46">
        <v>7.0</v>
      </c>
      <c r="C35" s="47"/>
      <c r="D35" s="48"/>
      <c r="E35" s="49"/>
      <c r="F35" s="1"/>
      <c r="G35" s="1"/>
      <c r="H35" s="1"/>
      <c r="I35" s="1"/>
      <c r="J35" s="1"/>
      <c r="K35" s="63" t="s">
        <v>1</v>
      </c>
      <c r="L35" s="63" t="s">
        <v>102</v>
      </c>
      <c r="M35" s="63" t="s">
        <v>103</v>
      </c>
      <c r="N35" s="63" t="s">
        <v>104</v>
      </c>
      <c r="O35" s="63" t="s">
        <v>105</v>
      </c>
      <c r="P35" s="63" t="s">
        <v>106</v>
      </c>
      <c r="Q35" s="1"/>
      <c r="R35" s="1"/>
      <c r="AC35" s="65" t="s">
        <v>107</v>
      </c>
      <c r="AD35" s="65" t="s">
        <v>108</v>
      </c>
      <c r="AE35" s="65" t="s">
        <v>109</v>
      </c>
      <c r="AF35" s="65" t="s">
        <v>110</v>
      </c>
      <c r="AG35" s="66" t="s">
        <v>111</v>
      </c>
    </row>
    <row r="36" ht="15.75" customHeight="1">
      <c r="A36" s="1"/>
      <c r="B36" s="51">
        <v>8.0</v>
      </c>
      <c r="C36" s="52"/>
      <c r="D36" s="54"/>
      <c r="E36" s="49"/>
      <c r="F36" s="1"/>
      <c r="G36" s="1"/>
      <c r="H36" s="1"/>
      <c r="I36" s="1"/>
      <c r="J36" s="1"/>
      <c r="K36" s="67" t="str">
        <f t="shared" ref="K36:K39" si="2">IF(O29="","",O29)</f>
        <v>INDAH</v>
      </c>
      <c r="L36" s="68">
        <v>5.0</v>
      </c>
      <c r="M36" s="68">
        <v>4.0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ref="AC36:AC41" si="3">IF(AG36="","",IF(COUNT(L36:P36)&lt;5,"",L36/5*20+M36/5*25+N36/5*25+O36/5*15+P36/5*15))</f>
        <v>95</v>
      </c>
      <c r="AD36" s="65" t="str">
        <f t="shared" ref="AD36:AD41" si="4">IF(AC36="","",IF(AC36&gt;=90,"Sangat Baik",IF(AC36&gt;=80,"Baik",IF(AC36&gt;=70,"Coaching","Underperform"))))</f>
        <v>Sangat Baik</v>
      </c>
      <c r="AE36" s="65" t="str">
        <f t="shared" ref="AE36:AE41" si="5">IF(AG36="","",IF(OR(AG36="INDAH",AG36="ADDEL",AG36="AMEL",AG36="PENTIL",AG36="JIJANG"),"Admin/CS","Fotografer"))</f>
        <v>Admin/CS</v>
      </c>
      <c r="AF36" s="65">
        <f t="shared" ref="AF36:AF41" si="6">IF(OR(AG36="",COUNT(L36:P36)&lt;5),"",1)</f>
        <v>1</v>
      </c>
      <c r="AG36" s="66" t="str">
        <f t="shared" ref="AG36:AG41" si="7">IFERROR(K36,"")</f>
        <v>INDAH</v>
      </c>
    </row>
    <row r="37" ht="15.75" customHeight="1">
      <c r="A37" s="1"/>
      <c r="B37" s="46">
        <v>9.0</v>
      </c>
      <c r="C37" s="47"/>
      <c r="D37" s="48"/>
      <c r="E37" s="49"/>
      <c r="F37" s="1"/>
      <c r="G37" s="1"/>
      <c r="H37" s="1"/>
      <c r="I37" s="1"/>
      <c r="J37" s="1"/>
      <c r="K37" s="67" t="str">
        <f t="shared" si="2"/>
        <v>AMEL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si="3"/>
        <v>100</v>
      </c>
      <c r="AD37" s="65" t="str">
        <f t="shared" si="4"/>
        <v>Sangat Baik</v>
      </c>
      <c r="AE37" s="65" t="str">
        <f t="shared" si="5"/>
        <v>Admin/CS</v>
      </c>
      <c r="AF37" s="65">
        <f t="shared" si="6"/>
        <v>1</v>
      </c>
      <c r="AG37" s="66" t="str">
        <f t="shared" si="7"/>
        <v>AMEL</v>
      </c>
    </row>
    <row r="38" ht="15.75" customHeight="1">
      <c r="A38" s="1"/>
      <c r="B38" s="51">
        <v>10.0</v>
      </c>
      <c r="C38" s="52"/>
      <c r="D38" s="54"/>
      <c r="E38" s="49"/>
      <c r="F38" s="1"/>
      <c r="G38" s="1"/>
      <c r="H38" s="1"/>
      <c r="I38" s="1"/>
      <c r="J38" s="1"/>
      <c r="K38" s="67" t="str">
        <f t="shared" si="2"/>
        <v>ADIF</v>
      </c>
      <c r="L38" s="68">
        <v>5.0</v>
      </c>
      <c r="M38" s="68">
        <v>5.0</v>
      </c>
      <c r="N38" s="68">
        <v>5.0</v>
      </c>
      <c r="O38" s="68">
        <v>5.0</v>
      </c>
      <c r="P38" s="68">
        <v>5.0</v>
      </c>
      <c r="Q38" s="1"/>
      <c r="R38" s="1"/>
      <c r="AC38" s="65">
        <f t="shared" si="3"/>
        <v>100</v>
      </c>
      <c r="AD38" s="65" t="str">
        <f t="shared" si="4"/>
        <v>Sangat Baik</v>
      </c>
      <c r="AE38" s="65" t="str">
        <f t="shared" si="5"/>
        <v>Fotografer</v>
      </c>
      <c r="AF38" s="65">
        <f t="shared" si="6"/>
        <v>1</v>
      </c>
      <c r="AG38" s="66" t="str">
        <f t="shared" si="7"/>
        <v>ADIF</v>
      </c>
    </row>
    <row r="39" ht="15.75" customHeight="1">
      <c r="A39" s="1"/>
      <c r="B39" s="69">
        <v>11.0</v>
      </c>
      <c r="C39" s="70"/>
      <c r="D39" s="71"/>
      <c r="E39" s="49"/>
      <c r="F39" s="1"/>
      <c r="G39" s="1"/>
      <c r="H39" s="1"/>
      <c r="I39" s="1"/>
      <c r="J39" s="1"/>
      <c r="K39" s="67" t="str">
        <f t="shared" si="2"/>
        <v>ADIF</v>
      </c>
      <c r="L39" s="68">
        <v>5.0</v>
      </c>
      <c r="M39" s="68">
        <v>5.0</v>
      </c>
      <c r="N39" s="68">
        <v>5.0</v>
      </c>
      <c r="O39" s="68">
        <v>5.0</v>
      </c>
      <c r="P39" s="68">
        <v>5.0</v>
      </c>
      <c r="Q39" s="1"/>
      <c r="R39" s="1"/>
      <c r="AC39" s="65">
        <f t="shared" si="3"/>
        <v>100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ADIF</v>
      </c>
    </row>
    <row r="40" ht="15.75" customHeight="1">
      <c r="A40" s="1"/>
      <c r="B40" s="1"/>
      <c r="C40" s="2"/>
      <c r="D40" s="72">
        <f>SUM(D29:D39)</f>
        <v>410000</v>
      </c>
      <c r="E40" s="1"/>
      <c r="F40" s="1"/>
      <c r="G40" s="1"/>
      <c r="H40" s="1"/>
      <c r="I40" s="1"/>
      <c r="J40" s="1"/>
      <c r="K40" s="67"/>
      <c r="L40" s="73"/>
      <c r="M40" s="73"/>
      <c r="N40" s="73"/>
      <c r="O40" s="73"/>
      <c r="P40" s="73"/>
      <c r="Q40" s="1"/>
      <c r="R40" s="1"/>
      <c r="AC40" s="65" t="str">
        <f t="shared" si="3"/>
        <v/>
      </c>
      <c r="AD40" s="65" t="str">
        <f t="shared" si="4"/>
        <v/>
      </c>
      <c r="AE40" s="65" t="str">
        <f t="shared" si="5"/>
        <v/>
      </c>
      <c r="AF40" s="65" t="str">
        <f t="shared" si="6"/>
        <v/>
      </c>
      <c r="AG40" s="66" t="str">
        <f t="shared" si="7"/>
        <v/>
      </c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74" t="s">
        <v>112</v>
      </c>
      <c r="Q42" s="1"/>
      <c r="R42" s="1"/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75" t="s">
        <v>113</v>
      </c>
      <c r="N44" s="112"/>
      <c r="O44" s="1"/>
      <c r="P44" s="1"/>
      <c r="Q44" s="1"/>
      <c r="R44" s="1"/>
    </row>
    <row r="45" ht="15.75" customHeight="1">
      <c r="K45" s="76" t="s">
        <v>7</v>
      </c>
      <c r="L45" s="76" t="s">
        <v>114</v>
      </c>
      <c r="M45" s="76" t="s">
        <v>115</v>
      </c>
      <c r="N45" s="113" t="s">
        <v>290</v>
      </c>
    </row>
    <row r="46" ht="15.75" customHeight="1">
      <c r="K46" s="77" t="str">
        <f t="shared" ref="K46:K47" si="8">IF(O29="","",O29)</f>
        <v>INDAH</v>
      </c>
      <c r="L46" s="81">
        <v>5.0</v>
      </c>
      <c r="M46" s="81" t="s">
        <v>117</v>
      </c>
      <c r="N46" s="114">
        <v>11.0</v>
      </c>
    </row>
    <row r="47" ht="15.75" customHeight="1">
      <c r="K47" s="77" t="str">
        <f t="shared" si="8"/>
        <v>AMEL</v>
      </c>
      <c r="L47" s="78"/>
      <c r="M47" s="78"/>
      <c r="N47" s="114"/>
    </row>
    <row r="48" ht="15.75" customHeight="1"/>
    <row r="49" ht="19.5" customHeight="1">
      <c r="K49" s="79" t="s">
        <v>118</v>
      </c>
    </row>
    <row r="50" ht="19.5" customHeight="1">
      <c r="K50" s="80" t="s">
        <v>119</v>
      </c>
      <c r="M50" s="81">
        <v>22.0</v>
      </c>
    </row>
    <row r="51" ht="19.5" customHeight="1">
      <c r="K51" s="82" t="s">
        <v>120</v>
      </c>
      <c r="M51" s="83">
        <f>COUNTIF($I$4:$I$27,"DP")</f>
        <v>10</v>
      </c>
    </row>
    <row r="52" ht="19.5" customHeight="1">
      <c r="K52" s="82" t="s">
        <v>121</v>
      </c>
      <c r="M52" s="83">
        <f>COUNTIFS($I$4:$I$27,"&lt;&gt;DP",$I$4:$I$27,"&lt;&gt;")</f>
        <v>10</v>
      </c>
    </row>
    <row r="53" ht="19.5" customHeight="1">
      <c r="K53" s="84" t="s">
        <v>122</v>
      </c>
      <c r="M53" s="83">
        <f>M51+M52</f>
        <v>20</v>
      </c>
    </row>
    <row r="54" ht="19.5" customHeight="1">
      <c r="K54" s="80" t="s">
        <v>123</v>
      </c>
      <c r="M54" s="85">
        <f>IF(OR(M50="",M50=0),"",M51/M50)</f>
        <v>0.4545454545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0:L50"/>
    <mergeCell ref="K51:L51"/>
    <mergeCell ref="K52:L52"/>
    <mergeCell ref="K53:L53"/>
    <mergeCell ref="K54:L54"/>
    <mergeCell ref="L2:L3"/>
    <mergeCell ref="M2:M3"/>
    <mergeCell ref="N2:P2"/>
    <mergeCell ref="K34:P34"/>
    <mergeCell ref="K42:P42"/>
    <mergeCell ref="K44:M44"/>
    <mergeCell ref="K49:M49"/>
  </mergeCells>
  <conditionalFormatting sqref="I4:I27">
    <cfRule type="expression" dxfId="0" priority="1">
      <formula>I4="DP"</formula>
    </cfRule>
  </conditionalFormatting>
  <conditionalFormatting sqref="I4:I27">
    <cfRule type="expression" dxfId="1" priority="2">
      <formula>I4="Lunas"</formula>
    </cfRule>
  </conditionalFormatting>
  <conditionalFormatting sqref="J4:K27">
    <cfRule type="expression" dxfId="2" priority="3">
      <formula>OR(J4="Uploaded",J4="Delivered")</formula>
    </cfRule>
  </conditionalFormatting>
  <dataValidations>
    <dataValidation type="list" allowBlank="1" showDropDown="1" showErrorMessage="1" sqref="I4:I24">
      <formula1>"-,DP,Lunas"</formula1>
    </dataValidation>
    <dataValidation type="list" allowBlank="1" sqref="L36:P41">
      <formula1>"1,2,3,4,5"</formula1>
    </dataValidation>
    <dataValidation type="list" allowBlank="1" showDropDown="1" showErrorMessage="1" sqref="J4:K24">
      <formula1>"-,Pending,Uploaded"</formula1>
    </dataValidation>
    <dataValidation type="list" allowBlank="1" sqref="K36:K41">
      <formula1>'Resume Karyawan KPI'!$AK$5:$AK$15</formula1>
    </dataValidation>
    <dataValidation type="list" allowBlank="1" showDropDown="1" showErrorMessage="1" sqref="M4:M24">
      <formula1>"-,VERO,FADEL,PENTIL,ADIF"</formula1>
    </dataValidation>
    <dataValidation type="list" allowBlank="1" showErrorMessage="1" sqref="N4:N24">
      <formula1>"-,Pending,Progress,Uploaded"</formula1>
    </dataValidation>
    <dataValidation type="list" allowBlank="1" sqref="O29:O32">
      <formula1>"INDAH,ADDEL,AMEL,PENTIL,JIJANG,HANIF,FAHME,ADIF,ABROR,FADEL,SAKA"</formula1>
    </dataValidation>
    <dataValidation type="list" allowBlank="1" showErrorMessage="1" sqref="O4:O24">
      <formula1>"-,In Pikako,In Foxe"</formula1>
    </dataValidation>
    <dataValidation type="list" allowBlank="1" showDropDown="1" showErrorMessage="1" sqref="D4:D24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L4:L24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371</v>
      </c>
      <c r="D4" s="95" t="s">
        <v>22</v>
      </c>
      <c r="E4" s="14"/>
      <c r="F4" s="92" t="s">
        <v>25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373</v>
      </c>
      <c r="D5" s="95" t="s">
        <v>22</v>
      </c>
      <c r="E5" s="14"/>
      <c r="F5" s="92" t="s">
        <v>310</v>
      </c>
      <c r="G5" s="34"/>
      <c r="H5" s="97">
        <v>100000.0</v>
      </c>
      <c r="I5" s="92" t="s">
        <v>28</v>
      </c>
      <c r="J5" s="15"/>
      <c r="K5" s="15"/>
      <c r="L5" s="92" t="s">
        <v>29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374</v>
      </c>
      <c r="D6" s="95" t="s">
        <v>23</v>
      </c>
      <c r="E6" s="14"/>
      <c r="F6" s="96">
        <v>46268.0</v>
      </c>
      <c r="G6" s="34"/>
      <c r="H6" s="97">
        <v>200000.0</v>
      </c>
      <c r="I6" s="92" t="s">
        <v>28</v>
      </c>
      <c r="J6" s="15"/>
      <c r="K6" s="15"/>
      <c r="L6" s="92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322</v>
      </c>
      <c r="D7" s="95" t="s">
        <v>126</v>
      </c>
      <c r="E7" s="14"/>
      <c r="F7" s="92" t="s">
        <v>310</v>
      </c>
      <c r="G7" s="34"/>
      <c r="H7" s="97">
        <v>100000.0</v>
      </c>
      <c r="I7" s="92" t="s">
        <v>35</v>
      </c>
      <c r="J7" s="92" t="s">
        <v>36</v>
      </c>
      <c r="K7" s="15"/>
      <c r="L7" s="92" t="s">
        <v>29</v>
      </c>
      <c r="M7" s="92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375</v>
      </c>
      <c r="D8" s="95" t="s">
        <v>23</v>
      </c>
      <c r="E8" s="14"/>
      <c r="F8" s="92" t="s">
        <v>223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376</v>
      </c>
      <c r="D9" s="95" t="s">
        <v>22</v>
      </c>
      <c r="E9" s="14"/>
      <c r="F9" s="92" t="s">
        <v>377</v>
      </c>
      <c r="G9" s="34"/>
      <c r="H9" s="97">
        <v>100000.0</v>
      </c>
      <c r="I9" s="92" t="s">
        <v>28</v>
      </c>
      <c r="J9" s="15"/>
      <c r="K9" s="15"/>
      <c r="L9" s="92" t="s">
        <v>29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379</v>
      </c>
      <c r="D10" s="95" t="s">
        <v>22</v>
      </c>
      <c r="E10" s="14"/>
      <c r="F10" s="92" t="s">
        <v>223</v>
      </c>
      <c r="G10" s="34"/>
      <c r="H10" s="97">
        <v>350000.0</v>
      </c>
      <c r="I10" s="92" t="s">
        <v>35</v>
      </c>
      <c r="J10" s="15"/>
      <c r="K10" s="15"/>
      <c r="L10" s="92" t="s">
        <v>29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309</v>
      </c>
      <c r="D11" s="95" t="s">
        <v>23</v>
      </c>
      <c r="E11" s="14"/>
      <c r="F11" s="92" t="s">
        <v>310</v>
      </c>
      <c r="G11" s="101">
        <v>375000.0</v>
      </c>
      <c r="H11" s="35"/>
      <c r="I11" s="92" t="s">
        <v>35</v>
      </c>
      <c r="J11" s="92" t="s">
        <v>36</v>
      </c>
      <c r="K11" s="92" t="s">
        <v>36</v>
      </c>
      <c r="L11" s="92" t="s">
        <v>29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381</v>
      </c>
      <c r="D12" s="95" t="s">
        <v>23</v>
      </c>
      <c r="E12" s="14"/>
      <c r="F12" s="92" t="s">
        <v>310</v>
      </c>
      <c r="G12" s="34"/>
      <c r="H12" s="97">
        <v>100000.0</v>
      </c>
      <c r="I12" s="92" t="s">
        <v>28</v>
      </c>
      <c r="J12" s="15"/>
      <c r="K12" s="15"/>
      <c r="L12" s="92" t="s">
        <v>29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383</v>
      </c>
      <c r="D13" s="95" t="s">
        <v>126</v>
      </c>
      <c r="E13" s="14"/>
      <c r="F13" s="92" t="s">
        <v>310</v>
      </c>
      <c r="G13" s="34"/>
      <c r="H13" s="97">
        <v>100000.0</v>
      </c>
      <c r="I13" s="92" t="s">
        <v>35</v>
      </c>
      <c r="J13" s="92" t="s">
        <v>36</v>
      </c>
      <c r="K13" s="15"/>
      <c r="L13" s="92" t="s">
        <v>29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9" t="s">
        <v>385</v>
      </c>
      <c r="D14" s="95" t="s">
        <v>23</v>
      </c>
      <c r="E14" s="14"/>
      <c r="F14" s="92" t="s">
        <v>248</v>
      </c>
      <c r="G14" s="34"/>
      <c r="H14" s="97">
        <v>100000.0</v>
      </c>
      <c r="I14" s="92" t="s">
        <v>28</v>
      </c>
      <c r="J14" s="15"/>
      <c r="K14" s="15"/>
      <c r="L14" s="92" t="s">
        <v>29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386</v>
      </c>
      <c r="D15" s="95" t="s">
        <v>39</v>
      </c>
      <c r="E15" s="14"/>
      <c r="F15" s="92" t="s">
        <v>248</v>
      </c>
      <c r="G15" s="34"/>
      <c r="H15" s="97">
        <v>100000.0</v>
      </c>
      <c r="I15" s="92" t="s">
        <v>28</v>
      </c>
      <c r="J15" s="15"/>
      <c r="K15" s="15"/>
      <c r="L15" s="92" t="s">
        <v>29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388</v>
      </c>
      <c r="D16" s="95" t="s">
        <v>22</v>
      </c>
      <c r="E16" s="14"/>
      <c r="F16" s="92" t="s">
        <v>25</v>
      </c>
      <c r="G16" s="101">
        <v>100000.0</v>
      </c>
      <c r="H16" s="35"/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373</v>
      </c>
      <c r="D17" s="95" t="s">
        <v>22</v>
      </c>
      <c r="E17" s="100" t="s">
        <v>392</v>
      </c>
      <c r="F17" s="92" t="s">
        <v>310</v>
      </c>
      <c r="G17" s="34"/>
      <c r="H17" s="97">
        <v>375000.0</v>
      </c>
      <c r="I17" s="92" t="s">
        <v>35</v>
      </c>
      <c r="J17" s="92" t="s">
        <v>36</v>
      </c>
      <c r="K17" s="92" t="s">
        <v>36</v>
      </c>
      <c r="L17" s="92" t="s">
        <v>29</v>
      </c>
      <c r="M17" s="92" t="s">
        <v>47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393</v>
      </c>
      <c r="D18" s="95" t="s">
        <v>23</v>
      </c>
      <c r="E18" s="14"/>
      <c r="F18" s="92" t="s">
        <v>310</v>
      </c>
      <c r="G18" s="34"/>
      <c r="H18" s="97">
        <v>100000.0</v>
      </c>
      <c r="I18" s="92" t="s">
        <v>28</v>
      </c>
      <c r="J18" s="15"/>
      <c r="K18" s="15"/>
      <c r="L18" s="92" t="s">
        <v>29</v>
      </c>
      <c r="M18" s="92" t="s">
        <v>47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358</v>
      </c>
      <c r="D19" s="95" t="s">
        <v>24</v>
      </c>
      <c r="E19" s="14"/>
      <c r="F19" s="92" t="s">
        <v>310</v>
      </c>
      <c r="G19" s="34"/>
      <c r="H19" s="97">
        <v>250000.0</v>
      </c>
      <c r="I19" s="92" t="s">
        <v>35</v>
      </c>
      <c r="J19" s="92" t="s">
        <v>36</v>
      </c>
      <c r="K19" s="92" t="s">
        <v>36</v>
      </c>
      <c r="L19" s="92" t="s">
        <v>29</v>
      </c>
      <c r="M19" s="92" t="s">
        <v>47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395</v>
      </c>
      <c r="D20" s="95" t="s">
        <v>22</v>
      </c>
      <c r="E20" s="14"/>
      <c r="F20" s="98">
        <v>46267.0</v>
      </c>
      <c r="G20" s="34"/>
      <c r="H20" s="97">
        <v>100000.0</v>
      </c>
      <c r="I20" s="92" t="s">
        <v>28</v>
      </c>
      <c r="J20" s="15"/>
      <c r="K20" s="15"/>
      <c r="L20" s="92" t="s">
        <v>29</v>
      </c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397</v>
      </c>
      <c r="D21" s="95" t="s">
        <v>23</v>
      </c>
      <c r="E21" s="14"/>
      <c r="F21" s="92" t="s">
        <v>310</v>
      </c>
      <c r="G21" s="34"/>
      <c r="H21" s="97">
        <v>450000.0</v>
      </c>
      <c r="I21" s="92" t="s">
        <v>35</v>
      </c>
      <c r="J21" s="92" t="s">
        <v>36</v>
      </c>
      <c r="K21" s="92" t="s">
        <v>36</v>
      </c>
      <c r="L21" s="92" t="s">
        <v>29</v>
      </c>
      <c r="M21" s="92" t="s">
        <v>37</v>
      </c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399</v>
      </c>
      <c r="D22" s="95" t="s">
        <v>23</v>
      </c>
      <c r="E22" s="14"/>
      <c r="F22" s="92" t="s">
        <v>400</v>
      </c>
      <c r="G22" s="34"/>
      <c r="H22" s="97">
        <v>275000.0</v>
      </c>
      <c r="I22" s="92" t="s">
        <v>35</v>
      </c>
      <c r="J22" s="92" t="s">
        <v>36</v>
      </c>
      <c r="K22" s="92" t="s">
        <v>36</v>
      </c>
      <c r="L22" s="92" t="s">
        <v>29</v>
      </c>
      <c r="M22" s="92" t="s">
        <v>37</v>
      </c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401</v>
      </c>
      <c r="D23" s="95" t="s">
        <v>23</v>
      </c>
      <c r="E23" s="14"/>
      <c r="F23" s="92" t="s">
        <v>310</v>
      </c>
      <c r="G23" s="34"/>
      <c r="H23" s="97">
        <v>75000.0</v>
      </c>
      <c r="I23" s="92" t="s">
        <v>35</v>
      </c>
      <c r="J23" s="92" t="s">
        <v>36</v>
      </c>
      <c r="K23" s="92" t="s">
        <v>36</v>
      </c>
      <c r="L23" s="92" t="s">
        <v>29</v>
      </c>
      <c r="M23" s="92" t="s">
        <v>37</v>
      </c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94" t="s">
        <v>403</v>
      </c>
      <c r="D24" s="95" t="s">
        <v>23</v>
      </c>
      <c r="E24" s="14"/>
      <c r="F24" s="92" t="s">
        <v>248</v>
      </c>
      <c r="G24" s="34"/>
      <c r="H24" s="97">
        <v>100000.0</v>
      </c>
      <c r="I24" s="92" t="s">
        <v>28</v>
      </c>
      <c r="J24" s="15"/>
      <c r="K24" s="15"/>
      <c r="L24" s="92" t="s">
        <v>29</v>
      </c>
      <c r="M24" s="92" t="s">
        <v>37</v>
      </c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94" t="s">
        <v>393</v>
      </c>
      <c r="D25" s="95" t="s">
        <v>23</v>
      </c>
      <c r="E25" s="14"/>
      <c r="F25" s="92" t="s">
        <v>400</v>
      </c>
      <c r="G25" s="34"/>
      <c r="H25" s="97">
        <v>125000.0</v>
      </c>
      <c r="I25" s="92" t="s">
        <v>35</v>
      </c>
      <c r="J25" s="92" t="s">
        <v>36</v>
      </c>
      <c r="K25" s="92" t="s">
        <v>36</v>
      </c>
      <c r="L25" s="92" t="s">
        <v>29</v>
      </c>
      <c r="M25" s="92" t="s">
        <v>37</v>
      </c>
      <c r="N25" s="29"/>
      <c r="O25" s="29"/>
      <c r="P25" s="29"/>
      <c r="Q25" s="1"/>
      <c r="R25" s="1"/>
    </row>
    <row r="26" ht="15.75" customHeight="1">
      <c r="A26" s="1"/>
      <c r="B26" s="15">
        <v>23.0</v>
      </c>
      <c r="C26" s="94" t="s">
        <v>194</v>
      </c>
      <c r="D26" s="95" t="s">
        <v>23</v>
      </c>
      <c r="E26" s="14"/>
      <c r="F26" s="92" t="s">
        <v>405</v>
      </c>
      <c r="G26" s="34"/>
      <c r="H26" s="97">
        <v>100000.0</v>
      </c>
      <c r="I26" s="92" t="s">
        <v>28</v>
      </c>
      <c r="J26" s="15"/>
      <c r="K26" s="15"/>
      <c r="L26" s="92" t="s">
        <v>29</v>
      </c>
      <c r="M26" s="15"/>
      <c r="N26" s="29"/>
      <c r="O26" s="29"/>
      <c r="P26" s="29"/>
      <c r="Q26" s="1"/>
      <c r="R26" s="1"/>
    </row>
    <row r="27" ht="15.75" customHeight="1">
      <c r="A27" s="1"/>
      <c r="B27" s="15">
        <v>24.0</v>
      </c>
      <c r="C27" s="94" t="s">
        <v>407</v>
      </c>
      <c r="D27" s="95" t="s">
        <v>23</v>
      </c>
      <c r="E27" s="14"/>
      <c r="F27" s="92" t="s">
        <v>248</v>
      </c>
      <c r="G27" s="34"/>
      <c r="H27" s="97">
        <v>100000.0</v>
      </c>
      <c r="I27" s="92" t="s">
        <v>28</v>
      </c>
      <c r="J27" s="15"/>
      <c r="K27" s="15"/>
      <c r="L27" s="92" t="s">
        <v>29</v>
      </c>
      <c r="M27" s="15"/>
      <c r="N27" s="29"/>
      <c r="O27" s="29"/>
      <c r="P27" s="29"/>
      <c r="Q27" s="1"/>
      <c r="R27" s="1"/>
    </row>
    <row r="28" ht="15.75" customHeight="1">
      <c r="A28" s="1"/>
      <c r="B28" s="15">
        <v>25.0</v>
      </c>
      <c r="C28" s="94" t="s">
        <v>409</v>
      </c>
      <c r="D28" s="95" t="s">
        <v>23</v>
      </c>
      <c r="E28" s="14"/>
      <c r="F28" s="92" t="s">
        <v>248</v>
      </c>
      <c r="G28" s="34"/>
      <c r="H28" s="97">
        <v>100000.0</v>
      </c>
      <c r="I28" s="92" t="s">
        <v>28</v>
      </c>
      <c r="J28" s="15"/>
      <c r="K28" s="15"/>
      <c r="L28" s="92" t="s">
        <v>29</v>
      </c>
      <c r="M28" s="15"/>
      <c r="N28" s="29"/>
      <c r="O28" s="29"/>
      <c r="P28" s="29"/>
      <c r="Q28" s="1"/>
      <c r="R28" s="1"/>
    </row>
    <row r="29" ht="15.75" customHeight="1">
      <c r="A29" s="1"/>
      <c r="B29" s="15">
        <v>26.0</v>
      </c>
      <c r="C29" s="94" t="s">
        <v>410</v>
      </c>
      <c r="D29" s="95" t="s">
        <v>23</v>
      </c>
      <c r="E29" s="14"/>
      <c r="F29" s="92" t="s">
        <v>310</v>
      </c>
      <c r="G29" s="34"/>
      <c r="H29" s="97">
        <v>200000.0</v>
      </c>
      <c r="I29" s="92" t="s">
        <v>35</v>
      </c>
      <c r="J29" s="92" t="s">
        <v>36</v>
      </c>
      <c r="K29" s="92" t="s">
        <v>36</v>
      </c>
      <c r="L29" s="92" t="s">
        <v>29</v>
      </c>
      <c r="M29" s="92" t="s">
        <v>37</v>
      </c>
      <c r="N29" s="29"/>
      <c r="O29" s="29"/>
      <c r="P29" s="29"/>
      <c r="Q29" s="1"/>
      <c r="R29" s="1"/>
    </row>
    <row r="30" ht="15.75" customHeight="1">
      <c r="A30" s="1"/>
      <c r="B30" s="15">
        <v>27.0</v>
      </c>
      <c r="C30" s="94" t="s">
        <v>412</v>
      </c>
      <c r="D30" s="95" t="s">
        <v>335</v>
      </c>
      <c r="E30" s="14"/>
      <c r="F30" s="92" t="s">
        <v>310</v>
      </c>
      <c r="G30" s="34"/>
      <c r="H30" s="97">
        <v>100000.0</v>
      </c>
      <c r="I30" s="92" t="s">
        <v>35</v>
      </c>
      <c r="J30" s="92" t="s">
        <v>36</v>
      </c>
      <c r="K30" s="92" t="s">
        <v>36</v>
      </c>
      <c r="L30" s="92" t="s">
        <v>29</v>
      </c>
      <c r="M30" s="92" t="s">
        <v>37</v>
      </c>
      <c r="N30" s="29"/>
      <c r="O30" s="29"/>
      <c r="P30" s="29"/>
      <c r="Q30" s="1"/>
      <c r="R30" s="1"/>
    </row>
    <row r="31" ht="15.75" customHeight="1">
      <c r="A31" s="1"/>
      <c r="B31" s="15">
        <v>28.0</v>
      </c>
      <c r="C31" s="32"/>
      <c r="D31" s="16"/>
      <c r="E31" s="14"/>
      <c r="F31" s="33"/>
      <c r="G31" s="34"/>
      <c r="H31" s="35"/>
      <c r="I31" s="15"/>
      <c r="J31" s="15"/>
      <c r="K31" s="15"/>
      <c r="L31" s="15"/>
      <c r="M31" s="15"/>
      <c r="N31" s="29"/>
      <c r="O31" s="29"/>
      <c r="P31" s="29"/>
      <c r="Q31" s="1"/>
      <c r="R31" s="1"/>
    </row>
    <row r="32" ht="15.75" customHeight="1">
      <c r="A32" s="1"/>
      <c r="B32" s="15">
        <v>29.0</v>
      </c>
      <c r="C32" s="32"/>
      <c r="D32" s="16"/>
      <c r="E32" s="14"/>
      <c r="F32" s="33"/>
      <c r="G32" s="34"/>
      <c r="H32" s="35"/>
      <c r="I32" s="15"/>
      <c r="J32" s="15"/>
      <c r="K32" s="15"/>
      <c r="L32" s="15"/>
      <c r="M32" s="15"/>
      <c r="N32" s="29"/>
      <c r="O32" s="29"/>
      <c r="P32" s="29"/>
      <c r="Q32" s="1"/>
      <c r="R32" s="1"/>
    </row>
    <row r="33" ht="15.75" customHeight="1">
      <c r="A33" s="1"/>
      <c r="B33" s="15">
        <v>30.0</v>
      </c>
      <c r="C33" s="32"/>
      <c r="D33" s="16"/>
      <c r="E33" s="14"/>
      <c r="F33" s="15"/>
      <c r="G33" s="34"/>
      <c r="H33" s="35"/>
      <c r="I33" s="15"/>
      <c r="J33" s="15"/>
      <c r="K33" s="15"/>
      <c r="L33" s="15"/>
      <c r="M33" s="15"/>
      <c r="N33" s="29"/>
      <c r="O33" s="29"/>
      <c r="P33" s="29"/>
      <c r="Q33" s="1"/>
      <c r="R33" s="1"/>
    </row>
    <row r="34" ht="15.75" customHeight="1">
      <c r="A34" s="1"/>
      <c r="B34" s="15">
        <v>31.0</v>
      </c>
      <c r="C34" s="32"/>
      <c r="D34" s="16"/>
      <c r="E34" s="14"/>
      <c r="F34" s="15"/>
      <c r="G34" s="34"/>
      <c r="H34" s="35"/>
      <c r="I34" s="15"/>
      <c r="J34" s="15"/>
      <c r="K34" s="15"/>
      <c r="L34" s="15"/>
      <c r="M34" s="15"/>
      <c r="N34" s="41"/>
      <c r="O34" s="41"/>
      <c r="P34" s="41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42">
        <f t="shared" ref="G35:H35" si="1">SUM(G4:G34)</f>
        <v>475000</v>
      </c>
      <c r="H35" s="43">
        <f t="shared" si="1"/>
        <v>3900000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44" t="s">
        <v>0</v>
      </c>
      <c r="C38" s="45" t="s">
        <v>6</v>
      </c>
      <c r="D38" s="45" t="s">
        <v>88</v>
      </c>
      <c r="E38" s="1"/>
      <c r="F38" s="1"/>
      <c r="G38" s="1"/>
      <c r="H38" s="1"/>
      <c r="I38" s="1"/>
      <c r="J38" s="1"/>
      <c r="K38" s="1"/>
      <c r="L38" s="1"/>
      <c r="M38" s="1"/>
      <c r="N38" s="45" t="s">
        <v>89</v>
      </c>
      <c r="O38" s="45" t="s">
        <v>1</v>
      </c>
      <c r="P38" s="1"/>
      <c r="Q38" s="1"/>
      <c r="R38" s="1"/>
    </row>
    <row r="39" ht="15.75" customHeight="1">
      <c r="A39" s="1"/>
      <c r="B39" s="46">
        <v>1.0</v>
      </c>
      <c r="C39" s="47" t="s">
        <v>90</v>
      </c>
      <c r="D39" s="48">
        <f>SUM(G35)</f>
        <v>475000</v>
      </c>
      <c r="E39" s="49"/>
      <c r="F39" s="1"/>
      <c r="G39" s="1"/>
      <c r="H39" s="1"/>
      <c r="I39" s="1"/>
      <c r="J39" s="1"/>
      <c r="K39" s="1"/>
      <c r="L39" s="1"/>
      <c r="M39" s="1"/>
      <c r="N39" s="50" t="s">
        <v>91</v>
      </c>
      <c r="O39" s="109" t="s">
        <v>29</v>
      </c>
      <c r="P39" s="1"/>
      <c r="Q39" s="1"/>
      <c r="R39" s="1"/>
    </row>
    <row r="40" ht="15.75" customHeight="1">
      <c r="A40" s="1"/>
      <c r="B40" s="51">
        <v>2.0</v>
      </c>
      <c r="C40" s="93" t="s">
        <v>372</v>
      </c>
      <c r="D40" s="108">
        <v>-100000.0</v>
      </c>
      <c r="E40" s="49"/>
      <c r="F40" s="1"/>
      <c r="G40" s="1"/>
      <c r="H40" s="1"/>
      <c r="I40" s="1"/>
      <c r="J40" s="1"/>
      <c r="K40" s="1"/>
      <c r="L40" s="1"/>
      <c r="M40" s="1"/>
      <c r="N40" s="56" t="s">
        <v>93</v>
      </c>
      <c r="O40" s="105" t="s">
        <v>29</v>
      </c>
      <c r="P40" s="1"/>
      <c r="Q40" s="1"/>
      <c r="R40" s="1"/>
    </row>
    <row r="41" ht="15.75" customHeight="1">
      <c r="A41" s="1"/>
      <c r="B41" s="46">
        <v>3.0</v>
      </c>
      <c r="C41" s="106" t="s">
        <v>97</v>
      </c>
      <c r="D41" s="107">
        <v>-25000.0</v>
      </c>
      <c r="E41" s="49"/>
      <c r="F41" s="1"/>
      <c r="G41" s="1"/>
      <c r="H41" s="1"/>
      <c r="I41" s="1"/>
      <c r="J41" s="1"/>
      <c r="K41" s="1"/>
      <c r="L41" s="1"/>
      <c r="M41" s="1"/>
      <c r="N41" s="59" t="s">
        <v>95</v>
      </c>
      <c r="O41" s="110" t="s">
        <v>47</v>
      </c>
      <c r="P41" s="1"/>
      <c r="Q41" s="1"/>
      <c r="R41" s="1"/>
    </row>
    <row r="42" ht="15.75" customHeight="1">
      <c r="A42" s="1"/>
      <c r="B42" s="51">
        <v>4.0</v>
      </c>
      <c r="C42" s="93" t="s">
        <v>97</v>
      </c>
      <c r="D42" s="108">
        <v>-103000.0</v>
      </c>
      <c r="E42" s="49"/>
      <c r="F42" s="1"/>
      <c r="G42" s="1"/>
      <c r="H42" s="1"/>
      <c r="I42" s="1"/>
      <c r="J42" s="1"/>
      <c r="K42" s="1"/>
      <c r="L42" s="1"/>
      <c r="M42" s="1"/>
      <c r="N42" s="60" t="s">
        <v>98</v>
      </c>
      <c r="O42" s="105" t="s">
        <v>37</v>
      </c>
      <c r="P42" s="1"/>
      <c r="Q42" s="1"/>
      <c r="R42" s="1"/>
    </row>
    <row r="43" ht="15.75" customHeight="1">
      <c r="A43" s="1"/>
      <c r="B43" s="46">
        <v>5.0</v>
      </c>
      <c r="C43" s="47"/>
      <c r="D43" s="48"/>
      <c r="E43" s="49"/>
      <c r="F43" s="1"/>
      <c r="G43" s="1"/>
      <c r="H43" s="1"/>
      <c r="I43" s="1"/>
      <c r="J43" s="1"/>
      <c r="K43" s="1"/>
      <c r="L43" s="1"/>
      <c r="M43" s="1"/>
      <c r="N43" s="61"/>
      <c r="O43" s="1"/>
      <c r="P43" s="1"/>
      <c r="Q43" s="1"/>
      <c r="R43" s="1"/>
    </row>
    <row r="44" ht="15.75" customHeight="1">
      <c r="A44" s="1"/>
      <c r="B44" s="51">
        <v>6.0</v>
      </c>
      <c r="C44" s="52"/>
      <c r="D44" s="54"/>
      <c r="E44" s="49"/>
      <c r="F44" s="1"/>
      <c r="G44" s="1"/>
      <c r="H44" s="1"/>
      <c r="I44" s="1"/>
      <c r="J44" s="1"/>
      <c r="K44" s="62" t="s">
        <v>100</v>
      </c>
      <c r="Q44" s="1"/>
      <c r="R44" s="1"/>
    </row>
    <row r="45" ht="15.75" customHeight="1">
      <c r="A45" s="1"/>
      <c r="B45" s="46">
        <v>7.0</v>
      </c>
      <c r="C45" s="47"/>
      <c r="D45" s="48"/>
      <c r="E45" s="49"/>
      <c r="F45" s="1"/>
      <c r="G45" s="1"/>
      <c r="H45" s="1"/>
      <c r="I45" s="1"/>
      <c r="J45" s="1"/>
      <c r="K45" s="63" t="s">
        <v>1</v>
      </c>
      <c r="L45" s="63" t="s">
        <v>102</v>
      </c>
      <c r="M45" s="63" t="s">
        <v>103</v>
      </c>
      <c r="N45" s="63" t="s">
        <v>104</v>
      </c>
      <c r="O45" s="63" t="s">
        <v>105</v>
      </c>
      <c r="P45" s="63" t="s">
        <v>106</v>
      </c>
      <c r="Q45" s="1"/>
      <c r="R45" s="1"/>
      <c r="AC45" s="65" t="s">
        <v>107</v>
      </c>
      <c r="AD45" s="65" t="s">
        <v>108</v>
      </c>
      <c r="AE45" s="65" t="s">
        <v>109</v>
      </c>
      <c r="AF45" s="65" t="s">
        <v>110</v>
      </c>
      <c r="AG45" s="66" t="s">
        <v>111</v>
      </c>
    </row>
    <row r="46" ht="15.75" customHeight="1">
      <c r="A46" s="1"/>
      <c r="B46" s="51">
        <v>8.0</v>
      </c>
      <c r="C46" s="52"/>
      <c r="D46" s="54"/>
      <c r="E46" s="49"/>
      <c r="F46" s="1"/>
      <c r="G46" s="1"/>
      <c r="H46" s="1"/>
      <c r="I46" s="1"/>
      <c r="J46" s="1"/>
      <c r="K46" s="67" t="str">
        <f t="shared" ref="K46:K49" si="2">IF(O39="","",O39)</f>
        <v>AMEL</v>
      </c>
      <c r="L46" s="68">
        <v>5.0</v>
      </c>
      <c r="M46" s="68">
        <v>5.0</v>
      </c>
      <c r="N46" s="68">
        <v>4.0</v>
      </c>
      <c r="O46" s="68">
        <v>5.0</v>
      </c>
      <c r="P46" s="68">
        <v>5.0</v>
      </c>
      <c r="Q46" s="1"/>
      <c r="R46" s="1"/>
      <c r="AC46" s="65">
        <f t="shared" ref="AC46:AC51" si="3">IF(AG46="","",IF(COUNT(L46:P46)&lt;5,"",L46/5*20+M46/5*25+N46/5*25+O46/5*15+P46/5*15))</f>
        <v>95</v>
      </c>
      <c r="AD46" s="65" t="str">
        <f t="shared" ref="AD46:AD51" si="4">IF(AC46="","",IF(AC46&gt;=90,"Sangat Baik",IF(AC46&gt;=80,"Baik",IF(AC46&gt;=70,"Coaching","Underperform"))))</f>
        <v>Sangat Baik</v>
      </c>
      <c r="AE46" s="65" t="str">
        <f t="shared" ref="AE46:AE51" si="5">IF(AG46="","",IF(OR(AG46="INDAH",AG46="ADDEL",AG46="AMEL",AG46="PENTIL",AG46="JIJANG"),"Admin/CS","Fotografer"))</f>
        <v>Admin/CS</v>
      </c>
      <c r="AF46" s="65">
        <f t="shared" ref="AF46:AF51" si="6">IF(OR(AG46="",COUNT(L46:P46)&lt;5),"",1)</f>
        <v>1</v>
      </c>
      <c r="AG46" s="66" t="str">
        <f t="shared" ref="AG46:AG51" si="7">IFERROR(K46,"")</f>
        <v>AMEL</v>
      </c>
    </row>
    <row r="47" ht="15.75" customHeight="1">
      <c r="A47" s="1"/>
      <c r="B47" s="46">
        <v>9.0</v>
      </c>
      <c r="C47" s="47"/>
      <c r="D47" s="48"/>
      <c r="E47" s="49"/>
      <c r="F47" s="1"/>
      <c r="G47" s="1"/>
      <c r="H47" s="1"/>
      <c r="I47" s="1"/>
      <c r="J47" s="1"/>
      <c r="K47" s="67" t="str">
        <f t="shared" si="2"/>
        <v>AMEL</v>
      </c>
      <c r="L47" s="68">
        <v>4.0</v>
      </c>
      <c r="M47" s="68">
        <v>5.0</v>
      </c>
      <c r="N47" s="68">
        <v>3.0</v>
      </c>
      <c r="O47" s="68">
        <v>5.0</v>
      </c>
      <c r="P47" s="68">
        <v>4.0</v>
      </c>
      <c r="Q47" s="1"/>
      <c r="R47" s="1"/>
      <c r="AC47" s="65">
        <f t="shared" si="3"/>
        <v>83</v>
      </c>
      <c r="AD47" s="65" t="str">
        <f t="shared" si="4"/>
        <v>Baik</v>
      </c>
      <c r="AE47" s="65" t="str">
        <f t="shared" si="5"/>
        <v>Admin/CS</v>
      </c>
      <c r="AF47" s="65">
        <f t="shared" si="6"/>
        <v>1</v>
      </c>
      <c r="AG47" s="66" t="str">
        <f t="shared" si="7"/>
        <v>AMEL</v>
      </c>
    </row>
    <row r="48" ht="15.75" customHeight="1">
      <c r="A48" s="1"/>
      <c r="B48" s="51">
        <v>10.0</v>
      </c>
      <c r="C48" s="52"/>
      <c r="D48" s="54"/>
      <c r="E48" s="49"/>
      <c r="F48" s="1"/>
      <c r="G48" s="1"/>
      <c r="H48" s="1"/>
      <c r="I48" s="1"/>
      <c r="J48" s="1"/>
      <c r="K48" s="67" t="str">
        <f t="shared" si="2"/>
        <v>SAKA</v>
      </c>
      <c r="L48" s="68">
        <v>5.0</v>
      </c>
      <c r="M48" s="68">
        <v>5.0</v>
      </c>
      <c r="N48" s="68">
        <v>4.0</v>
      </c>
      <c r="O48" s="68">
        <v>4.0</v>
      </c>
      <c r="P48" s="68">
        <v>5.0</v>
      </c>
      <c r="Q48" s="1"/>
      <c r="R48" s="1"/>
      <c r="AC48" s="65">
        <f t="shared" si="3"/>
        <v>92</v>
      </c>
      <c r="AD48" s="65" t="str">
        <f t="shared" si="4"/>
        <v>Sangat Baik</v>
      </c>
      <c r="AE48" s="65" t="str">
        <f t="shared" si="5"/>
        <v>Fotografer</v>
      </c>
      <c r="AF48" s="65">
        <f t="shared" si="6"/>
        <v>1</v>
      </c>
      <c r="AG48" s="66" t="str">
        <f t="shared" si="7"/>
        <v>SAKA</v>
      </c>
    </row>
    <row r="49" ht="15.75" customHeight="1">
      <c r="A49" s="1"/>
      <c r="B49" s="69">
        <v>11.0</v>
      </c>
      <c r="C49" s="70"/>
      <c r="D49" s="71"/>
      <c r="E49" s="49"/>
      <c r="F49" s="1"/>
      <c r="G49" s="1"/>
      <c r="H49" s="1"/>
      <c r="I49" s="1"/>
      <c r="J49" s="1"/>
      <c r="K49" s="67" t="str">
        <f t="shared" si="2"/>
        <v>ADIF</v>
      </c>
      <c r="L49" s="68">
        <v>5.0</v>
      </c>
      <c r="M49" s="68">
        <v>5.0</v>
      </c>
      <c r="N49" s="68">
        <v>5.0</v>
      </c>
      <c r="O49" s="68">
        <v>5.0</v>
      </c>
      <c r="P49" s="68">
        <v>5.0</v>
      </c>
      <c r="Q49" s="1"/>
      <c r="R49" s="1"/>
      <c r="AC49" s="65">
        <f t="shared" si="3"/>
        <v>100</v>
      </c>
      <c r="AD49" s="65" t="str">
        <f t="shared" si="4"/>
        <v>Sangat Baik</v>
      </c>
      <c r="AE49" s="65" t="str">
        <f t="shared" si="5"/>
        <v>Fotografer</v>
      </c>
      <c r="AF49" s="65">
        <f t="shared" si="6"/>
        <v>1</v>
      </c>
      <c r="AG49" s="66" t="str">
        <f t="shared" si="7"/>
        <v>ADIF</v>
      </c>
    </row>
    <row r="50" ht="15.75" customHeight="1">
      <c r="A50" s="1"/>
      <c r="B50" s="1"/>
      <c r="C50" s="2"/>
      <c r="D50" s="72">
        <f>SUM(D39:D49)</f>
        <v>247000</v>
      </c>
      <c r="E50" s="1"/>
      <c r="F50" s="1"/>
      <c r="G50" s="1"/>
      <c r="H50" s="1"/>
      <c r="I50" s="1"/>
      <c r="J50" s="1"/>
      <c r="K50" s="67"/>
      <c r="L50" s="73"/>
      <c r="M50" s="73"/>
      <c r="N50" s="73"/>
      <c r="O50" s="73"/>
      <c r="P50" s="73"/>
      <c r="Q50" s="1"/>
      <c r="R50" s="1"/>
      <c r="AC50" s="65" t="str">
        <f t="shared" si="3"/>
        <v/>
      </c>
      <c r="AD50" s="65" t="str">
        <f t="shared" si="4"/>
        <v/>
      </c>
      <c r="AE50" s="65" t="str">
        <f t="shared" si="5"/>
        <v/>
      </c>
      <c r="AF50" s="65" t="str">
        <f t="shared" si="6"/>
        <v/>
      </c>
      <c r="AG50" s="66" t="str">
        <f t="shared" si="7"/>
        <v/>
      </c>
    </row>
    <row r="51" ht="15.75" customHeight="1">
      <c r="A51" s="1"/>
      <c r="B51" s="1"/>
      <c r="C51" s="2"/>
      <c r="D51" s="2"/>
      <c r="E51" s="1"/>
      <c r="F51" s="1"/>
      <c r="G51" s="1"/>
      <c r="H51" s="1"/>
      <c r="I51" s="1"/>
      <c r="J51" s="1"/>
      <c r="K51" s="67"/>
      <c r="L51" s="73"/>
      <c r="M51" s="73"/>
      <c r="N51" s="73"/>
      <c r="O51" s="73"/>
      <c r="P51" s="73"/>
      <c r="Q51" s="1"/>
      <c r="R51" s="1"/>
      <c r="AC51" s="65" t="str">
        <f t="shared" si="3"/>
        <v/>
      </c>
      <c r="AD51" s="65" t="str">
        <f t="shared" si="4"/>
        <v/>
      </c>
      <c r="AE51" s="65" t="str">
        <f t="shared" si="5"/>
        <v/>
      </c>
      <c r="AF51" s="65" t="str">
        <f t="shared" si="6"/>
        <v/>
      </c>
      <c r="AG51" s="66" t="str">
        <f t="shared" si="7"/>
        <v/>
      </c>
    </row>
    <row r="52" ht="15.75" customHeight="1">
      <c r="A52" s="1"/>
      <c r="B52" s="1"/>
      <c r="C52" s="2"/>
      <c r="D52" s="2"/>
      <c r="E52" s="1"/>
      <c r="F52" s="1"/>
      <c r="G52" s="1"/>
      <c r="H52" s="1"/>
      <c r="I52" s="1"/>
      <c r="J52" s="1"/>
      <c r="K52" s="74" t="s">
        <v>112</v>
      </c>
      <c r="Q52" s="1"/>
      <c r="R52" s="1"/>
    </row>
    <row r="53" ht="15.75" customHeight="1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5.75" customHeight="1">
      <c r="A54" s="1"/>
      <c r="B54" s="1"/>
      <c r="C54" s="2"/>
      <c r="D54" s="2"/>
      <c r="E54" s="1"/>
      <c r="F54" s="1"/>
      <c r="G54" s="1"/>
      <c r="H54" s="1"/>
      <c r="I54" s="1"/>
      <c r="J54" s="1"/>
      <c r="K54" s="75" t="s">
        <v>113</v>
      </c>
      <c r="N54" s="1"/>
      <c r="O54" s="1"/>
      <c r="P54" s="1"/>
      <c r="Q54" s="1"/>
      <c r="R54" s="1"/>
    </row>
    <row r="55" ht="15.75" customHeight="1">
      <c r="K55" s="76" t="s">
        <v>7</v>
      </c>
      <c r="L55" s="76" t="s">
        <v>114</v>
      </c>
      <c r="M55" s="76" t="s">
        <v>115</v>
      </c>
    </row>
    <row r="56" ht="15.75" customHeight="1">
      <c r="K56" s="77" t="str">
        <f t="shared" ref="K56:K57" si="8">IF(O39="","",O39)</f>
        <v>AMEL</v>
      </c>
      <c r="L56" s="81">
        <v>18.0</v>
      </c>
      <c r="M56" s="78"/>
    </row>
    <row r="57" ht="15.75" customHeight="1">
      <c r="K57" s="77" t="str">
        <f t="shared" si="8"/>
        <v>AMEL</v>
      </c>
      <c r="L57" s="81">
        <v>18.0</v>
      </c>
      <c r="M57" s="78"/>
    </row>
    <row r="58" ht="15.75" customHeight="1"/>
    <row r="59" ht="19.5" customHeight="1">
      <c r="K59" s="79" t="s">
        <v>118</v>
      </c>
    </row>
    <row r="60" ht="19.5" customHeight="1">
      <c r="K60" s="80" t="s">
        <v>119</v>
      </c>
      <c r="M60" s="81">
        <v>18.0</v>
      </c>
    </row>
    <row r="61" ht="19.5" customHeight="1">
      <c r="K61" s="82" t="s">
        <v>120</v>
      </c>
      <c r="M61" s="83">
        <f>COUNTIF($I$4:$I$37,"DP")</f>
        <v>15</v>
      </c>
    </row>
    <row r="62" ht="19.5" customHeight="1">
      <c r="K62" s="82" t="s">
        <v>121</v>
      </c>
      <c r="M62" s="83">
        <f>COUNTIFS($I$4:$I$37,"&lt;&gt;DP",$I$4:$I$37,"&lt;&gt;")</f>
        <v>12</v>
      </c>
    </row>
    <row r="63" ht="19.5" customHeight="1">
      <c r="K63" s="84" t="s">
        <v>122</v>
      </c>
      <c r="M63" s="83">
        <f>M61+M62</f>
        <v>27</v>
      </c>
    </row>
    <row r="64" ht="19.5" customHeight="1">
      <c r="K64" s="80" t="s">
        <v>123</v>
      </c>
      <c r="M64" s="85">
        <f>IF(OR(M60="",M60=0),"",M61/M60)</f>
        <v>0.8333333333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60:L60"/>
    <mergeCell ref="K61:L61"/>
    <mergeCell ref="K62:L62"/>
    <mergeCell ref="K63:L63"/>
    <mergeCell ref="K64:L64"/>
    <mergeCell ref="L2:L3"/>
    <mergeCell ref="M2:M3"/>
    <mergeCell ref="N2:P2"/>
    <mergeCell ref="K44:P44"/>
    <mergeCell ref="K52:P52"/>
    <mergeCell ref="K54:M54"/>
    <mergeCell ref="K59:M59"/>
  </mergeCells>
  <conditionalFormatting sqref="I4:I37">
    <cfRule type="expression" dxfId="0" priority="1">
      <formula>I4="DP"</formula>
    </cfRule>
  </conditionalFormatting>
  <conditionalFormatting sqref="I4:I37">
    <cfRule type="expression" dxfId="1" priority="2">
      <formula>I4="Lunas"</formula>
    </cfRule>
  </conditionalFormatting>
  <conditionalFormatting sqref="J4:K37">
    <cfRule type="expression" dxfId="2" priority="3">
      <formula>OR(J4="Uploaded",J4="Delivered")</formula>
    </cfRule>
  </conditionalFormatting>
  <dataValidations>
    <dataValidation type="list" allowBlank="1" showDropDown="1" showErrorMessage="1" sqref="I4:I34">
      <formula1>"-,DP,Lunas"</formula1>
    </dataValidation>
    <dataValidation type="list" allowBlank="1" sqref="L46:P51">
      <formula1>"1,2,3,4,5"</formula1>
    </dataValidation>
    <dataValidation type="list" allowBlank="1" showDropDown="1" showErrorMessage="1" sqref="J4:K34">
      <formula1>"-,Pending,Uploaded"</formula1>
    </dataValidation>
    <dataValidation type="list" allowBlank="1" sqref="K46:K51">
      <formula1>'Resume Karyawan KPI'!$AK$5:$AK$15</formula1>
    </dataValidation>
    <dataValidation type="list" allowBlank="1" showDropDown="1" showErrorMessage="1" sqref="M4:M34">
      <formula1>"-,VERO,FADEL,PENTIL,ADIF,HANIF,SAKA"</formula1>
    </dataValidation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qref="O39:O42">
      <formula1>"INDAH,ADDEL,AMEL,PENTIL,JIJANG,HANIF,FAHME,ADIF,ABROR,FADEL,SAKA"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L4:L34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8.0"/>
    <col customWidth="1" min="5" max="5" width="15.63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378</v>
      </c>
      <c r="D4" s="95" t="s">
        <v>126</v>
      </c>
      <c r="E4" s="14"/>
      <c r="F4" s="92" t="s">
        <v>380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382</v>
      </c>
      <c r="D5" s="95" t="s">
        <v>23</v>
      </c>
      <c r="E5" s="14"/>
      <c r="F5" s="92" t="s">
        <v>248</v>
      </c>
      <c r="G5" s="34"/>
      <c r="H5" s="97">
        <v>100000.0</v>
      </c>
      <c r="I5" s="92" t="s">
        <v>28</v>
      </c>
      <c r="J5" s="15"/>
      <c r="K5" s="15"/>
      <c r="L5" s="92" t="s">
        <v>29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384</v>
      </c>
      <c r="D6" s="95" t="s">
        <v>24</v>
      </c>
      <c r="E6" s="14"/>
      <c r="F6" s="92" t="s">
        <v>380</v>
      </c>
      <c r="G6" s="34"/>
      <c r="H6" s="97">
        <v>100000.0</v>
      </c>
      <c r="I6" s="92" t="s">
        <v>28</v>
      </c>
      <c r="J6" s="15"/>
      <c r="K6" s="15"/>
      <c r="L6" s="92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359</v>
      </c>
      <c r="D7" s="95" t="s">
        <v>60</v>
      </c>
      <c r="E7" s="100" t="s">
        <v>387</v>
      </c>
      <c r="F7" s="92" t="s">
        <v>380</v>
      </c>
      <c r="G7" s="101">
        <v>100000.0</v>
      </c>
      <c r="H7" s="35"/>
      <c r="I7" s="92" t="s">
        <v>35</v>
      </c>
      <c r="J7" s="92" t="s">
        <v>36</v>
      </c>
      <c r="K7" s="92" t="s">
        <v>36</v>
      </c>
      <c r="L7" s="92" t="s">
        <v>29</v>
      </c>
      <c r="M7" s="92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389</v>
      </c>
      <c r="D8" s="95" t="s">
        <v>22</v>
      </c>
      <c r="E8" s="14"/>
      <c r="F8" s="92" t="s">
        <v>390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391</v>
      </c>
      <c r="D9" s="95" t="s">
        <v>23</v>
      </c>
      <c r="E9" s="14"/>
      <c r="F9" s="111">
        <v>46258.0</v>
      </c>
      <c r="G9" s="101">
        <v>225000.0</v>
      </c>
      <c r="H9" s="35"/>
      <c r="I9" s="92" t="s">
        <v>35</v>
      </c>
      <c r="J9" s="92" t="s">
        <v>36</v>
      </c>
      <c r="K9" s="92" t="s">
        <v>77</v>
      </c>
      <c r="L9" s="92" t="s">
        <v>30</v>
      </c>
      <c r="M9" s="92" t="s">
        <v>37</v>
      </c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394</v>
      </c>
      <c r="D10" s="95" t="s">
        <v>24</v>
      </c>
      <c r="E10" s="14"/>
      <c r="F10" s="111">
        <v>46258.0</v>
      </c>
      <c r="G10" s="101">
        <v>250000.0</v>
      </c>
      <c r="H10" s="97"/>
      <c r="I10" s="92" t="s">
        <v>35</v>
      </c>
      <c r="J10" s="92" t="s">
        <v>36</v>
      </c>
      <c r="K10" s="92" t="s">
        <v>77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378</v>
      </c>
      <c r="D11" s="95" t="s">
        <v>23</v>
      </c>
      <c r="E11" s="14"/>
      <c r="F11" s="111">
        <v>46258.0</v>
      </c>
      <c r="G11" s="34"/>
      <c r="H11" s="97">
        <v>100000.0</v>
      </c>
      <c r="I11" s="92" t="s">
        <v>35</v>
      </c>
      <c r="J11" s="92" t="s">
        <v>36</v>
      </c>
      <c r="K11" s="92" t="s">
        <v>36</v>
      </c>
      <c r="L11" s="92" t="s">
        <v>30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288</v>
      </c>
      <c r="D12" s="95" t="s">
        <v>23</v>
      </c>
      <c r="E12" s="14"/>
      <c r="F12" s="111">
        <v>46258.0</v>
      </c>
      <c r="G12" s="101">
        <v>700000.0</v>
      </c>
      <c r="H12" s="35"/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396</v>
      </c>
      <c r="D13" s="95" t="s">
        <v>23</v>
      </c>
      <c r="E13" s="14"/>
      <c r="F13" s="111">
        <v>46258.0</v>
      </c>
      <c r="G13" s="34"/>
      <c r="H13" s="97">
        <v>400000.0</v>
      </c>
      <c r="I13" s="92" t="s">
        <v>35</v>
      </c>
      <c r="J13" s="92" t="s">
        <v>36</v>
      </c>
      <c r="K13" s="92" t="s">
        <v>36</v>
      </c>
      <c r="L13" s="92" t="s">
        <v>30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398</v>
      </c>
      <c r="D14" s="95" t="s">
        <v>195</v>
      </c>
      <c r="E14" s="14"/>
      <c r="F14" s="111">
        <v>46298.0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402</v>
      </c>
      <c r="D15" s="95" t="s">
        <v>23</v>
      </c>
      <c r="E15" s="14"/>
      <c r="F15" s="111">
        <v>46258.0</v>
      </c>
      <c r="G15" s="34"/>
      <c r="H15" s="97">
        <v>600000.0</v>
      </c>
      <c r="I15" s="92" t="s">
        <v>35</v>
      </c>
      <c r="J15" s="92" t="s">
        <v>36</v>
      </c>
      <c r="K15" s="92" t="s">
        <v>77</v>
      </c>
      <c r="L15" s="92" t="s">
        <v>30</v>
      </c>
      <c r="M15" s="92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404</v>
      </c>
      <c r="D16" s="95" t="s">
        <v>23</v>
      </c>
      <c r="E16" s="14"/>
      <c r="F16" s="111">
        <v>46258.0</v>
      </c>
      <c r="G16" s="34"/>
      <c r="H16" s="97">
        <v>200000.0</v>
      </c>
      <c r="I16" s="92" t="s">
        <v>35</v>
      </c>
      <c r="J16" s="92" t="s">
        <v>36</v>
      </c>
      <c r="K16" s="92" t="s">
        <v>36</v>
      </c>
      <c r="L16" s="92" t="s">
        <v>30</v>
      </c>
      <c r="M16" s="92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313</v>
      </c>
      <c r="D17" s="95" t="s">
        <v>23</v>
      </c>
      <c r="E17" s="14"/>
      <c r="F17" s="98">
        <v>46258.0</v>
      </c>
      <c r="G17" s="34"/>
      <c r="H17" s="97">
        <v>550000.0</v>
      </c>
      <c r="I17" s="92" t="s">
        <v>35</v>
      </c>
      <c r="J17" s="92" t="s">
        <v>36</v>
      </c>
      <c r="K17" s="92" t="s">
        <v>77</v>
      </c>
      <c r="L17" s="92" t="s">
        <v>30</v>
      </c>
      <c r="M17" s="92" t="s">
        <v>47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406</v>
      </c>
      <c r="D18" s="95" t="s">
        <v>23</v>
      </c>
      <c r="E18" s="14"/>
      <c r="F18" s="98">
        <v>46258.0</v>
      </c>
      <c r="G18" s="34"/>
      <c r="H18" s="97">
        <v>100000.0</v>
      </c>
      <c r="I18" s="92" t="s">
        <v>28</v>
      </c>
      <c r="J18" s="15"/>
      <c r="K18" s="15"/>
      <c r="L18" s="92" t="s">
        <v>30</v>
      </c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408</v>
      </c>
      <c r="D19" s="95" t="s">
        <v>22</v>
      </c>
      <c r="E19" s="14"/>
      <c r="F19" s="111">
        <v>46299.0</v>
      </c>
      <c r="G19" s="34"/>
      <c r="H19" s="97">
        <v>100000.0</v>
      </c>
      <c r="I19" s="92" t="s">
        <v>28</v>
      </c>
      <c r="J19" s="15"/>
      <c r="K19" s="15"/>
      <c r="L19" s="92" t="s">
        <v>30</v>
      </c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360</v>
      </c>
      <c r="D20" s="95" t="s">
        <v>23</v>
      </c>
      <c r="E20" s="14"/>
      <c r="F20" s="98">
        <v>46258.0</v>
      </c>
      <c r="G20" s="101">
        <v>225000.0</v>
      </c>
      <c r="H20" s="35"/>
      <c r="I20" s="92" t="s">
        <v>35</v>
      </c>
      <c r="J20" s="92" t="s">
        <v>36</v>
      </c>
      <c r="K20" s="92" t="s">
        <v>77</v>
      </c>
      <c r="L20" s="92" t="s">
        <v>30</v>
      </c>
      <c r="M20" s="92" t="s">
        <v>47</v>
      </c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411</v>
      </c>
      <c r="D21" s="95" t="s">
        <v>130</v>
      </c>
      <c r="E21" s="14"/>
      <c r="F21" s="98">
        <v>46258.0</v>
      </c>
      <c r="G21" s="34"/>
      <c r="H21" s="97">
        <v>430000.0</v>
      </c>
      <c r="I21" s="92" t="s">
        <v>35</v>
      </c>
      <c r="J21" s="92" t="s">
        <v>36</v>
      </c>
      <c r="K21" s="92" t="s">
        <v>77</v>
      </c>
      <c r="L21" s="92" t="s">
        <v>30</v>
      </c>
      <c r="M21" s="92" t="s">
        <v>47</v>
      </c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/>
      <c r="D22" s="95"/>
      <c r="E22" s="14"/>
      <c r="F22" s="98"/>
      <c r="G22" s="34"/>
      <c r="H22" s="97"/>
      <c r="I22" s="92"/>
      <c r="J22" s="15"/>
      <c r="K22" s="15"/>
      <c r="L22" s="15"/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32"/>
      <c r="D23" s="16"/>
      <c r="E23" s="14"/>
      <c r="F23" s="33"/>
      <c r="G23" s="34"/>
      <c r="H23" s="35"/>
      <c r="I23" s="15"/>
      <c r="J23" s="15"/>
      <c r="K23" s="15"/>
      <c r="L23" s="15"/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32"/>
      <c r="D24" s="16"/>
      <c r="E24" s="14"/>
      <c r="F24" s="33"/>
      <c r="G24" s="34"/>
      <c r="H24" s="35"/>
      <c r="I24" s="15"/>
      <c r="J24" s="15"/>
      <c r="K24" s="15"/>
      <c r="L24" s="15"/>
      <c r="M24" s="15"/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32"/>
      <c r="D25" s="16"/>
      <c r="E25" s="14"/>
      <c r="F25" s="33"/>
      <c r="G25" s="34"/>
      <c r="H25" s="35"/>
      <c r="I25" s="15"/>
      <c r="J25" s="15"/>
      <c r="K25" s="15"/>
      <c r="L25" s="15"/>
      <c r="M25" s="15"/>
      <c r="N25" s="29"/>
      <c r="O25" s="29"/>
      <c r="P25" s="29"/>
      <c r="Q25" s="1"/>
      <c r="R25" s="1"/>
    </row>
    <row r="26" ht="15.75" customHeight="1">
      <c r="A26" s="1"/>
      <c r="B26" s="15">
        <v>23.0</v>
      </c>
      <c r="C26" s="31"/>
      <c r="D26" s="16"/>
      <c r="E26" s="14"/>
      <c r="F26" s="33"/>
      <c r="G26" s="34"/>
      <c r="H26" s="35"/>
      <c r="I26" s="15"/>
      <c r="J26" s="15"/>
      <c r="K26" s="15"/>
      <c r="L26" s="15"/>
      <c r="M26" s="15"/>
      <c r="N26" s="29"/>
      <c r="O26" s="29"/>
      <c r="P26" s="29"/>
      <c r="Q26" s="1"/>
      <c r="R26" s="1"/>
    </row>
    <row r="27" ht="15.75" customHeight="1">
      <c r="A27" s="1"/>
      <c r="B27" s="15">
        <v>24.0</v>
      </c>
      <c r="C27" s="32"/>
      <c r="D27" s="16"/>
      <c r="E27" s="14"/>
      <c r="F27" s="33"/>
      <c r="G27" s="34"/>
      <c r="H27" s="35"/>
      <c r="I27" s="15"/>
      <c r="J27" s="15"/>
      <c r="K27" s="15"/>
      <c r="L27" s="15"/>
      <c r="M27" s="15"/>
      <c r="N27" s="41"/>
      <c r="O27" s="41"/>
      <c r="P27" s="41"/>
      <c r="Q27" s="1"/>
      <c r="R27" s="1"/>
    </row>
    <row r="28" ht="18.75" customHeight="1">
      <c r="A28" s="1"/>
      <c r="B28" s="1"/>
      <c r="C28" s="2"/>
      <c r="D28" s="2"/>
      <c r="E28" s="1"/>
      <c r="F28" s="1"/>
      <c r="G28" s="42">
        <f t="shared" ref="G28:H28" si="1">SUM(G4:G27)</f>
        <v>1500000</v>
      </c>
      <c r="H28" s="43">
        <f t="shared" si="1"/>
        <v>2980000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23.25" customHeight="1">
      <c r="A29" s="1"/>
      <c r="B29" s="1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5.75" customHeight="1">
      <c r="A30" s="1"/>
      <c r="B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5.75" customHeight="1">
      <c r="A31" s="1"/>
      <c r="B31" s="44" t="s">
        <v>0</v>
      </c>
      <c r="C31" s="45" t="s">
        <v>6</v>
      </c>
      <c r="D31" s="45" t="s">
        <v>88</v>
      </c>
      <c r="E31" s="1"/>
      <c r="F31" s="1"/>
      <c r="G31" s="1"/>
      <c r="H31" s="1"/>
      <c r="I31" s="1"/>
      <c r="J31" s="1"/>
      <c r="K31" s="1"/>
      <c r="L31" s="1"/>
      <c r="M31" s="1"/>
      <c r="N31" s="45" t="s">
        <v>89</v>
      </c>
      <c r="O31" s="45" t="s">
        <v>1</v>
      </c>
      <c r="P31" s="1"/>
      <c r="Q31" s="1"/>
      <c r="R31" s="1"/>
    </row>
    <row r="32" ht="15.75" customHeight="1">
      <c r="A32" s="1"/>
      <c r="B32" s="46">
        <v>1.0</v>
      </c>
      <c r="C32" s="47" t="s">
        <v>90</v>
      </c>
      <c r="D32" s="48">
        <f>SUM(G28)</f>
        <v>1500000</v>
      </c>
      <c r="E32" s="49"/>
      <c r="F32" s="1"/>
      <c r="G32" s="1"/>
      <c r="H32" s="1"/>
      <c r="I32" s="1"/>
      <c r="J32" s="1"/>
      <c r="K32" s="1"/>
      <c r="L32" s="1"/>
      <c r="M32" s="1"/>
      <c r="N32" s="50" t="s">
        <v>91</v>
      </c>
      <c r="O32" s="109" t="s">
        <v>29</v>
      </c>
      <c r="P32" s="1"/>
      <c r="Q32" s="1"/>
      <c r="R32" s="1"/>
    </row>
    <row r="33" ht="15.75" customHeight="1">
      <c r="A33" s="1"/>
      <c r="B33" s="51">
        <v>2.0</v>
      </c>
      <c r="C33" s="52"/>
      <c r="D33" s="54"/>
      <c r="E33" s="49"/>
      <c r="F33" s="1"/>
      <c r="G33" s="1"/>
      <c r="H33" s="1"/>
      <c r="I33" s="1"/>
      <c r="J33" s="1"/>
      <c r="K33" s="1"/>
      <c r="L33" s="1"/>
      <c r="M33" s="1"/>
      <c r="N33" s="56" t="s">
        <v>93</v>
      </c>
      <c r="O33" s="105" t="s">
        <v>30</v>
      </c>
      <c r="P33" s="1"/>
      <c r="Q33" s="1"/>
      <c r="R33" s="1"/>
    </row>
    <row r="34" ht="15.75" customHeight="1">
      <c r="A34" s="1"/>
      <c r="B34" s="46">
        <v>3.0</v>
      </c>
      <c r="C34" s="47"/>
      <c r="D34" s="48"/>
      <c r="E34" s="49"/>
      <c r="F34" s="1"/>
      <c r="G34" s="1"/>
      <c r="H34" s="1"/>
      <c r="I34" s="1"/>
      <c r="J34" s="1"/>
      <c r="K34" s="1"/>
      <c r="L34" s="1"/>
      <c r="M34" s="1"/>
      <c r="N34" s="59" t="s">
        <v>95</v>
      </c>
      <c r="O34" s="110" t="s">
        <v>37</v>
      </c>
      <c r="P34" s="1"/>
      <c r="Q34" s="1"/>
      <c r="R34" s="1"/>
    </row>
    <row r="35" ht="15.75" customHeight="1">
      <c r="A35" s="1"/>
      <c r="B35" s="51">
        <v>4.0</v>
      </c>
      <c r="C35" s="52"/>
      <c r="D35" s="54"/>
      <c r="E35" s="49"/>
      <c r="F35" s="1"/>
      <c r="G35" s="1"/>
      <c r="H35" s="1"/>
      <c r="I35" s="1"/>
      <c r="J35" s="1"/>
      <c r="K35" s="1"/>
      <c r="L35" s="1"/>
      <c r="M35" s="1"/>
      <c r="N35" s="60" t="s">
        <v>98</v>
      </c>
      <c r="O35" s="105" t="s">
        <v>47</v>
      </c>
      <c r="P35" s="1"/>
      <c r="Q35" s="1"/>
      <c r="R35" s="1"/>
    </row>
    <row r="36" ht="15.75" customHeight="1">
      <c r="A36" s="1"/>
      <c r="B36" s="46">
        <v>5.0</v>
      </c>
      <c r="C36" s="47"/>
      <c r="D36" s="48"/>
      <c r="E36" s="49"/>
      <c r="F36" s="1"/>
      <c r="G36" s="1"/>
      <c r="H36" s="1"/>
      <c r="I36" s="1"/>
      <c r="J36" s="1"/>
      <c r="K36" s="1"/>
      <c r="L36" s="1"/>
      <c r="M36" s="1"/>
      <c r="N36" s="61"/>
      <c r="O36" s="1"/>
      <c r="P36" s="1"/>
      <c r="Q36" s="1"/>
      <c r="R36" s="1"/>
    </row>
    <row r="37" ht="15.75" customHeight="1">
      <c r="A37" s="1"/>
      <c r="B37" s="51">
        <v>6.0</v>
      </c>
      <c r="C37" s="52"/>
      <c r="D37" s="54"/>
      <c r="E37" s="49"/>
      <c r="F37" s="1"/>
      <c r="G37" s="1"/>
      <c r="H37" s="1"/>
      <c r="I37" s="1"/>
      <c r="J37" s="1"/>
      <c r="K37" s="62" t="s">
        <v>100</v>
      </c>
      <c r="Q37" s="1"/>
      <c r="R37" s="1"/>
    </row>
    <row r="38" ht="15.75" customHeight="1">
      <c r="A38" s="1"/>
      <c r="B38" s="46">
        <v>7.0</v>
      </c>
      <c r="C38" s="47"/>
      <c r="D38" s="48"/>
      <c r="E38" s="49"/>
      <c r="F38" s="1"/>
      <c r="G38" s="1"/>
      <c r="H38" s="1"/>
      <c r="I38" s="1"/>
      <c r="J38" s="1"/>
      <c r="K38" s="63" t="s">
        <v>1</v>
      </c>
      <c r="L38" s="63" t="s">
        <v>102</v>
      </c>
      <c r="M38" s="63" t="s">
        <v>103</v>
      </c>
      <c r="N38" s="63" t="s">
        <v>104</v>
      </c>
      <c r="O38" s="63" t="s">
        <v>105</v>
      </c>
      <c r="P38" s="63" t="s">
        <v>106</v>
      </c>
      <c r="Q38" s="1"/>
      <c r="R38" s="1"/>
      <c r="AC38" s="65" t="s">
        <v>107</v>
      </c>
      <c r="AD38" s="65" t="s">
        <v>108</v>
      </c>
      <c r="AE38" s="65" t="s">
        <v>109</v>
      </c>
      <c r="AF38" s="65" t="s">
        <v>110</v>
      </c>
      <c r="AG38" s="66" t="s">
        <v>111</v>
      </c>
    </row>
    <row r="39" ht="15.75" customHeight="1">
      <c r="A39" s="1"/>
      <c r="B39" s="51">
        <v>8.0</v>
      </c>
      <c r="C39" s="52"/>
      <c r="D39" s="54"/>
      <c r="E39" s="49"/>
      <c r="F39" s="1"/>
      <c r="G39" s="1"/>
      <c r="H39" s="1"/>
      <c r="I39" s="1"/>
      <c r="J39" s="1"/>
      <c r="K39" s="67" t="str">
        <f t="shared" ref="K39:K42" si="2">IF(O32="","",O32)</f>
        <v>AMEL</v>
      </c>
      <c r="L39" s="68">
        <v>5.0</v>
      </c>
      <c r="M39" s="68">
        <v>5.0</v>
      </c>
      <c r="N39" s="68">
        <v>5.0</v>
      </c>
      <c r="O39" s="68">
        <v>5.0</v>
      </c>
      <c r="P39" s="68">
        <v>4.0</v>
      </c>
      <c r="Q39" s="1"/>
      <c r="R39" s="1"/>
      <c r="AC39" s="65">
        <f t="shared" ref="AC39:AC44" si="3">IF(AG39="","",IF(COUNT(L39:P39)&lt;5,"",L39/5*20+M39/5*25+N39/5*25+O39/5*15+P39/5*15))</f>
        <v>97</v>
      </c>
      <c r="AD39" s="65" t="str">
        <f t="shared" ref="AD39:AD44" si="4">IF(AC39="","",IF(AC39&gt;=90,"Sangat Baik",IF(AC39&gt;=80,"Baik",IF(AC39&gt;=70,"Coaching","Underperform"))))</f>
        <v>Sangat Baik</v>
      </c>
      <c r="AE39" s="65" t="str">
        <f t="shared" ref="AE39:AE44" si="5">IF(AG39="","",IF(OR(AG39="INDAH",AG39="ADDEL",AG39="AMEL",AG39="PENTIL",AG39="JIJANG"),"Admin/CS","Fotografer"))</f>
        <v>Admin/CS</v>
      </c>
      <c r="AF39" s="65">
        <f t="shared" ref="AF39:AF44" si="6">IF(OR(AG39="",COUNT(L39:P39)&lt;5),"",1)</f>
        <v>1</v>
      </c>
      <c r="AG39" s="66" t="str">
        <f t="shared" ref="AG39:AG44" si="7">IFERROR(K39,"")</f>
        <v>AMEL</v>
      </c>
    </row>
    <row r="40" ht="15.75" customHeight="1">
      <c r="A40" s="1"/>
      <c r="B40" s="46">
        <v>9.0</v>
      </c>
      <c r="C40" s="47"/>
      <c r="D40" s="48"/>
      <c r="E40" s="49"/>
      <c r="F40" s="1"/>
      <c r="G40" s="1"/>
      <c r="H40" s="1"/>
      <c r="I40" s="1"/>
      <c r="J40" s="1"/>
      <c r="K40" s="67" t="str">
        <f t="shared" si="2"/>
        <v>INDAH</v>
      </c>
      <c r="L40" s="68">
        <v>5.0</v>
      </c>
      <c r="M40" s="68">
        <v>5.0</v>
      </c>
      <c r="N40" s="68">
        <v>5.0</v>
      </c>
      <c r="O40" s="68">
        <v>5.0</v>
      </c>
      <c r="P40" s="68">
        <v>5.0</v>
      </c>
      <c r="Q40" s="1"/>
      <c r="R40" s="1"/>
      <c r="AC40" s="65">
        <f t="shared" si="3"/>
        <v>100</v>
      </c>
      <c r="AD40" s="65" t="str">
        <f t="shared" si="4"/>
        <v>Sangat Baik</v>
      </c>
      <c r="AE40" s="65" t="str">
        <f t="shared" si="5"/>
        <v>Admin/CS</v>
      </c>
      <c r="AF40" s="65">
        <f t="shared" si="6"/>
        <v>1</v>
      </c>
      <c r="AG40" s="66" t="str">
        <f t="shared" si="7"/>
        <v>INDAH</v>
      </c>
    </row>
    <row r="41" ht="15.75" customHeight="1">
      <c r="A41" s="1"/>
      <c r="B41" s="51">
        <v>10.0</v>
      </c>
      <c r="C41" s="52"/>
      <c r="D41" s="54"/>
      <c r="E41" s="49"/>
      <c r="F41" s="1"/>
      <c r="G41" s="1"/>
      <c r="H41" s="1"/>
      <c r="I41" s="1"/>
      <c r="J41" s="1"/>
      <c r="K41" s="67" t="str">
        <f t="shared" si="2"/>
        <v>ADIF</v>
      </c>
      <c r="L41" s="68">
        <v>5.0</v>
      </c>
      <c r="M41" s="68">
        <v>5.0</v>
      </c>
      <c r="N41" s="68">
        <v>5.0</v>
      </c>
      <c r="O41" s="68">
        <v>5.0</v>
      </c>
      <c r="P41" s="68">
        <v>5.0</v>
      </c>
      <c r="Q41" s="1"/>
      <c r="R41" s="1"/>
      <c r="AC41" s="65">
        <f t="shared" si="3"/>
        <v>100</v>
      </c>
      <c r="AD41" s="65" t="str">
        <f t="shared" si="4"/>
        <v>Sangat Baik</v>
      </c>
      <c r="AE41" s="65" t="str">
        <f t="shared" si="5"/>
        <v>Fotografer</v>
      </c>
      <c r="AF41" s="65">
        <f t="shared" si="6"/>
        <v>1</v>
      </c>
      <c r="AG41" s="66" t="str">
        <f t="shared" si="7"/>
        <v>ADIF</v>
      </c>
    </row>
    <row r="42" ht="15.75" customHeight="1">
      <c r="A42" s="1"/>
      <c r="B42" s="69">
        <v>11.0</v>
      </c>
      <c r="C42" s="70"/>
      <c r="D42" s="71"/>
      <c r="E42" s="49"/>
      <c r="F42" s="1"/>
      <c r="G42" s="1"/>
      <c r="H42" s="1"/>
      <c r="I42" s="1"/>
      <c r="J42" s="1"/>
      <c r="K42" s="67" t="str">
        <f t="shared" si="2"/>
        <v>SAKA</v>
      </c>
      <c r="L42" s="68">
        <v>5.0</v>
      </c>
      <c r="M42" s="68">
        <v>5.0</v>
      </c>
      <c r="N42" s="68">
        <v>5.0</v>
      </c>
      <c r="O42" s="68">
        <v>5.0</v>
      </c>
      <c r="P42" s="68">
        <v>5.0</v>
      </c>
      <c r="Q42" s="1"/>
      <c r="R42" s="1"/>
      <c r="AC42" s="65">
        <f t="shared" si="3"/>
        <v>100</v>
      </c>
      <c r="AD42" s="65" t="str">
        <f t="shared" si="4"/>
        <v>Sangat Baik</v>
      </c>
      <c r="AE42" s="65" t="str">
        <f t="shared" si="5"/>
        <v>Fotografer</v>
      </c>
      <c r="AF42" s="65">
        <f t="shared" si="6"/>
        <v>1</v>
      </c>
      <c r="AG42" s="66" t="str">
        <f t="shared" si="7"/>
        <v>SAKA</v>
      </c>
    </row>
    <row r="43" ht="15.75" customHeight="1">
      <c r="A43" s="1"/>
      <c r="B43" s="1"/>
      <c r="C43" s="2"/>
      <c r="D43" s="72">
        <f>SUM(D32:D42)</f>
        <v>1500000</v>
      </c>
      <c r="E43" s="1"/>
      <c r="F43" s="1"/>
      <c r="G43" s="1"/>
      <c r="H43" s="1"/>
      <c r="I43" s="1"/>
      <c r="J43" s="1"/>
      <c r="K43" s="67"/>
      <c r="L43" s="73"/>
      <c r="M43" s="73"/>
      <c r="N43" s="73"/>
      <c r="O43" s="73"/>
      <c r="P43" s="73"/>
      <c r="Q43" s="1"/>
      <c r="R43" s="1"/>
      <c r="AC43" s="65" t="str">
        <f t="shared" si="3"/>
        <v/>
      </c>
      <c r="AD43" s="65" t="str">
        <f t="shared" si="4"/>
        <v/>
      </c>
      <c r="AE43" s="65" t="str">
        <f t="shared" si="5"/>
        <v/>
      </c>
      <c r="AF43" s="65" t="str">
        <f t="shared" si="6"/>
        <v/>
      </c>
      <c r="AG43" s="66" t="str">
        <f t="shared" si="7"/>
        <v/>
      </c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67"/>
      <c r="L44" s="73"/>
      <c r="M44" s="73"/>
      <c r="N44" s="73"/>
      <c r="O44" s="73"/>
      <c r="P44" s="73"/>
      <c r="Q44" s="1"/>
      <c r="R44" s="1"/>
      <c r="AC44" s="65" t="str">
        <f t="shared" si="3"/>
        <v/>
      </c>
      <c r="AD44" s="65" t="str">
        <f t="shared" si="4"/>
        <v/>
      </c>
      <c r="AE44" s="65" t="str">
        <f t="shared" si="5"/>
        <v/>
      </c>
      <c r="AF44" s="65" t="str">
        <f t="shared" si="6"/>
        <v/>
      </c>
      <c r="AG44" s="66" t="str">
        <f t="shared" si="7"/>
        <v/>
      </c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4" t="s">
        <v>112</v>
      </c>
      <c r="Q45" s="1"/>
      <c r="R45" s="1"/>
    </row>
    <row r="46" ht="15.75" customHeight="1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2"/>
      <c r="D47" s="2"/>
      <c r="E47" s="1"/>
      <c r="F47" s="1"/>
      <c r="G47" s="1"/>
      <c r="H47" s="1"/>
      <c r="I47" s="1"/>
      <c r="J47" s="1"/>
      <c r="K47" s="75" t="s">
        <v>113</v>
      </c>
      <c r="N47" s="1"/>
      <c r="O47" s="1"/>
      <c r="P47" s="1"/>
      <c r="Q47" s="1"/>
      <c r="R47" s="1"/>
    </row>
    <row r="48" ht="15.75" customHeight="1">
      <c r="K48" s="76" t="s">
        <v>7</v>
      </c>
      <c r="L48" s="76" t="s">
        <v>114</v>
      </c>
      <c r="M48" s="76" t="s">
        <v>115</v>
      </c>
    </row>
    <row r="49" ht="15.75" customHeight="1">
      <c r="K49" s="77" t="str">
        <f t="shared" ref="K49:K50" si="8">IF(O32="","",O32)</f>
        <v>AMEL</v>
      </c>
      <c r="L49" s="81">
        <v>4.0</v>
      </c>
      <c r="M49" s="81" t="s">
        <v>116</v>
      </c>
    </row>
    <row r="50" ht="15.75" customHeight="1">
      <c r="K50" s="77" t="str">
        <f t="shared" si="8"/>
        <v>INDAH</v>
      </c>
      <c r="L50" s="81">
        <v>2.0</v>
      </c>
      <c r="M50" s="81" t="s">
        <v>117</v>
      </c>
    </row>
    <row r="51" ht="15.75" customHeight="1"/>
    <row r="52" ht="19.5" customHeight="1">
      <c r="K52" s="79" t="s">
        <v>118</v>
      </c>
    </row>
    <row r="53" ht="19.5" customHeight="1">
      <c r="K53" s="80" t="s">
        <v>119</v>
      </c>
      <c r="M53" s="81">
        <v>37.0</v>
      </c>
    </row>
    <row r="54" ht="19.5" customHeight="1">
      <c r="K54" s="82" t="s">
        <v>120</v>
      </c>
      <c r="M54" s="83">
        <f>COUNTIF($I$4:$I$30,"DP")</f>
        <v>7</v>
      </c>
    </row>
    <row r="55" ht="19.5" customHeight="1">
      <c r="K55" s="82" t="s">
        <v>121</v>
      </c>
      <c r="M55" s="83">
        <f>COUNTIFS($I$4:$I$30,"&lt;&gt;DP",$I$4:$I$30,"&lt;&gt;")</f>
        <v>11</v>
      </c>
    </row>
    <row r="56" ht="19.5" customHeight="1">
      <c r="K56" s="84" t="s">
        <v>122</v>
      </c>
      <c r="M56" s="83">
        <f>M54+M55</f>
        <v>18</v>
      </c>
    </row>
    <row r="57" ht="19.5" customHeight="1">
      <c r="K57" s="80" t="s">
        <v>123</v>
      </c>
      <c r="M57" s="85">
        <f>IF(OR(M53="",M53=0),"",M54/M53)</f>
        <v>0.1891891892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3:L53"/>
    <mergeCell ref="K54:L54"/>
    <mergeCell ref="K55:L55"/>
    <mergeCell ref="K56:L56"/>
    <mergeCell ref="K57:L57"/>
    <mergeCell ref="L2:L3"/>
    <mergeCell ref="M2:M3"/>
    <mergeCell ref="N2:P2"/>
    <mergeCell ref="K37:P37"/>
    <mergeCell ref="K45:P45"/>
    <mergeCell ref="K47:M47"/>
    <mergeCell ref="K52:M52"/>
  </mergeCells>
  <conditionalFormatting sqref="I4:I30">
    <cfRule type="expression" dxfId="0" priority="1">
      <formula>I4="DP"</formula>
    </cfRule>
  </conditionalFormatting>
  <conditionalFormatting sqref="I4:I30">
    <cfRule type="expression" dxfId="1" priority="2">
      <formula>I4="Lunas"</formula>
    </cfRule>
  </conditionalFormatting>
  <conditionalFormatting sqref="J4:K30">
    <cfRule type="expression" dxfId="2" priority="3">
      <formula>OR(J4="Uploaded",J4="Delivered")</formula>
    </cfRule>
  </conditionalFormatting>
  <dataValidations>
    <dataValidation type="list" allowBlank="1" showDropDown="1" showErrorMessage="1" sqref="I4:I27">
      <formula1>"-,DP,Lunas"</formula1>
    </dataValidation>
    <dataValidation type="list" allowBlank="1" sqref="L39:P44">
      <formula1>"1,2,3,4,5"</formula1>
    </dataValidation>
    <dataValidation type="list" allowBlank="1" showDropDown="1" showErrorMessage="1" sqref="J4:K27">
      <formula1>"-,Pending,Uploaded"</formula1>
    </dataValidation>
    <dataValidation type="list" allowBlank="1" sqref="K39:K44">
      <formula1>'Resume Karyawan KPI'!$AK$5:$AK$15</formula1>
    </dataValidation>
    <dataValidation type="list" allowBlank="1" showDropDown="1" showErrorMessage="1" sqref="D4:D27">
      <formula1>"-,Single,Couple A,Couple B,Group A,Group B,Group C,Large Group,Graduation,Graduation Premium,Family A,Family B,Maternity,Concept,Studio Rent,Pas Foto,Single,Add Person,Add Edit,Couple C,Photofox,Prewed 1,6,Packing"</formula1>
    </dataValidation>
    <dataValidation type="list" allowBlank="1" showErrorMessage="1" sqref="N4:N27">
      <formula1>"-,Pending,Progress,Uploaded"</formula1>
    </dataValidation>
    <dataValidation type="list" allowBlank="1" showDropDown="1" showErrorMessage="1" sqref="M4:M27">
      <formula1>"-,VERO,FADEL,PENTIL,HANIF,ADIF,SAKA"</formula1>
    </dataValidation>
    <dataValidation type="list" allowBlank="1" sqref="O32:O35">
      <formula1>"INDAH,ADDEL,AMEL,PENTIL,JIJANG,HANIF,FAHME,ADIF,ABROR,FADEL,SAKA"</formula1>
    </dataValidation>
    <dataValidation type="list" allowBlank="1" showErrorMessage="1" sqref="O4:O27">
      <formula1>"-,In Pikako,In Foxe"</formula1>
    </dataValidation>
    <dataValidation type="list" allowBlank="1" showDropDown="1" showErrorMessage="1" sqref="L4:L27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413</v>
      </c>
      <c r="D4" s="95" t="s">
        <v>22</v>
      </c>
      <c r="E4" s="14"/>
      <c r="F4" s="96">
        <v>46267.0</v>
      </c>
      <c r="G4" s="34"/>
      <c r="H4" s="97">
        <v>100000.0</v>
      </c>
      <c r="I4" s="92" t="s">
        <v>28</v>
      </c>
      <c r="J4" s="15"/>
      <c r="K4" s="15"/>
      <c r="L4" s="92" t="s">
        <v>47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247</v>
      </c>
      <c r="D5" s="95" t="s">
        <v>157</v>
      </c>
      <c r="E5" s="14"/>
      <c r="F5" s="92" t="s">
        <v>248</v>
      </c>
      <c r="G5" s="34"/>
      <c r="H5" s="97">
        <v>320000.0</v>
      </c>
      <c r="I5" s="92" t="s">
        <v>35</v>
      </c>
      <c r="J5" s="92" t="s">
        <v>36</v>
      </c>
      <c r="K5" s="92" t="s">
        <v>36</v>
      </c>
      <c r="L5" s="92" t="s">
        <v>47</v>
      </c>
      <c r="M5" s="92" t="s">
        <v>37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414</v>
      </c>
      <c r="D6" s="95" t="s">
        <v>23</v>
      </c>
      <c r="E6" s="100" t="s">
        <v>415</v>
      </c>
      <c r="F6" s="92" t="s">
        <v>248</v>
      </c>
      <c r="G6" s="101">
        <v>285000.0</v>
      </c>
      <c r="H6" s="35"/>
      <c r="I6" s="92" t="s">
        <v>35</v>
      </c>
      <c r="J6" s="92" t="s">
        <v>36</v>
      </c>
      <c r="K6" s="92" t="s">
        <v>77</v>
      </c>
      <c r="L6" s="92" t="s">
        <v>29</v>
      </c>
      <c r="M6" s="92" t="s">
        <v>37</v>
      </c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416</v>
      </c>
      <c r="D7" s="95" t="s">
        <v>23</v>
      </c>
      <c r="E7" s="14"/>
      <c r="F7" s="92" t="s">
        <v>248</v>
      </c>
      <c r="G7" s="101">
        <v>100000.0</v>
      </c>
      <c r="H7" s="35"/>
      <c r="I7" s="92" t="s">
        <v>35</v>
      </c>
      <c r="J7" s="92" t="s">
        <v>36</v>
      </c>
      <c r="K7" s="92" t="s">
        <v>36</v>
      </c>
      <c r="L7" s="92" t="s">
        <v>29</v>
      </c>
      <c r="M7" s="92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386</v>
      </c>
      <c r="D8" s="95" t="s">
        <v>39</v>
      </c>
      <c r="E8" s="14"/>
      <c r="F8" s="92" t="s">
        <v>417</v>
      </c>
      <c r="G8" s="34"/>
      <c r="H8" s="97">
        <v>50000.0</v>
      </c>
      <c r="I8" s="92" t="s">
        <v>35</v>
      </c>
      <c r="J8" s="92" t="s">
        <v>36</v>
      </c>
      <c r="K8" s="92" t="s">
        <v>36</v>
      </c>
      <c r="L8" s="92" t="s">
        <v>29</v>
      </c>
      <c r="M8" s="92" t="s">
        <v>37</v>
      </c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220</v>
      </c>
      <c r="D9" s="95" t="s">
        <v>22</v>
      </c>
      <c r="E9" s="14"/>
      <c r="F9" s="98">
        <v>46266.0</v>
      </c>
      <c r="G9" s="34"/>
      <c r="H9" s="97">
        <v>100000.0</v>
      </c>
      <c r="I9" s="92" t="s">
        <v>28</v>
      </c>
      <c r="J9" s="15"/>
      <c r="K9" s="15"/>
      <c r="L9" s="92" t="s">
        <v>29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362</v>
      </c>
      <c r="D10" s="95" t="s">
        <v>23</v>
      </c>
      <c r="E10" s="14"/>
      <c r="F10" s="92" t="s">
        <v>248</v>
      </c>
      <c r="G10" s="34"/>
      <c r="H10" s="97">
        <v>125000.0</v>
      </c>
      <c r="I10" s="92" t="s">
        <v>35</v>
      </c>
      <c r="J10" s="92" t="s">
        <v>36</v>
      </c>
      <c r="K10" s="92" t="s">
        <v>36</v>
      </c>
      <c r="L10" s="92" t="s">
        <v>29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418</v>
      </c>
      <c r="D11" s="95" t="s">
        <v>126</v>
      </c>
      <c r="E11" s="14"/>
      <c r="F11" s="92" t="s">
        <v>248</v>
      </c>
      <c r="G11" s="34"/>
      <c r="H11" s="97">
        <v>100000.0</v>
      </c>
      <c r="I11" s="92" t="s">
        <v>28</v>
      </c>
      <c r="J11" s="15"/>
      <c r="K11" s="15"/>
      <c r="L11" s="92" t="s">
        <v>29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419</v>
      </c>
      <c r="D12" s="95" t="s">
        <v>23</v>
      </c>
      <c r="E12" s="14"/>
      <c r="F12" s="92" t="s">
        <v>248</v>
      </c>
      <c r="G12" s="34"/>
      <c r="H12" s="97">
        <v>100000.0</v>
      </c>
      <c r="I12" s="92" t="s">
        <v>28</v>
      </c>
      <c r="J12" s="15"/>
      <c r="K12" s="15"/>
      <c r="L12" s="92" t="s">
        <v>29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420</v>
      </c>
      <c r="D13" s="95" t="s">
        <v>24</v>
      </c>
      <c r="E13" s="14"/>
      <c r="F13" s="92" t="s">
        <v>248</v>
      </c>
      <c r="G13" s="34"/>
      <c r="H13" s="97">
        <v>350000.0</v>
      </c>
      <c r="I13" s="92" t="s">
        <v>35</v>
      </c>
      <c r="J13" s="92" t="s">
        <v>36</v>
      </c>
      <c r="K13" s="92" t="s">
        <v>36</v>
      </c>
      <c r="L13" s="92" t="s">
        <v>29</v>
      </c>
      <c r="M13" s="92" t="s">
        <v>37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421</v>
      </c>
      <c r="D14" s="95" t="s">
        <v>23</v>
      </c>
      <c r="E14" s="14"/>
      <c r="F14" s="92" t="s">
        <v>248</v>
      </c>
      <c r="G14" s="101">
        <v>200000.0</v>
      </c>
      <c r="H14" s="35"/>
      <c r="I14" s="92" t="s">
        <v>35</v>
      </c>
      <c r="J14" s="92" t="s">
        <v>36</v>
      </c>
      <c r="K14" s="92" t="s">
        <v>36</v>
      </c>
      <c r="L14" s="92" t="s">
        <v>29</v>
      </c>
      <c r="M14" s="92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422</v>
      </c>
      <c r="D15" s="95" t="s">
        <v>23</v>
      </c>
      <c r="E15" s="14"/>
      <c r="F15" s="98">
        <v>46269.0</v>
      </c>
      <c r="G15" s="34"/>
      <c r="H15" s="97">
        <v>100000.0</v>
      </c>
      <c r="I15" s="92" t="s">
        <v>28</v>
      </c>
      <c r="J15" s="15"/>
      <c r="K15" s="15"/>
      <c r="L15" s="92" t="s">
        <v>29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419</v>
      </c>
      <c r="D16" s="95" t="s">
        <v>23</v>
      </c>
      <c r="E16" s="14"/>
      <c r="F16" s="92" t="s">
        <v>417</v>
      </c>
      <c r="G16" s="101">
        <v>150000.0</v>
      </c>
      <c r="H16" s="35"/>
      <c r="I16" s="92" t="s">
        <v>35</v>
      </c>
      <c r="J16" s="92" t="s">
        <v>36</v>
      </c>
      <c r="K16" s="92" t="s">
        <v>36</v>
      </c>
      <c r="L16" s="92" t="s">
        <v>29</v>
      </c>
      <c r="M16" s="92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345</v>
      </c>
      <c r="D17" s="95" t="s">
        <v>23</v>
      </c>
      <c r="E17" s="14"/>
      <c r="F17" s="92" t="s">
        <v>423</v>
      </c>
      <c r="G17" s="34"/>
      <c r="H17" s="97">
        <v>100000.0</v>
      </c>
      <c r="I17" s="92" t="s">
        <v>28</v>
      </c>
      <c r="J17" s="15"/>
      <c r="K17" s="15"/>
      <c r="L17" s="92" t="s">
        <v>29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403</v>
      </c>
      <c r="D18" s="95" t="s">
        <v>23</v>
      </c>
      <c r="E18" s="14"/>
      <c r="F18" s="92" t="s">
        <v>417</v>
      </c>
      <c r="G18" s="34"/>
      <c r="H18" s="97">
        <v>400000.0</v>
      </c>
      <c r="I18" s="92" t="s">
        <v>35</v>
      </c>
      <c r="J18" s="92" t="s">
        <v>36</v>
      </c>
      <c r="K18" s="92" t="s">
        <v>36</v>
      </c>
      <c r="L18" s="92" t="s">
        <v>29</v>
      </c>
      <c r="M18" s="92" t="s">
        <v>47</v>
      </c>
      <c r="N18" s="29"/>
      <c r="O18" s="29"/>
      <c r="P18" s="29"/>
      <c r="Q18" s="1"/>
      <c r="R18" s="1"/>
    </row>
    <row r="19" ht="15.75" customHeight="1">
      <c r="A19" s="1"/>
      <c r="B19" s="92">
        <v>16.0</v>
      </c>
      <c r="C19" s="94" t="s">
        <v>425</v>
      </c>
      <c r="D19" s="95" t="s">
        <v>23</v>
      </c>
      <c r="E19" s="14"/>
      <c r="F19" s="92" t="s">
        <v>417</v>
      </c>
      <c r="G19" s="34"/>
      <c r="H19" s="97">
        <v>270000.0</v>
      </c>
      <c r="I19" s="92" t="s">
        <v>35</v>
      </c>
      <c r="J19" s="92" t="s">
        <v>36</v>
      </c>
      <c r="K19" s="92" t="s">
        <v>36</v>
      </c>
      <c r="L19" s="92" t="s">
        <v>29</v>
      </c>
      <c r="M19" s="92" t="s">
        <v>47</v>
      </c>
      <c r="N19" s="29"/>
      <c r="O19" s="29"/>
      <c r="P19" s="29"/>
      <c r="Q19" s="1"/>
      <c r="R19" s="1"/>
    </row>
    <row r="20" ht="15.75" customHeight="1">
      <c r="A20" s="1"/>
      <c r="B20" s="92">
        <v>17.0</v>
      </c>
      <c r="C20" s="94" t="s">
        <v>427</v>
      </c>
      <c r="D20" s="95" t="s">
        <v>22</v>
      </c>
      <c r="E20" s="14"/>
      <c r="F20" s="98">
        <v>46291.0</v>
      </c>
      <c r="G20" s="34"/>
      <c r="H20" s="97">
        <v>100000.0</v>
      </c>
      <c r="I20" s="92" t="s">
        <v>28</v>
      </c>
      <c r="J20" s="15"/>
      <c r="K20" s="15"/>
      <c r="L20" s="92" t="s">
        <v>29</v>
      </c>
      <c r="M20" s="15"/>
      <c r="N20" s="29"/>
      <c r="O20" s="29"/>
      <c r="P20" s="29"/>
      <c r="Q20" s="1"/>
      <c r="R20" s="1"/>
    </row>
    <row r="21" ht="15.75" customHeight="1">
      <c r="A21" s="1"/>
      <c r="B21" s="92">
        <v>18.0</v>
      </c>
      <c r="C21" s="94" t="s">
        <v>409</v>
      </c>
      <c r="D21" s="95" t="s">
        <v>24</v>
      </c>
      <c r="E21" s="14"/>
      <c r="F21" s="92" t="s">
        <v>417</v>
      </c>
      <c r="G21" s="34"/>
      <c r="H21" s="97">
        <v>370000.0</v>
      </c>
      <c r="I21" s="92" t="s">
        <v>35</v>
      </c>
      <c r="J21" s="92" t="s">
        <v>36</v>
      </c>
      <c r="K21" s="92" t="s">
        <v>77</v>
      </c>
      <c r="L21" s="92" t="s">
        <v>29</v>
      </c>
      <c r="M21" s="92" t="s">
        <v>47</v>
      </c>
      <c r="N21" s="41"/>
      <c r="O21" s="41"/>
      <c r="P21" s="41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42">
        <f t="shared" ref="G22:H22" si="1">SUM(G4:G21)</f>
        <v>735000</v>
      </c>
      <c r="H22" s="43">
        <f t="shared" si="1"/>
        <v>2585000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5.7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1"/>
      <c r="B25" s="44" t="s">
        <v>0</v>
      </c>
      <c r="C25" s="45" t="s">
        <v>6</v>
      </c>
      <c r="D25" s="45" t="s">
        <v>88</v>
      </c>
      <c r="E25" s="1"/>
      <c r="F25" s="1"/>
      <c r="G25" s="1"/>
      <c r="H25" s="1"/>
      <c r="I25" s="1"/>
      <c r="J25" s="1"/>
      <c r="K25" s="1"/>
      <c r="L25" s="1"/>
      <c r="M25" s="1"/>
      <c r="N25" s="45" t="s">
        <v>89</v>
      </c>
      <c r="O25" s="45" t="s">
        <v>1</v>
      </c>
      <c r="P25" s="1"/>
      <c r="Q25" s="1"/>
      <c r="R25" s="1"/>
    </row>
    <row r="26" ht="15.75" customHeight="1">
      <c r="A26" s="1"/>
      <c r="B26" s="46">
        <v>1.0</v>
      </c>
      <c r="C26" s="47" t="s">
        <v>90</v>
      </c>
      <c r="D26" s="48">
        <f>SUM(G22)</f>
        <v>735000</v>
      </c>
      <c r="E26" s="49"/>
      <c r="F26" s="1"/>
      <c r="G26" s="1"/>
      <c r="H26" s="1"/>
      <c r="I26" s="1"/>
      <c r="J26" s="1"/>
      <c r="K26" s="1"/>
      <c r="L26" s="1"/>
      <c r="M26" s="1"/>
      <c r="N26" s="50" t="s">
        <v>91</v>
      </c>
      <c r="O26" s="109" t="s">
        <v>29</v>
      </c>
      <c r="P26" s="1"/>
      <c r="Q26" s="1"/>
      <c r="R26" s="1"/>
    </row>
    <row r="27" ht="15.75" customHeight="1">
      <c r="A27" s="1"/>
      <c r="B27" s="51">
        <v>2.0</v>
      </c>
      <c r="C27" s="93" t="s">
        <v>97</v>
      </c>
      <c r="D27" s="108">
        <v>-50000.0</v>
      </c>
      <c r="E27" s="49"/>
      <c r="F27" s="1"/>
      <c r="G27" s="1"/>
      <c r="H27" s="1"/>
      <c r="I27" s="1"/>
      <c r="J27" s="1"/>
      <c r="K27" s="1"/>
      <c r="L27" s="1"/>
      <c r="M27" s="1"/>
      <c r="N27" s="56" t="s">
        <v>93</v>
      </c>
      <c r="O27" s="105" t="s">
        <v>29</v>
      </c>
      <c r="P27" s="1"/>
      <c r="Q27" s="1"/>
      <c r="R27" s="1"/>
    </row>
    <row r="28" ht="15.75" customHeight="1">
      <c r="A28" s="1"/>
      <c r="B28" s="46">
        <v>3.0</v>
      </c>
      <c r="C28" s="106" t="s">
        <v>204</v>
      </c>
      <c r="D28" s="107">
        <v>-100000.0</v>
      </c>
      <c r="E28" s="49"/>
      <c r="F28" s="1"/>
      <c r="G28" s="1"/>
      <c r="H28" s="1"/>
      <c r="I28" s="1"/>
      <c r="J28" s="1"/>
      <c r="K28" s="1"/>
      <c r="L28" s="1"/>
      <c r="M28" s="1"/>
      <c r="N28" s="59" t="s">
        <v>95</v>
      </c>
      <c r="O28" s="110" t="s">
        <v>37</v>
      </c>
      <c r="P28" s="1"/>
      <c r="Q28" s="1"/>
      <c r="R28" s="1"/>
    </row>
    <row r="29" ht="15.75" customHeight="1">
      <c r="A29" s="1"/>
      <c r="B29" s="51">
        <v>4.0</v>
      </c>
      <c r="C29" s="52"/>
      <c r="D29" s="54"/>
      <c r="E29" s="49"/>
      <c r="F29" s="1"/>
      <c r="G29" s="1"/>
      <c r="H29" s="1"/>
      <c r="I29" s="1"/>
      <c r="J29" s="1"/>
      <c r="K29" s="1"/>
      <c r="L29" s="1"/>
      <c r="M29" s="1"/>
      <c r="N29" s="60" t="s">
        <v>98</v>
      </c>
      <c r="O29" s="105" t="s">
        <v>47</v>
      </c>
      <c r="P29" s="1"/>
      <c r="Q29" s="1"/>
      <c r="R29" s="1"/>
    </row>
    <row r="30" ht="15.75" customHeight="1">
      <c r="A30" s="1"/>
      <c r="B30" s="46">
        <v>5.0</v>
      </c>
      <c r="C30" s="47"/>
      <c r="D30" s="48"/>
      <c r="E30" s="49"/>
      <c r="F30" s="1"/>
      <c r="G30" s="1"/>
      <c r="H30" s="1"/>
      <c r="I30" s="1"/>
      <c r="J30" s="1"/>
      <c r="K30" s="1"/>
      <c r="L30" s="1"/>
      <c r="M30" s="1"/>
      <c r="N30" s="61"/>
      <c r="O30" s="1"/>
      <c r="P30" s="1"/>
      <c r="Q30" s="1"/>
      <c r="R30" s="1"/>
    </row>
    <row r="31" ht="15.75" customHeight="1">
      <c r="A31" s="1"/>
      <c r="B31" s="51">
        <v>6.0</v>
      </c>
      <c r="C31" s="52"/>
      <c r="D31" s="54"/>
      <c r="E31" s="49"/>
      <c r="F31" s="1"/>
      <c r="G31" s="1"/>
      <c r="H31" s="1"/>
      <c r="I31" s="1"/>
      <c r="J31" s="1"/>
      <c r="K31" s="62" t="s">
        <v>100</v>
      </c>
      <c r="Q31" s="1"/>
      <c r="R31" s="1"/>
    </row>
    <row r="32" ht="15.75" customHeight="1">
      <c r="A32" s="1"/>
      <c r="B32" s="46">
        <v>7.0</v>
      </c>
      <c r="C32" s="47"/>
      <c r="D32" s="48"/>
      <c r="E32" s="49"/>
      <c r="F32" s="1"/>
      <c r="G32" s="1"/>
      <c r="H32" s="1"/>
      <c r="I32" s="1"/>
      <c r="J32" s="1"/>
      <c r="K32" s="63" t="s">
        <v>1</v>
      </c>
      <c r="L32" s="63" t="s">
        <v>102</v>
      </c>
      <c r="M32" s="63" t="s">
        <v>103</v>
      </c>
      <c r="N32" s="63" t="s">
        <v>104</v>
      </c>
      <c r="O32" s="63" t="s">
        <v>105</v>
      </c>
      <c r="P32" s="63" t="s">
        <v>106</v>
      </c>
      <c r="Q32" s="1"/>
      <c r="R32" s="1"/>
      <c r="AC32" s="65" t="s">
        <v>107</v>
      </c>
      <c r="AD32" s="65" t="s">
        <v>108</v>
      </c>
      <c r="AE32" s="65" t="s">
        <v>109</v>
      </c>
      <c r="AF32" s="65" t="s">
        <v>110</v>
      </c>
      <c r="AG32" s="66" t="s">
        <v>111</v>
      </c>
    </row>
    <row r="33" ht="15.75" customHeight="1">
      <c r="A33" s="1"/>
      <c r="B33" s="51">
        <v>8.0</v>
      </c>
      <c r="C33" s="52"/>
      <c r="D33" s="54"/>
      <c r="E33" s="49"/>
      <c r="F33" s="1"/>
      <c r="G33" s="1"/>
      <c r="H33" s="1"/>
      <c r="I33" s="1"/>
      <c r="J33" s="1"/>
      <c r="K33" s="67" t="str">
        <f t="shared" ref="K33:K36" si="2">IF(O26="","",O26)</f>
        <v>AMEL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ref="AC33:AC38" si="3">IF(AG33="","",IF(COUNT(L33:P33)&lt;5,"",L33/5*20+M33/5*25+N33/5*25+O33/5*15+P33/5*15))</f>
        <v>100</v>
      </c>
      <c r="AD33" s="65" t="str">
        <f t="shared" ref="AD33:AD38" si="4">IF(AC33="","",IF(AC33&gt;=90,"Sangat Baik",IF(AC33&gt;=80,"Baik",IF(AC33&gt;=70,"Coaching","Underperform"))))</f>
        <v>Sangat Baik</v>
      </c>
      <c r="AE33" s="65" t="str">
        <f t="shared" ref="AE33:AE38" si="5">IF(AG33="","",IF(OR(AG33="INDAH",AG33="ADDEL",AG33="AMEL",AG33="PENTIL",AG33="JIJANG"),"Admin/CS","Fotografer"))</f>
        <v>Admin/CS</v>
      </c>
      <c r="AF33" s="65">
        <f t="shared" ref="AF33:AF38" si="6">IF(OR(AG33="",COUNT(L33:P33)&lt;5),"",1)</f>
        <v>1</v>
      </c>
      <c r="AG33" s="66" t="str">
        <f t="shared" ref="AG33:AG38" si="7">IFERROR(K33,"")</f>
        <v>AMEL</v>
      </c>
    </row>
    <row r="34" ht="15.75" customHeight="1">
      <c r="A34" s="1"/>
      <c r="B34" s="46">
        <v>9.0</v>
      </c>
      <c r="C34" s="47"/>
      <c r="D34" s="48"/>
      <c r="E34" s="49"/>
      <c r="F34" s="1"/>
      <c r="G34" s="1"/>
      <c r="H34" s="1"/>
      <c r="I34" s="1"/>
      <c r="J34" s="1"/>
      <c r="K34" s="67" t="str">
        <f t="shared" si="2"/>
        <v>AMEL</v>
      </c>
      <c r="L34" s="68">
        <v>5.0</v>
      </c>
      <c r="M34" s="68">
        <v>5.0</v>
      </c>
      <c r="N34" s="68">
        <v>5.0</v>
      </c>
      <c r="O34" s="68">
        <v>4.0</v>
      </c>
      <c r="P34" s="68">
        <v>5.0</v>
      </c>
      <c r="Q34" s="1"/>
      <c r="R34" s="1"/>
      <c r="AC34" s="65">
        <f t="shared" si="3"/>
        <v>97</v>
      </c>
      <c r="AD34" s="65" t="str">
        <f t="shared" si="4"/>
        <v>Sangat Baik</v>
      </c>
      <c r="AE34" s="65" t="str">
        <f t="shared" si="5"/>
        <v>Admin/CS</v>
      </c>
      <c r="AF34" s="65">
        <f t="shared" si="6"/>
        <v>1</v>
      </c>
      <c r="AG34" s="66" t="str">
        <f t="shared" si="7"/>
        <v>AMEL</v>
      </c>
    </row>
    <row r="35" ht="15.75" customHeight="1">
      <c r="A35" s="1"/>
      <c r="B35" s="51">
        <v>10.0</v>
      </c>
      <c r="C35" s="52"/>
      <c r="D35" s="54"/>
      <c r="E35" s="49"/>
      <c r="F35" s="1"/>
      <c r="G35" s="1"/>
      <c r="H35" s="1"/>
      <c r="I35" s="1"/>
      <c r="J35" s="1"/>
      <c r="K35" s="67" t="str">
        <f t="shared" si="2"/>
        <v>ADIF</v>
      </c>
      <c r="L35" s="68">
        <v>5.0</v>
      </c>
      <c r="M35" s="68">
        <v>5.0</v>
      </c>
      <c r="N35" s="68">
        <v>5.0</v>
      </c>
      <c r="O35" s="68">
        <v>5.0</v>
      </c>
      <c r="P35" s="68">
        <v>5.0</v>
      </c>
      <c r="Q35" s="1"/>
      <c r="R35" s="1"/>
      <c r="AC35" s="65">
        <f t="shared" si="3"/>
        <v>100</v>
      </c>
      <c r="AD35" s="65" t="str">
        <f t="shared" si="4"/>
        <v>Sangat Baik</v>
      </c>
      <c r="AE35" s="65" t="str">
        <f t="shared" si="5"/>
        <v>Fotografer</v>
      </c>
      <c r="AF35" s="65">
        <f t="shared" si="6"/>
        <v>1</v>
      </c>
      <c r="AG35" s="66" t="str">
        <f t="shared" si="7"/>
        <v>ADIF</v>
      </c>
    </row>
    <row r="36" ht="15.75" customHeight="1">
      <c r="A36" s="1"/>
      <c r="B36" s="69">
        <v>11.0</v>
      </c>
      <c r="C36" s="70"/>
      <c r="D36" s="71"/>
      <c r="E36" s="49"/>
      <c r="F36" s="1"/>
      <c r="G36" s="1"/>
      <c r="H36" s="1"/>
      <c r="I36" s="1"/>
      <c r="J36" s="1"/>
      <c r="K36" s="67" t="str">
        <f t="shared" si="2"/>
        <v>SAKA</v>
      </c>
      <c r="L36" s="68">
        <v>5.0</v>
      </c>
      <c r="M36" s="68">
        <v>5.0</v>
      </c>
      <c r="N36" s="68">
        <v>5.0</v>
      </c>
      <c r="O36" s="68">
        <v>4.0</v>
      </c>
      <c r="P36" s="68">
        <v>5.0</v>
      </c>
      <c r="Q36" s="1"/>
      <c r="R36" s="1"/>
      <c r="AC36" s="65">
        <f t="shared" si="3"/>
        <v>97</v>
      </c>
      <c r="AD36" s="65" t="str">
        <f t="shared" si="4"/>
        <v>Sangat Baik</v>
      </c>
      <c r="AE36" s="65" t="str">
        <f t="shared" si="5"/>
        <v>Fotografer</v>
      </c>
      <c r="AF36" s="65">
        <f t="shared" si="6"/>
        <v>1</v>
      </c>
      <c r="AG36" s="66" t="str">
        <f t="shared" si="7"/>
        <v>SAKA</v>
      </c>
    </row>
    <row r="37" ht="15.75" customHeight="1">
      <c r="A37" s="1"/>
      <c r="B37" s="1"/>
      <c r="C37" s="2"/>
      <c r="D37" s="72">
        <f>SUM(D26:D36)</f>
        <v>585000</v>
      </c>
      <c r="E37" s="1"/>
      <c r="F37" s="1"/>
      <c r="G37" s="1"/>
      <c r="H37" s="1"/>
      <c r="I37" s="1"/>
      <c r="J37" s="1"/>
      <c r="K37" s="67"/>
      <c r="L37" s="73"/>
      <c r="M37" s="73"/>
      <c r="N37" s="73"/>
      <c r="O37" s="73"/>
      <c r="P37" s="73"/>
      <c r="Q37" s="1"/>
      <c r="R37" s="1"/>
      <c r="AC37" s="65" t="str">
        <f t="shared" si="3"/>
        <v/>
      </c>
      <c r="AD37" s="65" t="str">
        <f t="shared" si="4"/>
        <v/>
      </c>
      <c r="AE37" s="65" t="str">
        <f t="shared" si="5"/>
        <v/>
      </c>
      <c r="AF37" s="65" t="str">
        <f t="shared" si="6"/>
        <v/>
      </c>
      <c r="AG37" s="66" t="str">
        <f t="shared" si="7"/>
        <v/>
      </c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67"/>
      <c r="L38" s="73"/>
      <c r="M38" s="73"/>
      <c r="N38" s="73"/>
      <c r="O38" s="73"/>
      <c r="P38" s="73"/>
      <c r="Q38" s="1"/>
      <c r="R38" s="1"/>
      <c r="AC38" s="65" t="str">
        <f t="shared" si="3"/>
        <v/>
      </c>
      <c r="AD38" s="65" t="str">
        <f t="shared" si="4"/>
        <v/>
      </c>
      <c r="AE38" s="65" t="str">
        <f t="shared" si="5"/>
        <v/>
      </c>
      <c r="AF38" s="65" t="str">
        <f t="shared" si="6"/>
        <v/>
      </c>
      <c r="AG38" s="66" t="str">
        <f t="shared" si="7"/>
        <v/>
      </c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4" t="s">
        <v>112</v>
      </c>
      <c r="Q39" s="1"/>
      <c r="R39" s="1"/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75" t="s">
        <v>113</v>
      </c>
      <c r="N41" s="1"/>
      <c r="O41" s="1"/>
      <c r="P41" s="1"/>
      <c r="Q41" s="1"/>
      <c r="R41" s="1"/>
    </row>
    <row r="42" ht="15.75" customHeight="1">
      <c r="K42" s="76" t="s">
        <v>7</v>
      </c>
      <c r="L42" s="76" t="s">
        <v>114</v>
      </c>
      <c r="M42" s="76" t="s">
        <v>115</v>
      </c>
    </row>
    <row r="43" ht="15.75" customHeight="1">
      <c r="K43" s="77" t="str">
        <f t="shared" ref="K43:K44" si="8">IF(O26="","",O26)</f>
        <v>AMEL</v>
      </c>
      <c r="L43" s="81">
        <v>7.0</v>
      </c>
      <c r="M43" s="78"/>
    </row>
    <row r="44" ht="15.75" customHeight="1">
      <c r="K44" s="77" t="str">
        <f t="shared" si="8"/>
        <v>AMEL</v>
      </c>
      <c r="L44" s="81">
        <v>7.0</v>
      </c>
      <c r="M44" s="78"/>
    </row>
    <row r="45" ht="15.75" customHeight="1"/>
    <row r="46" ht="19.5" customHeight="1">
      <c r="K46" s="79" t="s">
        <v>118</v>
      </c>
    </row>
    <row r="47" ht="19.5" customHeight="1">
      <c r="K47" s="80" t="s">
        <v>119</v>
      </c>
      <c r="M47" s="81">
        <v>30.0</v>
      </c>
    </row>
    <row r="48" ht="19.5" customHeight="1">
      <c r="K48" s="82" t="s">
        <v>120</v>
      </c>
      <c r="M48" s="83">
        <f>COUNTIF($I$4:$I$24,"DP")</f>
        <v>7</v>
      </c>
    </row>
    <row r="49" ht="19.5" customHeight="1">
      <c r="K49" s="82" t="s">
        <v>121</v>
      </c>
      <c r="M49" s="83">
        <f>COUNTIFS($I$4:$I$24,"&lt;&gt;DP",$I$4:$I$24,"&lt;&gt;")</f>
        <v>11</v>
      </c>
    </row>
    <row r="50" ht="19.5" customHeight="1">
      <c r="K50" s="84" t="s">
        <v>122</v>
      </c>
      <c r="M50" s="83">
        <f>M48+M49</f>
        <v>18</v>
      </c>
    </row>
    <row r="51" ht="19.5" customHeight="1">
      <c r="K51" s="80" t="s">
        <v>123</v>
      </c>
      <c r="M51" s="85">
        <f>IF(OR(M47="",M47=0),"",M48/M47)</f>
        <v>0.2333333333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7:L47"/>
    <mergeCell ref="K48:L48"/>
    <mergeCell ref="K49:L49"/>
    <mergeCell ref="K50:L50"/>
    <mergeCell ref="K51:L51"/>
    <mergeCell ref="L2:L3"/>
    <mergeCell ref="M2:M3"/>
    <mergeCell ref="N2:P2"/>
    <mergeCell ref="K31:P31"/>
    <mergeCell ref="K39:P39"/>
    <mergeCell ref="K41:M41"/>
    <mergeCell ref="K46:M46"/>
  </mergeCells>
  <conditionalFormatting sqref="I4:I24">
    <cfRule type="expression" dxfId="0" priority="1">
      <formula>I4="DP"</formula>
    </cfRule>
  </conditionalFormatting>
  <conditionalFormatting sqref="I4:I24">
    <cfRule type="expression" dxfId="1" priority="2">
      <formula>I4="Lunas"</formula>
    </cfRule>
  </conditionalFormatting>
  <conditionalFormatting sqref="J4:K24">
    <cfRule type="expression" dxfId="2" priority="3">
      <formula>OR(J4="Uploaded",J4="Delivered")</formula>
    </cfRule>
  </conditionalFormatting>
  <dataValidations>
    <dataValidation type="list" allowBlank="1" showDropDown="1" showErrorMessage="1" sqref="I4:I21">
      <formula1>"-,DP,Lunas"</formula1>
    </dataValidation>
    <dataValidation type="list" allowBlank="1" showDropDown="1" showErrorMessage="1" sqref="M4:M21">
      <formula1>"-,VERO,FADEL,PENTIL,FAHME,HANIF,ADIF,SAKA"</formula1>
    </dataValidation>
    <dataValidation type="list" allowBlank="1" sqref="L33:P38">
      <formula1>"1,2,3,4,5"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Person,Add Edit,Add Cetak 5R,Couple C,Photofox"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L4:L5">
      <formula1>"-,JIJANG,AXEL,PENTIL,FAHME,INDAH,SAKA"</formula1>
    </dataValidation>
    <dataValidation type="list" allowBlank="1" showDropDown="1" showErrorMessage="1" sqref="L6:L21">
      <formula1>"-,JIJANG,AXEL,PENTIL,FAHME,INDAH,AMEL"</formula1>
    </dataValidation>
    <dataValidation type="list" allowBlank="1" sqref="K33:K38">
      <formula1>'Resume Karyawan KPI'!$AK$5:$AK$15</formula1>
    </dataValidation>
    <dataValidation type="list" allowBlank="1" showErrorMessage="1" sqref="N4:N21">
      <formula1>"-,Pending,Progress,Uploaded"</formula1>
    </dataValidation>
    <dataValidation type="list" allowBlank="1" sqref="O26:O29">
      <formula1>"INDAH,ADDEL,AMEL,PENTIL,JIJANG,HANIF,FAHME,ADIF,ABROR,FADEL,SAKA"</formula1>
    </dataValidation>
    <dataValidation type="list" allowBlank="1" showErrorMessage="1" sqref="O4:O21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6.13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424</v>
      </c>
      <c r="D4" s="95" t="s">
        <v>23</v>
      </c>
      <c r="E4" s="14"/>
      <c r="F4" s="92" t="s">
        <v>426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109"/>
      <c r="Q4" s="1"/>
      <c r="R4" s="1"/>
    </row>
    <row r="5" ht="15.75" customHeight="1">
      <c r="A5" s="1"/>
      <c r="B5" s="15">
        <v>2.0</v>
      </c>
      <c r="C5" s="94" t="s">
        <v>428</v>
      </c>
      <c r="D5" s="95" t="s">
        <v>57</v>
      </c>
      <c r="E5" s="14"/>
      <c r="F5" s="92" t="s">
        <v>426</v>
      </c>
      <c r="G5" s="34"/>
      <c r="H5" s="97">
        <v>50000.0</v>
      </c>
      <c r="I5" s="92" t="s">
        <v>35</v>
      </c>
      <c r="J5" s="92" t="s">
        <v>36</v>
      </c>
      <c r="K5" s="92" t="s">
        <v>36</v>
      </c>
      <c r="L5" s="92" t="s">
        <v>29</v>
      </c>
      <c r="M5" s="92" t="s">
        <v>37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429</v>
      </c>
      <c r="D6" s="95" t="s">
        <v>23</v>
      </c>
      <c r="E6" s="14"/>
      <c r="F6" s="92" t="s">
        <v>430</v>
      </c>
      <c r="G6" s="34"/>
      <c r="H6" s="97">
        <v>100000.0</v>
      </c>
      <c r="I6" s="92" t="s">
        <v>28</v>
      </c>
      <c r="J6" s="15"/>
      <c r="K6" s="15"/>
      <c r="L6" s="92" t="s">
        <v>29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431</v>
      </c>
      <c r="D7" s="95" t="s">
        <v>23</v>
      </c>
      <c r="E7" s="14"/>
      <c r="F7" s="92" t="s">
        <v>426</v>
      </c>
      <c r="G7" s="34"/>
      <c r="H7" s="97">
        <v>100000.0</v>
      </c>
      <c r="I7" s="92" t="s">
        <v>35</v>
      </c>
      <c r="J7" s="92" t="s">
        <v>36</v>
      </c>
      <c r="K7" s="92" t="s">
        <v>36</v>
      </c>
      <c r="L7" s="92" t="s">
        <v>29</v>
      </c>
      <c r="M7" s="92" t="s">
        <v>37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432</v>
      </c>
      <c r="D8" s="95" t="s">
        <v>23</v>
      </c>
      <c r="E8" s="14"/>
      <c r="F8" s="92" t="s">
        <v>426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433</v>
      </c>
      <c r="D9" s="95" t="s">
        <v>126</v>
      </c>
      <c r="E9" s="14"/>
      <c r="F9" s="92" t="s">
        <v>426</v>
      </c>
      <c r="G9" s="34"/>
      <c r="H9" s="97">
        <v>200000.0</v>
      </c>
      <c r="I9" s="92" t="s">
        <v>35</v>
      </c>
      <c r="J9" s="15"/>
      <c r="K9" s="15"/>
      <c r="L9" s="92" t="s">
        <v>29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434</v>
      </c>
      <c r="D10" s="95" t="s">
        <v>22</v>
      </c>
      <c r="E10" s="14"/>
      <c r="F10" s="98">
        <v>46267.0</v>
      </c>
      <c r="G10" s="34"/>
      <c r="H10" s="97">
        <v>100000.0</v>
      </c>
      <c r="I10" s="92" t="s">
        <v>28</v>
      </c>
      <c r="J10" s="15"/>
      <c r="K10" s="15"/>
      <c r="L10" s="92" t="s">
        <v>29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122" t="s">
        <v>435</v>
      </c>
      <c r="D11" s="95" t="s">
        <v>23</v>
      </c>
      <c r="E11" s="14"/>
      <c r="F11" s="92" t="s">
        <v>436</v>
      </c>
      <c r="G11" s="34"/>
      <c r="H11" s="97">
        <v>100000.0</v>
      </c>
      <c r="I11" s="92" t="s">
        <v>28</v>
      </c>
      <c r="J11" s="15"/>
      <c r="K11" s="15"/>
      <c r="L11" s="92" t="s">
        <v>29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437</v>
      </c>
      <c r="D12" s="95" t="s">
        <v>23</v>
      </c>
      <c r="E12" s="14"/>
      <c r="F12" s="92" t="s">
        <v>426</v>
      </c>
      <c r="G12" s="34"/>
      <c r="H12" s="97">
        <v>100000.0</v>
      </c>
      <c r="I12" s="92" t="s">
        <v>35</v>
      </c>
      <c r="J12" s="92" t="s">
        <v>36</v>
      </c>
      <c r="K12" s="92" t="s">
        <v>36</v>
      </c>
      <c r="L12" s="92" t="s">
        <v>29</v>
      </c>
      <c r="M12" s="92" t="s">
        <v>37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432</v>
      </c>
      <c r="D13" s="95" t="s">
        <v>23</v>
      </c>
      <c r="E13" s="14"/>
      <c r="F13" s="98">
        <v>46260.0</v>
      </c>
      <c r="G13" s="34"/>
      <c r="H13" s="97">
        <v>150000.0</v>
      </c>
      <c r="I13" s="92" t="s">
        <v>35</v>
      </c>
      <c r="J13" s="92" t="s">
        <v>36</v>
      </c>
      <c r="K13" s="92" t="s">
        <v>36</v>
      </c>
      <c r="L13" s="92" t="s">
        <v>30</v>
      </c>
      <c r="M13" s="92" t="s">
        <v>37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438</v>
      </c>
      <c r="D14" s="95" t="s">
        <v>126</v>
      </c>
      <c r="E14" s="14"/>
      <c r="F14" s="98">
        <v>46262.0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439</v>
      </c>
      <c r="D15" s="95" t="s">
        <v>440</v>
      </c>
      <c r="E15" s="14"/>
      <c r="F15" s="98">
        <v>46260.0</v>
      </c>
      <c r="G15" s="34"/>
      <c r="H15" s="97">
        <v>500000.0</v>
      </c>
      <c r="I15" s="92" t="s">
        <v>35</v>
      </c>
      <c r="J15" s="92" t="s">
        <v>36</v>
      </c>
      <c r="K15" s="92" t="s">
        <v>36</v>
      </c>
      <c r="L15" s="92" t="s">
        <v>30</v>
      </c>
      <c r="M15" s="92" t="s">
        <v>37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441</v>
      </c>
      <c r="D16" s="95" t="s">
        <v>22</v>
      </c>
      <c r="E16" s="14"/>
      <c r="F16" s="111">
        <v>46299.0</v>
      </c>
      <c r="G16" s="34"/>
      <c r="H16" s="97">
        <v>100000.0</v>
      </c>
      <c r="I16" s="92" t="s">
        <v>28</v>
      </c>
      <c r="J16" s="15"/>
      <c r="K16" s="15"/>
      <c r="L16" s="92" t="s">
        <v>30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442</v>
      </c>
      <c r="D17" s="95" t="s">
        <v>126</v>
      </c>
      <c r="E17" s="14"/>
      <c r="F17" s="111">
        <v>46261.0</v>
      </c>
      <c r="G17" s="34"/>
      <c r="H17" s="97">
        <v>120000.0</v>
      </c>
      <c r="I17" s="92" t="s">
        <v>28</v>
      </c>
      <c r="J17" s="15"/>
      <c r="K17" s="15"/>
      <c r="L17" s="92" t="s">
        <v>30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433</v>
      </c>
      <c r="D18" s="95" t="s">
        <v>126</v>
      </c>
      <c r="E18" s="14"/>
      <c r="F18" s="111">
        <v>46260.0</v>
      </c>
      <c r="G18" s="101">
        <v>0.0</v>
      </c>
      <c r="H18" s="97">
        <v>0.0</v>
      </c>
      <c r="I18" s="92" t="s">
        <v>35</v>
      </c>
      <c r="J18" s="92" t="s">
        <v>36</v>
      </c>
      <c r="K18" s="92" t="s">
        <v>36</v>
      </c>
      <c r="L18" s="92" t="s">
        <v>30</v>
      </c>
      <c r="M18" s="92" t="s">
        <v>37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443</v>
      </c>
      <c r="D19" s="95" t="s">
        <v>23</v>
      </c>
      <c r="E19" s="14"/>
      <c r="F19" s="111">
        <v>46261.0</v>
      </c>
      <c r="G19" s="34"/>
      <c r="H19" s="97">
        <v>100000.0</v>
      </c>
      <c r="I19" s="92" t="s">
        <v>28</v>
      </c>
      <c r="J19" s="15"/>
      <c r="K19" s="15"/>
      <c r="L19" s="92" t="s">
        <v>30</v>
      </c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444</v>
      </c>
      <c r="D20" s="95" t="s">
        <v>39</v>
      </c>
      <c r="E20" s="14"/>
      <c r="F20" s="111">
        <v>46263.0</v>
      </c>
      <c r="G20" s="34"/>
      <c r="H20" s="97">
        <v>100000.0</v>
      </c>
      <c r="I20" s="92" t="s">
        <v>28</v>
      </c>
      <c r="J20" s="15"/>
      <c r="K20" s="15"/>
      <c r="L20" s="92" t="s">
        <v>30</v>
      </c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194</v>
      </c>
      <c r="D21" s="95" t="s">
        <v>23</v>
      </c>
      <c r="E21" s="14"/>
      <c r="F21" s="111">
        <v>46260.0</v>
      </c>
      <c r="G21" s="34"/>
      <c r="H21" s="97">
        <v>150000.0</v>
      </c>
      <c r="I21" s="92" t="s">
        <v>35</v>
      </c>
      <c r="J21" s="92" t="s">
        <v>36</v>
      </c>
      <c r="K21" s="92" t="s">
        <v>36</v>
      </c>
      <c r="L21" s="92" t="s">
        <v>30</v>
      </c>
      <c r="M21" s="92" t="s">
        <v>37</v>
      </c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445</v>
      </c>
      <c r="D22" s="95" t="s">
        <v>126</v>
      </c>
      <c r="E22" s="14"/>
      <c r="F22" s="111">
        <v>46263.0</v>
      </c>
      <c r="G22" s="34"/>
      <c r="H22" s="97">
        <v>100000.0</v>
      </c>
      <c r="I22" s="92" t="s">
        <v>28</v>
      </c>
      <c r="J22" s="15"/>
      <c r="K22" s="15"/>
      <c r="L22" s="92" t="s">
        <v>30</v>
      </c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446</v>
      </c>
      <c r="D23" s="95" t="s">
        <v>23</v>
      </c>
      <c r="E23" s="14"/>
      <c r="F23" s="111">
        <v>46261.0</v>
      </c>
      <c r="G23" s="34"/>
      <c r="H23" s="97">
        <v>100000.0</v>
      </c>
      <c r="I23" s="92" t="s">
        <v>28</v>
      </c>
      <c r="J23" s="15"/>
      <c r="K23" s="15"/>
      <c r="L23" s="92" t="s">
        <v>30</v>
      </c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94" t="s">
        <v>447</v>
      </c>
      <c r="D24" s="95" t="s">
        <v>23</v>
      </c>
      <c r="E24" s="14"/>
      <c r="F24" s="111">
        <v>46261.0</v>
      </c>
      <c r="G24" s="34"/>
      <c r="H24" s="97">
        <v>100000.0</v>
      </c>
      <c r="I24" s="92" t="s">
        <v>28</v>
      </c>
      <c r="J24" s="15"/>
      <c r="K24" s="15"/>
      <c r="L24" s="92" t="s">
        <v>30</v>
      </c>
      <c r="M24" s="15"/>
      <c r="N24" s="29"/>
      <c r="O24" s="29"/>
      <c r="P24" s="29"/>
      <c r="Q24" s="1"/>
      <c r="R24" s="1"/>
    </row>
    <row r="25" ht="15.75" customHeight="1">
      <c r="A25" s="1"/>
      <c r="B25" s="92">
        <v>22.0</v>
      </c>
      <c r="C25" s="32"/>
      <c r="D25" s="16"/>
      <c r="E25" s="14"/>
      <c r="F25" s="15"/>
      <c r="G25" s="34"/>
      <c r="H25" s="35"/>
      <c r="I25" s="15"/>
      <c r="J25" s="15"/>
      <c r="K25" s="15"/>
      <c r="L25" s="15"/>
      <c r="M25" s="15"/>
      <c r="N25" s="41"/>
      <c r="O25" s="41"/>
      <c r="P25" s="41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42">
        <f t="shared" ref="G26:H26" si="1">SUM(G4:G25)</f>
        <v>0</v>
      </c>
      <c r="H26" s="43">
        <f t="shared" si="1"/>
        <v>2570000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1"/>
      <c r="B29" s="44" t="s">
        <v>0</v>
      </c>
      <c r="C29" s="45" t="s">
        <v>6</v>
      </c>
      <c r="D29" s="45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45" t="s">
        <v>89</v>
      </c>
      <c r="O29" s="45" t="s">
        <v>1</v>
      </c>
      <c r="P29" s="1"/>
      <c r="Q29" s="1"/>
      <c r="R29" s="1"/>
    </row>
    <row r="30" ht="15.75" customHeight="1">
      <c r="A30" s="1"/>
      <c r="B30" s="46">
        <v>1.0</v>
      </c>
      <c r="C30" s="47" t="s">
        <v>90</v>
      </c>
      <c r="D30" s="48">
        <f>SUM(G26)</f>
        <v>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91</v>
      </c>
      <c r="O30" s="109" t="s">
        <v>29</v>
      </c>
      <c r="P30" s="1"/>
      <c r="Q30" s="1"/>
      <c r="R30" s="1"/>
    </row>
    <row r="31" ht="15.75" customHeight="1">
      <c r="A31" s="1"/>
      <c r="B31" s="51">
        <v>2.0</v>
      </c>
      <c r="C31" s="52"/>
      <c r="D31" s="54"/>
      <c r="E31" s="49"/>
      <c r="F31" s="1"/>
      <c r="G31" s="1"/>
      <c r="H31" s="1"/>
      <c r="I31" s="1"/>
      <c r="J31" s="1"/>
      <c r="K31" s="1"/>
      <c r="L31" s="1"/>
      <c r="M31" s="1"/>
      <c r="N31" s="56" t="s">
        <v>93</v>
      </c>
      <c r="O31" s="105" t="s">
        <v>30</v>
      </c>
      <c r="P31" s="1"/>
      <c r="Q31" s="1"/>
      <c r="R31" s="1"/>
    </row>
    <row r="32" ht="15.75" customHeight="1">
      <c r="A32" s="1"/>
      <c r="B32" s="46">
        <v>3.0</v>
      </c>
      <c r="C32" s="47"/>
      <c r="D32" s="48"/>
      <c r="E32" s="49"/>
      <c r="F32" s="1"/>
      <c r="G32" s="1"/>
      <c r="H32" s="1"/>
      <c r="I32" s="1"/>
      <c r="J32" s="1"/>
      <c r="K32" s="1"/>
      <c r="L32" s="1"/>
      <c r="M32" s="1"/>
      <c r="N32" s="59" t="s">
        <v>95</v>
      </c>
      <c r="O32" s="110" t="s">
        <v>37</v>
      </c>
      <c r="P32" s="1"/>
      <c r="Q32" s="1"/>
      <c r="R32" s="1"/>
    </row>
    <row r="33" ht="15.75" customHeight="1">
      <c r="A33" s="1"/>
      <c r="B33" s="51">
        <v>4.0</v>
      </c>
      <c r="C33" s="52"/>
      <c r="D33" s="54"/>
      <c r="E33" s="49"/>
      <c r="F33" s="1"/>
      <c r="G33" s="1"/>
      <c r="H33" s="1"/>
      <c r="I33" s="1"/>
      <c r="J33" s="1"/>
      <c r="K33" s="1"/>
      <c r="L33" s="1"/>
      <c r="M33" s="1"/>
      <c r="N33" s="60" t="s">
        <v>98</v>
      </c>
      <c r="O33" s="105" t="s">
        <v>37</v>
      </c>
      <c r="P33" s="1"/>
      <c r="Q33" s="1"/>
      <c r="R33" s="1"/>
    </row>
    <row r="34" ht="15.75" customHeight="1">
      <c r="A34" s="1"/>
      <c r="B34" s="46">
        <v>5.0</v>
      </c>
      <c r="C34" s="47"/>
      <c r="D34" s="48"/>
      <c r="E34" s="49"/>
      <c r="F34" s="1"/>
      <c r="G34" s="1"/>
      <c r="H34" s="1"/>
      <c r="I34" s="1"/>
      <c r="J34" s="1"/>
      <c r="K34" s="1"/>
      <c r="L34" s="1"/>
      <c r="M34" s="1"/>
      <c r="N34" s="61"/>
      <c r="O34" s="1"/>
      <c r="P34" s="1"/>
      <c r="Q34" s="1"/>
      <c r="R34" s="1"/>
    </row>
    <row r="35" ht="15.75" customHeight="1">
      <c r="A35" s="1"/>
      <c r="B35" s="51">
        <v>6.0</v>
      </c>
      <c r="C35" s="52"/>
      <c r="D35" s="54"/>
      <c r="E35" s="49"/>
      <c r="F35" s="1"/>
      <c r="G35" s="1"/>
      <c r="H35" s="1"/>
      <c r="I35" s="1"/>
      <c r="J35" s="1"/>
      <c r="K35" s="62" t="s">
        <v>100</v>
      </c>
      <c r="Q35" s="1"/>
      <c r="R35" s="1"/>
    </row>
    <row r="36" ht="15.75" customHeight="1">
      <c r="A36" s="1"/>
      <c r="B36" s="46">
        <v>7.0</v>
      </c>
      <c r="C36" s="47"/>
      <c r="D36" s="48"/>
      <c r="E36" s="49"/>
      <c r="F36" s="1"/>
      <c r="G36" s="1"/>
      <c r="H36" s="1"/>
      <c r="I36" s="1"/>
      <c r="J36" s="1"/>
      <c r="K36" s="63" t="s">
        <v>1</v>
      </c>
      <c r="L36" s="63" t="s">
        <v>102</v>
      </c>
      <c r="M36" s="63" t="s">
        <v>103</v>
      </c>
      <c r="N36" s="63" t="s">
        <v>104</v>
      </c>
      <c r="O36" s="63" t="s">
        <v>105</v>
      </c>
      <c r="P36" s="63" t="s">
        <v>106</v>
      </c>
      <c r="Q36" s="1"/>
      <c r="R36" s="1"/>
      <c r="AC36" s="65" t="s">
        <v>107</v>
      </c>
      <c r="AD36" s="65" t="s">
        <v>108</v>
      </c>
      <c r="AE36" s="65" t="s">
        <v>109</v>
      </c>
      <c r="AF36" s="65" t="s">
        <v>110</v>
      </c>
      <c r="AG36" s="66" t="s">
        <v>111</v>
      </c>
    </row>
    <row r="37" ht="15.75" customHeight="1">
      <c r="A37" s="1"/>
      <c r="B37" s="51">
        <v>8.0</v>
      </c>
      <c r="C37" s="52"/>
      <c r="D37" s="54"/>
      <c r="E37" s="49"/>
      <c r="F37" s="1"/>
      <c r="G37" s="1"/>
      <c r="H37" s="1"/>
      <c r="I37" s="1"/>
      <c r="J37" s="1"/>
      <c r="K37" s="67" t="str">
        <f t="shared" ref="K37:K40" si="2">IF(O30="","",O30)</f>
        <v>AMEL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ref="AC37:AC42" si="3">IF(AG37="","",IF(COUNT(L37:P37)&lt;5,"",L37/5*20+M37/5*25+N37/5*25+O37/5*15+P37/5*15))</f>
        <v>100</v>
      </c>
      <c r="AD37" s="65" t="str">
        <f t="shared" ref="AD37:AD42" si="4">IF(AC37="","",IF(AC37&gt;=90,"Sangat Baik",IF(AC37&gt;=80,"Baik",IF(AC37&gt;=70,"Coaching","Underperform"))))</f>
        <v>Sangat Baik</v>
      </c>
      <c r="AE37" s="65" t="str">
        <f t="shared" ref="AE37:AE42" si="5">IF(AG37="","",IF(OR(AG37="INDAH",AG37="ADDEL",AG37="AMEL",AG37="PENTIL",AG37="JIJANG"),"Admin/CS","Fotografer"))</f>
        <v>Admin/CS</v>
      </c>
      <c r="AF37" s="65">
        <f t="shared" ref="AF37:AF42" si="6">IF(OR(AG37="",COUNT(L37:P37)&lt;5),"",1)</f>
        <v>1</v>
      </c>
      <c r="AG37" s="66" t="str">
        <f t="shared" ref="AG37:AG42" si="7">IFERROR(K37,"")</f>
        <v>AMEL</v>
      </c>
    </row>
    <row r="38" ht="15.75" customHeight="1">
      <c r="A38" s="1"/>
      <c r="B38" s="46">
        <v>9.0</v>
      </c>
      <c r="C38" s="47"/>
      <c r="D38" s="48"/>
      <c r="E38" s="49"/>
      <c r="F38" s="1"/>
      <c r="G38" s="1"/>
      <c r="H38" s="1"/>
      <c r="I38" s="1"/>
      <c r="J38" s="1"/>
      <c r="K38" s="67" t="str">
        <f t="shared" si="2"/>
        <v>INDAH</v>
      </c>
      <c r="L38" s="68">
        <v>5.0</v>
      </c>
      <c r="M38" s="68">
        <v>5.0</v>
      </c>
      <c r="N38" s="68">
        <v>5.0</v>
      </c>
      <c r="O38" s="68">
        <v>5.0</v>
      </c>
      <c r="P38" s="68">
        <v>5.0</v>
      </c>
      <c r="Q38" s="1"/>
      <c r="R38" s="1"/>
      <c r="AC38" s="65">
        <f t="shared" si="3"/>
        <v>100</v>
      </c>
      <c r="AD38" s="65" t="str">
        <f t="shared" si="4"/>
        <v>Sangat Baik</v>
      </c>
      <c r="AE38" s="65" t="str">
        <f t="shared" si="5"/>
        <v>Admin/CS</v>
      </c>
      <c r="AF38" s="65">
        <f t="shared" si="6"/>
        <v>1</v>
      </c>
      <c r="AG38" s="66" t="str">
        <f t="shared" si="7"/>
        <v>INDAH</v>
      </c>
    </row>
    <row r="39" ht="15.75" customHeight="1">
      <c r="A39" s="1"/>
      <c r="B39" s="51">
        <v>10.0</v>
      </c>
      <c r="C39" s="52"/>
      <c r="D39" s="54"/>
      <c r="E39" s="49"/>
      <c r="F39" s="1"/>
      <c r="G39" s="1"/>
      <c r="H39" s="1"/>
      <c r="I39" s="1"/>
      <c r="J39" s="1"/>
      <c r="K39" s="67" t="str">
        <f t="shared" si="2"/>
        <v>ADIF</v>
      </c>
      <c r="L39" s="68">
        <v>5.0</v>
      </c>
      <c r="M39" s="68">
        <v>5.0</v>
      </c>
      <c r="N39" s="68">
        <v>5.0</v>
      </c>
      <c r="O39" s="68">
        <v>5.0</v>
      </c>
      <c r="P39" s="68">
        <v>5.0</v>
      </c>
      <c r="Q39" s="1"/>
      <c r="R39" s="1"/>
      <c r="AC39" s="65">
        <f t="shared" si="3"/>
        <v>100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ADIF</v>
      </c>
    </row>
    <row r="40" ht="15.75" customHeight="1">
      <c r="A40" s="1"/>
      <c r="B40" s="69">
        <v>11.0</v>
      </c>
      <c r="C40" s="70"/>
      <c r="D40" s="71"/>
      <c r="E40" s="49"/>
      <c r="F40" s="1"/>
      <c r="G40" s="1"/>
      <c r="H40" s="1"/>
      <c r="I40" s="1"/>
      <c r="J40" s="1"/>
      <c r="K40" s="67" t="str">
        <f t="shared" si="2"/>
        <v>ADIF</v>
      </c>
      <c r="L40" s="68">
        <v>5.0</v>
      </c>
      <c r="M40" s="68">
        <v>5.0</v>
      </c>
      <c r="N40" s="68">
        <v>5.0</v>
      </c>
      <c r="O40" s="68">
        <v>5.0</v>
      </c>
      <c r="P40" s="68">
        <v>5.0</v>
      </c>
      <c r="Q40" s="1"/>
      <c r="R40" s="1"/>
      <c r="AC40" s="65">
        <f t="shared" si="3"/>
        <v>100</v>
      </c>
      <c r="AD40" s="65" t="str">
        <f t="shared" si="4"/>
        <v>Sangat Baik</v>
      </c>
      <c r="AE40" s="65" t="str">
        <f t="shared" si="5"/>
        <v>Fotografer</v>
      </c>
      <c r="AF40" s="65">
        <f t="shared" si="6"/>
        <v>1</v>
      </c>
      <c r="AG40" s="66" t="str">
        <f t="shared" si="7"/>
        <v>ADIF</v>
      </c>
    </row>
    <row r="41" ht="15.75" customHeight="1">
      <c r="A41" s="1"/>
      <c r="B41" s="1"/>
      <c r="C41" s="2"/>
      <c r="D41" s="72">
        <f>SUM(D30:D40)</f>
        <v>0</v>
      </c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67"/>
      <c r="L42" s="73"/>
      <c r="M42" s="73"/>
      <c r="N42" s="73"/>
      <c r="O42" s="73"/>
      <c r="P42" s="73"/>
      <c r="Q42" s="1"/>
      <c r="R42" s="1"/>
      <c r="AC42" s="65" t="str">
        <f t="shared" si="3"/>
        <v/>
      </c>
      <c r="AD42" s="65" t="str">
        <f t="shared" si="4"/>
        <v/>
      </c>
      <c r="AE42" s="65" t="str">
        <f t="shared" si="5"/>
        <v/>
      </c>
      <c r="AF42" s="65" t="str">
        <f t="shared" si="6"/>
        <v/>
      </c>
      <c r="AG42" s="66" t="str">
        <f t="shared" si="7"/>
        <v/>
      </c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4" t="s">
        <v>112</v>
      </c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5" t="s">
        <v>113</v>
      </c>
      <c r="N45" s="1"/>
      <c r="O45" s="1"/>
      <c r="P45" s="1"/>
      <c r="Q45" s="1"/>
      <c r="R45" s="1"/>
    </row>
    <row r="46" ht="15.75" customHeight="1">
      <c r="K46" s="76" t="s">
        <v>7</v>
      </c>
      <c r="L46" s="76" t="s">
        <v>114</v>
      </c>
      <c r="M46" s="76" t="s">
        <v>115</v>
      </c>
    </row>
    <row r="47" ht="15.75" customHeight="1">
      <c r="K47" s="77" t="str">
        <f t="shared" ref="K47:K48" si="8">IF(O30="","",O30)</f>
        <v>AMEL</v>
      </c>
      <c r="L47" s="81">
        <v>5.0</v>
      </c>
      <c r="M47" s="78"/>
    </row>
    <row r="48" ht="15.75" customHeight="1">
      <c r="K48" s="77" t="str">
        <f t="shared" si="8"/>
        <v>INDAH</v>
      </c>
      <c r="L48" s="81">
        <v>8.0</v>
      </c>
      <c r="M48" s="81" t="s">
        <v>116</v>
      </c>
    </row>
    <row r="49" ht="15.75" customHeight="1"/>
    <row r="50" ht="19.5" customHeight="1">
      <c r="K50" s="79" t="s">
        <v>118</v>
      </c>
    </row>
    <row r="51" ht="19.5" customHeight="1">
      <c r="K51" s="80" t="s">
        <v>119</v>
      </c>
      <c r="M51" s="81">
        <v>46.0</v>
      </c>
    </row>
    <row r="52" ht="19.5" customHeight="1">
      <c r="K52" s="82" t="s">
        <v>120</v>
      </c>
      <c r="M52" s="83">
        <f>COUNTIF($I$4:$I$28,"DP")</f>
        <v>13</v>
      </c>
    </row>
    <row r="53" ht="19.5" customHeight="1">
      <c r="K53" s="82" t="s">
        <v>121</v>
      </c>
      <c r="M53" s="83">
        <f>COUNTIFS($I$4:$I$28,"&lt;&gt;DP",$I$4:$I$28,"&lt;&gt;")</f>
        <v>8</v>
      </c>
    </row>
    <row r="54" ht="19.5" customHeight="1">
      <c r="K54" s="84" t="s">
        <v>122</v>
      </c>
      <c r="M54" s="83">
        <f>M52+M53</f>
        <v>21</v>
      </c>
    </row>
    <row r="55" ht="19.5" customHeight="1">
      <c r="K55" s="80" t="s">
        <v>123</v>
      </c>
      <c r="M55" s="85">
        <f>IF(OR(M51="",M51=0),"",M52/M51)</f>
        <v>0.2826086957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1:L51"/>
    <mergeCell ref="K52:L52"/>
    <mergeCell ref="K53:L53"/>
    <mergeCell ref="K54:L54"/>
    <mergeCell ref="K55:L55"/>
    <mergeCell ref="L2:L3"/>
    <mergeCell ref="M2:M3"/>
    <mergeCell ref="N2:P2"/>
    <mergeCell ref="K35:P35"/>
    <mergeCell ref="K43:P43"/>
    <mergeCell ref="K45:M45"/>
    <mergeCell ref="K50:M50"/>
  </mergeCells>
  <conditionalFormatting sqref="I4:I28">
    <cfRule type="expression" dxfId="0" priority="1">
      <formula>I4="DP"</formula>
    </cfRule>
  </conditionalFormatting>
  <conditionalFormatting sqref="I4:I28">
    <cfRule type="expression" dxfId="1" priority="2">
      <formula>I4="Lunas"</formula>
    </cfRule>
  </conditionalFormatting>
  <conditionalFormatting sqref="J4:K28">
    <cfRule type="expression" dxfId="2" priority="3">
      <formula>OR(J4="Uploaded",J4="Delivered")</formula>
    </cfRule>
  </conditionalFormatting>
  <dataValidations>
    <dataValidation type="list" allowBlank="1" showDropDown="1" showErrorMessage="1" sqref="I4:I25">
      <formula1>"-,DP,Lunas"</formula1>
    </dataValidation>
    <dataValidation type="list" allowBlank="1" sqref="O30:O33">
      <formula1>"INDAH,ADDEL,AMEL,PENTIL,JIJANG,HANIF,FAHME,ADIF,ABROR,FADEL,SAKA,AMEL"</formula1>
    </dataValidation>
    <dataValidation type="list" allowBlank="1" sqref="L37:P42">
      <formula1>"1,2,3,4,5"</formula1>
    </dataValidation>
    <dataValidation type="list" allowBlank="1" showDropDown="1" showErrorMessage="1" sqref="J4:K25">
      <formula1>"-,Pending,Uploaded"</formula1>
    </dataValidation>
    <dataValidation type="list" allowBlank="1" showDropDown="1" showErrorMessage="1" sqref="L4:L25">
      <formula1>"-,JIJANG,AXEL,PENTIL,FAHME,INDAH,AMEL"</formula1>
    </dataValidation>
    <dataValidation type="list" allowBlank="1" sqref="K37:K42">
      <formula1>'Resume Karyawan KPI'!$AK$5:$AK$15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Person,Add Edit,Add Cetak 16R,Photofox,Couple C "</formula1>
    </dataValidation>
    <dataValidation type="list" allowBlank="1" showDropDown="1" showErrorMessage="1" sqref="M4:M25">
      <formula1>"-,VERO,FADEL,PENTIL,FAHME,ADIF"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448</v>
      </c>
      <c r="D4" s="95" t="s">
        <v>23</v>
      </c>
      <c r="E4" s="14"/>
      <c r="F4" s="96">
        <v>46263.0</v>
      </c>
      <c r="G4" s="34"/>
      <c r="H4" s="97">
        <v>150000.0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449</v>
      </c>
      <c r="D5" s="95" t="s">
        <v>23</v>
      </c>
      <c r="E5" s="14"/>
      <c r="F5" s="96">
        <v>46261.0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450</v>
      </c>
      <c r="D6" s="95" t="s">
        <v>23</v>
      </c>
      <c r="E6" s="14"/>
      <c r="F6" s="98">
        <v>46262.0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428</v>
      </c>
      <c r="D7" s="95" t="s">
        <v>84</v>
      </c>
      <c r="E7" s="100" t="s">
        <v>319</v>
      </c>
      <c r="F7" s="111">
        <v>46260.0</v>
      </c>
      <c r="G7" s="34"/>
      <c r="H7" s="97">
        <v>10000.0</v>
      </c>
      <c r="I7" s="92" t="s">
        <v>35</v>
      </c>
      <c r="J7" s="15"/>
      <c r="K7" s="15"/>
      <c r="L7" s="92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411</v>
      </c>
      <c r="D8" s="95" t="s">
        <v>84</v>
      </c>
      <c r="E8" s="14"/>
      <c r="F8" s="111">
        <v>46258.0</v>
      </c>
      <c r="G8" s="34"/>
      <c r="H8" s="97">
        <v>80000.0</v>
      </c>
      <c r="I8" s="92" t="s">
        <v>35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452</v>
      </c>
      <c r="D9" s="95" t="s">
        <v>22</v>
      </c>
      <c r="E9" s="14"/>
      <c r="F9" s="96">
        <v>46274.0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442</v>
      </c>
      <c r="D10" s="95" t="s">
        <v>126</v>
      </c>
      <c r="E10" s="14"/>
      <c r="F10" s="111">
        <v>46261.0</v>
      </c>
      <c r="G10" s="34"/>
      <c r="H10" s="97">
        <v>80000.0</v>
      </c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454</v>
      </c>
      <c r="D11" s="95" t="s">
        <v>22</v>
      </c>
      <c r="E11" s="14"/>
      <c r="F11" s="98">
        <v>46298.0</v>
      </c>
      <c r="G11" s="34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456</v>
      </c>
      <c r="D12" s="95" t="s">
        <v>22</v>
      </c>
      <c r="E12" s="14"/>
      <c r="F12" s="98">
        <v>46270.0</v>
      </c>
      <c r="G12" s="34"/>
      <c r="H12" s="97">
        <v>100000.0</v>
      </c>
      <c r="I12" s="92" t="s">
        <v>28</v>
      </c>
      <c r="J12" s="15"/>
      <c r="K12" s="15"/>
      <c r="L12" s="92" t="s">
        <v>30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459</v>
      </c>
      <c r="D13" s="95" t="s">
        <v>195</v>
      </c>
      <c r="E13" s="14"/>
      <c r="F13" s="111">
        <v>46261.0</v>
      </c>
      <c r="G13" s="101">
        <v>400000.0</v>
      </c>
      <c r="H13" s="35"/>
      <c r="I13" s="92" t="s">
        <v>35</v>
      </c>
      <c r="J13" s="92" t="s">
        <v>36</v>
      </c>
      <c r="K13" s="92" t="s">
        <v>77</v>
      </c>
      <c r="L13" s="92" t="s">
        <v>30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462</v>
      </c>
      <c r="D14" s="95" t="s">
        <v>23</v>
      </c>
      <c r="E14" s="14"/>
      <c r="F14" s="111">
        <v>46263.0</v>
      </c>
      <c r="G14" s="34"/>
      <c r="H14" s="97">
        <v>100000.0</v>
      </c>
      <c r="I14" s="92" t="s">
        <v>28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379</v>
      </c>
      <c r="D15" s="95" t="s">
        <v>22</v>
      </c>
      <c r="E15" s="14"/>
      <c r="F15" s="111">
        <v>46261.0</v>
      </c>
      <c r="G15" s="101">
        <v>0.0</v>
      </c>
      <c r="H15" s="97">
        <v>0.0</v>
      </c>
      <c r="I15" s="92" t="s">
        <v>35</v>
      </c>
      <c r="J15" s="92" t="s">
        <v>36</v>
      </c>
      <c r="K15" s="92" t="s">
        <v>77</v>
      </c>
      <c r="L15" s="92" t="s">
        <v>30</v>
      </c>
      <c r="M15" s="92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468</v>
      </c>
      <c r="D16" s="95" t="s">
        <v>23</v>
      </c>
      <c r="E16" s="14"/>
      <c r="F16" s="111">
        <v>46263.0</v>
      </c>
      <c r="G16" s="34"/>
      <c r="H16" s="97">
        <v>100000.0</v>
      </c>
      <c r="I16" s="92" t="s">
        <v>28</v>
      </c>
      <c r="J16" s="15"/>
      <c r="K16" s="15"/>
      <c r="L16" s="92" t="s">
        <v>30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471</v>
      </c>
      <c r="D17" s="95" t="s">
        <v>22</v>
      </c>
      <c r="E17" s="14"/>
      <c r="F17" s="111">
        <v>46261.0</v>
      </c>
      <c r="G17" s="34"/>
      <c r="H17" s="97">
        <v>250000.0</v>
      </c>
      <c r="I17" s="92" t="s">
        <v>35</v>
      </c>
      <c r="J17" s="92" t="s">
        <v>36</v>
      </c>
      <c r="K17" s="92" t="s">
        <v>77</v>
      </c>
      <c r="L17" s="92" t="s">
        <v>30</v>
      </c>
      <c r="M17" s="92" t="s">
        <v>47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474</v>
      </c>
      <c r="D18" s="95" t="s">
        <v>22</v>
      </c>
      <c r="E18" s="14"/>
      <c r="F18" s="98">
        <v>46273.0</v>
      </c>
      <c r="G18" s="34"/>
      <c r="H18" s="97">
        <v>100000.0</v>
      </c>
      <c r="I18" s="92" t="s">
        <v>28</v>
      </c>
      <c r="J18" s="15"/>
      <c r="K18" s="15"/>
      <c r="L18" s="92" t="s">
        <v>30</v>
      </c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478</v>
      </c>
      <c r="D19" s="95" t="s">
        <v>23</v>
      </c>
      <c r="E19" s="14"/>
      <c r="F19" s="111">
        <v>46264.0</v>
      </c>
      <c r="G19" s="34"/>
      <c r="H19" s="97">
        <v>100000.0</v>
      </c>
      <c r="I19" s="92" t="s">
        <v>28</v>
      </c>
      <c r="J19" s="15"/>
      <c r="K19" s="15"/>
      <c r="L19" s="92" t="s">
        <v>30</v>
      </c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482</v>
      </c>
      <c r="D20" s="95" t="s">
        <v>23</v>
      </c>
      <c r="E20" s="14"/>
      <c r="F20" s="111">
        <v>46261.0</v>
      </c>
      <c r="G20" s="101">
        <v>150000.0</v>
      </c>
      <c r="H20" s="35"/>
      <c r="I20" s="92" t="s">
        <v>35</v>
      </c>
      <c r="J20" s="92" t="s">
        <v>36</v>
      </c>
      <c r="K20" s="92" t="s">
        <v>77</v>
      </c>
      <c r="L20" s="92" t="s">
        <v>30</v>
      </c>
      <c r="M20" s="92" t="s">
        <v>47</v>
      </c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347</v>
      </c>
      <c r="D21" s="95" t="s">
        <v>84</v>
      </c>
      <c r="E21" s="14"/>
      <c r="F21" s="92" t="s">
        <v>485</v>
      </c>
      <c r="G21" s="34"/>
      <c r="H21" s="97">
        <v>40000.0</v>
      </c>
      <c r="I21" s="92" t="s">
        <v>35</v>
      </c>
      <c r="J21" s="15"/>
      <c r="K21" s="15"/>
      <c r="L21" s="92" t="s">
        <v>486</v>
      </c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488</v>
      </c>
      <c r="D22" s="95" t="s">
        <v>23</v>
      </c>
      <c r="E22" s="100">
        <v>14.0</v>
      </c>
      <c r="F22" s="92" t="s">
        <v>223</v>
      </c>
      <c r="G22" s="34"/>
      <c r="H22" s="97">
        <v>350000.0</v>
      </c>
      <c r="I22" s="92" t="s">
        <v>35</v>
      </c>
      <c r="J22" s="92" t="s">
        <v>36</v>
      </c>
      <c r="K22" s="92" t="s">
        <v>36</v>
      </c>
      <c r="L22" s="92" t="s">
        <v>486</v>
      </c>
      <c r="M22" s="92" t="s">
        <v>37</v>
      </c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443</v>
      </c>
      <c r="D23" s="95" t="s">
        <v>23</v>
      </c>
      <c r="E23" s="14"/>
      <c r="F23" s="92" t="s">
        <v>223</v>
      </c>
      <c r="G23" s="34"/>
      <c r="H23" s="97">
        <v>250000.0</v>
      </c>
      <c r="I23" s="92" t="s">
        <v>35</v>
      </c>
      <c r="J23" s="92" t="s">
        <v>36</v>
      </c>
      <c r="K23" s="92" t="s">
        <v>36</v>
      </c>
      <c r="L23" s="92" t="s">
        <v>29</v>
      </c>
      <c r="M23" s="92" t="s">
        <v>37</v>
      </c>
      <c r="N23" s="29"/>
      <c r="O23" s="29"/>
      <c r="P23" s="29"/>
      <c r="Q23" s="1"/>
      <c r="R23" s="1"/>
    </row>
    <row r="24" ht="15.75" customHeight="1">
      <c r="A24" s="1"/>
      <c r="B24" s="92">
        <v>21.0</v>
      </c>
      <c r="C24" s="94" t="s">
        <v>446</v>
      </c>
      <c r="D24" s="95" t="s">
        <v>23</v>
      </c>
      <c r="E24" s="14"/>
      <c r="F24" s="92" t="s">
        <v>223</v>
      </c>
      <c r="G24" s="101">
        <v>450000.0</v>
      </c>
      <c r="H24" s="35"/>
      <c r="I24" s="92" t="s">
        <v>35</v>
      </c>
      <c r="J24" s="92" t="s">
        <v>36</v>
      </c>
      <c r="K24" s="92" t="s">
        <v>36</v>
      </c>
      <c r="L24" s="92" t="s">
        <v>29</v>
      </c>
      <c r="M24" s="92" t="s">
        <v>37</v>
      </c>
      <c r="N24" s="29"/>
      <c r="O24" s="29"/>
      <c r="P24" s="29"/>
      <c r="Q24" s="1"/>
      <c r="R24" s="1"/>
    </row>
    <row r="25" ht="15.75" customHeight="1">
      <c r="A25" s="1"/>
      <c r="B25" s="92">
        <v>22.0</v>
      </c>
      <c r="C25" s="94" t="s">
        <v>449</v>
      </c>
      <c r="D25" s="95" t="s">
        <v>23</v>
      </c>
      <c r="E25" s="14"/>
      <c r="F25" s="92" t="s">
        <v>223</v>
      </c>
      <c r="G25" s="34"/>
      <c r="H25" s="97">
        <v>450000.0</v>
      </c>
      <c r="I25" s="92" t="s">
        <v>35</v>
      </c>
      <c r="J25" s="92" t="s">
        <v>36</v>
      </c>
      <c r="K25" s="92" t="s">
        <v>36</v>
      </c>
      <c r="L25" s="92" t="s">
        <v>29</v>
      </c>
      <c r="M25" s="92" t="s">
        <v>37</v>
      </c>
      <c r="N25" s="29"/>
      <c r="O25" s="29"/>
      <c r="P25" s="29"/>
      <c r="Q25" s="1"/>
      <c r="R25" s="1"/>
    </row>
    <row r="26" ht="15.75" customHeight="1">
      <c r="A26" s="1"/>
      <c r="B26" s="92">
        <v>23.0</v>
      </c>
      <c r="C26" s="94" t="s">
        <v>499</v>
      </c>
      <c r="D26" s="95" t="s">
        <v>23</v>
      </c>
      <c r="E26" s="14"/>
      <c r="F26" s="92" t="s">
        <v>500</v>
      </c>
      <c r="G26" s="34"/>
      <c r="H26" s="97">
        <v>100000.0</v>
      </c>
      <c r="I26" s="92" t="s">
        <v>28</v>
      </c>
      <c r="J26" s="92"/>
      <c r="K26" s="92"/>
      <c r="L26" s="92" t="s">
        <v>29</v>
      </c>
      <c r="M26" s="92"/>
      <c r="N26" s="29"/>
      <c r="O26" s="29"/>
      <c r="P26" s="29"/>
      <c r="Q26" s="1"/>
      <c r="R26" s="1"/>
    </row>
    <row r="27" ht="15.75" customHeight="1">
      <c r="A27" s="1"/>
      <c r="B27" s="92">
        <v>24.0</v>
      </c>
      <c r="C27" s="94" t="s">
        <v>447</v>
      </c>
      <c r="D27" s="95" t="s">
        <v>23</v>
      </c>
      <c r="E27" s="14"/>
      <c r="F27" s="92" t="s">
        <v>223</v>
      </c>
      <c r="G27" s="34"/>
      <c r="H27" s="97">
        <v>325000.0</v>
      </c>
      <c r="I27" s="92" t="s">
        <v>35</v>
      </c>
      <c r="J27" s="92" t="s">
        <v>36</v>
      </c>
      <c r="K27" s="92" t="s">
        <v>36</v>
      </c>
      <c r="L27" s="92" t="s">
        <v>29</v>
      </c>
      <c r="M27" s="92" t="s">
        <v>37</v>
      </c>
      <c r="N27" s="29"/>
      <c r="O27" s="29"/>
      <c r="P27" s="29"/>
      <c r="Q27" s="1"/>
      <c r="R27" s="1"/>
    </row>
    <row r="28" ht="15.75" customHeight="1">
      <c r="A28" s="1"/>
      <c r="B28" s="92">
        <v>25.0</v>
      </c>
      <c r="C28" s="94" t="s">
        <v>504</v>
      </c>
      <c r="D28" s="95" t="s">
        <v>195</v>
      </c>
      <c r="E28" s="14"/>
      <c r="F28" s="92" t="s">
        <v>505</v>
      </c>
      <c r="G28" s="34"/>
      <c r="H28" s="97">
        <v>100000.0</v>
      </c>
      <c r="I28" s="92" t="s">
        <v>28</v>
      </c>
      <c r="J28" s="15"/>
      <c r="K28" s="15"/>
      <c r="L28" s="92" t="s">
        <v>29</v>
      </c>
      <c r="M28" s="15"/>
      <c r="N28" s="29"/>
      <c r="O28" s="29"/>
      <c r="P28" s="29"/>
      <c r="Q28" s="1"/>
      <c r="R28" s="1"/>
    </row>
    <row r="29" ht="15.75" customHeight="1">
      <c r="A29" s="1"/>
      <c r="B29" s="92">
        <v>25.0</v>
      </c>
      <c r="C29" s="94" t="s">
        <v>502</v>
      </c>
      <c r="D29" s="95" t="s">
        <v>60</v>
      </c>
      <c r="E29" s="14"/>
      <c r="F29" s="92" t="s">
        <v>465</v>
      </c>
      <c r="G29" s="34"/>
      <c r="H29" s="97">
        <v>100000.0</v>
      </c>
      <c r="I29" s="92" t="s">
        <v>35</v>
      </c>
      <c r="J29" s="15"/>
      <c r="K29" s="15"/>
      <c r="L29" s="92" t="s">
        <v>29</v>
      </c>
      <c r="M29" s="15"/>
      <c r="N29" s="29"/>
      <c r="O29" s="29"/>
      <c r="P29" s="29"/>
      <c r="Q29" s="1"/>
      <c r="R29" s="1"/>
    </row>
    <row r="30" ht="15.75" customHeight="1">
      <c r="A30" s="1"/>
      <c r="B30" s="92">
        <v>25.0</v>
      </c>
      <c r="C30" s="94" t="s">
        <v>375</v>
      </c>
      <c r="D30" s="95" t="s">
        <v>23</v>
      </c>
      <c r="E30" s="14"/>
      <c r="F30" s="92" t="s">
        <v>223</v>
      </c>
      <c r="G30" s="34"/>
      <c r="H30" s="97">
        <v>200000.0</v>
      </c>
      <c r="I30" s="92" t="s">
        <v>35</v>
      </c>
      <c r="J30" s="92" t="s">
        <v>36</v>
      </c>
      <c r="K30" s="92" t="s">
        <v>36</v>
      </c>
      <c r="L30" s="92" t="s">
        <v>29</v>
      </c>
      <c r="M30" s="92" t="s">
        <v>37</v>
      </c>
      <c r="N30" s="41"/>
      <c r="O30" s="41"/>
      <c r="P30" s="41"/>
      <c r="Q30" s="1"/>
      <c r="R30" s="1"/>
    </row>
    <row r="31" ht="18.75" customHeight="1">
      <c r="A31" s="1"/>
      <c r="B31" s="1"/>
      <c r="C31" s="2"/>
      <c r="D31" s="2"/>
      <c r="E31" s="1"/>
      <c r="F31" s="1"/>
      <c r="G31" s="42">
        <f t="shared" ref="G31:H31" si="1">SUM(G4:G30)</f>
        <v>1000000</v>
      </c>
      <c r="H31" s="43">
        <f t="shared" si="1"/>
        <v>3385000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23.25" customHeight="1">
      <c r="A32" s="1"/>
      <c r="B32" s="1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5.75" customHeight="1">
      <c r="A33" s="1"/>
      <c r="B33" s="1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5.75" customHeight="1">
      <c r="A34" s="1"/>
      <c r="B34" s="44" t="s">
        <v>0</v>
      </c>
      <c r="C34" s="45" t="s">
        <v>6</v>
      </c>
      <c r="D34" s="45" t="s">
        <v>88</v>
      </c>
      <c r="E34" s="1"/>
      <c r="F34" s="1"/>
      <c r="G34" s="1"/>
      <c r="H34" s="1"/>
      <c r="I34" s="1"/>
      <c r="J34" s="1"/>
      <c r="K34" s="1"/>
      <c r="L34" s="1"/>
      <c r="M34" s="1"/>
      <c r="N34" s="45" t="s">
        <v>89</v>
      </c>
      <c r="O34" s="45" t="s">
        <v>1</v>
      </c>
      <c r="P34" s="1"/>
      <c r="Q34" s="1"/>
      <c r="R34" s="1"/>
    </row>
    <row r="35" ht="15.75" customHeight="1">
      <c r="A35" s="1"/>
      <c r="B35" s="46">
        <v>1.0</v>
      </c>
      <c r="C35" s="47" t="s">
        <v>90</v>
      </c>
      <c r="D35" s="48">
        <f>SUM(G31)</f>
        <v>1000000</v>
      </c>
      <c r="E35" s="49"/>
      <c r="F35" s="1"/>
      <c r="G35" s="1"/>
      <c r="H35" s="1"/>
      <c r="I35" s="1"/>
      <c r="J35" s="1"/>
      <c r="K35" s="1"/>
      <c r="L35" s="1"/>
      <c r="M35" s="1"/>
      <c r="N35" s="50" t="s">
        <v>91</v>
      </c>
      <c r="O35" s="109" t="s">
        <v>30</v>
      </c>
      <c r="P35" s="1"/>
      <c r="Q35" s="1"/>
      <c r="R35" s="1"/>
    </row>
    <row r="36" ht="15.75" customHeight="1">
      <c r="A36" s="1"/>
      <c r="B36" s="51">
        <v>2.0</v>
      </c>
      <c r="C36" s="93" t="s">
        <v>372</v>
      </c>
      <c r="D36" s="108">
        <v>-50000.0</v>
      </c>
      <c r="E36" s="49"/>
      <c r="F36" s="1"/>
      <c r="G36" s="1"/>
      <c r="H36" s="1"/>
      <c r="I36" s="1"/>
      <c r="J36" s="1"/>
      <c r="K36" s="1"/>
      <c r="L36" s="1"/>
      <c r="M36" s="1"/>
      <c r="N36" s="56" t="s">
        <v>93</v>
      </c>
      <c r="O36" s="105" t="s">
        <v>29</v>
      </c>
      <c r="P36" s="1"/>
      <c r="Q36" s="1"/>
      <c r="R36" s="1"/>
    </row>
    <row r="37" ht="15.75" customHeight="1">
      <c r="A37" s="1"/>
      <c r="B37" s="46">
        <v>3.0</v>
      </c>
      <c r="C37" s="106" t="s">
        <v>518</v>
      </c>
      <c r="D37" s="107">
        <v>-150000.0</v>
      </c>
      <c r="E37" s="49"/>
      <c r="F37" s="1"/>
      <c r="G37" s="1"/>
      <c r="H37" s="1"/>
      <c r="I37" s="1"/>
      <c r="J37" s="1"/>
      <c r="K37" s="1"/>
      <c r="L37" s="1"/>
      <c r="M37" s="1"/>
      <c r="N37" s="59" t="s">
        <v>95</v>
      </c>
      <c r="O37" s="110" t="s">
        <v>47</v>
      </c>
      <c r="P37" s="1"/>
      <c r="Q37" s="1"/>
      <c r="R37" s="1"/>
    </row>
    <row r="38" ht="15.75" customHeight="1">
      <c r="A38" s="1"/>
      <c r="B38" s="51">
        <v>4.0</v>
      </c>
      <c r="C38" s="52"/>
      <c r="D38" s="54"/>
      <c r="E38" s="49"/>
      <c r="F38" s="1"/>
      <c r="G38" s="1"/>
      <c r="H38" s="1"/>
      <c r="I38" s="1"/>
      <c r="J38" s="1"/>
      <c r="K38" s="1"/>
      <c r="L38" s="1"/>
      <c r="M38" s="1"/>
      <c r="N38" s="60" t="s">
        <v>98</v>
      </c>
      <c r="O38" s="105" t="s">
        <v>37</v>
      </c>
      <c r="P38" s="1"/>
      <c r="Q38" s="1"/>
      <c r="R38" s="1"/>
    </row>
    <row r="39" ht="15.75" customHeight="1">
      <c r="A39" s="1"/>
      <c r="B39" s="46">
        <v>5.0</v>
      </c>
      <c r="C39" s="47"/>
      <c r="D39" s="48"/>
      <c r="E39" s="49"/>
      <c r="F39" s="1"/>
      <c r="G39" s="1"/>
      <c r="H39" s="1"/>
      <c r="I39" s="1"/>
      <c r="J39" s="1"/>
      <c r="K39" s="1"/>
      <c r="L39" s="1"/>
      <c r="M39" s="1"/>
      <c r="N39" s="61"/>
      <c r="O39" s="1"/>
      <c r="P39" s="1"/>
      <c r="Q39" s="1"/>
      <c r="R39" s="1"/>
    </row>
    <row r="40" ht="15.75" customHeight="1">
      <c r="A40" s="1"/>
      <c r="B40" s="51">
        <v>6.0</v>
      </c>
      <c r="C40" s="52"/>
      <c r="D40" s="54"/>
      <c r="E40" s="49"/>
      <c r="F40" s="1"/>
      <c r="G40" s="1"/>
      <c r="H40" s="1"/>
      <c r="I40" s="1"/>
      <c r="J40" s="1"/>
      <c r="K40" s="62" t="s">
        <v>100</v>
      </c>
      <c r="Q40" s="1"/>
      <c r="R40" s="1"/>
    </row>
    <row r="41" ht="15.75" customHeight="1">
      <c r="A41" s="1"/>
      <c r="B41" s="46">
        <v>7.0</v>
      </c>
      <c r="C41" s="47"/>
      <c r="D41" s="48"/>
      <c r="E41" s="49"/>
      <c r="F41" s="1"/>
      <c r="G41" s="1"/>
      <c r="H41" s="1"/>
      <c r="I41" s="1"/>
      <c r="J41" s="1"/>
      <c r="K41" s="63" t="s">
        <v>1</v>
      </c>
      <c r="L41" s="63" t="s">
        <v>102</v>
      </c>
      <c r="M41" s="63" t="s">
        <v>103</v>
      </c>
      <c r="N41" s="63" t="s">
        <v>104</v>
      </c>
      <c r="O41" s="63" t="s">
        <v>105</v>
      </c>
      <c r="P41" s="63" t="s">
        <v>106</v>
      </c>
      <c r="Q41" s="1"/>
      <c r="R41" s="1"/>
      <c r="AC41" s="65" t="s">
        <v>107</v>
      </c>
      <c r="AD41" s="65" t="s">
        <v>108</v>
      </c>
      <c r="AE41" s="65" t="s">
        <v>109</v>
      </c>
      <c r="AF41" s="65" t="s">
        <v>110</v>
      </c>
      <c r="AG41" s="66" t="s">
        <v>111</v>
      </c>
    </row>
    <row r="42" ht="15.75" customHeight="1">
      <c r="A42" s="1"/>
      <c r="B42" s="51">
        <v>8.0</v>
      </c>
      <c r="C42" s="52"/>
      <c r="D42" s="54"/>
      <c r="E42" s="49"/>
      <c r="F42" s="1"/>
      <c r="G42" s="1"/>
      <c r="H42" s="1"/>
      <c r="I42" s="1"/>
      <c r="J42" s="1"/>
      <c r="K42" s="67" t="str">
        <f t="shared" ref="K42:K45" si="2">IF(O35="","",O35)</f>
        <v>INDAH</v>
      </c>
      <c r="L42" s="68">
        <v>5.0</v>
      </c>
      <c r="M42" s="68">
        <v>4.0</v>
      </c>
      <c r="N42" s="68">
        <v>5.0</v>
      </c>
      <c r="O42" s="68">
        <v>5.0</v>
      </c>
      <c r="P42" s="68">
        <v>5.0</v>
      </c>
      <c r="Q42" s="1"/>
      <c r="R42" s="1"/>
      <c r="AC42" s="65">
        <f t="shared" ref="AC42:AC47" si="3">IF(AG42="","",IF(COUNT(L42:P42)&lt;5,"",L42/5*20+M42/5*25+N42/5*25+O42/5*15+P42/5*15))</f>
        <v>95</v>
      </c>
      <c r="AD42" s="65" t="str">
        <f t="shared" ref="AD42:AD47" si="4">IF(AC42="","",IF(AC42&gt;=90,"Sangat Baik",IF(AC42&gt;=80,"Baik",IF(AC42&gt;=70,"Coaching","Underperform"))))</f>
        <v>Sangat Baik</v>
      </c>
      <c r="AE42" s="65" t="str">
        <f t="shared" ref="AE42:AE47" si="5">IF(AG42="","",IF(OR(AG42="INDAH",AG42="ADDEL",AG42="AMEL",AG42="PENTIL",AG42="JIJANG"),"Admin/CS","Fotografer"))</f>
        <v>Admin/CS</v>
      </c>
      <c r="AF42" s="65">
        <f t="shared" ref="AF42:AF47" si="6">IF(OR(AG42="",COUNT(L42:P42)&lt;5),"",1)</f>
        <v>1</v>
      </c>
      <c r="AG42" s="66" t="str">
        <f t="shared" ref="AG42:AG47" si="7">IFERROR(K42,"")</f>
        <v>INDAH</v>
      </c>
    </row>
    <row r="43" ht="15.75" customHeight="1">
      <c r="A43" s="1"/>
      <c r="B43" s="46">
        <v>9.0</v>
      </c>
      <c r="C43" s="47"/>
      <c r="D43" s="48"/>
      <c r="E43" s="49"/>
      <c r="F43" s="1"/>
      <c r="G43" s="1"/>
      <c r="H43" s="1"/>
      <c r="I43" s="1"/>
      <c r="J43" s="1"/>
      <c r="K43" s="67" t="str">
        <f t="shared" si="2"/>
        <v>AMEL</v>
      </c>
      <c r="L43" s="68">
        <v>4.0</v>
      </c>
      <c r="M43" s="68">
        <v>4.0</v>
      </c>
      <c r="N43" s="68">
        <v>5.0</v>
      </c>
      <c r="O43" s="68">
        <v>4.0</v>
      </c>
      <c r="P43" s="68">
        <v>4.0</v>
      </c>
      <c r="Q43" s="1"/>
      <c r="R43" s="1"/>
      <c r="AC43" s="65">
        <f t="shared" si="3"/>
        <v>85</v>
      </c>
      <c r="AD43" s="65" t="str">
        <f t="shared" si="4"/>
        <v>Baik</v>
      </c>
      <c r="AE43" s="65" t="str">
        <f t="shared" si="5"/>
        <v>Admin/CS</v>
      </c>
      <c r="AF43" s="65">
        <f t="shared" si="6"/>
        <v>1</v>
      </c>
      <c r="AG43" s="66" t="str">
        <f t="shared" si="7"/>
        <v>AMEL</v>
      </c>
    </row>
    <row r="44" ht="15.75" customHeight="1">
      <c r="A44" s="1"/>
      <c r="B44" s="51">
        <v>10.0</v>
      </c>
      <c r="C44" s="52"/>
      <c r="D44" s="54"/>
      <c r="E44" s="49"/>
      <c r="F44" s="1"/>
      <c r="G44" s="1"/>
      <c r="H44" s="1"/>
      <c r="I44" s="1"/>
      <c r="J44" s="1"/>
      <c r="K44" s="67" t="str">
        <f t="shared" si="2"/>
        <v>SAKA</v>
      </c>
      <c r="L44" s="68">
        <v>5.0</v>
      </c>
      <c r="M44" s="68">
        <v>4.0</v>
      </c>
      <c r="N44" s="68">
        <v>5.0</v>
      </c>
      <c r="O44" s="68">
        <v>4.0</v>
      </c>
      <c r="P44" s="68">
        <v>5.0</v>
      </c>
      <c r="Q44" s="1"/>
      <c r="R44" s="1"/>
      <c r="AC44" s="65">
        <f t="shared" si="3"/>
        <v>92</v>
      </c>
      <c r="AD44" s="65" t="str">
        <f t="shared" si="4"/>
        <v>Sangat Baik</v>
      </c>
      <c r="AE44" s="65" t="str">
        <f t="shared" si="5"/>
        <v>Fotografer</v>
      </c>
      <c r="AF44" s="65">
        <f t="shared" si="6"/>
        <v>1</v>
      </c>
      <c r="AG44" s="66" t="str">
        <f t="shared" si="7"/>
        <v>SAKA</v>
      </c>
    </row>
    <row r="45" ht="15.75" customHeight="1">
      <c r="A45" s="1"/>
      <c r="B45" s="69">
        <v>11.0</v>
      </c>
      <c r="C45" s="70"/>
      <c r="D45" s="71"/>
      <c r="E45" s="49"/>
      <c r="F45" s="1"/>
      <c r="G45" s="1"/>
      <c r="H45" s="1"/>
      <c r="I45" s="1"/>
      <c r="J45" s="1"/>
      <c r="K45" s="67" t="str">
        <f t="shared" si="2"/>
        <v>ADIF</v>
      </c>
      <c r="L45" s="68">
        <v>5.0</v>
      </c>
      <c r="M45" s="68">
        <v>5.0</v>
      </c>
      <c r="N45" s="68">
        <v>5.0</v>
      </c>
      <c r="O45" s="68">
        <v>4.0</v>
      </c>
      <c r="P45" s="68">
        <v>5.0</v>
      </c>
      <c r="Q45" s="1"/>
      <c r="R45" s="1"/>
      <c r="AC45" s="65">
        <f t="shared" si="3"/>
        <v>97</v>
      </c>
      <c r="AD45" s="65" t="str">
        <f t="shared" si="4"/>
        <v>Sangat Baik</v>
      </c>
      <c r="AE45" s="65" t="str">
        <f t="shared" si="5"/>
        <v>Fotografer</v>
      </c>
      <c r="AF45" s="65">
        <f t="shared" si="6"/>
        <v>1</v>
      </c>
      <c r="AG45" s="66" t="str">
        <f t="shared" si="7"/>
        <v>ADIF</v>
      </c>
    </row>
    <row r="46" ht="15.75" customHeight="1">
      <c r="A46" s="1"/>
      <c r="B46" s="1"/>
      <c r="C46" s="2"/>
      <c r="D46" s="72">
        <f>SUM(D35:D45)</f>
        <v>800000</v>
      </c>
      <c r="E46" s="1"/>
      <c r="F46" s="1"/>
      <c r="G46" s="1"/>
      <c r="H46" s="1"/>
      <c r="I46" s="1"/>
      <c r="J46" s="1"/>
      <c r="K46" s="67"/>
      <c r="L46" s="73"/>
      <c r="M46" s="73"/>
      <c r="N46" s="73"/>
      <c r="O46" s="73"/>
      <c r="P46" s="73"/>
      <c r="Q46" s="1"/>
      <c r="R46" s="1"/>
      <c r="AC46" s="65" t="str">
        <f t="shared" si="3"/>
        <v/>
      </c>
      <c r="AD46" s="65" t="str">
        <f t="shared" si="4"/>
        <v/>
      </c>
      <c r="AE46" s="65" t="str">
        <f t="shared" si="5"/>
        <v/>
      </c>
      <c r="AF46" s="65" t="str">
        <f t="shared" si="6"/>
        <v/>
      </c>
      <c r="AG46" s="66" t="str">
        <f t="shared" si="7"/>
        <v/>
      </c>
    </row>
    <row r="47" ht="15.75" customHeight="1">
      <c r="A47" s="1"/>
      <c r="B47" s="1"/>
      <c r="C47" s="2"/>
      <c r="D47" s="2"/>
      <c r="E47" s="1"/>
      <c r="F47" s="1"/>
      <c r="G47" s="1"/>
      <c r="H47" s="1"/>
      <c r="I47" s="1"/>
      <c r="J47" s="1"/>
      <c r="K47" s="67"/>
      <c r="L47" s="73"/>
      <c r="M47" s="73"/>
      <c r="N47" s="73"/>
      <c r="O47" s="73"/>
      <c r="P47" s="73"/>
      <c r="Q47" s="1"/>
      <c r="R47" s="1"/>
      <c r="AC47" s="65" t="str">
        <f t="shared" si="3"/>
        <v/>
      </c>
      <c r="AD47" s="65" t="str">
        <f t="shared" si="4"/>
        <v/>
      </c>
      <c r="AE47" s="65" t="str">
        <f t="shared" si="5"/>
        <v/>
      </c>
      <c r="AF47" s="65" t="str">
        <f t="shared" si="6"/>
        <v/>
      </c>
      <c r="AG47" s="66" t="str">
        <f t="shared" si="7"/>
        <v/>
      </c>
    </row>
    <row r="48" ht="15.75" customHeight="1">
      <c r="A48" s="1"/>
      <c r="B48" s="1"/>
      <c r="C48" s="2"/>
      <c r="D48" s="2"/>
      <c r="E48" s="1"/>
      <c r="F48" s="1"/>
      <c r="G48" s="1"/>
      <c r="H48" s="1"/>
      <c r="I48" s="1"/>
      <c r="J48" s="1"/>
      <c r="K48" s="74" t="s">
        <v>112</v>
      </c>
      <c r="Q48" s="1"/>
      <c r="R48" s="1"/>
    </row>
    <row r="49" ht="15.75" customHeight="1">
      <c r="A49" s="1"/>
      <c r="B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5.75" customHeight="1">
      <c r="A50" s="1"/>
      <c r="B50" s="1"/>
      <c r="C50" s="2"/>
      <c r="D50" s="2"/>
      <c r="E50" s="1"/>
      <c r="F50" s="1"/>
      <c r="G50" s="1"/>
      <c r="H50" s="1"/>
      <c r="I50" s="1"/>
      <c r="J50" s="1"/>
      <c r="K50" s="75" t="s">
        <v>113</v>
      </c>
      <c r="N50" s="1"/>
      <c r="O50" s="1"/>
      <c r="P50" s="1"/>
      <c r="Q50" s="1"/>
      <c r="R50" s="1"/>
    </row>
    <row r="51" ht="15.75" customHeight="1">
      <c r="K51" s="76" t="s">
        <v>7</v>
      </c>
      <c r="L51" s="76" t="s">
        <v>114</v>
      </c>
      <c r="M51" s="76" t="s">
        <v>115</v>
      </c>
    </row>
    <row r="52" ht="15.75" customHeight="1">
      <c r="K52" s="77" t="str">
        <f t="shared" ref="K52:K53" si="8">IF(O35="","",O35)</f>
        <v>INDAH</v>
      </c>
      <c r="L52" s="81">
        <v>7.0</v>
      </c>
      <c r="M52" s="78"/>
    </row>
    <row r="53" ht="15.75" customHeight="1">
      <c r="K53" s="77" t="str">
        <f t="shared" si="8"/>
        <v>AMEL</v>
      </c>
      <c r="L53" s="81">
        <v>3.0</v>
      </c>
      <c r="M53" s="78"/>
    </row>
    <row r="54" ht="15.75" customHeight="1"/>
    <row r="55" ht="19.5" customHeight="1">
      <c r="K55" s="79" t="s">
        <v>118</v>
      </c>
    </row>
    <row r="56" ht="19.5" customHeight="1">
      <c r="K56" s="80" t="s">
        <v>119</v>
      </c>
      <c r="M56" s="81">
        <v>38.0</v>
      </c>
    </row>
    <row r="57" ht="19.5" customHeight="1">
      <c r="K57" s="82" t="s">
        <v>120</v>
      </c>
      <c r="M57" s="83">
        <f>COUNTIF($I$4:$I$33,"DP")</f>
        <v>12</v>
      </c>
    </row>
    <row r="58" ht="19.5" customHeight="1">
      <c r="K58" s="82" t="s">
        <v>121</v>
      </c>
      <c r="M58" s="83">
        <f>COUNTIFS($I$4:$I$33,"&lt;&gt;DP",$I$4:$I$33,"&lt;&gt;")</f>
        <v>15</v>
      </c>
    </row>
    <row r="59" ht="19.5" customHeight="1">
      <c r="K59" s="84" t="s">
        <v>122</v>
      </c>
      <c r="M59" s="83">
        <f>M57+M58</f>
        <v>27</v>
      </c>
    </row>
    <row r="60" ht="19.5" customHeight="1">
      <c r="K60" s="80" t="s">
        <v>123</v>
      </c>
      <c r="M60" s="85">
        <f>IF(OR(M56="",M56=0),"",M57/M56)</f>
        <v>0.3157894737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6:L56"/>
    <mergeCell ref="K57:L57"/>
    <mergeCell ref="K58:L58"/>
    <mergeCell ref="K59:L59"/>
    <mergeCell ref="K60:L60"/>
    <mergeCell ref="L2:L3"/>
    <mergeCell ref="M2:M3"/>
    <mergeCell ref="N2:P2"/>
    <mergeCell ref="K40:P40"/>
    <mergeCell ref="K48:P48"/>
    <mergeCell ref="K50:M50"/>
    <mergeCell ref="K55:M55"/>
  </mergeCells>
  <conditionalFormatting sqref="I4:I33">
    <cfRule type="expression" dxfId="0" priority="1">
      <formula>I4="DP"</formula>
    </cfRule>
  </conditionalFormatting>
  <conditionalFormatting sqref="I4:I33">
    <cfRule type="expression" dxfId="1" priority="2">
      <formula>I4="Lunas"</formula>
    </cfRule>
  </conditionalFormatting>
  <conditionalFormatting sqref="J4:K33">
    <cfRule type="expression" dxfId="2" priority="3">
      <formula>OR(J4="Uploaded",J4="Delivered")</formula>
    </cfRule>
  </conditionalFormatting>
  <dataValidations>
    <dataValidation type="list" allowBlank="1" showDropDown="1" showErrorMessage="1" sqref="I4:I30">
      <formula1>"-,DP,Lunas"</formula1>
    </dataValidation>
    <dataValidation type="list" allowBlank="1" sqref="L42:P47">
      <formula1>"1,2,3,4,5"</formula1>
    </dataValidation>
    <dataValidation type="list" allowBlank="1" showDropDown="1" showErrorMessage="1" sqref="J4:K30">
      <formula1>"-,Pending,Uploaded"</formula1>
    </dataValidation>
    <dataValidation type="list" allowBlank="1" sqref="K42:K47">
      <formula1>'Resume Karyawan KPI'!$AK$5:$AK$15</formula1>
    </dataValidation>
    <dataValidation type="list" allowBlank="1" showDropDown="1" showErrorMessage="1" sqref="L22">
      <formula1>"-,JIJANG,AXEL,PENTIL,FAHME,INDAH,ADIF,Amel"</formula1>
    </dataValidation>
    <dataValidation type="list" allowBlank="1" showDropDown="1" showErrorMessage="1" sqref="M4:M30">
      <formula1>"-,VERO,FADEL,PENTIL,FAHME,ADIF,HANIF,SAKA"</formula1>
    </dataValidation>
    <dataValidation type="list" allowBlank="1" showErrorMessage="1" sqref="N4:N30">
      <formula1>"-,Pending,Progress,Uploaded"</formula1>
    </dataValidation>
    <dataValidation type="list" allowBlank="1" sqref="O35:O38">
      <formula1>"INDAH,ADDEL,AMEL,PENTIL,JIJANG,HANIF,FAHME,ADIF,ABROR,FADEL,SAKA"</formula1>
    </dataValidation>
    <dataValidation type="list" allowBlank="1" showErrorMessage="1" sqref="O4:O30">
      <formula1>"-,In Pikako,In Foxe"</formula1>
    </dataValidation>
    <dataValidation type="list" allowBlank="1" showDropDown="1" showErrorMessage="1" sqref="D4:D30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L4:L21 L23:L30">
      <formula1>"-,JIJANG,AXEL,PENTIL,FAHME,INDAH,ADIF,AMEL"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451</v>
      </c>
      <c r="D4" s="95" t="s">
        <v>23</v>
      </c>
      <c r="E4" s="14"/>
      <c r="F4" s="96">
        <v>46264.0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453</v>
      </c>
      <c r="D5" s="95" t="s">
        <v>22</v>
      </c>
      <c r="E5" s="14"/>
      <c r="F5" s="96">
        <v>46298.0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455</v>
      </c>
      <c r="D6" s="95" t="s">
        <v>23</v>
      </c>
      <c r="E6" s="14"/>
      <c r="F6" s="98">
        <v>46263.0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457</v>
      </c>
      <c r="D7" s="95" t="s">
        <v>195</v>
      </c>
      <c r="E7" s="14"/>
      <c r="F7" s="98">
        <v>46299.0</v>
      </c>
      <c r="G7" s="34"/>
      <c r="H7" s="97">
        <v>100000.0</v>
      </c>
      <c r="I7" s="92" t="s">
        <v>28</v>
      </c>
      <c r="J7" s="15"/>
      <c r="K7" s="15"/>
      <c r="L7" s="92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460</v>
      </c>
      <c r="D8" s="95" t="s">
        <v>22</v>
      </c>
      <c r="E8" s="14"/>
      <c r="F8" s="98">
        <v>46274.0</v>
      </c>
      <c r="G8" s="34"/>
      <c r="H8" s="97">
        <v>100000.0</v>
      </c>
      <c r="I8" s="92" t="s">
        <v>28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463</v>
      </c>
      <c r="D9" s="95" t="s">
        <v>22</v>
      </c>
      <c r="E9" s="14"/>
      <c r="F9" s="98">
        <v>46273.0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466</v>
      </c>
      <c r="D10" s="95" t="s">
        <v>22</v>
      </c>
      <c r="E10" s="14"/>
      <c r="F10" s="98">
        <v>46273.0</v>
      </c>
      <c r="G10" s="34"/>
      <c r="H10" s="97">
        <v>100000.0</v>
      </c>
      <c r="I10" s="92" t="s">
        <v>28</v>
      </c>
      <c r="J10" s="15"/>
      <c r="K10" s="15"/>
      <c r="L10" s="92" t="s">
        <v>30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469</v>
      </c>
      <c r="D11" s="95" t="s">
        <v>22</v>
      </c>
      <c r="E11" s="14"/>
      <c r="F11" s="98">
        <v>46274.0</v>
      </c>
      <c r="G11" s="34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472</v>
      </c>
      <c r="D12" s="95" t="s">
        <v>23</v>
      </c>
      <c r="E12" s="14"/>
      <c r="F12" s="98">
        <v>46252.0</v>
      </c>
      <c r="G12" s="101">
        <v>725000.0</v>
      </c>
      <c r="H12" s="35"/>
      <c r="I12" s="92" t="s">
        <v>35</v>
      </c>
      <c r="J12" s="92" t="s">
        <v>36</v>
      </c>
      <c r="K12" s="92" t="s">
        <v>36</v>
      </c>
      <c r="L12" s="92" t="s">
        <v>30</v>
      </c>
      <c r="M12" s="92" t="s">
        <v>47</v>
      </c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477</v>
      </c>
      <c r="D13" s="95" t="s">
        <v>22</v>
      </c>
      <c r="E13" s="14"/>
      <c r="F13" s="111">
        <v>46267.0</v>
      </c>
      <c r="G13" s="34"/>
      <c r="H13" s="97">
        <v>100000.0</v>
      </c>
      <c r="I13" s="92" t="s">
        <v>28</v>
      </c>
      <c r="J13" s="15"/>
      <c r="K13" s="15"/>
      <c r="L13" s="92" t="s">
        <v>30</v>
      </c>
      <c r="M13" s="15"/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481</v>
      </c>
      <c r="D14" s="95" t="s">
        <v>126</v>
      </c>
      <c r="E14" s="14"/>
      <c r="F14" s="111">
        <v>46262.0</v>
      </c>
      <c r="G14" s="34"/>
      <c r="H14" s="97">
        <v>100000.0</v>
      </c>
      <c r="I14" s="92" t="s">
        <v>35</v>
      </c>
      <c r="J14" s="92" t="s">
        <v>36</v>
      </c>
      <c r="K14" s="92" t="s">
        <v>36</v>
      </c>
      <c r="L14" s="92" t="s">
        <v>30</v>
      </c>
      <c r="M14" s="92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483</v>
      </c>
      <c r="D15" s="95" t="s">
        <v>22</v>
      </c>
      <c r="E15" s="14"/>
      <c r="F15" s="111">
        <v>46299.0</v>
      </c>
      <c r="G15" s="34"/>
      <c r="H15" s="97">
        <v>100000.0</v>
      </c>
      <c r="I15" s="92" t="s">
        <v>28</v>
      </c>
      <c r="J15" s="15"/>
      <c r="K15" s="15"/>
      <c r="L15" s="92" t="s">
        <v>30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487</v>
      </c>
      <c r="D16" s="95" t="s">
        <v>23</v>
      </c>
      <c r="E16" s="14"/>
      <c r="F16" s="111">
        <v>46262.0</v>
      </c>
      <c r="G16" s="34"/>
      <c r="H16" s="97">
        <v>425000.0</v>
      </c>
      <c r="I16" s="92" t="s">
        <v>35</v>
      </c>
      <c r="J16" s="92" t="s">
        <v>36</v>
      </c>
      <c r="K16" s="92" t="s">
        <v>77</v>
      </c>
      <c r="L16" s="92" t="s">
        <v>30</v>
      </c>
      <c r="M16" s="92" t="s">
        <v>37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490</v>
      </c>
      <c r="D17" s="95" t="s">
        <v>22</v>
      </c>
      <c r="E17" s="14"/>
      <c r="F17" s="92" t="s">
        <v>491</v>
      </c>
      <c r="G17" s="34"/>
      <c r="H17" s="97">
        <v>100000.0</v>
      </c>
      <c r="I17" s="92" t="s">
        <v>28</v>
      </c>
      <c r="J17" s="15"/>
      <c r="K17" s="15"/>
      <c r="L17" s="92" t="s">
        <v>30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489</v>
      </c>
      <c r="D18" s="95" t="s">
        <v>24</v>
      </c>
      <c r="E18" s="14"/>
      <c r="F18" s="111">
        <v>46263.0</v>
      </c>
      <c r="G18" s="34"/>
      <c r="H18" s="97">
        <v>100000.0</v>
      </c>
      <c r="I18" s="92" t="s">
        <v>28</v>
      </c>
      <c r="J18" s="15"/>
      <c r="K18" s="15"/>
      <c r="L18" s="92" t="s">
        <v>30</v>
      </c>
      <c r="M18" s="15"/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494</v>
      </c>
      <c r="D19" s="95" t="s">
        <v>22</v>
      </c>
      <c r="E19" s="14"/>
      <c r="F19" s="111">
        <v>46267.0</v>
      </c>
      <c r="G19" s="34"/>
      <c r="H19" s="97">
        <v>100000.0</v>
      </c>
      <c r="I19" s="92" t="s">
        <v>28</v>
      </c>
      <c r="J19" s="15"/>
      <c r="K19" s="15"/>
      <c r="L19" s="92" t="s">
        <v>30</v>
      </c>
      <c r="M19" s="15"/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123" t="s">
        <v>450</v>
      </c>
      <c r="D20" s="95" t="s">
        <v>23</v>
      </c>
      <c r="E20" s="14"/>
      <c r="F20" s="111">
        <v>46262.0</v>
      </c>
      <c r="G20" s="34"/>
      <c r="H20" s="97">
        <v>125000.0</v>
      </c>
      <c r="I20" s="92" t="s">
        <v>35</v>
      </c>
      <c r="J20" s="92" t="s">
        <v>36</v>
      </c>
      <c r="K20" s="92" t="s">
        <v>77</v>
      </c>
      <c r="L20" s="92" t="s">
        <v>30</v>
      </c>
      <c r="M20" s="92" t="s">
        <v>37</v>
      </c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123" t="s">
        <v>498</v>
      </c>
      <c r="D21" s="95" t="s">
        <v>23</v>
      </c>
      <c r="E21" s="14"/>
      <c r="F21" s="111">
        <v>46264.0</v>
      </c>
      <c r="G21" s="34"/>
      <c r="H21" s="97">
        <v>100000.0</v>
      </c>
      <c r="I21" s="92" t="s">
        <v>28</v>
      </c>
      <c r="J21" s="15"/>
      <c r="K21" s="15"/>
      <c r="L21" s="92" t="s">
        <v>30</v>
      </c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501</v>
      </c>
      <c r="D22" s="95" t="s">
        <v>126</v>
      </c>
      <c r="E22" s="14"/>
      <c r="F22" s="111">
        <v>46265.0</v>
      </c>
      <c r="G22" s="34"/>
      <c r="H22" s="97">
        <v>100000.0</v>
      </c>
      <c r="I22" s="92" t="s">
        <v>28</v>
      </c>
      <c r="J22" s="15"/>
      <c r="K22" s="15"/>
      <c r="L22" s="92" t="s">
        <v>30</v>
      </c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307</v>
      </c>
      <c r="D23" s="95" t="s">
        <v>23</v>
      </c>
      <c r="E23" s="14"/>
      <c r="F23" s="111">
        <v>46270.0</v>
      </c>
      <c r="G23" s="34"/>
      <c r="H23" s="97">
        <v>100000.0</v>
      </c>
      <c r="I23" s="92" t="s">
        <v>28</v>
      </c>
      <c r="J23" s="15"/>
      <c r="K23" s="15"/>
      <c r="L23" s="92" t="s">
        <v>30</v>
      </c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94" t="s">
        <v>506</v>
      </c>
      <c r="D24" s="95" t="s">
        <v>24</v>
      </c>
      <c r="E24" s="14"/>
      <c r="F24" s="111">
        <v>46262.0</v>
      </c>
      <c r="G24" s="34"/>
      <c r="H24" s="97">
        <v>350000.0</v>
      </c>
      <c r="I24" s="92" t="s">
        <v>35</v>
      </c>
      <c r="J24" s="92" t="s">
        <v>36</v>
      </c>
      <c r="K24" s="92" t="s">
        <v>77</v>
      </c>
      <c r="L24" s="92" t="s">
        <v>30</v>
      </c>
      <c r="M24" s="92" t="s">
        <v>37</v>
      </c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94" t="s">
        <v>508</v>
      </c>
      <c r="D25" s="95" t="s">
        <v>23</v>
      </c>
      <c r="E25" s="14"/>
      <c r="F25" s="111">
        <v>46262.0</v>
      </c>
      <c r="G25" s="34"/>
      <c r="H25" s="97">
        <v>200000.0</v>
      </c>
      <c r="I25" s="92" t="s">
        <v>35</v>
      </c>
      <c r="J25" s="92" t="s">
        <v>36</v>
      </c>
      <c r="K25" s="92" t="s">
        <v>36</v>
      </c>
      <c r="L25" s="92" t="s">
        <v>30</v>
      </c>
      <c r="M25" s="92" t="s">
        <v>37</v>
      </c>
      <c r="N25" s="41"/>
      <c r="O25" s="41"/>
      <c r="P25" s="41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42">
        <f t="shared" ref="G26:H26" si="1">SUM(G4:G25)</f>
        <v>725000</v>
      </c>
      <c r="H26" s="43">
        <f t="shared" si="1"/>
        <v>2800000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1"/>
      <c r="B29" s="44" t="s">
        <v>0</v>
      </c>
      <c r="C29" s="45" t="s">
        <v>6</v>
      </c>
      <c r="D29" s="45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45" t="s">
        <v>89</v>
      </c>
      <c r="O29" s="45" t="s">
        <v>1</v>
      </c>
      <c r="P29" s="1"/>
      <c r="Q29" s="1"/>
      <c r="R29" s="1"/>
    </row>
    <row r="30" ht="15.75" customHeight="1">
      <c r="A30" s="1"/>
      <c r="B30" s="46">
        <v>1.0</v>
      </c>
      <c r="C30" s="47" t="s">
        <v>90</v>
      </c>
      <c r="D30" s="48">
        <f>SUM(G26)</f>
        <v>725000</v>
      </c>
      <c r="E30" s="49"/>
      <c r="F30" s="1"/>
      <c r="G30" s="1"/>
      <c r="H30" s="1"/>
      <c r="I30" s="1"/>
      <c r="J30" s="1"/>
      <c r="K30" s="1"/>
      <c r="L30" s="1"/>
      <c r="M30" s="1"/>
      <c r="N30" s="50" t="s">
        <v>91</v>
      </c>
      <c r="O30" s="109" t="s">
        <v>30</v>
      </c>
      <c r="P30" s="1"/>
      <c r="Q30" s="1"/>
      <c r="R30" s="1"/>
    </row>
    <row r="31" ht="15.75" customHeight="1">
      <c r="A31" s="1"/>
      <c r="B31" s="51">
        <v>2.0</v>
      </c>
      <c r="C31" s="93" t="s">
        <v>237</v>
      </c>
      <c r="D31" s="108">
        <v>-16000.0</v>
      </c>
      <c r="E31" s="49"/>
      <c r="F31" s="1"/>
      <c r="G31" s="1"/>
      <c r="H31" s="1"/>
      <c r="I31" s="1"/>
      <c r="J31" s="1"/>
      <c r="K31" s="1"/>
      <c r="L31" s="1"/>
      <c r="M31" s="1"/>
      <c r="N31" s="56" t="s">
        <v>93</v>
      </c>
      <c r="O31" s="105" t="s">
        <v>30</v>
      </c>
      <c r="P31" s="1"/>
      <c r="Q31" s="1"/>
      <c r="R31" s="1"/>
    </row>
    <row r="32" ht="15.75" customHeight="1">
      <c r="A32" s="1"/>
      <c r="B32" s="46">
        <v>3.0</v>
      </c>
      <c r="C32" s="106" t="s">
        <v>101</v>
      </c>
      <c r="D32" s="107">
        <v>-100000.0</v>
      </c>
      <c r="E32" s="49"/>
      <c r="F32" s="1"/>
      <c r="G32" s="1"/>
      <c r="H32" s="1"/>
      <c r="I32" s="1"/>
      <c r="J32" s="1"/>
      <c r="K32" s="1"/>
      <c r="L32" s="1"/>
      <c r="M32" s="1"/>
      <c r="N32" s="59" t="s">
        <v>95</v>
      </c>
      <c r="O32" s="110" t="s">
        <v>47</v>
      </c>
      <c r="P32" s="1"/>
      <c r="Q32" s="1"/>
      <c r="R32" s="1"/>
    </row>
    <row r="33" ht="15.75" customHeight="1">
      <c r="A33" s="1"/>
      <c r="B33" s="51">
        <v>4.0</v>
      </c>
      <c r="C33" s="93" t="s">
        <v>516</v>
      </c>
      <c r="D33" s="108">
        <v>-100000.0</v>
      </c>
      <c r="E33" s="49"/>
      <c r="F33" s="1"/>
      <c r="G33" s="1"/>
      <c r="H33" s="1"/>
      <c r="I33" s="1"/>
      <c r="J33" s="1"/>
      <c r="K33" s="1"/>
      <c r="L33" s="1"/>
      <c r="M33" s="1"/>
      <c r="N33" s="60" t="s">
        <v>98</v>
      </c>
      <c r="O33" s="105" t="s">
        <v>37</v>
      </c>
      <c r="P33" s="1"/>
      <c r="Q33" s="1"/>
      <c r="R33" s="1"/>
    </row>
    <row r="34" ht="15.75" customHeight="1">
      <c r="A34" s="1"/>
      <c r="B34" s="46">
        <v>5.0</v>
      </c>
      <c r="C34" s="106" t="s">
        <v>99</v>
      </c>
      <c r="D34" s="107">
        <v>-59000.0</v>
      </c>
      <c r="E34" s="49"/>
      <c r="F34" s="1"/>
      <c r="G34" s="1"/>
      <c r="H34" s="1"/>
      <c r="I34" s="1"/>
      <c r="J34" s="1"/>
      <c r="K34" s="1"/>
      <c r="L34" s="1"/>
      <c r="M34" s="1"/>
      <c r="N34" s="61"/>
      <c r="O34" s="1"/>
      <c r="P34" s="1"/>
      <c r="Q34" s="1"/>
      <c r="R34" s="1"/>
    </row>
    <row r="35" ht="15.75" customHeight="1">
      <c r="A35" s="1"/>
      <c r="B35" s="51">
        <v>6.0</v>
      </c>
      <c r="C35" s="93" t="s">
        <v>517</v>
      </c>
      <c r="D35" s="108">
        <v>-100000.0</v>
      </c>
      <c r="E35" s="49"/>
      <c r="F35" s="64">
        <f>D31+D33+D35</f>
        <v>-216000</v>
      </c>
      <c r="G35" s="1"/>
      <c r="H35" s="1"/>
      <c r="I35" s="1"/>
      <c r="J35" s="1"/>
      <c r="K35" s="62" t="s">
        <v>100</v>
      </c>
      <c r="Q35" s="1"/>
      <c r="R35" s="1"/>
    </row>
    <row r="36" ht="15.75" customHeight="1">
      <c r="A36" s="1"/>
      <c r="B36" s="46">
        <v>7.0</v>
      </c>
      <c r="C36" s="106" t="s">
        <v>174</v>
      </c>
      <c r="D36" s="107">
        <v>-50000.0</v>
      </c>
      <c r="E36" s="49"/>
      <c r="F36" s="1"/>
      <c r="G36" s="1"/>
      <c r="H36" s="1"/>
      <c r="I36" s="1"/>
      <c r="J36" s="1"/>
      <c r="K36" s="63" t="s">
        <v>1</v>
      </c>
      <c r="L36" s="63" t="s">
        <v>102</v>
      </c>
      <c r="M36" s="63" t="s">
        <v>103</v>
      </c>
      <c r="N36" s="63" t="s">
        <v>104</v>
      </c>
      <c r="O36" s="63" t="s">
        <v>105</v>
      </c>
      <c r="P36" s="63" t="s">
        <v>106</v>
      </c>
      <c r="Q36" s="1"/>
      <c r="R36" s="1"/>
      <c r="AC36" s="65" t="s">
        <v>107</v>
      </c>
      <c r="AD36" s="65" t="s">
        <v>108</v>
      </c>
      <c r="AE36" s="65" t="s">
        <v>109</v>
      </c>
      <c r="AF36" s="65" t="s">
        <v>110</v>
      </c>
      <c r="AG36" s="66" t="s">
        <v>111</v>
      </c>
    </row>
    <row r="37" ht="15.75" customHeight="1">
      <c r="A37" s="1"/>
      <c r="B37" s="51">
        <v>8.0</v>
      </c>
      <c r="C37" s="52"/>
      <c r="D37" s="54"/>
      <c r="E37" s="49"/>
      <c r="F37" s="1"/>
      <c r="G37" s="1"/>
      <c r="H37" s="1"/>
      <c r="I37" s="1"/>
      <c r="J37" s="1"/>
      <c r="K37" s="67" t="str">
        <f t="shared" ref="K37:K40" si="2">IF(O30="","",O30)</f>
        <v>INDAH</v>
      </c>
      <c r="L37" s="68">
        <v>5.0</v>
      </c>
      <c r="M37" s="68">
        <v>5.0</v>
      </c>
      <c r="N37" s="68">
        <v>5.0</v>
      </c>
      <c r="O37" s="68">
        <v>5.0</v>
      </c>
      <c r="P37" s="68">
        <v>5.0</v>
      </c>
      <c r="Q37" s="1"/>
      <c r="R37" s="1"/>
      <c r="AC37" s="65">
        <f t="shared" ref="AC37:AC42" si="3">IF(AG37="","",IF(COUNT(L37:P37)&lt;5,"",L37/5*20+M37/5*25+N37/5*25+O37/5*15+P37/5*15))</f>
        <v>100</v>
      </c>
      <c r="AD37" s="65" t="str">
        <f t="shared" ref="AD37:AD42" si="4">IF(AC37="","",IF(AC37&gt;=90,"Sangat Baik",IF(AC37&gt;=80,"Baik",IF(AC37&gt;=70,"Coaching","Underperform"))))</f>
        <v>Sangat Baik</v>
      </c>
      <c r="AE37" s="65" t="str">
        <f t="shared" ref="AE37:AE42" si="5">IF(AG37="","",IF(OR(AG37="INDAH",AG37="ADDEL",AG37="AMEL",AG37="PENTIL",AG37="JIJANG"),"Admin/CS","Fotografer"))</f>
        <v>Admin/CS</v>
      </c>
      <c r="AF37" s="65">
        <f t="shared" ref="AF37:AF42" si="6">IF(OR(AG37="",COUNT(L37:P37)&lt;5),"",1)</f>
        <v>1</v>
      </c>
      <c r="AG37" s="66" t="str">
        <f t="shared" ref="AG37:AG42" si="7">IFERROR(K37,"")</f>
        <v>INDAH</v>
      </c>
    </row>
    <row r="38" ht="15.75" customHeight="1">
      <c r="A38" s="1"/>
      <c r="B38" s="46">
        <v>9.0</v>
      </c>
      <c r="C38" s="47"/>
      <c r="D38" s="48"/>
      <c r="E38" s="49"/>
      <c r="F38" s="1"/>
      <c r="G38" s="1"/>
      <c r="H38" s="1"/>
      <c r="I38" s="1"/>
      <c r="J38" s="1"/>
      <c r="K38" s="67" t="str">
        <f t="shared" si="2"/>
        <v>INDAH</v>
      </c>
      <c r="L38" s="68">
        <v>5.0</v>
      </c>
      <c r="M38" s="68">
        <v>5.0</v>
      </c>
      <c r="N38" s="68">
        <v>5.0</v>
      </c>
      <c r="O38" s="68">
        <v>5.0</v>
      </c>
      <c r="P38" s="68">
        <v>5.0</v>
      </c>
      <c r="Q38" s="1"/>
      <c r="R38" s="1"/>
      <c r="AC38" s="65">
        <f t="shared" si="3"/>
        <v>100</v>
      </c>
      <c r="AD38" s="65" t="str">
        <f t="shared" si="4"/>
        <v>Sangat Baik</v>
      </c>
      <c r="AE38" s="65" t="str">
        <f t="shared" si="5"/>
        <v>Admin/CS</v>
      </c>
      <c r="AF38" s="65">
        <f t="shared" si="6"/>
        <v>1</v>
      </c>
      <c r="AG38" s="66" t="str">
        <f t="shared" si="7"/>
        <v>INDAH</v>
      </c>
    </row>
    <row r="39" ht="15.75" customHeight="1">
      <c r="A39" s="1"/>
      <c r="B39" s="51">
        <v>10.0</v>
      </c>
      <c r="C39" s="52"/>
      <c r="D39" s="54"/>
      <c r="E39" s="49"/>
      <c r="F39" s="1"/>
      <c r="G39" s="1"/>
      <c r="H39" s="1"/>
      <c r="I39" s="1"/>
      <c r="J39" s="1"/>
      <c r="K39" s="67" t="str">
        <f t="shared" si="2"/>
        <v>SAKA</v>
      </c>
      <c r="L39" s="68">
        <v>5.0</v>
      </c>
      <c r="M39" s="68">
        <v>5.0</v>
      </c>
      <c r="N39" s="68">
        <v>5.0</v>
      </c>
      <c r="O39" s="68">
        <v>5.0</v>
      </c>
      <c r="P39" s="68">
        <v>5.0</v>
      </c>
      <c r="Q39" s="1"/>
      <c r="R39" s="1"/>
      <c r="AC39" s="65">
        <f t="shared" si="3"/>
        <v>100</v>
      </c>
      <c r="AD39" s="65" t="str">
        <f t="shared" si="4"/>
        <v>Sangat Baik</v>
      </c>
      <c r="AE39" s="65" t="str">
        <f t="shared" si="5"/>
        <v>Fotografer</v>
      </c>
      <c r="AF39" s="65">
        <f t="shared" si="6"/>
        <v>1</v>
      </c>
      <c r="AG39" s="66" t="str">
        <f t="shared" si="7"/>
        <v>SAKA</v>
      </c>
    </row>
    <row r="40" ht="15.75" customHeight="1">
      <c r="A40" s="1"/>
      <c r="B40" s="69">
        <v>11.0</v>
      </c>
      <c r="C40" s="70"/>
      <c r="D40" s="71"/>
      <c r="E40" s="49"/>
      <c r="F40" s="1"/>
      <c r="G40" s="1"/>
      <c r="H40" s="1"/>
      <c r="I40" s="1"/>
      <c r="J40" s="1"/>
      <c r="K40" s="67" t="str">
        <f t="shared" si="2"/>
        <v>ADIF</v>
      </c>
      <c r="L40" s="68">
        <v>5.0</v>
      </c>
      <c r="M40" s="68">
        <v>5.0</v>
      </c>
      <c r="N40" s="68">
        <v>5.0</v>
      </c>
      <c r="O40" s="68">
        <v>5.0</v>
      </c>
      <c r="P40" s="68">
        <v>5.0</v>
      </c>
      <c r="Q40" s="1"/>
      <c r="R40" s="1"/>
      <c r="AC40" s="65">
        <f t="shared" si="3"/>
        <v>100</v>
      </c>
      <c r="AD40" s="65" t="str">
        <f t="shared" si="4"/>
        <v>Sangat Baik</v>
      </c>
      <c r="AE40" s="65" t="str">
        <f t="shared" si="5"/>
        <v>Fotografer</v>
      </c>
      <c r="AF40" s="65">
        <f t="shared" si="6"/>
        <v>1</v>
      </c>
      <c r="AG40" s="66" t="str">
        <f t="shared" si="7"/>
        <v>ADIF</v>
      </c>
    </row>
    <row r="41" ht="15.75" customHeight="1">
      <c r="A41" s="1"/>
      <c r="B41" s="1"/>
      <c r="C41" s="2"/>
      <c r="D41" s="72">
        <f>SUM(D30:D40)</f>
        <v>300000</v>
      </c>
      <c r="E41" s="1"/>
      <c r="F41" s="1"/>
      <c r="G41" s="1"/>
      <c r="H41" s="1"/>
      <c r="I41" s="1"/>
      <c r="J41" s="1"/>
      <c r="K41" s="67"/>
      <c r="L41" s="73"/>
      <c r="M41" s="73"/>
      <c r="N41" s="73"/>
      <c r="O41" s="73"/>
      <c r="P41" s="73"/>
      <c r="Q41" s="1"/>
      <c r="R41" s="1"/>
      <c r="AC41" s="65" t="str">
        <f t="shared" si="3"/>
        <v/>
      </c>
      <c r="AD41" s="65" t="str">
        <f t="shared" si="4"/>
        <v/>
      </c>
      <c r="AE41" s="65" t="str">
        <f t="shared" si="5"/>
        <v/>
      </c>
      <c r="AF41" s="65" t="str">
        <f t="shared" si="6"/>
        <v/>
      </c>
      <c r="AG41" s="66" t="str">
        <f t="shared" si="7"/>
        <v/>
      </c>
    </row>
    <row r="42" ht="15.75" customHeight="1">
      <c r="A42" s="1"/>
      <c r="B42" s="1"/>
      <c r="C42" s="2"/>
      <c r="D42" s="2"/>
      <c r="E42" s="1"/>
      <c r="F42" s="1"/>
      <c r="G42" s="1"/>
      <c r="H42" s="1"/>
      <c r="I42" s="1"/>
      <c r="J42" s="1"/>
      <c r="K42" s="67"/>
      <c r="L42" s="73"/>
      <c r="M42" s="73"/>
      <c r="N42" s="73"/>
      <c r="O42" s="73"/>
      <c r="P42" s="73"/>
      <c r="Q42" s="1"/>
      <c r="R42" s="1"/>
      <c r="AC42" s="65" t="str">
        <f t="shared" si="3"/>
        <v/>
      </c>
      <c r="AD42" s="65" t="str">
        <f t="shared" si="4"/>
        <v/>
      </c>
      <c r="AE42" s="65" t="str">
        <f t="shared" si="5"/>
        <v/>
      </c>
      <c r="AF42" s="65" t="str">
        <f t="shared" si="6"/>
        <v/>
      </c>
      <c r="AG42" s="66" t="str">
        <f t="shared" si="7"/>
        <v/>
      </c>
    </row>
    <row r="43" ht="15.75" customHeight="1">
      <c r="A43" s="1"/>
      <c r="B43" s="1"/>
      <c r="C43" s="2"/>
      <c r="D43" s="2"/>
      <c r="E43" s="1"/>
      <c r="F43" s="1"/>
      <c r="G43" s="1"/>
      <c r="H43" s="1"/>
      <c r="I43" s="1"/>
      <c r="J43" s="1"/>
      <c r="K43" s="74" t="s">
        <v>112</v>
      </c>
      <c r="Q43" s="1"/>
      <c r="R43" s="1"/>
    </row>
    <row r="44" ht="15.7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75" t="s">
        <v>113</v>
      </c>
      <c r="N45" s="1"/>
      <c r="O45" s="1"/>
      <c r="P45" s="1"/>
      <c r="Q45" s="1"/>
      <c r="R45" s="1"/>
    </row>
    <row r="46" ht="15.75" customHeight="1">
      <c r="K46" s="76" t="s">
        <v>7</v>
      </c>
      <c r="L46" s="76" t="s">
        <v>114</v>
      </c>
      <c r="M46" s="76" t="s">
        <v>115</v>
      </c>
    </row>
    <row r="47" ht="15.75" customHeight="1">
      <c r="K47" s="77" t="str">
        <f t="shared" ref="K47:K48" si="8">IF(O30="","",O30)</f>
        <v>INDAH</v>
      </c>
      <c r="L47" s="81">
        <v>17.0</v>
      </c>
      <c r="M47" s="78"/>
    </row>
    <row r="48" ht="15.75" customHeight="1">
      <c r="K48" s="77" t="str">
        <f t="shared" si="8"/>
        <v>INDAH</v>
      </c>
      <c r="L48" s="78"/>
      <c r="M48" s="78"/>
    </row>
    <row r="49" ht="15.75" customHeight="1"/>
    <row r="50" ht="19.5" customHeight="1">
      <c r="K50" s="79" t="s">
        <v>118</v>
      </c>
    </row>
    <row r="51" ht="19.5" customHeight="1">
      <c r="K51" s="80" t="s">
        <v>119</v>
      </c>
      <c r="M51" s="81">
        <v>53.0</v>
      </c>
    </row>
    <row r="52" ht="19.5" customHeight="1">
      <c r="K52" s="82" t="s">
        <v>120</v>
      </c>
      <c r="M52" s="83">
        <f>COUNTIF($I$4:$I$28,"DP")</f>
        <v>16</v>
      </c>
    </row>
    <row r="53" ht="19.5" customHeight="1">
      <c r="K53" s="82" t="s">
        <v>121</v>
      </c>
      <c r="M53" s="83">
        <f>COUNTIFS($I$4:$I$28,"&lt;&gt;DP",$I$4:$I$28,"&lt;&gt;")</f>
        <v>6</v>
      </c>
    </row>
    <row r="54" ht="19.5" customHeight="1">
      <c r="K54" s="84" t="s">
        <v>122</v>
      </c>
      <c r="M54" s="83">
        <f>M52+M53</f>
        <v>22</v>
      </c>
    </row>
    <row r="55" ht="19.5" customHeight="1">
      <c r="K55" s="80" t="s">
        <v>123</v>
      </c>
      <c r="M55" s="85">
        <f>IF(OR(M51="",M51=0),"",M52/M51)</f>
        <v>0.3018867925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1:L51"/>
    <mergeCell ref="K52:L52"/>
    <mergeCell ref="K53:L53"/>
    <mergeCell ref="K54:L54"/>
    <mergeCell ref="K55:L55"/>
    <mergeCell ref="L2:L3"/>
    <mergeCell ref="M2:M3"/>
    <mergeCell ref="N2:P2"/>
    <mergeCell ref="K35:P35"/>
    <mergeCell ref="K43:P43"/>
    <mergeCell ref="K45:M45"/>
    <mergeCell ref="K50:M50"/>
  </mergeCells>
  <conditionalFormatting sqref="I4:I28">
    <cfRule type="expression" dxfId="0" priority="1">
      <formula>I4="DP"</formula>
    </cfRule>
  </conditionalFormatting>
  <conditionalFormatting sqref="I4:I28">
    <cfRule type="expression" dxfId="1" priority="2">
      <formula>I4="Lunas"</formula>
    </cfRule>
  </conditionalFormatting>
  <conditionalFormatting sqref="J4:K28">
    <cfRule type="expression" dxfId="2" priority="3">
      <formula>OR(J4="Uploaded",J4="Delivered")</formula>
    </cfRule>
  </conditionalFormatting>
  <dataValidations>
    <dataValidation type="list" allowBlank="1" showDropDown="1" showErrorMessage="1" sqref="I4:I25">
      <formula1>"-,DP,Lunas"</formula1>
    </dataValidation>
    <dataValidation type="list" allowBlank="1" sqref="L37:P42">
      <formula1>"1,2,3,4,5"</formula1>
    </dataValidation>
    <dataValidation type="list" allowBlank="1" showDropDown="1" showErrorMessage="1" sqref="J4:K25">
      <formula1>"-,Pending,Uploaded"</formula1>
    </dataValidation>
    <dataValidation type="list" allowBlank="1" sqref="K37:K42">
      <formula1>'Resume Karyawan KPI'!$AK$5:$AK$15</formula1>
    </dataValidation>
    <dataValidation type="list" allowBlank="1" showDropDown="1" showErrorMessage="1" sqref="M4:M25">
      <formula1>"-,VERO,FADEL,PENTIL,ADIF,HANIF,SAKA"</formula1>
    </dataValidation>
    <dataValidation type="list" allowBlank="1" showDropDown="1" showErrorMessage="1" sqref="L4:L25">
      <formula1>"-,JIJANG,AXEL,ADDEL,FAHME,INDAH"</formula1>
    </dataValidation>
    <dataValidation type="list" allowBlank="1" showErrorMessage="1" sqref="N4:N25">
      <formula1>"-,Pending,Progress,Uploaded"</formula1>
    </dataValidation>
    <dataValidation type="list" allowBlank="1" sqref="O30:O33">
      <formula1>"INDAH,ADDEL,AMEL,PENTIL,JIJANG,HANIF,FAHME,ADIF,ABROR,FADEL,SAKA"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Person,Add Edit,Photofox"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67.0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458</v>
      </c>
      <c r="D4" s="95" t="s">
        <v>23</v>
      </c>
      <c r="E4" s="14"/>
      <c r="F4" s="92" t="s">
        <v>461</v>
      </c>
      <c r="G4" s="34"/>
      <c r="H4" s="97">
        <v>100000.0</v>
      </c>
      <c r="I4" s="92" t="s">
        <v>28</v>
      </c>
      <c r="J4" s="15"/>
      <c r="K4" s="15"/>
      <c r="L4" s="92" t="s">
        <v>29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464</v>
      </c>
      <c r="D5" s="95" t="s">
        <v>23</v>
      </c>
      <c r="E5" s="14"/>
      <c r="F5" s="92" t="s">
        <v>465</v>
      </c>
      <c r="G5" s="101">
        <v>500000.0</v>
      </c>
      <c r="H5" s="35"/>
      <c r="I5" s="92" t="s">
        <v>35</v>
      </c>
      <c r="J5" s="92" t="s">
        <v>36</v>
      </c>
      <c r="K5" s="92" t="s">
        <v>131</v>
      </c>
      <c r="L5" s="92" t="s">
        <v>29</v>
      </c>
      <c r="M5" s="92" t="s">
        <v>47</v>
      </c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467</v>
      </c>
      <c r="D6" s="95" t="s">
        <v>22</v>
      </c>
      <c r="E6" s="14"/>
      <c r="F6" s="92" t="s">
        <v>208</v>
      </c>
      <c r="G6" s="34"/>
      <c r="H6" s="97">
        <v>100000.0</v>
      </c>
      <c r="I6" s="92" t="s">
        <v>28</v>
      </c>
      <c r="J6" s="15"/>
      <c r="K6" s="15"/>
      <c r="L6" s="92" t="s">
        <v>29</v>
      </c>
      <c r="M6" s="92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470</v>
      </c>
      <c r="D7" s="95" t="s">
        <v>23</v>
      </c>
      <c r="E7" s="14"/>
      <c r="F7" s="92" t="s">
        <v>465</v>
      </c>
      <c r="G7" s="34"/>
      <c r="H7" s="97">
        <v>175000.0</v>
      </c>
      <c r="I7" s="92" t="s">
        <v>35</v>
      </c>
      <c r="J7" s="92" t="s">
        <v>36</v>
      </c>
      <c r="K7" s="92" t="s">
        <v>77</v>
      </c>
      <c r="L7" s="92" t="s">
        <v>29</v>
      </c>
      <c r="M7" s="92" t="s">
        <v>47</v>
      </c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473</v>
      </c>
      <c r="D8" s="95" t="s">
        <v>23</v>
      </c>
      <c r="E8" s="14"/>
      <c r="F8" s="92" t="s">
        <v>461</v>
      </c>
      <c r="G8" s="34"/>
      <c r="H8" s="97">
        <v>100000.0</v>
      </c>
      <c r="I8" s="92" t="s">
        <v>28</v>
      </c>
      <c r="J8" s="15"/>
      <c r="K8" s="15"/>
      <c r="L8" s="92" t="s">
        <v>29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475</v>
      </c>
      <c r="D9" s="95" t="s">
        <v>159</v>
      </c>
      <c r="E9" s="100" t="s">
        <v>476</v>
      </c>
      <c r="F9" s="111">
        <v>46277.0</v>
      </c>
      <c r="G9" s="34"/>
      <c r="H9" s="97">
        <v>200000.0</v>
      </c>
      <c r="I9" s="92" t="s">
        <v>28</v>
      </c>
      <c r="J9" s="15"/>
      <c r="K9" s="15"/>
      <c r="L9" s="92" t="s">
        <v>29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479</v>
      </c>
      <c r="D10" s="95" t="s">
        <v>23</v>
      </c>
      <c r="E10" s="14"/>
      <c r="F10" s="92" t="s">
        <v>480</v>
      </c>
      <c r="G10" s="34"/>
      <c r="H10" s="97">
        <v>100000.0</v>
      </c>
      <c r="I10" s="92" t="s">
        <v>28</v>
      </c>
      <c r="J10" s="15"/>
      <c r="K10" s="15"/>
      <c r="L10" s="92" t="s">
        <v>29</v>
      </c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253</v>
      </c>
      <c r="D11" s="95" t="s">
        <v>126</v>
      </c>
      <c r="E11" s="14"/>
      <c r="F11" s="92" t="s">
        <v>465</v>
      </c>
      <c r="G11" s="34"/>
      <c r="H11" s="97">
        <v>100000.0</v>
      </c>
      <c r="I11" s="92" t="s">
        <v>35</v>
      </c>
      <c r="J11" s="92" t="s">
        <v>36</v>
      </c>
      <c r="K11" s="92" t="s">
        <v>131</v>
      </c>
      <c r="L11" s="92" t="s">
        <v>29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484</v>
      </c>
      <c r="D12" s="95" t="s">
        <v>22</v>
      </c>
      <c r="E12" s="14"/>
      <c r="F12" s="111">
        <v>46266.0</v>
      </c>
      <c r="G12" s="34"/>
      <c r="H12" s="97">
        <v>100000.0</v>
      </c>
      <c r="I12" s="92" t="s">
        <v>28</v>
      </c>
      <c r="J12" s="15"/>
      <c r="K12" s="15"/>
      <c r="L12" s="92" t="s">
        <v>29</v>
      </c>
      <c r="M12" s="15"/>
      <c r="N12" s="29"/>
      <c r="O12" s="29"/>
      <c r="P12" s="29"/>
      <c r="Q12" s="1"/>
      <c r="R12" s="1"/>
    </row>
    <row r="13" ht="15.75" customHeight="1">
      <c r="A13" s="1"/>
      <c r="B13" s="92">
        <v>0.0</v>
      </c>
      <c r="C13" s="94" t="s">
        <v>489</v>
      </c>
      <c r="D13" s="95" t="s">
        <v>24</v>
      </c>
      <c r="E13" s="14"/>
      <c r="F13" s="92" t="s">
        <v>465</v>
      </c>
      <c r="G13" s="34"/>
      <c r="H13" s="97">
        <v>250000.0</v>
      </c>
      <c r="I13" s="92" t="s">
        <v>35</v>
      </c>
      <c r="J13" s="92" t="s">
        <v>36</v>
      </c>
      <c r="K13" s="92" t="s">
        <v>36</v>
      </c>
      <c r="L13" s="92" t="s">
        <v>29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492</v>
      </c>
      <c r="D14" s="95" t="s">
        <v>39</v>
      </c>
      <c r="E14" s="14"/>
      <c r="F14" s="92" t="s">
        <v>461</v>
      </c>
      <c r="G14" s="34"/>
      <c r="H14" s="97">
        <v>150000.0</v>
      </c>
      <c r="I14" s="92" t="s">
        <v>35</v>
      </c>
      <c r="J14" s="15"/>
      <c r="K14" s="15"/>
      <c r="L14" s="92" t="s">
        <v>29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493</v>
      </c>
      <c r="D15" s="95" t="s">
        <v>39</v>
      </c>
      <c r="E15" s="14"/>
      <c r="F15" s="92" t="s">
        <v>495</v>
      </c>
      <c r="G15" s="34"/>
      <c r="H15" s="97">
        <v>50000.0</v>
      </c>
      <c r="I15" s="92" t="s">
        <v>35</v>
      </c>
      <c r="J15" s="92" t="s">
        <v>36</v>
      </c>
      <c r="K15" s="92" t="s">
        <v>36</v>
      </c>
      <c r="L15" s="92" t="s">
        <v>29</v>
      </c>
      <c r="M15" s="92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496</v>
      </c>
      <c r="D16" s="95" t="s">
        <v>39</v>
      </c>
      <c r="E16" s="14"/>
      <c r="F16" s="92" t="s">
        <v>480</v>
      </c>
      <c r="G16" s="34"/>
      <c r="H16" s="97">
        <v>100000.0</v>
      </c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497</v>
      </c>
      <c r="D17" s="95" t="s">
        <v>22</v>
      </c>
      <c r="E17" s="14"/>
      <c r="F17" s="111">
        <v>46266.0</v>
      </c>
      <c r="G17" s="34"/>
      <c r="H17" s="97">
        <v>250000.0</v>
      </c>
      <c r="I17" s="92" t="s">
        <v>35</v>
      </c>
      <c r="J17" s="15"/>
      <c r="K17" s="15"/>
      <c r="L17" s="92" t="s">
        <v>30</v>
      </c>
      <c r="M17" s="15"/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502</v>
      </c>
      <c r="D18" s="95" t="s">
        <v>13</v>
      </c>
      <c r="E18" s="14"/>
      <c r="F18" s="111">
        <v>46263.0</v>
      </c>
      <c r="G18" s="34"/>
      <c r="H18" s="97">
        <v>50000.0</v>
      </c>
      <c r="I18" s="92" t="s">
        <v>35</v>
      </c>
      <c r="J18" s="92" t="s">
        <v>36</v>
      </c>
      <c r="K18" s="92" t="s">
        <v>77</v>
      </c>
      <c r="L18" s="92" t="s">
        <v>30</v>
      </c>
      <c r="M18" s="92" t="s">
        <v>47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503</v>
      </c>
      <c r="D19" s="95" t="s">
        <v>23</v>
      </c>
      <c r="E19" s="14"/>
      <c r="F19" s="111">
        <v>46263.0</v>
      </c>
      <c r="G19" s="34"/>
      <c r="H19" s="97">
        <v>150000.0</v>
      </c>
      <c r="I19" s="92" t="s">
        <v>35</v>
      </c>
      <c r="J19" s="92" t="s">
        <v>36</v>
      </c>
      <c r="K19" s="92" t="s">
        <v>77</v>
      </c>
      <c r="L19" s="92" t="s">
        <v>30</v>
      </c>
      <c r="M19" s="92" t="s">
        <v>47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507</v>
      </c>
      <c r="D20" s="95" t="s">
        <v>84</v>
      </c>
      <c r="E20" s="14"/>
      <c r="F20" s="111">
        <v>46263.0</v>
      </c>
      <c r="G20" s="34"/>
      <c r="H20" s="97">
        <v>20000.0</v>
      </c>
      <c r="I20" s="92" t="s">
        <v>35</v>
      </c>
      <c r="J20" s="92" t="s">
        <v>36</v>
      </c>
      <c r="K20" s="92" t="s">
        <v>36</v>
      </c>
      <c r="L20" s="92" t="s">
        <v>30</v>
      </c>
      <c r="M20" s="92" t="s">
        <v>37</v>
      </c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507</v>
      </c>
      <c r="D21" s="95" t="s">
        <v>84</v>
      </c>
      <c r="E21" s="14"/>
      <c r="F21" s="111">
        <v>46263.0</v>
      </c>
      <c r="G21" s="34"/>
      <c r="H21" s="97">
        <v>10000.0</v>
      </c>
      <c r="I21" s="92" t="s">
        <v>35</v>
      </c>
      <c r="J21" s="15"/>
      <c r="K21" s="15"/>
      <c r="L21" s="92" t="s">
        <v>30</v>
      </c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509</v>
      </c>
      <c r="D22" s="95" t="s">
        <v>23</v>
      </c>
      <c r="E22" s="14"/>
      <c r="F22" s="111">
        <v>46263.0</v>
      </c>
      <c r="G22" s="34"/>
      <c r="H22" s="97">
        <v>75000.0</v>
      </c>
      <c r="I22" s="92" t="s">
        <v>35</v>
      </c>
      <c r="J22" s="92" t="s">
        <v>36</v>
      </c>
      <c r="K22" s="92" t="s">
        <v>36</v>
      </c>
      <c r="L22" s="92" t="s">
        <v>30</v>
      </c>
      <c r="M22" s="92" t="s">
        <v>37</v>
      </c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510</v>
      </c>
      <c r="D23" s="95" t="s">
        <v>126</v>
      </c>
      <c r="E23" s="14"/>
      <c r="F23" s="111">
        <v>46263.0</v>
      </c>
      <c r="G23" s="101">
        <v>100000.0</v>
      </c>
      <c r="H23" s="35"/>
      <c r="I23" s="92" t="s">
        <v>35</v>
      </c>
      <c r="J23" s="92" t="s">
        <v>36</v>
      </c>
      <c r="K23" s="92" t="s">
        <v>36</v>
      </c>
      <c r="L23" s="92" t="s">
        <v>30</v>
      </c>
      <c r="M23" s="92" t="s">
        <v>37</v>
      </c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94" t="s">
        <v>511</v>
      </c>
      <c r="D24" s="95" t="s">
        <v>23</v>
      </c>
      <c r="E24" s="14"/>
      <c r="F24" s="111">
        <v>46263.0</v>
      </c>
      <c r="G24" s="34"/>
      <c r="H24" s="97">
        <v>150000.0</v>
      </c>
      <c r="I24" s="92" t="s">
        <v>35</v>
      </c>
      <c r="J24" s="92" t="s">
        <v>36</v>
      </c>
      <c r="K24" s="92" t="s">
        <v>36</v>
      </c>
      <c r="L24" s="92" t="s">
        <v>30</v>
      </c>
      <c r="M24" s="92" t="s">
        <v>37</v>
      </c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94" t="s">
        <v>462</v>
      </c>
      <c r="D25" s="95" t="s">
        <v>23</v>
      </c>
      <c r="E25" s="14"/>
      <c r="F25" s="111">
        <v>46263.0</v>
      </c>
      <c r="G25" s="34"/>
      <c r="H25" s="97">
        <v>200000.0</v>
      </c>
      <c r="I25" s="92" t="s">
        <v>35</v>
      </c>
      <c r="J25" s="92" t="s">
        <v>36</v>
      </c>
      <c r="K25" s="92" t="s">
        <v>36</v>
      </c>
      <c r="L25" s="92" t="s">
        <v>30</v>
      </c>
      <c r="M25" s="92" t="s">
        <v>37</v>
      </c>
      <c r="N25" s="29"/>
      <c r="O25" s="29"/>
      <c r="P25" s="29"/>
      <c r="Q25" s="1"/>
      <c r="R25" s="1"/>
    </row>
    <row r="26" ht="15.75" customHeight="1">
      <c r="A26" s="1"/>
      <c r="B26" s="15">
        <v>23.0</v>
      </c>
      <c r="C26" s="94" t="s">
        <v>512</v>
      </c>
      <c r="D26" s="95" t="s">
        <v>22</v>
      </c>
      <c r="E26" s="14"/>
      <c r="F26" s="92" t="s">
        <v>513</v>
      </c>
      <c r="G26" s="34"/>
      <c r="H26" s="97">
        <v>150000.0</v>
      </c>
      <c r="I26" s="92" t="s">
        <v>28</v>
      </c>
      <c r="J26" s="15"/>
      <c r="K26" s="15"/>
      <c r="L26" s="92" t="s">
        <v>30</v>
      </c>
      <c r="M26" s="15"/>
      <c r="N26" s="29"/>
      <c r="O26" s="29"/>
      <c r="P26" s="29"/>
      <c r="Q26" s="1"/>
      <c r="R26" s="1"/>
    </row>
    <row r="27" ht="15.75" customHeight="1">
      <c r="A27" s="1"/>
      <c r="B27" s="15">
        <v>24.0</v>
      </c>
      <c r="C27" s="94" t="s">
        <v>468</v>
      </c>
      <c r="D27" s="95" t="s">
        <v>23</v>
      </c>
      <c r="E27" s="14"/>
      <c r="F27" s="111">
        <v>46263.0</v>
      </c>
      <c r="G27" s="101">
        <v>200000.0</v>
      </c>
      <c r="H27" s="35"/>
      <c r="I27" s="92" t="s">
        <v>35</v>
      </c>
      <c r="J27" s="92" t="s">
        <v>36</v>
      </c>
      <c r="K27" s="92" t="s">
        <v>36</v>
      </c>
      <c r="L27" s="92" t="s">
        <v>30</v>
      </c>
      <c r="M27" s="92" t="s">
        <v>37</v>
      </c>
      <c r="N27" s="29"/>
      <c r="O27" s="29"/>
      <c r="P27" s="29"/>
      <c r="Q27" s="1"/>
      <c r="R27" s="1"/>
    </row>
    <row r="28" ht="15.75" customHeight="1">
      <c r="A28" s="1"/>
      <c r="B28" s="15">
        <v>25.0</v>
      </c>
      <c r="C28" s="94" t="s">
        <v>514</v>
      </c>
      <c r="D28" s="95" t="s">
        <v>23</v>
      </c>
      <c r="E28" s="14"/>
      <c r="F28" s="111">
        <v>46270.0</v>
      </c>
      <c r="G28" s="34"/>
      <c r="H28" s="97">
        <v>100000.0</v>
      </c>
      <c r="I28" s="92" t="s">
        <v>28</v>
      </c>
      <c r="J28" s="15"/>
      <c r="K28" s="15"/>
      <c r="L28" s="92" t="s">
        <v>30</v>
      </c>
      <c r="M28" s="15"/>
      <c r="N28" s="29"/>
      <c r="O28" s="29"/>
      <c r="P28" s="29"/>
      <c r="Q28" s="1"/>
      <c r="R28" s="1"/>
    </row>
    <row r="29" ht="15.75" customHeight="1">
      <c r="A29" s="1"/>
      <c r="B29" s="15">
        <v>26.0</v>
      </c>
      <c r="C29" s="94" t="s">
        <v>515</v>
      </c>
      <c r="D29" s="95" t="s">
        <v>23</v>
      </c>
      <c r="E29" s="14"/>
      <c r="F29" s="111">
        <v>46264.0</v>
      </c>
      <c r="G29" s="34"/>
      <c r="H29" s="97">
        <v>100000.0</v>
      </c>
      <c r="I29" s="92" t="s">
        <v>28</v>
      </c>
      <c r="J29" s="15"/>
      <c r="K29" s="15"/>
      <c r="L29" s="92" t="s">
        <v>30</v>
      </c>
      <c r="M29" s="15"/>
      <c r="N29" s="41"/>
      <c r="O29" s="41"/>
      <c r="P29" s="41"/>
      <c r="Q29" s="1"/>
      <c r="R29" s="1"/>
    </row>
    <row r="30" ht="18.75" customHeight="1">
      <c r="A30" s="1"/>
      <c r="B30" s="1"/>
      <c r="C30" s="2"/>
      <c r="D30" s="2"/>
      <c r="E30" s="1"/>
      <c r="F30" s="1"/>
      <c r="G30" s="42">
        <f t="shared" ref="G30:H30" si="1">SUM(G4:G29)</f>
        <v>800000</v>
      </c>
      <c r="H30" s="43">
        <f t="shared" si="1"/>
        <v>2780000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23.25" customHeight="1">
      <c r="A31" s="1"/>
      <c r="B31" s="1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5.75" customHeight="1">
      <c r="A32" s="1"/>
      <c r="B32" s="1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5.75" customHeight="1">
      <c r="A33" s="1"/>
      <c r="B33" s="44" t="s">
        <v>0</v>
      </c>
      <c r="C33" s="45" t="s">
        <v>6</v>
      </c>
      <c r="D33" s="45" t="s">
        <v>88</v>
      </c>
      <c r="E33" s="1"/>
      <c r="F33" s="1"/>
      <c r="G33" s="1"/>
      <c r="H33" s="1"/>
      <c r="I33" s="1"/>
      <c r="J33" s="1"/>
      <c r="K33" s="1"/>
      <c r="L33" s="1"/>
      <c r="M33" s="1"/>
      <c r="N33" s="45" t="s">
        <v>89</v>
      </c>
      <c r="O33" s="45" t="s">
        <v>1</v>
      </c>
      <c r="P33" s="1"/>
      <c r="Q33" s="1"/>
      <c r="R33" s="1"/>
    </row>
    <row r="34" ht="15.75" customHeight="1">
      <c r="A34" s="1"/>
      <c r="B34" s="46">
        <v>1.0</v>
      </c>
      <c r="C34" s="47" t="s">
        <v>90</v>
      </c>
      <c r="D34" s="48">
        <f>SUM(G30)</f>
        <v>800000</v>
      </c>
      <c r="E34" s="49"/>
      <c r="F34" s="1"/>
      <c r="G34" s="1"/>
      <c r="H34" s="1"/>
      <c r="I34" s="1"/>
      <c r="J34" s="1"/>
      <c r="K34" s="1"/>
      <c r="L34" s="1"/>
      <c r="M34" s="1"/>
      <c r="N34" s="50" t="s">
        <v>91</v>
      </c>
      <c r="O34" s="109" t="s">
        <v>29</v>
      </c>
      <c r="P34" s="1"/>
      <c r="Q34" s="1"/>
      <c r="R34" s="1"/>
    </row>
    <row r="35" ht="15.75" customHeight="1">
      <c r="A35" s="1"/>
      <c r="B35" s="51">
        <v>2.0</v>
      </c>
      <c r="C35" s="52"/>
      <c r="D35" s="54"/>
      <c r="E35" s="49"/>
      <c r="F35" s="1"/>
      <c r="G35" s="1"/>
      <c r="H35" s="1"/>
      <c r="I35" s="1"/>
      <c r="J35" s="1"/>
      <c r="K35" s="1"/>
      <c r="L35" s="1"/>
      <c r="M35" s="1"/>
      <c r="N35" s="56" t="s">
        <v>93</v>
      </c>
      <c r="O35" s="105" t="s">
        <v>30</v>
      </c>
      <c r="P35" s="1"/>
      <c r="Q35" s="1"/>
      <c r="R35" s="1"/>
    </row>
    <row r="36" ht="15.75" customHeight="1">
      <c r="A36" s="1"/>
      <c r="B36" s="46">
        <v>3.0</v>
      </c>
      <c r="C36" s="47"/>
      <c r="D36" s="48"/>
      <c r="E36" s="49"/>
      <c r="F36" s="1"/>
      <c r="G36" s="1"/>
      <c r="H36" s="1"/>
      <c r="I36" s="1"/>
      <c r="J36" s="1"/>
      <c r="K36" s="1"/>
      <c r="L36" s="1"/>
      <c r="M36" s="1"/>
      <c r="N36" s="59" t="s">
        <v>95</v>
      </c>
      <c r="O36" s="110" t="s">
        <v>47</v>
      </c>
      <c r="P36" s="1"/>
      <c r="Q36" s="1"/>
      <c r="R36" s="1"/>
    </row>
    <row r="37" ht="15.75" customHeight="1">
      <c r="A37" s="1"/>
      <c r="B37" s="51">
        <v>4.0</v>
      </c>
      <c r="C37" s="52"/>
      <c r="D37" s="54"/>
      <c r="E37" s="49"/>
      <c r="F37" s="1"/>
      <c r="G37" s="1"/>
      <c r="H37" s="1"/>
      <c r="I37" s="1"/>
      <c r="J37" s="1"/>
      <c r="K37" s="1"/>
      <c r="L37" s="1"/>
      <c r="M37" s="1"/>
      <c r="N37" s="60" t="s">
        <v>98</v>
      </c>
      <c r="O37" s="105" t="s">
        <v>37</v>
      </c>
      <c r="P37" s="1"/>
      <c r="Q37" s="1"/>
      <c r="R37" s="1"/>
    </row>
    <row r="38" ht="15.75" customHeight="1">
      <c r="A38" s="1"/>
      <c r="B38" s="46">
        <v>5.0</v>
      </c>
      <c r="C38" s="47"/>
      <c r="D38" s="48"/>
      <c r="E38" s="49"/>
      <c r="F38" s="1"/>
      <c r="G38" s="1"/>
      <c r="H38" s="1"/>
      <c r="I38" s="1"/>
      <c r="J38" s="1"/>
      <c r="K38" s="1"/>
      <c r="L38" s="1"/>
      <c r="M38" s="1"/>
      <c r="N38" s="61"/>
      <c r="O38" s="1"/>
      <c r="P38" s="1"/>
      <c r="Q38" s="1"/>
      <c r="R38" s="1"/>
    </row>
    <row r="39" ht="15.75" customHeight="1">
      <c r="A39" s="1"/>
      <c r="B39" s="51">
        <v>6.0</v>
      </c>
      <c r="C39" s="52"/>
      <c r="D39" s="54"/>
      <c r="E39" s="49"/>
      <c r="F39" s="1"/>
      <c r="G39" s="1"/>
      <c r="H39" s="1"/>
      <c r="I39" s="1"/>
      <c r="J39" s="1"/>
      <c r="K39" s="62" t="s">
        <v>100</v>
      </c>
      <c r="Q39" s="1"/>
      <c r="R39" s="1"/>
    </row>
    <row r="40" ht="15.75" customHeight="1">
      <c r="A40" s="1"/>
      <c r="B40" s="46">
        <v>7.0</v>
      </c>
      <c r="C40" s="47"/>
      <c r="D40" s="48"/>
      <c r="E40" s="49"/>
      <c r="F40" s="1"/>
      <c r="G40" s="1"/>
      <c r="H40" s="1"/>
      <c r="I40" s="1"/>
      <c r="J40" s="1"/>
      <c r="K40" s="63" t="s">
        <v>1</v>
      </c>
      <c r="L40" s="63" t="s">
        <v>102</v>
      </c>
      <c r="M40" s="63" t="s">
        <v>103</v>
      </c>
      <c r="N40" s="63" t="s">
        <v>104</v>
      </c>
      <c r="O40" s="63" t="s">
        <v>105</v>
      </c>
      <c r="P40" s="63" t="s">
        <v>106</v>
      </c>
      <c r="Q40" s="1"/>
      <c r="R40" s="1"/>
      <c r="AC40" s="65" t="s">
        <v>107</v>
      </c>
      <c r="AD40" s="65" t="s">
        <v>108</v>
      </c>
      <c r="AE40" s="65" t="s">
        <v>109</v>
      </c>
      <c r="AF40" s="65" t="s">
        <v>110</v>
      </c>
      <c r="AG40" s="66" t="s">
        <v>111</v>
      </c>
    </row>
    <row r="41" ht="15.75" customHeight="1">
      <c r="A41" s="1"/>
      <c r="B41" s="51">
        <v>8.0</v>
      </c>
      <c r="C41" s="52"/>
      <c r="D41" s="54"/>
      <c r="E41" s="49"/>
      <c r="F41" s="1"/>
      <c r="G41" s="1"/>
      <c r="H41" s="1"/>
      <c r="I41" s="1"/>
      <c r="J41" s="1"/>
      <c r="K41" s="67" t="str">
        <f t="shared" ref="K41:K44" si="2">IF(O34="","",O34)</f>
        <v>AMEL</v>
      </c>
      <c r="L41" s="68">
        <v>5.0</v>
      </c>
      <c r="M41" s="68">
        <v>5.0</v>
      </c>
      <c r="N41" s="68">
        <v>5.0</v>
      </c>
      <c r="O41" s="68">
        <v>5.0</v>
      </c>
      <c r="P41" s="68">
        <v>5.0</v>
      </c>
      <c r="Q41" s="1"/>
      <c r="R41" s="1"/>
      <c r="AC41" s="65">
        <f t="shared" ref="AC41:AC46" si="3">IF(AG41="","",IF(COUNT(L41:P41)&lt;5,"",L41/5*20+M41/5*25+N41/5*25+O41/5*15+P41/5*15))</f>
        <v>100</v>
      </c>
      <c r="AD41" s="65" t="str">
        <f t="shared" ref="AD41:AD46" si="4">IF(AC41="","",IF(AC41&gt;=90,"Sangat Baik",IF(AC41&gt;=80,"Baik",IF(AC41&gt;=70,"Coaching","Underperform"))))</f>
        <v>Sangat Baik</v>
      </c>
      <c r="AE41" s="65" t="str">
        <f t="shared" ref="AE41:AE46" si="5">IF(AG41="","",IF(OR(AG41="INDAH",AG41="ADDEL",AG41="AMEL",AG41="PENTIL",AG41="JIJANG"),"Admin/CS","Fotografer"))</f>
        <v>Admin/CS</v>
      </c>
      <c r="AF41" s="65">
        <f t="shared" ref="AF41:AF46" si="6">IF(OR(AG41="",COUNT(L41:P41)&lt;5),"",1)</f>
        <v>1</v>
      </c>
      <c r="AG41" s="66" t="str">
        <f t="shared" ref="AG41:AG46" si="7">IFERROR(K41,"")</f>
        <v>AMEL</v>
      </c>
    </row>
    <row r="42" ht="15.75" customHeight="1">
      <c r="A42" s="1"/>
      <c r="B42" s="46">
        <v>9.0</v>
      </c>
      <c r="C42" s="47"/>
      <c r="D42" s="48"/>
      <c r="E42" s="49"/>
      <c r="F42" s="1"/>
      <c r="G42" s="1"/>
      <c r="H42" s="1"/>
      <c r="I42" s="1"/>
      <c r="J42" s="1"/>
      <c r="K42" s="67" t="str">
        <f t="shared" si="2"/>
        <v>INDAH</v>
      </c>
      <c r="L42" s="68">
        <v>5.0</v>
      </c>
      <c r="M42" s="68">
        <v>5.0</v>
      </c>
      <c r="N42" s="68">
        <v>5.0</v>
      </c>
      <c r="O42" s="68">
        <v>5.0</v>
      </c>
      <c r="P42" s="68">
        <v>5.0</v>
      </c>
      <c r="Q42" s="1"/>
      <c r="R42" s="1"/>
      <c r="AC42" s="65">
        <f t="shared" si="3"/>
        <v>100</v>
      </c>
      <c r="AD42" s="65" t="str">
        <f t="shared" si="4"/>
        <v>Sangat Baik</v>
      </c>
      <c r="AE42" s="65" t="str">
        <f t="shared" si="5"/>
        <v>Admin/CS</v>
      </c>
      <c r="AF42" s="65">
        <f t="shared" si="6"/>
        <v>1</v>
      </c>
      <c r="AG42" s="66" t="str">
        <f t="shared" si="7"/>
        <v>INDAH</v>
      </c>
    </row>
    <row r="43" ht="15.75" customHeight="1">
      <c r="A43" s="1"/>
      <c r="B43" s="51">
        <v>10.0</v>
      </c>
      <c r="C43" s="52"/>
      <c r="D43" s="54"/>
      <c r="E43" s="49"/>
      <c r="F43" s="1"/>
      <c r="G43" s="1"/>
      <c r="H43" s="1"/>
      <c r="I43" s="1"/>
      <c r="J43" s="1"/>
      <c r="K43" s="67" t="str">
        <f t="shared" si="2"/>
        <v>SAKA</v>
      </c>
      <c r="L43" s="68">
        <v>5.0</v>
      </c>
      <c r="M43" s="68">
        <v>5.0</v>
      </c>
      <c r="N43" s="68">
        <v>5.0</v>
      </c>
      <c r="O43" s="68">
        <v>5.0</v>
      </c>
      <c r="P43" s="68">
        <v>5.0</v>
      </c>
      <c r="Q43" s="1"/>
      <c r="R43" s="1"/>
      <c r="AC43" s="65">
        <f t="shared" si="3"/>
        <v>100</v>
      </c>
      <c r="AD43" s="65" t="str">
        <f t="shared" si="4"/>
        <v>Sangat Baik</v>
      </c>
      <c r="AE43" s="65" t="str">
        <f t="shared" si="5"/>
        <v>Fotografer</v>
      </c>
      <c r="AF43" s="65">
        <f t="shared" si="6"/>
        <v>1</v>
      </c>
      <c r="AG43" s="66" t="str">
        <f t="shared" si="7"/>
        <v>SAKA</v>
      </c>
    </row>
    <row r="44" ht="15.75" customHeight="1">
      <c r="A44" s="1"/>
      <c r="B44" s="69">
        <v>11.0</v>
      </c>
      <c r="C44" s="70"/>
      <c r="D44" s="71"/>
      <c r="E44" s="49"/>
      <c r="F44" s="1"/>
      <c r="G44" s="1"/>
      <c r="H44" s="1"/>
      <c r="I44" s="1"/>
      <c r="J44" s="1"/>
      <c r="K44" s="67" t="str">
        <f t="shared" si="2"/>
        <v>ADIF</v>
      </c>
      <c r="L44" s="68">
        <v>5.0</v>
      </c>
      <c r="M44" s="68">
        <v>5.0</v>
      </c>
      <c r="N44" s="68">
        <v>5.0</v>
      </c>
      <c r="O44" s="68">
        <v>5.0</v>
      </c>
      <c r="P44" s="68">
        <v>5.0</v>
      </c>
      <c r="Q44" s="1"/>
      <c r="R44" s="1"/>
      <c r="AC44" s="65">
        <f t="shared" si="3"/>
        <v>100</v>
      </c>
      <c r="AD44" s="65" t="str">
        <f t="shared" si="4"/>
        <v>Sangat Baik</v>
      </c>
      <c r="AE44" s="65" t="str">
        <f t="shared" si="5"/>
        <v>Fotografer</v>
      </c>
      <c r="AF44" s="65">
        <f t="shared" si="6"/>
        <v>1</v>
      </c>
      <c r="AG44" s="66" t="str">
        <f t="shared" si="7"/>
        <v>ADIF</v>
      </c>
    </row>
    <row r="45" ht="15.75" customHeight="1">
      <c r="A45" s="1"/>
      <c r="B45" s="1"/>
      <c r="C45" s="2"/>
      <c r="D45" s="72">
        <f>SUM(D34:D44)</f>
        <v>800000</v>
      </c>
      <c r="E45" s="1"/>
      <c r="F45" s="1"/>
      <c r="G45" s="1"/>
      <c r="H45" s="1"/>
      <c r="I45" s="1"/>
      <c r="J45" s="1"/>
      <c r="K45" s="67"/>
      <c r="L45" s="73"/>
      <c r="M45" s="73"/>
      <c r="N45" s="73"/>
      <c r="O45" s="73"/>
      <c r="P45" s="73"/>
      <c r="Q45" s="1"/>
      <c r="R45" s="1"/>
      <c r="AC45" s="65" t="str">
        <f t="shared" si="3"/>
        <v/>
      </c>
      <c r="AD45" s="65" t="str">
        <f t="shared" si="4"/>
        <v/>
      </c>
      <c r="AE45" s="65" t="str">
        <f t="shared" si="5"/>
        <v/>
      </c>
      <c r="AF45" s="65" t="str">
        <f t="shared" si="6"/>
        <v/>
      </c>
      <c r="AG45" s="66" t="str">
        <f t="shared" si="7"/>
        <v/>
      </c>
    </row>
    <row r="46" ht="15.75" customHeight="1">
      <c r="A46" s="1"/>
      <c r="B46" s="1"/>
      <c r="C46" s="2"/>
      <c r="D46" s="2"/>
      <c r="E46" s="1"/>
      <c r="F46" s="1"/>
      <c r="G46" s="1"/>
      <c r="H46" s="1"/>
      <c r="I46" s="1"/>
      <c r="J46" s="1"/>
      <c r="K46" s="67"/>
      <c r="L46" s="73"/>
      <c r="M46" s="73"/>
      <c r="N46" s="73"/>
      <c r="O46" s="73"/>
      <c r="P46" s="73"/>
      <c r="Q46" s="1"/>
      <c r="R46" s="1"/>
      <c r="AC46" s="65" t="str">
        <f t="shared" si="3"/>
        <v/>
      </c>
      <c r="AD46" s="65" t="str">
        <f t="shared" si="4"/>
        <v/>
      </c>
      <c r="AE46" s="65" t="str">
        <f t="shared" si="5"/>
        <v/>
      </c>
      <c r="AF46" s="65" t="str">
        <f t="shared" si="6"/>
        <v/>
      </c>
      <c r="AG46" s="66" t="str">
        <f t="shared" si="7"/>
        <v/>
      </c>
    </row>
    <row r="47" ht="15.75" customHeight="1">
      <c r="A47" s="1"/>
      <c r="B47" s="1"/>
      <c r="C47" s="2"/>
      <c r="D47" s="2"/>
      <c r="E47" s="1"/>
      <c r="F47" s="1"/>
      <c r="G47" s="1"/>
      <c r="H47" s="1"/>
      <c r="I47" s="1"/>
      <c r="J47" s="1"/>
      <c r="K47" s="74" t="s">
        <v>112</v>
      </c>
      <c r="Q47" s="1"/>
      <c r="R47" s="1"/>
    </row>
    <row r="48" ht="15.75" customHeight="1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5.75" customHeight="1">
      <c r="A49" s="1"/>
      <c r="B49" s="1"/>
      <c r="C49" s="2"/>
      <c r="D49" s="2"/>
      <c r="E49" s="1"/>
      <c r="F49" s="1"/>
      <c r="G49" s="1"/>
      <c r="H49" s="1"/>
      <c r="I49" s="1"/>
      <c r="J49" s="1"/>
      <c r="K49" s="75" t="s">
        <v>113</v>
      </c>
      <c r="N49" s="1"/>
      <c r="O49" s="1"/>
      <c r="P49" s="1"/>
      <c r="Q49" s="1"/>
      <c r="R49" s="1"/>
    </row>
    <row r="50" ht="15.75" customHeight="1">
      <c r="K50" s="76" t="s">
        <v>7</v>
      </c>
      <c r="L50" s="76" t="s">
        <v>114</v>
      </c>
      <c r="M50" s="76" t="s">
        <v>115</v>
      </c>
    </row>
    <row r="51" ht="15.75" customHeight="1">
      <c r="K51" s="77" t="str">
        <f t="shared" ref="K51:K52" si="8">IF(O34="","",O34)</f>
        <v>AMEL</v>
      </c>
      <c r="L51" s="81">
        <v>8.0</v>
      </c>
      <c r="M51" s="81" t="s">
        <v>117</v>
      </c>
    </row>
    <row r="52" ht="15.75" customHeight="1">
      <c r="K52" s="77" t="str">
        <f t="shared" si="8"/>
        <v>INDAH</v>
      </c>
      <c r="L52" s="81">
        <v>3.0</v>
      </c>
      <c r="M52" s="78"/>
    </row>
    <row r="53" ht="15.75" customHeight="1"/>
    <row r="54" ht="19.5" customHeight="1">
      <c r="K54" s="79" t="s">
        <v>118</v>
      </c>
    </row>
    <row r="55" ht="19.5" customHeight="1">
      <c r="K55" s="80" t="s">
        <v>119</v>
      </c>
      <c r="M55" s="81">
        <v>35.0</v>
      </c>
    </row>
    <row r="56" ht="19.5" customHeight="1">
      <c r="K56" s="82" t="s">
        <v>120</v>
      </c>
      <c r="M56" s="83">
        <f>COUNTIF($I$4:$I$32,"DP")</f>
        <v>10</v>
      </c>
    </row>
    <row r="57" ht="19.5" customHeight="1">
      <c r="K57" s="82" t="s">
        <v>121</v>
      </c>
      <c r="M57" s="83">
        <f>COUNTIFS($I$4:$I$32,"&lt;&gt;DP",$I$4:$I$32,"&lt;&gt;")</f>
        <v>16</v>
      </c>
    </row>
    <row r="58" ht="19.5" customHeight="1">
      <c r="K58" s="84" t="s">
        <v>122</v>
      </c>
      <c r="M58" s="83">
        <f>M56+M57</f>
        <v>26</v>
      </c>
    </row>
    <row r="59" ht="19.5" customHeight="1">
      <c r="K59" s="80" t="s">
        <v>123</v>
      </c>
      <c r="M59" s="85">
        <f>IF(OR(M55="",M55=0),"",M56/M55)</f>
        <v>0.2857142857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55:L55"/>
    <mergeCell ref="K56:L56"/>
    <mergeCell ref="K57:L57"/>
    <mergeCell ref="K58:L58"/>
    <mergeCell ref="K59:L59"/>
    <mergeCell ref="L2:L3"/>
    <mergeCell ref="M2:M3"/>
    <mergeCell ref="N2:P2"/>
    <mergeCell ref="K39:P39"/>
    <mergeCell ref="K47:P47"/>
    <mergeCell ref="K49:M49"/>
    <mergeCell ref="K54:M54"/>
  </mergeCells>
  <conditionalFormatting sqref="I4:I32">
    <cfRule type="expression" dxfId="0" priority="1">
      <formula>I4="DP"</formula>
    </cfRule>
  </conditionalFormatting>
  <conditionalFormatting sqref="I4:I32">
    <cfRule type="expression" dxfId="1" priority="2">
      <formula>I4="Lunas"</formula>
    </cfRule>
  </conditionalFormatting>
  <conditionalFormatting sqref="J4:K32">
    <cfRule type="expression" dxfId="2" priority="3">
      <formula>OR(J4="Uploaded",J4="Delivered")</formula>
    </cfRule>
  </conditionalFormatting>
  <dataValidations>
    <dataValidation type="list" allowBlank="1" showDropDown="1" showErrorMessage="1" sqref="I4:I29">
      <formula1>"-,DP,Lunas"</formula1>
    </dataValidation>
    <dataValidation type="list" allowBlank="1" sqref="L41:P46">
      <formula1>"1,2,3,4,5"</formula1>
    </dataValidation>
    <dataValidation type="list" allowBlank="1" showDropDown="1" showErrorMessage="1" sqref="J4:K29">
      <formula1>"-,Pending,Uploaded"</formula1>
    </dataValidation>
    <dataValidation type="list" allowBlank="1" sqref="K41:K46">
      <formula1>'Resume Karyawan KPI'!$AK$5:$AK$15</formula1>
    </dataValidation>
    <dataValidation type="list" allowBlank="1" showDropDown="1" showErrorMessage="1" sqref="D4:D29">
      <formula1>"-,Single,Couple A,Couple B,Group A,Group B,Group C,Large Group,Graduation,Graduation Premium,Family A,Family B,Maternity,Concept,Studio Rent,Pas Foto,Single,Add Person,Add Edit,Photofox,All File"</formula1>
    </dataValidation>
    <dataValidation type="list" allowBlank="1" showDropDown="1" showErrorMessage="1" sqref="M4:M29">
      <formula1>"-,VERO,FADEL,PENTIL,ADIF,SAKA"</formula1>
    </dataValidation>
    <dataValidation type="list" allowBlank="1" showErrorMessage="1" sqref="N4:N29">
      <formula1>"-,Pending,Progress,Uploaded"</formula1>
    </dataValidation>
    <dataValidation type="list" allowBlank="1" showDropDown="1" showErrorMessage="1" sqref="L4:L29">
      <formula1>"-,JIJANG,ADDEL,PENTIL,FAHME,AMEL,INDAH"</formula1>
    </dataValidation>
    <dataValidation type="list" allowBlank="1" sqref="O34:O37">
      <formula1>"INDAH,ADDEL,AMEL,PENTIL,JIJANG,HANIF,FAHME,ADIF,ABROR,FADEL,SAKA"</formula1>
    </dataValidation>
    <dataValidation type="list" allowBlank="1" showErrorMessage="1" sqref="O4:O29">
      <formula1>"-,In Pikako,In Foxe"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5" t="s">
        <v>519</v>
      </c>
      <c r="D4" s="124" t="s">
        <v>22</v>
      </c>
      <c r="E4" s="18"/>
      <c r="F4" s="125">
        <v>46267.0</v>
      </c>
      <c r="G4" s="20"/>
      <c r="H4" s="126">
        <v>100000.0</v>
      </c>
      <c r="I4" s="100" t="s">
        <v>28</v>
      </c>
      <c r="J4" s="23"/>
      <c r="K4" s="23"/>
      <c r="L4" s="100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520</v>
      </c>
      <c r="D5" s="95" t="s">
        <v>126</v>
      </c>
      <c r="E5" s="14"/>
      <c r="F5" s="96">
        <v>46264.0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521</v>
      </c>
      <c r="D6" s="95" t="s">
        <v>126</v>
      </c>
      <c r="E6" s="14"/>
      <c r="F6" s="111">
        <v>46265.0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522</v>
      </c>
      <c r="D7" s="95" t="s">
        <v>195</v>
      </c>
      <c r="E7" s="14"/>
      <c r="F7" s="92" t="s">
        <v>523</v>
      </c>
      <c r="G7" s="34"/>
      <c r="H7" s="97">
        <v>100000.0</v>
      </c>
      <c r="I7" s="92" t="s">
        <v>28</v>
      </c>
      <c r="J7" s="15"/>
      <c r="K7" s="15"/>
      <c r="L7" s="92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524</v>
      </c>
      <c r="D8" s="95" t="s">
        <v>24</v>
      </c>
      <c r="E8" s="14"/>
      <c r="F8" s="111">
        <v>46265.0</v>
      </c>
      <c r="G8" s="34"/>
      <c r="H8" s="97">
        <v>350000.0</v>
      </c>
      <c r="I8" s="92" t="s">
        <v>35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9" t="s">
        <v>525</v>
      </c>
      <c r="D9" s="95" t="s">
        <v>22</v>
      </c>
      <c r="E9" s="14"/>
      <c r="F9" s="111">
        <v>46298.0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526</v>
      </c>
      <c r="D10" s="95" t="s">
        <v>23</v>
      </c>
      <c r="E10" s="14"/>
      <c r="F10" s="111">
        <v>46264.0</v>
      </c>
      <c r="G10" s="101">
        <v>75000.0</v>
      </c>
      <c r="H10" s="97">
        <v>25000.0</v>
      </c>
      <c r="I10" s="92" t="s">
        <v>35</v>
      </c>
      <c r="J10" s="92" t="s">
        <v>36</v>
      </c>
      <c r="K10" s="92" t="s">
        <v>36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522</v>
      </c>
      <c r="D11" s="95" t="s">
        <v>195</v>
      </c>
      <c r="E11" s="14"/>
      <c r="F11" s="111">
        <v>46264.0</v>
      </c>
      <c r="G11" s="34"/>
      <c r="H11" s="97">
        <v>620000.0</v>
      </c>
      <c r="I11" s="92" t="s">
        <v>35</v>
      </c>
      <c r="J11" s="92" t="s">
        <v>36</v>
      </c>
      <c r="K11" s="92" t="s">
        <v>77</v>
      </c>
      <c r="L11" s="92" t="s">
        <v>30</v>
      </c>
      <c r="M11" s="92" t="s">
        <v>47</v>
      </c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527</v>
      </c>
      <c r="D12" s="95" t="s">
        <v>23</v>
      </c>
      <c r="E12" s="14"/>
      <c r="F12" s="111">
        <v>46265.0</v>
      </c>
      <c r="G12" s="34"/>
      <c r="H12" s="97">
        <v>175000.0</v>
      </c>
      <c r="I12" s="92" t="s">
        <v>35</v>
      </c>
      <c r="J12" s="15"/>
      <c r="K12" s="15"/>
      <c r="L12" s="92" t="s">
        <v>30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528</v>
      </c>
      <c r="D13" s="95" t="s">
        <v>23</v>
      </c>
      <c r="E13" s="14"/>
      <c r="F13" s="111">
        <v>46264.0</v>
      </c>
      <c r="G13" s="34"/>
      <c r="H13" s="97">
        <v>200000.0</v>
      </c>
      <c r="I13" s="92" t="s">
        <v>35</v>
      </c>
      <c r="J13" s="92" t="s">
        <v>36</v>
      </c>
      <c r="K13" s="92" t="s">
        <v>77</v>
      </c>
      <c r="L13" s="92" t="s">
        <v>30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94" t="s">
        <v>520</v>
      </c>
      <c r="D14" s="95" t="s">
        <v>23</v>
      </c>
      <c r="E14" s="14"/>
      <c r="F14" s="111">
        <v>46264.0</v>
      </c>
      <c r="G14" s="101">
        <v>100000.0</v>
      </c>
      <c r="H14" s="97"/>
      <c r="I14" s="92" t="s">
        <v>35</v>
      </c>
      <c r="J14" s="92" t="s">
        <v>36</v>
      </c>
      <c r="K14" s="92" t="s">
        <v>36</v>
      </c>
      <c r="L14" s="92" t="s">
        <v>29</v>
      </c>
      <c r="M14" s="92" t="s">
        <v>47</v>
      </c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478</v>
      </c>
      <c r="D15" s="95" t="s">
        <v>23</v>
      </c>
      <c r="E15" s="14"/>
      <c r="F15" s="92" t="s">
        <v>423</v>
      </c>
      <c r="G15" s="101">
        <v>275000.0</v>
      </c>
      <c r="H15" s="35"/>
      <c r="I15" s="92" t="s">
        <v>35</v>
      </c>
      <c r="J15" s="92" t="s">
        <v>36</v>
      </c>
      <c r="K15" s="92" t="s">
        <v>36</v>
      </c>
      <c r="L15" s="92" t="s">
        <v>29</v>
      </c>
      <c r="M15" s="92" t="s">
        <v>47</v>
      </c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529</v>
      </c>
      <c r="D16" s="95" t="s">
        <v>22</v>
      </c>
      <c r="E16" s="14"/>
      <c r="F16" s="111">
        <v>46274.0</v>
      </c>
      <c r="G16" s="34"/>
      <c r="H16" s="97">
        <v>100000.0</v>
      </c>
      <c r="I16" s="92" t="s">
        <v>28</v>
      </c>
      <c r="J16" s="15"/>
      <c r="K16" s="15"/>
      <c r="L16" s="92" t="s">
        <v>29</v>
      </c>
      <c r="M16" s="15"/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530</v>
      </c>
      <c r="D17" s="95" t="s">
        <v>22</v>
      </c>
      <c r="E17" s="14"/>
      <c r="F17" s="92" t="s">
        <v>505</v>
      </c>
      <c r="G17" s="34"/>
      <c r="H17" s="97">
        <v>100000.0</v>
      </c>
      <c r="I17" s="92" t="s">
        <v>28</v>
      </c>
      <c r="J17" s="15"/>
      <c r="K17" s="15"/>
      <c r="L17" s="92" t="s">
        <v>29</v>
      </c>
      <c r="M17" s="15"/>
      <c r="N17" s="29"/>
      <c r="O17" s="29"/>
      <c r="P17" s="29"/>
      <c r="Q17" s="1"/>
      <c r="R17" s="1"/>
    </row>
    <row r="18" ht="15.75" customHeight="1">
      <c r="A18" s="1"/>
      <c r="B18" s="92">
        <v>15.0</v>
      </c>
      <c r="C18" s="94" t="s">
        <v>531</v>
      </c>
      <c r="D18" s="95" t="s">
        <v>195</v>
      </c>
      <c r="E18" s="14"/>
      <c r="F18" s="98">
        <v>46274.0</v>
      </c>
      <c r="G18" s="34"/>
      <c r="H18" s="97">
        <v>100000.0</v>
      </c>
      <c r="I18" s="92" t="s">
        <v>28</v>
      </c>
      <c r="J18" s="15"/>
      <c r="K18" s="15"/>
      <c r="L18" s="92" t="s">
        <v>29</v>
      </c>
      <c r="M18" s="15"/>
      <c r="N18" s="29"/>
      <c r="O18" s="29"/>
      <c r="P18" s="29"/>
      <c r="Q18" s="1"/>
      <c r="R18" s="1"/>
    </row>
    <row r="19" ht="15.75" customHeight="1">
      <c r="A19" s="1"/>
      <c r="B19" s="92">
        <v>16.0</v>
      </c>
      <c r="C19" s="94" t="s">
        <v>345</v>
      </c>
      <c r="D19" s="95" t="s">
        <v>23</v>
      </c>
      <c r="E19" s="14"/>
      <c r="F19" s="92" t="s">
        <v>461</v>
      </c>
      <c r="G19" s="34"/>
      <c r="H19" s="97">
        <v>100000.0</v>
      </c>
      <c r="I19" s="92" t="s">
        <v>35</v>
      </c>
      <c r="J19" s="92" t="s">
        <v>36</v>
      </c>
      <c r="K19" s="92" t="s">
        <v>131</v>
      </c>
      <c r="L19" s="92" t="s">
        <v>29</v>
      </c>
      <c r="M19" s="92" t="s">
        <v>47</v>
      </c>
      <c r="N19" s="29"/>
      <c r="O19" s="29"/>
      <c r="P19" s="29"/>
      <c r="Q19" s="1"/>
      <c r="R19" s="1"/>
    </row>
    <row r="20" ht="15.75" customHeight="1">
      <c r="A20" s="1"/>
      <c r="B20" s="15"/>
      <c r="C20" s="94" t="s">
        <v>458</v>
      </c>
      <c r="D20" s="95" t="s">
        <v>23</v>
      </c>
      <c r="E20" s="14"/>
      <c r="F20" s="92" t="s">
        <v>461</v>
      </c>
      <c r="G20" s="34"/>
      <c r="H20" s="97">
        <v>475000.0</v>
      </c>
      <c r="I20" s="92" t="s">
        <v>35</v>
      </c>
      <c r="J20" s="92" t="s">
        <v>36</v>
      </c>
      <c r="K20" s="92" t="s">
        <v>36</v>
      </c>
      <c r="L20" s="92" t="s">
        <v>29</v>
      </c>
      <c r="M20" s="92" t="s">
        <v>47</v>
      </c>
      <c r="N20" s="29"/>
      <c r="O20" s="29"/>
      <c r="P20" s="29"/>
      <c r="Q20" s="1"/>
      <c r="R20" s="1"/>
    </row>
    <row r="21" ht="15.75" customHeight="1">
      <c r="A21" s="1"/>
      <c r="B21" s="15"/>
      <c r="C21" s="32"/>
      <c r="D21" s="16"/>
      <c r="E21" s="14"/>
      <c r="F21" s="15"/>
      <c r="G21" s="34"/>
      <c r="H21" s="35"/>
      <c r="I21" s="15"/>
      <c r="J21" s="15"/>
      <c r="K21" s="15"/>
      <c r="L21" s="15"/>
      <c r="M21" s="15"/>
      <c r="N21" s="41"/>
      <c r="O21" s="41"/>
      <c r="P21" s="41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42">
        <f t="shared" ref="G22:H22" si="1">SUM(G4:G21)</f>
        <v>450000</v>
      </c>
      <c r="H22" s="43">
        <f t="shared" si="1"/>
        <v>2745000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5.7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1"/>
      <c r="B25" s="44" t="s">
        <v>0</v>
      </c>
      <c r="C25" s="45" t="s">
        <v>6</v>
      </c>
      <c r="D25" s="45" t="s">
        <v>88</v>
      </c>
      <c r="E25" s="1"/>
      <c r="F25" s="1"/>
      <c r="G25" s="1"/>
      <c r="H25" s="1"/>
      <c r="I25" s="1"/>
      <c r="J25" s="1"/>
      <c r="K25" s="1"/>
      <c r="L25" s="1"/>
      <c r="M25" s="1"/>
      <c r="N25" s="45" t="s">
        <v>89</v>
      </c>
      <c r="O25" s="45" t="s">
        <v>1</v>
      </c>
      <c r="P25" s="1"/>
      <c r="Q25" s="1"/>
      <c r="R25" s="1"/>
    </row>
    <row r="26" ht="15.75" customHeight="1">
      <c r="A26" s="1"/>
      <c r="B26" s="46">
        <v>1.0</v>
      </c>
      <c r="C26" s="47" t="s">
        <v>90</v>
      </c>
      <c r="D26" s="48">
        <f>SUM(G22)</f>
        <v>450000</v>
      </c>
      <c r="E26" s="49"/>
      <c r="F26" s="1"/>
      <c r="G26" s="1"/>
      <c r="H26" s="1"/>
      <c r="I26" s="1"/>
      <c r="J26" s="1"/>
      <c r="K26" s="1"/>
      <c r="L26" s="1"/>
      <c r="M26" s="1"/>
      <c r="N26" s="50" t="s">
        <v>91</v>
      </c>
      <c r="O26" s="109" t="s">
        <v>30</v>
      </c>
      <c r="P26" s="1"/>
      <c r="Q26" s="1"/>
      <c r="R26" s="1"/>
    </row>
    <row r="27" ht="15.75" customHeight="1">
      <c r="A27" s="1"/>
      <c r="B27" s="51">
        <v>2.0</v>
      </c>
      <c r="C27" s="93" t="s">
        <v>518</v>
      </c>
      <c r="D27" s="108">
        <v>-55000.0</v>
      </c>
      <c r="E27" s="49"/>
      <c r="F27" s="1"/>
      <c r="G27" s="1"/>
      <c r="H27" s="1"/>
      <c r="I27" s="1"/>
      <c r="J27" s="1"/>
      <c r="K27" s="1"/>
      <c r="L27" s="1"/>
      <c r="M27" s="1"/>
      <c r="N27" s="56" t="s">
        <v>93</v>
      </c>
      <c r="O27" s="105" t="s">
        <v>29</v>
      </c>
      <c r="P27" s="1"/>
      <c r="Q27" s="1"/>
      <c r="R27" s="1"/>
    </row>
    <row r="28" ht="15.75" customHeight="1">
      <c r="A28" s="1"/>
      <c r="B28" s="46">
        <v>3.0</v>
      </c>
      <c r="C28" s="106" t="s">
        <v>372</v>
      </c>
      <c r="D28" s="107">
        <v>-100000.0</v>
      </c>
      <c r="E28" s="49"/>
      <c r="F28" s="1"/>
      <c r="G28" s="1"/>
      <c r="H28" s="1"/>
      <c r="I28" s="1"/>
      <c r="J28" s="1"/>
      <c r="K28" s="1"/>
      <c r="L28" s="1"/>
      <c r="M28" s="1"/>
      <c r="N28" s="59" t="s">
        <v>95</v>
      </c>
      <c r="O28" s="110" t="s">
        <v>47</v>
      </c>
      <c r="P28" s="1"/>
      <c r="Q28" s="1"/>
      <c r="R28" s="1"/>
    </row>
    <row r="29" ht="15.75" customHeight="1">
      <c r="A29" s="1"/>
      <c r="B29" s="51">
        <v>4.0</v>
      </c>
      <c r="C29" s="52"/>
      <c r="D29" s="54"/>
      <c r="E29" s="49"/>
      <c r="F29" s="1"/>
      <c r="G29" s="1"/>
      <c r="H29" s="1"/>
      <c r="I29" s="1"/>
      <c r="J29" s="1"/>
      <c r="K29" s="1"/>
      <c r="L29" s="1"/>
      <c r="M29" s="1"/>
      <c r="N29" s="60" t="s">
        <v>98</v>
      </c>
      <c r="O29" s="105" t="s">
        <v>47</v>
      </c>
      <c r="P29" s="1"/>
      <c r="Q29" s="1"/>
      <c r="R29" s="1"/>
    </row>
    <row r="30" ht="15.75" customHeight="1">
      <c r="A30" s="1"/>
      <c r="B30" s="46">
        <v>5.0</v>
      </c>
      <c r="C30" s="47"/>
      <c r="D30" s="48"/>
      <c r="E30" s="49"/>
      <c r="F30" s="1"/>
      <c r="G30" s="1"/>
      <c r="H30" s="1"/>
      <c r="I30" s="1"/>
      <c r="J30" s="1"/>
      <c r="K30" s="1"/>
      <c r="L30" s="1"/>
      <c r="M30" s="1"/>
      <c r="N30" s="61"/>
      <c r="O30" s="1"/>
      <c r="P30" s="1"/>
      <c r="Q30" s="1"/>
      <c r="R30" s="1"/>
    </row>
    <row r="31" ht="15.75" customHeight="1">
      <c r="A31" s="1"/>
      <c r="B31" s="51">
        <v>6.0</v>
      </c>
      <c r="C31" s="52"/>
      <c r="D31" s="54"/>
      <c r="E31" s="49"/>
      <c r="F31" s="1"/>
      <c r="G31" s="1"/>
      <c r="H31" s="1"/>
      <c r="I31" s="1"/>
      <c r="J31" s="1"/>
      <c r="K31" s="62" t="s">
        <v>100</v>
      </c>
      <c r="Q31" s="1"/>
      <c r="R31" s="1"/>
    </row>
    <row r="32" ht="15.75" customHeight="1">
      <c r="A32" s="1"/>
      <c r="B32" s="46">
        <v>7.0</v>
      </c>
      <c r="C32" s="47"/>
      <c r="D32" s="48"/>
      <c r="E32" s="49"/>
      <c r="F32" s="1"/>
      <c r="G32" s="1"/>
      <c r="H32" s="1"/>
      <c r="I32" s="1"/>
      <c r="J32" s="1"/>
      <c r="K32" s="63" t="s">
        <v>1</v>
      </c>
      <c r="L32" s="63" t="s">
        <v>102</v>
      </c>
      <c r="M32" s="63" t="s">
        <v>103</v>
      </c>
      <c r="N32" s="63" t="s">
        <v>104</v>
      </c>
      <c r="O32" s="63" t="s">
        <v>105</v>
      </c>
      <c r="P32" s="63" t="s">
        <v>106</v>
      </c>
      <c r="Q32" s="1"/>
      <c r="R32" s="1"/>
      <c r="AC32" s="65" t="s">
        <v>107</v>
      </c>
      <c r="AD32" s="65" t="s">
        <v>108</v>
      </c>
      <c r="AE32" s="65" t="s">
        <v>109</v>
      </c>
      <c r="AF32" s="65" t="s">
        <v>110</v>
      </c>
      <c r="AG32" s="66" t="s">
        <v>111</v>
      </c>
    </row>
    <row r="33" ht="15.75" customHeight="1">
      <c r="A33" s="1"/>
      <c r="B33" s="51">
        <v>8.0</v>
      </c>
      <c r="C33" s="52"/>
      <c r="D33" s="54"/>
      <c r="E33" s="49"/>
      <c r="F33" s="1"/>
      <c r="G33" s="1"/>
      <c r="H33" s="1"/>
      <c r="I33" s="1"/>
      <c r="J33" s="1"/>
      <c r="K33" s="67" t="str">
        <f t="shared" ref="K33:K36" si="2">IF(O26="","",O26)</f>
        <v>INDAH</v>
      </c>
      <c r="L33" s="68">
        <v>5.0</v>
      </c>
      <c r="M33" s="68">
        <v>5.0</v>
      </c>
      <c r="N33" s="68">
        <v>5.0</v>
      </c>
      <c r="O33" s="68">
        <v>5.0</v>
      </c>
      <c r="P33" s="68">
        <v>5.0</v>
      </c>
      <c r="Q33" s="1"/>
      <c r="R33" s="1"/>
      <c r="AC33" s="65">
        <f t="shared" ref="AC33:AC38" si="3">IF(AG33="","",IF(COUNT(L33:P33)&lt;5,"",L33/5*20+M33/5*25+N33/5*25+O33/5*15+P33/5*15))</f>
        <v>100</v>
      </c>
      <c r="AD33" s="65" t="str">
        <f t="shared" ref="AD33:AD38" si="4">IF(AC33="","",IF(AC33&gt;=90,"Sangat Baik",IF(AC33&gt;=80,"Baik",IF(AC33&gt;=70,"Coaching","Underperform"))))</f>
        <v>Sangat Baik</v>
      </c>
      <c r="AE33" s="65" t="str">
        <f t="shared" ref="AE33:AE38" si="5">IF(AG33="","",IF(OR(AG33="INDAH",AG33="ADDEL",AG33="AMEL",AG33="PENTIL",AG33="JIJANG"),"Admin/CS","Fotografer"))</f>
        <v>Admin/CS</v>
      </c>
      <c r="AF33" s="65">
        <f t="shared" ref="AF33:AF38" si="6">IF(OR(AG33="",COUNT(L33:P33)&lt;5),"",1)</f>
        <v>1</v>
      </c>
      <c r="AG33" s="66" t="str">
        <f t="shared" ref="AG33:AG38" si="7">IFERROR(K33,"")</f>
        <v>INDAH</v>
      </c>
    </row>
    <row r="34" ht="15.75" customHeight="1">
      <c r="A34" s="1"/>
      <c r="B34" s="46">
        <v>9.0</v>
      </c>
      <c r="C34" s="47"/>
      <c r="D34" s="48"/>
      <c r="E34" s="49"/>
      <c r="F34" s="1"/>
      <c r="G34" s="1"/>
      <c r="H34" s="1"/>
      <c r="I34" s="1"/>
      <c r="J34" s="1"/>
      <c r="K34" s="67" t="str">
        <f t="shared" si="2"/>
        <v>AMEL</v>
      </c>
      <c r="L34" s="68">
        <v>5.0</v>
      </c>
      <c r="M34" s="68">
        <v>5.0</v>
      </c>
      <c r="N34" s="68">
        <v>5.0</v>
      </c>
      <c r="O34" s="68">
        <v>5.0</v>
      </c>
      <c r="P34" s="68">
        <v>5.0</v>
      </c>
      <c r="Q34" s="1"/>
      <c r="R34" s="1"/>
      <c r="AC34" s="65">
        <f t="shared" si="3"/>
        <v>100</v>
      </c>
      <c r="AD34" s="65" t="str">
        <f t="shared" si="4"/>
        <v>Sangat Baik</v>
      </c>
      <c r="AE34" s="65" t="str">
        <f t="shared" si="5"/>
        <v>Admin/CS</v>
      </c>
      <c r="AF34" s="65">
        <f t="shared" si="6"/>
        <v>1</v>
      </c>
      <c r="AG34" s="66" t="str">
        <f t="shared" si="7"/>
        <v>AMEL</v>
      </c>
    </row>
    <row r="35" ht="15.75" customHeight="1">
      <c r="A35" s="1"/>
      <c r="B35" s="51">
        <v>10.0</v>
      </c>
      <c r="C35" s="52"/>
      <c r="D35" s="54"/>
      <c r="E35" s="49"/>
      <c r="F35" s="1"/>
      <c r="G35" s="1"/>
      <c r="H35" s="1"/>
      <c r="I35" s="1"/>
      <c r="J35" s="1"/>
      <c r="K35" s="67" t="str">
        <f t="shared" si="2"/>
        <v>SAKA</v>
      </c>
      <c r="L35" s="68">
        <v>5.0</v>
      </c>
      <c r="M35" s="68">
        <v>5.0</v>
      </c>
      <c r="N35" s="68">
        <v>5.0</v>
      </c>
      <c r="O35" s="68">
        <v>5.0</v>
      </c>
      <c r="P35" s="68">
        <v>5.0</v>
      </c>
      <c r="Q35" s="1"/>
      <c r="R35" s="1"/>
      <c r="AC35" s="65">
        <f t="shared" si="3"/>
        <v>100</v>
      </c>
      <c r="AD35" s="65" t="str">
        <f t="shared" si="4"/>
        <v>Sangat Baik</v>
      </c>
      <c r="AE35" s="65" t="str">
        <f t="shared" si="5"/>
        <v>Fotografer</v>
      </c>
      <c r="AF35" s="65">
        <f t="shared" si="6"/>
        <v>1</v>
      </c>
      <c r="AG35" s="66" t="str">
        <f t="shared" si="7"/>
        <v>SAKA</v>
      </c>
    </row>
    <row r="36" ht="15.75" customHeight="1">
      <c r="A36" s="1"/>
      <c r="B36" s="69">
        <v>11.0</v>
      </c>
      <c r="C36" s="70"/>
      <c r="D36" s="71"/>
      <c r="E36" s="49"/>
      <c r="F36" s="1"/>
      <c r="G36" s="1"/>
      <c r="H36" s="1"/>
      <c r="I36" s="1"/>
      <c r="J36" s="1"/>
      <c r="K36" s="67" t="str">
        <f t="shared" si="2"/>
        <v>SAKA</v>
      </c>
      <c r="L36" s="68">
        <v>5.0</v>
      </c>
      <c r="M36" s="68">
        <v>5.0</v>
      </c>
      <c r="N36" s="68">
        <v>5.0</v>
      </c>
      <c r="O36" s="68">
        <v>5.0</v>
      </c>
      <c r="P36" s="68">
        <v>5.0</v>
      </c>
      <c r="Q36" s="1"/>
      <c r="R36" s="1"/>
      <c r="AC36" s="65">
        <f t="shared" si="3"/>
        <v>100</v>
      </c>
      <c r="AD36" s="65" t="str">
        <f t="shared" si="4"/>
        <v>Sangat Baik</v>
      </c>
      <c r="AE36" s="65" t="str">
        <f t="shared" si="5"/>
        <v>Fotografer</v>
      </c>
      <c r="AF36" s="65">
        <f t="shared" si="6"/>
        <v>1</v>
      </c>
      <c r="AG36" s="66" t="str">
        <f t="shared" si="7"/>
        <v>SAKA</v>
      </c>
    </row>
    <row r="37" ht="15.75" customHeight="1">
      <c r="A37" s="1"/>
      <c r="B37" s="1"/>
      <c r="C37" s="2"/>
      <c r="D37" s="72">
        <f>SUM(D26:D36)</f>
        <v>295000</v>
      </c>
      <c r="E37" s="1"/>
      <c r="F37" s="1"/>
      <c r="G37" s="1"/>
      <c r="H37" s="1"/>
      <c r="I37" s="1"/>
      <c r="J37" s="1"/>
      <c r="K37" s="67"/>
      <c r="L37" s="73"/>
      <c r="M37" s="73"/>
      <c r="N37" s="73"/>
      <c r="O37" s="73"/>
      <c r="P37" s="73"/>
      <c r="Q37" s="1"/>
      <c r="R37" s="1"/>
      <c r="AC37" s="65" t="str">
        <f t="shared" si="3"/>
        <v/>
      </c>
      <c r="AD37" s="65" t="str">
        <f t="shared" si="4"/>
        <v/>
      </c>
      <c r="AE37" s="65" t="str">
        <f t="shared" si="5"/>
        <v/>
      </c>
      <c r="AF37" s="65" t="str">
        <f t="shared" si="6"/>
        <v/>
      </c>
      <c r="AG37" s="66" t="str">
        <f t="shared" si="7"/>
        <v/>
      </c>
    </row>
    <row r="38" ht="15.75" customHeight="1">
      <c r="A38" s="1"/>
      <c r="B38" s="1"/>
      <c r="C38" s="2"/>
      <c r="D38" s="2"/>
      <c r="E38" s="1"/>
      <c r="F38" s="1"/>
      <c r="G38" s="1"/>
      <c r="H38" s="1"/>
      <c r="I38" s="1"/>
      <c r="J38" s="1"/>
      <c r="K38" s="67"/>
      <c r="L38" s="73"/>
      <c r="M38" s="73"/>
      <c r="N38" s="73"/>
      <c r="O38" s="73"/>
      <c r="P38" s="73"/>
      <c r="Q38" s="1"/>
      <c r="R38" s="1"/>
      <c r="AC38" s="65" t="str">
        <f t="shared" si="3"/>
        <v/>
      </c>
      <c r="AD38" s="65" t="str">
        <f t="shared" si="4"/>
        <v/>
      </c>
      <c r="AE38" s="65" t="str">
        <f t="shared" si="5"/>
        <v/>
      </c>
      <c r="AF38" s="65" t="str">
        <f t="shared" si="6"/>
        <v/>
      </c>
      <c r="AG38" s="66" t="str">
        <f t="shared" si="7"/>
        <v/>
      </c>
    </row>
    <row r="39" ht="15.75" customHeight="1">
      <c r="A39" s="1"/>
      <c r="B39" s="1"/>
      <c r="C39" s="2"/>
      <c r="D39" s="2"/>
      <c r="E39" s="1"/>
      <c r="F39" s="1"/>
      <c r="G39" s="1"/>
      <c r="H39" s="1"/>
      <c r="I39" s="1"/>
      <c r="J39" s="1"/>
      <c r="K39" s="74" t="s">
        <v>112</v>
      </c>
      <c r="Q39" s="1"/>
      <c r="R39" s="1"/>
    </row>
    <row r="40" ht="15.75" customHeight="1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"/>
      <c r="C41" s="2"/>
      <c r="D41" s="2"/>
      <c r="E41" s="1"/>
      <c r="F41" s="1"/>
      <c r="G41" s="1"/>
      <c r="H41" s="1"/>
      <c r="I41" s="1"/>
      <c r="J41" s="1"/>
      <c r="K41" s="75" t="s">
        <v>113</v>
      </c>
      <c r="N41" s="1"/>
      <c r="O41" s="1"/>
      <c r="P41" s="1"/>
      <c r="Q41" s="1"/>
      <c r="R41" s="1"/>
    </row>
    <row r="42" ht="15.75" customHeight="1">
      <c r="K42" s="76" t="s">
        <v>7</v>
      </c>
      <c r="L42" s="76" t="s">
        <v>114</v>
      </c>
      <c r="M42" s="76" t="s">
        <v>115</v>
      </c>
    </row>
    <row r="43" ht="15.75" customHeight="1">
      <c r="K43" s="77" t="str">
        <f t="shared" ref="K43:K44" si="8">IF(O26="","",O26)</f>
        <v>INDAH</v>
      </c>
      <c r="L43" s="81">
        <v>7.0</v>
      </c>
      <c r="M43" s="81" t="s">
        <v>538</v>
      </c>
    </row>
    <row r="44" ht="15.75" customHeight="1">
      <c r="K44" s="77" t="str">
        <f t="shared" si="8"/>
        <v>AMEL</v>
      </c>
      <c r="L44" s="81">
        <v>3.0</v>
      </c>
      <c r="M44" s="78"/>
    </row>
    <row r="45" ht="15.75" customHeight="1"/>
    <row r="46" ht="19.5" customHeight="1">
      <c r="K46" s="79" t="s">
        <v>118</v>
      </c>
    </row>
    <row r="47" ht="19.5" customHeight="1">
      <c r="K47" s="80" t="s">
        <v>119</v>
      </c>
      <c r="M47" s="81">
        <v>32.0</v>
      </c>
    </row>
    <row r="48" ht="19.5" customHeight="1">
      <c r="K48" s="82" t="s">
        <v>120</v>
      </c>
      <c r="M48" s="83">
        <f>COUNTIF($I$4:$I$24,"DP")</f>
        <v>8</v>
      </c>
    </row>
    <row r="49" ht="19.5" customHeight="1">
      <c r="K49" s="82" t="s">
        <v>121</v>
      </c>
      <c r="M49" s="83">
        <f>COUNTIFS($I$4:$I$24,"&lt;&gt;DP",$I$4:$I$24,"&lt;&gt;")</f>
        <v>9</v>
      </c>
    </row>
    <row r="50" ht="19.5" customHeight="1">
      <c r="K50" s="84" t="s">
        <v>122</v>
      </c>
      <c r="M50" s="83">
        <f>M48+M49</f>
        <v>17</v>
      </c>
    </row>
    <row r="51" ht="19.5" customHeight="1">
      <c r="K51" s="80" t="s">
        <v>123</v>
      </c>
      <c r="M51" s="85">
        <f>IF(OR(M47="",M47=0),"",M48/M47)</f>
        <v>0.25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9">
    <mergeCell ref="B2:B3"/>
    <mergeCell ref="C2:C3"/>
    <mergeCell ref="D2:D3"/>
    <mergeCell ref="E2:E3"/>
    <mergeCell ref="F2:F3"/>
    <mergeCell ref="G2:H2"/>
    <mergeCell ref="I2:K2"/>
    <mergeCell ref="K47:L47"/>
    <mergeCell ref="K48:L48"/>
    <mergeCell ref="K49:L49"/>
    <mergeCell ref="K50:L50"/>
    <mergeCell ref="K51:L51"/>
    <mergeCell ref="L2:L3"/>
    <mergeCell ref="M2:M3"/>
    <mergeCell ref="N2:P2"/>
    <mergeCell ref="K31:P31"/>
    <mergeCell ref="K39:P39"/>
    <mergeCell ref="K41:M41"/>
    <mergeCell ref="K46:M46"/>
  </mergeCells>
  <conditionalFormatting sqref="I4:I24">
    <cfRule type="expression" dxfId="0" priority="1">
      <formula>I4="DP"</formula>
    </cfRule>
  </conditionalFormatting>
  <conditionalFormatting sqref="I4:I24">
    <cfRule type="expression" dxfId="1" priority="2">
      <formula>I4="Lunas"</formula>
    </cfRule>
  </conditionalFormatting>
  <conditionalFormatting sqref="J4:K24">
    <cfRule type="expression" dxfId="2" priority="3">
      <formula>OR(J4="Uploaded",J4="Delivered")</formula>
    </cfRule>
  </conditionalFormatting>
  <dataValidations>
    <dataValidation type="list" allowBlank="1" showDropDown="1" showErrorMessage="1" sqref="I4:I21">
      <formula1>"-,DP,Lunas"</formula1>
    </dataValidation>
    <dataValidation type="list" allowBlank="1" sqref="L33:P38">
      <formula1>"1,2,3,4,5"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M4:M21">
      <formula1>"-,VERO,ADIF,HANIF,FAHME,SAKA"</formula1>
    </dataValidation>
    <dataValidation type="list" allowBlank="1" sqref="K33:K38">
      <formula1>'Resume Karyawan KPI'!$AK$5:$AK$15</formula1>
    </dataValidation>
    <dataValidation type="list" allowBlank="1" showErrorMessage="1" sqref="N4:N21">
      <formula1>"-,Pending,Progress,Uploaded"</formula1>
    </dataValidation>
    <dataValidation type="list" allowBlank="1" sqref="O26:O29">
      <formula1>"INDAH,ADDEL,AMEL,PENTIL,JIJANG,HANIF,FAHME,ADIF,ABROR,FADEL,SAKA"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Person,Add Edit,Photofox"</formula1>
    </dataValidation>
    <dataValidation type="list" allowBlank="1" showDropDown="1" showErrorMessage="1" sqref="L4:L21">
      <formula1>"-,JIJANG,ADDEL,PENTIL,FAHME,INDAH,AMEL"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25.38"/>
    <col customWidth="1" min="4" max="4" width="20.13"/>
    <col customWidth="1" min="5" max="5" width="6.0"/>
    <col customWidth="1" min="6" max="6" width="16.0"/>
    <col customWidth="1" min="7" max="8" width="14.88"/>
    <col customWidth="1" min="9" max="10" width="12.38"/>
    <col customWidth="1" min="11" max="11" width="20.0"/>
    <col customWidth="1" min="12" max="12" width="14.0"/>
    <col customWidth="1" min="13" max="13" width="16.0"/>
    <col customWidth="1" min="14" max="15" width="12.0"/>
    <col customWidth="1" min="16" max="16" width="14.0"/>
    <col customWidth="1" min="17" max="18" width="5.75"/>
    <col customWidth="1" min="29" max="33" width="3.0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94" t="s">
        <v>532</v>
      </c>
      <c r="D4" s="95" t="s">
        <v>22</v>
      </c>
      <c r="E4" s="14"/>
      <c r="F4" s="111">
        <v>46266.0</v>
      </c>
      <c r="G4" s="34"/>
      <c r="H4" s="97">
        <v>100000.0</v>
      </c>
      <c r="I4" s="92" t="s">
        <v>28</v>
      </c>
      <c r="J4" s="15"/>
      <c r="K4" s="15"/>
      <c r="L4" s="92" t="s">
        <v>30</v>
      </c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94" t="s">
        <v>533</v>
      </c>
      <c r="D5" s="95" t="s">
        <v>22</v>
      </c>
      <c r="E5" s="14"/>
      <c r="F5" s="98">
        <v>46298.0</v>
      </c>
      <c r="G5" s="34"/>
      <c r="H5" s="97">
        <v>100000.0</v>
      </c>
      <c r="I5" s="92" t="s">
        <v>28</v>
      </c>
      <c r="J5" s="15"/>
      <c r="K5" s="15"/>
      <c r="L5" s="92" t="s">
        <v>30</v>
      </c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94" t="s">
        <v>534</v>
      </c>
      <c r="D6" s="95" t="s">
        <v>195</v>
      </c>
      <c r="E6" s="14"/>
      <c r="F6" s="111">
        <v>46291.0</v>
      </c>
      <c r="G6" s="34"/>
      <c r="H6" s="97">
        <v>100000.0</v>
      </c>
      <c r="I6" s="92" t="s">
        <v>28</v>
      </c>
      <c r="J6" s="15"/>
      <c r="K6" s="15"/>
      <c r="L6" s="92" t="s">
        <v>30</v>
      </c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94" t="s">
        <v>535</v>
      </c>
      <c r="D7" s="95" t="s">
        <v>22</v>
      </c>
      <c r="E7" s="14"/>
      <c r="F7" s="92" t="s">
        <v>513</v>
      </c>
      <c r="G7" s="34"/>
      <c r="H7" s="97">
        <v>350000.0</v>
      </c>
      <c r="I7" s="92" t="s">
        <v>35</v>
      </c>
      <c r="J7" s="15"/>
      <c r="K7" s="15"/>
      <c r="L7" s="92" t="s">
        <v>30</v>
      </c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94" t="s">
        <v>536</v>
      </c>
      <c r="D8" s="95" t="s">
        <v>537</v>
      </c>
      <c r="E8" s="14"/>
      <c r="F8" s="98">
        <v>46268.0</v>
      </c>
      <c r="G8" s="34"/>
      <c r="H8" s="97">
        <v>100000.0</v>
      </c>
      <c r="I8" s="92" t="s">
        <v>28</v>
      </c>
      <c r="J8" s="15"/>
      <c r="K8" s="15"/>
      <c r="L8" s="92" t="s">
        <v>30</v>
      </c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94" t="s">
        <v>539</v>
      </c>
      <c r="D9" s="95" t="s">
        <v>23</v>
      </c>
      <c r="E9" s="14"/>
      <c r="F9" s="98">
        <v>46267.0</v>
      </c>
      <c r="G9" s="34"/>
      <c r="H9" s="97">
        <v>100000.0</v>
      </c>
      <c r="I9" s="92" t="s">
        <v>28</v>
      </c>
      <c r="J9" s="15"/>
      <c r="K9" s="15"/>
      <c r="L9" s="92" t="s">
        <v>30</v>
      </c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94" t="s">
        <v>479</v>
      </c>
      <c r="D10" s="95" t="s">
        <v>23</v>
      </c>
      <c r="E10" s="14"/>
      <c r="F10" s="98">
        <v>46265.0</v>
      </c>
      <c r="G10" s="101">
        <v>125000.0</v>
      </c>
      <c r="H10" s="35"/>
      <c r="I10" s="92" t="s">
        <v>35</v>
      </c>
      <c r="J10" s="92" t="s">
        <v>36</v>
      </c>
      <c r="K10" s="92" t="s">
        <v>77</v>
      </c>
      <c r="L10" s="92" t="s">
        <v>30</v>
      </c>
      <c r="M10" s="92" t="s">
        <v>47</v>
      </c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94" t="s">
        <v>540</v>
      </c>
      <c r="D11" s="95" t="s">
        <v>24</v>
      </c>
      <c r="E11" s="14"/>
      <c r="F11" s="98">
        <v>46271.0</v>
      </c>
      <c r="G11" s="34"/>
      <c r="H11" s="97">
        <v>100000.0</v>
      </c>
      <c r="I11" s="92" t="s">
        <v>28</v>
      </c>
      <c r="J11" s="15"/>
      <c r="K11" s="15"/>
      <c r="L11" s="92" t="s">
        <v>30</v>
      </c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94" t="s">
        <v>481</v>
      </c>
      <c r="D12" s="95" t="s">
        <v>23</v>
      </c>
      <c r="E12" s="14"/>
      <c r="F12" s="98">
        <v>46268.0</v>
      </c>
      <c r="G12" s="34"/>
      <c r="H12" s="97">
        <v>100000.0</v>
      </c>
      <c r="I12" s="92" t="s">
        <v>28</v>
      </c>
      <c r="J12" s="15"/>
      <c r="K12" s="15"/>
      <c r="L12" s="92" t="s">
        <v>30</v>
      </c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94" t="s">
        <v>524</v>
      </c>
      <c r="D13" s="95" t="s">
        <v>24</v>
      </c>
      <c r="E13" s="14"/>
      <c r="F13" s="98">
        <v>46265.0</v>
      </c>
      <c r="G13" s="101">
        <v>0.0</v>
      </c>
      <c r="H13" s="97">
        <v>0.0</v>
      </c>
      <c r="I13" s="92" t="s">
        <v>35</v>
      </c>
      <c r="J13" s="92" t="s">
        <v>36</v>
      </c>
      <c r="K13" s="92" t="s">
        <v>36</v>
      </c>
      <c r="L13" s="92" t="s">
        <v>30</v>
      </c>
      <c r="M13" s="92" t="s">
        <v>47</v>
      </c>
      <c r="N13" s="29"/>
      <c r="O13" s="29"/>
      <c r="P13" s="29"/>
      <c r="Q13" s="1"/>
      <c r="R13" s="1"/>
    </row>
    <row r="14" ht="15.75" customHeight="1">
      <c r="A14" s="1"/>
      <c r="B14" s="15">
        <v>11.0</v>
      </c>
      <c r="C14" s="128" t="s">
        <v>541</v>
      </c>
      <c r="D14" s="95" t="s">
        <v>60</v>
      </c>
      <c r="E14" s="100">
        <v>5.0</v>
      </c>
      <c r="F14" s="98">
        <v>46271.0</v>
      </c>
      <c r="G14" s="34"/>
      <c r="H14" s="97">
        <v>500000.0</v>
      </c>
      <c r="I14" s="92" t="s">
        <v>35</v>
      </c>
      <c r="J14" s="15"/>
      <c r="K14" s="15"/>
      <c r="L14" s="92" t="s">
        <v>30</v>
      </c>
      <c r="M14" s="15"/>
      <c r="N14" s="29"/>
      <c r="O14" s="29"/>
      <c r="P14" s="29"/>
      <c r="Q14" s="1"/>
      <c r="R14" s="1"/>
    </row>
    <row r="15" ht="15.75" customHeight="1">
      <c r="A15" s="1"/>
      <c r="B15" s="15">
        <v>12.0</v>
      </c>
      <c r="C15" s="94" t="s">
        <v>547</v>
      </c>
      <c r="D15" s="95" t="s">
        <v>22</v>
      </c>
      <c r="E15" s="14"/>
      <c r="F15" s="98">
        <v>46298.0</v>
      </c>
      <c r="G15" s="34"/>
      <c r="H15" s="97">
        <v>100000.0</v>
      </c>
      <c r="I15" s="92" t="s">
        <v>28</v>
      </c>
      <c r="J15" s="15"/>
      <c r="K15" s="15"/>
      <c r="L15" s="92" t="s">
        <v>30</v>
      </c>
      <c r="M15" s="15"/>
      <c r="N15" s="29"/>
      <c r="O15" s="29"/>
      <c r="P15" s="29"/>
      <c r="Q15" s="1"/>
      <c r="R15" s="1"/>
    </row>
    <row r="16" ht="15.75" customHeight="1">
      <c r="A16" s="1"/>
      <c r="B16" s="15">
        <v>13.0</v>
      </c>
      <c r="C16" s="94" t="s">
        <v>527</v>
      </c>
      <c r="D16" s="95" t="s">
        <v>23</v>
      </c>
      <c r="E16" s="14"/>
      <c r="F16" s="98">
        <v>46265.0</v>
      </c>
      <c r="G16" s="101">
        <v>0.0</v>
      </c>
      <c r="H16" s="97">
        <v>0.0</v>
      </c>
      <c r="I16" s="92" t="s">
        <v>35</v>
      </c>
      <c r="J16" s="92" t="s">
        <v>36</v>
      </c>
      <c r="K16" s="92" t="s">
        <v>77</v>
      </c>
      <c r="L16" s="92" t="s">
        <v>30</v>
      </c>
      <c r="M16" s="92" t="s">
        <v>47</v>
      </c>
      <c r="N16" s="29"/>
      <c r="O16" s="29"/>
      <c r="P16" s="29"/>
      <c r="Q16" s="1"/>
      <c r="R16" s="1"/>
    </row>
    <row r="17" ht="15.75" customHeight="1">
      <c r="A17" s="1"/>
      <c r="B17" s="15">
        <v>14.0</v>
      </c>
      <c r="C17" s="94" t="s">
        <v>496</v>
      </c>
      <c r="D17" s="95" t="s">
        <v>39</v>
      </c>
      <c r="E17" s="14"/>
      <c r="F17" s="92" t="s">
        <v>480</v>
      </c>
      <c r="G17" s="34"/>
      <c r="H17" s="97">
        <v>50000.0</v>
      </c>
      <c r="I17" s="92" t="s">
        <v>35</v>
      </c>
      <c r="J17" s="92" t="s">
        <v>36</v>
      </c>
      <c r="K17" s="92" t="s">
        <v>77</v>
      </c>
      <c r="L17" s="92" t="s">
        <v>29</v>
      </c>
      <c r="M17" s="92" t="s">
        <v>47</v>
      </c>
      <c r="N17" s="29"/>
      <c r="O17" s="29"/>
      <c r="P17" s="29"/>
      <c r="Q17" s="1"/>
      <c r="R17" s="1"/>
    </row>
    <row r="18" ht="15.75" customHeight="1">
      <c r="A18" s="1"/>
      <c r="B18" s="15">
        <v>15.0</v>
      </c>
      <c r="C18" s="94" t="s">
        <v>553</v>
      </c>
      <c r="D18" s="95" t="s">
        <v>60</v>
      </c>
      <c r="E18" s="14"/>
      <c r="F18" s="92" t="s">
        <v>554</v>
      </c>
      <c r="G18" s="34"/>
      <c r="H18" s="97">
        <v>150000.0</v>
      </c>
      <c r="I18" s="92" t="s">
        <v>35</v>
      </c>
      <c r="J18" s="92" t="s">
        <v>36</v>
      </c>
      <c r="K18" s="92" t="s">
        <v>36</v>
      </c>
      <c r="L18" s="92" t="s">
        <v>29</v>
      </c>
      <c r="M18" s="92" t="s">
        <v>37</v>
      </c>
      <c r="N18" s="29"/>
      <c r="O18" s="29"/>
      <c r="P18" s="29"/>
      <c r="Q18" s="1"/>
      <c r="R18" s="1"/>
    </row>
    <row r="19" ht="15.75" customHeight="1">
      <c r="A19" s="1"/>
      <c r="B19" s="15">
        <v>16.0</v>
      </c>
      <c r="C19" s="94" t="s">
        <v>555</v>
      </c>
      <c r="D19" s="95" t="s">
        <v>126</v>
      </c>
      <c r="E19" s="14"/>
      <c r="F19" s="92" t="s">
        <v>556</v>
      </c>
      <c r="G19" s="34"/>
      <c r="H19" s="97">
        <v>100000.0</v>
      </c>
      <c r="I19" s="92" t="s">
        <v>35</v>
      </c>
      <c r="J19" s="92" t="s">
        <v>36</v>
      </c>
      <c r="K19" s="92" t="s">
        <v>131</v>
      </c>
      <c r="L19" s="92" t="s">
        <v>29</v>
      </c>
      <c r="M19" s="92" t="s">
        <v>37</v>
      </c>
      <c r="N19" s="29"/>
      <c r="O19" s="29"/>
      <c r="P19" s="29"/>
      <c r="Q19" s="1"/>
      <c r="R19" s="1"/>
    </row>
    <row r="20" ht="15.75" customHeight="1">
      <c r="A20" s="1"/>
      <c r="B20" s="15">
        <v>17.0</v>
      </c>
      <c r="C20" s="94" t="s">
        <v>558</v>
      </c>
      <c r="D20" s="95" t="s">
        <v>22</v>
      </c>
      <c r="E20" s="14"/>
      <c r="F20" s="98">
        <v>46273.0</v>
      </c>
      <c r="G20" s="34"/>
      <c r="H20" s="97">
        <v>100000.0</v>
      </c>
      <c r="I20" s="92" t="s">
        <v>28</v>
      </c>
      <c r="J20" s="15"/>
      <c r="K20" s="15"/>
      <c r="L20" s="92" t="s">
        <v>29</v>
      </c>
      <c r="M20" s="15"/>
      <c r="N20" s="29"/>
      <c r="O20" s="29"/>
      <c r="P20" s="29"/>
      <c r="Q20" s="1"/>
      <c r="R20" s="1"/>
    </row>
    <row r="21" ht="15.75" customHeight="1">
      <c r="A21" s="1"/>
      <c r="B21" s="15">
        <v>18.0</v>
      </c>
      <c r="C21" s="94" t="s">
        <v>559</v>
      </c>
      <c r="D21" s="95" t="s">
        <v>22</v>
      </c>
      <c r="E21" s="14"/>
      <c r="F21" s="98">
        <v>46273.0</v>
      </c>
      <c r="G21" s="34"/>
      <c r="H21" s="97">
        <v>100000.0</v>
      </c>
      <c r="I21" s="92" t="s">
        <v>28</v>
      </c>
      <c r="J21" s="15"/>
      <c r="K21" s="15"/>
      <c r="L21" s="92" t="s">
        <v>29</v>
      </c>
      <c r="M21" s="15"/>
      <c r="N21" s="29"/>
      <c r="O21" s="29"/>
      <c r="P21" s="29"/>
      <c r="Q21" s="1"/>
      <c r="R21" s="1"/>
    </row>
    <row r="22" ht="15.75" customHeight="1">
      <c r="A22" s="1"/>
      <c r="B22" s="15">
        <v>19.0</v>
      </c>
      <c r="C22" s="94" t="s">
        <v>560</v>
      </c>
      <c r="D22" s="95" t="s">
        <v>22</v>
      </c>
      <c r="E22" s="14"/>
      <c r="F22" s="98">
        <v>46266.0</v>
      </c>
      <c r="G22" s="34"/>
      <c r="H22" s="97">
        <v>100000.0</v>
      </c>
      <c r="I22" s="92" t="s">
        <v>28</v>
      </c>
      <c r="J22" s="15"/>
      <c r="K22" s="15"/>
      <c r="L22" s="92" t="s">
        <v>29</v>
      </c>
      <c r="M22" s="15"/>
      <c r="N22" s="29"/>
      <c r="O22" s="29"/>
      <c r="P22" s="29"/>
      <c r="Q22" s="1"/>
      <c r="R22" s="1"/>
    </row>
    <row r="23" ht="15.75" customHeight="1">
      <c r="A23" s="1"/>
      <c r="B23" s="15">
        <v>20.0</v>
      </c>
      <c r="C23" s="94" t="s">
        <v>561</v>
      </c>
      <c r="D23" s="95" t="s">
        <v>22</v>
      </c>
      <c r="E23" s="14"/>
      <c r="F23" s="98">
        <v>46274.0</v>
      </c>
      <c r="G23" s="34"/>
      <c r="H23" s="97">
        <v>100000.0</v>
      </c>
      <c r="I23" s="92" t="s">
        <v>28</v>
      </c>
      <c r="J23" s="15"/>
      <c r="K23" s="15"/>
      <c r="L23" s="92" t="s">
        <v>29</v>
      </c>
      <c r="M23" s="15"/>
      <c r="N23" s="29"/>
      <c r="O23" s="29"/>
      <c r="P23" s="29"/>
      <c r="Q23" s="1"/>
      <c r="R23" s="1"/>
    </row>
    <row r="24" ht="15.75" customHeight="1">
      <c r="A24" s="1"/>
      <c r="B24" s="15">
        <v>21.0</v>
      </c>
      <c r="C24" s="94" t="s">
        <v>562</v>
      </c>
      <c r="D24" s="95" t="s">
        <v>22</v>
      </c>
      <c r="E24" s="14"/>
      <c r="F24" s="98">
        <v>46273.0</v>
      </c>
      <c r="G24" s="34"/>
      <c r="H24" s="97">
        <v>100000.0</v>
      </c>
      <c r="I24" s="92" t="s">
        <v>28</v>
      </c>
      <c r="J24" s="15"/>
      <c r="K24" s="15"/>
      <c r="L24" s="92" t="s">
        <v>29</v>
      </c>
      <c r="M24" s="15"/>
      <c r="N24" s="29"/>
      <c r="O24" s="29"/>
      <c r="P24" s="29"/>
      <c r="Q24" s="1"/>
      <c r="R24" s="1"/>
    </row>
    <row r="25" ht="15.75" customHeight="1">
      <c r="A25" s="1"/>
      <c r="B25" s="15">
        <v>22.0</v>
      </c>
      <c r="C25" s="94" t="s">
        <v>563</v>
      </c>
      <c r="D25" s="95" t="s">
        <v>22</v>
      </c>
      <c r="E25" s="14"/>
      <c r="F25" s="98">
        <v>46273.0</v>
      </c>
      <c r="G25" s="34"/>
      <c r="H25" s="97">
        <v>100000.0</v>
      </c>
      <c r="I25" s="92" t="s">
        <v>28</v>
      </c>
      <c r="J25" s="15"/>
      <c r="K25" s="15"/>
      <c r="L25" s="92" t="s">
        <v>29</v>
      </c>
      <c r="M25" s="15"/>
      <c r="N25" s="29"/>
      <c r="O25" s="29"/>
      <c r="P25" s="29"/>
      <c r="Q25" s="1"/>
      <c r="R25" s="1"/>
    </row>
    <row r="26" ht="15.75" customHeight="1">
      <c r="A26" s="1"/>
      <c r="B26" s="15">
        <v>23.0</v>
      </c>
      <c r="C26" s="94" t="s">
        <v>565</v>
      </c>
      <c r="D26" s="95" t="s">
        <v>22</v>
      </c>
      <c r="E26" s="14"/>
      <c r="F26" s="98">
        <v>46273.0</v>
      </c>
      <c r="G26" s="34"/>
      <c r="H26" s="97">
        <v>100000.0</v>
      </c>
      <c r="I26" s="92" t="s">
        <v>28</v>
      </c>
      <c r="J26" s="15"/>
      <c r="K26" s="15"/>
      <c r="L26" s="92" t="s">
        <v>29</v>
      </c>
      <c r="M26" s="15"/>
      <c r="N26" s="29"/>
      <c r="O26" s="29"/>
      <c r="P26" s="29"/>
      <c r="Q26" s="1"/>
      <c r="R26" s="1"/>
    </row>
    <row r="27" ht="15.75" customHeight="1">
      <c r="A27" s="1"/>
      <c r="B27" s="15">
        <v>24.0</v>
      </c>
      <c r="C27" s="94" t="s">
        <v>566</v>
      </c>
      <c r="D27" s="95" t="s">
        <v>22</v>
      </c>
      <c r="E27" s="14"/>
      <c r="F27" s="98">
        <v>46274.0</v>
      </c>
      <c r="G27" s="34"/>
      <c r="H27" s="97">
        <v>100000.0</v>
      </c>
      <c r="I27" s="92" t="s">
        <v>28</v>
      </c>
      <c r="J27" s="15"/>
      <c r="K27" s="15"/>
      <c r="L27" s="92" t="s">
        <v>29</v>
      </c>
      <c r="M27" s="15"/>
      <c r="N27" s="29"/>
      <c r="O27" s="29"/>
      <c r="P27" s="29"/>
      <c r="Q27" s="1"/>
      <c r="R27" s="1"/>
    </row>
    <row r="28" ht="15.75" customHeight="1">
      <c r="A28" s="1"/>
      <c r="B28" s="15">
        <v>25.0</v>
      </c>
      <c r="C28" s="94" t="s">
        <v>567</v>
      </c>
      <c r="D28" s="95" t="s">
        <v>23</v>
      </c>
      <c r="E28" s="14"/>
      <c r="F28" s="98">
        <v>46276.0</v>
      </c>
      <c r="G28" s="34"/>
      <c r="H28" s="97">
        <v>200000.0</v>
      </c>
      <c r="I28" s="92" t="s">
        <v>28</v>
      </c>
      <c r="J28" s="15"/>
      <c r="K28" s="15"/>
      <c r="L28" s="92" t="s">
        <v>29</v>
      </c>
      <c r="M28" s="15"/>
      <c r="N28" s="29"/>
      <c r="O28" s="29"/>
      <c r="P28" s="29"/>
      <c r="Q28" s="1"/>
      <c r="R28" s="1"/>
    </row>
    <row r="29" ht="15.75" customHeight="1">
      <c r="A29" s="1"/>
      <c r="B29" s="15">
        <v>26.0</v>
      </c>
      <c r="C29" s="94" t="s">
        <v>568</v>
      </c>
      <c r="D29" s="95" t="s">
        <v>22</v>
      </c>
      <c r="E29" s="14"/>
      <c r="F29" s="98">
        <v>46274.0</v>
      </c>
      <c r="G29" s="34"/>
      <c r="H29" s="97">
        <v>100000.0</v>
      </c>
      <c r="I29" s="92" t="s">
        <v>28</v>
      </c>
      <c r="J29" s="15"/>
      <c r="K29" s="15"/>
      <c r="L29" s="92" t="s">
        <v>29</v>
      </c>
      <c r="M29" s="15"/>
      <c r="N29" s="29"/>
      <c r="O29" s="29"/>
      <c r="P29" s="29"/>
      <c r="Q29" s="1"/>
      <c r="R29" s="1"/>
    </row>
    <row r="30" ht="15.75" customHeight="1">
      <c r="A30" s="1"/>
      <c r="B30" s="15">
        <v>27.0</v>
      </c>
      <c r="C30" s="94" t="s">
        <v>569</v>
      </c>
      <c r="D30" s="95" t="s">
        <v>22</v>
      </c>
      <c r="E30" s="14"/>
      <c r="F30" s="98">
        <v>46274.0</v>
      </c>
      <c r="G30" s="34"/>
      <c r="H30" s="97">
        <v>100000.0</v>
      </c>
      <c r="I30" s="92" t="s">
        <v>28</v>
      </c>
      <c r="J30" s="15"/>
      <c r="K30" s="15"/>
      <c r="L30" s="92" t="s">
        <v>29</v>
      </c>
      <c r="M30" s="15"/>
      <c r="N30" s="29"/>
      <c r="O30" s="29"/>
      <c r="P30" s="29"/>
      <c r="Q30" s="1"/>
      <c r="R30" s="1"/>
    </row>
    <row r="31" ht="15.75" customHeight="1">
      <c r="A31" s="1"/>
      <c r="B31" s="15">
        <v>28.0</v>
      </c>
      <c r="C31" s="94" t="s">
        <v>570</v>
      </c>
      <c r="D31" s="95" t="s">
        <v>22</v>
      </c>
      <c r="E31" s="14"/>
      <c r="F31" s="98">
        <v>46273.0</v>
      </c>
      <c r="G31" s="34"/>
      <c r="H31" s="97">
        <v>100000.0</v>
      </c>
      <c r="I31" s="92" t="s">
        <v>28</v>
      </c>
      <c r="J31" s="15"/>
      <c r="K31" s="15"/>
      <c r="L31" s="92" t="s">
        <v>29</v>
      </c>
      <c r="M31" s="15"/>
      <c r="N31" s="29"/>
      <c r="O31" s="29"/>
      <c r="P31" s="29"/>
      <c r="Q31" s="1"/>
      <c r="R31" s="1"/>
    </row>
    <row r="32" ht="15.75" customHeight="1">
      <c r="A32" s="1"/>
      <c r="B32" s="15">
        <v>29.0</v>
      </c>
      <c r="C32" s="94" t="s">
        <v>571</v>
      </c>
      <c r="D32" s="95" t="s">
        <v>22</v>
      </c>
      <c r="E32" s="14"/>
      <c r="F32" s="98">
        <v>46273.0</v>
      </c>
      <c r="G32" s="34"/>
      <c r="H32" s="97">
        <v>100000.0</v>
      </c>
      <c r="I32" s="92" t="s">
        <v>28</v>
      </c>
      <c r="J32" s="15"/>
      <c r="K32" s="15"/>
      <c r="L32" s="92" t="s">
        <v>29</v>
      </c>
      <c r="M32" s="15"/>
      <c r="N32" s="29"/>
      <c r="O32" s="29"/>
      <c r="P32" s="29"/>
      <c r="Q32" s="1"/>
      <c r="R32" s="1"/>
    </row>
    <row r="33" ht="15.75" customHeight="1">
      <c r="A33" s="1"/>
      <c r="B33" s="15">
        <v>30.0</v>
      </c>
      <c r="C33" s="94" t="s">
        <v>572</v>
      </c>
      <c r="D33" s="95" t="s">
        <v>60</v>
      </c>
      <c r="E33" s="14"/>
      <c r="F33" s="98">
        <v>46270.0</v>
      </c>
      <c r="G33" s="34"/>
      <c r="H33" s="97">
        <v>100000.0</v>
      </c>
      <c r="I33" s="92" t="s">
        <v>28</v>
      </c>
      <c r="J33" s="15"/>
      <c r="K33" s="15"/>
      <c r="L33" s="92" t="s">
        <v>29</v>
      </c>
      <c r="M33" s="15"/>
      <c r="N33" s="29"/>
      <c r="O33" s="29"/>
      <c r="P33" s="29"/>
      <c r="Q33" s="1"/>
      <c r="R33" s="1"/>
    </row>
    <row r="34" ht="15.75" customHeight="1">
      <c r="A34" s="1"/>
      <c r="B34" s="15">
        <v>31.0</v>
      </c>
      <c r="C34" s="94" t="s">
        <v>573</v>
      </c>
      <c r="D34" s="95" t="s">
        <v>22</v>
      </c>
      <c r="E34" s="14"/>
      <c r="F34" s="98">
        <v>46273.0</v>
      </c>
      <c r="G34" s="34"/>
      <c r="H34" s="97">
        <v>100000.0</v>
      </c>
      <c r="I34" s="92" t="s">
        <v>28</v>
      </c>
      <c r="J34" s="15"/>
      <c r="K34" s="15"/>
      <c r="L34" s="92" t="s">
        <v>29</v>
      </c>
      <c r="M34" s="15"/>
      <c r="N34" s="29"/>
      <c r="O34" s="29"/>
      <c r="P34" s="29"/>
      <c r="Q34" s="1"/>
      <c r="R34" s="1"/>
    </row>
    <row r="35" ht="15.75" customHeight="1">
      <c r="A35" s="1"/>
      <c r="B35" s="92">
        <v>32.0</v>
      </c>
      <c r="C35" s="94" t="s">
        <v>574</v>
      </c>
      <c r="D35" s="95" t="s">
        <v>22</v>
      </c>
      <c r="E35" s="14"/>
      <c r="F35" s="98">
        <v>46274.0</v>
      </c>
      <c r="G35" s="34"/>
      <c r="H35" s="97">
        <v>100000.0</v>
      </c>
      <c r="I35" s="92" t="s">
        <v>28</v>
      </c>
      <c r="J35" s="15"/>
      <c r="K35" s="15"/>
      <c r="L35" s="92" t="s">
        <v>29</v>
      </c>
      <c r="M35" s="15"/>
      <c r="N35" s="29"/>
      <c r="O35" s="29"/>
      <c r="P35" s="29"/>
      <c r="Q35" s="1"/>
      <c r="R35" s="1"/>
    </row>
    <row r="36" ht="15.75" customHeight="1">
      <c r="A36" s="1"/>
      <c r="B36" s="92">
        <v>33.0</v>
      </c>
      <c r="C36" s="94" t="s">
        <v>575</v>
      </c>
      <c r="D36" s="95" t="s">
        <v>22</v>
      </c>
      <c r="E36" s="14"/>
      <c r="F36" s="98">
        <v>46273.0</v>
      </c>
      <c r="G36" s="34"/>
      <c r="H36" s="97">
        <v>100000.0</v>
      </c>
      <c r="I36" s="92" t="s">
        <v>28</v>
      </c>
      <c r="J36" s="15"/>
      <c r="K36" s="15"/>
      <c r="L36" s="92" t="s">
        <v>29</v>
      </c>
      <c r="M36" s="15"/>
      <c r="N36" s="29"/>
      <c r="O36" s="29"/>
      <c r="P36" s="29"/>
      <c r="Q36" s="1"/>
      <c r="R36" s="1"/>
    </row>
    <row r="37" ht="15.75" customHeight="1">
      <c r="A37" s="1"/>
      <c r="B37" s="92">
        <v>34.0</v>
      </c>
      <c r="C37" s="94" t="s">
        <v>576</v>
      </c>
      <c r="D37" s="95" t="s">
        <v>22</v>
      </c>
      <c r="E37" s="14"/>
      <c r="F37" s="92" t="s">
        <v>577</v>
      </c>
      <c r="G37" s="34"/>
      <c r="H37" s="97">
        <v>100000.0</v>
      </c>
      <c r="I37" s="92" t="s">
        <v>28</v>
      </c>
      <c r="J37" s="15"/>
      <c r="K37" s="15"/>
      <c r="L37" s="92" t="s">
        <v>29</v>
      </c>
      <c r="M37" s="15"/>
      <c r="N37" s="29"/>
      <c r="O37" s="29"/>
      <c r="P37" s="29"/>
      <c r="Q37" s="1"/>
      <c r="R37" s="1"/>
    </row>
    <row r="38" ht="15.75" customHeight="1">
      <c r="A38" s="1"/>
      <c r="B38" s="92">
        <v>35.0</v>
      </c>
      <c r="C38" s="94" t="s">
        <v>578</v>
      </c>
      <c r="D38" s="95" t="s">
        <v>23</v>
      </c>
      <c r="E38" s="14"/>
      <c r="F38" s="98">
        <v>46268.0</v>
      </c>
      <c r="G38" s="34"/>
      <c r="H38" s="97">
        <v>100000.0</v>
      </c>
      <c r="I38" s="92" t="s">
        <v>28</v>
      </c>
      <c r="J38" s="15"/>
      <c r="K38" s="15"/>
      <c r="L38" s="92" t="s">
        <v>29</v>
      </c>
      <c r="M38" s="15"/>
      <c r="N38" s="29"/>
      <c r="O38" s="29"/>
      <c r="P38" s="29"/>
      <c r="Q38" s="1"/>
      <c r="R38" s="1"/>
    </row>
    <row r="39" ht="15.75" customHeight="1">
      <c r="A39" s="1"/>
      <c r="B39" s="92">
        <v>36.0</v>
      </c>
      <c r="C39" s="94" t="s">
        <v>579</v>
      </c>
      <c r="D39" s="95" t="s">
        <v>22</v>
      </c>
      <c r="E39" s="14"/>
      <c r="F39" s="98">
        <v>46274.0</v>
      </c>
      <c r="G39" s="34"/>
      <c r="H39" s="97">
        <v>100000.0</v>
      </c>
      <c r="I39" s="92" t="s">
        <v>28</v>
      </c>
      <c r="J39" s="15"/>
      <c r="K39" s="15"/>
      <c r="L39" s="92" t="s">
        <v>29</v>
      </c>
      <c r="M39" s="15"/>
      <c r="N39" s="29"/>
      <c r="O39" s="29"/>
      <c r="P39" s="29"/>
      <c r="Q39" s="1"/>
      <c r="R39" s="1"/>
    </row>
    <row r="40" ht="15.75" customHeight="1">
      <c r="A40" s="1"/>
      <c r="B40" s="92">
        <v>37.0</v>
      </c>
      <c r="C40" s="94" t="s">
        <v>580</v>
      </c>
      <c r="D40" s="95" t="s">
        <v>22</v>
      </c>
      <c r="E40" s="14"/>
      <c r="F40" s="98">
        <v>46274.0</v>
      </c>
      <c r="G40" s="34"/>
      <c r="H40" s="97">
        <v>100000.0</v>
      </c>
      <c r="I40" s="92" t="s">
        <v>28</v>
      </c>
      <c r="J40" s="15"/>
      <c r="K40" s="15"/>
      <c r="L40" s="92" t="s">
        <v>29</v>
      </c>
      <c r="M40" s="15"/>
      <c r="N40" s="29"/>
      <c r="O40" s="29"/>
      <c r="P40" s="29"/>
      <c r="Q40" s="1"/>
      <c r="R40" s="1"/>
    </row>
    <row r="41" ht="15.75" customHeight="1">
      <c r="A41" s="1"/>
      <c r="B41" s="92">
        <v>38.0</v>
      </c>
      <c r="C41" s="32"/>
      <c r="D41" s="16"/>
      <c r="E41" s="14"/>
      <c r="F41" s="33"/>
      <c r="G41" s="34"/>
      <c r="H41" s="35"/>
      <c r="I41" s="15"/>
      <c r="J41" s="15"/>
      <c r="K41" s="15"/>
      <c r="L41" s="15"/>
      <c r="M41" s="15"/>
      <c r="N41" s="29"/>
      <c r="O41" s="29"/>
      <c r="P41" s="29"/>
      <c r="Q41" s="1"/>
      <c r="R41" s="1"/>
    </row>
    <row r="42" ht="15.75" customHeight="1">
      <c r="A42" s="1"/>
      <c r="B42" s="1"/>
      <c r="C42" s="2"/>
      <c r="D42" s="2"/>
      <c r="E42" s="1"/>
      <c r="F42" s="1"/>
      <c r="G42" s="42">
        <f t="shared" ref="G42:H42" si="1">SUM(G4:G41)</f>
        <v>125000</v>
      </c>
      <c r="H42" s="43">
        <f t="shared" si="1"/>
        <v>4150000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8.75" customHeight="1">
      <c r="A43" s="1"/>
      <c r="Q43" s="1"/>
      <c r="R43" s="1"/>
    </row>
    <row r="44" ht="23.25" customHeight="1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5.75" customHeight="1">
      <c r="A46" s="1"/>
      <c r="B46" s="44" t="s">
        <v>0</v>
      </c>
      <c r="C46" s="45" t="s">
        <v>6</v>
      </c>
      <c r="D46" s="45" t="s">
        <v>88</v>
      </c>
      <c r="E46" s="1"/>
      <c r="F46" s="1"/>
      <c r="G46" s="1"/>
      <c r="H46" s="1"/>
      <c r="I46" s="1"/>
      <c r="J46" s="1"/>
      <c r="K46" s="1"/>
      <c r="L46" s="1"/>
      <c r="M46" s="1"/>
      <c r="N46" s="45" t="s">
        <v>89</v>
      </c>
      <c r="O46" s="45" t="s">
        <v>1</v>
      </c>
      <c r="P46" s="1"/>
      <c r="Q46" s="1"/>
      <c r="R46" s="1"/>
    </row>
    <row r="47" ht="15.75" customHeight="1">
      <c r="A47" s="1"/>
      <c r="B47" s="46">
        <v>1.0</v>
      </c>
      <c r="C47" s="47" t="s">
        <v>90</v>
      </c>
      <c r="D47" s="48">
        <f>SUM(G42)</f>
        <v>125000</v>
      </c>
      <c r="E47" s="49"/>
      <c r="F47" s="1"/>
      <c r="G47" s="1"/>
      <c r="H47" s="1"/>
      <c r="I47" s="1"/>
      <c r="J47" s="1"/>
      <c r="K47" s="1"/>
      <c r="L47" s="1"/>
      <c r="M47" s="1"/>
      <c r="N47" s="50" t="s">
        <v>91</v>
      </c>
      <c r="O47" s="109" t="s">
        <v>30</v>
      </c>
      <c r="P47" s="1"/>
      <c r="Q47" s="1"/>
      <c r="R47" s="1"/>
    </row>
    <row r="48" ht="15.75" customHeight="1">
      <c r="A48" s="1"/>
      <c r="B48" s="51">
        <v>2.0</v>
      </c>
      <c r="C48" s="93" t="s">
        <v>372</v>
      </c>
      <c r="D48" s="108">
        <v>-50000.0</v>
      </c>
      <c r="E48" s="49"/>
      <c r="F48" s="1"/>
      <c r="G48" s="64"/>
      <c r="H48" s="1"/>
      <c r="I48" s="1"/>
      <c r="J48" s="1"/>
      <c r="K48" s="1"/>
      <c r="L48" s="1"/>
      <c r="M48" s="1"/>
      <c r="N48" s="56" t="s">
        <v>93</v>
      </c>
      <c r="O48" s="105" t="s">
        <v>29</v>
      </c>
      <c r="P48" s="1"/>
      <c r="Q48" s="1"/>
      <c r="R48" s="1"/>
    </row>
    <row r="49" ht="15.75" customHeight="1">
      <c r="A49" s="1"/>
      <c r="B49" s="46">
        <v>3.0</v>
      </c>
      <c r="C49" s="106" t="s">
        <v>96</v>
      </c>
      <c r="D49" s="107">
        <v>-25000.0</v>
      </c>
      <c r="E49" s="49"/>
      <c r="F49" s="1"/>
      <c r="G49" s="64"/>
      <c r="H49" s="1"/>
      <c r="I49" s="1"/>
      <c r="J49" s="1"/>
      <c r="K49" s="1"/>
      <c r="L49" s="1"/>
      <c r="M49" s="1"/>
      <c r="N49" s="59" t="s">
        <v>95</v>
      </c>
      <c r="O49" s="110" t="s">
        <v>47</v>
      </c>
      <c r="P49" s="1"/>
      <c r="Q49" s="1"/>
      <c r="R49" s="1"/>
    </row>
    <row r="50" ht="15.75" customHeight="1">
      <c r="A50" s="1"/>
      <c r="B50" s="51">
        <v>4.0</v>
      </c>
      <c r="C50" s="93" t="s">
        <v>581</v>
      </c>
      <c r="D50" s="108">
        <v>-39000.0</v>
      </c>
      <c r="E50" s="49"/>
      <c r="F50" s="1"/>
      <c r="G50" s="1"/>
      <c r="H50" s="1"/>
      <c r="I50" s="1"/>
      <c r="J50" s="1"/>
      <c r="K50" s="1"/>
      <c r="L50" s="1"/>
      <c r="M50" s="1"/>
      <c r="N50" s="60" t="s">
        <v>98</v>
      </c>
      <c r="O50" s="105" t="s">
        <v>37</v>
      </c>
      <c r="P50" s="1"/>
      <c r="Q50" s="1"/>
      <c r="R50" s="1"/>
    </row>
    <row r="51" ht="15.75" customHeight="1">
      <c r="A51" s="1"/>
      <c r="B51" s="46">
        <v>5.0</v>
      </c>
      <c r="C51" s="47"/>
      <c r="D51" s="48"/>
      <c r="E51" s="49"/>
      <c r="F51" s="1"/>
      <c r="G51" s="1"/>
      <c r="H51" s="1"/>
      <c r="I51" s="1"/>
      <c r="J51" s="1"/>
      <c r="K51" s="1"/>
      <c r="L51" s="1"/>
      <c r="M51" s="1"/>
      <c r="N51" s="61"/>
      <c r="O51" s="1"/>
      <c r="P51" s="1"/>
      <c r="Q51" s="1"/>
      <c r="R51" s="1"/>
    </row>
    <row r="52" ht="15.75" customHeight="1">
      <c r="A52" s="1"/>
      <c r="B52" s="51">
        <v>6.0</v>
      </c>
      <c r="C52" s="52"/>
      <c r="D52" s="54"/>
      <c r="E52" s="4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5.75" customHeight="1">
      <c r="A53" s="1"/>
      <c r="B53" s="46">
        <v>7.0</v>
      </c>
      <c r="C53" s="47"/>
      <c r="D53" s="48"/>
      <c r="E53" s="49"/>
      <c r="F53" s="6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5.75" customHeight="1">
      <c r="A54" s="1"/>
      <c r="B54" s="51">
        <v>8.0</v>
      </c>
      <c r="C54" s="52"/>
      <c r="D54" s="54"/>
      <c r="E54" s="49"/>
      <c r="F54" s="1"/>
      <c r="G54" s="1"/>
      <c r="H54" s="1"/>
      <c r="I54" s="1"/>
      <c r="J54" s="1"/>
      <c r="K54" s="62" t="s">
        <v>100</v>
      </c>
      <c r="Q54" s="1"/>
      <c r="R54" s="1"/>
    </row>
    <row r="55" ht="15.75" customHeight="1">
      <c r="A55" s="1"/>
      <c r="B55" s="46">
        <v>9.0</v>
      </c>
      <c r="C55" s="47"/>
      <c r="D55" s="48"/>
      <c r="E55" s="49"/>
      <c r="F55" s="1"/>
      <c r="G55" s="1"/>
      <c r="H55" s="1"/>
      <c r="I55" s="1"/>
      <c r="J55" s="1"/>
      <c r="K55" s="63" t="s">
        <v>1</v>
      </c>
      <c r="L55" s="63" t="s">
        <v>102</v>
      </c>
      <c r="M55" s="63" t="s">
        <v>103</v>
      </c>
      <c r="N55" s="63" t="s">
        <v>104</v>
      </c>
      <c r="O55" s="63" t="s">
        <v>105</v>
      </c>
      <c r="P55" s="63" t="s">
        <v>106</v>
      </c>
      <c r="Q55" s="1"/>
      <c r="R55" s="1"/>
      <c r="AC55" s="65" t="s">
        <v>107</v>
      </c>
      <c r="AD55" s="65" t="s">
        <v>108</v>
      </c>
      <c r="AE55" s="65" t="s">
        <v>109</v>
      </c>
      <c r="AF55" s="65" t="s">
        <v>110</v>
      </c>
      <c r="AG55" s="66" t="s">
        <v>111</v>
      </c>
    </row>
    <row r="56" ht="15.75" customHeight="1">
      <c r="A56" s="1"/>
      <c r="B56" s="51">
        <v>10.0</v>
      </c>
      <c r="C56" s="52"/>
      <c r="D56" s="54"/>
      <c r="E56" s="49"/>
      <c r="F56" s="1"/>
      <c r="G56" s="1"/>
      <c r="H56" s="1"/>
      <c r="I56" s="1"/>
      <c r="J56" s="1"/>
      <c r="K56" s="67" t="str">
        <f t="shared" ref="K56:K59" si="2">IF(O47="","",O47)</f>
        <v>INDAH</v>
      </c>
      <c r="L56" s="68">
        <v>5.0</v>
      </c>
      <c r="M56" s="68">
        <v>5.0</v>
      </c>
      <c r="N56" s="68">
        <v>5.0</v>
      </c>
      <c r="O56" s="68">
        <v>5.0</v>
      </c>
      <c r="P56" s="68">
        <v>5.0</v>
      </c>
      <c r="Q56" s="1"/>
      <c r="R56" s="1"/>
      <c r="AC56" s="65">
        <f t="shared" ref="AC56:AC61" si="3">IF(AG56="","",IF(COUNT(L56:P56)&lt;5,"",L56/5*20+M56/5*25+N56/5*25+O56/5*15+P56/5*15))</f>
        <v>100</v>
      </c>
      <c r="AD56" s="65" t="str">
        <f t="shared" ref="AD56:AD61" si="4">IF(AC56="","",IF(AC56&gt;=90,"Sangat Baik",IF(AC56&gt;=80,"Baik",IF(AC56&gt;=70,"Coaching","Underperform"))))</f>
        <v>Sangat Baik</v>
      </c>
      <c r="AE56" s="65" t="str">
        <f t="shared" ref="AE56:AE61" si="5">IF(AG56="","",IF(OR(AG56="INDAH",AG56="ADDEL",AG56="AMEL",AG56="PENTIL",AG56="JIJANG"),"Admin/CS","Fotografer"))</f>
        <v>Admin/CS</v>
      </c>
      <c r="AF56" s="65">
        <f t="shared" ref="AF56:AF61" si="6">IF(OR(AG56="",COUNT(L56:P56)&lt;5),"",1)</f>
        <v>1</v>
      </c>
      <c r="AG56" s="66" t="str">
        <f t="shared" ref="AG56:AG61" si="7">IFERROR(K56,"")</f>
        <v>INDAH</v>
      </c>
    </row>
    <row r="57" ht="15.75" customHeight="1">
      <c r="A57" s="1"/>
      <c r="B57" s="69">
        <v>11.0</v>
      </c>
      <c r="C57" s="70"/>
      <c r="D57" s="71"/>
      <c r="E57" s="49"/>
      <c r="F57" s="1"/>
      <c r="G57" s="1"/>
      <c r="H57" s="1"/>
      <c r="I57" s="1"/>
      <c r="J57" s="1"/>
      <c r="K57" s="67" t="str">
        <f t="shared" si="2"/>
        <v>AMEL</v>
      </c>
      <c r="L57" s="68">
        <v>5.0</v>
      </c>
      <c r="M57" s="68">
        <v>5.0</v>
      </c>
      <c r="N57" s="68">
        <v>5.0</v>
      </c>
      <c r="O57" s="68">
        <v>5.0</v>
      </c>
      <c r="P57" s="68">
        <v>5.0</v>
      </c>
      <c r="Q57" s="1"/>
      <c r="R57" s="1"/>
      <c r="AC57" s="65">
        <f t="shared" si="3"/>
        <v>100</v>
      </c>
      <c r="AD57" s="65" t="str">
        <f t="shared" si="4"/>
        <v>Sangat Baik</v>
      </c>
      <c r="AE57" s="65" t="str">
        <f t="shared" si="5"/>
        <v>Admin/CS</v>
      </c>
      <c r="AF57" s="65">
        <f t="shared" si="6"/>
        <v>1</v>
      </c>
      <c r="AG57" s="66" t="str">
        <f t="shared" si="7"/>
        <v>AMEL</v>
      </c>
    </row>
    <row r="58" ht="15.75" customHeight="1">
      <c r="A58" s="1"/>
      <c r="B58" s="1"/>
      <c r="C58" s="2"/>
      <c r="D58" s="72">
        <f>SUM(D47:D57)</f>
        <v>11000</v>
      </c>
      <c r="E58" s="1"/>
      <c r="F58" s="1"/>
      <c r="G58" s="1"/>
      <c r="H58" s="1"/>
      <c r="I58" s="1"/>
      <c r="J58" s="1"/>
      <c r="K58" s="67" t="str">
        <f t="shared" si="2"/>
        <v>SAKA</v>
      </c>
      <c r="L58" s="68">
        <v>5.0</v>
      </c>
      <c r="M58" s="68">
        <v>5.0</v>
      </c>
      <c r="N58" s="68">
        <v>4.0</v>
      </c>
      <c r="O58" s="68">
        <v>5.0</v>
      </c>
      <c r="P58" s="68">
        <v>5.0</v>
      </c>
      <c r="Q58" s="1"/>
      <c r="R58" s="1"/>
      <c r="AC58" s="65">
        <f t="shared" si="3"/>
        <v>95</v>
      </c>
      <c r="AD58" s="65" t="str">
        <f t="shared" si="4"/>
        <v>Sangat Baik</v>
      </c>
      <c r="AE58" s="65" t="str">
        <f t="shared" si="5"/>
        <v>Fotografer</v>
      </c>
      <c r="AF58" s="65">
        <f t="shared" si="6"/>
        <v>1</v>
      </c>
      <c r="AG58" s="66" t="str">
        <f t="shared" si="7"/>
        <v>SAKA</v>
      </c>
    </row>
    <row r="59" ht="15.75" customHeight="1">
      <c r="A59" s="1"/>
      <c r="B59" s="1"/>
      <c r="C59" s="2"/>
      <c r="D59" s="2"/>
      <c r="E59" s="1"/>
      <c r="F59" s="1"/>
      <c r="G59" s="1"/>
      <c r="H59" s="1"/>
      <c r="I59" s="1"/>
      <c r="J59" s="1"/>
      <c r="K59" s="67" t="str">
        <f t="shared" si="2"/>
        <v>ADIF</v>
      </c>
      <c r="L59" s="68">
        <v>5.0</v>
      </c>
      <c r="M59" s="68">
        <v>5.0</v>
      </c>
      <c r="N59" s="68">
        <v>5.0</v>
      </c>
      <c r="O59" s="68">
        <v>5.0</v>
      </c>
      <c r="P59" s="68">
        <v>5.0</v>
      </c>
      <c r="Q59" s="1"/>
      <c r="R59" s="1"/>
      <c r="AC59" s="65">
        <f t="shared" si="3"/>
        <v>100</v>
      </c>
      <c r="AD59" s="65" t="str">
        <f t="shared" si="4"/>
        <v>Sangat Baik</v>
      </c>
      <c r="AE59" s="65" t="str">
        <f t="shared" si="5"/>
        <v>Fotografer</v>
      </c>
      <c r="AF59" s="65">
        <f t="shared" si="6"/>
        <v>1</v>
      </c>
      <c r="AG59" s="66" t="str">
        <f t="shared" si="7"/>
        <v>ADIF</v>
      </c>
    </row>
    <row r="60" ht="15.75" customHeight="1">
      <c r="A60" s="1"/>
      <c r="B60" s="1"/>
      <c r="C60" s="2"/>
      <c r="D60" s="2"/>
      <c r="E60" s="1"/>
      <c r="F60" s="1"/>
      <c r="G60" s="1"/>
      <c r="H60" s="1"/>
      <c r="I60" s="1"/>
      <c r="J60" s="1"/>
      <c r="K60" s="67"/>
      <c r="L60" s="73"/>
      <c r="M60" s="73"/>
      <c r="N60" s="73"/>
      <c r="O60" s="73"/>
      <c r="P60" s="73"/>
      <c r="Q60" s="1"/>
      <c r="R60" s="1"/>
      <c r="AC60" s="65" t="str">
        <f t="shared" si="3"/>
        <v/>
      </c>
      <c r="AD60" s="65" t="str">
        <f t="shared" si="4"/>
        <v/>
      </c>
      <c r="AE60" s="65" t="str">
        <f t="shared" si="5"/>
        <v/>
      </c>
      <c r="AF60" s="65" t="str">
        <f t="shared" si="6"/>
        <v/>
      </c>
      <c r="AG60" s="66" t="str">
        <f t="shared" si="7"/>
        <v/>
      </c>
    </row>
    <row r="61" ht="15.75" customHeight="1">
      <c r="A61" s="1"/>
      <c r="B61" s="1"/>
      <c r="C61" s="2"/>
      <c r="D61" s="2"/>
      <c r="E61" s="1"/>
      <c r="F61" s="1"/>
      <c r="G61" s="1"/>
      <c r="H61" s="1"/>
      <c r="I61" s="1"/>
      <c r="J61" s="1"/>
      <c r="K61" s="67"/>
      <c r="L61" s="73"/>
      <c r="M61" s="73"/>
      <c r="N61" s="73"/>
      <c r="O61" s="73"/>
      <c r="P61" s="73"/>
      <c r="Q61" s="1"/>
      <c r="R61" s="1"/>
      <c r="AC61" s="65" t="str">
        <f t="shared" si="3"/>
        <v/>
      </c>
      <c r="AD61" s="65" t="str">
        <f t="shared" si="4"/>
        <v/>
      </c>
      <c r="AE61" s="65" t="str">
        <f t="shared" si="5"/>
        <v/>
      </c>
      <c r="AF61" s="65" t="str">
        <f t="shared" si="6"/>
        <v/>
      </c>
      <c r="AG61" s="66" t="str">
        <f t="shared" si="7"/>
        <v/>
      </c>
    </row>
    <row r="62" ht="15.75" customHeight="1">
      <c r="A62" s="1"/>
      <c r="B62" s="1"/>
      <c r="C62" s="2"/>
      <c r="D62" s="2"/>
      <c r="E62" s="1"/>
      <c r="F62" s="1"/>
      <c r="G62" s="1"/>
      <c r="H62" s="1"/>
      <c r="I62" s="1"/>
      <c r="J62" s="1"/>
      <c r="K62" s="74" t="s">
        <v>112</v>
      </c>
      <c r="Q62" s="1"/>
      <c r="R62" s="1"/>
    </row>
    <row r="63" ht="15.75" customHeight="1"/>
    <row r="64" ht="15.75" customHeight="1">
      <c r="K64" s="132" t="s">
        <v>113</v>
      </c>
    </row>
    <row r="65" ht="15.75" customHeight="1">
      <c r="K65" s="76" t="s">
        <v>7</v>
      </c>
      <c r="L65" s="76" t="s">
        <v>114</v>
      </c>
      <c r="M65" s="76" t="s">
        <v>115</v>
      </c>
    </row>
    <row r="66" ht="15.75" customHeight="1">
      <c r="K66" s="77" t="str">
        <f t="shared" ref="K66:K67" si="8">IF(O47="","",O47)</f>
        <v>INDAH</v>
      </c>
      <c r="L66" s="81">
        <v>8.0</v>
      </c>
      <c r="M66" s="78"/>
    </row>
    <row r="67" ht="15.75" customHeight="1">
      <c r="K67" s="77" t="str">
        <f t="shared" si="8"/>
        <v>AMEL</v>
      </c>
      <c r="L67" s="81">
        <v>22.0</v>
      </c>
      <c r="M67" s="78"/>
    </row>
    <row r="68" ht="15.75" customHeight="1"/>
    <row r="69" ht="19.5" customHeight="1">
      <c r="K69" s="79" t="s">
        <v>118</v>
      </c>
    </row>
    <row r="70" ht="19.5" customHeight="1">
      <c r="K70" s="80" t="s">
        <v>119</v>
      </c>
      <c r="M70" s="81">
        <v>74.0</v>
      </c>
    </row>
    <row r="71" ht="19.5" customHeight="1">
      <c r="K71" s="82" t="s">
        <v>120</v>
      </c>
      <c r="M71" s="83">
        <f>COUNTIF($I$4:$I$45,"DP")</f>
        <v>29</v>
      </c>
    </row>
    <row r="72" ht="19.5" customHeight="1">
      <c r="K72" s="82" t="s">
        <v>121</v>
      </c>
      <c r="M72" s="83">
        <f>COUNTIFS($I$4:$I$45,"&lt;&gt;DP",$I$4:$I$45,"&lt;&gt;")</f>
        <v>8</v>
      </c>
    </row>
    <row r="73" ht="19.5" customHeight="1">
      <c r="K73" s="84" t="s">
        <v>122</v>
      </c>
      <c r="M73" s="83">
        <f>M71+M72</f>
        <v>37</v>
      </c>
    </row>
    <row r="74" ht="19.5" customHeight="1">
      <c r="K74" s="80" t="s">
        <v>123</v>
      </c>
      <c r="M74" s="85">
        <f>IF(OR(M70="",M70=0),"",M71/M70)</f>
        <v>0.3918918919</v>
      </c>
    </row>
    <row r="75" ht="15.75" customHeight="1">
      <c r="A75" s="133" t="str">
        <f>IF(OR('Resume Karyawan KPI'!$O$2="",'Resume Karyawan KPI'!$O$3=""),"DASHBOARD KPI BULANAN | PILIH PERIODE","DASHBOARD KPI BULANAN | "&amp;UPPER(TEXT(DATE('Resume Karyawan KPI'!$O$3,'Resume Karyawan KPI'!$O$2,1),"mmmm yyyy")))</f>
        <v>DASHBOARD KPI BULANAN | PILIH PERIODE</v>
      </c>
    </row>
    <row r="76" ht="15.75" customHeight="1"/>
    <row r="77" ht="15.75" customHeight="1">
      <c r="A77" s="134" t="s">
        <v>582</v>
      </c>
      <c r="E77" s="134" t="s">
        <v>583</v>
      </c>
      <c r="I77" s="134" t="s">
        <v>584</v>
      </c>
      <c r="M77" s="134" t="s">
        <v>585</v>
      </c>
    </row>
    <row r="78" ht="15.75" customHeight="1">
      <c r="A78" s="135">
        <f>IFERROR(SUMIFS($D$84:$D$96,$C$84:$C$96,"&gt;0")/COUNTIFS($C$84:$C$96,"&gt;0"),0)</f>
        <v>97.91935484</v>
      </c>
      <c r="E78" s="135">
        <f>IFERROR(SUMIFS($D$84:$D$96,$B$84:$B$96,"Admin/CS",$C$84:$C$96,"&gt;0")/COUNTIFS($B$84:$B$96,"Admin/CS",$C$84:$C$96,"&gt;0"),0)</f>
        <v>97.93548387</v>
      </c>
      <c r="I78" s="135">
        <f>IFERROR(SUMIFS($D$84:$D$96,$B$84:$B$96,"Fotografer",$C$84:$C$96,"&gt;0")/COUNTIFS($B$84:$B$96,"Fotografer",$C$84:$C$96,"&gt;0"),0)</f>
        <v>97.90322581</v>
      </c>
      <c r="M78" s="135">
        <f>IFERROR(SUMIFS($D$84:$D$96,$B$84:$B$96,"Editor",$C$84:$C$96,"&gt;0")/COUNTIFS($B$84:$B$96,"Editor",$C$84:$C$96,"&gt;0"),0)</f>
        <v>0</v>
      </c>
    </row>
    <row r="79" ht="15.75" customHeight="1"/>
    <row r="80" ht="15.75" customHeight="1"/>
    <row r="81" ht="15.75" customHeight="1"/>
    <row r="82" ht="15.75" customHeight="1"/>
    <row r="83" ht="15.75" customHeight="1">
      <c r="A83" s="136" t="s">
        <v>1</v>
      </c>
      <c r="B83" s="136" t="s">
        <v>586</v>
      </c>
      <c r="C83" s="136" t="s">
        <v>587</v>
      </c>
      <c r="D83" s="136" t="s">
        <v>588</v>
      </c>
      <c r="E83" s="136" t="s">
        <v>589</v>
      </c>
      <c r="F83" s="136" t="s">
        <v>590</v>
      </c>
      <c r="G83" s="136" t="s">
        <v>591</v>
      </c>
    </row>
    <row r="84" ht="15.75" customHeight="1">
      <c r="A84" s="137" t="str">
        <f>IF($A$106="","",$A$106)</f>
        <v>INDAH</v>
      </c>
      <c r="B84" s="137" t="str">
        <f>IF(A84="","",$B$106)</f>
        <v>Admin/CS</v>
      </c>
      <c r="C84" s="138">
        <f>IF(A84="","",SUMIF('1'!$AG$30:$AG$35,A84,'1'!$AF$30:$AF$35)+SUMIF('2'!$AG$30:$AG$35,A84,'2'!$AF$30:$AF$35)+SUMIF('3'!$AG$30:$AG$35,A84,'3'!$AF$30:$AF$35)+SUMIF('4'!$AG$31:$AG$36,A84,'4'!$AF$31:$AF$36)+SUMIF('5'!$AG$31:$AG$36,A84,'5'!$AF$31:$AF$36)+SUMIF('6'!$AG$30:$AG$35,A84,'6'!$AF$30:$AF$35)+SUMIF('7'!$AG$30:$AG$35,A84,'7'!$AF$30:$AF$35)+SUMIF('8'!$AG$33:$AG$38,A84,'8'!$AF$33:$AF$38)+SUMIF('9'!$AG$30:$AG$35,A84,'9'!$AF$30:$AF$35)+SUMIF('10'!$AG$30:$AG$35,A84,'10'!$AF$30:$AF$35)+SUMIF('11'!$AG$34:$AG$39,A84,'11'!$AF$34:$AF$39)+SUMIF('12'!$AG$34:$AG$39,A84,'12'!$AF$34:$AF$39)+SUMIF('13'!$AG$31:$AG$36,A84,'13'!$AF$31:$AF$36)+SUMIF('14'!$AG$37:$AG$42,A84,'14'!$AF$37:$AF$42)+SUMIF('15'!$AG$36:$AG$41,A84,'15'!$AF$36:$AF$41)+SUMIF('16'!$AG$32:$AG$37,A84,'16'!$AF$32:$AF$37)+SUMIF('17'!$AG$37:$AG$42,A84,'17'!$AF$37:$AF$42)+SUMIF('18'!$AG$37:$AG$42,A84,'18'!$AF$37:$AF$42)+SUMIF('19'!$AG$30:$AG$35,A84,'19'!$AF$30:$AF$35)+SUMIF('20'!$AG$35:$AG$40,A84,'20'!$AF$35:$AF$40)+SUMIF('21'!$AG$30:$AG$35,A84,'21'!$AF$30:$AF$35)+SUMIF('22'!$AG$36:$AG$41,A84,'22'!$AF$36:$AF$41)+SUMIF('23'!$AG$46:$AG$51,A84,'23'!$AF$46:$AF$51)+SUMIF('24'!$AG$39:$AG$44,A84,'24'!$AF$39:$AF$44)+SUMIF('25'!$AG$33:$AG$38,A84,'25'!$AF$33:$AF$38)+SUMIF('26'!$AG$37:$AG$42,A84,'26'!$AF$37:$AF$42)+SUMIF('27'!$AG$42:$AG$47,A84,'27'!$AF$42:$AF$47)+SUMIF('28'!$AG$37:$AG$42,A84,'28'!$AF$37:$AF$42)+SUMIF('29'!$AG$41:$AG$46,A84,'29'!$AF$41:$AF$46)+SUMIF('30'!$AG$33:$AG$38,A84,'30'!$AF$33:$AF$38)+SUMIF('31'!$AG$56:$AG$61,A84,'31'!$AF$56:$AF$61))</f>
        <v>31</v>
      </c>
      <c r="D84" s="139">
        <f>IF(OR(A84="",C84=0),"",(SUMIF('1'!$AG$30:$AG$35,A84,'1'!$AC$30:$AC$35)+SUMIF('2'!$AG$30:$AG$35,A84,'2'!$AC$30:$AC$35)+SUMIF('3'!$AG$30:$AG$35,A84,'3'!$AC$30:$AC$35)+SUMIF('4'!$AG$31:$AG$36,A84,'4'!$AC$31:$AC$36)+SUMIF('5'!$AG$31:$AG$36,A84,'5'!$AC$31:$AC$36)+SUMIF('6'!$AG$30:$AG$35,A84,'6'!$AC$30:$AC$35)+SUMIF('7'!$AG$30:$AG$35,A84,'7'!$AC$30:$AC$35)+SUMIF('8'!$AG$33:$AG$38,A84,'8'!$AC$33:$AC$38)+SUMIF('9'!$AG$30:$AG$35,A84,'9'!$AC$30:$AC$35)+SUMIF('10'!$AG$30:$AG$35,A84,'10'!$AC$30:$AC$35)+SUMIF('11'!$AG$34:$AG$39,A84,'11'!$AC$34:$AC$39)+SUMIF('12'!$AG$34:$AG$39,A84,'12'!$AC$34:$AC$39)+SUMIF('13'!$AG$31:$AG$36,A84,'13'!$AC$31:$AC$36)+SUMIF('14'!$AG$37:$AG$42,A84,'14'!$AC$37:$AC$42)+SUMIF('15'!$AG$36:$AG$41,A84,'15'!$AC$36:$AC$41)+SUMIF('16'!$AG$32:$AG$37,A84,'16'!$AC$32:$AC$37)+SUMIF('17'!$AG$37:$AG$42,A84,'17'!$AC$37:$AC$42)+SUMIF('18'!$AG$37:$AG$42,A84,'18'!$AC$37:$AC$42)+SUMIF('19'!$AG$30:$AG$35,A84,'19'!$AC$30:$AC$35)+SUMIF('20'!$AG$35:$AG$40,A84,'20'!$AC$35:$AC$40)+SUMIF('21'!$AG$30:$AG$35,A84,'21'!$AC$30:$AC$35)+SUMIF('22'!$AG$36:$AG$41,A84,'22'!$AC$36:$AC$41)+SUMIF('23'!$AG$46:$AG$51,A84,'23'!$AC$46:$AC$51)+SUMIF('24'!$AG$39:$AG$44,A84,'24'!$AC$39:$AC$44)+SUMIF('25'!$AG$33:$AG$38,A84,'25'!$AC$33:$AC$38)+SUMIF('26'!$AG$37:$AG$42,A84,'26'!$AC$37:$AC$42)+SUMIF('27'!$AG$42:$AG$47,A84,'27'!$AC$42:$AC$47)+SUMIF('28'!$AG$37:$AG$42,A84,'28'!$AC$37:$AC$42)+SUMIF('29'!$AG$41:$AG$46,A84,'29'!$AC$41:$AC$46)+SUMIF('30'!$AG$33:$AG$38,A84,'30'!$AC$33:$AC$38)+SUMIF('31'!$AG$56:$AG$61,A84,'31'!$AC$56:$AC$61))/C84)</f>
        <v>99.12903226</v>
      </c>
      <c r="E84" s="138">
        <f>IF(A84="","",COUNTIFS('1'!$AG$30:$AG$35,A84,'1'!$AD$30:$AD$35,"Underperform")+COUNTIFS('2'!$AG$30:$AG$35,A84,'2'!$AD$30:$AD$35,"Underperform")+COUNTIFS('3'!$AG$30:$AG$35,A84,'3'!$AD$30:$AD$35,"Underperform")+COUNTIFS('4'!$AG$31:$AG$36,A84,'4'!$AD$31:$AD$36,"Underperform")+COUNTIFS('5'!$AG$31:$AG$36,A84,'5'!$AD$31:$AD$36,"Underperform")+COUNTIFS('6'!$AG$30:$AG$35,A84,'6'!$AD$30:$AD$35,"Underperform")+COUNTIFS('7'!$AG$30:$AG$35,A84,'7'!$AD$30:$AD$35,"Underperform")+COUNTIFS('8'!$AG$33:$AG$38,A84,'8'!$AD$33:$AD$38,"Underperform")+COUNTIFS('9'!$AG$30:$AG$35,A84,'9'!$AD$30:$AD$35,"Underperform")+COUNTIFS('10'!$AG$30:$AG$35,A84,'10'!$AD$30:$AD$35,"Underperform")+COUNTIFS('11'!$AG$34:$AG$39,A84,'11'!$AD$34:$AD$39,"Underperform")+COUNTIFS('12'!$AG$34:$AG$39,A84,'12'!$AD$34:$AD$39,"Underperform")+COUNTIFS('13'!$AG$31:$AG$36,A84,'13'!$AD$31:$AD$36,"Underperform")+COUNTIFS('14'!$AG$37:$AG$42,A84,'14'!$AD$37:$AD$42,"Underperform")+COUNTIFS('15'!$AG$36:$AG$41,A84,'15'!$AD$36:$AD$41,"Underperform")+COUNTIFS('16'!$AG$32:$AG$37,A84,'16'!$AD$32:$AD$37,"Underperform")+COUNTIFS('17'!$AG$37:$AG$42,A84,'17'!$AD$37:$AD$42,"Underperform")+COUNTIFS('18'!$AG$37:$AG$42,A84,'18'!$AD$37:$AD$42,"Underperform")+COUNTIFS('19'!$AG$30:$AG$35,A84,'19'!$AD$30:$AD$35,"Underperform")+COUNTIFS('20'!$AG$35:$AG$40,A84,'20'!$AD$35:$AD$40,"Underperform")+COUNTIFS('21'!$AG$30:$AG$35,A84,'21'!$AD$30:$AD$35,"Underperform")+COUNTIFS('22'!$AG$36:$AG$41,A84,'22'!$AD$36:$AD$41,"Underperform")+COUNTIFS('23'!$AG$46:$AG$51,A84,'23'!$AD$46:$AD$51,"Underperform")+COUNTIFS('24'!$AG$39:$AG$44,A84,'24'!$AD$39:$AD$44,"Underperform")+COUNTIFS('25'!$AG$33:$AG$38,A84,'25'!$AD$33:$AD$38,"Underperform")+COUNTIFS('26'!$AG$37:$AG$42,A84,'26'!$AD$37:$AD$42,"Underperform")+COUNTIFS('27'!$AG$42:$AG$47,A84,'27'!$AD$42:$AD$47,"Underperform")+COUNTIFS('28'!$AG$37:$AG$42,A84,'28'!$AD$37:$AD$42,"Underperform")+COUNTIFS('29'!$AG$41:$AG$46,A84,'29'!$AD$41:$AD$46,"Underperform")+COUNTIFS('30'!$AG$33:$AG$38,A84,'30'!$AD$33:$AD$38,"Underperform")+COUNTIFS('31'!$AG$56:$AG$61,A84,'31'!$AD$56:$AD$61,"Underperform"))</f>
        <v>0</v>
      </c>
      <c r="F84" s="137" t="str">
        <f t="shared" ref="F84:F96" si="9">IF(D84="","",IF(D84&gt;=90,"Sangat Baik",IF(D84&gt;=80,"Baik",IF(D84&gt;=70,"Coaching","Underperform"))))</f>
        <v>Sangat Baik</v>
      </c>
      <c r="G84" s="140"/>
    </row>
    <row r="85" ht="15.75" customHeight="1">
      <c r="A85" s="137" t="str">
        <f>IF($A$107="","",$A$107)</f>
        <v>ADDEL</v>
      </c>
      <c r="B85" s="137" t="str">
        <f>IF(A85="","",$B$107)</f>
        <v>Admin/CS</v>
      </c>
      <c r="C85" s="138">
        <f>IF(A85="","",SUMIF('1'!$AG$30:$AG$35,A85,'1'!$AF$30:$AF$35)+SUMIF('2'!$AG$30:$AG$35,A85,'2'!$AF$30:$AF$35)+SUMIF('3'!$AG$30:$AG$35,A85,'3'!$AF$30:$AF$35)+SUMIF('4'!$AG$31:$AG$36,A85,'4'!$AF$31:$AF$36)+SUMIF('5'!$AG$31:$AG$36,A85,'5'!$AF$31:$AF$36)+SUMIF('6'!$AG$30:$AG$35,A85,'6'!$AF$30:$AF$35)+SUMIF('7'!$AG$30:$AG$35,A85,'7'!$AF$30:$AF$35)+SUMIF('8'!$AG$33:$AG$38,A85,'8'!$AF$33:$AF$38)+SUMIF('9'!$AG$30:$AG$35,A85,'9'!$AF$30:$AF$35)+SUMIF('10'!$AG$30:$AG$35,A85,'10'!$AF$30:$AF$35)+SUMIF('11'!$AG$34:$AG$39,A85,'11'!$AF$34:$AF$39)+SUMIF('12'!$AG$34:$AG$39,A85,'12'!$AF$34:$AF$39)+SUMIF('13'!$AG$31:$AG$36,A85,'13'!$AF$31:$AF$36)+SUMIF('14'!$AG$37:$AG$42,A85,'14'!$AF$37:$AF$42)+SUMIF('15'!$AG$36:$AG$41,A85,'15'!$AF$36:$AF$41)+SUMIF('16'!$AG$32:$AG$37,A85,'16'!$AF$32:$AF$37)+SUMIF('17'!$AG$37:$AG$42,A85,'17'!$AF$37:$AF$42)+SUMIF('18'!$AG$37:$AG$42,A85,'18'!$AF$37:$AF$42)+SUMIF('19'!$AG$30:$AG$35,A85,'19'!$AF$30:$AF$35)+SUMIF('20'!$AG$35:$AG$40,A85,'20'!$AF$35:$AF$40)+SUMIF('21'!$AG$30:$AG$35,A85,'21'!$AF$30:$AF$35)+SUMIF('22'!$AG$36:$AG$41,A85,'22'!$AF$36:$AF$41)+SUMIF('23'!$AG$46:$AG$51,A85,'23'!$AF$46:$AF$51)+SUMIF('24'!$AG$39:$AG$44,A85,'24'!$AF$39:$AF$44)+SUMIF('25'!$AG$33:$AG$38,A85,'25'!$AF$33:$AF$38)+SUMIF('26'!$AG$37:$AG$42,A85,'26'!$AF$37:$AF$42)+SUMIF('27'!$AG$42:$AG$47,A85,'27'!$AF$42:$AF$47)+SUMIF('28'!$AG$37:$AG$42,A85,'28'!$AF$37:$AF$42)+SUMIF('29'!$AG$41:$AG$46,A85,'29'!$AF$41:$AF$46)+SUMIF('30'!$AG$33:$AG$38,A85,'30'!$AF$33:$AF$38)+SUMIF('31'!$AG$56:$AG$61,A85,'31'!$AF$56:$AF$61))</f>
        <v>0</v>
      </c>
      <c r="D85" s="139" t="str">
        <f>IF(OR(A85="",C85=0),"",(SUMIF('1'!$AG$30:$AG$35,A85,'1'!$AC$30:$AC$35)+SUMIF('2'!$AG$30:$AG$35,A85,'2'!$AC$30:$AC$35)+SUMIF('3'!$AG$30:$AG$35,A85,'3'!$AC$30:$AC$35)+SUMIF('4'!$AG$31:$AG$36,A85,'4'!$AC$31:$AC$36)+SUMIF('5'!$AG$31:$AG$36,A85,'5'!$AC$31:$AC$36)+SUMIF('6'!$AG$30:$AG$35,A85,'6'!$AC$30:$AC$35)+SUMIF('7'!$AG$30:$AG$35,A85,'7'!$AC$30:$AC$35)+SUMIF('8'!$AG$33:$AG$38,A85,'8'!$AC$33:$AC$38)+SUMIF('9'!$AG$30:$AG$35,A85,'9'!$AC$30:$AC$35)+SUMIF('10'!$AG$30:$AG$35,A85,'10'!$AC$30:$AC$35)+SUMIF('11'!$AG$34:$AG$39,A85,'11'!$AC$34:$AC$39)+SUMIF('12'!$AG$34:$AG$39,A85,'12'!$AC$34:$AC$39)+SUMIF('13'!$AG$31:$AG$36,A85,'13'!$AC$31:$AC$36)+SUMIF('14'!$AG$37:$AG$42,A85,'14'!$AC$37:$AC$42)+SUMIF('15'!$AG$36:$AG$41,A85,'15'!$AC$36:$AC$41)+SUMIF('16'!$AG$32:$AG$37,A85,'16'!$AC$32:$AC$37)+SUMIF('17'!$AG$37:$AG$42,A85,'17'!$AC$37:$AC$42)+SUMIF('18'!$AG$37:$AG$42,A85,'18'!$AC$37:$AC$42)+SUMIF('19'!$AG$30:$AG$35,A85,'19'!$AC$30:$AC$35)+SUMIF('20'!$AG$35:$AG$40,A85,'20'!$AC$35:$AC$40)+SUMIF('21'!$AG$30:$AG$35,A85,'21'!$AC$30:$AC$35)+SUMIF('22'!$AG$36:$AG$41,A85,'22'!$AC$36:$AC$41)+SUMIF('23'!$AG$46:$AG$51,A85,'23'!$AC$46:$AC$51)+SUMIF('24'!$AG$39:$AG$44,A85,'24'!$AC$39:$AC$44)+SUMIF('25'!$AG$33:$AG$38,A85,'25'!$AC$33:$AC$38)+SUMIF('26'!$AG$37:$AG$42,A85,'26'!$AC$37:$AC$42)+SUMIF('27'!$AG$42:$AG$47,A85,'27'!$AC$42:$AC$47)+SUMIF('28'!$AG$37:$AG$42,A85,'28'!$AC$37:$AC$42)+SUMIF('29'!$AG$41:$AG$46,A85,'29'!$AC$41:$AC$46)+SUMIF('30'!$AG$33:$AG$38,A85,'30'!$AC$33:$AC$38)+SUMIF('31'!$AG$56:$AG$61,A85,'31'!$AC$56:$AC$61))/C85)</f>
        <v/>
      </c>
      <c r="E85" s="138">
        <f>IF(A85="","",COUNTIFS('1'!$AG$30:$AG$35,A85,'1'!$AD$30:$AD$35,"Underperform")+COUNTIFS('2'!$AG$30:$AG$35,A85,'2'!$AD$30:$AD$35,"Underperform")+COUNTIFS('3'!$AG$30:$AG$35,A85,'3'!$AD$30:$AD$35,"Underperform")+COUNTIFS('4'!$AG$31:$AG$36,A85,'4'!$AD$31:$AD$36,"Underperform")+COUNTIFS('5'!$AG$31:$AG$36,A85,'5'!$AD$31:$AD$36,"Underperform")+COUNTIFS('6'!$AG$30:$AG$35,A85,'6'!$AD$30:$AD$35,"Underperform")+COUNTIFS('7'!$AG$30:$AG$35,A85,'7'!$AD$30:$AD$35,"Underperform")+COUNTIFS('8'!$AG$33:$AG$38,A85,'8'!$AD$33:$AD$38,"Underperform")+COUNTIFS('9'!$AG$30:$AG$35,A85,'9'!$AD$30:$AD$35,"Underperform")+COUNTIFS('10'!$AG$30:$AG$35,A85,'10'!$AD$30:$AD$35,"Underperform")+COUNTIFS('11'!$AG$34:$AG$39,A85,'11'!$AD$34:$AD$39,"Underperform")+COUNTIFS('12'!$AG$34:$AG$39,A85,'12'!$AD$34:$AD$39,"Underperform")+COUNTIFS('13'!$AG$31:$AG$36,A85,'13'!$AD$31:$AD$36,"Underperform")+COUNTIFS('14'!$AG$37:$AG$42,A85,'14'!$AD$37:$AD$42,"Underperform")+COUNTIFS('15'!$AG$36:$AG$41,A85,'15'!$AD$36:$AD$41,"Underperform")+COUNTIFS('16'!$AG$32:$AG$37,A85,'16'!$AD$32:$AD$37,"Underperform")+COUNTIFS('17'!$AG$37:$AG$42,A85,'17'!$AD$37:$AD$42,"Underperform")+COUNTIFS('18'!$AG$37:$AG$42,A85,'18'!$AD$37:$AD$42,"Underperform")+COUNTIFS('19'!$AG$30:$AG$35,A85,'19'!$AD$30:$AD$35,"Underperform")+COUNTIFS('20'!$AG$35:$AG$40,A85,'20'!$AD$35:$AD$40,"Underperform")+COUNTIFS('21'!$AG$30:$AG$35,A85,'21'!$AD$30:$AD$35,"Underperform")+COUNTIFS('22'!$AG$36:$AG$41,A85,'22'!$AD$36:$AD$41,"Underperform")+COUNTIFS('23'!$AG$46:$AG$51,A85,'23'!$AD$46:$AD$51,"Underperform")+COUNTIFS('24'!$AG$39:$AG$44,A85,'24'!$AD$39:$AD$44,"Underperform")+COUNTIFS('25'!$AG$33:$AG$38,A85,'25'!$AD$33:$AD$38,"Underperform")+COUNTIFS('26'!$AG$37:$AG$42,A85,'26'!$AD$37:$AD$42,"Underperform")+COUNTIFS('27'!$AG$42:$AG$47,A85,'27'!$AD$42:$AD$47,"Underperform")+COUNTIFS('28'!$AG$37:$AG$42,A85,'28'!$AD$37:$AD$42,"Underperform")+COUNTIFS('29'!$AG$41:$AG$46,A85,'29'!$AD$41:$AD$46,"Underperform")+COUNTIFS('30'!$AG$33:$AG$38,A85,'30'!$AD$33:$AD$38,"Underperform")+COUNTIFS('31'!$AG$56:$AG$61,A85,'31'!$AD$56:$AD$61,"Underperform"))</f>
        <v>0</v>
      </c>
      <c r="F85" s="137" t="str">
        <f t="shared" si="9"/>
        <v/>
      </c>
      <c r="G85" s="140"/>
    </row>
    <row r="86" ht="15.75" customHeight="1">
      <c r="A86" s="137" t="str">
        <f>IF($A$108="","",$A$108)</f>
        <v>AMEL</v>
      </c>
      <c r="B86" s="137" t="str">
        <f>IF(A86="","",$B$108)</f>
        <v>Admin/CS</v>
      </c>
      <c r="C86" s="138">
        <f>IF(A86="","",SUMIF('1'!$AG$30:$AG$35,A86,'1'!$AF$30:$AF$35)+SUMIF('2'!$AG$30:$AG$35,A86,'2'!$AF$30:$AF$35)+SUMIF('3'!$AG$30:$AG$35,A86,'3'!$AF$30:$AF$35)+SUMIF('4'!$AG$31:$AG$36,A86,'4'!$AF$31:$AF$36)+SUMIF('5'!$AG$31:$AG$36,A86,'5'!$AF$31:$AF$36)+SUMIF('6'!$AG$30:$AG$35,A86,'6'!$AF$30:$AF$35)+SUMIF('7'!$AG$30:$AG$35,A86,'7'!$AF$30:$AF$35)+SUMIF('8'!$AG$33:$AG$38,A86,'8'!$AF$33:$AF$38)+SUMIF('9'!$AG$30:$AG$35,A86,'9'!$AF$30:$AF$35)+SUMIF('10'!$AG$30:$AG$35,A86,'10'!$AF$30:$AF$35)+SUMIF('11'!$AG$34:$AG$39,A86,'11'!$AF$34:$AF$39)+SUMIF('12'!$AG$34:$AG$39,A86,'12'!$AF$34:$AF$39)+SUMIF('13'!$AG$31:$AG$36,A86,'13'!$AF$31:$AF$36)+SUMIF('14'!$AG$37:$AG$42,A86,'14'!$AF$37:$AF$42)+SUMIF('15'!$AG$36:$AG$41,A86,'15'!$AF$36:$AF$41)+SUMIF('16'!$AG$32:$AG$37,A86,'16'!$AF$32:$AF$37)+SUMIF('17'!$AG$37:$AG$42,A86,'17'!$AF$37:$AF$42)+SUMIF('18'!$AG$37:$AG$42,A86,'18'!$AF$37:$AF$42)+SUMIF('19'!$AG$30:$AG$35,A86,'19'!$AF$30:$AF$35)+SUMIF('20'!$AG$35:$AG$40,A86,'20'!$AF$35:$AF$40)+SUMIF('21'!$AG$30:$AG$35,A86,'21'!$AF$30:$AF$35)+SUMIF('22'!$AG$36:$AG$41,A86,'22'!$AF$36:$AF$41)+SUMIF('23'!$AG$46:$AG$51,A86,'23'!$AF$46:$AF$51)+SUMIF('24'!$AG$39:$AG$44,A86,'24'!$AF$39:$AF$44)+SUMIF('25'!$AG$33:$AG$38,A86,'25'!$AF$33:$AF$38)+SUMIF('26'!$AG$37:$AG$42,A86,'26'!$AF$37:$AF$42)+SUMIF('27'!$AG$42:$AG$47,A86,'27'!$AF$42:$AF$47)+SUMIF('28'!$AG$37:$AG$42,A86,'28'!$AF$37:$AF$42)+SUMIF('29'!$AG$41:$AG$46,A86,'29'!$AF$41:$AF$46)+SUMIF('30'!$AG$33:$AG$38,A86,'30'!$AF$33:$AF$38)+SUMIF('31'!$AG$56:$AG$61,A86,'31'!$AF$56:$AF$61))</f>
        <v>31</v>
      </c>
      <c r="D86" s="139">
        <f>IF(OR(A86="",C86=0),"",(SUMIF('1'!$AG$30:$AG$35,A86,'1'!$AC$30:$AC$35)+SUMIF('2'!$AG$30:$AG$35,A86,'2'!$AC$30:$AC$35)+SUMIF('3'!$AG$30:$AG$35,A86,'3'!$AC$30:$AC$35)+SUMIF('4'!$AG$31:$AG$36,A86,'4'!$AC$31:$AC$36)+SUMIF('5'!$AG$31:$AG$36,A86,'5'!$AC$31:$AC$36)+SUMIF('6'!$AG$30:$AG$35,A86,'6'!$AC$30:$AC$35)+SUMIF('7'!$AG$30:$AG$35,A86,'7'!$AC$30:$AC$35)+SUMIF('8'!$AG$33:$AG$38,A86,'8'!$AC$33:$AC$38)+SUMIF('9'!$AG$30:$AG$35,A86,'9'!$AC$30:$AC$35)+SUMIF('10'!$AG$30:$AG$35,A86,'10'!$AC$30:$AC$35)+SUMIF('11'!$AG$34:$AG$39,A86,'11'!$AC$34:$AC$39)+SUMIF('12'!$AG$34:$AG$39,A86,'12'!$AC$34:$AC$39)+SUMIF('13'!$AG$31:$AG$36,A86,'13'!$AC$31:$AC$36)+SUMIF('14'!$AG$37:$AG$42,A86,'14'!$AC$37:$AC$42)+SUMIF('15'!$AG$36:$AG$41,A86,'15'!$AC$36:$AC$41)+SUMIF('16'!$AG$32:$AG$37,A86,'16'!$AC$32:$AC$37)+SUMIF('17'!$AG$37:$AG$42,A86,'17'!$AC$37:$AC$42)+SUMIF('18'!$AG$37:$AG$42,A86,'18'!$AC$37:$AC$42)+SUMIF('19'!$AG$30:$AG$35,A86,'19'!$AC$30:$AC$35)+SUMIF('20'!$AG$35:$AG$40,A86,'20'!$AC$35:$AC$40)+SUMIF('21'!$AG$30:$AG$35,A86,'21'!$AC$30:$AC$35)+SUMIF('22'!$AG$36:$AG$41,A86,'22'!$AC$36:$AC$41)+SUMIF('23'!$AG$46:$AG$51,A86,'23'!$AC$46:$AC$51)+SUMIF('24'!$AG$39:$AG$44,A86,'24'!$AC$39:$AC$44)+SUMIF('25'!$AG$33:$AG$38,A86,'25'!$AC$33:$AC$38)+SUMIF('26'!$AG$37:$AG$42,A86,'26'!$AC$37:$AC$42)+SUMIF('27'!$AG$42:$AG$47,A86,'27'!$AC$42:$AC$47)+SUMIF('28'!$AG$37:$AG$42,A86,'28'!$AC$37:$AC$42)+SUMIF('29'!$AG$41:$AG$46,A86,'29'!$AC$41:$AC$46)+SUMIF('30'!$AG$33:$AG$38,A86,'30'!$AC$33:$AC$38)+SUMIF('31'!$AG$56:$AG$61,A86,'31'!$AC$56:$AC$61))/C86)</f>
        <v>96.74193548</v>
      </c>
      <c r="E86" s="138">
        <f>IF(A86="","",COUNTIFS('1'!$AG$30:$AG$35,A86,'1'!$AD$30:$AD$35,"Underperform")+COUNTIFS('2'!$AG$30:$AG$35,A86,'2'!$AD$30:$AD$35,"Underperform")+COUNTIFS('3'!$AG$30:$AG$35,A86,'3'!$AD$30:$AD$35,"Underperform")+COUNTIFS('4'!$AG$31:$AG$36,A86,'4'!$AD$31:$AD$36,"Underperform")+COUNTIFS('5'!$AG$31:$AG$36,A86,'5'!$AD$31:$AD$36,"Underperform")+COUNTIFS('6'!$AG$30:$AG$35,A86,'6'!$AD$30:$AD$35,"Underperform")+COUNTIFS('7'!$AG$30:$AG$35,A86,'7'!$AD$30:$AD$35,"Underperform")+COUNTIFS('8'!$AG$33:$AG$38,A86,'8'!$AD$33:$AD$38,"Underperform")+COUNTIFS('9'!$AG$30:$AG$35,A86,'9'!$AD$30:$AD$35,"Underperform")+COUNTIFS('10'!$AG$30:$AG$35,A86,'10'!$AD$30:$AD$35,"Underperform")+COUNTIFS('11'!$AG$34:$AG$39,A86,'11'!$AD$34:$AD$39,"Underperform")+COUNTIFS('12'!$AG$34:$AG$39,A86,'12'!$AD$34:$AD$39,"Underperform")+COUNTIFS('13'!$AG$31:$AG$36,A86,'13'!$AD$31:$AD$36,"Underperform")+COUNTIFS('14'!$AG$37:$AG$42,A86,'14'!$AD$37:$AD$42,"Underperform")+COUNTIFS('15'!$AG$36:$AG$41,A86,'15'!$AD$36:$AD$41,"Underperform")+COUNTIFS('16'!$AG$32:$AG$37,A86,'16'!$AD$32:$AD$37,"Underperform")+COUNTIFS('17'!$AG$37:$AG$42,A86,'17'!$AD$37:$AD$42,"Underperform")+COUNTIFS('18'!$AG$37:$AG$42,A86,'18'!$AD$37:$AD$42,"Underperform")+COUNTIFS('19'!$AG$30:$AG$35,A86,'19'!$AD$30:$AD$35,"Underperform")+COUNTIFS('20'!$AG$35:$AG$40,A86,'20'!$AD$35:$AD$40,"Underperform")+COUNTIFS('21'!$AG$30:$AG$35,A86,'21'!$AD$30:$AD$35,"Underperform")+COUNTIFS('22'!$AG$36:$AG$41,A86,'22'!$AD$36:$AD$41,"Underperform")+COUNTIFS('23'!$AG$46:$AG$51,A86,'23'!$AD$46:$AD$51,"Underperform")+COUNTIFS('24'!$AG$39:$AG$44,A86,'24'!$AD$39:$AD$44,"Underperform")+COUNTIFS('25'!$AG$33:$AG$38,A86,'25'!$AD$33:$AD$38,"Underperform")+COUNTIFS('26'!$AG$37:$AG$42,A86,'26'!$AD$37:$AD$42,"Underperform")+COUNTIFS('27'!$AG$42:$AG$47,A86,'27'!$AD$42:$AD$47,"Underperform")+COUNTIFS('28'!$AG$37:$AG$42,A86,'28'!$AD$37:$AD$42,"Underperform")+COUNTIFS('29'!$AG$41:$AG$46,A86,'29'!$AD$41:$AD$46,"Underperform")+COUNTIFS('30'!$AG$33:$AG$38,A86,'30'!$AD$33:$AD$38,"Underperform")+COUNTIFS('31'!$AG$56:$AG$61,A86,'31'!$AD$56:$AD$61,"Underperform"))</f>
        <v>0</v>
      </c>
      <c r="F86" s="137" t="str">
        <f t="shared" si="9"/>
        <v>Sangat Baik</v>
      </c>
      <c r="G86" s="140"/>
    </row>
    <row r="87" ht="15.75" customHeight="1">
      <c r="A87" s="137" t="str">
        <f>IF($A$109="","",$A$109)</f>
        <v>PENTIL</v>
      </c>
      <c r="B87" s="137" t="str">
        <f>IF(A87="","",$B$109)</f>
        <v>Admin/CS</v>
      </c>
      <c r="C87" s="138">
        <f>IF(A87="","",SUMIF('1'!$AG$30:$AG$35,A87,'1'!$AF$30:$AF$35)+SUMIF('2'!$AG$30:$AG$35,A87,'2'!$AF$30:$AF$35)+SUMIF('3'!$AG$30:$AG$35,A87,'3'!$AF$30:$AF$35)+SUMIF('4'!$AG$31:$AG$36,A87,'4'!$AF$31:$AF$36)+SUMIF('5'!$AG$31:$AG$36,A87,'5'!$AF$31:$AF$36)+SUMIF('6'!$AG$30:$AG$35,A87,'6'!$AF$30:$AF$35)+SUMIF('7'!$AG$30:$AG$35,A87,'7'!$AF$30:$AF$35)+SUMIF('8'!$AG$33:$AG$38,A87,'8'!$AF$33:$AF$38)+SUMIF('9'!$AG$30:$AG$35,A87,'9'!$AF$30:$AF$35)+SUMIF('10'!$AG$30:$AG$35,A87,'10'!$AF$30:$AF$35)+SUMIF('11'!$AG$34:$AG$39,A87,'11'!$AF$34:$AF$39)+SUMIF('12'!$AG$34:$AG$39,A87,'12'!$AF$34:$AF$39)+SUMIF('13'!$AG$31:$AG$36,A87,'13'!$AF$31:$AF$36)+SUMIF('14'!$AG$37:$AG$42,A87,'14'!$AF$37:$AF$42)+SUMIF('15'!$AG$36:$AG$41,A87,'15'!$AF$36:$AF$41)+SUMIF('16'!$AG$32:$AG$37,A87,'16'!$AF$32:$AF$37)+SUMIF('17'!$AG$37:$AG$42,A87,'17'!$AF$37:$AF$42)+SUMIF('18'!$AG$37:$AG$42,A87,'18'!$AF$37:$AF$42)+SUMIF('19'!$AG$30:$AG$35,A87,'19'!$AF$30:$AF$35)+SUMIF('20'!$AG$35:$AG$40,A87,'20'!$AF$35:$AF$40)+SUMIF('21'!$AG$30:$AG$35,A87,'21'!$AF$30:$AF$35)+SUMIF('22'!$AG$36:$AG$41,A87,'22'!$AF$36:$AF$41)+SUMIF('23'!$AG$46:$AG$51,A87,'23'!$AF$46:$AF$51)+SUMIF('24'!$AG$39:$AG$44,A87,'24'!$AF$39:$AF$44)+SUMIF('25'!$AG$33:$AG$38,A87,'25'!$AF$33:$AF$38)+SUMIF('26'!$AG$37:$AG$42,A87,'26'!$AF$37:$AF$42)+SUMIF('27'!$AG$42:$AG$47,A87,'27'!$AF$42:$AF$47)+SUMIF('28'!$AG$37:$AG$42,A87,'28'!$AF$37:$AF$42)+SUMIF('29'!$AG$41:$AG$46,A87,'29'!$AF$41:$AF$46)+SUMIF('30'!$AG$33:$AG$38,A87,'30'!$AF$33:$AF$38)+SUMIF('31'!$AG$56:$AG$61,A87,'31'!$AF$56:$AF$61))</f>
        <v>0</v>
      </c>
      <c r="D87" s="139" t="str">
        <f>IF(OR(A87="",C87=0),"",(SUMIF('1'!$AG$30:$AG$35,A87,'1'!$AC$30:$AC$35)+SUMIF('2'!$AG$30:$AG$35,A87,'2'!$AC$30:$AC$35)+SUMIF('3'!$AG$30:$AG$35,A87,'3'!$AC$30:$AC$35)+SUMIF('4'!$AG$31:$AG$36,A87,'4'!$AC$31:$AC$36)+SUMIF('5'!$AG$31:$AG$36,A87,'5'!$AC$31:$AC$36)+SUMIF('6'!$AG$30:$AG$35,A87,'6'!$AC$30:$AC$35)+SUMIF('7'!$AG$30:$AG$35,A87,'7'!$AC$30:$AC$35)+SUMIF('8'!$AG$33:$AG$38,A87,'8'!$AC$33:$AC$38)+SUMIF('9'!$AG$30:$AG$35,A87,'9'!$AC$30:$AC$35)+SUMIF('10'!$AG$30:$AG$35,A87,'10'!$AC$30:$AC$35)+SUMIF('11'!$AG$34:$AG$39,A87,'11'!$AC$34:$AC$39)+SUMIF('12'!$AG$34:$AG$39,A87,'12'!$AC$34:$AC$39)+SUMIF('13'!$AG$31:$AG$36,A87,'13'!$AC$31:$AC$36)+SUMIF('14'!$AG$37:$AG$42,A87,'14'!$AC$37:$AC$42)+SUMIF('15'!$AG$36:$AG$41,A87,'15'!$AC$36:$AC$41)+SUMIF('16'!$AG$32:$AG$37,A87,'16'!$AC$32:$AC$37)+SUMIF('17'!$AG$37:$AG$42,A87,'17'!$AC$37:$AC$42)+SUMIF('18'!$AG$37:$AG$42,A87,'18'!$AC$37:$AC$42)+SUMIF('19'!$AG$30:$AG$35,A87,'19'!$AC$30:$AC$35)+SUMIF('20'!$AG$35:$AG$40,A87,'20'!$AC$35:$AC$40)+SUMIF('21'!$AG$30:$AG$35,A87,'21'!$AC$30:$AC$35)+SUMIF('22'!$AG$36:$AG$41,A87,'22'!$AC$36:$AC$41)+SUMIF('23'!$AG$46:$AG$51,A87,'23'!$AC$46:$AC$51)+SUMIF('24'!$AG$39:$AG$44,A87,'24'!$AC$39:$AC$44)+SUMIF('25'!$AG$33:$AG$38,A87,'25'!$AC$33:$AC$38)+SUMIF('26'!$AG$37:$AG$42,A87,'26'!$AC$37:$AC$42)+SUMIF('27'!$AG$42:$AG$47,A87,'27'!$AC$42:$AC$47)+SUMIF('28'!$AG$37:$AG$42,A87,'28'!$AC$37:$AC$42)+SUMIF('29'!$AG$41:$AG$46,A87,'29'!$AC$41:$AC$46)+SUMIF('30'!$AG$33:$AG$38,A87,'30'!$AC$33:$AC$38)+SUMIF('31'!$AG$56:$AG$61,A87,'31'!$AC$56:$AC$61))/C87)</f>
        <v/>
      </c>
      <c r="E87" s="138">
        <f>IF(A87="","",COUNTIFS('1'!$AG$30:$AG$35,A87,'1'!$AD$30:$AD$35,"Underperform")+COUNTIFS('2'!$AG$30:$AG$35,A87,'2'!$AD$30:$AD$35,"Underperform")+COUNTIFS('3'!$AG$30:$AG$35,A87,'3'!$AD$30:$AD$35,"Underperform")+COUNTIFS('4'!$AG$31:$AG$36,A87,'4'!$AD$31:$AD$36,"Underperform")+COUNTIFS('5'!$AG$31:$AG$36,A87,'5'!$AD$31:$AD$36,"Underperform")+COUNTIFS('6'!$AG$30:$AG$35,A87,'6'!$AD$30:$AD$35,"Underperform")+COUNTIFS('7'!$AG$30:$AG$35,A87,'7'!$AD$30:$AD$35,"Underperform")+COUNTIFS('8'!$AG$33:$AG$38,A87,'8'!$AD$33:$AD$38,"Underperform")+COUNTIFS('9'!$AG$30:$AG$35,A87,'9'!$AD$30:$AD$35,"Underperform")+COUNTIFS('10'!$AG$30:$AG$35,A87,'10'!$AD$30:$AD$35,"Underperform")+COUNTIFS('11'!$AG$34:$AG$39,A87,'11'!$AD$34:$AD$39,"Underperform")+COUNTIFS('12'!$AG$34:$AG$39,A87,'12'!$AD$34:$AD$39,"Underperform")+COUNTIFS('13'!$AG$31:$AG$36,A87,'13'!$AD$31:$AD$36,"Underperform")+COUNTIFS('14'!$AG$37:$AG$42,A87,'14'!$AD$37:$AD$42,"Underperform")+COUNTIFS('15'!$AG$36:$AG$41,A87,'15'!$AD$36:$AD$41,"Underperform")+COUNTIFS('16'!$AG$32:$AG$37,A87,'16'!$AD$32:$AD$37,"Underperform")+COUNTIFS('17'!$AG$37:$AG$42,A87,'17'!$AD$37:$AD$42,"Underperform")+COUNTIFS('18'!$AG$37:$AG$42,A87,'18'!$AD$37:$AD$42,"Underperform")+COUNTIFS('19'!$AG$30:$AG$35,A87,'19'!$AD$30:$AD$35,"Underperform")+COUNTIFS('20'!$AG$35:$AG$40,A87,'20'!$AD$35:$AD$40,"Underperform")+COUNTIFS('21'!$AG$30:$AG$35,A87,'21'!$AD$30:$AD$35,"Underperform")+COUNTIFS('22'!$AG$36:$AG$41,A87,'22'!$AD$36:$AD$41,"Underperform")+COUNTIFS('23'!$AG$46:$AG$51,A87,'23'!$AD$46:$AD$51,"Underperform")+COUNTIFS('24'!$AG$39:$AG$44,A87,'24'!$AD$39:$AD$44,"Underperform")+COUNTIFS('25'!$AG$33:$AG$38,A87,'25'!$AD$33:$AD$38,"Underperform")+COUNTIFS('26'!$AG$37:$AG$42,A87,'26'!$AD$37:$AD$42,"Underperform")+COUNTIFS('27'!$AG$42:$AG$47,A87,'27'!$AD$42:$AD$47,"Underperform")+COUNTIFS('28'!$AG$37:$AG$42,A87,'28'!$AD$37:$AD$42,"Underperform")+COUNTIFS('29'!$AG$41:$AG$46,A87,'29'!$AD$41:$AD$46,"Underperform")+COUNTIFS('30'!$AG$33:$AG$38,A87,'30'!$AD$33:$AD$38,"Underperform")+COUNTIFS('31'!$AG$56:$AG$61,A87,'31'!$AD$56:$AD$61,"Underperform"))</f>
        <v>0</v>
      </c>
      <c r="F87" s="137" t="str">
        <f t="shared" si="9"/>
        <v/>
      </c>
      <c r="G87" s="140"/>
    </row>
    <row r="88" ht="15.75" customHeight="1">
      <c r="A88" s="137" t="str">
        <f>IF($A$110="","",$A$110)</f>
        <v>JIJANG</v>
      </c>
      <c r="B88" s="137" t="str">
        <f>IF(A88="","",$B$110)</f>
        <v>Admin/CS</v>
      </c>
      <c r="C88" s="138">
        <f>IF(A88="","",SUMIF('1'!$AG$30:$AG$35,A88,'1'!$AF$30:$AF$35)+SUMIF('2'!$AG$30:$AG$35,A88,'2'!$AF$30:$AF$35)+SUMIF('3'!$AG$30:$AG$35,A88,'3'!$AF$30:$AF$35)+SUMIF('4'!$AG$31:$AG$36,A88,'4'!$AF$31:$AF$36)+SUMIF('5'!$AG$31:$AG$36,A88,'5'!$AF$31:$AF$36)+SUMIF('6'!$AG$30:$AG$35,A88,'6'!$AF$30:$AF$35)+SUMIF('7'!$AG$30:$AG$35,A88,'7'!$AF$30:$AF$35)+SUMIF('8'!$AG$33:$AG$38,A88,'8'!$AF$33:$AF$38)+SUMIF('9'!$AG$30:$AG$35,A88,'9'!$AF$30:$AF$35)+SUMIF('10'!$AG$30:$AG$35,A88,'10'!$AF$30:$AF$35)+SUMIF('11'!$AG$34:$AG$39,A88,'11'!$AF$34:$AF$39)+SUMIF('12'!$AG$34:$AG$39,A88,'12'!$AF$34:$AF$39)+SUMIF('13'!$AG$31:$AG$36,A88,'13'!$AF$31:$AF$36)+SUMIF('14'!$AG$37:$AG$42,A88,'14'!$AF$37:$AF$42)+SUMIF('15'!$AG$36:$AG$41,A88,'15'!$AF$36:$AF$41)+SUMIF('16'!$AG$32:$AG$37,A88,'16'!$AF$32:$AF$37)+SUMIF('17'!$AG$37:$AG$42,A88,'17'!$AF$37:$AF$42)+SUMIF('18'!$AG$37:$AG$42,A88,'18'!$AF$37:$AF$42)+SUMIF('19'!$AG$30:$AG$35,A88,'19'!$AF$30:$AF$35)+SUMIF('20'!$AG$35:$AG$40,A88,'20'!$AF$35:$AF$40)+SUMIF('21'!$AG$30:$AG$35,A88,'21'!$AF$30:$AF$35)+SUMIF('22'!$AG$36:$AG$41,A88,'22'!$AF$36:$AF$41)+SUMIF('23'!$AG$46:$AG$51,A88,'23'!$AF$46:$AF$51)+SUMIF('24'!$AG$39:$AG$44,A88,'24'!$AF$39:$AF$44)+SUMIF('25'!$AG$33:$AG$38,A88,'25'!$AF$33:$AF$38)+SUMIF('26'!$AG$37:$AG$42,A88,'26'!$AF$37:$AF$42)+SUMIF('27'!$AG$42:$AG$47,A88,'27'!$AF$42:$AF$47)+SUMIF('28'!$AG$37:$AG$42,A88,'28'!$AF$37:$AF$42)+SUMIF('29'!$AG$41:$AG$46,A88,'29'!$AF$41:$AF$46)+SUMIF('30'!$AG$33:$AG$38,A88,'30'!$AF$33:$AF$38)+SUMIF('31'!$AG$56:$AG$61,A88,'31'!$AF$56:$AF$61))</f>
        <v>0</v>
      </c>
      <c r="D88" s="139" t="str">
        <f>IF(OR(A88="",C88=0),"",(SUMIF('1'!$AG$30:$AG$35,A88,'1'!$AC$30:$AC$35)+SUMIF('2'!$AG$30:$AG$35,A88,'2'!$AC$30:$AC$35)+SUMIF('3'!$AG$30:$AG$35,A88,'3'!$AC$30:$AC$35)+SUMIF('4'!$AG$31:$AG$36,A88,'4'!$AC$31:$AC$36)+SUMIF('5'!$AG$31:$AG$36,A88,'5'!$AC$31:$AC$36)+SUMIF('6'!$AG$30:$AG$35,A88,'6'!$AC$30:$AC$35)+SUMIF('7'!$AG$30:$AG$35,A88,'7'!$AC$30:$AC$35)+SUMIF('8'!$AG$33:$AG$38,A88,'8'!$AC$33:$AC$38)+SUMIF('9'!$AG$30:$AG$35,A88,'9'!$AC$30:$AC$35)+SUMIF('10'!$AG$30:$AG$35,A88,'10'!$AC$30:$AC$35)+SUMIF('11'!$AG$34:$AG$39,A88,'11'!$AC$34:$AC$39)+SUMIF('12'!$AG$34:$AG$39,A88,'12'!$AC$34:$AC$39)+SUMIF('13'!$AG$31:$AG$36,A88,'13'!$AC$31:$AC$36)+SUMIF('14'!$AG$37:$AG$42,A88,'14'!$AC$37:$AC$42)+SUMIF('15'!$AG$36:$AG$41,A88,'15'!$AC$36:$AC$41)+SUMIF('16'!$AG$32:$AG$37,A88,'16'!$AC$32:$AC$37)+SUMIF('17'!$AG$37:$AG$42,A88,'17'!$AC$37:$AC$42)+SUMIF('18'!$AG$37:$AG$42,A88,'18'!$AC$37:$AC$42)+SUMIF('19'!$AG$30:$AG$35,A88,'19'!$AC$30:$AC$35)+SUMIF('20'!$AG$35:$AG$40,A88,'20'!$AC$35:$AC$40)+SUMIF('21'!$AG$30:$AG$35,A88,'21'!$AC$30:$AC$35)+SUMIF('22'!$AG$36:$AG$41,A88,'22'!$AC$36:$AC$41)+SUMIF('23'!$AG$46:$AG$51,A88,'23'!$AC$46:$AC$51)+SUMIF('24'!$AG$39:$AG$44,A88,'24'!$AC$39:$AC$44)+SUMIF('25'!$AG$33:$AG$38,A88,'25'!$AC$33:$AC$38)+SUMIF('26'!$AG$37:$AG$42,A88,'26'!$AC$37:$AC$42)+SUMIF('27'!$AG$42:$AG$47,A88,'27'!$AC$42:$AC$47)+SUMIF('28'!$AG$37:$AG$42,A88,'28'!$AC$37:$AC$42)+SUMIF('29'!$AG$41:$AG$46,A88,'29'!$AC$41:$AC$46)+SUMIF('30'!$AG$33:$AG$38,A88,'30'!$AC$33:$AC$38)+SUMIF('31'!$AG$56:$AG$61,A88,'31'!$AC$56:$AC$61))/C88)</f>
        <v/>
      </c>
      <c r="E88" s="138">
        <f>IF(A88="","",COUNTIFS('1'!$AG$30:$AG$35,A88,'1'!$AD$30:$AD$35,"Underperform")+COUNTIFS('2'!$AG$30:$AG$35,A88,'2'!$AD$30:$AD$35,"Underperform")+COUNTIFS('3'!$AG$30:$AG$35,A88,'3'!$AD$30:$AD$35,"Underperform")+COUNTIFS('4'!$AG$31:$AG$36,A88,'4'!$AD$31:$AD$36,"Underperform")+COUNTIFS('5'!$AG$31:$AG$36,A88,'5'!$AD$31:$AD$36,"Underperform")+COUNTIFS('6'!$AG$30:$AG$35,A88,'6'!$AD$30:$AD$35,"Underperform")+COUNTIFS('7'!$AG$30:$AG$35,A88,'7'!$AD$30:$AD$35,"Underperform")+COUNTIFS('8'!$AG$33:$AG$38,A88,'8'!$AD$33:$AD$38,"Underperform")+COUNTIFS('9'!$AG$30:$AG$35,A88,'9'!$AD$30:$AD$35,"Underperform")+COUNTIFS('10'!$AG$30:$AG$35,A88,'10'!$AD$30:$AD$35,"Underperform")+COUNTIFS('11'!$AG$34:$AG$39,A88,'11'!$AD$34:$AD$39,"Underperform")+COUNTIFS('12'!$AG$34:$AG$39,A88,'12'!$AD$34:$AD$39,"Underperform")+COUNTIFS('13'!$AG$31:$AG$36,A88,'13'!$AD$31:$AD$36,"Underperform")+COUNTIFS('14'!$AG$37:$AG$42,A88,'14'!$AD$37:$AD$42,"Underperform")+COUNTIFS('15'!$AG$36:$AG$41,A88,'15'!$AD$36:$AD$41,"Underperform")+COUNTIFS('16'!$AG$32:$AG$37,A88,'16'!$AD$32:$AD$37,"Underperform")+COUNTIFS('17'!$AG$37:$AG$42,A88,'17'!$AD$37:$AD$42,"Underperform")+COUNTIFS('18'!$AG$37:$AG$42,A88,'18'!$AD$37:$AD$42,"Underperform")+COUNTIFS('19'!$AG$30:$AG$35,A88,'19'!$AD$30:$AD$35,"Underperform")+COUNTIFS('20'!$AG$35:$AG$40,A88,'20'!$AD$35:$AD$40,"Underperform")+COUNTIFS('21'!$AG$30:$AG$35,A88,'21'!$AD$30:$AD$35,"Underperform")+COUNTIFS('22'!$AG$36:$AG$41,A88,'22'!$AD$36:$AD$41,"Underperform")+COUNTIFS('23'!$AG$46:$AG$51,A88,'23'!$AD$46:$AD$51,"Underperform")+COUNTIFS('24'!$AG$39:$AG$44,A88,'24'!$AD$39:$AD$44,"Underperform")+COUNTIFS('25'!$AG$33:$AG$38,A88,'25'!$AD$33:$AD$38,"Underperform")+COUNTIFS('26'!$AG$37:$AG$42,A88,'26'!$AD$37:$AD$42,"Underperform")+COUNTIFS('27'!$AG$42:$AG$47,A88,'27'!$AD$42:$AD$47,"Underperform")+COUNTIFS('28'!$AG$37:$AG$42,A88,'28'!$AD$37:$AD$42,"Underperform")+COUNTIFS('29'!$AG$41:$AG$46,A88,'29'!$AD$41:$AD$46,"Underperform")+COUNTIFS('30'!$AG$33:$AG$38,A88,'30'!$AD$33:$AD$38,"Underperform")+COUNTIFS('31'!$AG$56:$AG$61,A88,'31'!$AD$56:$AD$61,"Underperform"))</f>
        <v>0</v>
      </c>
      <c r="F88" s="137" t="str">
        <f t="shared" si="9"/>
        <v/>
      </c>
      <c r="G88" s="140"/>
    </row>
    <row r="89" ht="15.75" customHeight="1">
      <c r="A89" s="137" t="str">
        <f>IF($A$111="","",$A$111)</f>
        <v>HANIF</v>
      </c>
      <c r="B89" s="137" t="str">
        <f>IF(A89="","",$B$111)</f>
        <v>Fotografer</v>
      </c>
      <c r="C89" s="138">
        <f>IF(A89="","",SUMIF('1'!$AG$30:$AG$35,A89,'1'!$AF$30:$AF$35)+SUMIF('2'!$AG$30:$AG$35,A89,'2'!$AF$30:$AF$35)+SUMIF('3'!$AG$30:$AG$35,A89,'3'!$AF$30:$AF$35)+SUMIF('4'!$AG$31:$AG$36,A89,'4'!$AF$31:$AF$36)+SUMIF('5'!$AG$31:$AG$36,A89,'5'!$AF$31:$AF$36)+SUMIF('6'!$AG$30:$AG$35,A89,'6'!$AF$30:$AF$35)+SUMIF('7'!$AG$30:$AG$35,A89,'7'!$AF$30:$AF$35)+SUMIF('8'!$AG$33:$AG$38,A89,'8'!$AF$33:$AF$38)+SUMIF('9'!$AG$30:$AG$35,A89,'9'!$AF$30:$AF$35)+SUMIF('10'!$AG$30:$AG$35,A89,'10'!$AF$30:$AF$35)+SUMIF('11'!$AG$34:$AG$39,A89,'11'!$AF$34:$AF$39)+SUMIF('12'!$AG$34:$AG$39,A89,'12'!$AF$34:$AF$39)+SUMIF('13'!$AG$31:$AG$36,A89,'13'!$AF$31:$AF$36)+SUMIF('14'!$AG$37:$AG$42,A89,'14'!$AF$37:$AF$42)+SUMIF('15'!$AG$36:$AG$41,A89,'15'!$AF$36:$AF$41)+SUMIF('16'!$AG$32:$AG$37,A89,'16'!$AF$32:$AF$37)+SUMIF('17'!$AG$37:$AG$42,A89,'17'!$AF$37:$AF$42)+SUMIF('18'!$AG$37:$AG$42,A89,'18'!$AF$37:$AF$42)+SUMIF('19'!$AG$30:$AG$35,A89,'19'!$AF$30:$AF$35)+SUMIF('20'!$AG$35:$AG$40,A89,'20'!$AF$35:$AF$40)+SUMIF('21'!$AG$30:$AG$35,A89,'21'!$AF$30:$AF$35)+SUMIF('22'!$AG$36:$AG$41,A89,'22'!$AF$36:$AF$41)+SUMIF('23'!$AG$46:$AG$51,A89,'23'!$AF$46:$AF$51)+SUMIF('24'!$AG$39:$AG$44,A89,'24'!$AF$39:$AF$44)+SUMIF('25'!$AG$33:$AG$38,A89,'25'!$AF$33:$AF$38)+SUMIF('26'!$AG$37:$AG$42,A89,'26'!$AF$37:$AF$42)+SUMIF('27'!$AG$42:$AG$47,A89,'27'!$AF$42:$AF$47)+SUMIF('28'!$AG$37:$AG$42,A89,'28'!$AF$37:$AF$42)+SUMIF('29'!$AG$41:$AG$46,A89,'29'!$AF$41:$AF$46)+SUMIF('30'!$AG$33:$AG$38,A89,'30'!$AF$33:$AF$38)+SUMIF('31'!$AG$56:$AG$61,A89,'31'!$AF$56:$AF$61))</f>
        <v>0</v>
      </c>
      <c r="D89" s="139" t="str">
        <f>IF(OR(A89="",C89=0),"",(SUMIF('1'!$AG$30:$AG$35,A89,'1'!$AC$30:$AC$35)+SUMIF('2'!$AG$30:$AG$35,A89,'2'!$AC$30:$AC$35)+SUMIF('3'!$AG$30:$AG$35,A89,'3'!$AC$30:$AC$35)+SUMIF('4'!$AG$31:$AG$36,A89,'4'!$AC$31:$AC$36)+SUMIF('5'!$AG$31:$AG$36,A89,'5'!$AC$31:$AC$36)+SUMIF('6'!$AG$30:$AG$35,A89,'6'!$AC$30:$AC$35)+SUMIF('7'!$AG$30:$AG$35,A89,'7'!$AC$30:$AC$35)+SUMIF('8'!$AG$33:$AG$38,A89,'8'!$AC$33:$AC$38)+SUMIF('9'!$AG$30:$AG$35,A89,'9'!$AC$30:$AC$35)+SUMIF('10'!$AG$30:$AG$35,A89,'10'!$AC$30:$AC$35)+SUMIF('11'!$AG$34:$AG$39,A89,'11'!$AC$34:$AC$39)+SUMIF('12'!$AG$34:$AG$39,A89,'12'!$AC$34:$AC$39)+SUMIF('13'!$AG$31:$AG$36,A89,'13'!$AC$31:$AC$36)+SUMIF('14'!$AG$37:$AG$42,A89,'14'!$AC$37:$AC$42)+SUMIF('15'!$AG$36:$AG$41,A89,'15'!$AC$36:$AC$41)+SUMIF('16'!$AG$32:$AG$37,A89,'16'!$AC$32:$AC$37)+SUMIF('17'!$AG$37:$AG$42,A89,'17'!$AC$37:$AC$42)+SUMIF('18'!$AG$37:$AG$42,A89,'18'!$AC$37:$AC$42)+SUMIF('19'!$AG$30:$AG$35,A89,'19'!$AC$30:$AC$35)+SUMIF('20'!$AG$35:$AG$40,A89,'20'!$AC$35:$AC$40)+SUMIF('21'!$AG$30:$AG$35,A89,'21'!$AC$30:$AC$35)+SUMIF('22'!$AG$36:$AG$41,A89,'22'!$AC$36:$AC$41)+SUMIF('23'!$AG$46:$AG$51,A89,'23'!$AC$46:$AC$51)+SUMIF('24'!$AG$39:$AG$44,A89,'24'!$AC$39:$AC$44)+SUMIF('25'!$AG$33:$AG$38,A89,'25'!$AC$33:$AC$38)+SUMIF('26'!$AG$37:$AG$42,A89,'26'!$AC$37:$AC$42)+SUMIF('27'!$AG$42:$AG$47,A89,'27'!$AC$42:$AC$47)+SUMIF('28'!$AG$37:$AG$42,A89,'28'!$AC$37:$AC$42)+SUMIF('29'!$AG$41:$AG$46,A89,'29'!$AC$41:$AC$46)+SUMIF('30'!$AG$33:$AG$38,A89,'30'!$AC$33:$AC$38)+SUMIF('31'!$AG$56:$AG$61,A89,'31'!$AC$56:$AC$61))/C89)</f>
        <v/>
      </c>
      <c r="E89" s="138">
        <f>IF(A89="","",COUNTIFS('1'!$AG$30:$AG$35,A89,'1'!$AD$30:$AD$35,"Underperform")+COUNTIFS('2'!$AG$30:$AG$35,A89,'2'!$AD$30:$AD$35,"Underperform")+COUNTIFS('3'!$AG$30:$AG$35,A89,'3'!$AD$30:$AD$35,"Underperform")+COUNTIFS('4'!$AG$31:$AG$36,A89,'4'!$AD$31:$AD$36,"Underperform")+COUNTIFS('5'!$AG$31:$AG$36,A89,'5'!$AD$31:$AD$36,"Underperform")+COUNTIFS('6'!$AG$30:$AG$35,A89,'6'!$AD$30:$AD$35,"Underperform")+COUNTIFS('7'!$AG$30:$AG$35,A89,'7'!$AD$30:$AD$35,"Underperform")+COUNTIFS('8'!$AG$33:$AG$38,A89,'8'!$AD$33:$AD$38,"Underperform")+COUNTIFS('9'!$AG$30:$AG$35,A89,'9'!$AD$30:$AD$35,"Underperform")+COUNTIFS('10'!$AG$30:$AG$35,A89,'10'!$AD$30:$AD$35,"Underperform")+COUNTIFS('11'!$AG$34:$AG$39,A89,'11'!$AD$34:$AD$39,"Underperform")+COUNTIFS('12'!$AG$34:$AG$39,A89,'12'!$AD$34:$AD$39,"Underperform")+COUNTIFS('13'!$AG$31:$AG$36,A89,'13'!$AD$31:$AD$36,"Underperform")+COUNTIFS('14'!$AG$37:$AG$42,A89,'14'!$AD$37:$AD$42,"Underperform")+COUNTIFS('15'!$AG$36:$AG$41,A89,'15'!$AD$36:$AD$41,"Underperform")+COUNTIFS('16'!$AG$32:$AG$37,A89,'16'!$AD$32:$AD$37,"Underperform")+COUNTIFS('17'!$AG$37:$AG$42,A89,'17'!$AD$37:$AD$42,"Underperform")+COUNTIFS('18'!$AG$37:$AG$42,A89,'18'!$AD$37:$AD$42,"Underperform")+COUNTIFS('19'!$AG$30:$AG$35,A89,'19'!$AD$30:$AD$35,"Underperform")+COUNTIFS('20'!$AG$35:$AG$40,A89,'20'!$AD$35:$AD$40,"Underperform")+COUNTIFS('21'!$AG$30:$AG$35,A89,'21'!$AD$30:$AD$35,"Underperform")+COUNTIFS('22'!$AG$36:$AG$41,A89,'22'!$AD$36:$AD$41,"Underperform")+COUNTIFS('23'!$AG$46:$AG$51,A89,'23'!$AD$46:$AD$51,"Underperform")+COUNTIFS('24'!$AG$39:$AG$44,A89,'24'!$AD$39:$AD$44,"Underperform")+COUNTIFS('25'!$AG$33:$AG$38,A89,'25'!$AD$33:$AD$38,"Underperform")+COUNTIFS('26'!$AG$37:$AG$42,A89,'26'!$AD$37:$AD$42,"Underperform")+COUNTIFS('27'!$AG$42:$AG$47,A89,'27'!$AD$42:$AD$47,"Underperform")+COUNTIFS('28'!$AG$37:$AG$42,A89,'28'!$AD$37:$AD$42,"Underperform")+COUNTIFS('29'!$AG$41:$AG$46,A89,'29'!$AD$41:$AD$46,"Underperform")+COUNTIFS('30'!$AG$33:$AG$38,A89,'30'!$AD$33:$AD$38,"Underperform")+COUNTIFS('31'!$AG$56:$AG$61,A89,'31'!$AD$56:$AD$61,"Underperform"))</f>
        <v>0</v>
      </c>
      <c r="F89" s="137" t="str">
        <f t="shared" si="9"/>
        <v/>
      </c>
      <c r="G89" s="140"/>
    </row>
    <row r="90" ht="15.75" customHeight="1">
      <c r="A90" s="137" t="str">
        <f>IF($A$112="","",$A$112)</f>
        <v>FAHME</v>
      </c>
      <c r="B90" s="137" t="str">
        <f>IF(A90="","",$B$112)</f>
        <v>Fotografer</v>
      </c>
      <c r="C90" s="138">
        <f>IF(A90="","",SUMIF('1'!$AG$30:$AG$35,A90,'1'!$AF$30:$AF$35)+SUMIF('2'!$AG$30:$AG$35,A90,'2'!$AF$30:$AF$35)+SUMIF('3'!$AG$30:$AG$35,A90,'3'!$AF$30:$AF$35)+SUMIF('4'!$AG$31:$AG$36,A90,'4'!$AF$31:$AF$36)+SUMIF('5'!$AG$31:$AG$36,A90,'5'!$AF$31:$AF$36)+SUMIF('6'!$AG$30:$AG$35,A90,'6'!$AF$30:$AF$35)+SUMIF('7'!$AG$30:$AG$35,A90,'7'!$AF$30:$AF$35)+SUMIF('8'!$AG$33:$AG$38,A90,'8'!$AF$33:$AF$38)+SUMIF('9'!$AG$30:$AG$35,A90,'9'!$AF$30:$AF$35)+SUMIF('10'!$AG$30:$AG$35,A90,'10'!$AF$30:$AF$35)+SUMIF('11'!$AG$34:$AG$39,A90,'11'!$AF$34:$AF$39)+SUMIF('12'!$AG$34:$AG$39,A90,'12'!$AF$34:$AF$39)+SUMIF('13'!$AG$31:$AG$36,A90,'13'!$AF$31:$AF$36)+SUMIF('14'!$AG$37:$AG$42,A90,'14'!$AF$37:$AF$42)+SUMIF('15'!$AG$36:$AG$41,A90,'15'!$AF$36:$AF$41)+SUMIF('16'!$AG$32:$AG$37,A90,'16'!$AF$32:$AF$37)+SUMIF('17'!$AG$37:$AG$42,A90,'17'!$AF$37:$AF$42)+SUMIF('18'!$AG$37:$AG$42,A90,'18'!$AF$37:$AF$42)+SUMIF('19'!$AG$30:$AG$35,A90,'19'!$AF$30:$AF$35)+SUMIF('20'!$AG$35:$AG$40,A90,'20'!$AF$35:$AF$40)+SUMIF('21'!$AG$30:$AG$35,A90,'21'!$AF$30:$AF$35)+SUMIF('22'!$AG$36:$AG$41,A90,'22'!$AF$36:$AF$41)+SUMIF('23'!$AG$46:$AG$51,A90,'23'!$AF$46:$AF$51)+SUMIF('24'!$AG$39:$AG$44,A90,'24'!$AF$39:$AF$44)+SUMIF('25'!$AG$33:$AG$38,A90,'25'!$AF$33:$AF$38)+SUMIF('26'!$AG$37:$AG$42,A90,'26'!$AF$37:$AF$42)+SUMIF('27'!$AG$42:$AG$47,A90,'27'!$AF$42:$AF$47)+SUMIF('28'!$AG$37:$AG$42,A90,'28'!$AF$37:$AF$42)+SUMIF('29'!$AG$41:$AG$46,A90,'29'!$AF$41:$AF$46)+SUMIF('30'!$AG$33:$AG$38,A90,'30'!$AF$33:$AF$38)+SUMIF('31'!$AG$56:$AG$61,A90,'31'!$AF$56:$AF$61))</f>
        <v>0</v>
      </c>
      <c r="D90" s="139" t="str">
        <f>IF(OR(A90="",C90=0),"",(SUMIF('1'!$AG$30:$AG$35,A90,'1'!$AC$30:$AC$35)+SUMIF('2'!$AG$30:$AG$35,A90,'2'!$AC$30:$AC$35)+SUMIF('3'!$AG$30:$AG$35,A90,'3'!$AC$30:$AC$35)+SUMIF('4'!$AG$31:$AG$36,A90,'4'!$AC$31:$AC$36)+SUMIF('5'!$AG$31:$AG$36,A90,'5'!$AC$31:$AC$36)+SUMIF('6'!$AG$30:$AG$35,A90,'6'!$AC$30:$AC$35)+SUMIF('7'!$AG$30:$AG$35,A90,'7'!$AC$30:$AC$35)+SUMIF('8'!$AG$33:$AG$38,A90,'8'!$AC$33:$AC$38)+SUMIF('9'!$AG$30:$AG$35,A90,'9'!$AC$30:$AC$35)+SUMIF('10'!$AG$30:$AG$35,A90,'10'!$AC$30:$AC$35)+SUMIF('11'!$AG$34:$AG$39,A90,'11'!$AC$34:$AC$39)+SUMIF('12'!$AG$34:$AG$39,A90,'12'!$AC$34:$AC$39)+SUMIF('13'!$AG$31:$AG$36,A90,'13'!$AC$31:$AC$36)+SUMIF('14'!$AG$37:$AG$42,A90,'14'!$AC$37:$AC$42)+SUMIF('15'!$AG$36:$AG$41,A90,'15'!$AC$36:$AC$41)+SUMIF('16'!$AG$32:$AG$37,A90,'16'!$AC$32:$AC$37)+SUMIF('17'!$AG$37:$AG$42,A90,'17'!$AC$37:$AC$42)+SUMIF('18'!$AG$37:$AG$42,A90,'18'!$AC$37:$AC$42)+SUMIF('19'!$AG$30:$AG$35,A90,'19'!$AC$30:$AC$35)+SUMIF('20'!$AG$35:$AG$40,A90,'20'!$AC$35:$AC$40)+SUMIF('21'!$AG$30:$AG$35,A90,'21'!$AC$30:$AC$35)+SUMIF('22'!$AG$36:$AG$41,A90,'22'!$AC$36:$AC$41)+SUMIF('23'!$AG$46:$AG$51,A90,'23'!$AC$46:$AC$51)+SUMIF('24'!$AG$39:$AG$44,A90,'24'!$AC$39:$AC$44)+SUMIF('25'!$AG$33:$AG$38,A90,'25'!$AC$33:$AC$38)+SUMIF('26'!$AG$37:$AG$42,A90,'26'!$AC$37:$AC$42)+SUMIF('27'!$AG$42:$AG$47,A90,'27'!$AC$42:$AC$47)+SUMIF('28'!$AG$37:$AG$42,A90,'28'!$AC$37:$AC$42)+SUMIF('29'!$AG$41:$AG$46,A90,'29'!$AC$41:$AC$46)+SUMIF('30'!$AG$33:$AG$38,A90,'30'!$AC$33:$AC$38)+SUMIF('31'!$AG$56:$AG$61,A90,'31'!$AC$56:$AC$61))/C90)</f>
        <v/>
      </c>
      <c r="E90" s="138">
        <f>IF(A90="","",COUNTIFS('1'!$AG$30:$AG$35,A90,'1'!$AD$30:$AD$35,"Underperform")+COUNTIFS('2'!$AG$30:$AG$35,A90,'2'!$AD$30:$AD$35,"Underperform")+COUNTIFS('3'!$AG$30:$AG$35,A90,'3'!$AD$30:$AD$35,"Underperform")+COUNTIFS('4'!$AG$31:$AG$36,A90,'4'!$AD$31:$AD$36,"Underperform")+COUNTIFS('5'!$AG$31:$AG$36,A90,'5'!$AD$31:$AD$36,"Underperform")+COUNTIFS('6'!$AG$30:$AG$35,A90,'6'!$AD$30:$AD$35,"Underperform")+COUNTIFS('7'!$AG$30:$AG$35,A90,'7'!$AD$30:$AD$35,"Underperform")+COUNTIFS('8'!$AG$33:$AG$38,A90,'8'!$AD$33:$AD$38,"Underperform")+COUNTIFS('9'!$AG$30:$AG$35,A90,'9'!$AD$30:$AD$35,"Underperform")+COUNTIFS('10'!$AG$30:$AG$35,A90,'10'!$AD$30:$AD$35,"Underperform")+COUNTIFS('11'!$AG$34:$AG$39,A90,'11'!$AD$34:$AD$39,"Underperform")+COUNTIFS('12'!$AG$34:$AG$39,A90,'12'!$AD$34:$AD$39,"Underperform")+COUNTIFS('13'!$AG$31:$AG$36,A90,'13'!$AD$31:$AD$36,"Underperform")+COUNTIFS('14'!$AG$37:$AG$42,A90,'14'!$AD$37:$AD$42,"Underperform")+COUNTIFS('15'!$AG$36:$AG$41,A90,'15'!$AD$36:$AD$41,"Underperform")+COUNTIFS('16'!$AG$32:$AG$37,A90,'16'!$AD$32:$AD$37,"Underperform")+COUNTIFS('17'!$AG$37:$AG$42,A90,'17'!$AD$37:$AD$42,"Underperform")+COUNTIFS('18'!$AG$37:$AG$42,A90,'18'!$AD$37:$AD$42,"Underperform")+COUNTIFS('19'!$AG$30:$AG$35,A90,'19'!$AD$30:$AD$35,"Underperform")+COUNTIFS('20'!$AG$35:$AG$40,A90,'20'!$AD$35:$AD$40,"Underperform")+COUNTIFS('21'!$AG$30:$AG$35,A90,'21'!$AD$30:$AD$35,"Underperform")+COUNTIFS('22'!$AG$36:$AG$41,A90,'22'!$AD$36:$AD$41,"Underperform")+COUNTIFS('23'!$AG$46:$AG$51,A90,'23'!$AD$46:$AD$51,"Underperform")+COUNTIFS('24'!$AG$39:$AG$44,A90,'24'!$AD$39:$AD$44,"Underperform")+COUNTIFS('25'!$AG$33:$AG$38,A90,'25'!$AD$33:$AD$38,"Underperform")+COUNTIFS('26'!$AG$37:$AG$42,A90,'26'!$AD$37:$AD$42,"Underperform")+COUNTIFS('27'!$AG$42:$AG$47,A90,'27'!$AD$42:$AD$47,"Underperform")+COUNTIFS('28'!$AG$37:$AG$42,A90,'28'!$AD$37:$AD$42,"Underperform")+COUNTIFS('29'!$AG$41:$AG$46,A90,'29'!$AD$41:$AD$46,"Underperform")+COUNTIFS('30'!$AG$33:$AG$38,A90,'30'!$AD$33:$AD$38,"Underperform")+COUNTIFS('31'!$AG$56:$AG$61,A90,'31'!$AD$56:$AD$61,"Underperform"))</f>
        <v>0</v>
      </c>
      <c r="F90" s="137" t="str">
        <f t="shared" si="9"/>
        <v/>
      </c>
      <c r="G90" s="140"/>
    </row>
    <row r="91" ht="15.75" customHeight="1">
      <c r="A91" s="137" t="str">
        <f>IF($A$113="","",$A$113)</f>
        <v>ADIF</v>
      </c>
      <c r="B91" s="137" t="str">
        <f>IF(A91="","",$B$113)</f>
        <v>Fotografer</v>
      </c>
      <c r="C91" s="138">
        <f>IF(A91="","",SUMIF('1'!$AG$30:$AG$35,A91,'1'!$AF$30:$AF$35)+SUMIF('2'!$AG$30:$AG$35,A91,'2'!$AF$30:$AF$35)+SUMIF('3'!$AG$30:$AG$35,A91,'3'!$AF$30:$AF$35)+SUMIF('4'!$AG$31:$AG$36,A91,'4'!$AF$31:$AF$36)+SUMIF('5'!$AG$31:$AG$36,A91,'5'!$AF$31:$AF$36)+SUMIF('6'!$AG$30:$AG$35,A91,'6'!$AF$30:$AF$35)+SUMIF('7'!$AG$30:$AG$35,A91,'7'!$AF$30:$AF$35)+SUMIF('8'!$AG$33:$AG$38,A91,'8'!$AF$33:$AF$38)+SUMIF('9'!$AG$30:$AG$35,A91,'9'!$AF$30:$AF$35)+SUMIF('10'!$AG$30:$AG$35,A91,'10'!$AF$30:$AF$35)+SUMIF('11'!$AG$34:$AG$39,A91,'11'!$AF$34:$AF$39)+SUMIF('12'!$AG$34:$AG$39,A91,'12'!$AF$34:$AF$39)+SUMIF('13'!$AG$31:$AG$36,A91,'13'!$AF$31:$AF$36)+SUMIF('14'!$AG$37:$AG$42,A91,'14'!$AF$37:$AF$42)+SUMIF('15'!$AG$36:$AG$41,A91,'15'!$AF$36:$AF$41)+SUMIF('16'!$AG$32:$AG$37,A91,'16'!$AF$32:$AF$37)+SUMIF('17'!$AG$37:$AG$42,A91,'17'!$AF$37:$AF$42)+SUMIF('18'!$AG$37:$AG$42,A91,'18'!$AF$37:$AF$42)+SUMIF('19'!$AG$30:$AG$35,A91,'19'!$AF$30:$AF$35)+SUMIF('20'!$AG$35:$AG$40,A91,'20'!$AF$35:$AF$40)+SUMIF('21'!$AG$30:$AG$35,A91,'21'!$AF$30:$AF$35)+SUMIF('22'!$AG$36:$AG$41,A91,'22'!$AF$36:$AF$41)+SUMIF('23'!$AG$46:$AG$51,A91,'23'!$AF$46:$AF$51)+SUMIF('24'!$AG$39:$AG$44,A91,'24'!$AF$39:$AF$44)+SUMIF('25'!$AG$33:$AG$38,A91,'25'!$AF$33:$AF$38)+SUMIF('26'!$AG$37:$AG$42,A91,'26'!$AF$37:$AF$42)+SUMIF('27'!$AG$42:$AG$47,A91,'27'!$AF$42:$AF$47)+SUMIF('28'!$AG$37:$AG$42,A91,'28'!$AF$37:$AF$42)+SUMIF('29'!$AG$41:$AG$46,A91,'29'!$AF$41:$AF$46)+SUMIF('30'!$AG$33:$AG$38,A91,'30'!$AF$33:$AF$38)+SUMIF('31'!$AG$56:$AG$61,A91,'31'!$AF$56:$AF$61))</f>
        <v>31</v>
      </c>
      <c r="D91" s="139">
        <f>IF(OR(A91="",C91=0),"",(SUMIF('1'!$AG$30:$AG$35,A91,'1'!$AC$30:$AC$35)+SUMIF('2'!$AG$30:$AG$35,A91,'2'!$AC$30:$AC$35)+SUMIF('3'!$AG$30:$AG$35,A91,'3'!$AC$30:$AC$35)+SUMIF('4'!$AG$31:$AG$36,A91,'4'!$AC$31:$AC$36)+SUMIF('5'!$AG$31:$AG$36,A91,'5'!$AC$31:$AC$36)+SUMIF('6'!$AG$30:$AG$35,A91,'6'!$AC$30:$AC$35)+SUMIF('7'!$AG$30:$AG$35,A91,'7'!$AC$30:$AC$35)+SUMIF('8'!$AG$33:$AG$38,A91,'8'!$AC$33:$AC$38)+SUMIF('9'!$AG$30:$AG$35,A91,'9'!$AC$30:$AC$35)+SUMIF('10'!$AG$30:$AG$35,A91,'10'!$AC$30:$AC$35)+SUMIF('11'!$AG$34:$AG$39,A91,'11'!$AC$34:$AC$39)+SUMIF('12'!$AG$34:$AG$39,A91,'12'!$AC$34:$AC$39)+SUMIF('13'!$AG$31:$AG$36,A91,'13'!$AC$31:$AC$36)+SUMIF('14'!$AG$37:$AG$42,A91,'14'!$AC$37:$AC$42)+SUMIF('15'!$AG$36:$AG$41,A91,'15'!$AC$36:$AC$41)+SUMIF('16'!$AG$32:$AG$37,A91,'16'!$AC$32:$AC$37)+SUMIF('17'!$AG$37:$AG$42,A91,'17'!$AC$37:$AC$42)+SUMIF('18'!$AG$37:$AG$42,A91,'18'!$AC$37:$AC$42)+SUMIF('19'!$AG$30:$AG$35,A91,'19'!$AC$30:$AC$35)+SUMIF('20'!$AG$35:$AG$40,A91,'20'!$AC$35:$AC$40)+SUMIF('21'!$AG$30:$AG$35,A91,'21'!$AC$30:$AC$35)+SUMIF('22'!$AG$36:$AG$41,A91,'22'!$AC$36:$AC$41)+SUMIF('23'!$AG$46:$AG$51,A91,'23'!$AC$46:$AC$51)+SUMIF('24'!$AG$39:$AG$44,A91,'24'!$AC$39:$AC$44)+SUMIF('25'!$AG$33:$AG$38,A91,'25'!$AC$33:$AC$38)+SUMIF('26'!$AG$37:$AG$42,A91,'26'!$AC$37:$AC$42)+SUMIF('27'!$AG$42:$AG$47,A91,'27'!$AC$42:$AC$47)+SUMIF('28'!$AG$37:$AG$42,A91,'28'!$AC$37:$AC$42)+SUMIF('29'!$AG$41:$AG$46,A91,'29'!$AC$41:$AC$46)+SUMIF('30'!$AG$33:$AG$38,A91,'30'!$AC$33:$AC$38)+SUMIF('31'!$AG$56:$AG$61,A91,'31'!$AC$56:$AC$61))/C91)</f>
        <v>98.80645161</v>
      </c>
      <c r="E91" s="138">
        <f>IF(A91="","",COUNTIFS('1'!$AG$30:$AG$35,A91,'1'!$AD$30:$AD$35,"Underperform")+COUNTIFS('2'!$AG$30:$AG$35,A91,'2'!$AD$30:$AD$35,"Underperform")+COUNTIFS('3'!$AG$30:$AG$35,A91,'3'!$AD$30:$AD$35,"Underperform")+COUNTIFS('4'!$AG$31:$AG$36,A91,'4'!$AD$31:$AD$36,"Underperform")+COUNTIFS('5'!$AG$31:$AG$36,A91,'5'!$AD$31:$AD$36,"Underperform")+COUNTIFS('6'!$AG$30:$AG$35,A91,'6'!$AD$30:$AD$35,"Underperform")+COUNTIFS('7'!$AG$30:$AG$35,A91,'7'!$AD$30:$AD$35,"Underperform")+COUNTIFS('8'!$AG$33:$AG$38,A91,'8'!$AD$33:$AD$38,"Underperform")+COUNTIFS('9'!$AG$30:$AG$35,A91,'9'!$AD$30:$AD$35,"Underperform")+COUNTIFS('10'!$AG$30:$AG$35,A91,'10'!$AD$30:$AD$35,"Underperform")+COUNTIFS('11'!$AG$34:$AG$39,A91,'11'!$AD$34:$AD$39,"Underperform")+COUNTIFS('12'!$AG$34:$AG$39,A91,'12'!$AD$34:$AD$39,"Underperform")+COUNTIFS('13'!$AG$31:$AG$36,A91,'13'!$AD$31:$AD$36,"Underperform")+COUNTIFS('14'!$AG$37:$AG$42,A91,'14'!$AD$37:$AD$42,"Underperform")+COUNTIFS('15'!$AG$36:$AG$41,A91,'15'!$AD$36:$AD$41,"Underperform")+COUNTIFS('16'!$AG$32:$AG$37,A91,'16'!$AD$32:$AD$37,"Underperform")+COUNTIFS('17'!$AG$37:$AG$42,A91,'17'!$AD$37:$AD$42,"Underperform")+COUNTIFS('18'!$AG$37:$AG$42,A91,'18'!$AD$37:$AD$42,"Underperform")+COUNTIFS('19'!$AG$30:$AG$35,A91,'19'!$AD$30:$AD$35,"Underperform")+COUNTIFS('20'!$AG$35:$AG$40,A91,'20'!$AD$35:$AD$40,"Underperform")+COUNTIFS('21'!$AG$30:$AG$35,A91,'21'!$AD$30:$AD$35,"Underperform")+COUNTIFS('22'!$AG$36:$AG$41,A91,'22'!$AD$36:$AD$41,"Underperform")+COUNTIFS('23'!$AG$46:$AG$51,A91,'23'!$AD$46:$AD$51,"Underperform")+COUNTIFS('24'!$AG$39:$AG$44,A91,'24'!$AD$39:$AD$44,"Underperform")+COUNTIFS('25'!$AG$33:$AG$38,A91,'25'!$AD$33:$AD$38,"Underperform")+COUNTIFS('26'!$AG$37:$AG$42,A91,'26'!$AD$37:$AD$42,"Underperform")+COUNTIFS('27'!$AG$42:$AG$47,A91,'27'!$AD$42:$AD$47,"Underperform")+COUNTIFS('28'!$AG$37:$AG$42,A91,'28'!$AD$37:$AD$42,"Underperform")+COUNTIFS('29'!$AG$41:$AG$46,A91,'29'!$AD$41:$AD$46,"Underperform")+COUNTIFS('30'!$AG$33:$AG$38,A91,'30'!$AD$33:$AD$38,"Underperform")+COUNTIFS('31'!$AG$56:$AG$61,A91,'31'!$AD$56:$AD$61,"Underperform"))</f>
        <v>0</v>
      </c>
      <c r="F91" s="137" t="str">
        <f t="shared" si="9"/>
        <v>Sangat Baik</v>
      </c>
      <c r="G91" s="140"/>
    </row>
    <row r="92" ht="15.75" customHeight="1">
      <c r="A92" s="137" t="str">
        <f>IF($A$114="","",$A$114)</f>
        <v>ABROR</v>
      </c>
      <c r="B92" s="137" t="str">
        <f>IF(A92="","",$B$114)</f>
        <v>Fotografer</v>
      </c>
      <c r="C92" s="138">
        <f>IF(A92="","",SUMIF('1'!$AG$30:$AG$35,A92,'1'!$AF$30:$AF$35)+SUMIF('2'!$AG$30:$AG$35,A92,'2'!$AF$30:$AF$35)+SUMIF('3'!$AG$30:$AG$35,A92,'3'!$AF$30:$AF$35)+SUMIF('4'!$AG$31:$AG$36,A92,'4'!$AF$31:$AF$36)+SUMIF('5'!$AG$31:$AG$36,A92,'5'!$AF$31:$AF$36)+SUMIF('6'!$AG$30:$AG$35,A92,'6'!$AF$30:$AF$35)+SUMIF('7'!$AG$30:$AG$35,A92,'7'!$AF$30:$AF$35)+SUMIF('8'!$AG$33:$AG$38,A92,'8'!$AF$33:$AF$38)+SUMIF('9'!$AG$30:$AG$35,A92,'9'!$AF$30:$AF$35)+SUMIF('10'!$AG$30:$AG$35,A92,'10'!$AF$30:$AF$35)+SUMIF('11'!$AG$34:$AG$39,A92,'11'!$AF$34:$AF$39)+SUMIF('12'!$AG$34:$AG$39,A92,'12'!$AF$34:$AF$39)+SUMIF('13'!$AG$31:$AG$36,A92,'13'!$AF$31:$AF$36)+SUMIF('14'!$AG$37:$AG$42,A92,'14'!$AF$37:$AF$42)+SUMIF('15'!$AG$36:$AG$41,A92,'15'!$AF$36:$AF$41)+SUMIF('16'!$AG$32:$AG$37,A92,'16'!$AF$32:$AF$37)+SUMIF('17'!$AG$37:$AG$42,A92,'17'!$AF$37:$AF$42)+SUMIF('18'!$AG$37:$AG$42,A92,'18'!$AF$37:$AF$42)+SUMIF('19'!$AG$30:$AG$35,A92,'19'!$AF$30:$AF$35)+SUMIF('20'!$AG$35:$AG$40,A92,'20'!$AF$35:$AF$40)+SUMIF('21'!$AG$30:$AG$35,A92,'21'!$AF$30:$AF$35)+SUMIF('22'!$AG$36:$AG$41,A92,'22'!$AF$36:$AF$41)+SUMIF('23'!$AG$46:$AG$51,A92,'23'!$AF$46:$AF$51)+SUMIF('24'!$AG$39:$AG$44,A92,'24'!$AF$39:$AF$44)+SUMIF('25'!$AG$33:$AG$38,A92,'25'!$AF$33:$AF$38)+SUMIF('26'!$AG$37:$AG$42,A92,'26'!$AF$37:$AF$42)+SUMIF('27'!$AG$42:$AG$47,A92,'27'!$AF$42:$AF$47)+SUMIF('28'!$AG$37:$AG$42,A92,'28'!$AF$37:$AF$42)+SUMIF('29'!$AG$41:$AG$46,A92,'29'!$AF$41:$AF$46)+SUMIF('30'!$AG$33:$AG$38,A92,'30'!$AF$33:$AF$38)+SUMIF('31'!$AG$56:$AG$61,A92,'31'!$AF$56:$AF$61))</f>
        <v>0</v>
      </c>
      <c r="D92" s="139" t="str">
        <f>IF(OR(A92="",C92=0),"",(SUMIF('1'!$AG$30:$AG$35,A92,'1'!$AC$30:$AC$35)+SUMIF('2'!$AG$30:$AG$35,A92,'2'!$AC$30:$AC$35)+SUMIF('3'!$AG$30:$AG$35,A92,'3'!$AC$30:$AC$35)+SUMIF('4'!$AG$31:$AG$36,A92,'4'!$AC$31:$AC$36)+SUMIF('5'!$AG$31:$AG$36,A92,'5'!$AC$31:$AC$36)+SUMIF('6'!$AG$30:$AG$35,A92,'6'!$AC$30:$AC$35)+SUMIF('7'!$AG$30:$AG$35,A92,'7'!$AC$30:$AC$35)+SUMIF('8'!$AG$33:$AG$38,A92,'8'!$AC$33:$AC$38)+SUMIF('9'!$AG$30:$AG$35,A92,'9'!$AC$30:$AC$35)+SUMIF('10'!$AG$30:$AG$35,A92,'10'!$AC$30:$AC$35)+SUMIF('11'!$AG$34:$AG$39,A92,'11'!$AC$34:$AC$39)+SUMIF('12'!$AG$34:$AG$39,A92,'12'!$AC$34:$AC$39)+SUMIF('13'!$AG$31:$AG$36,A92,'13'!$AC$31:$AC$36)+SUMIF('14'!$AG$37:$AG$42,A92,'14'!$AC$37:$AC$42)+SUMIF('15'!$AG$36:$AG$41,A92,'15'!$AC$36:$AC$41)+SUMIF('16'!$AG$32:$AG$37,A92,'16'!$AC$32:$AC$37)+SUMIF('17'!$AG$37:$AG$42,A92,'17'!$AC$37:$AC$42)+SUMIF('18'!$AG$37:$AG$42,A92,'18'!$AC$37:$AC$42)+SUMIF('19'!$AG$30:$AG$35,A92,'19'!$AC$30:$AC$35)+SUMIF('20'!$AG$35:$AG$40,A92,'20'!$AC$35:$AC$40)+SUMIF('21'!$AG$30:$AG$35,A92,'21'!$AC$30:$AC$35)+SUMIF('22'!$AG$36:$AG$41,A92,'22'!$AC$36:$AC$41)+SUMIF('23'!$AG$46:$AG$51,A92,'23'!$AC$46:$AC$51)+SUMIF('24'!$AG$39:$AG$44,A92,'24'!$AC$39:$AC$44)+SUMIF('25'!$AG$33:$AG$38,A92,'25'!$AC$33:$AC$38)+SUMIF('26'!$AG$37:$AG$42,A92,'26'!$AC$37:$AC$42)+SUMIF('27'!$AG$42:$AG$47,A92,'27'!$AC$42:$AC$47)+SUMIF('28'!$AG$37:$AG$42,A92,'28'!$AC$37:$AC$42)+SUMIF('29'!$AG$41:$AG$46,A92,'29'!$AC$41:$AC$46)+SUMIF('30'!$AG$33:$AG$38,A92,'30'!$AC$33:$AC$38)+SUMIF('31'!$AG$56:$AG$61,A92,'31'!$AC$56:$AC$61))/C92)</f>
        <v/>
      </c>
      <c r="E92" s="138">
        <f>IF(A92="","",COUNTIFS('1'!$AG$30:$AG$35,A92,'1'!$AD$30:$AD$35,"Underperform")+COUNTIFS('2'!$AG$30:$AG$35,A92,'2'!$AD$30:$AD$35,"Underperform")+COUNTIFS('3'!$AG$30:$AG$35,A92,'3'!$AD$30:$AD$35,"Underperform")+COUNTIFS('4'!$AG$31:$AG$36,A92,'4'!$AD$31:$AD$36,"Underperform")+COUNTIFS('5'!$AG$31:$AG$36,A92,'5'!$AD$31:$AD$36,"Underperform")+COUNTIFS('6'!$AG$30:$AG$35,A92,'6'!$AD$30:$AD$35,"Underperform")+COUNTIFS('7'!$AG$30:$AG$35,A92,'7'!$AD$30:$AD$35,"Underperform")+COUNTIFS('8'!$AG$33:$AG$38,A92,'8'!$AD$33:$AD$38,"Underperform")+COUNTIFS('9'!$AG$30:$AG$35,A92,'9'!$AD$30:$AD$35,"Underperform")+COUNTIFS('10'!$AG$30:$AG$35,A92,'10'!$AD$30:$AD$35,"Underperform")+COUNTIFS('11'!$AG$34:$AG$39,A92,'11'!$AD$34:$AD$39,"Underperform")+COUNTIFS('12'!$AG$34:$AG$39,A92,'12'!$AD$34:$AD$39,"Underperform")+COUNTIFS('13'!$AG$31:$AG$36,A92,'13'!$AD$31:$AD$36,"Underperform")+COUNTIFS('14'!$AG$37:$AG$42,A92,'14'!$AD$37:$AD$42,"Underperform")+COUNTIFS('15'!$AG$36:$AG$41,A92,'15'!$AD$36:$AD$41,"Underperform")+COUNTIFS('16'!$AG$32:$AG$37,A92,'16'!$AD$32:$AD$37,"Underperform")+COUNTIFS('17'!$AG$37:$AG$42,A92,'17'!$AD$37:$AD$42,"Underperform")+COUNTIFS('18'!$AG$37:$AG$42,A92,'18'!$AD$37:$AD$42,"Underperform")+COUNTIFS('19'!$AG$30:$AG$35,A92,'19'!$AD$30:$AD$35,"Underperform")+COUNTIFS('20'!$AG$35:$AG$40,A92,'20'!$AD$35:$AD$40,"Underperform")+COUNTIFS('21'!$AG$30:$AG$35,A92,'21'!$AD$30:$AD$35,"Underperform")+COUNTIFS('22'!$AG$36:$AG$41,A92,'22'!$AD$36:$AD$41,"Underperform")+COUNTIFS('23'!$AG$46:$AG$51,A92,'23'!$AD$46:$AD$51,"Underperform")+COUNTIFS('24'!$AG$39:$AG$44,A92,'24'!$AD$39:$AD$44,"Underperform")+COUNTIFS('25'!$AG$33:$AG$38,A92,'25'!$AD$33:$AD$38,"Underperform")+COUNTIFS('26'!$AG$37:$AG$42,A92,'26'!$AD$37:$AD$42,"Underperform")+COUNTIFS('27'!$AG$42:$AG$47,A92,'27'!$AD$42:$AD$47,"Underperform")+COUNTIFS('28'!$AG$37:$AG$42,A92,'28'!$AD$37:$AD$42,"Underperform")+COUNTIFS('29'!$AG$41:$AG$46,A92,'29'!$AD$41:$AD$46,"Underperform")+COUNTIFS('30'!$AG$33:$AG$38,A92,'30'!$AD$33:$AD$38,"Underperform")+COUNTIFS('31'!$AG$56:$AG$61,A92,'31'!$AD$56:$AD$61,"Underperform"))</f>
        <v>0</v>
      </c>
      <c r="F92" s="137" t="str">
        <f t="shared" si="9"/>
        <v/>
      </c>
      <c r="G92" s="140"/>
    </row>
    <row r="93" ht="15.75" customHeight="1">
      <c r="A93" s="137" t="str">
        <f>IF($A$115="","",$A$115)</f>
        <v>FADEL</v>
      </c>
      <c r="B93" s="137" t="str">
        <f>IF(A93="","",$B$115)</f>
        <v>Fotografer</v>
      </c>
      <c r="C93" s="138">
        <f>IF(A93="","",SUMIF('1'!$AG$30:$AG$35,A93,'1'!$AF$30:$AF$35)+SUMIF('2'!$AG$30:$AG$35,A93,'2'!$AF$30:$AF$35)+SUMIF('3'!$AG$30:$AG$35,A93,'3'!$AF$30:$AF$35)+SUMIF('4'!$AG$31:$AG$36,A93,'4'!$AF$31:$AF$36)+SUMIF('5'!$AG$31:$AG$36,A93,'5'!$AF$31:$AF$36)+SUMIF('6'!$AG$30:$AG$35,A93,'6'!$AF$30:$AF$35)+SUMIF('7'!$AG$30:$AG$35,A93,'7'!$AF$30:$AF$35)+SUMIF('8'!$AG$33:$AG$38,A93,'8'!$AF$33:$AF$38)+SUMIF('9'!$AG$30:$AG$35,A93,'9'!$AF$30:$AF$35)+SUMIF('10'!$AG$30:$AG$35,A93,'10'!$AF$30:$AF$35)+SUMIF('11'!$AG$34:$AG$39,A93,'11'!$AF$34:$AF$39)+SUMIF('12'!$AG$34:$AG$39,A93,'12'!$AF$34:$AF$39)+SUMIF('13'!$AG$31:$AG$36,A93,'13'!$AF$31:$AF$36)+SUMIF('14'!$AG$37:$AG$42,A93,'14'!$AF$37:$AF$42)+SUMIF('15'!$AG$36:$AG$41,A93,'15'!$AF$36:$AF$41)+SUMIF('16'!$AG$32:$AG$37,A93,'16'!$AF$32:$AF$37)+SUMIF('17'!$AG$37:$AG$42,A93,'17'!$AF$37:$AF$42)+SUMIF('18'!$AG$37:$AG$42,A93,'18'!$AF$37:$AF$42)+SUMIF('19'!$AG$30:$AG$35,A93,'19'!$AF$30:$AF$35)+SUMIF('20'!$AG$35:$AG$40,A93,'20'!$AF$35:$AF$40)+SUMIF('21'!$AG$30:$AG$35,A93,'21'!$AF$30:$AF$35)+SUMIF('22'!$AG$36:$AG$41,A93,'22'!$AF$36:$AF$41)+SUMIF('23'!$AG$46:$AG$51,A93,'23'!$AF$46:$AF$51)+SUMIF('24'!$AG$39:$AG$44,A93,'24'!$AF$39:$AF$44)+SUMIF('25'!$AG$33:$AG$38,A93,'25'!$AF$33:$AF$38)+SUMIF('26'!$AG$37:$AG$42,A93,'26'!$AF$37:$AF$42)+SUMIF('27'!$AG$42:$AG$47,A93,'27'!$AF$42:$AF$47)+SUMIF('28'!$AG$37:$AG$42,A93,'28'!$AF$37:$AF$42)+SUMIF('29'!$AG$41:$AG$46,A93,'29'!$AF$41:$AF$46)+SUMIF('30'!$AG$33:$AG$38,A93,'30'!$AF$33:$AF$38)+SUMIF('31'!$AG$56:$AG$61,A93,'31'!$AF$56:$AF$61))</f>
        <v>0</v>
      </c>
      <c r="D93" s="139" t="str">
        <f>IF(OR(A93="",C93=0),"",(SUMIF('1'!$AG$30:$AG$35,A93,'1'!$AC$30:$AC$35)+SUMIF('2'!$AG$30:$AG$35,A93,'2'!$AC$30:$AC$35)+SUMIF('3'!$AG$30:$AG$35,A93,'3'!$AC$30:$AC$35)+SUMIF('4'!$AG$31:$AG$36,A93,'4'!$AC$31:$AC$36)+SUMIF('5'!$AG$31:$AG$36,A93,'5'!$AC$31:$AC$36)+SUMIF('6'!$AG$30:$AG$35,A93,'6'!$AC$30:$AC$35)+SUMIF('7'!$AG$30:$AG$35,A93,'7'!$AC$30:$AC$35)+SUMIF('8'!$AG$33:$AG$38,A93,'8'!$AC$33:$AC$38)+SUMIF('9'!$AG$30:$AG$35,A93,'9'!$AC$30:$AC$35)+SUMIF('10'!$AG$30:$AG$35,A93,'10'!$AC$30:$AC$35)+SUMIF('11'!$AG$34:$AG$39,A93,'11'!$AC$34:$AC$39)+SUMIF('12'!$AG$34:$AG$39,A93,'12'!$AC$34:$AC$39)+SUMIF('13'!$AG$31:$AG$36,A93,'13'!$AC$31:$AC$36)+SUMIF('14'!$AG$37:$AG$42,A93,'14'!$AC$37:$AC$42)+SUMIF('15'!$AG$36:$AG$41,A93,'15'!$AC$36:$AC$41)+SUMIF('16'!$AG$32:$AG$37,A93,'16'!$AC$32:$AC$37)+SUMIF('17'!$AG$37:$AG$42,A93,'17'!$AC$37:$AC$42)+SUMIF('18'!$AG$37:$AG$42,A93,'18'!$AC$37:$AC$42)+SUMIF('19'!$AG$30:$AG$35,A93,'19'!$AC$30:$AC$35)+SUMIF('20'!$AG$35:$AG$40,A93,'20'!$AC$35:$AC$40)+SUMIF('21'!$AG$30:$AG$35,A93,'21'!$AC$30:$AC$35)+SUMIF('22'!$AG$36:$AG$41,A93,'22'!$AC$36:$AC$41)+SUMIF('23'!$AG$46:$AG$51,A93,'23'!$AC$46:$AC$51)+SUMIF('24'!$AG$39:$AG$44,A93,'24'!$AC$39:$AC$44)+SUMIF('25'!$AG$33:$AG$38,A93,'25'!$AC$33:$AC$38)+SUMIF('26'!$AG$37:$AG$42,A93,'26'!$AC$37:$AC$42)+SUMIF('27'!$AG$42:$AG$47,A93,'27'!$AC$42:$AC$47)+SUMIF('28'!$AG$37:$AG$42,A93,'28'!$AC$37:$AC$42)+SUMIF('29'!$AG$41:$AG$46,A93,'29'!$AC$41:$AC$46)+SUMIF('30'!$AG$33:$AG$38,A93,'30'!$AC$33:$AC$38)+SUMIF('31'!$AG$56:$AG$61,A93,'31'!$AC$56:$AC$61))/C93)</f>
        <v/>
      </c>
      <c r="E93" s="138">
        <f>IF(A93="","",COUNTIFS('1'!$AG$30:$AG$35,A93,'1'!$AD$30:$AD$35,"Underperform")+COUNTIFS('2'!$AG$30:$AG$35,A93,'2'!$AD$30:$AD$35,"Underperform")+COUNTIFS('3'!$AG$30:$AG$35,A93,'3'!$AD$30:$AD$35,"Underperform")+COUNTIFS('4'!$AG$31:$AG$36,A93,'4'!$AD$31:$AD$36,"Underperform")+COUNTIFS('5'!$AG$31:$AG$36,A93,'5'!$AD$31:$AD$36,"Underperform")+COUNTIFS('6'!$AG$30:$AG$35,A93,'6'!$AD$30:$AD$35,"Underperform")+COUNTIFS('7'!$AG$30:$AG$35,A93,'7'!$AD$30:$AD$35,"Underperform")+COUNTIFS('8'!$AG$33:$AG$38,A93,'8'!$AD$33:$AD$38,"Underperform")+COUNTIFS('9'!$AG$30:$AG$35,A93,'9'!$AD$30:$AD$35,"Underperform")+COUNTIFS('10'!$AG$30:$AG$35,A93,'10'!$AD$30:$AD$35,"Underperform")+COUNTIFS('11'!$AG$34:$AG$39,A93,'11'!$AD$34:$AD$39,"Underperform")+COUNTIFS('12'!$AG$34:$AG$39,A93,'12'!$AD$34:$AD$39,"Underperform")+COUNTIFS('13'!$AG$31:$AG$36,A93,'13'!$AD$31:$AD$36,"Underperform")+COUNTIFS('14'!$AG$37:$AG$42,A93,'14'!$AD$37:$AD$42,"Underperform")+COUNTIFS('15'!$AG$36:$AG$41,A93,'15'!$AD$36:$AD$41,"Underperform")+COUNTIFS('16'!$AG$32:$AG$37,A93,'16'!$AD$32:$AD$37,"Underperform")+COUNTIFS('17'!$AG$37:$AG$42,A93,'17'!$AD$37:$AD$42,"Underperform")+COUNTIFS('18'!$AG$37:$AG$42,A93,'18'!$AD$37:$AD$42,"Underperform")+COUNTIFS('19'!$AG$30:$AG$35,A93,'19'!$AD$30:$AD$35,"Underperform")+COUNTIFS('20'!$AG$35:$AG$40,A93,'20'!$AD$35:$AD$40,"Underperform")+COUNTIFS('21'!$AG$30:$AG$35,A93,'21'!$AD$30:$AD$35,"Underperform")+COUNTIFS('22'!$AG$36:$AG$41,A93,'22'!$AD$36:$AD$41,"Underperform")+COUNTIFS('23'!$AG$46:$AG$51,A93,'23'!$AD$46:$AD$51,"Underperform")+COUNTIFS('24'!$AG$39:$AG$44,A93,'24'!$AD$39:$AD$44,"Underperform")+COUNTIFS('25'!$AG$33:$AG$38,A93,'25'!$AD$33:$AD$38,"Underperform")+COUNTIFS('26'!$AG$37:$AG$42,A93,'26'!$AD$37:$AD$42,"Underperform")+COUNTIFS('27'!$AG$42:$AG$47,A93,'27'!$AD$42:$AD$47,"Underperform")+COUNTIFS('28'!$AG$37:$AG$42,A93,'28'!$AD$37:$AD$42,"Underperform")+COUNTIFS('29'!$AG$41:$AG$46,A93,'29'!$AD$41:$AD$46,"Underperform")+COUNTIFS('30'!$AG$33:$AG$38,A93,'30'!$AD$33:$AD$38,"Underperform")+COUNTIFS('31'!$AG$56:$AG$61,A93,'31'!$AD$56:$AD$61,"Underperform"))</f>
        <v>0</v>
      </c>
      <c r="F93" s="137" t="str">
        <f t="shared" si="9"/>
        <v/>
      </c>
      <c r="G93" s="140"/>
    </row>
    <row r="94" ht="15.75" customHeight="1">
      <c r="A94" s="137" t="str">
        <f>IF($A$116="","",$A$116)</f>
        <v>SAKA</v>
      </c>
      <c r="B94" s="137" t="str">
        <f>IF(A94="","",$B$116)</f>
        <v>Fotografer</v>
      </c>
      <c r="C94" s="138">
        <f>IF(A94="","",SUMIF('1'!$AG$30:$AG$35,A94,'1'!$AF$30:$AF$35)+SUMIF('2'!$AG$30:$AG$35,A94,'2'!$AF$30:$AF$35)+SUMIF('3'!$AG$30:$AG$35,A94,'3'!$AF$30:$AF$35)+SUMIF('4'!$AG$31:$AG$36,A94,'4'!$AF$31:$AF$36)+SUMIF('5'!$AG$31:$AG$36,A94,'5'!$AF$31:$AF$36)+SUMIF('6'!$AG$30:$AG$35,A94,'6'!$AF$30:$AF$35)+SUMIF('7'!$AG$30:$AG$35,A94,'7'!$AF$30:$AF$35)+SUMIF('8'!$AG$33:$AG$38,A94,'8'!$AF$33:$AF$38)+SUMIF('9'!$AG$30:$AG$35,A94,'9'!$AF$30:$AF$35)+SUMIF('10'!$AG$30:$AG$35,A94,'10'!$AF$30:$AF$35)+SUMIF('11'!$AG$34:$AG$39,A94,'11'!$AF$34:$AF$39)+SUMIF('12'!$AG$34:$AG$39,A94,'12'!$AF$34:$AF$39)+SUMIF('13'!$AG$31:$AG$36,A94,'13'!$AF$31:$AF$36)+SUMIF('14'!$AG$37:$AG$42,A94,'14'!$AF$37:$AF$42)+SUMIF('15'!$AG$36:$AG$41,A94,'15'!$AF$36:$AF$41)+SUMIF('16'!$AG$32:$AG$37,A94,'16'!$AF$32:$AF$37)+SUMIF('17'!$AG$37:$AG$42,A94,'17'!$AF$37:$AF$42)+SUMIF('18'!$AG$37:$AG$42,A94,'18'!$AF$37:$AF$42)+SUMIF('19'!$AG$30:$AG$35,A94,'19'!$AF$30:$AF$35)+SUMIF('20'!$AG$35:$AG$40,A94,'20'!$AF$35:$AF$40)+SUMIF('21'!$AG$30:$AG$35,A94,'21'!$AF$30:$AF$35)+SUMIF('22'!$AG$36:$AG$41,A94,'22'!$AF$36:$AF$41)+SUMIF('23'!$AG$46:$AG$51,A94,'23'!$AF$46:$AF$51)+SUMIF('24'!$AG$39:$AG$44,A94,'24'!$AF$39:$AF$44)+SUMIF('25'!$AG$33:$AG$38,A94,'25'!$AF$33:$AF$38)+SUMIF('26'!$AG$37:$AG$42,A94,'26'!$AF$37:$AF$42)+SUMIF('27'!$AG$42:$AG$47,A94,'27'!$AF$42:$AF$47)+SUMIF('28'!$AG$37:$AG$42,A94,'28'!$AF$37:$AF$42)+SUMIF('29'!$AG$41:$AG$46,A94,'29'!$AF$41:$AF$46)+SUMIF('30'!$AG$33:$AG$38,A94,'30'!$AF$33:$AF$38)+SUMIF('31'!$AG$56:$AG$61,A94,'31'!$AF$56:$AF$61))</f>
        <v>31</v>
      </c>
      <c r="D94" s="139">
        <f>IF(OR(A94="",C94=0),"",(SUMIF('1'!$AG$30:$AG$35,A94,'1'!$AC$30:$AC$35)+SUMIF('2'!$AG$30:$AG$35,A94,'2'!$AC$30:$AC$35)+SUMIF('3'!$AG$30:$AG$35,A94,'3'!$AC$30:$AC$35)+SUMIF('4'!$AG$31:$AG$36,A94,'4'!$AC$31:$AC$36)+SUMIF('5'!$AG$31:$AG$36,A94,'5'!$AC$31:$AC$36)+SUMIF('6'!$AG$30:$AG$35,A94,'6'!$AC$30:$AC$35)+SUMIF('7'!$AG$30:$AG$35,A94,'7'!$AC$30:$AC$35)+SUMIF('8'!$AG$33:$AG$38,A94,'8'!$AC$33:$AC$38)+SUMIF('9'!$AG$30:$AG$35,A94,'9'!$AC$30:$AC$35)+SUMIF('10'!$AG$30:$AG$35,A94,'10'!$AC$30:$AC$35)+SUMIF('11'!$AG$34:$AG$39,A94,'11'!$AC$34:$AC$39)+SUMIF('12'!$AG$34:$AG$39,A94,'12'!$AC$34:$AC$39)+SUMIF('13'!$AG$31:$AG$36,A94,'13'!$AC$31:$AC$36)+SUMIF('14'!$AG$37:$AG$42,A94,'14'!$AC$37:$AC$42)+SUMIF('15'!$AG$36:$AG$41,A94,'15'!$AC$36:$AC$41)+SUMIF('16'!$AG$32:$AG$37,A94,'16'!$AC$32:$AC$37)+SUMIF('17'!$AG$37:$AG$42,A94,'17'!$AC$37:$AC$42)+SUMIF('18'!$AG$37:$AG$42,A94,'18'!$AC$37:$AC$42)+SUMIF('19'!$AG$30:$AG$35,A94,'19'!$AC$30:$AC$35)+SUMIF('20'!$AG$35:$AG$40,A94,'20'!$AC$35:$AC$40)+SUMIF('21'!$AG$30:$AG$35,A94,'21'!$AC$30:$AC$35)+SUMIF('22'!$AG$36:$AG$41,A94,'22'!$AC$36:$AC$41)+SUMIF('23'!$AG$46:$AG$51,A94,'23'!$AC$46:$AC$51)+SUMIF('24'!$AG$39:$AG$44,A94,'24'!$AC$39:$AC$44)+SUMIF('25'!$AG$33:$AG$38,A94,'25'!$AC$33:$AC$38)+SUMIF('26'!$AG$37:$AG$42,A94,'26'!$AC$37:$AC$42)+SUMIF('27'!$AG$42:$AG$47,A94,'27'!$AC$42:$AC$47)+SUMIF('28'!$AG$37:$AG$42,A94,'28'!$AC$37:$AC$42)+SUMIF('29'!$AG$41:$AG$46,A94,'29'!$AC$41:$AC$46)+SUMIF('30'!$AG$33:$AG$38,A94,'30'!$AC$33:$AC$38)+SUMIF('31'!$AG$56:$AG$61,A94,'31'!$AC$56:$AC$61))/C94)</f>
        <v>97</v>
      </c>
      <c r="E94" s="138">
        <f>IF(A94="","",COUNTIFS('1'!$AG$30:$AG$35,A94,'1'!$AD$30:$AD$35,"Underperform")+COUNTIFS('2'!$AG$30:$AG$35,A94,'2'!$AD$30:$AD$35,"Underperform")+COUNTIFS('3'!$AG$30:$AG$35,A94,'3'!$AD$30:$AD$35,"Underperform")+COUNTIFS('4'!$AG$31:$AG$36,A94,'4'!$AD$31:$AD$36,"Underperform")+COUNTIFS('5'!$AG$31:$AG$36,A94,'5'!$AD$31:$AD$36,"Underperform")+COUNTIFS('6'!$AG$30:$AG$35,A94,'6'!$AD$30:$AD$35,"Underperform")+COUNTIFS('7'!$AG$30:$AG$35,A94,'7'!$AD$30:$AD$35,"Underperform")+COUNTIFS('8'!$AG$33:$AG$38,A94,'8'!$AD$33:$AD$38,"Underperform")+COUNTIFS('9'!$AG$30:$AG$35,A94,'9'!$AD$30:$AD$35,"Underperform")+COUNTIFS('10'!$AG$30:$AG$35,A94,'10'!$AD$30:$AD$35,"Underperform")+COUNTIFS('11'!$AG$34:$AG$39,A94,'11'!$AD$34:$AD$39,"Underperform")+COUNTIFS('12'!$AG$34:$AG$39,A94,'12'!$AD$34:$AD$39,"Underperform")+COUNTIFS('13'!$AG$31:$AG$36,A94,'13'!$AD$31:$AD$36,"Underperform")+COUNTIFS('14'!$AG$37:$AG$42,A94,'14'!$AD$37:$AD$42,"Underperform")+COUNTIFS('15'!$AG$36:$AG$41,A94,'15'!$AD$36:$AD$41,"Underperform")+COUNTIFS('16'!$AG$32:$AG$37,A94,'16'!$AD$32:$AD$37,"Underperform")+COUNTIFS('17'!$AG$37:$AG$42,A94,'17'!$AD$37:$AD$42,"Underperform")+COUNTIFS('18'!$AG$37:$AG$42,A94,'18'!$AD$37:$AD$42,"Underperform")+COUNTIFS('19'!$AG$30:$AG$35,A94,'19'!$AD$30:$AD$35,"Underperform")+COUNTIFS('20'!$AG$35:$AG$40,A94,'20'!$AD$35:$AD$40,"Underperform")+COUNTIFS('21'!$AG$30:$AG$35,A94,'21'!$AD$30:$AD$35,"Underperform")+COUNTIFS('22'!$AG$36:$AG$41,A94,'22'!$AD$36:$AD$41,"Underperform")+COUNTIFS('23'!$AG$46:$AG$51,A94,'23'!$AD$46:$AD$51,"Underperform")+COUNTIFS('24'!$AG$39:$AG$44,A94,'24'!$AD$39:$AD$44,"Underperform")+COUNTIFS('25'!$AG$33:$AG$38,A94,'25'!$AD$33:$AD$38,"Underperform")+COUNTIFS('26'!$AG$37:$AG$42,A94,'26'!$AD$37:$AD$42,"Underperform")+COUNTIFS('27'!$AG$42:$AG$47,A94,'27'!$AD$42:$AD$47,"Underperform")+COUNTIFS('28'!$AG$37:$AG$42,A94,'28'!$AD$37:$AD$42,"Underperform")+COUNTIFS('29'!$AG$41:$AG$46,A94,'29'!$AD$41:$AD$46,"Underperform")+COUNTIFS('30'!$AG$33:$AG$38,A94,'30'!$AD$33:$AD$38,"Underperform")+COUNTIFS('31'!$AG$56:$AG$61,A94,'31'!$AD$56:$AD$61,"Underperform"))</f>
        <v>0</v>
      </c>
      <c r="F94" s="137" t="str">
        <f t="shared" si="9"/>
        <v>Sangat Baik</v>
      </c>
      <c r="G94" s="140"/>
    </row>
    <row r="95" ht="15.75" customHeight="1">
      <c r="A95" s="137" t="str">
        <f>IF($A$117="","",$A$117)</f>
        <v/>
      </c>
      <c r="B95" s="137" t="str">
        <f>IF(A95="","",$B$117)</f>
        <v/>
      </c>
      <c r="C95" s="138" t="str">
        <f>IF(A95="","",SUMIF('1'!$K$30:$K$35,A95,'1'!$AF$30:$AF$35)+SUMIF('2'!$K$30:$K$35,A95,'2'!$AF$30:$AF$35)+SUMIF('3'!$K$30:$K$35,A95,'3'!$AF$30:$AF$35)+SUMIF('4'!$K$31:$K$36,A95,'4'!$AF$31:$AF$36)+SUMIF('5'!$K$31:$K$36,A95,'5'!$AF$31:$AF$36)+SUMIF('6'!$K$30:$K$35,A95,'6'!$AF$30:$AF$35)+SUMIF('7'!$K$30:$K$35,A95,'7'!$AF$30:$AF$35)+SUMIF('8'!$K$33:$K$38,A95,'8'!$AF$33:$AF$38)+SUMIF('9'!$K$30:$K$35,A95,'9'!$AF$30:$AF$35)+SUMIF('10'!$K$30:$K$35,A95,'10'!$AF$30:$AF$35)+SUMIF('11'!$K$34:$K$39,A95,'11'!$AF$34:$AF$39)+SUMIF('12'!$K$34:$K$39,A95,'12'!$AF$34:$AF$39)+SUMIF('13'!$K$31:$K$36,A95,'13'!$AF$31:$AF$36)+SUMIF('14'!$K$37:$K$42,A95,'14'!$AF$37:$AF$42)+SUMIF('15'!$K$36:$K$41,A95,'15'!$AF$36:$AF$41)+SUMIF('16'!$K$32:$K$37,A95,'16'!$AF$32:$AF$37)+SUMIF('17'!$K$37:$K$42,A95,'17'!$AF$37:$AF$42)+SUMIF('18'!$K$37:$K$42,A95,'18'!$AF$37:$AF$42)+SUMIF('19'!$K$30:$K$35,A95,'19'!$AF$30:$AF$35)+SUMIF('20'!$K$35:$K$40,A95,'20'!$AF$35:$AF$40)+SUMIF('21'!$K$30:$K$35,A95,'21'!$AF$30:$AF$35)+SUMIF('22'!$K$36:$K$41,A95,'22'!$AF$36:$AF$41)+SUMIF('23'!$K$46:$K$51,A95,'23'!$AF$46:$AF$51)+SUMIF('24'!$K$39:$K$44,A95,'24'!$AF$39:$AF$44)+SUMIF('25'!$K$33:$K$38,A95,'25'!$AF$33:$AF$38)+SUMIF('26'!$K$37:$K$42,A95,'26'!$AF$37:$AF$42)+SUMIF('27'!$K$42:$K$47,A95,'27'!$AF$42:$AF$47)+SUMIF('28'!$K$37:$K$42,A95,'28'!$AF$37:$AF$42)+SUMIF('29'!$K$41:$K$46,A95,'29'!$AF$41:$AF$46)+SUMIF('30'!$K$33:$K$38,A95,'30'!$AF$33:$AF$38)+SUMIF('31'!$K$56:$K$61,A95,'31'!$AF$56:$AF$61))</f>
        <v/>
      </c>
      <c r="D95" s="139" t="str">
        <f>IF(OR(A95="",C95=0),"",(SUMIF('1'!$K$30:$K$35,A95,'1'!$AC$30:$AC$35)+SUMIF('2'!$K$30:$K$35,A95,'2'!$AC$30:$AC$35)+SUMIF('3'!$K$30:$K$35,A95,'3'!$AC$30:$AC$35)+SUMIF('4'!$K$31:$K$36,A95,'4'!$AC$31:$AC$36)+SUMIF('5'!$K$31:$K$36,A95,'5'!$AC$31:$AC$36)+SUMIF('6'!$K$30:$K$35,A95,'6'!$AC$30:$AC$35)+SUMIF('7'!$K$30:$K$35,A95,'7'!$AC$30:$AC$35)+SUMIF('8'!$K$33:$K$38,A95,'8'!$AC$33:$AC$38)+SUMIF('9'!$K$30:$K$35,A95,'9'!$AC$30:$AC$35)+SUMIF('10'!$K$30:$K$35,A95,'10'!$AC$30:$AC$35)+SUMIF('11'!$K$34:$K$39,A95,'11'!$AC$34:$AC$39)+SUMIF('12'!$K$34:$K$39,A95,'12'!$AC$34:$AC$39)+SUMIF('13'!$K$31:$K$36,A95,'13'!$AC$31:$AC$36)+SUMIF('14'!$K$37:$K$42,A95,'14'!$AC$37:$AC$42)+SUMIF('15'!$K$36:$K$41,A95,'15'!$AC$36:$AC$41)+SUMIF('16'!$K$32:$K$37,A95,'16'!$AC$32:$AC$37)+SUMIF('17'!$K$37:$K$42,A95,'17'!$AC$37:$AC$42)+SUMIF('18'!$K$37:$K$42,A95,'18'!$AC$37:$AC$42)+SUMIF('19'!$K$30:$K$35,A95,'19'!$AC$30:$AC$35)+SUMIF('20'!$K$35:$K$40,A95,'20'!$AC$35:$AC$40)+SUMIF('21'!$K$30:$K$35,A95,'21'!$AC$30:$AC$35)+SUMIF('22'!$K$36:$K$41,A95,'22'!$AC$36:$AC$41)+SUMIF('23'!$K$46:$K$51,A95,'23'!$AC$46:$AC$51)+SUMIF('24'!$K$39:$K$44,A95,'24'!$AC$39:$AC$44)+SUMIF('25'!$K$33:$K$38,A95,'25'!$AC$33:$AC$38)+SUMIF('26'!$K$37:$K$42,A95,'26'!$AC$37:$AC$42)+SUMIF('27'!$K$42:$K$47,A95,'27'!$AC$42:$AC$47)+SUMIF('28'!$K$37:$K$42,A95,'28'!$AC$37:$AC$42)+SUMIF('29'!$K$41:$K$46,A95,'29'!$AC$41:$AC$46)+SUMIF('30'!$K$33:$K$38,A95,'30'!$AC$33:$AC$38)+SUMIF('31'!$K$56:$K$61,A95,'31'!$AC$56:$AC$61))/C95)</f>
        <v/>
      </c>
      <c r="E95" s="138" t="str">
        <f>IF(A95="","",COUNTIFS('1'!$K$30:$K$35,A95,'1'!$AD$30:$AD$35,"Underperform")+COUNTIFS('2'!$K$30:$K$35,A95,'2'!$AD$30:$AD$35,"Underperform")+COUNTIFS('3'!$K$30:$K$35,A95,'3'!$AD$30:$AD$35,"Underperform")+COUNTIFS('4'!$K$31:$K$36,A95,'4'!$AD$31:$AD$36,"Underperform")+COUNTIFS('5'!$K$31:$K$36,A95,'5'!$AD$31:$AD$36,"Underperform")+COUNTIFS('6'!$K$30:$K$35,A95,'6'!$AD$30:$AD$35,"Underperform")+COUNTIFS('7'!$K$30:$K$35,A95,'7'!$AD$30:$AD$35,"Underperform")+COUNTIFS('8'!$K$33:$K$38,A95,'8'!$AD$33:$AD$38,"Underperform")+COUNTIFS('9'!$K$30:$K$35,A95,'9'!$AD$30:$AD$35,"Underperform")+COUNTIFS('10'!$K$30:$K$35,A95,'10'!$AD$30:$AD$35,"Underperform")+COUNTIFS('11'!$K$34:$K$39,A95,'11'!$AD$34:$AD$39,"Underperform")+COUNTIFS('12'!$K$34:$K$39,A95,'12'!$AD$34:$AD$39,"Underperform")+COUNTIFS('13'!$K$31:$K$36,A95,'13'!$AD$31:$AD$36,"Underperform")+COUNTIFS('14'!$K$37:$K$42,A95,'14'!$AD$37:$AD$42,"Underperform")+COUNTIFS('15'!$K$36:$K$41,A95,'15'!$AD$36:$AD$41,"Underperform")+COUNTIFS('16'!$K$32:$K$37,A95,'16'!$AD$32:$AD$37,"Underperform")+COUNTIFS('17'!$K$37:$K$42,A95,'17'!$AD$37:$AD$42,"Underperform")+COUNTIFS('18'!$K$37:$K$42,A95,'18'!$AD$37:$AD$42,"Underperform")+COUNTIFS('19'!$K$30:$K$35,A95,'19'!$AD$30:$AD$35,"Underperform")+COUNTIFS('20'!$K$35:$K$40,A95,'20'!$AD$35:$AD$40,"Underperform")+COUNTIFS('21'!$K$30:$K$35,A95,'21'!$AD$30:$AD$35,"Underperform")+COUNTIFS('22'!$K$36:$K$41,A95,'22'!$AD$36:$AD$41,"Underperform")+COUNTIFS('23'!$K$46:$K$51,A95,'23'!$AD$46:$AD$51,"Underperform")+COUNTIFS('24'!$K$39:$K$44,A95,'24'!$AD$39:$AD$44,"Underperform")+COUNTIFS('25'!$K$33:$K$38,A95,'25'!$AD$33:$AD$38,"Underperform")+COUNTIFS('26'!$K$37:$K$42,A95,'26'!$AD$37:$AD$42,"Underperform")+COUNTIFS('27'!$K$42:$K$47,A95,'27'!$AD$42:$AD$47,"Underperform")+COUNTIFS('28'!$K$37:$K$42,A95,'28'!$AD$37:$AD$42,"Underperform")+COUNTIFS('29'!$K$41:$K$46,A95,'29'!$AD$41:$AD$46,"Underperform")+COUNTIFS('30'!$K$33:$K$38,A95,'30'!$AD$33:$AD$38,"Underperform")+COUNTIFS('31'!$K$56:$K$61,A95,'31'!$AD$56:$AD$61,"Underperform"))</f>
        <v/>
      </c>
      <c r="F95" s="137" t="str">
        <f t="shared" si="9"/>
        <v/>
      </c>
      <c r="G95" s="140"/>
    </row>
    <row r="96" ht="15.75" customHeight="1">
      <c r="A96" s="137" t="str">
        <f>IF($A$118="","",$A$118)</f>
        <v/>
      </c>
      <c r="B96" s="137" t="str">
        <f>IF(A96="","",$B$118)</f>
        <v/>
      </c>
      <c r="C96" s="138" t="str">
        <f>IF(A96="","",SUMIF('1'!$K$30:$K$35,A96,'1'!$AF$30:$AF$35)+SUMIF('2'!$K$30:$K$35,A96,'2'!$AF$30:$AF$35)+SUMIF('3'!$K$30:$K$35,A96,'3'!$AF$30:$AF$35)+SUMIF('4'!$K$31:$K$36,A96,'4'!$AF$31:$AF$36)+SUMIF('5'!$K$31:$K$36,A96,'5'!$AF$31:$AF$36)+SUMIF('6'!$K$30:$K$35,A96,'6'!$AF$30:$AF$35)+SUMIF('7'!$K$30:$K$35,A96,'7'!$AF$30:$AF$35)+SUMIF('8'!$K$33:$K$38,A96,'8'!$AF$33:$AF$38)+SUMIF('9'!$K$30:$K$35,A96,'9'!$AF$30:$AF$35)+SUMIF('10'!$K$30:$K$35,A96,'10'!$AF$30:$AF$35)+SUMIF('11'!$K$34:$K$39,A96,'11'!$AF$34:$AF$39)+SUMIF('12'!$K$34:$K$39,A96,'12'!$AF$34:$AF$39)+SUMIF('13'!$K$31:$K$36,A96,'13'!$AF$31:$AF$36)+SUMIF('14'!$K$37:$K$42,A96,'14'!$AF$37:$AF$42)+SUMIF('15'!$K$36:$K$41,A96,'15'!$AF$36:$AF$41)+SUMIF('16'!$K$32:$K$37,A96,'16'!$AF$32:$AF$37)+SUMIF('17'!$K$37:$K$42,A96,'17'!$AF$37:$AF$42)+SUMIF('18'!$K$37:$K$42,A96,'18'!$AF$37:$AF$42)+SUMIF('19'!$K$30:$K$35,A96,'19'!$AF$30:$AF$35)+SUMIF('20'!$K$35:$K$40,A96,'20'!$AF$35:$AF$40)+SUMIF('21'!$K$30:$K$35,A96,'21'!$AF$30:$AF$35)+SUMIF('22'!$K$36:$K$41,A96,'22'!$AF$36:$AF$41)+SUMIF('23'!$K$46:$K$51,A96,'23'!$AF$46:$AF$51)+SUMIF('24'!$K$39:$K$44,A96,'24'!$AF$39:$AF$44)+SUMIF('25'!$K$33:$K$38,A96,'25'!$AF$33:$AF$38)+SUMIF('26'!$K$37:$K$42,A96,'26'!$AF$37:$AF$42)+SUMIF('27'!$K$42:$K$47,A96,'27'!$AF$42:$AF$47)+SUMIF('28'!$K$37:$K$42,A96,'28'!$AF$37:$AF$42)+SUMIF('29'!$K$41:$K$46,A96,'29'!$AF$41:$AF$46)+SUMIF('30'!$K$33:$K$38,A96,'30'!$AF$33:$AF$38)+SUMIF('31'!$K$56:$K$61,A96,'31'!$AF$56:$AF$61))</f>
        <v/>
      </c>
      <c r="D96" s="139" t="str">
        <f>IF(OR(A96="",C96=0),"",(SUMIF('1'!$K$30:$K$35,A96,'1'!$AC$30:$AC$35)+SUMIF('2'!$K$30:$K$35,A96,'2'!$AC$30:$AC$35)+SUMIF('3'!$K$30:$K$35,A96,'3'!$AC$30:$AC$35)+SUMIF('4'!$K$31:$K$36,A96,'4'!$AC$31:$AC$36)+SUMIF('5'!$K$31:$K$36,A96,'5'!$AC$31:$AC$36)+SUMIF('6'!$K$30:$K$35,A96,'6'!$AC$30:$AC$35)+SUMIF('7'!$K$30:$K$35,A96,'7'!$AC$30:$AC$35)+SUMIF('8'!$K$33:$K$38,A96,'8'!$AC$33:$AC$38)+SUMIF('9'!$K$30:$K$35,A96,'9'!$AC$30:$AC$35)+SUMIF('10'!$K$30:$K$35,A96,'10'!$AC$30:$AC$35)+SUMIF('11'!$K$34:$K$39,A96,'11'!$AC$34:$AC$39)+SUMIF('12'!$K$34:$K$39,A96,'12'!$AC$34:$AC$39)+SUMIF('13'!$K$31:$K$36,A96,'13'!$AC$31:$AC$36)+SUMIF('14'!$K$37:$K$42,A96,'14'!$AC$37:$AC$42)+SUMIF('15'!$K$36:$K$41,A96,'15'!$AC$36:$AC$41)+SUMIF('16'!$K$32:$K$37,A96,'16'!$AC$32:$AC$37)+SUMIF('17'!$K$37:$K$42,A96,'17'!$AC$37:$AC$42)+SUMIF('18'!$K$37:$K$42,A96,'18'!$AC$37:$AC$42)+SUMIF('19'!$K$30:$K$35,A96,'19'!$AC$30:$AC$35)+SUMIF('20'!$K$35:$K$40,A96,'20'!$AC$35:$AC$40)+SUMIF('21'!$K$30:$K$35,A96,'21'!$AC$30:$AC$35)+SUMIF('22'!$K$36:$K$41,A96,'22'!$AC$36:$AC$41)+SUMIF('23'!$K$46:$K$51,A96,'23'!$AC$46:$AC$51)+SUMIF('24'!$K$39:$K$44,A96,'24'!$AC$39:$AC$44)+SUMIF('25'!$K$33:$K$38,A96,'25'!$AC$33:$AC$38)+SUMIF('26'!$K$37:$K$42,A96,'26'!$AC$37:$AC$42)+SUMIF('27'!$K$42:$K$47,A96,'27'!$AC$42:$AC$47)+SUMIF('28'!$K$37:$K$42,A96,'28'!$AC$37:$AC$42)+SUMIF('29'!$K$41:$K$46,A96,'29'!$AC$41:$AC$46)+SUMIF('30'!$K$33:$K$38,A96,'30'!$AC$33:$AC$38)+SUMIF('31'!$K$56:$K$61,A96,'31'!$AC$56:$AC$61))/C96)</f>
        <v/>
      </c>
      <c r="E96" s="138" t="str">
        <f>IF(A96="","",COUNTIFS('1'!$K$30:$K$35,A96,'1'!$AD$30:$AD$35,"Underperform")+COUNTIFS('2'!$K$30:$K$35,A96,'2'!$AD$30:$AD$35,"Underperform")+COUNTIFS('3'!$K$30:$K$35,A96,'3'!$AD$30:$AD$35,"Underperform")+COUNTIFS('4'!$K$31:$K$36,A96,'4'!$AD$31:$AD$36,"Underperform")+COUNTIFS('5'!$K$31:$K$36,A96,'5'!$AD$31:$AD$36,"Underperform")+COUNTIFS('6'!$K$30:$K$35,A96,'6'!$AD$30:$AD$35,"Underperform")+COUNTIFS('7'!$K$30:$K$35,A96,'7'!$AD$30:$AD$35,"Underperform")+COUNTIFS('8'!$K$33:$K$38,A96,'8'!$AD$33:$AD$38,"Underperform")+COUNTIFS('9'!$K$30:$K$35,A96,'9'!$AD$30:$AD$35,"Underperform")+COUNTIFS('10'!$K$30:$K$35,A96,'10'!$AD$30:$AD$35,"Underperform")+COUNTIFS('11'!$K$34:$K$39,A96,'11'!$AD$34:$AD$39,"Underperform")+COUNTIFS('12'!$K$34:$K$39,A96,'12'!$AD$34:$AD$39,"Underperform")+COUNTIFS('13'!$K$31:$K$36,A96,'13'!$AD$31:$AD$36,"Underperform")+COUNTIFS('14'!$K$37:$K$42,A96,'14'!$AD$37:$AD$42,"Underperform")+COUNTIFS('15'!$K$36:$K$41,A96,'15'!$AD$36:$AD$41,"Underperform")+COUNTIFS('16'!$K$32:$K$37,A96,'16'!$AD$32:$AD$37,"Underperform")+COUNTIFS('17'!$K$37:$K$42,A96,'17'!$AD$37:$AD$42,"Underperform")+COUNTIFS('18'!$K$37:$K$42,A96,'18'!$AD$37:$AD$42,"Underperform")+COUNTIFS('19'!$K$30:$K$35,A96,'19'!$AD$30:$AD$35,"Underperform")+COUNTIFS('20'!$K$35:$K$40,A96,'20'!$AD$35:$AD$40,"Underperform")+COUNTIFS('21'!$K$30:$K$35,A96,'21'!$AD$30:$AD$35,"Underperform")+COUNTIFS('22'!$K$36:$K$41,A96,'22'!$AD$36:$AD$41,"Underperform")+COUNTIFS('23'!$K$46:$K$51,A96,'23'!$AD$46:$AD$51,"Underperform")+COUNTIFS('24'!$K$39:$K$44,A96,'24'!$AD$39:$AD$44,"Underperform")+COUNTIFS('25'!$K$33:$K$38,A96,'25'!$AD$33:$AD$38,"Underperform")+COUNTIFS('26'!$K$37:$K$42,A96,'26'!$AD$37:$AD$42,"Underperform")+COUNTIFS('27'!$K$42:$K$47,A96,'27'!$AD$42:$AD$47,"Underperform")+COUNTIFS('28'!$K$37:$K$42,A96,'28'!$AD$37:$AD$42,"Underperform")+COUNTIFS('29'!$K$41:$K$46,A96,'29'!$AD$41:$AD$46,"Underperform")+COUNTIFS('30'!$K$33:$K$38,A96,'30'!$AD$33:$AD$38,"Underperform")+COUNTIFS('31'!$K$56:$K$61,A96,'31'!$AD$56:$AD$61,"Underperform"))</f>
        <v/>
      </c>
      <c r="F96" s="137" t="str">
        <f t="shared" si="9"/>
        <v/>
      </c>
      <c r="G96" s="140"/>
    </row>
    <row r="97" ht="15.75" customHeight="1"/>
    <row r="98" ht="15.75" customHeight="1">
      <c r="A98" s="143" t="s">
        <v>598</v>
      </c>
    </row>
    <row r="99" ht="15.75" customHeight="1">
      <c r="A99" s="14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A105" s="145" t="s">
        <v>599</v>
      </c>
      <c r="B105" s="145" t="s">
        <v>600</v>
      </c>
      <c r="D105" s="132" t="s">
        <v>601</v>
      </c>
    </row>
    <row r="106" ht="15.75" customHeight="1">
      <c r="A106" s="141" t="s">
        <v>30</v>
      </c>
      <c r="B106" s="141" t="s">
        <v>557</v>
      </c>
      <c r="D106" s="146" t="s">
        <v>114</v>
      </c>
      <c r="E106" s="83">
        <f>SUM('1'!$L$40:$L$41)+SUM('2'!$L$40:$L$41)+SUM('3'!$L$40:$L$41)+SUM('4'!$L$41:$L$42)+SUM('5'!$L$41:$L$42)+SUM('6'!$L$40:$L$41)+SUM('7'!$L$40:$L$41)+SUM('8'!$L$43:$L$44)+SUM('9'!$L$40:$L$41)+SUM('10'!$L$40:$L$41)+SUM('11'!$L$44:$L$45)+SUM('12'!$L$44:$L$45)+SUM('13'!$L$41:$L$42)+SUM('14'!$L$47:$L$48)+SUM('15'!$L$46:$L$47)+SUM('16'!$L$42:$L$43)+SUM('17'!$L$47:$L$48)+SUM('18'!$L$47:$L$48)+SUM('19'!$L$40:$L$41)+SUM('20'!$L$45:$L$46)+SUM('21'!$L$40:$L$41)+SUM('22'!$L$46:$L$47)+SUM('23'!$L$56:$L$57)+SUM('24'!$L$49:$L$50)+SUM('25'!$L$43:$L$44)+SUM('26'!$L$47:$L$48)+SUM('27'!$L$52:$L$53)+SUM('28'!$L$47:$L$48)+SUM('29'!$L$51:$L$52)+SUM('30'!$L$43:$L$44)+SUM('31'!$L$66:$L$67)</f>
        <v>299</v>
      </c>
    </row>
    <row r="107" ht="15.75" customHeight="1">
      <c r="A107" s="141" t="s">
        <v>593</v>
      </c>
      <c r="B107" s="141" t="s">
        <v>557</v>
      </c>
      <c r="D107" s="146" t="s">
        <v>115</v>
      </c>
      <c r="E107" s="83">
        <f>SUM('1'!$M$40:$M$41)+SUM('2'!$M$40:$M$41)+SUM('3'!$M$40:$M$41)+SUM('4'!$M$41:$M$42)+SUM('5'!$M$41:$M$42)+SUM('6'!$M$40:$M$41)+SUM('7'!$M$40:$M$41)+SUM('8'!$M$43:$M$44)+SUM('9'!$M$40:$M$41)+SUM('10'!$M$40:$M$41)+SUM('11'!$M$44:$M$45)+SUM('12'!$M$44:$M$45)+SUM('13'!$M$41:$M$42)+SUM('14'!$M$47:$M$48)+SUM('15'!$M$46:$M$47)+SUM('16'!$M$42:$M$43)+SUM('17'!$M$47:$M$48)+SUM('18'!$M$47:$M$48)+SUM('19'!$M$40:$M$41)+SUM('20'!$M$45:$M$46)+SUM('21'!$M$40:$M$41)+SUM('22'!$M$46:$M$47)+SUM('23'!$M$56:$M$57)+SUM('24'!$M$49:$M$50)+SUM('25'!$M$43:$M$44)+SUM('26'!$M$47:$M$48)+SUM('27'!$M$52:$M$53)+SUM('28'!$M$47:$M$48)+SUM('29'!$M$51:$M$52)+SUM('30'!$M$43:$M$44)+SUM('31'!$M$66:$M$67)</f>
        <v>0</v>
      </c>
    </row>
    <row r="108" ht="15.75" customHeight="1">
      <c r="A108" s="141" t="s">
        <v>29</v>
      </c>
      <c r="B108" s="141" t="s">
        <v>557</v>
      </c>
      <c r="D108" s="146" t="s">
        <v>119</v>
      </c>
      <c r="E108" s="83">
        <f>SUM('1'!$M$44)+SUM('2'!$M$44)+SUM('3'!$M$44)+SUM('4'!$M$45)+SUM('5'!$M$45)+SUM('6'!$M$44)+SUM('7'!$M$44)+SUM('8'!$M$47)+SUM('9'!$M$44)+SUM('10'!$M$44)+SUM('11'!$M$48)+SUM('12'!$M$48)+SUM('13'!$M$45)+SUM('14'!$M$51)+SUM('15'!$M$50)+SUM('16'!$M$46)+SUM('17'!$M$51)+SUM('18'!$M$51)+SUM('19'!$M$44)+SUM('20'!$M$49)+SUM('21'!$M$44)+SUM('22'!$M$50)+SUM('23'!$M$60)+SUM('24'!$M$53)+SUM('25'!$M$47)+SUM('26'!$M$51)+SUM('27'!$M$56)+SUM('28'!$M$51)+SUM('29'!$M$55)+SUM('30'!$M$47)+SUM('31'!$M$70)</f>
        <v>878</v>
      </c>
    </row>
    <row r="109" ht="15.75" customHeight="1">
      <c r="A109" s="141" t="s">
        <v>486</v>
      </c>
      <c r="B109" s="141" t="s">
        <v>557</v>
      </c>
      <c r="D109" s="146" t="s">
        <v>120</v>
      </c>
      <c r="E109" s="83">
        <f>SUM('1'!$M$45)+SUM('2'!$M$45)+SUM('3'!$M$45)+SUM('4'!$M$46)+SUM('5'!$M$46)+SUM('6'!$M$45)+SUM('7'!$M$45)+SUM('8'!$M$48)+SUM('9'!$M$45)+SUM('10'!$M$45)+SUM('11'!$M$49)+SUM('12'!$M$49)+SUM('13'!$M$46)+SUM('14'!$M$52)+SUM('15'!$M$51)+SUM('16'!$M$47)+SUM('17'!$M$52)+SUM('18'!$M$52)+SUM('19'!$M$45)+SUM('20'!$M$50)+SUM('21'!$M$45)+SUM('22'!$M$51)+SUM('23'!$M$61)+SUM('24'!$M$54)+SUM('25'!$M$48)+SUM('26'!$M$52)+SUM('27'!$M$57)+SUM('28'!$M$52)+SUM('29'!$M$56)+SUM('30'!$M$48)+SUM('31'!$M$71)</f>
        <v>263</v>
      </c>
    </row>
    <row r="110" ht="15.75" customHeight="1">
      <c r="A110" s="141" t="s">
        <v>602</v>
      </c>
      <c r="B110" s="141" t="s">
        <v>557</v>
      </c>
      <c r="D110" s="146" t="s">
        <v>121</v>
      </c>
      <c r="E110" s="83">
        <f>SUM('1'!$M$46)+SUM('2'!$M$46)+SUM('3'!$M$46)+SUM('4'!$M$47)+SUM('5'!$M$47)+SUM('6'!$M$46)+SUM('7'!$M$46)+SUM('8'!$M$49)+SUM('9'!$M$46)+SUM('10'!$M$46)+SUM('11'!$M$50)+SUM('12'!$M$50)+SUM('13'!$M$47)+SUM('14'!$M$53)+SUM('15'!$M$52)+SUM('16'!$M$48)+SUM('17'!$M$53)+SUM('18'!$M$53)+SUM('19'!$M$46)+SUM('20'!$M$51)+SUM('21'!$M$46)+SUM('22'!$M$52)+SUM('23'!$M$62)+SUM('24'!$M$55)+SUM('25'!$M$49)+SUM('26'!$M$53)+SUM('27'!$M$58)+SUM('28'!$M$53)+SUM('29'!$M$57)+SUM('30'!$M$49)+SUM('31'!$M$72)</f>
        <v>245</v>
      </c>
    </row>
    <row r="111" ht="15.75" customHeight="1">
      <c r="A111" s="141" t="s">
        <v>564</v>
      </c>
      <c r="B111" s="141" t="s">
        <v>603</v>
      </c>
      <c r="D111" s="146" t="s">
        <v>122</v>
      </c>
      <c r="E111" s="83">
        <f>SUM('1'!$M$47)+SUM('2'!$M$47)+SUM('3'!$M$47)+SUM('4'!$M$48)+SUM('5'!$M$48)+SUM('6'!$M$47)+SUM('7'!$M$47)+SUM('8'!$M$50)+SUM('9'!$M$47)+SUM('10'!$M$47)+SUM('11'!$M$51)+SUM('12'!$M$51)+SUM('13'!$M$48)+SUM('14'!$M$54)+SUM('15'!$M$53)+SUM('16'!$M$49)+SUM('17'!$M$54)+SUM('18'!$M$54)+SUM('19'!$M$47)+SUM('20'!$M$52)+SUM('21'!$M$47)+SUM('22'!$M$53)+SUM('23'!$M$63)+SUM('24'!$M$56)+SUM('25'!$M$50)+SUM('26'!$M$54)+SUM('27'!$M$59)+SUM('28'!$M$54)+SUM('29'!$M$58)+SUM('30'!$M$50)+SUM('31'!$M$73)</f>
        <v>508</v>
      </c>
    </row>
    <row r="112" ht="15.75" customHeight="1">
      <c r="A112" s="141" t="s">
        <v>594</v>
      </c>
      <c r="B112" s="141" t="s">
        <v>603</v>
      </c>
      <c r="D112" s="146" t="s">
        <v>123</v>
      </c>
      <c r="E112" s="85">
        <f>IFERROR(E109/E108,0)</f>
        <v>0.2995444191</v>
      </c>
    </row>
    <row r="113" ht="15.75" customHeight="1">
      <c r="A113" s="141" t="s">
        <v>37</v>
      </c>
      <c r="B113" s="141" t="s">
        <v>603</v>
      </c>
    </row>
    <row r="114" ht="15.75" customHeight="1">
      <c r="A114" s="141" t="s">
        <v>597</v>
      </c>
      <c r="B114" s="141" t="s">
        <v>603</v>
      </c>
    </row>
    <row r="115" ht="15.75" customHeight="1">
      <c r="A115" s="141" t="s">
        <v>604</v>
      </c>
      <c r="B115" s="141" t="s">
        <v>603</v>
      </c>
    </row>
    <row r="116" ht="15.75" customHeight="1">
      <c r="A116" s="141" t="s">
        <v>47</v>
      </c>
      <c r="B116" s="141" t="s">
        <v>603</v>
      </c>
    </row>
    <row r="117" ht="15.75" customHeight="1">
      <c r="A117" s="141"/>
      <c r="B117" s="141"/>
    </row>
    <row r="118" ht="15.75" customHeight="1">
      <c r="A118" s="141"/>
      <c r="B118" s="141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31">
    <mergeCell ref="B2:B3"/>
    <mergeCell ref="C2:C3"/>
    <mergeCell ref="D2:D3"/>
    <mergeCell ref="E2:E3"/>
    <mergeCell ref="F2:F3"/>
    <mergeCell ref="G2:H2"/>
    <mergeCell ref="I2:K2"/>
    <mergeCell ref="L2:L3"/>
    <mergeCell ref="M2:M3"/>
    <mergeCell ref="N2:P2"/>
    <mergeCell ref="K54:P54"/>
    <mergeCell ref="K62:P62"/>
    <mergeCell ref="K64:M64"/>
    <mergeCell ref="K69:M69"/>
    <mergeCell ref="K70:L70"/>
    <mergeCell ref="K71:L71"/>
    <mergeCell ref="K72:L72"/>
    <mergeCell ref="K73:L73"/>
    <mergeCell ref="K74:L74"/>
    <mergeCell ref="A75:P75"/>
    <mergeCell ref="A77:C77"/>
    <mergeCell ref="M77:O77"/>
    <mergeCell ref="A99:G101"/>
    <mergeCell ref="D105:F105"/>
    <mergeCell ref="E77:G77"/>
    <mergeCell ref="I77:K77"/>
    <mergeCell ref="A78:C79"/>
    <mergeCell ref="E78:G79"/>
    <mergeCell ref="I78:K79"/>
    <mergeCell ref="M78:O79"/>
    <mergeCell ref="A98:G98"/>
  </mergeCells>
  <conditionalFormatting sqref="F84:F96">
    <cfRule type="expression" dxfId="3" priority="1">
      <formula>F84="Sangat Baik"</formula>
    </cfRule>
  </conditionalFormatting>
  <conditionalFormatting sqref="F84:F96">
    <cfRule type="expression" dxfId="4" priority="2">
      <formula>F84="Baik"</formula>
    </cfRule>
  </conditionalFormatting>
  <conditionalFormatting sqref="F84:F96">
    <cfRule type="expression" dxfId="5" priority="3">
      <formula>F84="Coaching"</formula>
    </cfRule>
  </conditionalFormatting>
  <conditionalFormatting sqref="F84:F96">
    <cfRule type="expression" dxfId="6" priority="4">
      <formula>F84="Underperform"</formula>
    </cfRule>
  </conditionalFormatting>
  <conditionalFormatting sqref="I4:I45">
    <cfRule type="expression" dxfId="0" priority="5">
      <formula>I4="DP"</formula>
    </cfRule>
  </conditionalFormatting>
  <conditionalFormatting sqref="I4:I45">
    <cfRule type="expression" dxfId="1" priority="6">
      <formula>I4="Lunas"</formula>
    </cfRule>
  </conditionalFormatting>
  <conditionalFormatting sqref="J4:K45">
    <cfRule type="expression" dxfId="2" priority="7">
      <formula>OR(J4="Uploaded",J4="Delivered")</formula>
    </cfRule>
  </conditionalFormatting>
  <dataValidations>
    <dataValidation type="list" allowBlank="1" showDropDown="1" showErrorMessage="1" sqref="I4:I41">
      <formula1>"-,DP,Lunas"</formula1>
    </dataValidation>
    <dataValidation type="list" allowBlank="1" sqref="L56:P61">
      <formula1>"1,2,3,4,5"</formula1>
    </dataValidation>
    <dataValidation type="list" allowBlank="1" showDropDown="1" showErrorMessage="1" sqref="J4:K41">
      <formula1>"-,Pending,Uploaded"</formula1>
    </dataValidation>
    <dataValidation type="list" allowBlank="1" sqref="K56:K61">
      <formula1>'Resume Karyawan KPI'!$AK$5:$AK$15</formula1>
    </dataValidation>
    <dataValidation type="list" allowBlank="1" showDropDown="1" showErrorMessage="1" sqref="L4:L41">
      <formula1>"-,JIJANG,AXEL,PENTIL,FAHME,INDAH,ADDEL,AMEL"</formula1>
    </dataValidation>
    <dataValidation type="list" allowBlank="1" showDropDown="1" showErrorMessage="1" sqref="D4:D41">
      <formula1>"-,Single,Couple A,Couple B,Group A,Group B,Group C,Large Group,Graduation,Graduation Premium,Family A,Family B,Maternity,Concept,Studio Rent,Pas Foto,Single,Add Person,Add Edit,Photofox,Photo Product"</formula1>
    </dataValidation>
    <dataValidation type="list" allowBlank="1" showDropDown="1" showErrorMessage="1" sqref="M4:M41">
      <formula1>"-,VERO,FADEL,PENTIL,FAHME,ADIF,HANIF,ABROR,SAKA"</formula1>
    </dataValidation>
    <dataValidation type="list" allowBlank="1" showErrorMessage="1" sqref="N4:N41">
      <formula1>"-,Pending,Progress,Uploaded"</formula1>
    </dataValidation>
    <dataValidation type="list" allowBlank="1" sqref="O47:O50">
      <formula1>"INDAH,ADDEL,AMEL,PENTIL,JIJANG,HANIF,FAHME,ADIF,ABROR,FADEL,SAKA"</formula1>
    </dataValidation>
    <dataValidation type="list" allowBlank="1" showErrorMessage="1" sqref="O4:O41">
      <formula1>"-,In Pikako,In Foxe"</formula1>
    </dataValidation>
    <dataValidation type="list" allowBlank="1" sqref="B106:B118">
      <formula1>"Admin/CS,Fotografer,Editor"</formula1>
    </dataValidation>
  </dataValidations>
  <hyperlinks>
    <hyperlink r:id="rId1" ref="C14"/>
  </hyperlinks>
  <printOptions/>
  <pageMargins bottom="0.75" footer="0.0" header="0.0" left="0.7" right="0.7" top="0.75"/>
  <pageSetup orientation="landscape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 ht="15.75" customHeight="1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 ht="15.75" customHeight="1">
      <c r="A4" s="1"/>
      <c r="B4" s="15">
        <v>1.0</v>
      </c>
      <c r="C4" s="32"/>
      <c r="D4" s="16"/>
      <c r="E4" s="14"/>
      <c r="F4" s="91"/>
      <c r="G4" s="34"/>
      <c r="H4" s="35"/>
      <c r="I4" s="15"/>
      <c r="J4" s="15"/>
      <c r="K4" s="15"/>
      <c r="L4" s="15"/>
      <c r="M4" s="15"/>
      <c r="N4" s="24"/>
      <c r="O4" s="24"/>
      <c r="P4" s="25"/>
      <c r="Q4" s="1"/>
      <c r="R4" s="1"/>
    </row>
    <row r="5" ht="15.75" customHeight="1">
      <c r="A5" s="1"/>
      <c r="B5" s="15">
        <v>2.0</v>
      </c>
      <c r="C5" s="32"/>
      <c r="D5" s="16"/>
      <c r="E5" s="14"/>
      <c r="F5" s="91"/>
      <c r="G5" s="34"/>
      <c r="H5" s="35"/>
      <c r="I5" s="15"/>
      <c r="J5" s="15"/>
      <c r="K5" s="15"/>
      <c r="L5" s="15"/>
      <c r="M5" s="15"/>
      <c r="N5" s="29"/>
      <c r="O5" s="29"/>
      <c r="P5" s="29"/>
      <c r="Q5" s="1"/>
      <c r="R5" s="1"/>
    </row>
    <row r="6" ht="15.75" customHeight="1">
      <c r="A6" s="1"/>
      <c r="B6" s="15">
        <v>3.0</v>
      </c>
      <c r="C6" s="32"/>
      <c r="D6" s="16"/>
      <c r="E6" s="14"/>
      <c r="F6" s="15"/>
      <c r="G6" s="34"/>
      <c r="H6" s="35"/>
      <c r="I6" s="15"/>
      <c r="J6" s="15"/>
      <c r="K6" s="15"/>
      <c r="L6" s="15"/>
      <c r="M6" s="15"/>
      <c r="N6" s="29"/>
      <c r="O6" s="29"/>
      <c r="P6" s="29"/>
      <c r="Q6" s="1"/>
      <c r="R6" s="1"/>
    </row>
    <row r="7" ht="15.75" customHeight="1">
      <c r="A7" s="1"/>
      <c r="B7" s="15">
        <v>4.0</v>
      </c>
      <c r="C7" s="32"/>
      <c r="D7" s="16"/>
      <c r="E7" s="14"/>
      <c r="F7" s="15"/>
      <c r="G7" s="34"/>
      <c r="H7" s="35"/>
      <c r="I7" s="15"/>
      <c r="J7" s="15"/>
      <c r="K7" s="15"/>
      <c r="L7" s="15"/>
      <c r="M7" s="15"/>
      <c r="N7" s="29"/>
      <c r="O7" s="29"/>
      <c r="P7" s="29"/>
      <c r="Q7" s="1"/>
      <c r="R7" s="1"/>
    </row>
    <row r="8" ht="15.75" customHeight="1">
      <c r="A8" s="1"/>
      <c r="B8" s="15">
        <v>5.0</v>
      </c>
      <c r="C8" s="32"/>
      <c r="D8" s="16"/>
      <c r="E8" s="14"/>
      <c r="F8" s="15"/>
      <c r="G8" s="34"/>
      <c r="H8" s="35"/>
      <c r="I8" s="15"/>
      <c r="J8" s="15"/>
      <c r="K8" s="15"/>
      <c r="L8" s="15"/>
      <c r="M8" s="15"/>
      <c r="N8" s="29"/>
      <c r="O8" s="29"/>
      <c r="P8" s="29"/>
      <c r="Q8" s="1"/>
      <c r="R8" s="1"/>
    </row>
    <row r="9" ht="15.75" customHeight="1">
      <c r="A9" s="1"/>
      <c r="B9" s="15">
        <v>6.0</v>
      </c>
      <c r="C9" s="32"/>
      <c r="D9" s="16"/>
      <c r="E9" s="14"/>
      <c r="F9" s="15"/>
      <c r="G9" s="34"/>
      <c r="H9" s="35"/>
      <c r="I9" s="15"/>
      <c r="J9" s="15"/>
      <c r="K9" s="15"/>
      <c r="L9" s="15"/>
      <c r="M9" s="15"/>
      <c r="N9" s="29"/>
      <c r="O9" s="29"/>
      <c r="P9" s="29"/>
      <c r="Q9" s="1"/>
      <c r="R9" s="1"/>
    </row>
    <row r="10" ht="15.75" customHeight="1">
      <c r="A10" s="1"/>
      <c r="B10" s="15">
        <v>7.0</v>
      </c>
      <c r="C10" s="32"/>
      <c r="D10" s="16"/>
      <c r="E10" s="14"/>
      <c r="F10" s="15"/>
      <c r="G10" s="34"/>
      <c r="H10" s="35"/>
      <c r="I10" s="15"/>
      <c r="J10" s="15"/>
      <c r="K10" s="15"/>
      <c r="L10" s="15"/>
      <c r="M10" s="15"/>
      <c r="N10" s="29"/>
      <c r="O10" s="29"/>
      <c r="P10" s="29"/>
      <c r="Q10" s="1"/>
      <c r="R10" s="1"/>
    </row>
    <row r="11" ht="15.75" customHeight="1">
      <c r="A11" s="1"/>
      <c r="B11" s="15">
        <v>8.0</v>
      </c>
      <c r="C11" s="32"/>
      <c r="D11" s="16"/>
      <c r="E11" s="14"/>
      <c r="F11" s="15"/>
      <c r="G11" s="34"/>
      <c r="H11" s="35"/>
      <c r="I11" s="15"/>
      <c r="J11" s="15"/>
      <c r="K11" s="15"/>
      <c r="L11" s="15"/>
      <c r="M11" s="15"/>
      <c r="N11" s="29"/>
      <c r="O11" s="29"/>
      <c r="P11" s="29"/>
      <c r="Q11" s="1"/>
      <c r="R11" s="1"/>
    </row>
    <row r="12" ht="15.75" customHeight="1">
      <c r="A12" s="1"/>
      <c r="B12" s="15">
        <v>9.0</v>
      </c>
      <c r="C12" s="32"/>
      <c r="D12" s="16"/>
      <c r="E12" s="14"/>
      <c r="F12" s="15"/>
      <c r="G12" s="34"/>
      <c r="H12" s="35"/>
      <c r="I12" s="15"/>
      <c r="J12" s="15"/>
      <c r="K12" s="15"/>
      <c r="L12" s="15"/>
      <c r="M12" s="15"/>
      <c r="N12" s="29"/>
      <c r="O12" s="29"/>
      <c r="P12" s="29"/>
      <c r="Q12" s="1"/>
      <c r="R12" s="1"/>
    </row>
    <row r="13" ht="15.75" customHeight="1">
      <c r="A13" s="1"/>
      <c r="B13" s="15">
        <v>10.0</v>
      </c>
      <c r="C13" s="32"/>
      <c r="D13" s="16"/>
      <c r="E13" s="14"/>
      <c r="F13" s="15"/>
      <c r="G13" s="34"/>
      <c r="H13" s="35"/>
      <c r="I13" s="15"/>
      <c r="J13" s="15"/>
      <c r="K13" s="15"/>
      <c r="L13" s="15"/>
      <c r="M13" s="15"/>
      <c r="N13" s="29"/>
      <c r="O13" s="29"/>
      <c r="P13" s="29"/>
      <c r="Q13" s="1"/>
      <c r="R13" s="1"/>
    </row>
    <row r="14" ht="15.75" customHeight="1">
      <c r="A14" s="1"/>
      <c r="B14" s="15"/>
      <c r="C14" s="32"/>
      <c r="D14" s="16"/>
      <c r="E14" s="14"/>
      <c r="F14" s="15"/>
      <c r="G14" s="34"/>
      <c r="H14" s="35"/>
      <c r="I14" s="15"/>
      <c r="J14" s="15"/>
      <c r="K14" s="15"/>
      <c r="L14" s="15"/>
      <c r="M14" s="15"/>
      <c r="N14" s="29"/>
      <c r="O14" s="29"/>
      <c r="P14" s="29"/>
      <c r="Q14" s="1"/>
      <c r="R14" s="1"/>
    </row>
    <row r="15" ht="15.75" customHeight="1">
      <c r="A15" s="1"/>
      <c r="B15" s="15"/>
      <c r="C15" s="32"/>
      <c r="D15" s="16"/>
      <c r="E15" s="14"/>
      <c r="F15" s="15"/>
      <c r="G15" s="34"/>
      <c r="H15" s="35"/>
      <c r="I15" s="15"/>
      <c r="J15" s="15"/>
      <c r="K15" s="15"/>
      <c r="L15" s="15"/>
      <c r="M15" s="15"/>
      <c r="N15" s="29"/>
      <c r="O15" s="29"/>
      <c r="P15" s="29"/>
      <c r="Q15" s="1"/>
      <c r="R15" s="1"/>
    </row>
    <row r="16" ht="15.75" customHeight="1">
      <c r="A16" s="1"/>
      <c r="B16" s="15"/>
      <c r="C16" s="32"/>
      <c r="D16" s="16"/>
      <c r="E16" s="14"/>
      <c r="F16" s="15"/>
      <c r="G16" s="34"/>
      <c r="H16" s="35"/>
      <c r="I16" s="15"/>
      <c r="J16" s="15"/>
      <c r="K16" s="15"/>
      <c r="L16" s="15"/>
      <c r="M16" s="15"/>
      <c r="N16" s="29"/>
      <c r="O16" s="29"/>
      <c r="P16" s="29"/>
      <c r="Q16" s="1"/>
      <c r="R16" s="1"/>
    </row>
    <row r="17" ht="15.75" customHeight="1">
      <c r="A17" s="1"/>
      <c r="B17" s="15"/>
      <c r="C17" s="32"/>
      <c r="D17" s="16"/>
      <c r="E17" s="14"/>
      <c r="F17" s="15"/>
      <c r="G17" s="34"/>
      <c r="H17" s="35"/>
      <c r="I17" s="15"/>
      <c r="J17" s="15"/>
      <c r="K17" s="15"/>
      <c r="L17" s="15"/>
      <c r="M17" s="15"/>
      <c r="N17" s="29"/>
      <c r="O17" s="29"/>
      <c r="P17" s="29"/>
      <c r="Q17" s="1"/>
      <c r="R17" s="1"/>
    </row>
    <row r="18" ht="15.75" customHeight="1">
      <c r="A18" s="1"/>
      <c r="B18" s="15"/>
      <c r="C18" s="32"/>
      <c r="D18" s="16"/>
      <c r="E18" s="14"/>
      <c r="F18" s="15"/>
      <c r="G18" s="34"/>
      <c r="H18" s="35"/>
      <c r="I18" s="15"/>
      <c r="J18" s="15"/>
      <c r="K18" s="15"/>
      <c r="L18" s="15"/>
      <c r="M18" s="15"/>
      <c r="N18" s="29"/>
      <c r="O18" s="29"/>
      <c r="P18" s="29"/>
      <c r="Q18" s="1"/>
      <c r="R18" s="1"/>
    </row>
    <row r="19" ht="15.75" customHeight="1">
      <c r="A19" s="1"/>
      <c r="B19" s="15"/>
      <c r="C19" s="32"/>
      <c r="D19" s="16"/>
      <c r="E19" s="14"/>
      <c r="F19" s="15"/>
      <c r="G19" s="34"/>
      <c r="H19" s="35"/>
      <c r="I19" s="15"/>
      <c r="J19" s="15"/>
      <c r="K19" s="15"/>
      <c r="L19" s="15"/>
      <c r="M19" s="15"/>
      <c r="N19" s="29"/>
      <c r="O19" s="29"/>
      <c r="P19" s="29"/>
      <c r="Q19" s="1"/>
      <c r="R19" s="1"/>
    </row>
    <row r="20" ht="15.75" customHeight="1">
      <c r="A20" s="1"/>
      <c r="B20" s="15"/>
      <c r="C20" s="32"/>
      <c r="D20" s="16"/>
      <c r="E20" s="14"/>
      <c r="F20" s="15"/>
      <c r="G20" s="34"/>
      <c r="H20" s="35"/>
      <c r="I20" s="15"/>
      <c r="J20" s="15"/>
      <c r="K20" s="15"/>
      <c r="L20" s="15"/>
      <c r="M20" s="15"/>
      <c r="N20" s="29"/>
      <c r="O20" s="29"/>
      <c r="P20" s="29"/>
      <c r="Q20" s="1"/>
      <c r="R20" s="1"/>
    </row>
    <row r="21" ht="15.75" customHeight="1">
      <c r="A21" s="1"/>
      <c r="B21" s="15"/>
      <c r="C21" s="32"/>
      <c r="D21" s="16"/>
      <c r="E21" s="14"/>
      <c r="F21" s="15"/>
      <c r="G21" s="34"/>
      <c r="H21" s="35"/>
      <c r="I21" s="15"/>
      <c r="J21" s="15"/>
      <c r="K21" s="15"/>
      <c r="L21" s="15"/>
      <c r="M21" s="15"/>
      <c r="N21" s="29"/>
      <c r="O21" s="29"/>
      <c r="P21" s="29"/>
      <c r="Q21" s="1"/>
      <c r="R21" s="1"/>
    </row>
    <row r="22" ht="15.75" customHeight="1">
      <c r="A22" s="1"/>
      <c r="B22" s="15"/>
      <c r="C22" s="32"/>
      <c r="D22" s="16"/>
      <c r="E22" s="14"/>
      <c r="F22" s="15"/>
      <c r="G22" s="34"/>
      <c r="H22" s="35"/>
      <c r="I22" s="15"/>
      <c r="J22" s="15"/>
      <c r="K22" s="15"/>
      <c r="L22" s="15"/>
      <c r="M22" s="15"/>
      <c r="N22" s="29"/>
      <c r="O22" s="29"/>
      <c r="P22" s="29"/>
      <c r="Q22" s="1"/>
      <c r="R22" s="1"/>
    </row>
    <row r="23" ht="15.75" customHeight="1">
      <c r="A23" s="1"/>
      <c r="B23" s="15"/>
      <c r="C23" s="32"/>
      <c r="D23" s="16"/>
      <c r="E23" s="14"/>
      <c r="F23" s="15"/>
      <c r="G23" s="34"/>
      <c r="H23" s="35"/>
      <c r="I23" s="15"/>
      <c r="J23" s="15"/>
      <c r="K23" s="15"/>
      <c r="L23" s="15"/>
      <c r="M23" s="15"/>
      <c r="N23" s="29"/>
      <c r="O23" s="29"/>
      <c r="P23" s="29"/>
      <c r="Q23" s="1"/>
      <c r="R23" s="1"/>
    </row>
    <row r="24" ht="15.75" customHeight="1">
      <c r="A24" s="1"/>
      <c r="B24" s="15"/>
      <c r="C24" s="32"/>
      <c r="D24" s="16"/>
      <c r="E24" s="14"/>
      <c r="F24" s="15"/>
      <c r="G24" s="34"/>
      <c r="H24" s="35"/>
      <c r="I24" s="15"/>
      <c r="J24" s="15"/>
      <c r="K24" s="15"/>
      <c r="L24" s="15"/>
      <c r="M24" s="15"/>
      <c r="N24" s="29"/>
      <c r="O24" s="29"/>
      <c r="P24" s="29"/>
      <c r="Q24" s="1"/>
      <c r="R24" s="1"/>
    </row>
    <row r="25" ht="15.75" customHeight="1">
      <c r="A25" s="1"/>
      <c r="B25" s="15"/>
      <c r="C25" s="32"/>
      <c r="D25" s="16"/>
      <c r="E25" s="14"/>
      <c r="F25" s="15"/>
      <c r="G25" s="34"/>
      <c r="H25" s="35"/>
      <c r="I25" s="15"/>
      <c r="J25" s="15"/>
      <c r="K25" s="15"/>
      <c r="L25" s="15"/>
      <c r="M25" s="15"/>
      <c r="N25" s="29"/>
      <c r="O25" s="29"/>
      <c r="P25" s="29"/>
      <c r="Q25" s="1"/>
      <c r="R25" s="1"/>
    </row>
    <row r="26" ht="15.75" customHeight="1">
      <c r="A26" s="1"/>
      <c r="B26" s="15"/>
      <c r="C26" s="32"/>
      <c r="D26" s="16"/>
      <c r="E26" s="14"/>
      <c r="F26" s="15"/>
      <c r="G26" s="34"/>
      <c r="H26" s="35"/>
      <c r="I26" s="15"/>
      <c r="J26" s="15"/>
      <c r="K26" s="15"/>
      <c r="L26" s="15"/>
      <c r="M26" s="15"/>
      <c r="N26" s="29"/>
      <c r="O26" s="29"/>
      <c r="P26" s="29"/>
      <c r="Q26" s="1"/>
      <c r="R26" s="1"/>
    </row>
    <row r="27" ht="15.75" customHeight="1">
      <c r="A27" s="1"/>
      <c r="B27" s="15"/>
      <c r="C27" s="32"/>
      <c r="D27" s="16"/>
      <c r="E27" s="14"/>
      <c r="F27" s="15"/>
      <c r="G27" s="34"/>
      <c r="H27" s="35"/>
      <c r="I27" s="15"/>
      <c r="J27" s="15"/>
      <c r="K27" s="15"/>
      <c r="L27" s="15"/>
      <c r="M27" s="15"/>
      <c r="N27" s="29"/>
      <c r="O27" s="29"/>
      <c r="P27" s="29"/>
      <c r="Q27" s="1"/>
      <c r="R27" s="1"/>
    </row>
    <row r="28" ht="15.75" customHeight="1">
      <c r="A28" s="1"/>
      <c r="B28" s="15"/>
      <c r="C28" s="32"/>
      <c r="D28" s="16"/>
      <c r="E28" s="14"/>
      <c r="F28" s="15"/>
      <c r="G28" s="34"/>
      <c r="H28" s="35"/>
      <c r="I28" s="15"/>
      <c r="J28" s="15"/>
      <c r="K28" s="15"/>
      <c r="L28" s="15"/>
      <c r="M28" s="15"/>
      <c r="N28" s="29"/>
      <c r="O28" s="29"/>
      <c r="P28" s="29"/>
      <c r="Q28" s="1"/>
      <c r="R28" s="1"/>
    </row>
    <row r="29" ht="15.75" customHeight="1">
      <c r="A29" s="1"/>
      <c r="B29" s="15"/>
      <c r="C29" s="32"/>
      <c r="D29" s="16"/>
      <c r="E29" s="14"/>
      <c r="F29" s="15"/>
      <c r="G29" s="34"/>
      <c r="H29" s="35"/>
      <c r="I29" s="15"/>
      <c r="J29" s="15"/>
      <c r="K29" s="15"/>
      <c r="L29" s="15"/>
      <c r="M29" s="15"/>
      <c r="N29" s="29"/>
      <c r="O29" s="29"/>
      <c r="P29" s="29"/>
      <c r="Q29" s="1"/>
      <c r="R29" s="1"/>
    </row>
    <row r="30" ht="15.75" customHeight="1">
      <c r="A30" s="1"/>
      <c r="B30" s="15"/>
      <c r="C30" s="32"/>
      <c r="D30" s="16"/>
      <c r="E30" s="14"/>
      <c r="F30" s="15"/>
      <c r="G30" s="34"/>
      <c r="H30" s="35"/>
      <c r="I30" s="15"/>
      <c r="J30" s="15"/>
      <c r="K30" s="15"/>
      <c r="L30" s="15"/>
      <c r="M30" s="15"/>
      <c r="N30" s="29"/>
      <c r="O30" s="29"/>
      <c r="P30" s="29"/>
      <c r="Q30" s="1"/>
      <c r="R30" s="1"/>
    </row>
    <row r="31" ht="15.75" customHeight="1">
      <c r="A31" s="1"/>
      <c r="B31" s="15"/>
      <c r="C31" s="32"/>
      <c r="D31" s="16"/>
      <c r="E31" s="14"/>
      <c r="F31" s="15"/>
      <c r="G31" s="34"/>
      <c r="H31" s="35"/>
      <c r="I31" s="15"/>
      <c r="J31" s="15"/>
      <c r="K31" s="15"/>
      <c r="L31" s="15"/>
      <c r="M31" s="15"/>
      <c r="N31" s="29"/>
      <c r="O31" s="29"/>
      <c r="P31" s="29"/>
      <c r="Q31" s="1"/>
      <c r="R31" s="1"/>
    </row>
    <row r="32" ht="15.75" customHeight="1">
      <c r="A32" s="1"/>
      <c r="B32" s="15"/>
      <c r="C32" s="32"/>
      <c r="D32" s="16"/>
      <c r="E32" s="14"/>
      <c r="F32" s="15"/>
      <c r="G32" s="34"/>
      <c r="H32" s="35"/>
      <c r="I32" s="15"/>
      <c r="J32" s="15"/>
      <c r="K32" s="15"/>
      <c r="L32" s="15"/>
      <c r="M32" s="15"/>
      <c r="N32" s="29"/>
      <c r="O32" s="29"/>
      <c r="P32" s="29"/>
      <c r="Q32" s="1"/>
      <c r="R32" s="1"/>
    </row>
    <row r="33" ht="15.75" customHeight="1">
      <c r="A33" s="1"/>
      <c r="B33" s="15"/>
      <c r="C33" s="32"/>
      <c r="D33" s="16"/>
      <c r="E33" s="14"/>
      <c r="F33" s="15"/>
      <c r="G33" s="34"/>
      <c r="H33" s="35"/>
      <c r="I33" s="15"/>
      <c r="J33" s="15"/>
      <c r="K33" s="15"/>
      <c r="L33" s="15"/>
      <c r="M33" s="15"/>
      <c r="N33" s="29"/>
      <c r="O33" s="29"/>
      <c r="P33" s="29"/>
      <c r="Q33" s="1"/>
      <c r="R33" s="1"/>
    </row>
    <row r="34" ht="15.75" customHeight="1">
      <c r="A34" s="1"/>
      <c r="B34" s="15"/>
      <c r="C34" s="32"/>
      <c r="D34" s="16"/>
      <c r="E34" s="14"/>
      <c r="F34" s="15"/>
      <c r="G34" s="34"/>
      <c r="H34" s="35"/>
      <c r="I34" s="15"/>
      <c r="J34" s="15"/>
      <c r="K34" s="15"/>
      <c r="L34" s="15"/>
      <c r="M34" s="15"/>
      <c r="N34" s="41"/>
      <c r="O34" s="41"/>
      <c r="P34" s="41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42">
        <f t="shared" ref="G35:H35" si="1">SUM(G4:G34)</f>
        <v>0</v>
      </c>
      <c r="H35" s="43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5.75" customHeight="1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1"/>
      <c r="B38" s="44" t="s">
        <v>0</v>
      </c>
      <c r="C38" s="45" t="s">
        <v>6</v>
      </c>
      <c r="D38" s="45" t="s">
        <v>88</v>
      </c>
      <c r="E38" s="1"/>
      <c r="F38" s="1"/>
      <c r="G38" s="1"/>
      <c r="H38" s="1"/>
      <c r="I38" s="1"/>
      <c r="J38" s="1"/>
      <c r="K38" s="1"/>
      <c r="L38" s="1"/>
      <c r="M38" s="1"/>
      <c r="N38" s="45" t="s">
        <v>89</v>
      </c>
      <c r="O38" s="45" t="s">
        <v>1</v>
      </c>
      <c r="P38" s="1"/>
      <c r="Q38" s="1"/>
      <c r="R38" s="1"/>
    </row>
    <row r="39" ht="15.75" customHeight="1">
      <c r="A39" s="1"/>
      <c r="B39" s="46">
        <v>1.0</v>
      </c>
      <c r="C39" s="47" t="s">
        <v>90</v>
      </c>
      <c r="D39" s="48">
        <f>SUM(G35)</f>
        <v>0</v>
      </c>
      <c r="E39" s="49"/>
      <c r="F39" s="1"/>
      <c r="G39" s="1"/>
      <c r="H39" s="1"/>
      <c r="I39" s="1"/>
      <c r="J39" s="1"/>
      <c r="K39" s="1"/>
      <c r="L39" s="1"/>
      <c r="M39" s="1"/>
      <c r="N39" s="50" t="s">
        <v>91</v>
      </c>
      <c r="O39" s="24"/>
      <c r="P39" s="1"/>
      <c r="Q39" s="1"/>
      <c r="R39" s="1"/>
    </row>
    <row r="40" ht="15.75" customHeight="1">
      <c r="A40" s="1"/>
      <c r="B40" s="51">
        <v>2.0</v>
      </c>
      <c r="C40" s="52"/>
      <c r="D40" s="54"/>
      <c r="E40" s="49"/>
      <c r="F40" s="1"/>
      <c r="G40" s="1"/>
      <c r="H40" s="1"/>
      <c r="I40" s="1"/>
      <c r="J40" s="1"/>
      <c r="K40" s="1"/>
      <c r="L40" s="1"/>
      <c r="M40" s="1"/>
      <c r="N40" s="56" t="s">
        <v>93</v>
      </c>
      <c r="O40" s="41"/>
      <c r="P40" s="1"/>
      <c r="Q40" s="1"/>
      <c r="R40" s="1"/>
    </row>
    <row r="41" ht="15.75" customHeight="1">
      <c r="A41" s="1"/>
      <c r="B41" s="46">
        <v>3.0</v>
      </c>
      <c r="C41" s="47"/>
      <c r="D41" s="48"/>
      <c r="E41" s="49"/>
      <c r="F41" s="1"/>
      <c r="G41" s="1"/>
      <c r="H41" s="1"/>
      <c r="I41" s="1"/>
      <c r="J41" s="1"/>
      <c r="K41" s="1"/>
      <c r="L41" s="1"/>
      <c r="M41" s="1"/>
      <c r="N41" s="59" t="s">
        <v>95</v>
      </c>
      <c r="O41" s="29"/>
      <c r="P41" s="1"/>
      <c r="Q41" s="1"/>
      <c r="R41" s="1"/>
    </row>
    <row r="42" ht="15.75" customHeight="1">
      <c r="A42" s="1"/>
      <c r="B42" s="51">
        <v>4.0</v>
      </c>
      <c r="C42" s="52"/>
      <c r="D42" s="54"/>
      <c r="E42" s="49"/>
      <c r="F42" s="1"/>
      <c r="G42" s="1"/>
      <c r="H42" s="1"/>
      <c r="I42" s="1"/>
      <c r="J42" s="1"/>
      <c r="K42" s="1"/>
      <c r="L42" s="1"/>
      <c r="M42" s="1"/>
      <c r="N42" s="60" t="s">
        <v>98</v>
      </c>
      <c r="O42" s="41"/>
      <c r="P42" s="1"/>
      <c r="Q42" s="1"/>
      <c r="R42" s="1"/>
    </row>
    <row r="43" ht="15.75" customHeight="1">
      <c r="A43" s="1"/>
      <c r="B43" s="46"/>
      <c r="C43" s="47"/>
      <c r="D43" s="48"/>
      <c r="E43" s="49"/>
      <c r="F43" s="1"/>
      <c r="G43" s="1"/>
      <c r="H43" s="1"/>
      <c r="I43" s="1"/>
      <c r="J43" s="1"/>
      <c r="K43" s="1"/>
      <c r="L43" s="1"/>
      <c r="M43" s="1"/>
      <c r="N43" s="61"/>
      <c r="O43" s="1"/>
      <c r="P43" s="1"/>
      <c r="Q43" s="1"/>
      <c r="R43" s="1"/>
    </row>
    <row r="44" ht="15.75" customHeight="1">
      <c r="A44" s="1"/>
      <c r="B44" s="51"/>
      <c r="C44" s="52"/>
      <c r="D44" s="54"/>
      <c r="E44" s="4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46"/>
      <c r="C45" s="47"/>
      <c r="D45" s="48"/>
      <c r="E45" s="4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5.75" customHeight="1">
      <c r="A46" s="1"/>
      <c r="B46" s="51"/>
      <c r="C46" s="52"/>
      <c r="D46" s="54"/>
      <c r="E46" s="4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46"/>
      <c r="C47" s="47"/>
      <c r="D47" s="48"/>
      <c r="E47" s="4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5.75" customHeight="1">
      <c r="A48" s="1"/>
      <c r="B48" s="51"/>
      <c r="C48" s="52"/>
      <c r="D48" s="54"/>
      <c r="E48" s="4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5.75" customHeight="1">
      <c r="A49" s="1"/>
      <c r="B49" s="69"/>
      <c r="C49" s="70"/>
      <c r="D49" s="71"/>
      <c r="E49" s="4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5.75" customHeight="1">
      <c r="A50" s="1"/>
      <c r="B50" s="1"/>
      <c r="C50" s="2"/>
      <c r="D50" s="72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5.75" customHeight="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5.75" customHeight="1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5.75" customHeight="1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5.75" customHeight="1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ErrorMessage="1" sqref="N4:N34">
      <formula1>"-,Pending,Progress,Uploaded"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Person,Add Edit"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2.0"/>
    <col customWidth="1" min="3" max="3" width="18.0"/>
    <col customWidth="1" min="4" max="5" width="14.0"/>
    <col customWidth="1" min="6" max="6" width="11.0"/>
    <col customWidth="1" min="7" max="7" width="19.0"/>
    <col customWidth="1" min="8" max="8" width="18.0"/>
    <col customWidth="1" min="9" max="9" width="16.0"/>
    <col customWidth="1" min="10" max="10" width="17.0"/>
    <col customWidth="1" min="11" max="11" width="15.0"/>
    <col customWidth="1" min="12" max="17" width="14.0"/>
    <col customWidth="1" min="18" max="23" width="8.63"/>
    <col customWidth="1" min="24" max="80" width="3.0"/>
  </cols>
  <sheetData>
    <row r="1">
      <c r="A1" s="127" t="s">
        <v>542</v>
      </c>
      <c r="AU1" s="66" t="s">
        <v>543</v>
      </c>
    </row>
    <row r="2">
      <c r="A2" s="129" t="s">
        <v>544</v>
      </c>
      <c r="AU2" s="66">
        <v>1.0</v>
      </c>
    </row>
    <row r="3">
      <c r="AU3" s="66">
        <v>2.0</v>
      </c>
    </row>
    <row r="4">
      <c r="A4" s="130" t="s">
        <v>545</v>
      </c>
      <c r="AU4" s="66">
        <v>3.0</v>
      </c>
      <c r="AV4" s="66">
        <v>1.0</v>
      </c>
      <c r="AW4" s="66">
        <v>2.0</v>
      </c>
      <c r="AX4" s="66">
        <v>3.0</v>
      </c>
      <c r="AY4" s="66">
        <v>4.0</v>
      </c>
      <c r="AZ4" s="66">
        <v>5.0</v>
      </c>
      <c r="BA4" s="66">
        <v>6.0</v>
      </c>
      <c r="BB4" s="66">
        <v>7.0</v>
      </c>
      <c r="BC4" s="66">
        <v>8.0</v>
      </c>
      <c r="BD4" s="66">
        <v>9.0</v>
      </c>
      <c r="BE4" s="66">
        <v>10.0</v>
      </c>
      <c r="BF4" s="66">
        <v>11.0</v>
      </c>
      <c r="BG4" s="66">
        <v>12.0</v>
      </c>
      <c r="BH4" s="66">
        <v>13.0</v>
      </c>
      <c r="BI4" s="66">
        <v>14.0</v>
      </c>
      <c r="BJ4" s="66">
        <v>15.0</v>
      </c>
      <c r="BK4" s="66">
        <v>16.0</v>
      </c>
      <c r="BL4" s="66">
        <v>17.0</v>
      </c>
      <c r="BM4" s="66">
        <v>18.0</v>
      </c>
      <c r="BN4" s="66">
        <v>19.0</v>
      </c>
      <c r="BO4" s="66">
        <v>20.0</v>
      </c>
      <c r="BP4" s="66">
        <v>21.0</v>
      </c>
      <c r="BQ4" s="66">
        <v>22.0</v>
      </c>
      <c r="BR4" s="66">
        <v>23.0</v>
      </c>
      <c r="BS4" s="66">
        <v>24.0</v>
      </c>
      <c r="BT4" s="66">
        <v>25.0</v>
      </c>
      <c r="BU4" s="66">
        <v>26.0</v>
      </c>
      <c r="BV4" s="66">
        <v>27.0</v>
      </c>
      <c r="BW4" s="66">
        <v>28.0</v>
      </c>
      <c r="BX4" s="66">
        <v>29.0</v>
      </c>
      <c r="BY4" s="66">
        <v>30.0</v>
      </c>
      <c r="BZ4" s="66">
        <v>31.0</v>
      </c>
      <c r="CA4" s="66" t="s">
        <v>546</v>
      </c>
      <c r="CB4" s="66" t="s">
        <v>548</v>
      </c>
    </row>
    <row r="5">
      <c r="A5" s="131" t="s">
        <v>549</v>
      </c>
      <c r="B5" s="131" t="s">
        <v>2</v>
      </c>
      <c r="C5" s="131" t="s">
        <v>550</v>
      </c>
      <c r="D5" s="131" t="s">
        <v>551</v>
      </c>
      <c r="E5" s="131" t="s">
        <v>552</v>
      </c>
      <c r="X5" s="66" t="s">
        <v>23</v>
      </c>
      <c r="Y5" s="66">
        <f>COUNTIF('1'!$D$4:$D$21,X5)+COUNTIF('2'!$D$4:$D$21,X5)+COUNTIF('3'!$D$4:$D$21,X5)+COUNTIF('4'!$D$4:$D$22,X5)+COUNTIF('5'!$D$4:$D$22,X5)+COUNTIF('6'!$D$4:$D$21,X5)+COUNTIF('7'!$D$4:$D$21,X5)+COUNTIF('8'!$D$4:$D$24,X5)+COUNTIF('9'!$D$4:$D$21,X5)+COUNTIF('10'!$D$4:$D$21,X5)+COUNTIF('11'!$D$4:$D$25,X5)+COUNTIF('12'!$D$4:$D$25,X5)+COUNTIF('13'!$D$4:$D$22,X5)+COUNTIF('14'!$D$4:$D$28,X5)+COUNTIF('15'!$D$4:$D$27,X5)+COUNTIF('16'!$D$4:$D$23,X5)+COUNTIF('17'!$D$4:$D$28,X5)+COUNTIF('18'!$D$4:$D$28,X5)+COUNTIF('19'!$D$4:$D$21,X5)+COUNTIF('20'!$D$4:$D$26,X5)+COUNTIF('21'!$D$4:$D$21,X5)+COUNTIF('22'!$D$4:$D$27,X5)+COUNTIF('23'!$D$4:$D$37,X5)+COUNTIF('24'!$D$4:$D$30,X5)+COUNTIF('25'!$D$4:$D$24,X5)+COUNTIF('26'!$D$4:$D$28,X5)+COUNTIF('27'!$D$4:$D$33,X5)+COUNTIF('28'!$D$4:$D$28,X5)+COUNTIF('29'!$D$4:$D$32,X5)+COUNTIF('30'!$D$4:$D$24,X5)+COUNTIF('31'!$D$4:$D$45,X5)</f>
        <v>240</v>
      </c>
      <c r="Z5" s="66">
        <f t="shared" ref="Z5:Z17" si="1">Y5+(18-ROW())/100000</f>
        <v>240.00013</v>
      </c>
      <c r="AA5" s="66" t="s">
        <v>30</v>
      </c>
      <c r="AB5" s="66" t="s">
        <v>557</v>
      </c>
      <c r="AC5" s="66">
        <f>COUNTIF('1'!$O$23:$O$26,AA5)+COUNTIF('2'!$O$23:$O$26,AA5)+COUNTIF('3'!$O$23:$O$26,AA5)+COUNTIF('4'!$O$24:$O$27,AA5)+COUNTIF('5'!$O$24:$O$27,AA5)+COUNTIF('6'!$O$23:$O$26,AA5)+COUNTIF('7'!$O$23:$O$26,AA5)+COUNTIF('8'!$O$26:$O$29,AA5)+COUNTIF('9'!$O$23:$O$26,AA5)+COUNTIF('10'!$O$23:$O$26,AA5)+COUNTIF('11'!$O$27:$O$30,AA5)+COUNTIF('12'!$O$27:$O$30,AA5)+COUNTIF('13'!$O$24:$O$27,AA5)+COUNTIF('14'!$O$30:$O$33,AA5)+COUNTIF('15'!$O$29:$O$32,AA5)+COUNTIF('16'!$O$25:$O$28,AA5)+COUNTIF('17'!$O$30:$O$33,AA5)+COUNTIF('18'!$O$30:$O$33,AA5)+COUNTIF('19'!$O$23:$O$26,AA5)+COUNTIF('20'!$O$28:$O$31,AA5)+COUNTIF('21'!$O$23:$O$26,AA5)+COUNTIF('22'!$O$29:$O$32,AA5)+COUNTIF('23'!$O$39:$O$42,AA5)+COUNTIF('24'!$O$32:$O$35,AA5)+COUNTIF('25'!$O$26:$O$29,AA5)+COUNTIF('26'!$O$30:$O$33,AA5)+COUNTIF('27'!$O$35:$O$38,AA5)+COUNTIF('28'!$O$30:$O$33,AA5)+COUNTIF('29'!$O$34:$O$37,AA5)+COUNTIF('30'!$O$26:$O$29,AA5)+COUNTIF('31'!$O$47:$O$50,AA5)</f>
        <v>31</v>
      </c>
      <c r="AD5" s="66">
        <f t="shared" ref="AD5:AD15" si="2">AC5+(16-ROW())/100000</f>
        <v>31.00011</v>
      </c>
      <c r="AE5" s="66" t="s">
        <v>30</v>
      </c>
      <c r="AF5" s="66">
        <f>COUNTIF('1'!$L$4:$L$21,AE5)+COUNTIF('2'!$L$4:$L$21,AE5)+COUNTIF('3'!$L$4:$L$21,AE5)+COUNTIF('4'!$L$4:$L$22,AE5)+COUNTIF('5'!$L$4:$L$22,AE5)+COUNTIF('6'!$L$4:$L$21,AE5)+COUNTIF('7'!$L$4:$L$21,AE5)+COUNTIF('8'!$L$4:$L$24,AE5)+COUNTIF('9'!$L$4:$L$21,AE5)+COUNTIF('10'!$L$4:$L$21,AE5)+COUNTIF('11'!$L$4:$L$25,AE5)+COUNTIF('12'!$L$4:$L$25,AE5)+COUNTIF('13'!$L$4:$L$22,AE5)+COUNTIF('14'!$L$4:$L$28,AE5)+COUNTIF('15'!$L$4:$L$27,AE5)+COUNTIF('16'!$L$4:$L$23,AE5)+COUNTIF('17'!$L$4:$L$28,AE5)+COUNTIF('18'!$L$4:$L$28,AE5)+COUNTIF('19'!$L$4:$L$21,AE5)+COUNTIF('20'!$L$4:$L$26,AE5)+COUNTIF('21'!$L$4:$L$21,AE5)+COUNTIF('22'!$L$4:$L$27,AE5)+COUNTIF('23'!$L$4:$L$37,AE5)+COUNTIF('24'!$L$4:$L$30,AE5)+COUNTIF('25'!$L$4:$L$24,AE5)+COUNTIF('26'!$L$4:$L$28,AE5)+COUNTIF('27'!$L$4:$L$33,AE5)+COUNTIF('28'!$L$4:$L$28,AE5)+COUNTIF('29'!$L$4:$L$32,AE5)+COUNTIF('30'!$L$4:$L$24,AE5)+COUNTIF('31'!$L$4:$L$45,AE5)</f>
        <v>261</v>
      </c>
      <c r="AG5" s="66">
        <f t="shared" ref="AG5:AG9" si="3">AF5+(10-ROW())/100000</f>
        <v>261.00005</v>
      </c>
      <c r="AH5" s="66" t="s">
        <v>564</v>
      </c>
      <c r="AI5" s="66">
        <f>COUNTIF('1'!$M$4:$M$21,AH5)+COUNTIF('2'!$M$4:$M$21,AH5)+COUNTIF('3'!$M$4:$M$21,AH5)+COUNTIF('4'!$M$4:$M$22,AH5)+COUNTIF('5'!$M$4:$M$22,AH5)+COUNTIF('6'!$M$4:$M$21,AH5)+COUNTIF('7'!$M$4:$M$21,AH5)+COUNTIF('8'!$M$4:$M$24,AH5)+COUNTIF('9'!$M$4:$M$21,AH5)+COUNTIF('10'!$M$4:$M$21,AH5)+COUNTIF('11'!$M$4:$M$25,AH5)+COUNTIF('12'!$M$4:$M$25,AH5)+COUNTIF('13'!$M$4:$M$22,AH5)+COUNTIF('14'!$M$4:$M$28,AH5)+COUNTIF('15'!$M$4:$M$27,AH5)+COUNTIF('16'!$M$4:$M$23,AH5)+COUNTIF('17'!$M$4:$M$28,AH5)+COUNTIF('18'!$M$4:$M$28,AH5)+COUNTIF('19'!$M$4:$M$21,AH5)+COUNTIF('20'!$M$4:$M$26,AH5)+COUNTIF('21'!$M$4:$M$21,AH5)+COUNTIF('22'!$M$4:$M$27,AH5)+COUNTIF('23'!$M$4:$M$37,AH5)+COUNTIF('24'!$M$4:$M$30,AH5)+COUNTIF('25'!$M$4:$M$24,AH5)+COUNTIF('26'!$M$4:$M$28,AH5)+COUNTIF('27'!$M$4:$M$33,AH5)+COUNTIF('28'!$M$4:$M$28,AH5)+COUNTIF('29'!$M$4:$M$32,AH5)+COUNTIF('30'!$M$4:$M$24,AH5)+COUNTIF('31'!$M$4:$M$45,AH5)</f>
        <v>0</v>
      </c>
      <c r="AJ5" s="66">
        <f t="shared" ref="AJ5:AJ10" si="4">AI5+(11-ROW())/100000</f>
        <v>0.00006</v>
      </c>
      <c r="AK5" s="66" t="s">
        <v>30</v>
      </c>
      <c r="AL5" s="66" t="s">
        <v>557</v>
      </c>
      <c r="AM5" s="66">
        <f>COUNTIFS('1'!$AG$30:$AG$35,AK5,'1'!$AF$30:$AF$35,1)+COUNTIFS('2'!$AG$30:$AG$35,AK5,'2'!$AF$30:$AF$35,1)+COUNTIFS('3'!$AG$30:$AG$35,AK5,'3'!$AF$30:$AF$35,1)+COUNTIFS('4'!$AG$31:$AG$36,AK5,'4'!$AF$31:$AF$36,1)+COUNTIFS('5'!$AG$31:$AG$36,AK5,'5'!$AF$31:$AF$36,1)+COUNTIFS('6'!$AG$30:$AG$35,AK5,'6'!$AF$30:$AF$35,1)+COUNTIFS('7'!$AG$30:$AG$35,AK5,'7'!$AF$30:$AF$35,1)+COUNTIFS('8'!$AG$33:$AG$38,AK5,'8'!$AF$33:$AF$38,1)+COUNTIFS('9'!$AG$30:$AG$35,AK5,'9'!$AF$30:$AF$35,1)+COUNTIFS('10'!$AG$30:$AG$35,AK5,'10'!$AF$30:$AF$35,1)+COUNTIFS('11'!$AG$34:$AG$39,AK5,'11'!$AF$34:$AF$39,1)+COUNTIFS('12'!$AG$34:$AG$39,AK5,'12'!$AF$34:$AF$39,1)+COUNTIFS('13'!$AG$31:$AG$36,AK5,'13'!$AF$31:$AF$36,1)+COUNTIFS('14'!$AG$37:$AG$42,AK5,'14'!$AF$37:$AF$42,1)+COUNTIFS('15'!$AG$36:$AG$41,AK5,'15'!$AF$36:$AF$41,1)+COUNTIFS('16'!$AG$32:$AG$37,AK5,'16'!$AF$32:$AF$37,1)+COUNTIFS('17'!$AG$37:$AG$42,AK5,'17'!$AF$37:$AF$42,1)+COUNTIFS('18'!$AG$37:$AG$42,AK5,'18'!$AF$37:$AF$42,1)+COUNTIFS('19'!$AG$30:$AG$35,AK5,'19'!$AF$30:$AF$35,1)+COUNTIFS('20'!$AG$35:$AG$40,AK5,'20'!$AF$35:$AF$40,1)+COUNTIFS('21'!$AG$30:$AG$35,AK5,'21'!$AF$30:$AF$35,1)+COUNTIFS('22'!$AG$36:$AG$41,AK5,'22'!$AF$36:$AF$41,1)+COUNTIFS('23'!$AG$46:$AG$51,AK5,'23'!$AF$46:$AF$51,1)+COUNTIFS('24'!$AG$39:$AG$44,AK5,'24'!$AF$39:$AF$44,1)+COUNTIFS('25'!$AG$33:$AG$38,AK5,'25'!$AF$33:$AF$38,1)+COUNTIFS('26'!$AG$37:$AG$42,AK5,'26'!$AF$37:$AF$42,1)+COUNTIFS('27'!$AG$42:$AG$47,AK5,'27'!$AF$42:$AF$47,1)+COUNTIFS('28'!$AG$37:$AG$42,AK5,'28'!$AF$37:$AF$42,1)+COUNTIFS('29'!$AG$41:$AG$46,AK5,'29'!$AF$41:$AF$46,1)+COUNTIFS('30'!$AG$33:$AG$38,AK5,'30'!$AF$33:$AF$38,1)+COUNTIFS('31'!$AG$56:$AG$61,AK5,'31'!$AF$56:$AF$61,1)</f>
        <v>31</v>
      </c>
      <c r="AN5" s="66">
        <f t="shared" ref="AN5:AN15" si="5">IF(AM5=0,"",AO5/5*20+AP5/5*25+AQ5/5*25+AR5/5*15+AS5/5*15)</f>
        <v>99.12903226</v>
      </c>
      <c r="AO5" s="66">
        <f>IF(AM5=0,"",(SUMIFS('1'!$L$30:$L$35,'1'!$AG$30:$AG$35,AK5,'1'!$AF$30:$AF$35,1)+SUMIFS('2'!$L$30:$L$35,'2'!$AG$30:$AG$35,AK5,'2'!$AF$30:$AF$35,1)+SUMIFS('3'!$L$30:$L$35,'3'!$AG$30:$AG$35,AK5,'3'!$AF$30:$AF$35,1)+SUMIFS('4'!$L$31:$L$36,'4'!$AG$31:$AG$36,AK5,'4'!$AF$31:$AF$36,1)+SUMIFS('5'!$L$31:$L$36,'5'!$AG$31:$AG$36,AK5,'5'!$AF$31:$AF$36,1)+SUMIFS('6'!$L$30:$L$35,'6'!$AG$30:$AG$35,AK5,'6'!$AF$30:$AF$35,1)+SUMIFS('7'!$L$30:$L$35,'7'!$AG$30:$AG$35,AK5,'7'!$AF$30:$AF$35,1)+SUMIFS('8'!$L$33:$L$38,'8'!$AG$33:$AG$38,AK5,'8'!$AF$33:$AF$38,1)+SUMIFS('9'!$L$30:$L$35,'9'!$AG$30:$AG$35,AK5,'9'!$AF$30:$AF$35,1)+SUMIFS('10'!$L$30:$L$35,'10'!$AG$30:$AG$35,AK5,'10'!$AF$30:$AF$35,1)+SUMIFS('11'!$L$34:$L$39,'11'!$AG$34:$AG$39,AK5,'11'!$AF$34:$AF$39,1)+SUMIFS('12'!$L$34:$L$39,'12'!$AG$34:$AG$39,AK5,'12'!$AF$34:$AF$39,1)+SUMIFS('13'!$L$31:$L$36,'13'!$AG$31:$AG$36,AK5,'13'!$AF$31:$AF$36,1)+SUMIFS('14'!$L$37:$L$42,'14'!$AG$37:$AG$42,AK5,'14'!$AF$37:$AF$42,1)+SUMIFS('15'!$L$36:$L$41,'15'!$AG$36:$AG$41,AK5,'15'!$AF$36:$AF$41,1)+SUMIFS('16'!$L$32:$L$37,'16'!$AG$32:$AG$37,AK5,'16'!$AF$32:$AF$37,1)+SUMIFS('17'!$L$37:$L$42,'17'!$AG$37:$AG$42,AK5,'17'!$AF$37:$AF$42,1)+SUMIFS('18'!$L$37:$L$42,'18'!$AG$37:$AG$42,AK5,'18'!$AF$37:$AF$42,1)+SUMIFS('19'!$L$30:$L$35,'19'!$AG$30:$AG$35,AK5,'19'!$AF$30:$AF$35,1)+SUMIFS('20'!$L$35:$L$40,'20'!$AG$35:$AG$40,AK5,'20'!$AF$35:$AF$40,1)+SUMIFS('21'!$L$30:$L$35,'21'!$AG$30:$AG$35,AK5,'21'!$AF$30:$AF$35,1)+SUMIFS('22'!$L$36:$L$41,'22'!$AG$36:$AG$41,AK5,'22'!$AF$36:$AF$41,1)+SUMIFS('23'!$L$46:$L$51,'23'!$AG$46:$AG$51,AK5,'23'!$AF$46:$AF$51,1)+SUMIFS('24'!$L$39:$L$44,'24'!$AG$39:$AG$44,AK5,'24'!$AF$39:$AF$44,1)+SUMIFS('25'!$L$33:$L$38,'25'!$AG$33:$AG$38,AK5,'25'!$AF$33:$AF$38,1)+SUMIFS('26'!$L$37:$L$42,'26'!$AG$37:$AG$42,AK5,'26'!$AF$37:$AF$42,1)+SUMIFS('27'!$L$42:$L$47,'27'!$AG$42:$AG$47,AK5,'27'!$AF$42:$AF$47,1)+SUMIFS('28'!$L$37:$L$42,'28'!$AG$37:$AG$42,AK5,'28'!$AF$37:$AF$42,1)+SUMIFS('29'!$L$41:$L$46,'29'!$AG$41:$AG$46,AK5,'29'!$AF$41:$AF$46,1)+SUMIFS('30'!$L$33:$L$38,'30'!$AG$33:$AG$38,AK5,'30'!$AF$33:$AF$38,1)+SUMIFS('31'!$L$56:$L$61,'31'!$AG$56:$AG$61,AK5,'31'!$AF$56:$AF$61,1))/AM5)</f>
        <v>5</v>
      </c>
      <c r="AP5" s="66">
        <f>IF(AM5=0,"",(SUMIFS('1'!$M$30:$M$35,'1'!$AG$30:$AG$35,AK5,'1'!$AF$30:$AF$35,1)+SUMIFS('2'!$M$30:$M$35,'2'!$AG$30:$AG$35,AK5,'2'!$AF$30:$AF$35,1)+SUMIFS('3'!$M$30:$M$35,'3'!$AG$30:$AG$35,AK5,'3'!$AF$30:$AF$35,1)+SUMIFS('4'!$M$31:$M$36,'4'!$AG$31:$AG$36,AK5,'4'!$AF$31:$AF$36,1)+SUMIFS('5'!$M$31:$M$36,'5'!$AG$31:$AG$36,AK5,'5'!$AF$31:$AF$36,1)+SUMIFS('6'!$M$30:$M$35,'6'!$AG$30:$AG$35,AK5,'6'!$AF$30:$AF$35,1)+SUMIFS('7'!$M$30:$M$35,'7'!$AG$30:$AG$35,AK5,'7'!$AF$30:$AF$35,1)+SUMIFS('8'!$M$33:$M$38,'8'!$AG$33:$AG$38,AK5,'8'!$AF$33:$AF$38,1)+SUMIFS('9'!$M$30:$M$35,'9'!$AG$30:$AG$35,AK5,'9'!$AF$30:$AF$35,1)+SUMIFS('10'!$M$30:$M$35,'10'!$AG$30:$AG$35,AK5,'10'!$AF$30:$AF$35,1)+SUMIFS('11'!$M$34:$M$39,'11'!$AG$34:$AG$39,AK5,'11'!$AF$34:$AF$39,1)+SUMIFS('12'!$M$34:$M$39,'12'!$AG$34:$AG$39,AK5,'12'!$AF$34:$AF$39,1)+SUMIFS('13'!$M$31:$M$36,'13'!$AG$31:$AG$36,AK5,'13'!$AF$31:$AF$36,1)+SUMIFS('14'!$M$37:$M$42,'14'!$AG$37:$AG$42,AK5,'14'!$AF$37:$AF$42,1)+SUMIFS('15'!$M$36:$M$41,'15'!$AG$36:$AG$41,AK5,'15'!$AF$36:$AF$41,1)+SUMIFS('16'!$M$32:$M$37,'16'!$AG$32:$AG$37,AK5,'16'!$AF$32:$AF$37,1)+SUMIFS('17'!$M$37:$M$42,'17'!$AG$37:$AG$42,AK5,'17'!$AF$37:$AF$42,1)+SUMIFS('18'!$M$37:$M$42,'18'!$AG$37:$AG$42,AK5,'18'!$AF$37:$AF$42,1)+SUMIFS('19'!$M$30:$M$35,'19'!$AG$30:$AG$35,AK5,'19'!$AF$30:$AF$35,1)+SUMIFS('20'!$M$35:$M$40,'20'!$AG$35:$AG$40,AK5,'20'!$AF$35:$AF$40,1)+SUMIFS('21'!$M$30:$M$35,'21'!$AG$30:$AG$35,AK5,'21'!$AF$30:$AF$35,1)+SUMIFS('22'!$M$36:$M$41,'22'!$AG$36:$AG$41,AK5,'22'!$AF$36:$AF$41,1)+SUMIFS('23'!$M$46:$M$51,'23'!$AG$46:$AG$51,AK5,'23'!$AF$46:$AF$51,1)+SUMIFS('24'!$M$39:$M$44,'24'!$AG$39:$AG$44,AK5,'24'!$AF$39:$AF$44,1)+SUMIFS('25'!$M$33:$M$38,'25'!$AG$33:$AG$38,AK5,'25'!$AF$33:$AF$38,1)+SUMIFS('26'!$M$37:$M$42,'26'!$AG$37:$AG$42,AK5,'26'!$AF$37:$AF$42,1)+SUMIFS('27'!$M$42:$M$47,'27'!$AG$42:$AG$47,AK5,'27'!$AF$42:$AF$47,1)+SUMIFS('28'!$M$37:$M$42,'28'!$AG$37:$AG$42,AK5,'28'!$AF$37:$AF$42,1)+SUMIFS('29'!$M$41:$M$46,'29'!$AG$41:$AG$46,AK5,'29'!$AF$41:$AF$46,1)+SUMIFS('30'!$M$33:$M$38,'30'!$AG$33:$AG$38,AK5,'30'!$AF$33:$AF$38,1)+SUMIFS('31'!$M$56:$M$61,'31'!$AG$56:$AG$61,AK5,'31'!$AF$56:$AF$61,1))/AM5)</f>
        <v>4.935483871</v>
      </c>
      <c r="AQ5" s="66">
        <f>IF(AM5=0,"",(SUMIFS('1'!$N$30:$N$35,'1'!$AG$30:$AG$35,AK5,'1'!$AF$30:$AF$35,1)+SUMIFS('2'!$N$30:$N$35,'2'!$AG$30:$AG$35,AK5,'2'!$AF$30:$AF$35,1)+SUMIFS('3'!$N$30:$N$35,'3'!$AG$30:$AG$35,AK5,'3'!$AF$30:$AF$35,1)+SUMIFS('4'!$N$31:$N$36,'4'!$AG$31:$AG$36,AK5,'4'!$AF$31:$AF$36,1)+SUMIFS('5'!$N$31:$N$36,'5'!$AG$31:$AG$36,AK5,'5'!$AF$31:$AF$36,1)+SUMIFS('6'!$N$30:$N$35,'6'!$AG$30:$AG$35,AK5,'6'!$AF$30:$AF$35,1)+SUMIFS('7'!$N$30:$N$35,'7'!$AG$30:$AG$35,AK5,'7'!$AF$30:$AF$35,1)+SUMIFS('8'!$N$33:$N$38,'8'!$AG$33:$AG$38,AK5,'8'!$AF$33:$AF$38,1)+SUMIFS('9'!$N$30:$N$35,'9'!$AG$30:$AG$35,AK5,'9'!$AF$30:$AF$35,1)+SUMIFS('10'!$N$30:$N$35,'10'!$AG$30:$AG$35,AK5,'10'!$AF$30:$AF$35,1)+SUMIFS('11'!$N$34:$N$39,'11'!$AG$34:$AG$39,AK5,'11'!$AF$34:$AF$39,1)+SUMIFS('12'!$N$34:$N$39,'12'!$AG$34:$AG$39,AK5,'12'!$AF$34:$AF$39,1)+SUMIFS('13'!$N$31:$N$36,'13'!$AG$31:$AG$36,AK5,'13'!$AF$31:$AF$36,1)+SUMIFS('14'!$N$37:$N$42,'14'!$AG$37:$AG$42,AK5,'14'!$AF$37:$AF$42,1)+SUMIFS('15'!$N$36:$N$41,'15'!$AG$36:$AG$41,AK5,'15'!$AF$36:$AF$41,1)+SUMIFS('16'!$N$32:$N$37,'16'!$AG$32:$AG$37,AK5,'16'!$AF$32:$AF$37,1)+SUMIFS('17'!$N$37:$N$42,'17'!$AG$37:$AG$42,AK5,'17'!$AF$37:$AF$42,1)+SUMIFS('18'!$N$37:$N$42,'18'!$AG$37:$AG$42,AK5,'18'!$AF$37:$AF$42,1)+SUMIFS('19'!$N$30:$N$35,'19'!$AG$30:$AG$35,AK5,'19'!$AF$30:$AF$35,1)+SUMIFS('20'!$N$35:$N$40,'20'!$AG$35:$AG$40,AK5,'20'!$AF$35:$AF$40,1)+SUMIFS('21'!$N$30:$N$35,'21'!$AG$30:$AG$35,AK5,'21'!$AF$30:$AF$35,1)+SUMIFS('22'!$N$36:$N$41,'22'!$AG$36:$AG$41,AK5,'22'!$AF$36:$AF$41,1)+SUMIFS('23'!$N$46:$N$51,'23'!$AG$46:$AG$51,AK5,'23'!$AF$46:$AF$51,1)+SUMIFS('24'!$N$39:$N$44,'24'!$AG$39:$AG$44,AK5,'24'!$AF$39:$AF$44,1)+SUMIFS('25'!$N$33:$N$38,'25'!$AG$33:$AG$38,AK5,'25'!$AF$33:$AF$38,1)+SUMIFS('26'!$N$37:$N$42,'26'!$AG$37:$AG$42,AK5,'26'!$AF$37:$AF$42,1)+SUMIFS('27'!$N$42:$N$47,'27'!$AG$42:$AG$47,AK5,'27'!$AF$42:$AF$47,1)+SUMIFS('28'!$N$37:$N$42,'28'!$AG$37:$AG$42,AK5,'28'!$AF$37:$AF$42,1)+SUMIFS('29'!$N$41:$N$46,'29'!$AG$41:$AG$46,AK5,'29'!$AF$41:$AF$46,1)+SUMIFS('30'!$N$33:$N$38,'30'!$AG$33:$AG$38,AK5,'30'!$AF$33:$AF$38,1)+SUMIFS('31'!$N$56:$N$61,'31'!$AG$56:$AG$61,AK5,'31'!$AF$56:$AF$61,1))/AM5)</f>
        <v>4.967741935</v>
      </c>
      <c r="AR5" s="66">
        <f>IF(AM5=0,"",(SUMIFS('1'!$O$30:$O$35,'1'!$AG$30:$AG$35,AK5,'1'!$AF$30:$AF$35,1)+SUMIFS('2'!$O$30:$O$35,'2'!$AG$30:$AG$35,AK5,'2'!$AF$30:$AF$35,1)+SUMIFS('3'!$O$30:$O$35,'3'!$AG$30:$AG$35,AK5,'3'!$AF$30:$AF$35,1)+SUMIFS('4'!$O$31:$O$36,'4'!$AG$31:$AG$36,AK5,'4'!$AF$31:$AF$36,1)+SUMIFS('5'!$O$31:$O$36,'5'!$AG$31:$AG$36,AK5,'5'!$AF$31:$AF$36,1)+SUMIFS('6'!$O$30:$O$35,'6'!$AG$30:$AG$35,AK5,'6'!$AF$30:$AF$35,1)+SUMIFS('7'!$O$30:$O$35,'7'!$AG$30:$AG$35,AK5,'7'!$AF$30:$AF$35,1)+SUMIFS('8'!$O$33:$O$38,'8'!$AG$33:$AG$38,AK5,'8'!$AF$33:$AF$38,1)+SUMIFS('9'!$O$30:$O$35,'9'!$AG$30:$AG$35,AK5,'9'!$AF$30:$AF$35,1)+SUMIFS('10'!$O$30:$O$35,'10'!$AG$30:$AG$35,AK5,'10'!$AF$30:$AF$35,1)+SUMIFS('11'!$O$34:$O$39,'11'!$AG$34:$AG$39,AK5,'11'!$AF$34:$AF$39,1)+SUMIFS('12'!$O$34:$O$39,'12'!$AG$34:$AG$39,AK5,'12'!$AF$34:$AF$39,1)+SUMIFS('13'!$O$31:$O$36,'13'!$AG$31:$AG$36,AK5,'13'!$AF$31:$AF$36,1)+SUMIFS('14'!$O$37:$O$42,'14'!$AG$37:$AG$42,AK5,'14'!$AF$37:$AF$42,1)+SUMIFS('15'!$O$36:$O$41,'15'!$AG$36:$AG$41,AK5,'15'!$AF$36:$AF$41,1)+SUMIFS('16'!$O$32:$O$37,'16'!$AG$32:$AG$37,AK5,'16'!$AF$32:$AF$37,1)+SUMIFS('17'!$O$37:$O$42,'17'!$AG$37:$AG$42,AK5,'17'!$AF$37:$AF$42,1)+SUMIFS('18'!$O$37:$O$42,'18'!$AG$37:$AG$42,AK5,'18'!$AF$37:$AF$42,1)+SUMIFS('19'!$O$30:$O$35,'19'!$AG$30:$AG$35,AK5,'19'!$AF$30:$AF$35,1)+SUMIFS('20'!$O$35:$O$40,'20'!$AG$35:$AG$40,AK5,'20'!$AF$35:$AF$40,1)+SUMIFS('21'!$O$30:$O$35,'21'!$AG$30:$AG$35,AK5,'21'!$AF$30:$AF$35,1)+SUMIFS('22'!$O$36:$O$41,'22'!$AG$36:$AG$41,AK5,'22'!$AF$36:$AF$41,1)+SUMIFS('23'!$O$46:$O$51,'23'!$AG$46:$AG$51,AK5,'23'!$AF$46:$AF$51,1)+SUMIFS('24'!$O$39:$O$44,'24'!$AG$39:$AG$44,AK5,'24'!$AF$39:$AF$44,1)+SUMIFS('25'!$O$33:$O$38,'25'!$AG$33:$AG$38,AK5,'25'!$AF$33:$AF$38,1)+SUMIFS('26'!$O$37:$O$42,'26'!$AG$37:$AG$42,AK5,'26'!$AF$37:$AF$42,1)+SUMIFS('27'!$O$42:$O$47,'27'!$AG$42:$AG$47,AK5,'27'!$AF$42:$AF$47,1)+SUMIFS('28'!$O$37:$O$42,'28'!$AG$37:$AG$42,AK5,'28'!$AF$37:$AF$42,1)+SUMIFS('29'!$O$41:$O$46,'29'!$AG$41:$AG$46,AK5,'29'!$AF$41:$AF$46,1)+SUMIFS('30'!$O$33:$O$38,'30'!$AG$33:$AG$38,AK5,'30'!$AF$33:$AF$38,1)+SUMIFS('31'!$O$56:$O$61,'31'!$AG$56:$AG$61,AK5,'31'!$AF$56:$AF$61,1))/AM5)</f>
        <v>4.935483871</v>
      </c>
      <c r="AS5" s="66">
        <f>IF(AM5=0,"",(SUMIFS('1'!$P$30:$P$35,'1'!$AG$30:$AG$35,AK5,'1'!$AF$30:$AF$35,1)+SUMIFS('2'!$P$30:$P$35,'2'!$AG$30:$AG$35,AK5,'2'!$AF$30:$AF$35,1)+SUMIFS('3'!$P$30:$P$35,'3'!$AG$30:$AG$35,AK5,'3'!$AF$30:$AF$35,1)+SUMIFS('4'!$P$31:$P$36,'4'!$AG$31:$AG$36,AK5,'4'!$AF$31:$AF$36,1)+SUMIFS('5'!$P$31:$P$36,'5'!$AG$31:$AG$36,AK5,'5'!$AF$31:$AF$36,1)+SUMIFS('6'!$P$30:$P$35,'6'!$AG$30:$AG$35,AK5,'6'!$AF$30:$AF$35,1)+SUMIFS('7'!$P$30:$P$35,'7'!$AG$30:$AG$35,AK5,'7'!$AF$30:$AF$35,1)+SUMIFS('8'!$P$33:$P$38,'8'!$AG$33:$AG$38,AK5,'8'!$AF$33:$AF$38,1)+SUMIFS('9'!$P$30:$P$35,'9'!$AG$30:$AG$35,AK5,'9'!$AF$30:$AF$35,1)+SUMIFS('10'!$P$30:$P$35,'10'!$AG$30:$AG$35,AK5,'10'!$AF$30:$AF$35,1)+SUMIFS('11'!$P$34:$P$39,'11'!$AG$34:$AG$39,AK5,'11'!$AF$34:$AF$39,1)+SUMIFS('12'!$P$34:$P$39,'12'!$AG$34:$AG$39,AK5,'12'!$AF$34:$AF$39,1)+SUMIFS('13'!$P$31:$P$36,'13'!$AG$31:$AG$36,AK5,'13'!$AF$31:$AF$36,1)+SUMIFS('14'!$P$37:$P$42,'14'!$AG$37:$AG$42,AK5,'14'!$AF$37:$AF$42,1)+SUMIFS('15'!$P$36:$P$41,'15'!$AG$36:$AG$41,AK5,'15'!$AF$36:$AF$41,1)+SUMIFS('16'!$P$32:$P$37,'16'!$AG$32:$AG$37,AK5,'16'!$AF$32:$AF$37,1)+SUMIFS('17'!$P$37:$P$42,'17'!$AG$37:$AG$42,AK5,'17'!$AF$37:$AF$42,1)+SUMIFS('18'!$P$37:$P$42,'18'!$AG$37:$AG$42,AK5,'18'!$AF$37:$AF$42,1)+SUMIFS('19'!$P$30:$P$35,'19'!$AG$30:$AG$35,AK5,'19'!$AF$30:$AF$35,1)+SUMIFS('20'!$P$35:$P$40,'20'!$AG$35:$AG$40,AK5,'20'!$AF$35:$AF$40,1)+SUMIFS('21'!$P$30:$P$35,'21'!$AG$30:$AG$35,AK5,'21'!$AF$30:$AF$35,1)+SUMIFS('22'!$P$36:$P$41,'22'!$AG$36:$AG$41,AK5,'22'!$AF$36:$AF$41,1)+SUMIFS('23'!$P$46:$P$51,'23'!$AG$46:$AG$51,AK5,'23'!$AF$46:$AF$51,1)+SUMIFS('24'!$P$39:$P$44,'24'!$AG$39:$AG$44,AK5,'24'!$AF$39:$AF$44,1)+SUMIFS('25'!$P$33:$P$38,'25'!$AG$33:$AG$38,AK5,'25'!$AF$33:$AF$38,1)+SUMIFS('26'!$P$37:$P$42,'26'!$AG$37:$AG$42,AK5,'26'!$AF$37:$AF$42,1)+SUMIFS('27'!$P$42:$P$47,'27'!$AG$42:$AG$47,AK5,'27'!$AF$42:$AF$47,1)+SUMIFS('28'!$P$37:$P$42,'28'!$AG$37:$AG$42,AK5,'28'!$AF$37:$AF$42,1)+SUMIFS('29'!$P$41:$P$46,'29'!$AG$41:$AG$46,AK5,'29'!$AF$41:$AF$46,1)+SUMIFS('30'!$P$33:$P$38,'30'!$AG$33:$AG$38,AK5,'30'!$AF$33:$AF$38,1)+SUMIFS('31'!$P$56:$P$61,'31'!$AG$56:$AG$61,AK5,'31'!$AF$56:$AF$61,1))/AM5)</f>
        <v>4.935483871</v>
      </c>
      <c r="AU5" s="66">
        <v>4.0</v>
      </c>
      <c r="AV5" s="66">
        <f>IF(COUNTIFS('1'!$AG$30:$AG$35,$AK5,'1'!$AF$30:$AF$35,1)=0,"",SUMIFS('1'!$AC$30:$AC$35,'1'!$AG$30:$AG$35,$AK5,'1'!$AF$30:$AF$35,1)/COUNTIFS('1'!$AG$30:$AG$35,$AK5,'1'!$AF$30:$AF$35,1))</f>
        <v>97</v>
      </c>
      <c r="AW5" s="66">
        <f>IF(COUNTIFS('2'!$AG$30:$AG$35,$AK5,'2'!$AF$30:$AF$35,1)=0,"",SUMIFS('2'!$AC$30:$AC$35,'2'!$AG$30:$AG$35,$AK5,'2'!$AF$30:$AF$35,1)/COUNTIFS('2'!$AG$30:$AG$35,$AK5,'2'!$AF$30:$AF$35,1))</f>
        <v>100</v>
      </c>
      <c r="AX5" s="66">
        <f>IF(COUNTIFS('3'!$AG$30:$AG$35,$AK5,'3'!$AF$30:$AF$35,1)=0,"",SUMIFS('3'!$AC$30:$AC$35,'3'!$AG$30:$AG$35,$AK5,'3'!$AF$30:$AF$35,1)/COUNTIFS('3'!$AG$30:$AG$35,$AK5,'3'!$AF$30:$AF$35,1))</f>
        <v>100</v>
      </c>
      <c r="AY5" s="66">
        <f>IF(COUNTIFS('4'!$AG$31:$AG$36,$AK5,'4'!$AF$31:$AF$36,1)=0,"",SUMIFS('4'!$AC$31:$AC$36,'4'!$AG$31:$AG$36,$AK5,'4'!$AF$31:$AF$36,1)/COUNTIFS('4'!$AG$31:$AG$36,$AK5,'4'!$AF$31:$AF$36,1))</f>
        <v>100</v>
      </c>
      <c r="AZ5" s="66">
        <f>IF(COUNTIFS('5'!$AG$31:$AG$36,$AK5,'5'!$AF$31:$AF$36,1)=0,"",SUMIFS('5'!$AC$31:$AC$36,'5'!$AG$31:$AG$36,$AK5,'5'!$AF$31:$AF$36,1)/COUNTIFS('5'!$AG$31:$AG$36,$AK5,'5'!$AF$31:$AF$36,1))</f>
        <v>100</v>
      </c>
      <c r="BA5" s="66" t="str">
        <f>IF(COUNTIFS('6'!$AG$30:$AG$35,$AK5,'6'!$AF$30:$AF$35,1)=0,"",SUMIFS('6'!$AC$30:$AC$35,'6'!$AG$30:$AG$35,$AK5,'6'!$AF$30:$AF$35,1)/COUNTIFS('6'!$AG$30:$AG$35,$AK5,'6'!$AF$30:$AF$35,1))</f>
        <v/>
      </c>
      <c r="BB5" s="66">
        <f>IF(COUNTIFS('7'!$AG$30:$AG$35,$AK5,'7'!$AF$30:$AF$35,1)=0,"",SUMIFS('7'!$AC$30:$AC$35,'7'!$AG$30:$AG$35,$AK5,'7'!$AF$30:$AF$35,1)/COUNTIFS('7'!$AG$30:$AG$35,$AK5,'7'!$AF$30:$AF$35,1))</f>
        <v>100</v>
      </c>
      <c r="BC5" s="66">
        <f>IF(COUNTIFS('8'!$AG$33:$AG$38,$AK5,'8'!$AF$33:$AF$38,1)=0,"",SUMIFS('8'!$AC$33:$AC$38,'8'!$AG$33:$AG$38,$AK5,'8'!$AF$33:$AF$38,1)/COUNTIFS('8'!$AG$33:$AG$38,$AK5,'8'!$AF$33:$AF$38,1))</f>
        <v>100</v>
      </c>
      <c r="BD5" s="66">
        <f>IF(COUNTIFS('9'!$AG$30:$AG$35,$AK5,'9'!$AF$30:$AF$35,1)=0,"",SUMIFS('9'!$AC$30:$AC$35,'9'!$AG$30:$AG$35,$AK5,'9'!$AF$30:$AF$35,1)/COUNTIFS('9'!$AG$30:$AG$35,$AK5,'9'!$AF$30:$AF$35,1))</f>
        <v>100</v>
      </c>
      <c r="BE5" s="66">
        <f>IF(COUNTIFS('10'!$AG$30:$AG$35,$AK5,'10'!$AF$30:$AF$35,1)=0,"",SUMIFS('10'!$AC$30:$AC$35,'10'!$AG$30:$AG$35,$AK5,'10'!$AF$30:$AF$35,1)/COUNTIFS('10'!$AG$30:$AG$35,$AK5,'10'!$AF$30:$AF$35,1))</f>
        <v>100</v>
      </c>
      <c r="BF5" s="66">
        <f>IF(COUNTIFS('11'!$AG$34:$AG$39,$AK5,'11'!$AF$34:$AF$39,1)=0,"",SUMIFS('11'!$AC$34:$AC$39,'11'!$AG$34:$AG$39,$AK5,'11'!$AF$34:$AF$39,1)/COUNTIFS('11'!$AG$34:$AG$39,$AK5,'11'!$AF$34:$AF$39,1))</f>
        <v>100</v>
      </c>
      <c r="BG5" s="66" t="str">
        <f>IF(COUNTIFS('12'!$AG$34:$AG$39,$AK5,'12'!$AF$34:$AF$39,1)=0,"",SUMIFS('12'!$AC$34:$AC$39,'12'!$AG$34:$AG$39,$AK5,'12'!$AF$34:$AF$39,1)/COUNTIFS('12'!$AG$34:$AG$39,$AK5,'12'!$AF$34:$AF$39,1))</f>
        <v/>
      </c>
      <c r="BH5" s="66">
        <f>IF(COUNTIFS('13'!$AG$31:$AG$36,$AK5,'13'!$AF$31:$AF$36,1)=0,"",SUMIFS('13'!$AC$31:$AC$36,'13'!$AG$31:$AG$36,$AK5,'13'!$AF$31:$AF$36,1)/COUNTIFS('13'!$AG$31:$AG$36,$AK5,'13'!$AF$31:$AF$36,1))</f>
        <v>100</v>
      </c>
      <c r="BI5" s="66">
        <f>IF(COUNTIFS('14'!$AG$37:$AG$42,$AK5,'14'!$AF$37:$AF$42,1)=0,"",SUMIFS('14'!$AC$37:$AC$42,'14'!$AG$37:$AG$42,$AK5,'14'!$AF$37:$AF$42,1)/COUNTIFS('14'!$AG$37:$AG$42,$AK5,'14'!$AF$37:$AF$42,1))</f>
        <v>100</v>
      </c>
      <c r="BJ5" s="66">
        <f>IF(COUNTIFS('15'!$AG$36:$AG$41,$AK5,'15'!$AF$36:$AF$41,1)=0,"",SUMIFS('15'!$AC$36:$AC$41,'15'!$AG$36:$AG$41,$AK5,'15'!$AF$36:$AF$41,1)/COUNTIFS('15'!$AG$36:$AG$41,$AK5,'15'!$AF$36:$AF$41,1))</f>
        <v>100</v>
      </c>
      <c r="BK5" s="66">
        <f>IF(COUNTIFS('16'!$AG$32:$AG$37,$AK5,'16'!$AF$32:$AF$37,1)=0,"",SUMIFS('16'!$AC$32:$AC$37,'16'!$AG$32:$AG$37,$AK5,'16'!$AF$32:$AF$37,1)/COUNTIFS('16'!$AG$32:$AG$37,$AK5,'16'!$AF$32:$AF$37,1))</f>
        <v>97</v>
      </c>
      <c r="BL5" s="66">
        <f>IF(COUNTIFS('17'!$AG$37:$AG$42,$AK5,'17'!$AF$37:$AF$42,1)=0,"",SUMIFS('17'!$AC$37:$AC$42,'17'!$AG$37:$AG$42,$AK5,'17'!$AF$37:$AF$42,1)/COUNTIFS('17'!$AG$37:$AG$42,$AK5,'17'!$AF$37:$AF$42,1))</f>
        <v>95</v>
      </c>
      <c r="BM5" s="66" t="str">
        <f>IF(COUNTIFS('18'!$AG$37:$AG$42,$AK5,'18'!$AF$37:$AF$42,1)=0,"",SUMIFS('18'!$AC$37:$AC$42,'18'!$AG$37:$AG$42,$AK5,'18'!$AF$37:$AF$42,1)/COUNTIFS('18'!$AG$37:$AG$42,$AK5,'18'!$AF$37:$AF$42,1))</f>
        <v/>
      </c>
      <c r="BN5" s="66">
        <f>IF(COUNTIFS('19'!$AG$30:$AG$35,$AK5,'19'!$AF$30:$AF$35,1)=0,"",SUMIFS('19'!$AC$30:$AC$35,'19'!$AG$30:$AG$35,$AK5,'19'!$AF$30:$AF$35,1)/COUNTIFS('19'!$AG$30:$AG$35,$AK5,'19'!$AF$30:$AF$35,1))</f>
        <v>97</v>
      </c>
      <c r="BO5" s="66">
        <f>IF(COUNTIFS('20'!$AG$35:$AG$40,$AK5,'20'!$AF$35:$AF$40,1)=0,"",SUMIFS('20'!$AC$35:$AC$40,'20'!$AG$35:$AG$40,$AK5,'20'!$AF$35:$AF$40,1)/COUNTIFS('20'!$AG$35:$AG$40,$AK5,'20'!$AF$35:$AF$40,1))</f>
        <v>97</v>
      </c>
      <c r="BP5" s="66">
        <f>IF(COUNTIFS('21'!$AG$30:$AG$35,$AK5,'21'!$AF$30:$AF$35,1)=0,"",SUMIFS('21'!$AC$30:$AC$35,'21'!$AG$30:$AG$35,$AK5,'21'!$AF$30:$AF$35,1)/COUNTIFS('21'!$AG$30:$AG$35,$AK5,'21'!$AF$30:$AF$35,1))</f>
        <v>100</v>
      </c>
      <c r="BQ5" s="66">
        <f>IF(COUNTIFS('22'!$AG$36:$AG$41,$AK5,'22'!$AF$36:$AF$41,1)=0,"",SUMIFS('22'!$AC$36:$AC$41,'22'!$AG$36:$AG$41,$AK5,'22'!$AF$36:$AF$41,1)/COUNTIFS('22'!$AG$36:$AG$41,$AK5,'22'!$AF$36:$AF$41,1))</f>
        <v>95</v>
      </c>
      <c r="BR5" s="66" t="str">
        <f>IF(COUNTIFS('23'!$AG$46:$AG$51,$AK5,'23'!$AF$46:$AF$51,1)=0,"",SUMIFS('23'!$AC$46:$AC$51,'23'!$AG$46:$AG$51,$AK5,'23'!$AF$46:$AF$51,1)/COUNTIFS('23'!$AG$46:$AG$51,$AK5,'23'!$AF$46:$AF$51,1))</f>
        <v/>
      </c>
      <c r="BS5" s="66">
        <f>IF(COUNTIFS('24'!$AG$39:$AG$44,$AK5,'24'!$AF$39:$AF$44,1)=0,"",SUMIFS('24'!$AC$39:$AC$44,'24'!$AG$39:$AG$44,$AK5,'24'!$AF$39:$AF$44,1)/COUNTIFS('24'!$AG$39:$AG$44,$AK5,'24'!$AF$39:$AF$44,1))</f>
        <v>100</v>
      </c>
      <c r="BT5" s="66" t="str">
        <f>IF(COUNTIFS('25'!$AG$33:$AG$38,$AK5,'25'!$AF$33:$AF$38,1)=0,"",SUMIFS('25'!$AC$33:$AC$38,'25'!$AG$33:$AG$38,$AK5,'25'!$AF$33:$AF$38,1)/COUNTIFS('25'!$AG$33:$AG$38,$AK5,'25'!$AF$33:$AF$38,1))</f>
        <v/>
      </c>
      <c r="BU5" s="66">
        <f>IF(COUNTIFS('26'!$AG$37:$AG$42,$AK5,'26'!$AF$37:$AF$42,1)=0,"",SUMIFS('26'!$AC$37:$AC$42,'26'!$AG$37:$AG$42,$AK5,'26'!$AF$37:$AF$42,1)/COUNTIFS('26'!$AG$37:$AG$42,$AK5,'26'!$AF$37:$AF$42,1))</f>
        <v>100</v>
      </c>
      <c r="BV5" s="66">
        <f>IF(COUNTIFS('27'!$AG$42:$AG$47,$AK5,'27'!$AF$42:$AF$47,1)=0,"",SUMIFS('27'!$AC$42:$AC$47,'27'!$AG$42:$AG$47,$AK5,'27'!$AF$42:$AF$47,1)/COUNTIFS('27'!$AG$42:$AG$47,$AK5,'27'!$AF$42:$AF$47,1))</f>
        <v>95</v>
      </c>
      <c r="BW5" s="66">
        <f>IF(COUNTIFS('28'!$AG$37:$AG$42,$AK5,'28'!$AF$37:$AF$42,1)=0,"",SUMIFS('28'!$AC$37:$AC$42,'28'!$AG$37:$AG$42,$AK5,'28'!$AF$37:$AF$42,1)/COUNTIFS('28'!$AG$37:$AG$42,$AK5,'28'!$AF$37:$AF$42,1))</f>
        <v>100</v>
      </c>
      <c r="BX5" s="66">
        <f>IF(COUNTIFS('29'!$AG$41:$AG$46,$AK5,'29'!$AF$41:$AF$46,1)=0,"",SUMIFS('29'!$AC$41:$AC$46,'29'!$AG$41:$AG$46,$AK5,'29'!$AF$41:$AF$46,1)/COUNTIFS('29'!$AG$41:$AG$46,$AK5,'29'!$AF$41:$AF$46,1))</f>
        <v>100</v>
      </c>
      <c r="BY5" s="66">
        <f>IF(COUNTIFS('30'!$AG$33:$AG$38,$AK5,'30'!$AF$33:$AF$38,1)=0,"",SUMIFS('30'!$AC$33:$AC$38,'30'!$AG$33:$AG$38,$AK5,'30'!$AF$33:$AF$38,1)/COUNTIFS('30'!$AG$33:$AG$38,$AK5,'30'!$AF$33:$AF$38,1))</f>
        <v>100</v>
      </c>
      <c r="BZ5" s="66">
        <f>IF(COUNTIFS('31'!$AG$56:$AG$61,$AK5,'31'!$AF$56:$AF$61,1)=0,"",SUMIFS('31'!$AC$56:$AC$61,'31'!$AG$56:$AG$61,$AK5,'31'!$AF$56:$AF$61,1)/COUNTIFS('31'!$AG$56:$AG$61,$AK5,'31'!$AF$56:$AF$61,1))</f>
        <v>100</v>
      </c>
      <c r="CA5" s="66" t="s">
        <v>592</v>
      </c>
      <c r="CB5" s="66">
        <f t="shared" ref="CB5:CB8" si="6">COUNTIF($J$51:$J$61,CA5)</f>
        <v>4</v>
      </c>
    </row>
    <row r="6">
      <c r="A6" s="141">
        <f>IF(LARGE($Y$5:$Y$17,1)=0,"",1)</f>
        <v>1</v>
      </c>
      <c r="B6" s="141" t="str">
        <f t="shared" ref="B6:B18" si="7">IF(A6="","",INDEX($X$5:$X$17,MATCH(LARGE($Z$5:$Z$17,A6),$Z$5:$Z$17,0)))</f>
        <v>Large Group</v>
      </c>
      <c r="C6" s="141">
        <f t="shared" ref="C6:C18" si="8">IF(B6="","",INDEX($Y$5:$Y$17,MATCH(B6,$X$5:$X$17,0)))</f>
        <v>240</v>
      </c>
      <c r="D6" s="142">
        <f t="shared" ref="D6:D18" si="9">IF(C6="","",C6/$C$19)</f>
        <v>0.4948453608</v>
      </c>
      <c r="E6" s="142">
        <f t="shared" ref="E6:E18" si="10">IF(D6="","",SUM($D$6:D6))</f>
        <v>0.4948453608</v>
      </c>
      <c r="X6" s="66" t="s">
        <v>22</v>
      </c>
      <c r="Y6" s="66">
        <f>COUNTIF('1'!$D$4:$D$21,X6)+COUNTIF('2'!$D$4:$D$21,X6)+COUNTIF('3'!$D$4:$D$21,X6)+COUNTIF('4'!$D$4:$D$22,X6)+COUNTIF('5'!$D$4:$D$22,X6)+COUNTIF('6'!$D$4:$D$21,X6)+COUNTIF('7'!$D$4:$D$21,X6)+COUNTIF('8'!$D$4:$D$24,X6)+COUNTIF('9'!$D$4:$D$21,X6)+COUNTIF('10'!$D$4:$D$21,X6)+COUNTIF('11'!$D$4:$D$25,X6)+COUNTIF('12'!$D$4:$D$25,X6)+COUNTIF('13'!$D$4:$D$22,X6)+COUNTIF('14'!$D$4:$D$28,X6)+COUNTIF('15'!$D$4:$D$27,X6)+COUNTIF('16'!$D$4:$D$23,X6)+COUNTIF('17'!$D$4:$D$28,X6)+COUNTIF('18'!$D$4:$D$28,X6)+COUNTIF('19'!$D$4:$D$21,X6)+COUNTIF('20'!$D$4:$D$26,X6)+COUNTIF('21'!$D$4:$D$21,X6)+COUNTIF('22'!$D$4:$D$27,X6)+COUNTIF('23'!$D$4:$D$37,X6)+COUNTIF('24'!$D$4:$D$30,X6)+COUNTIF('25'!$D$4:$D$24,X6)+COUNTIF('26'!$D$4:$D$28,X6)+COUNTIF('27'!$D$4:$D$33,X6)+COUNTIF('28'!$D$4:$D$28,X6)+COUNTIF('29'!$D$4:$D$32,X6)+COUNTIF('30'!$D$4:$D$24,X6)+COUNTIF('31'!$D$4:$D$45,X6)</f>
        <v>98</v>
      </c>
      <c r="Z6" s="66">
        <f t="shared" si="1"/>
        <v>98.00012</v>
      </c>
      <c r="AA6" s="66" t="s">
        <v>593</v>
      </c>
      <c r="AB6" s="66" t="s">
        <v>557</v>
      </c>
      <c r="AC6" s="66">
        <f>COUNTIF('1'!$O$23:$O$26,AA6)+COUNTIF('2'!$O$23:$O$26,AA6)+COUNTIF('3'!$O$23:$O$26,AA6)+COUNTIF('4'!$O$24:$O$27,AA6)+COUNTIF('5'!$O$24:$O$27,AA6)+COUNTIF('6'!$O$23:$O$26,AA6)+COUNTIF('7'!$O$23:$O$26,AA6)+COUNTIF('8'!$O$26:$O$29,AA6)+COUNTIF('9'!$O$23:$O$26,AA6)+COUNTIF('10'!$O$23:$O$26,AA6)+COUNTIF('11'!$O$27:$O$30,AA6)+COUNTIF('12'!$O$27:$O$30,AA6)+COUNTIF('13'!$O$24:$O$27,AA6)+COUNTIF('14'!$O$30:$O$33,AA6)+COUNTIF('15'!$O$29:$O$32,AA6)+COUNTIF('16'!$O$25:$O$28,AA6)+COUNTIF('17'!$O$30:$O$33,AA6)+COUNTIF('18'!$O$30:$O$33,AA6)+COUNTIF('19'!$O$23:$O$26,AA6)+COUNTIF('20'!$O$28:$O$31,AA6)+COUNTIF('21'!$O$23:$O$26,AA6)+COUNTIF('22'!$O$29:$O$32,AA6)+COUNTIF('23'!$O$39:$O$42,AA6)+COUNTIF('24'!$O$32:$O$35,AA6)+COUNTIF('25'!$O$26:$O$29,AA6)+COUNTIF('26'!$O$30:$O$33,AA6)+COUNTIF('27'!$O$35:$O$38,AA6)+COUNTIF('28'!$O$30:$O$33,AA6)+COUNTIF('29'!$O$34:$O$37,AA6)+COUNTIF('30'!$O$26:$O$29,AA6)+COUNTIF('31'!$O$47:$O$50,AA6)</f>
        <v>0</v>
      </c>
      <c r="AD6" s="66">
        <f t="shared" si="2"/>
        <v>0.0001</v>
      </c>
      <c r="AE6" s="66" t="s">
        <v>593</v>
      </c>
      <c r="AF6" s="66">
        <f>COUNTIF('1'!$L$4:$L$21,AE6)+COUNTIF('2'!$L$4:$L$21,AE6)+COUNTIF('3'!$L$4:$L$21,AE6)+COUNTIF('4'!$L$4:$L$22,AE6)+COUNTIF('5'!$L$4:$L$22,AE6)+COUNTIF('6'!$L$4:$L$21,AE6)+COUNTIF('7'!$L$4:$L$21,AE6)+COUNTIF('8'!$L$4:$L$24,AE6)+COUNTIF('9'!$L$4:$L$21,AE6)+COUNTIF('10'!$L$4:$L$21,AE6)+COUNTIF('11'!$L$4:$L$25,AE6)+COUNTIF('12'!$L$4:$L$25,AE6)+COUNTIF('13'!$L$4:$L$22,AE6)+COUNTIF('14'!$L$4:$L$28,AE6)+COUNTIF('15'!$L$4:$L$27,AE6)+COUNTIF('16'!$L$4:$L$23,AE6)+COUNTIF('17'!$L$4:$L$28,AE6)+COUNTIF('18'!$L$4:$L$28,AE6)+COUNTIF('19'!$L$4:$L$21,AE6)+COUNTIF('20'!$L$4:$L$26,AE6)+COUNTIF('21'!$L$4:$L$21,AE6)+COUNTIF('22'!$L$4:$L$27,AE6)+COUNTIF('23'!$L$4:$L$37,AE6)+COUNTIF('24'!$L$4:$L$30,AE6)+COUNTIF('25'!$L$4:$L$24,AE6)+COUNTIF('26'!$L$4:$L$28,AE6)+COUNTIF('27'!$L$4:$L$33,AE6)+COUNTIF('28'!$L$4:$L$28,AE6)+COUNTIF('29'!$L$4:$L$32,AE6)+COUNTIF('30'!$L$4:$L$24,AE6)+COUNTIF('31'!$L$4:$L$45,AE6)</f>
        <v>0</v>
      </c>
      <c r="AG6" s="66">
        <f t="shared" si="3"/>
        <v>0.00004</v>
      </c>
      <c r="AH6" s="66" t="s">
        <v>594</v>
      </c>
      <c r="AI6" s="66">
        <f>COUNTIF('1'!$M$4:$M$21,AH6)+COUNTIF('2'!$M$4:$M$21,AH6)+COUNTIF('3'!$M$4:$M$21,AH6)+COUNTIF('4'!$M$4:$M$22,AH6)+COUNTIF('5'!$M$4:$M$22,AH6)+COUNTIF('6'!$M$4:$M$21,AH6)+COUNTIF('7'!$M$4:$M$21,AH6)+COUNTIF('8'!$M$4:$M$24,AH6)+COUNTIF('9'!$M$4:$M$21,AH6)+COUNTIF('10'!$M$4:$M$21,AH6)+COUNTIF('11'!$M$4:$M$25,AH6)+COUNTIF('12'!$M$4:$M$25,AH6)+COUNTIF('13'!$M$4:$M$22,AH6)+COUNTIF('14'!$M$4:$M$28,AH6)+COUNTIF('15'!$M$4:$M$27,AH6)+COUNTIF('16'!$M$4:$M$23,AH6)+COUNTIF('17'!$M$4:$M$28,AH6)+COUNTIF('18'!$M$4:$M$28,AH6)+COUNTIF('19'!$M$4:$M$21,AH6)+COUNTIF('20'!$M$4:$M$26,AH6)+COUNTIF('21'!$M$4:$M$21,AH6)+COUNTIF('22'!$M$4:$M$27,AH6)+COUNTIF('23'!$M$4:$M$37,AH6)+COUNTIF('24'!$M$4:$M$30,AH6)+COUNTIF('25'!$M$4:$M$24,AH6)+COUNTIF('26'!$M$4:$M$28,AH6)+COUNTIF('27'!$M$4:$M$33,AH6)+COUNTIF('28'!$M$4:$M$28,AH6)+COUNTIF('29'!$M$4:$M$32,AH6)+COUNTIF('30'!$M$4:$M$24,AH6)+COUNTIF('31'!$M$4:$M$45,AH6)</f>
        <v>0</v>
      </c>
      <c r="AJ6" s="66">
        <f t="shared" si="4"/>
        <v>0.00005</v>
      </c>
      <c r="AK6" s="66" t="s">
        <v>593</v>
      </c>
      <c r="AL6" s="66" t="s">
        <v>557</v>
      </c>
      <c r="AM6" s="66">
        <f>COUNTIFS('1'!$AG$30:$AG$35,AK6,'1'!$AF$30:$AF$35,1)+COUNTIFS('2'!$AG$30:$AG$35,AK6,'2'!$AF$30:$AF$35,1)+COUNTIFS('3'!$AG$30:$AG$35,AK6,'3'!$AF$30:$AF$35,1)+COUNTIFS('4'!$AG$31:$AG$36,AK6,'4'!$AF$31:$AF$36,1)+COUNTIFS('5'!$AG$31:$AG$36,AK6,'5'!$AF$31:$AF$36,1)+COUNTIFS('6'!$AG$30:$AG$35,AK6,'6'!$AF$30:$AF$35,1)+COUNTIFS('7'!$AG$30:$AG$35,AK6,'7'!$AF$30:$AF$35,1)+COUNTIFS('8'!$AG$33:$AG$38,AK6,'8'!$AF$33:$AF$38,1)+COUNTIFS('9'!$AG$30:$AG$35,AK6,'9'!$AF$30:$AF$35,1)+COUNTIFS('10'!$AG$30:$AG$35,AK6,'10'!$AF$30:$AF$35,1)+COUNTIFS('11'!$AG$34:$AG$39,AK6,'11'!$AF$34:$AF$39,1)+COUNTIFS('12'!$AG$34:$AG$39,AK6,'12'!$AF$34:$AF$39,1)+COUNTIFS('13'!$AG$31:$AG$36,AK6,'13'!$AF$31:$AF$36,1)+COUNTIFS('14'!$AG$37:$AG$42,AK6,'14'!$AF$37:$AF$42,1)+COUNTIFS('15'!$AG$36:$AG$41,AK6,'15'!$AF$36:$AF$41,1)+COUNTIFS('16'!$AG$32:$AG$37,AK6,'16'!$AF$32:$AF$37,1)+COUNTIFS('17'!$AG$37:$AG$42,AK6,'17'!$AF$37:$AF$42,1)+COUNTIFS('18'!$AG$37:$AG$42,AK6,'18'!$AF$37:$AF$42,1)+COUNTIFS('19'!$AG$30:$AG$35,AK6,'19'!$AF$30:$AF$35,1)+COUNTIFS('20'!$AG$35:$AG$40,AK6,'20'!$AF$35:$AF$40,1)+COUNTIFS('21'!$AG$30:$AG$35,AK6,'21'!$AF$30:$AF$35,1)+COUNTIFS('22'!$AG$36:$AG$41,AK6,'22'!$AF$36:$AF$41,1)+COUNTIFS('23'!$AG$46:$AG$51,AK6,'23'!$AF$46:$AF$51,1)+COUNTIFS('24'!$AG$39:$AG$44,AK6,'24'!$AF$39:$AF$44,1)+COUNTIFS('25'!$AG$33:$AG$38,AK6,'25'!$AF$33:$AF$38,1)+COUNTIFS('26'!$AG$37:$AG$42,AK6,'26'!$AF$37:$AF$42,1)+COUNTIFS('27'!$AG$42:$AG$47,AK6,'27'!$AF$42:$AF$47,1)+COUNTIFS('28'!$AG$37:$AG$42,AK6,'28'!$AF$37:$AF$42,1)+COUNTIFS('29'!$AG$41:$AG$46,AK6,'29'!$AF$41:$AF$46,1)+COUNTIFS('30'!$AG$33:$AG$38,AK6,'30'!$AF$33:$AF$38,1)+COUNTIFS('31'!$AG$56:$AG$61,AK6,'31'!$AF$56:$AF$61,1)</f>
        <v>0</v>
      </c>
      <c r="AN6" s="66" t="str">
        <f t="shared" si="5"/>
        <v/>
      </c>
      <c r="AO6" s="66" t="str">
        <f>IF(AM6=0,"",(SUMIFS('1'!$L$30:$L$35,'1'!$AG$30:$AG$35,AK6,'1'!$AF$30:$AF$35,1)+SUMIFS('2'!$L$30:$L$35,'2'!$AG$30:$AG$35,AK6,'2'!$AF$30:$AF$35,1)+SUMIFS('3'!$L$30:$L$35,'3'!$AG$30:$AG$35,AK6,'3'!$AF$30:$AF$35,1)+SUMIFS('4'!$L$31:$L$36,'4'!$AG$31:$AG$36,AK6,'4'!$AF$31:$AF$36,1)+SUMIFS('5'!$L$31:$L$36,'5'!$AG$31:$AG$36,AK6,'5'!$AF$31:$AF$36,1)+SUMIFS('6'!$L$30:$L$35,'6'!$AG$30:$AG$35,AK6,'6'!$AF$30:$AF$35,1)+SUMIFS('7'!$L$30:$L$35,'7'!$AG$30:$AG$35,AK6,'7'!$AF$30:$AF$35,1)+SUMIFS('8'!$L$33:$L$38,'8'!$AG$33:$AG$38,AK6,'8'!$AF$33:$AF$38,1)+SUMIFS('9'!$L$30:$L$35,'9'!$AG$30:$AG$35,AK6,'9'!$AF$30:$AF$35,1)+SUMIFS('10'!$L$30:$L$35,'10'!$AG$30:$AG$35,AK6,'10'!$AF$30:$AF$35,1)+SUMIFS('11'!$L$34:$L$39,'11'!$AG$34:$AG$39,AK6,'11'!$AF$34:$AF$39,1)+SUMIFS('12'!$L$34:$L$39,'12'!$AG$34:$AG$39,AK6,'12'!$AF$34:$AF$39,1)+SUMIFS('13'!$L$31:$L$36,'13'!$AG$31:$AG$36,AK6,'13'!$AF$31:$AF$36,1)+SUMIFS('14'!$L$37:$L$42,'14'!$AG$37:$AG$42,AK6,'14'!$AF$37:$AF$42,1)+SUMIFS('15'!$L$36:$L$41,'15'!$AG$36:$AG$41,AK6,'15'!$AF$36:$AF$41,1)+SUMIFS('16'!$L$32:$L$37,'16'!$AG$32:$AG$37,AK6,'16'!$AF$32:$AF$37,1)+SUMIFS('17'!$L$37:$L$42,'17'!$AG$37:$AG$42,AK6,'17'!$AF$37:$AF$42,1)+SUMIFS('18'!$L$37:$L$42,'18'!$AG$37:$AG$42,AK6,'18'!$AF$37:$AF$42,1)+SUMIFS('19'!$L$30:$L$35,'19'!$AG$30:$AG$35,AK6,'19'!$AF$30:$AF$35,1)+SUMIFS('20'!$L$35:$L$40,'20'!$AG$35:$AG$40,AK6,'20'!$AF$35:$AF$40,1)+SUMIFS('21'!$L$30:$L$35,'21'!$AG$30:$AG$35,AK6,'21'!$AF$30:$AF$35,1)+SUMIFS('22'!$L$36:$L$41,'22'!$AG$36:$AG$41,AK6,'22'!$AF$36:$AF$41,1)+SUMIFS('23'!$L$46:$L$51,'23'!$AG$46:$AG$51,AK6,'23'!$AF$46:$AF$51,1)+SUMIFS('24'!$L$39:$L$44,'24'!$AG$39:$AG$44,AK6,'24'!$AF$39:$AF$44,1)+SUMIFS('25'!$L$33:$L$38,'25'!$AG$33:$AG$38,AK6,'25'!$AF$33:$AF$38,1)+SUMIFS('26'!$L$37:$L$42,'26'!$AG$37:$AG$42,AK6,'26'!$AF$37:$AF$42,1)+SUMIFS('27'!$L$42:$L$47,'27'!$AG$42:$AG$47,AK6,'27'!$AF$42:$AF$47,1)+SUMIFS('28'!$L$37:$L$42,'28'!$AG$37:$AG$42,AK6,'28'!$AF$37:$AF$42,1)+SUMIFS('29'!$L$41:$L$46,'29'!$AG$41:$AG$46,AK6,'29'!$AF$41:$AF$46,1)+SUMIFS('30'!$L$33:$L$38,'30'!$AG$33:$AG$38,AK6,'30'!$AF$33:$AF$38,1)+SUMIFS('31'!$L$56:$L$61,'31'!$AG$56:$AG$61,AK6,'31'!$AF$56:$AF$61,1))/AM6)</f>
        <v/>
      </c>
      <c r="AP6" s="66" t="str">
        <f>IF(AM6=0,"",(SUMIFS('1'!$M$30:$M$35,'1'!$AG$30:$AG$35,AK6,'1'!$AF$30:$AF$35,1)+SUMIFS('2'!$M$30:$M$35,'2'!$AG$30:$AG$35,AK6,'2'!$AF$30:$AF$35,1)+SUMIFS('3'!$M$30:$M$35,'3'!$AG$30:$AG$35,AK6,'3'!$AF$30:$AF$35,1)+SUMIFS('4'!$M$31:$M$36,'4'!$AG$31:$AG$36,AK6,'4'!$AF$31:$AF$36,1)+SUMIFS('5'!$M$31:$M$36,'5'!$AG$31:$AG$36,AK6,'5'!$AF$31:$AF$36,1)+SUMIFS('6'!$M$30:$M$35,'6'!$AG$30:$AG$35,AK6,'6'!$AF$30:$AF$35,1)+SUMIFS('7'!$M$30:$M$35,'7'!$AG$30:$AG$35,AK6,'7'!$AF$30:$AF$35,1)+SUMIFS('8'!$M$33:$M$38,'8'!$AG$33:$AG$38,AK6,'8'!$AF$33:$AF$38,1)+SUMIFS('9'!$M$30:$M$35,'9'!$AG$30:$AG$35,AK6,'9'!$AF$30:$AF$35,1)+SUMIFS('10'!$M$30:$M$35,'10'!$AG$30:$AG$35,AK6,'10'!$AF$30:$AF$35,1)+SUMIFS('11'!$M$34:$M$39,'11'!$AG$34:$AG$39,AK6,'11'!$AF$34:$AF$39,1)+SUMIFS('12'!$M$34:$M$39,'12'!$AG$34:$AG$39,AK6,'12'!$AF$34:$AF$39,1)+SUMIFS('13'!$M$31:$M$36,'13'!$AG$31:$AG$36,AK6,'13'!$AF$31:$AF$36,1)+SUMIFS('14'!$M$37:$M$42,'14'!$AG$37:$AG$42,AK6,'14'!$AF$37:$AF$42,1)+SUMIFS('15'!$M$36:$M$41,'15'!$AG$36:$AG$41,AK6,'15'!$AF$36:$AF$41,1)+SUMIFS('16'!$M$32:$M$37,'16'!$AG$32:$AG$37,AK6,'16'!$AF$32:$AF$37,1)+SUMIFS('17'!$M$37:$M$42,'17'!$AG$37:$AG$42,AK6,'17'!$AF$37:$AF$42,1)+SUMIFS('18'!$M$37:$M$42,'18'!$AG$37:$AG$42,AK6,'18'!$AF$37:$AF$42,1)+SUMIFS('19'!$M$30:$M$35,'19'!$AG$30:$AG$35,AK6,'19'!$AF$30:$AF$35,1)+SUMIFS('20'!$M$35:$M$40,'20'!$AG$35:$AG$40,AK6,'20'!$AF$35:$AF$40,1)+SUMIFS('21'!$M$30:$M$35,'21'!$AG$30:$AG$35,AK6,'21'!$AF$30:$AF$35,1)+SUMIFS('22'!$M$36:$M$41,'22'!$AG$36:$AG$41,AK6,'22'!$AF$36:$AF$41,1)+SUMIFS('23'!$M$46:$M$51,'23'!$AG$46:$AG$51,AK6,'23'!$AF$46:$AF$51,1)+SUMIFS('24'!$M$39:$M$44,'24'!$AG$39:$AG$44,AK6,'24'!$AF$39:$AF$44,1)+SUMIFS('25'!$M$33:$M$38,'25'!$AG$33:$AG$38,AK6,'25'!$AF$33:$AF$38,1)+SUMIFS('26'!$M$37:$M$42,'26'!$AG$37:$AG$42,AK6,'26'!$AF$37:$AF$42,1)+SUMIFS('27'!$M$42:$M$47,'27'!$AG$42:$AG$47,AK6,'27'!$AF$42:$AF$47,1)+SUMIFS('28'!$M$37:$M$42,'28'!$AG$37:$AG$42,AK6,'28'!$AF$37:$AF$42,1)+SUMIFS('29'!$M$41:$M$46,'29'!$AG$41:$AG$46,AK6,'29'!$AF$41:$AF$46,1)+SUMIFS('30'!$M$33:$M$38,'30'!$AG$33:$AG$38,AK6,'30'!$AF$33:$AF$38,1)+SUMIFS('31'!$M$56:$M$61,'31'!$AG$56:$AG$61,AK6,'31'!$AF$56:$AF$61,1))/AM6)</f>
        <v/>
      </c>
      <c r="AQ6" s="66" t="str">
        <f>IF(AM6=0,"",(SUMIFS('1'!$N$30:$N$35,'1'!$AG$30:$AG$35,AK6,'1'!$AF$30:$AF$35,1)+SUMIFS('2'!$N$30:$N$35,'2'!$AG$30:$AG$35,AK6,'2'!$AF$30:$AF$35,1)+SUMIFS('3'!$N$30:$N$35,'3'!$AG$30:$AG$35,AK6,'3'!$AF$30:$AF$35,1)+SUMIFS('4'!$N$31:$N$36,'4'!$AG$31:$AG$36,AK6,'4'!$AF$31:$AF$36,1)+SUMIFS('5'!$N$31:$N$36,'5'!$AG$31:$AG$36,AK6,'5'!$AF$31:$AF$36,1)+SUMIFS('6'!$N$30:$N$35,'6'!$AG$30:$AG$35,AK6,'6'!$AF$30:$AF$35,1)+SUMIFS('7'!$N$30:$N$35,'7'!$AG$30:$AG$35,AK6,'7'!$AF$30:$AF$35,1)+SUMIFS('8'!$N$33:$N$38,'8'!$AG$33:$AG$38,AK6,'8'!$AF$33:$AF$38,1)+SUMIFS('9'!$N$30:$N$35,'9'!$AG$30:$AG$35,AK6,'9'!$AF$30:$AF$35,1)+SUMIFS('10'!$N$30:$N$35,'10'!$AG$30:$AG$35,AK6,'10'!$AF$30:$AF$35,1)+SUMIFS('11'!$N$34:$N$39,'11'!$AG$34:$AG$39,AK6,'11'!$AF$34:$AF$39,1)+SUMIFS('12'!$N$34:$N$39,'12'!$AG$34:$AG$39,AK6,'12'!$AF$34:$AF$39,1)+SUMIFS('13'!$N$31:$N$36,'13'!$AG$31:$AG$36,AK6,'13'!$AF$31:$AF$36,1)+SUMIFS('14'!$N$37:$N$42,'14'!$AG$37:$AG$42,AK6,'14'!$AF$37:$AF$42,1)+SUMIFS('15'!$N$36:$N$41,'15'!$AG$36:$AG$41,AK6,'15'!$AF$36:$AF$41,1)+SUMIFS('16'!$N$32:$N$37,'16'!$AG$32:$AG$37,AK6,'16'!$AF$32:$AF$37,1)+SUMIFS('17'!$N$37:$N$42,'17'!$AG$37:$AG$42,AK6,'17'!$AF$37:$AF$42,1)+SUMIFS('18'!$N$37:$N$42,'18'!$AG$37:$AG$42,AK6,'18'!$AF$37:$AF$42,1)+SUMIFS('19'!$N$30:$N$35,'19'!$AG$30:$AG$35,AK6,'19'!$AF$30:$AF$35,1)+SUMIFS('20'!$N$35:$N$40,'20'!$AG$35:$AG$40,AK6,'20'!$AF$35:$AF$40,1)+SUMIFS('21'!$N$30:$N$35,'21'!$AG$30:$AG$35,AK6,'21'!$AF$30:$AF$35,1)+SUMIFS('22'!$N$36:$N$41,'22'!$AG$36:$AG$41,AK6,'22'!$AF$36:$AF$41,1)+SUMIFS('23'!$N$46:$N$51,'23'!$AG$46:$AG$51,AK6,'23'!$AF$46:$AF$51,1)+SUMIFS('24'!$N$39:$N$44,'24'!$AG$39:$AG$44,AK6,'24'!$AF$39:$AF$44,1)+SUMIFS('25'!$N$33:$N$38,'25'!$AG$33:$AG$38,AK6,'25'!$AF$33:$AF$38,1)+SUMIFS('26'!$N$37:$N$42,'26'!$AG$37:$AG$42,AK6,'26'!$AF$37:$AF$42,1)+SUMIFS('27'!$N$42:$N$47,'27'!$AG$42:$AG$47,AK6,'27'!$AF$42:$AF$47,1)+SUMIFS('28'!$N$37:$N$42,'28'!$AG$37:$AG$42,AK6,'28'!$AF$37:$AF$42,1)+SUMIFS('29'!$N$41:$N$46,'29'!$AG$41:$AG$46,AK6,'29'!$AF$41:$AF$46,1)+SUMIFS('30'!$N$33:$N$38,'30'!$AG$33:$AG$38,AK6,'30'!$AF$33:$AF$38,1)+SUMIFS('31'!$N$56:$N$61,'31'!$AG$56:$AG$61,AK6,'31'!$AF$56:$AF$61,1))/AM6)</f>
        <v/>
      </c>
      <c r="AR6" s="66" t="str">
        <f>IF(AM6=0,"",(SUMIFS('1'!$O$30:$O$35,'1'!$AG$30:$AG$35,AK6,'1'!$AF$30:$AF$35,1)+SUMIFS('2'!$O$30:$O$35,'2'!$AG$30:$AG$35,AK6,'2'!$AF$30:$AF$35,1)+SUMIFS('3'!$O$30:$O$35,'3'!$AG$30:$AG$35,AK6,'3'!$AF$30:$AF$35,1)+SUMIFS('4'!$O$31:$O$36,'4'!$AG$31:$AG$36,AK6,'4'!$AF$31:$AF$36,1)+SUMIFS('5'!$O$31:$O$36,'5'!$AG$31:$AG$36,AK6,'5'!$AF$31:$AF$36,1)+SUMIFS('6'!$O$30:$O$35,'6'!$AG$30:$AG$35,AK6,'6'!$AF$30:$AF$35,1)+SUMIFS('7'!$O$30:$O$35,'7'!$AG$30:$AG$35,AK6,'7'!$AF$30:$AF$35,1)+SUMIFS('8'!$O$33:$O$38,'8'!$AG$33:$AG$38,AK6,'8'!$AF$33:$AF$38,1)+SUMIFS('9'!$O$30:$O$35,'9'!$AG$30:$AG$35,AK6,'9'!$AF$30:$AF$35,1)+SUMIFS('10'!$O$30:$O$35,'10'!$AG$30:$AG$35,AK6,'10'!$AF$30:$AF$35,1)+SUMIFS('11'!$O$34:$O$39,'11'!$AG$34:$AG$39,AK6,'11'!$AF$34:$AF$39,1)+SUMIFS('12'!$O$34:$O$39,'12'!$AG$34:$AG$39,AK6,'12'!$AF$34:$AF$39,1)+SUMIFS('13'!$O$31:$O$36,'13'!$AG$31:$AG$36,AK6,'13'!$AF$31:$AF$36,1)+SUMIFS('14'!$O$37:$O$42,'14'!$AG$37:$AG$42,AK6,'14'!$AF$37:$AF$42,1)+SUMIFS('15'!$O$36:$O$41,'15'!$AG$36:$AG$41,AK6,'15'!$AF$36:$AF$41,1)+SUMIFS('16'!$O$32:$O$37,'16'!$AG$32:$AG$37,AK6,'16'!$AF$32:$AF$37,1)+SUMIFS('17'!$O$37:$O$42,'17'!$AG$37:$AG$42,AK6,'17'!$AF$37:$AF$42,1)+SUMIFS('18'!$O$37:$O$42,'18'!$AG$37:$AG$42,AK6,'18'!$AF$37:$AF$42,1)+SUMIFS('19'!$O$30:$O$35,'19'!$AG$30:$AG$35,AK6,'19'!$AF$30:$AF$35,1)+SUMIFS('20'!$O$35:$O$40,'20'!$AG$35:$AG$40,AK6,'20'!$AF$35:$AF$40,1)+SUMIFS('21'!$O$30:$O$35,'21'!$AG$30:$AG$35,AK6,'21'!$AF$30:$AF$35,1)+SUMIFS('22'!$O$36:$O$41,'22'!$AG$36:$AG$41,AK6,'22'!$AF$36:$AF$41,1)+SUMIFS('23'!$O$46:$O$51,'23'!$AG$46:$AG$51,AK6,'23'!$AF$46:$AF$51,1)+SUMIFS('24'!$O$39:$O$44,'24'!$AG$39:$AG$44,AK6,'24'!$AF$39:$AF$44,1)+SUMIFS('25'!$O$33:$O$38,'25'!$AG$33:$AG$38,AK6,'25'!$AF$33:$AF$38,1)+SUMIFS('26'!$O$37:$O$42,'26'!$AG$37:$AG$42,AK6,'26'!$AF$37:$AF$42,1)+SUMIFS('27'!$O$42:$O$47,'27'!$AG$42:$AG$47,AK6,'27'!$AF$42:$AF$47,1)+SUMIFS('28'!$O$37:$O$42,'28'!$AG$37:$AG$42,AK6,'28'!$AF$37:$AF$42,1)+SUMIFS('29'!$O$41:$O$46,'29'!$AG$41:$AG$46,AK6,'29'!$AF$41:$AF$46,1)+SUMIFS('30'!$O$33:$O$38,'30'!$AG$33:$AG$38,AK6,'30'!$AF$33:$AF$38,1)+SUMIFS('31'!$O$56:$O$61,'31'!$AG$56:$AG$61,AK6,'31'!$AF$56:$AF$61,1))/AM6)</f>
        <v/>
      </c>
      <c r="AS6" s="66" t="str">
        <f>IF(AM6=0,"",(SUMIFS('1'!$P$30:$P$35,'1'!$AG$30:$AG$35,AK6,'1'!$AF$30:$AF$35,1)+SUMIFS('2'!$P$30:$P$35,'2'!$AG$30:$AG$35,AK6,'2'!$AF$30:$AF$35,1)+SUMIFS('3'!$P$30:$P$35,'3'!$AG$30:$AG$35,AK6,'3'!$AF$30:$AF$35,1)+SUMIFS('4'!$P$31:$P$36,'4'!$AG$31:$AG$36,AK6,'4'!$AF$31:$AF$36,1)+SUMIFS('5'!$P$31:$P$36,'5'!$AG$31:$AG$36,AK6,'5'!$AF$31:$AF$36,1)+SUMIFS('6'!$P$30:$P$35,'6'!$AG$30:$AG$35,AK6,'6'!$AF$30:$AF$35,1)+SUMIFS('7'!$P$30:$P$35,'7'!$AG$30:$AG$35,AK6,'7'!$AF$30:$AF$35,1)+SUMIFS('8'!$P$33:$P$38,'8'!$AG$33:$AG$38,AK6,'8'!$AF$33:$AF$38,1)+SUMIFS('9'!$P$30:$P$35,'9'!$AG$30:$AG$35,AK6,'9'!$AF$30:$AF$35,1)+SUMIFS('10'!$P$30:$P$35,'10'!$AG$30:$AG$35,AK6,'10'!$AF$30:$AF$35,1)+SUMIFS('11'!$P$34:$P$39,'11'!$AG$34:$AG$39,AK6,'11'!$AF$34:$AF$39,1)+SUMIFS('12'!$P$34:$P$39,'12'!$AG$34:$AG$39,AK6,'12'!$AF$34:$AF$39,1)+SUMIFS('13'!$P$31:$P$36,'13'!$AG$31:$AG$36,AK6,'13'!$AF$31:$AF$36,1)+SUMIFS('14'!$P$37:$P$42,'14'!$AG$37:$AG$42,AK6,'14'!$AF$37:$AF$42,1)+SUMIFS('15'!$P$36:$P$41,'15'!$AG$36:$AG$41,AK6,'15'!$AF$36:$AF$41,1)+SUMIFS('16'!$P$32:$P$37,'16'!$AG$32:$AG$37,AK6,'16'!$AF$32:$AF$37,1)+SUMIFS('17'!$P$37:$P$42,'17'!$AG$37:$AG$42,AK6,'17'!$AF$37:$AF$42,1)+SUMIFS('18'!$P$37:$P$42,'18'!$AG$37:$AG$42,AK6,'18'!$AF$37:$AF$42,1)+SUMIFS('19'!$P$30:$P$35,'19'!$AG$30:$AG$35,AK6,'19'!$AF$30:$AF$35,1)+SUMIFS('20'!$P$35:$P$40,'20'!$AG$35:$AG$40,AK6,'20'!$AF$35:$AF$40,1)+SUMIFS('21'!$P$30:$P$35,'21'!$AG$30:$AG$35,AK6,'21'!$AF$30:$AF$35,1)+SUMIFS('22'!$P$36:$P$41,'22'!$AG$36:$AG$41,AK6,'22'!$AF$36:$AF$41,1)+SUMIFS('23'!$P$46:$P$51,'23'!$AG$46:$AG$51,AK6,'23'!$AF$46:$AF$51,1)+SUMIFS('24'!$P$39:$P$44,'24'!$AG$39:$AG$44,AK6,'24'!$AF$39:$AF$44,1)+SUMIFS('25'!$P$33:$P$38,'25'!$AG$33:$AG$38,AK6,'25'!$AF$33:$AF$38,1)+SUMIFS('26'!$P$37:$P$42,'26'!$AG$37:$AG$42,AK6,'26'!$AF$37:$AF$42,1)+SUMIFS('27'!$P$42:$P$47,'27'!$AG$42:$AG$47,AK6,'27'!$AF$42:$AF$47,1)+SUMIFS('28'!$P$37:$P$42,'28'!$AG$37:$AG$42,AK6,'28'!$AF$37:$AF$42,1)+SUMIFS('29'!$P$41:$P$46,'29'!$AG$41:$AG$46,AK6,'29'!$AF$41:$AF$46,1)+SUMIFS('30'!$P$33:$P$38,'30'!$AG$33:$AG$38,AK6,'30'!$AF$33:$AF$38,1)+SUMIFS('31'!$P$56:$P$61,'31'!$AG$56:$AG$61,AK6,'31'!$AF$56:$AF$61,1))/AM6)</f>
        <v/>
      </c>
      <c r="AU6" s="66">
        <v>5.0</v>
      </c>
      <c r="AV6" s="66" t="str">
        <f>IF(COUNTIFS('1'!$AG$30:$AG$35,$AK6,'1'!$AF$30:$AF$35,1)=0,"",SUMIFS('1'!$AC$30:$AC$35,'1'!$AG$30:$AG$35,$AK6,'1'!$AF$30:$AF$35,1)/COUNTIFS('1'!$AG$30:$AG$35,$AK6,'1'!$AF$30:$AF$35,1))</f>
        <v/>
      </c>
      <c r="AW6" s="66" t="str">
        <f>IF(COUNTIFS('2'!$AG$30:$AG$35,$AK6,'2'!$AF$30:$AF$35,1)=0,"",SUMIFS('2'!$AC$30:$AC$35,'2'!$AG$30:$AG$35,$AK6,'2'!$AF$30:$AF$35,1)/COUNTIFS('2'!$AG$30:$AG$35,$AK6,'2'!$AF$30:$AF$35,1))</f>
        <v/>
      </c>
      <c r="AX6" s="66" t="str">
        <f>IF(COUNTIFS('3'!$AG$30:$AG$35,$AK6,'3'!$AF$30:$AF$35,1)=0,"",SUMIFS('3'!$AC$30:$AC$35,'3'!$AG$30:$AG$35,$AK6,'3'!$AF$30:$AF$35,1)/COUNTIFS('3'!$AG$30:$AG$35,$AK6,'3'!$AF$30:$AF$35,1))</f>
        <v/>
      </c>
      <c r="AY6" s="66" t="str">
        <f>IF(COUNTIFS('4'!$AG$31:$AG$36,$AK6,'4'!$AF$31:$AF$36,1)=0,"",SUMIFS('4'!$AC$31:$AC$36,'4'!$AG$31:$AG$36,$AK6,'4'!$AF$31:$AF$36,1)/COUNTIFS('4'!$AG$31:$AG$36,$AK6,'4'!$AF$31:$AF$36,1))</f>
        <v/>
      </c>
      <c r="AZ6" s="66" t="str">
        <f>IF(COUNTIFS('5'!$AG$31:$AG$36,$AK6,'5'!$AF$31:$AF$36,1)=0,"",SUMIFS('5'!$AC$31:$AC$36,'5'!$AG$31:$AG$36,$AK6,'5'!$AF$31:$AF$36,1)/COUNTIFS('5'!$AG$31:$AG$36,$AK6,'5'!$AF$31:$AF$36,1))</f>
        <v/>
      </c>
      <c r="BA6" s="66" t="str">
        <f>IF(COUNTIFS('6'!$AG$30:$AG$35,$AK6,'6'!$AF$30:$AF$35,1)=0,"",SUMIFS('6'!$AC$30:$AC$35,'6'!$AG$30:$AG$35,$AK6,'6'!$AF$30:$AF$35,1)/COUNTIFS('6'!$AG$30:$AG$35,$AK6,'6'!$AF$30:$AF$35,1))</f>
        <v/>
      </c>
      <c r="BB6" s="66" t="str">
        <f>IF(COUNTIFS('7'!$AG$30:$AG$35,$AK6,'7'!$AF$30:$AF$35,1)=0,"",SUMIFS('7'!$AC$30:$AC$35,'7'!$AG$30:$AG$35,$AK6,'7'!$AF$30:$AF$35,1)/COUNTIFS('7'!$AG$30:$AG$35,$AK6,'7'!$AF$30:$AF$35,1))</f>
        <v/>
      </c>
      <c r="BC6" s="66" t="str">
        <f>IF(COUNTIFS('8'!$AG$33:$AG$38,$AK6,'8'!$AF$33:$AF$38,1)=0,"",SUMIFS('8'!$AC$33:$AC$38,'8'!$AG$33:$AG$38,$AK6,'8'!$AF$33:$AF$38,1)/COUNTIFS('8'!$AG$33:$AG$38,$AK6,'8'!$AF$33:$AF$38,1))</f>
        <v/>
      </c>
      <c r="BD6" s="66" t="str">
        <f>IF(COUNTIFS('9'!$AG$30:$AG$35,$AK6,'9'!$AF$30:$AF$35,1)=0,"",SUMIFS('9'!$AC$30:$AC$35,'9'!$AG$30:$AG$35,$AK6,'9'!$AF$30:$AF$35,1)/COUNTIFS('9'!$AG$30:$AG$35,$AK6,'9'!$AF$30:$AF$35,1))</f>
        <v/>
      </c>
      <c r="BE6" s="66" t="str">
        <f>IF(COUNTIFS('10'!$AG$30:$AG$35,$AK6,'10'!$AF$30:$AF$35,1)=0,"",SUMIFS('10'!$AC$30:$AC$35,'10'!$AG$30:$AG$35,$AK6,'10'!$AF$30:$AF$35,1)/COUNTIFS('10'!$AG$30:$AG$35,$AK6,'10'!$AF$30:$AF$35,1))</f>
        <v/>
      </c>
      <c r="BF6" s="66" t="str">
        <f>IF(COUNTIFS('11'!$AG$34:$AG$39,$AK6,'11'!$AF$34:$AF$39,1)=0,"",SUMIFS('11'!$AC$34:$AC$39,'11'!$AG$34:$AG$39,$AK6,'11'!$AF$34:$AF$39,1)/COUNTIFS('11'!$AG$34:$AG$39,$AK6,'11'!$AF$34:$AF$39,1))</f>
        <v/>
      </c>
      <c r="BG6" s="66" t="str">
        <f>IF(COUNTIFS('12'!$AG$34:$AG$39,$AK6,'12'!$AF$34:$AF$39,1)=0,"",SUMIFS('12'!$AC$34:$AC$39,'12'!$AG$34:$AG$39,$AK6,'12'!$AF$34:$AF$39,1)/COUNTIFS('12'!$AG$34:$AG$39,$AK6,'12'!$AF$34:$AF$39,1))</f>
        <v/>
      </c>
      <c r="BH6" s="66" t="str">
        <f>IF(COUNTIFS('13'!$AG$31:$AG$36,$AK6,'13'!$AF$31:$AF$36,1)=0,"",SUMIFS('13'!$AC$31:$AC$36,'13'!$AG$31:$AG$36,$AK6,'13'!$AF$31:$AF$36,1)/COUNTIFS('13'!$AG$31:$AG$36,$AK6,'13'!$AF$31:$AF$36,1))</f>
        <v/>
      </c>
      <c r="BI6" s="66" t="str">
        <f>IF(COUNTIFS('14'!$AG$37:$AG$42,$AK6,'14'!$AF$37:$AF$42,1)=0,"",SUMIFS('14'!$AC$37:$AC$42,'14'!$AG$37:$AG$42,$AK6,'14'!$AF$37:$AF$42,1)/COUNTIFS('14'!$AG$37:$AG$42,$AK6,'14'!$AF$37:$AF$42,1))</f>
        <v/>
      </c>
      <c r="BJ6" s="66" t="str">
        <f>IF(COUNTIFS('15'!$AG$36:$AG$41,$AK6,'15'!$AF$36:$AF$41,1)=0,"",SUMIFS('15'!$AC$36:$AC$41,'15'!$AG$36:$AG$41,$AK6,'15'!$AF$36:$AF$41,1)/COUNTIFS('15'!$AG$36:$AG$41,$AK6,'15'!$AF$36:$AF$41,1))</f>
        <v/>
      </c>
      <c r="BK6" s="66" t="str">
        <f>IF(COUNTIFS('16'!$AG$32:$AG$37,$AK6,'16'!$AF$32:$AF$37,1)=0,"",SUMIFS('16'!$AC$32:$AC$37,'16'!$AG$32:$AG$37,$AK6,'16'!$AF$32:$AF$37,1)/COUNTIFS('16'!$AG$32:$AG$37,$AK6,'16'!$AF$32:$AF$37,1))</f>
        <v/>
      </c>
      <c r="BL6" s="66" t="str">
        <f>IF(COUNTIFS('17'!$AG$37:$AG$42,$AK6,'17'!$AF$37:$AF$42,1)=0,"",SUMIFS('17'!$AC$37:$AC$42,'17'!$AG$37:$AG$42,$AK6,'17'!$AF$37:$AF$42,1)/COUNTIFS('17'!$AG$37:$AG$42,$AK6,'17'!$AF$37:$AF$42,1))</f>
        <v/>
      </c>
      <c r="BM6" s="66" t="str">
        <f>IF(COUNTIFS('18'!$AG$37:$AG$42,$AK6,'18'!$AF$37:$AF$42,1)=0,"",SUMIFS('18'!$AC$37:$AC$42,'18'!$AG$37:$AG$42,$AK6,'18'!$AF$37:$AF$42,1)/COUNTIFS('18'!$AG$37:$AG$42,$AK6,'18'!$AF$37:$AF$42,1))</f>
        <v/>
      </c>
      <c r="BN6" s="66" t="str">
        <f>IF(COUNTIFS('19'!$AG$30:$AG$35,$AK6,'19'!$AF$30:$AF$35,1)=0,"",SUMIFS('19'!$AC$30:$AC$35,'19'!$AG$30:$AG$35,$AK6,'19'!$AF$30:$AF$35,1)/COUNTIFS('19'!$AG$30:$AG$35,$AK6,'19'!$AF$30:$AF$35,1))</f>
        <v/>
      </c>
      <c r="BO6" s="66" t="str">
        <f>IF(COUNTIFS('20'!$AG$35:$AG$40,$AK6,'20'!$AF$35:$AF$40,1)=0,"",SUMIFS('20'!$AC$35:$AC$40,'20'!$AG$35:$AG$40,$AK6,'20'!$AF$35:$AF$40,1)/COUNTIFS('20'!$AG$35:$AG$40,$AK6,'20'!$AF$35:$AF$40,1))</f>
        <v/>
      </c>
      <c r="BP6" s="66" t="str">
        <f>IF(COUNTIFS('21'!$AG$30:$AG$35,$AK6,'21'!$AF$30:$AF$35,1)=0,"",SUMIFS('21'!$AC$30:$AC$35,'21'!$AG$30:$AG$35,$AK6,'21'!$AF$30:$AF$35,1)/COUNTIFS('21'!$AG$30:$AG$35,$AK6,'21'!$AF$30:$AF$35,1))</f>
        <v/>
      </c>
      <c r="BQ6" s="66" t="str">
        <f>IF(COUNTIFS('22'!$AG$36:$AG$41,$AK6,'22'!$AF$36:$AF$41,1)=0,"",SUMIFS('22'!$AC$36:$AC$41,'22'!$AG$36:$AG$41,$AK6,'22'!$AF$36:$AF$41,1)/COUNTIFS('22'!$AG$36:$AG$41,$AK6,'22'!$AF$36:$AF$41,1))</f>
        <v/>
      </c>
      <c r="BR6" s="66" t="str">
        <f>IF(COUNTIFS('23'!$AG$46:$AG$51,$AK6,'23'!$AF$46:$AF$51,1)=0,"",SUMIFS('23'!$AC$46:$AC$51,'23'!$AG$46:$AG$51,$AK6,'23'!$AF$46:$AF$51,1)/COUNTIFS('23'!$AG$46:$AG$51,$AK6,'23'!$AF$46:$AF$51,1))</f>
        <v/>
      </c>
      <c r="BS6" s="66" t="str">
        <f>IF(COUNTIFS('24'!$AG$39:$AG$44,$AK6,'24'!$AF$39:$AF$44,1)=0,"",SUMIFS('24'!$AC$39:$AC$44,'24'!$AG$39:$AG$44,$AK6,'24'!$AF$39:$AF$44,1)/COUNTIFS('24'!$AG$39:$AG$44,$AK6,'24'!$AF$39:$AF$44,1))</f>
        <v/>
      </c>
      <c r="BT6" s="66" t="str">
        <f>IF(COUNTIFS('25'!$AG$33:$AG$38,$AK6,'25'!$AF$33:$AF$38,1)=0,"",SUMIFS('25'!$AC$33:$AC$38,'25'!$AG$33:$AG$38,$AK6,'25'!$AF$33:$AF$38,1)/COUNTIFS('25'!$AG$33:$AG$38,$AK6,'25'!$AF$33:$AF$38,1))</f>
        <v/>
      </c>
      <c r="BU6" s="66" t="str">
        <f>IF(COUNTIFS('26'!$AG$37:$AG$42,$AK6,'26'!$AF$37:$AF$42,1)=0,"",SUMIFS('26'!$AC$37:$AC$42,'26'!$AG$37:$AG$42,$AK6,'26'!$AF$37:$AF$42,1)/COUNTIFS('26'!$AG$37:$AG$42,$AK6,'26'!$AF$37:$AF$42,1))</f>
        <v/>
      </c>
      <c r="BV6" s="66" t="str">
        <f>IF(COUNTIFS('27'!$AG$42:$AG$47,$AK6,'27'!$AF$42:$AF$47,1)=0,"",SUMIFS('27'!$AC$42:$AC$47,'27'!$AG$42:$AG$47,$AK6,'27'!$AF$42:$AF$47,1)/COUNTIFS('27'!$AG$42:$AG$47,$AK6,'27'!$AF$42:$AF$47,1))</f>
        <v/>
      </c>
      <c r="BW6" s="66" t="str">
        <f>IF(COUNTIFS('28'!$AG$37:$AG$42,$AK6,'28'!$AF$37:$AF$42,1)=0,"",SUMIFS('28'!$AC$37:$AC$42,'28'!$AG$37:$AG$42,$AK6,'28'!$AF$37:$AF$42,1)/COUNTIFS('28'!$AG$37:$AG$42,$AK6,'28'!$AF$37:$AF$42,1))</f>
        <v/>
      </c>
      <c r="BX6" s="66" t="str">
        <f>IF(COUNTIFS('29'!$AG$41:$AG$46,$AK6,'29'!$AF$41:$AF$46,1)=0,"",SUMIFS('29'!$AC$41:$AC$46,'29'!$AG$41:$AG$46,$AK6,'29'!$AF$41:$AF$46,1)/COUNTIFS('29'!$AG$41:$AG$46,$AK6,'29'!$AF$41:$AF$46,1))</f>
        <v/>
      </c>
      <c r="BY6" s="66" t="str">
        <f>IF(COUNTIFS('30'!$AG$33:$AG$38,$AK6,'30'!$AF$33:$AF$38,1)=0,"",SUMIFS('30'!$AC$33:$AC$38,'30'!$AG$33:$AG$38,$AK6,'30'!$AF$33:$AF$38,1)/COUNTIFS('30'!$AG$33:$AG$38,$AK6,'30'!$AF$33:$AF$38,1))</f>
        <v/>
      </c>
      <c r="BZ6" s="66" t="str">
        <f>IF(COUNTIFS('31'!$AG$56:$AG$61,$AK6,'31'!$AF$56:$AF$61,1)=0,"",SUMIFS('31'!$AC$56:$AC$61,'31'!$AG$56:$AG$61,$AK6,'31'!$AF$56:$AF$61,1)/COUNTIFS('31'!$AG$56:$AG$61,$AK6,'31'!$AF$56:$AF$61,1))</f>
        <v/>
      </c>
      <c r="CA6" s="66" t="s">
        <v>595</v>
      </c>
      <c r="CB6" s="66">
        <f t="shared" si="6"/>
        <v>0</v>
      </c>
    </row>
    <row r="7">
      <c r="A7" s="141">
        <f>IF(LARGE($Y$5:$Y$17,2)=0,"",2)</f>
        <v>2</v>
      </c>
      <c r="B7" s="141" t="str">
        <f t="shared" si="7"/>
        <v>Graduation</v>
      </c>
      <c r="C7" s="141">
        <f t="shared" si="8"/>
        <v>98</v>
      </c>
      <c r="D7" s="142">
        <f t="shared" si="9"/>
        <v>0.2020618557</v>
      </c>
      <c r="E7" s="142">
        <f t="shared" si="10"/>
        <v>0.6969072165</v>
      </c>
      <c r="X7" s="66" t="s">
        <v>60</v>
      </c>
      <c r="Y7" s="66">
        <f>COUNTIF('1'!$D$4:$D$21,X7)+COUNTIF('2'!$D$4:$D$21,X7)+COUNTIF('3'!$D$4:$D$21,X7)+COUNTIF('4'!$D$4:$D$22,X7)+COUNTIF('5'!$D$4:$D$22,X7)+COUNTIF('6'!$D$4:$D$21,X7)+COUNTIF('7'!$D$4:$D$21,X7)+COUNTIF('8'!$D$4:$D$24,X7)+COUNTIF('9'!$D$4:$D$21,X7)+COUNTIF('10'!$D$4:$D$21,X7)+COUNTIF('11'!$D$4:$D$25,X7)+COUNTIF('12'!$D$4:$D$25,X7)+COUNTIF('13'!$D$4:$D$22,X7)+COUNTIF('14'!$D$4:$D$28,X7)+COUNTIF('15'!$D$4:$D$27,X7)+COUNTIF('16'!$D$4:$D$23,X7)+COUNTIF('17'!$D$4:$D$28,X7)+COUNTIF('18'!$D$4:$D$28,X7)+COUNTIF('19'!$D$4:$D$21,X7)+COUNTIF('20'!$D$4:$D$26,X7)+COUNTIF('21'!$D$4:$D$21,X7)+COUNTIF('22'!$D$4:$D$27,X7)+COUNTIF('23'!$D$4:$D$37,X7)+COUNTIF('24'!$D$4:$D$30,X7)+COUNTIF('25'!$D$4:$D$24,X7)+COUNTIF('26'!$D$4:$D$28,X7)+COUNTIF('27'!$D$4:$D$33,X7)+COUNTIF('28'!$D$4:$D$28,X7)+COUNTIF('29'!$D$4:$D$32,X7)+COUNTIF('30'!$D$4:$D$24,X7)+COUNTIF('31'!$D$4:$D$45,X7)</f>
        <v>22</v>
      </c>
      <c r="Z7" s="66">
        <f t="shared" si="1"/>
        <v>22.00011</v>
      </c>
      <c r="AA7" s="66" t="s">
        <v>29</v>
      </c>
      <c r="AB7" s="66" t="s">
        <v>557</v>
      </c>
      <c r="AC7" s="66">
        <f>COUNTIF('1'!$O$23:$O$26,AA7)+COUNTIF('2'!$O$23:$O$26,AA7)+COUNTIF('3'!$O$23:$O$26,AA7)+COUNTIF('4'!$O$24:$O$27,AA7)+COUNTIF('5'!$O$24:$O$27,AA7)+COUNTIF('6'!$O$23:$O$26,AA7)+COUNTIF('7'!$O$23:$O$26,AA7)+COUNTIF('8'!$O$26:$O$29,AA7)+COUNTIF('9'!$O$23:$O$26,AA7)+COUNTIF('10'!$O$23:$O$26,AA7)+COUNTIF('11'!$O$27:$O$30,AA7)+COUNTIF('12'!$O$27:$O$30,AA7)+COUNTIF('13'!$O$24:$O$27,AA7)+COUNTIF('14'!$O$30:$O$33,AA7)+COUNTIF('15'!$O$29:$O$32,AA7)+COUNTIF('16'!$O$25:$O$28,AA7)+COUNTIF('17'!$O$30:$O$33,AA7)+COUNTIF('18'!$O$30:$O$33,AA7)+COUNTIF('19'!$O$23:$O$26,AA7)+COUNTIF('20'!$O$28:$O$31,AA7)+COUNTIF('21'!$O$23:$O$26,AA7)+COUNTIF('22'!$O$29:$O$32,AA7)+COUNTIF('23'!$O$39:$O$42,AA7)+COUNTIF('24'!$O$32:$O$35,AA7)+COUNTIF('25'!$O$26:$O$29,AA7)+COUNTIF('26'!$O$30:$O$33,AA7)+COUNTIF('27'!$O$35:$O$38,AA7)+COUNTIF('28'!$O$30:$O$33,AA7)+COUNTIF('29'!$O$34:$O$37,AA7)+COUNTIF('30'!$O$26:$O$29,AA7)+COUNTIF('31'!$O$47:$O$50,AA7)</f>
        <v>31</v>
      </c>
      <c r="AD7" s="66">
        <f t="shared" si="2"/>
        <v>31.00009</v>
      </c>
      <c r="AE7" s="66" t="s">
        <v>29</v>
      </c>
      <c r="AF7" s="66">
        <f>COUNTIF('1'!$L$4:$L$21,AE7)+COUNTIF('2'!$L$4:$L$21,AE7)+COUNTIF('3'!$L$4:$L$21,AE7)+COUNTIF('4'!$L$4:$L$22,AE7)+COUNTIF('5'!$L$4:$L$22,AE7)+COUNTIF('6'!$L$4:$L$21,AE7)+COUNTIF('7'!$L$4:$L$21,AE7)+COUNTIF('8'!$L$4:$L$24,AE7)+COUNTIF('9'!$L$4:$L$21,AE7)+COUNTIF('10'!$L$4:$L$21,AE7)+COUNTIF('11'!$L$4:$L$25,AE7)+COUNTIF('12'!$L$4:$L$25,AE7)+COUNTIF('13'!$L$4:$L$22,AE7)+COUNTIF('14'!$L$4:$L$28,AE7)+COUNTIF('15'!$L$4:$L$27,AE7)+COUNTIF('16'!$L$4:$L$23,AE7)+COUNTIF('17'!$L$4:$L$28,AE7)+COUNTIF('18'!$L$4:$L$28,AE7)+COUNTIF('19'!$L$4:$L$21,AE7)+COUNTIF('20'!$L$4:$L$26,AE7)+COUNTIF('21'!$L$4:$L$21,AE7)+COUNTIF('22'!$L$4:$L$27,AE7)+COUNTIF('23'!$L$4:$L$37,AE7)+COUNTIF('24'!$L$4:$L$30,AE7)+COUNTIF('25'!$L$4:$L$24,AE7)+COUNTIF('26'!$L$4:$L$28,AE7)+COUNTIF('27'!$L$4:$L$33,AE7)+COUNTIF('28'!$L$4:$L$28,AE7)+COUNTIF('29'!$L$4:$L$32,AE7)+COUNTIF('30'!$L$4:$L$24,AE7)+COUNTIF('31'!$L$4:$L$45,AE7)</f>
        <v>241</v>
      </c>
      <c r="AG7" s="66">
        <f t="shared" si="3"/>
        <v>241.00003</v>
      </c>
      <c r="AH7" s="66" t="s">
        <v>37</v>
      </c>
      <c r="AI7" s="66">
        <f>COUNTIF('1'!$M$4:$M$21,AH7)+COUNTIF('2'!$M$4:$M$21,AH7)+COUNTIF('3'!$M$4:$M$21,AH7)+COUNTIF('4'!$M$4:$M$22,AH7)+COUNTIF('5'!$M$4:$M$22,AH7)+COUNTIF('6'!$M$4:$M$21,AH7)+COUNTIF('7'!$M$4:$M$21,AH7)+COUNTIF('8'!$M$4:$M$24,AH7)+COUNTIF('9'!$M$4:$M$21,AH7)+COUNTIF('10'!$M$4:$M$21,AH7)+COUNTIF('11'!$M$4:$M$25,AH7)+COUNTIF('12'!$M$4:$M$25,AH7)+COUNTIF('13'!$M$4:$M$22,AH7)+COUNTIF('14'!$M$4:$M$28,AH7)+COUNTIF('15'!$M$4:$M$27,AH7)+COUNTIF('16'!$M$4:$M$23,AH7)+COUNTIF('17'!$M$4:$M$28,AH7)+COUNTIF('18'!$M$4:$M$28,AH7)+COUNTIF('19'!$M$4:$M$21,AH7)+COUNTIF('20'!$M$4:$M$26,AH7)+COUNTIF('21'!$M$4:$M$21,AH7)+COUNTIF('22'!$M$4:$M$27,AH7)+COUNTIF('23'!$M$4:$M$37,AH7)+COUNTIF('24'!$M$4:$M$30,AH7)+COUNTIF('25'!$M$4:$M$24,AH7)+COUNTIF('26'!$M$4:$M$28,AH7)+COUNTIF('27'!$M$4:$M$33,AH7)+COUNTIF('28'!$M$4:$M$28,AH7)+COUNTIF('29'!$M$4:$M$32,AH7)+COUNTIF('30'!$M$4:$M$24,AH7)+COUNTIF('31'!$M$4:$M$45,AH7)</f>
        <v>102</v>
      </c>
      <c r="AJ7" s="66">
        <f t="shared" si="4"/>
        <v>102.00004</v>
      </c>
      <c r="AK7" s="66" t="s">
        <v>29</v>
      </c>
      <c r="AL7" s="66" t="s">
        <v>557</v>
      </c>
      <c r="AM7" s="66">
        <f>COUNTIFS('1'!$AG$30:$AG$35,AK7,'1'!$AF$30:$AF$35,1)+COUNTIFS('2'!$AG$30:$AG$35,AK7,'2'!$AF$30:$AF$35,1)+COUNTIFS('3'!$AG$30:$AG$35,AK7,'3'!$AF$30:$AF$35,1)+COUNTIFS('4'!$AG$31:$AG$36,AK7,'4'!$AF$31:$AF$36,1)+COUNTIFS('5'!$AG$31:$AG$36,AK7,'5'!$AF$31:$AF$36,1)+COUNTIFS('6'!$AG$30:$AG$35,AK7,'6'!$AF$30:$AF$35,1)+COUNTIFS('7'!$AG$30:$AG$35,AK7,'7'!$AF$30:$AF$35,1)+COUNTIFS('8'!$AG$33:$AG$38,AK7,'8'!$AF$33:$AF$38,1)+COUNTIFS('9'!$AG$30:$AG$35,AK7,'9'!$AF$30:$AF$35,1)+COUNTIFS('10'!$AG$30:$AG$35,AK7,'10'!$AF$30:$AF$35,1)+COUNTIFS('11'!$AG$34:$AG$39,AK7,'11'!$AF$34:$AF$39,1)+COUNTIFS('12'!$AG$34:$AG$39,AK7,'12'!$AF$34:$AF$39,1)+COUNTIFS('13'!$AG$31:$AG$36,AK7,'13'!$AF$31:$AF$36,1)+COUNTIFS('14'!$AG$37:$AG$42,AK7,'14'!$AF$37:$AF$42,1)+COUNTIFS('15'!$AG$36:$AG$41,AK7,'15'!$AF$36:$AF$41,1)+COUNTIFS('16'!$AG$32:$AG$37,AK7,'16'!$AF$32:$AF$37,1)+COUNTIFS('17'!$AG$37:$AG$42,AK7,'17'!$AF$37:$AF$42,1)+COUNTIFS('18'!$AG$37:$AG$42,AK7,'18'!$AF$37:$AF$42,1)+COUNTIFS('19'!$AG$30:$AG$35,AK7,'19'!$AF$30:$AF$35,1)+COUNTIFS('20'!$AG$35:$AG$40,AK7,'20'!$AF$35:$AF$40,1)+COUNTIFS('21'!$AG$30:$AG$35,AK7,'21'!$AF$30:$AF$35,1)+COUNTIFS('22'!$AG$36:$AG$41,AK7,'22'!$AF$36:$AF$41,1)+COUNTIFS('23'!$AG$46:$AG$51,AK7,'23'!$AF$46:$AF$51,1)+COUNTIFS('24'!$AG$39:$AG$44,AK7,'24'!$AF$39:$AF$44,1)+COUNTIFS('25'!$AG$33:$AG$38,AK7,'25'!$AF$33:$AF$38,1)+COUNTIFS('26'!$AG$37:$AG$42,AK7,'26'!$AF$37:$AF$42,1)+COUNTIFS('27'!$AG$42:$AG$47,AK7,'27'!$AF$42:$AF$47,1)+COUNTIFS('28'!$AG$37:$AG$42,AK7,'28'!$AF$37:$AF$42,1)+COUNTIFS('29'!$AG$41:$AG$46,AK7,'29'!$AF$41:$AF$46,1)+COUNTIFS('30'!$AG$33:$AG$38,AK7,'30'!$AF$33:$AF$38,1)+COUNTIFS('31'!$AG$56:$AG$61,AK7,'31'!$AF$56:$AF$61,1)</f>
        <v>31</v>
      </c>
      <c r="AN7" s="66">
        <f t="shared" si="5"/>
        <v>96.74193548</v>
      </c>
      <c r="AO7" s="66">
        <f>IF(AM7=0,"",(SUMIFS('1'!$L$30:$L$35,'1'!$AG$30:$AG$35,AK7,'1'!$AF$30:$AF$35,1)+SUMIFS('2'!$L$30:$L$35,'2'!$AG$30:$AG$35,AK7,'2'!$AF$30:$AF$35,1)+SUMIFS('3'!$L$30:$L$35,'3'!$AG$30:$AG$35,AK7,'3'!$AF$30:$AF$35,1)+SUMIFS('4'!$L$31:$L$36,'4'!$AG$31:$AG$36,AK7,'4'!$AF$31:$AF$36,1)+SUMIFS('5'!$L$31:$L$36,'5'!$AG$31:$AG$36,AK7,'5'!$AF$31:$AF$36,1)+SUMIFS('6'!$L$30:$L$35,'6'!$AG$30:$AG$35,AK7,'6'!$AF$30:$AF$35,1)+SUMIFS('7'!$L$30:$L$35,'7'!$AG$30:$AG$35,AK7,'7'!$AF$30:$AF$35,1)+SUMIFS('8'!$L$33:$L$38,'8'!$AG$33:$AG$38,AK7,'8'!$AF$33:$AF$38,1)+SUMIFS('9'!$L$30:$L$35,'9'!$AG$30:$AG$35,AK7,'9'!$AF$30:$AF$35,1)+SUMIFS('10'!$L$30:$L$35,'10'!$AG$30:$AG$35,AK7,'10'!$AF$30:$AF$35,1)+SUMIFS('11'!$L$34:$L$39,'11'!$AG$34:$AG$39,AK7,'11'!$AF$34:$AF$39,1)+SUMIFS('12'!$L$34:$L$39,'12'!$AG$34:$AG$39,AK7,'12'!$AF$34:$AF$39,1)+SUMIFS('13'!$L$31:$L$36,'13'!$AG$31:$AG$36,AK7,'13'!$AF$31:$AF$36,1)+SUMIFS('14'!$L$37:$L$42,'14'!$AG$37:$AG$42,AK7,'14'!$AF$37:$AF$42,1)+SUMIFS('15'!$L$36:$L$41,'15'!$AG$36:$AG$41,AK7,'15'!$AF$36:$AF$41,1)+SUMIFS('16'!$L$32:$L$37,'16'!$AG$32:$AG$37,AK7,'16'!$AF$32:$AF$37,1)+SUMIFS('17'!$L$37:$L$42,'17'!$AG$37:$AG$42,AK7,'17'!$AF$37:$AF$42,1)+SUMIFS('18'!$L$37:$L$42,'18'!$AG$37:$AG$42,AK7,'18'!$AF$37:$AF$42,1)+SUMIFS('19'!$L$30:$L$35,'19'!$AG$30:$AG$35,AK7,'19'!$AF$30:$AF$35,1)+SUMIFS('20'!$L$35:$L$40,'20'!$AG$35:$AG$40,AK7,'20'!$AF$35:$AF$40,1)+SUMIFS('21'!$L$30:$L$35,'21'!$AG$30:$AG$35,AK7,'21'!$AF$30:$AF$35,1)+SUMIFS('22'!$L$36:$L$41,'22'!$AG$36:$AG$41,AK7,'22'!$AF$36:$AF$41,1)+SUMIFS('23'!$L$46:$L$51,'23'!$AG$46:$AG$51,AK7,'23'!$AF$46:$AF$51,1)+SUMIFS('24'!$L$39:$L$44,'24'!$AG$39:$AG$44,AK7,'24'!$AF$39:$AF$44,1)+SUMIFS('25'!$L$33:$L$38,'25'!$AG$33:$AG$38,AK7,'25'!$AF$33:$AF$38,1)+SUMIFS('26'!$L$37:$L$42,'26'!$AG$37:$AG$42,AK7,'26'!$AF$37:$AF$42,1)+SUMIFS('27'!$L$42:$L$47,'27'!$AG$42:$AG$47,AK7,'27'!$AF$42:$AF$47,1)+SUMIFS('28'!$L$37:$L$42,'28'!$AG$37:$AG$42,AK7,'28'!$AF$37:$AF$42,1)+SUMIFS('29'!$L$41:$L$46,'29'!$AG$41:$AG$46,AK7,'29'!$AF$41:$AF$46,1)+SUMIFS('30'!$L$33:$L$38,'30'!$AG$33:$AG$38,AK7,'30'!$AF$33:$AF$38,1)+SUMIFS('31'!$L$56:$L$61,'31'!$AG$56:$AG$61,AK7,'31'!$AF$56:$AF$61,1))/AM7)</f>
        <v>4.935483871</v>
      </c>
      <c r="AP7" s="66">
        <f>IF(AM7=0,"",(SUMIFS('1'!$M$30:$M$35,'1'!$AG$30:$AG$35,AK7,'1'!$AF$30:$AF$35,1)+SUMIFS('2'!$M$30:$M$35,'2'!$AG$30:$AG$35,AK7,'2'!$AF$30:$AF$35,1)+SUMIFS('3'!$M$30:$M$35,'3'!$AG$30:$AG$35,AK7,'3'!$AF$30:$AF$35,1)+SUMIFS('4'!$M$31:$M$36,'4'!$AG$31:$AG$36,AK7,'4'!$AF$31:$AF$36,1)+SUMIFS('5'!$M$31:$M$36,'5'!$AG$31:$AG$36,AK7,'5'!$AF$31:$AF$36,1)+SUMIFS('6'!$M$30:$M$35,'6'!$AG$30:$AG$35,AK7,'6'!$AF$30:$AF$35,1)+SUMIFS('7'!$M$30:$M$35,'7'!$AG$30:$AG$35,AK7,'7'!$AF$30:$AF$35,1)+SUMIFS('8'!$M$33:$M$38,'8'!$AG$33:$AG$38,AK7,'8'!$AF$33:$AF$38,1)+SUMIFS('9'!$M$30:$M$35,'9'!$AG$30:$AG$35,AK7,'9'!$AF$30:$AF$35,1)+SUMIFS('10'!$M$30:$M$35,'10'!$AG$30:$AG$35,AK7,'10'!$AF$30:$AF$35,1)+SUMIFS('11'!$M$34:$M$39,'11'!$AG$34:$AG$39,AK7,'11'!$AF$34:$AF$39,1)+SUMIFS('12'!$M$34:$M$39,'12'!$AG$34:$AG$39,AK7,'12'!$AF$34:$AF$39,1)+SUMIFS('13'!$M$31:$M$36,'13'!$AG$31:$AG$36,AK7,'13'!$AF$31:$AF$36,1)+SUMIFS('14'!$M$37:$M$42,'14'!$AG$37:$AG$42,AK7,'14'!$AF$37:$AF$42,1)+SUMIFS('15'!$M$36:$M$41,'15'!$AG$36:$AG$41,AK7,'15'!$AF$36:$AF$41,1)+SUMIFS('16'!$M$32:$M$37,'16'!$AG$32:$AG$37,AK7,'16'!$AF$32:$AF$37,1)+SUMIFS('17'!$M$37:$M$42,'17'!$AG$37:$AG$42,AK7,'17'!$AF$37:$AF$42,1)+SUMIFS('18'!$M$37:$M$42,'18'!$AG$37:$AG$42,AK7,'18'!$AF$37:$AF$42,1)+SUMIFS('19'!$M$30:$M$35,'19'!$AG$30:$AG$35,AK7,'19'!$AF$30:$AF$35,1)+SUMIFS('20'!$M$35:$M$40,'20'!$AG$35:$AG$40,AK7,'20'!$AF$35:$AF$40,1)+SUMIFS('21'!$M$30:$M$35,'21'!$AG$30:$AG$35,AK7,'21'!$AF$30:$AF$35,1)+SUMIFS('22'!$M$36:$M$41,'22'!$AG$36:$AG$41,AK7,'22'!$AF$36:$AF$41,1)+SUMIFS('23'!$M$46:$M$51,'23'!$AG$46:$AG$51,AK7,'23'!$AF$46:$AF$51,1)+SUMIFS('24'!$M$39:$M$44,'24'!$AG$39:$AG$44,AK7,'24'!$AF$39:$AF$44,1)+SUMIFS('25'!$M$33:$M$38,'25'!$AG$33:$AG$38,AK7,'25'!$AF$33:$AF$38,1)+SUMIFS('26'!$M$37:$M$42,'26'!$AG$37:$AG$42,AK7,'26'!$AF$37:$AF$42,1)+SUMIFS('27'!$M$42:$M$47,'27'!$AG$42:$AG$47,AK7,'27'!$AF$42:$AF$47,1)+SUMIFS('28'!$M$37:$M$42,'28'!$AG$37:$AG$42,AK7,'28'!$AF$37:$AF$42,1)+SUMIFS('29'!$M$41:$M$46,'29'!$AG$41:$AG$46,AK7,'29'!$AF$41:$AF$46,1)+SUMIFS('30'!$M$33:$M$38,'30'!$AG$33:$AG$38,AK7,'30'!$AF$33:$AF$38,1)+SUMIFS('31'!$M$56:$M$61,'31'!$AG$56:$AG$61,AK7,'31'!$AF$56:$AF$61,1))/AM7)</f>
        <v>4.870967742</v>
      </c>
      <c r="AQ7" s="66">
        <f>IF(AM7=0,"",(SUMIFS('1'!$N$30:$N$35,'1'!$AG$30:$AG$35,AK7,'1'!$AF$30:$AF$35,1)+SUMIFS('2'!$N$30:$N$35,'2'!$AG$30:$AG$35,AK7,'2'!$AF$30:$AF$35,1)+SUMIFS('3'!$N$30:$N$35,'3'!$AG$30:$AG$35,AK7,'3'!$AF$30:$AF$35,1)+SUMIFS('4'!$N$31:$N$36,'4'!$AG$31:$AG$36,AK7,'4'!$AF$31:$AF$36,1)+SUMIFS('5'!$N$31:$N$36,'5'!$AG$31:$AG$36,AK7,'5'!$AF$31:$AF$36,1)+SUMIFS('6'!$N$30:$N$35,'6'!$AG$30:$AG$35,AK7,'6'!$AF$30:$AF$35,1)+SUMIFS('7'!$N$30:$N$35,'7'!$AG$30:$AG$35,AK7,'7'!$AF$30:$AF$35,1)+SUMIFS('8'!$N$33:$N$38,'8'!$AG$33:$AG$38,AK7,'8'!$AF$33:$AF$38,1)+SUMIFS('9'!$N$30:$N$35,'9'!$AG$30:$AG$35,AK7,'9'!$AF$30:$AF$35,1)+SUMIFS('10'!$N$30:$N$35,'10'!$AG$30:$AG$35,AK7,'10'!$AF$30:$AF$35,1)+SUMIFS('11'!$N$34:$N$39,'11'!$AG$34:$AG$39,AK7,'11'!$AF$34:$AF$39,1)+SUMIFS('12'!$N$34:$N$39,'12'!$AG$34:$AG$39,AK7,'12'!$AF$34:$AF$39,1)+SUMIFS('13'!$N$31:$N$36,'13'!$AG$31:$AG$36,AK7,'13'!$AF$31:$AF$36,1)+SUMIFS('14'!$N$37:$N$42,'14'!$AG$37:$AG$42,AK7,'14'!$AF$37:$AF$42,1)+SUMIFS('15'!$N$36:$N$41,'15'!$AG$36:$AG$41,AK7,'15'!$AF$36:$AF$41,1)+SUMIFS('16'!$N$32:$N$37,'16'!$AG$32:$AG$37,AK7,'16'!$AF$32:$AF$37,1)+SUMIFS('17'!$N$37:$N$42,'17'!$AG$37:$AG$42,AK7,'17'!$AF$37:$AF$42,1)+SUMIFS('18'!$N$37:$N$42,'18'!$AG$37:$AG$42,AK7,'18'!$AF$37:$AF$42,1)+SUMIFS('19'!$N$30:$N$35,'19'!$AG$30:$AG$35,AK7,'19'!$AF$30:$AF$35,1)+SUMIFS('20'!$N$35:$N$40,'20'!$AG$35:$AG$40,AK7,'20'!$AF$35:$AF$40,1)+SUMIFS('21'!$N$30:$N$35,'21'!$AG$30:$AG$35,AK7,'21'!$AF$30:$AF$35,1)+SUMIFS('22'!$N$36:$N$41,'22'!$AG$36:$AG$41,AK7,'22'!$AF$36:$AF$41,1)+SUMIFS('23'!$N$46:$N$51,'23'!$AG$46:$AG$51,AK7,'23'!$AF$46:$AF$51,1)+SUMIFS('24'!$N$39:$N$44,'24'!$AG$39:$AG$44,AK7,'24'!$AF$39:$AF$44,1)+SUMIFS('25'!$N$33:$N$38,'25'!$AG$33:$AG$38,AK7,'25'!$AF$33:$AF$38,1)+SUMIFS('26'!$N$37:$N$42,'26'!$AG$37:$AG$42,AK7,'26'!$AF$37:$AF$42,1)+SUMIFS('27'!$N$42:$N$47,'27'!$AG$42:$AG$47,AK7,'27'!$AF$42:$AF$47,1)+SUMIFS('28'!$N$37:$N$42,'28'!$AG$37:$AG$42,AK7,'28'!$AF$37:$AF$42,1)+SUMIFS('29'!$N$41:$N$46,'29'!$AG$41:$AG$46,AK7,'29'!$AF$41:$AF$46,1)+SUMIFS('30'!$N$33:$N$38,'30'!$AG$33:$AG$38,AK7,'30'!$AF$33:$AF$38,1)+SUMIFS('31'!$N$56:$N$61,'31'!$AG$56:$AG$61,AK7,'31'!$AF$56:$AF$61,1))/AM7)</f>
        <v>4.838709677</v>
      </c>
      <c r="AR7" s="66">
        <f>IF(AM7=0,"",(SUMIFS('1'!$O$30:$O$35,'1'!$AG$30:$AG$35,AK7,'1'!$AF$30:$AF$35,1)+SUMIFS('2'!$O$30:$O$35,'2'!$AG$30:$AG$35,AK7,'2'!$AF$30:$AF$35,1)+SUMIFS('3'!$O$30:$O$35,'3'!$AG$30:$AG$35,AK7,'3'!$AF$30:$AF$35,1)+SUMIFS('4'!$O$31:$O$36,'4'!$AG$31:$AG$36,AK7,'4'!$AF$31:$AF$36,1)+SUMIFS('5'!$O$31:$O$36,'5'!$AG$31:$AG$36,AK7,'5'!$AF$31:$AF$36,1)+SUMIFS('6'!$O$30:$O$35,'6'!$AG$30:$AG$35,AK7,'6'!$AF$30:$AF$35,1)+SUMIFS('7'!$O$30:$O$35,'7'!$AG$30:$AG$35,AK7,'7'!$AF$30:$AF$35,1)+SUMIFS('8'!$O$33:$O$38,'8'!$AG$33:$AG$38,AK7,'8'!$AF$33:$AF$38,1)+SUMIFS('9'!$O$30:$O$35,'9'!$AG$30:$AG$35,AK7,'9'!$AF$30:$AF$35,1)+SUMIFS('10'!$O$30:$O$35,'10'!$AG$30:$AG$35,AK7,'10'!$AF$30:$AF$35,1)+SUMIFS('11'!$O$34:$O$39,'11'!$AG$34:$AG$39,AK7,'11'!$AF$34:$AF$39,1)+SUMIFS('12'!$O$34:$O$39,'12'!$AG$34:$AG$39,AK7,'12'!$AF$34:$AF$39,1)+SUMIFS('13'!$O$31:$O$36,'13'!$AG$31:$AG$36,AK7,'13'!$AF$31:$AF$36,1)+SUMIFS('14'!$O$37:$O$42,'14'!$AG$37:$AG$42,AK7,'14'!$AF$37:$AF$42,1)+SUMIFS('15'!$O$36:$O$41,'15'!$AG$36:$AG$41,AK7,'15'!$AF$36:$AF$41,1)+SUMIFS('16'!$O$32:$O$37,'16'!$AG$32:$AG$37,AK7,'16'!$AF$32:$AF$37,1)+SUMIFS('17'!$O$37:$O$42,'17'!$AG$37:$AG$42,AK7,'17'!$AF$37:$AF$42,1)+SUMIFS('18'!$O$37:$O$42,'18'!$AG$37:$AG$42,AK7,'18'!$AF$37:$AF$42,1)+SUMIFS('19'!$O$30:$O$35,'19'!$AG$30:$AG$35,AK7,'19'!$AF$30:$AF$35,1)+SUMIFS('20'!$O$35:$O$40,'20'!$AG$35:$AG$40,AK7,'20'!$AF$35:$AF$40,1)+SUMIFS('21'!$O$30:$O$35,'21'!$AG$30:$AG$35,AK7,'21'!$AF$30:$AF$35,1)+SUMIFS('22'!$O$36:$O$41,'22'!$AG$36:$AG$41,AK7,'22'!$AF$36:$AF$41,1)+SUMIFS('23'!$O$46:$O$51,'23'!$AG$46:$AG$51,AK7,'23'!$AF$46:$AF$51,1)+SUMIFS('24'!$O$39:$O$44,'24'!$AG$39:$AG$44,AK7,'24'!$AF$39:$AF$44,1)+SUMIFS('25'!$O$33:$O$38,'25'!$AG$33:$AG$38,AK7,'25'!$AF$33:$AF$38,1)+SUMIFS('26'!$O$37:$O$42,'26'!$AG$37:$AG$42,AK7,'26'!$AF$37:$AF$42,1)+SUMIFS('27'!$O$42:$O$47,'27'!$AG$42:$AG$47,AK7,'27'!$AF$42:$AF$47,1)+SUMIFS('28'!$O$37:$O$42,'28'!$AG$37:$AG$42,AK7,'28'!$AF$37:$AF$42,1)+SUMIFS('29'!$O$41:$O$46,'29'!$AG$41:$AG$46,AK7,'29'!$AF$41:$AF$46,1)+SUMIFS('30'!$O$33:$O$38,'30'!$AG$33:$AG$38,AK7,'30'!$AF$33:$AF$38,1)+SUMIFS('31'!$O$56:$O$61,'31'!$AG$56:$AG$61,AK7,'31'!$AF$56:$AF$61,1))/AM7)</f>
        <v>4.774193548</v>
      </c>
      <c r="AS7" s="66">
        <f>IF(AM7=0,"",(SUMIFS('1'!$P$30:$P$35,'1'!$AG$30:$AG$35,AK7,'1'!$AF$30:$AF$35,1)+SUMIFS('2'!$P$30:$P$35,'2'!$AG$30:$AG$35,AK7,'2'!$AF$30:$AF$35,1)+SUMIFS('3'!$P$30:$P$35,'3'!$AG$30:$AG$35,AK7,'3'!$AF$30:$AF$35,1)+SUMIFS('4'!$P$31:$P$36,'4'!$AG$31:$AG$36,AK7,'4'!$AF$31:$AF$36,1)+SUMIFS('5'!$P$31:$P$36,'5'!$AG$31:$AG$36,AK7,'5'!$AF$31:$AF$36,1)+SUMIFS('6'!$P$30:$P$35,'6'!$AG$30:$AG$35,AK7,'6'!$AF$30:$AF$35,1)+SUMIFS('7'!$P$30:$P$35,'7'!$AG$30:$AG$35,AK7,'7'!$AF$30:$AF$35,1)+SUMIFS('8'!$P$33:$P$38,'8'!$AG$33:$AG$38,AK7,'8'!$AF$33:$AF$38,1)+SUMIFS('9'!$P$30:$P$35,'9'!$AG$30:$AG$35,AK7,'9'!$AF$30:$AF$35,1)+SUMIFS('10'!$P$30:$P$35,'10'!$AG$30:$AG$35,AK7,'10'!$AF$30:$AF$35,1)+SUMIFS('11'!$P$34:$P$39,'11'!$AG$34:$AG$39,AK7,'11'!$AF$34:$AF$39,1)+SUMIFS('12'!$P$34:$P$39,'12'!$AG$34:$AG$39,AK7,'12'!$AF$34:$AF$39,1)+SUMIFS('13'!$P$31:$P$36,'13'!$AG$31:$AG$36,AK7,'13'!$AF$31:$AF$36,1)+SUMIFS('14'!$P$37:$P$42,'14'!$AG$37:$AG$42,AK7,'14'!$AF$37:$AF$42,1)+SUMIFS('15'!$P$36:$P$41,'15'!$AG$36:$AG$41,AK7,'15'!$AF$36:$AF$41,1)+SUMIFS('16'!$P$32:$P$37,'16'!$AG$32:$AG$37,AK7,'16'!$AF$32:$AF$37,1)+SUMIFS('17'!$P$37:$P$42,'17'!$AG$37:$AG$42,AK7,'17'!$AF$37:$AF$42,1)+SUMIFS('18'!$P$37:$P$42,'18'!$AG$37:$AG$42,AK7,'18'!$AF$37:$AF$42,1)+SUMIFS('19'!$P$30:$P$35,'19'!$AG$30:$AG$35,AK7,'19'!$AF$30:$AF$35,1)+SUMIFS('20'!$P$35:$P$40,'20'!$AG$35:$AG$40,AK7,'20'!$AF$35:$AF$40,1)+SUMIFS('21'!$P$30:$P$35,'21'!$AG$30:$AG$35,AK7,'21'!$AF$30:$AF$35,1)+SUMIFS('22'!$P$36:$P$41,'22'!$AG$36:$AG$41,AK7,'22'!$AF$36:$AF$41,1)+SUMIFS('23'!$P$46:$P$51,'23'!$AG$46:$AG$51,AK7,'23'!$AF$46:$AF$51,1)+SUMIFS('24'!$P$39:$P$44,'24'!$AG$39:$AG$44,AK7,'24'!$AF$39:$AF$44,1)+SUMIFS('25'!$P$33:$P$38,'25'!$AG$33:$AG$38,AK7,'25'!$AF$33:$AF$38,1)+SUMIFS('26'!$P$37:$P$42,'26'!$AG$37:$AG$42,AK7,'26'!$AF$37:$AF$42,1)+SUMIFS('27'!$P$42:$P$47,'27'!$AG$42:$AG$47,AK7,'27'!$AF$42:$AF$47,1)+SUMIFS('28'!$P$37:$P$42,'28'!$AG$37:$AG$42,AK7,'28'!$AF$37:$AF$42,1)+SUMIFS('29'!$P$41:$P$46,'29'!$AG$41:$AG$46,AK7,'29'!$AF$41:$AF$46,1)+SUMIFS('30'!$P$33:$P$38,'30'!$AG$33:$AG$38,AK7,'30'!$AF$33:$AF$38,1)+SUMIFS('31'!$P$56:$P$61,'31'!$AG$56:$AG$61,AK7,'31'!$AF$56:$AF$61,1))/AM7)</f>
        <v>4.709677419</v>
      </c>
      <c r="AV7" s="66">
        <f>IF(COUNTIFS('1'!$AG$30:$AG$35,$AK7,'1'!$AF$30:$AF$35,1)=0,"",SUMIFS('1'!$AC$30:$AC$35,'1'!$AG$30:$AG$35,$AK7,'1'!$AF$30:$AF$35,1)/COUNTIFS('1'!$AG$30:$AG$35,$AK7,'1'!$AF$30:$AF$35,1))</f>
        <v>92</v>
      </c>
      <c r="AW7" s="66">
        <f>IF(COUNTIFS('2'!$AG$30:$AG$35,$AK7,'2'!$AF$30:$AF$35,1)=0,"",SUMIFS('2'!$AC$30:$AC$35,'2'!$AG$30:$AG$35,$AK7,'2'!$AF$30:$AF$35,1)/COUNTIFS('2'!$AG$30:$AG$35,$AK7,'2'!$AF$30:$AF$35,1))</f>
        <v>100</v>
      </c>
      <c r="AX7" s="66">
        <f>IF(COUNTIFS('3'!$AG$30:$AG$35,$AK7,'3'!$AF$30:$AF$35,1)=0,"",SUMIFS('3'!$AC$30:$AC$35,'3'!$AG$30:$AG$35,$AK7,'3'!$AF$30:$AF$35,1)/COUNTIFS('3'!$AG$30:$AG$35,$AK7,'3'!$AF$30:$AF$35,1))</f>
        <v>100</v>
      </c>
      <c r="AY7" s="66">
        <f>IF(COUNTIFS('4'!$AG$31:$AG$36,$AK7,'4'!$AF$31:$AF$36,1)=0,"",SUMIFS('4'!$AC$31:$AC$36,'4'!$AG$31:$AG$36,$AK7,'4'!$AF$31:$AF$36,1)/COUNTIFS('4'!$AG$31:$AG$36,$AK7,'4'!$AF$31:$AF$36,1))</f>
        <v>100</v>
      </c>
      <c r="AZ7" s="66">
        <f>IF(COUNTIFS('5'!$AG$31:$AG$36,$AK7,'5'!$AF$31:$AF$36,1)=0,"",SUMIFS('5'!$AC$31:$AC$36,'5'!$AG$31:$AG$36,$AK7,'5'!$AF$31:$AF$36,1)/COUNTIFS('5'!$AG$31:$AG$36,$AK7,'5'!$AF$31:$AF$36,1))</f>
        <v>100</v>
      </c>
      <c r="BA7" s="66">
        <f>IF(COUNTIFS('6'!$AG$30:$AG$35,$AK7,'6'!$AF$30:$AF$35,1)=0,"",SUMIFS('6'!$AC$30:$AC$35,'6'!$AG$30:$AG$35,$AK7,'6'!$AF$30:$AF$35,1)/COUNTIFS('6'!$AG$30:$AG$35,$AK7,'6'!$AF$30:$AF$35,1))</f>
        <v>89</v>
      </c>
      <c r="BB7" s="66" t="str">
        <f>IF(COUNTIFS('7'!$AG$30:$AG$35,$AK7,'7'!$AF$30:$AF$35,1)=0,"",SUMIFS('7'!$AC$30:$AC$35,'7'!$AG$30:$AG$35,$AK7,'7'!$AF$30:$AF$35,1)/COUNTIFS('7'!$AG$30:$AG$35,$AK7,'7'!$AF$30:$AF$35,1))</f>
        <v/>
      </c>
      <c r="BC7" s="66">
        <f>IF(COUNTIFS('8'!$AG$33:$AG$38,$AK7,'8'!$AF$33:$AF$38,1)=0,"",SUMIFS('8'!$AC$33:$AC$38,'8'!$AG$33:$AG$38,$AK7,'8'!$AF$33:$AF$38,1)/COUNTIFS('8'!$AG$33:$AG$38,$AK7,'8'!$AF$33:$AF$38,1))</f>
        <v>100</v>
      </c>
      <c r="BD7" s="66">
        <f>IF(COUNTIFS('9'!$AG$30:$AG$35,$AK7,'9'!$AF$30:$AF$35,1)=0,"",SUMIFS('9'!$AC$30:$AC$35,'9'!$AG$30:$AG$35,$AK7,'9'!$AF$30:$AF$35,1)/COUNTIFS('9'!$AG$30:$AG$35,$AK7,'9'!$AF$30:$AF$35,1))</f>
        <v>100</v>
      </c>
      <c r="BE7" s="66" t="str">
        <f>IF(COUNTIFS('10'!$AG$30:$AG$35,$AK7,'10'!$AF$30:$AF$35,1)=0,"",SUMIFS('10'!$AC$30:$AC$35,'10'!$AG$30:$AG$35,$AK7,'10'!$AF$30:$AF$35,1)/COUNTIFS('10'!$AG$30:$AG$35,$AK7,'10'!$AF$30:$AF$35,1))</f>
        <v/>
      </c>
      <c r="BF7" s="66" t="str">
        <f>IF(COUNTIFS('11'!$AG$34:$AG$39,$AK7,'11'!$AF$34:$AF$39,1)=0,"",SUMIFS('11'!$AC$34:$AC$39,'11'!$AG$34:$AG$39,$AK7,'11'!$AF$34:$AF$39,1)/COUNTIFS('11'!$AG$34:$AG$39,$AK7,'11'!$AF$34:$AF$39,1))</f>
        <v/>
      </c>
      <c r="BG7" s="66">
        <f>IF(COUNTIFS('12'!$AG$34:$AG$39,$AK7,'12'!$AF$34:$AF$39,1)=0,"",SUMIFS('12'!$AC$34:$AC$39,'12'!$AG$34:$AG$39,$AK7,'12'!$AF$34:$AF$39,1)/COUNTIFS('12'!$AG$34:$AG$39,$AK7,'12'!$AF$34:$AF$39,1))</f>
        <v>100</v>
      </c>
      <c r="BH7" s="66">
        <f>IF(COUNTIFS('13'!$AG$31:$AG$36,$AK7,'13'!$AF$31:$AF$36,1)=0,"",SUMIFS('13'!$AC$31:$AC$36,'13'!$AG$31:$AG$36,$AK7,'13'!$AF$31:$AF$36,1)/COUNTIFS('13'!$AG$31:$AG$36,$AK7,'13'!$AF$31:$AF$36,1))</f>
        <v>100</v>
      </c>
      <c r="BI7" s="66">
        <f>IF(COUNTIFS('14'!$AG$37:$AG$42,$AK7,'14'!$AF$37:$AF$42,1)=0,"",SUMIFS('14'!$AC$37:$AC$42,'14'!$AG$37:$AG$42,$AK7,'14'!$AF$37:$AF$42,1)/COUNTIFS('14'!$AG$37:$AG$42,$AK7,'14'!$AF$37:$AF$42,1))</f>
        <v>100</v>
      </c>
      <c r="BJ7" s="66">
        <f>IF(COUNTIFS('15'!$AG$36:$AG$41,$AK7,'15'!$AF$36:$AF$41,1)=0,"",SUMIFS('15'!$AC$36:$AC$41,'15'!$AG$36:$AG$41,$AK7,'15'!$AF$36:$AF$41,1)/COUNTIFS('15'!$AG$36:$AG$41,$AK7,'15'!$AF$36:$AF$41,1))</f>
        <v>100</v>
      </c>
      <c r="BK7" s="66">
        <f>IF(COUNTIFS('16'!$AG$32:$AG$37,$AK7,'16'!$AF$32:$AF$37,1)=0,"",SUMIFS('16'!$AC$32:$AC$37,'16'!$AG$32:$AG$37,$AK7,'16'!$AF$32:$AF$37,1)/COUNTIFS('16'!$AG$32:$AG$37,$AK7,'16'!$AF$32:$AF$37,1))</f>
        <v>92</v>
      </c>
      <c r="BL7" s="66">
        <f>IF(COUNTIFS('17'!$AG$37:$AG$42,$AK7,'17'!$AF$37:$AF$42,1)=0,"",SUMIFS('17'!$AC$37:$AC$42,'17'!$AG$37:$AG$42,$AK7,'17'!$AF$37:$AF$42,1)/COUNTIFS('17'!$AG$37:$AG$42,$AK7,'17'!$AF$37:$AF$42,1))</f>
        <v>97</v>
      </c>
      <c r="BM7" s="66">
        <f>IF(COUNTIFS('18'!$AG$37:$AG$42,$AK7,'18'!$AF$37:$AF$42,1)=0,"",SUMIFS('18'!$AC$37:$AC$42,'18'!$AG$37:$AG$42,$AK7,'18'!$AF$37:$AF$42,1)/COUNTIFS('18'!$AG$37:$AG$42,$AK7,'18'!$AF$37:$AF$42,1))</f>
        <v>97</v>
      </c>
      <c r="BN7" s="66">
        <f>IF(COUNTIFS('19'!$AG$30:$AG$35,$AK7,'19'!$AF$30:$AF$35,1)=0,"",SUMIFS('19'!$AC$30:$AC$35,'19'!$AG$30:$AG$35,$AK7,'19'!$AF$30:$AF$35,1)/COUNTIFS('19'!$AG$30:$AG$35,$AK7,'19'!$AF$30:$AF$35,1))</f>
        <v>97</v>
      </c>
      <c r="BO7" s="66">
        <f>IF(COUNTIFS('20'!$AG$35:$AG$40,$AK7,'20'!$AF$35:$AF$40,1)=0,"",SUMIFS('20'!$AC$35:$AC$40,'20'!$AG$35:$AG$40,$AK7,'20'!$AF$35:$AF$40,1)/COUNTIFS('20'!$AG$35:$AG$40,$AK7,'20'!$AF$35:$AF$40,1))</f>
        <v>92</v>
      </c>
      <c r="BP7" s="66" t="str">
        <f>IF(COUNTIFS('21'!$AG$30:$AG$35,$AK7,'21'!$AF$30:$AF$35,1)=0,"",SUMIFS('21'!$AC$30:$AC$35,'21'!$AG$30:$AG$35,$AK7,'21'!$AF$30:$AF$35,1)/COUNTIFS('21'!$AG$30:$AG$35,$AK7,'21'!$AF$30:$AF$35,1))</f>
        <v/>
      </c>
      <c r="BQ7" s="66">
        <f>IF(COUNTIFS('22'!$AG$36:$AG$41,$AK7,'22'!$AF$36:$AF$41,1)=0,"",SUMIFS('22'!$AC$36:$AC$41,'22'!$AG$36:$AG$41,$AK7,'22'!$AF$36:$AF$41,1)/COUNTIFS('22'!$AG$36:$AG$41,$AK7,'22'!$AF$36:$AF$41,1))</f>
        <v>100</v>
      </c>
      <c r="BR7" s="66">
        <f>IF(COUNTIFS('23'!$AG$46:$AG$51,$AK7,'23'!$AF$46:$AF$51,1)=0,"",SUMIFS('23'!$AC$46:$AC$51,'23'!$AG$46:$AG$51,$AK7,'23'!$AF$46:$AF$51,1)/COUNTIFS('23'!$AG$46:$AG$51,$AK7,'23'!$AF$46:$AF$51,1))</f>
        <v>89</v>
      </c>
      <c r="BS7" s="66">
        <f>IF(COUNTIFS('24'!$AG$39:$AG$44,$AK7,'24'!$AF$39:$AF$44,1)=0,"",SUMIFS('24'!$AC$39:$AC$44,'24'!$AG$39:$AG$44,$AK7,'24'!$AF$39:$AF$44,1)/COUNTIFS('24'!$AG$39:$AG$44,$AK7,'24'!$AF$39:$AF$44,1))</f>
        <v>97</v>
      </c>
      <c r="BT7" s="66">
        <f>IF(COUNTIFS('25'!$AG$33:$AG$38,$AK7,'25'!$AF$33:$AF$38,1)=0,"",SUMIFS('25'!$AC$33:$AC$38,'25'!$AG$33:$AG$38,$AK7,'25'!$AF$33:$AF$38,1)/COUNTIFS('25'!$AG$33:$AG$38,$AK7,'25'!$AF$33:$AF$38,1))</f>
        <v>98.5</v>
      </c>
      <c r="BU7" s="66">
        <f>IF(COUNTIFS('26'!$AG$37:$AG$42,$AK7,'26'!$AF$37:$AF$42,1)=0,"",SUMIFS('26'!$AC$37:$AC$42,'26'!$AG$37:$AG$42,$AK7,'26'!$AF$37:$AF$42,1)/COUNTIFS('26'!$AG$37:$AG$42,$AK7,'26'!$AF$37:$AF$42,1))</f>
        <v>100</v>
      </c>
      <c r="BV7" s="66">
        <f>IF(COUNTIFS('27'!$AG$42:$AG$47,$AK7,'27'!$AF$42:$AF$47,1)=0,"",SUMIFS('27'!$AC$42:$AC$47,'27'!$AG$42:$AG$47,$AK7,'27'!$AF$42:$AF$47,1)/COUNTIFS('27'!$AG$42:$AG$47,$AK7,'27'!$AF$42:$AF$47,1))</f>
        <v>85</v>
      </c>
      <c r="BW7" s="66" t="str">
        <f>IF(COUNTIFS('28'!$AG$37:$AG$42,$AK7,'28'!$AF$37:$AF$42,1)=0,"",SUMIFS('28'!$AC$37:$AC$42,'28'!$AG$37:$AG$42,$AK7,'28'!$AF$37:$AF$42,1)/COUNTIFS('28'!$AG$37:$AG$42,$AK7,'28'!$AF$37:$AF$42,1))</f>
        <v/>
      </c>
      <c r="BX7" s="66">
        <f>IF(COUNTIFS('29'!$AG$41:$AG$46,$AK7,'29'!$AF$41:$AF$46,1)=0,"",SUMIFS('29'!$AC$41:$AC$46,'29'!$AG$41:$AG$46,$AK7,'29'!$AF$41:$AF$46,1)/COUNTIFS('29'!$AG$41:$AG$46,$AK7,'29'!$AF$41:$AF$46,1))</f>
        <v>100</v>
      </c>
      <c r="BY7" s="66">
        <f>IF(COUNTIFS('30'!$AG$33:$AG$38,$AK7,'30'!$AF$33:$AF$38,1)=0,"",SUMIFS('30'!$AC$33:$AC$38,'30'!$AG$33:$AG$38,$AK7,'30'!$AF$33:$AF$38,1)/COUNTIFS('30'!$AG$33:$AG$38,$AK7,'30'!$AF$33:$AF$38,1))</f>
        <v>100</v>
      </c>
      <c r="BZ7" s="66">
        <f>IF(COUNTIFS('31'!$AG$56:$AG$61,$AK7,'31'!$AF$56:$AF$61,1)=0,"",SUMIFS('31'!$AC$56:$AC$61,'31'!$AG$56:$AG$61,$AK7,'31'!$AF$56:$AF$61,1)/COUNTIFS('31'!$AG$56:$AG$61,$AK7,'31'!$AF$56:$AF$61,1))</f>
        <v>100</v>
      </c>
      <c r="CA7" s="66" t="s">
        <v>596</v>
      </c>
      <c r="CB7" s="66">
        <f t="shared" si="6"/>
        <v>0</v>
      </c>
    </row>
    <row r="8">
      <c r="A8" s="141">
        <f>IF(LARGE($Y$5:$Y$17,3)=0,"",3)</f>
        <v>3</v>
      </c>
      <c r="B8" s="141" t="str">
        <f t="shared" si="7"/>
        <v>Photofox</v>
      </c>
      <c r="C8" s="141">
        <f t="shared" si="8"/>
        <v>37</v>
      </c>
      <c r="D8" s="142">
        <f t="shared" si="9"/>
        <v>0.07628865979</v>
      </c>
      <c r="E8" s="142">
        <f t="shared" si="10"/>
        <v>0.7731958763</v>
      </c>
      <c r="X8" s="66" t="s">
        <v>39</v>
      </c>
      <c r="Y8" s="66">
        <f>COUNTIF('1'!$D$4:$D$21,X8)+COUNTIF('2'!$D$4:$D$21,X8)+COUNTIF('3'!$D$4:$D$21,X8)+COUNTIF('4'!$D$4:$D$22,X8)+COUNTIF('5'!$D$4:$D$22,X8)+COUNTIF('6'!$D$4:$D$21,X8)+COUNTIF('7'!$D$4:$D$21,X8)+COUNTIF('8'!$D$4:$D$24,X8)+COUNTIF('9'!$D$4:$D$21,X8)+COUNTIF('10'!$D$4:$D$21,X8)+COUNTIF('11'!$D$4:$D$25,X8)+COUNTIF('12'!$D$4:$D$25,X8)+COUNTIF('13'!$D$4:$D$22,X8)+COUNTIF('14'!$D$4:$D$28,X8)+COUNTIF('15'!$D$4:$D$27,X8)+COUNTIF('16'!$D$4:$D$23,X8)+COUNTIF('17'!$D$4:$D$28,X8)+COUNTIF('18'!$D$4:$D$28,X8)+COUNTIF('19'!$D$4:$D$21,X8)+COUNTIF('20'!$D$4:$D$26,X8)+COUNTIF('21'!$D$4:$D$21,X8)+COUNTIF('22'!$D$4:$D$27,X8)+COUNTIF('23'!$D$4:$D$37,X8)+COUNTIF('24'!$D$4:$D$30,X8)+COUNTIF('25'!$D$4:$D$24,X8)+COUNTIF('26'!$D$4:$D$28,X8)+COUNTIF('27'!$D$4:$D$33,X8)+COUNTIF('28'!$D$4:$D$28,X8)+COUNTIF('29'!$D$4:$D$32,X8)+COUNTIF('30'!$D$4:$D$24,X8)+COUNTIF('31'!$D$4:$D$45,X8)</f>
        <v>24</v>
      </c>
      <c r="Z8" s="66">
        <f t="shared" si="1"/>
        <v>24.0001</v>
      </c>
      <c r="AA8" s="66" t="s">
        <v>486</v>
      </c>
      <c r="AB8" s="66" t="s">
        <v>557</v>
      </c>
      <c r="AC8" s="66">
        <f>COUNTIF('1'!$O$23:$O$26,AA8)+COUNTIF('2'!$O$23:$O$26,AA8)+COUNTIF('3'!$O$23:$O$26,AA8)+COUNTIF('4'!$O$24:$O$27,AA8)+COUNTIF('5'!$O$24:$O$27,AA8)+COUNTIF('6'!$O$23:$O$26,AA8)+COUNTIF('7'!$O$23:$O$26,AA8)+COUNTIF('8'!$O$26:$O$29,AA8)+COUNTIF('9'!$O$23:$O$26,AA8)+COUNTIF('10'!$O$23:$O$26,AA8)+COUNTIF('11'!$O$27:$O$30,AA8)+COUNTIF('12'!$O$27:$O$30,AA8)+COUNTIF('13'!$O$24:$O$27,AA8)+COUNTIF('14'!$O$30:$O$33,AA8)+COUNTIF('15'!$O$29:$O$32,AA8)+COUNTIF('16'!$O$25:$O$28,AA8)+COUNTIF('17'!$O$30:$O$33,AA8)+COUNTIF('18'!$O$30:$O$33,AA8)+COUNTIF('19'!$O$23:$O$26,AA8)+COUNTIF('20'!$O$28:$O$31,AA8)+COUNTIF('21'!$O$23:$O$26,AA8)+COUNTIF('22'!$O$29:$O$32,AA8)+COUNTIF('23'!$O$39:$O$42,AA8)+COUNTIF('24'!$O$32:$O$35,AA8)+COUNTIF('25'!$O$26:$O$29,AA8)+COUNTIF('26'!$O$30:$O$33,AA8)+COUNTIF('27'!$O$35:$O$38,AA8)+COUNTIF('28'!$O$30:$O$33,AA8)+COUNTIF('29'!$O$34:$O$37,AA8)+COUNTIF('30'!$O$26:$O$29,AA8)+COUNTIF('31'!$O$47:$O$50,AA8)</f>
        <v>0</v>
      </c>
      <c r="AD8" s="66">
        <f t="shared" si="2"/>
        <v>0.00008</v>
      </c>
      <c r="AE8" s="66" t="s">
        <v>486</v>
      </c>
      <c r="AF8" s="66">
        <f>COUNTIF('1'!$L$4:$L$21,AE8)+COUNTIF('2'!$L$4:$L$21,AE8)+COUNTIF('3'!$L$4:$L$21,AE8)+COUNTIF('4'!$L$4:$L$22,AE8)+COUNTIF('5'!$L$4:$L$22,AE8)+COUNTIF('6'!$L$4:$L$21,AE8)+COUNTIF('7'!$L$4:$L$21,AE8)+COUNTIF('8'!$L$4:$L$24,AE8)+COUNTIF('9'!$L$4:$L$21,AE8)+COUNTIF('10'!$L$4:$L$21,AE8)+COUNTIF('11'!$L$4:$L$25,AE8)+COUNTIF('12'!$L$4:$L$25,AE8)+COUNTIF('13'!$L$4:$L$22,AE8)+COUNTIF('14'!$L$4:$L$28,AE8)+COUNTIF('15'!$L$4:$L$27,AE8)+COUNTIF('16'!$L$4:$L$23,AE8)+COUNTIF('17'!$L$4:$L$28,AE8)+COUNTIF('18'!$L$4:$L$28,AE8)+COUNTIF('19'!$L$4:$L$21,AE8)+COUNTIF('20'!$L$4:$L$26,AE8)+COUNTIF('21'!$L$4:$L$21,AE8)+COUNTIF('22'!$L$4:$L$27,AE8)+COUNTIF('23'!$L$4:$L$37,AE8)+COUNTIF('24'!$L$4:$L$30,AE8)+COUNTIF('25'!$L$4:$L$24,AE8)+COUNTIF('26'!$L$4:$L$28,AE8)+COUNTIF('27'!$L$4:$L$33,AE8)+COUNTIF('28'!$L$4:$L$28,AE8)+COUNTIF('29'!$L$4:$L$32,AE8)+COUNTIF('30'!$L$4:$L$24,AE8)+COUNTIF('31'!$L$4:$L$45,AE8)</f>
        <v>2</v>
      </c>
      <c r="AG8" s="66">
        <f t="shared" si="3"/>
        <v>2.00002</v>
      </c>
      <c r="AH8" s="66" t="s">
        <v>597</v>
      </c>
      <c r="AI8" s="66">
        <f>COUNTIF('1'!$M$4:$M$21,AH8)+COUNTIF('2'!$M$4:$M$21,AH8)+COUNTIF('3'!$M$4:$M$21,AH8)+COUNTIF('4'!$M$4:$M$22,AH8)+COUNTIF('5'!$M$4:$M$22,AH8)+COUNTIF('6'!$M$4:$M$21,AH8)+COUNTIF('7'!$M$4:$M$21,AH8)+COUNTIF('8'!$M$4:$M$24,AH8)+COUNTIF('9'!$M$4:$M$21,AH8)+COUNTIF('10'!$M$4:$M$21,AH8)+COUNTIF('11'!$M$4:$M$25,AH8)+COUNTIF('12'!$M$4:$M$25,AH8)+COUNTIF('13'!$M$4:$M$22,AH8)+COUNTIF('14'!$M$4:$M$28,AH8)+COUNTIF('15'!$M$4:$M$27,AH8)+COUNTIF('16'!$M$4:$M$23,AH8)+COUNTIF('17'!$M$4:$M$28,AH8)+COUNTIF('18'!$M$4:$M$28,AH8)+COUNTIF('19'!$M$4:$M$21,AH8)+COUNTIF('20'!$M$4:$M$26,AH8)+COUNTIF('21'!$M$4:$M$21,AH8)+COUNTIF('22'!$M$4:$M$27,AH8)+COUNTIF('23'!$M$4:$M$37,AH8)+COUNTIF('24'!$M$4:$M$30,AH8)+COUNTIF('25'!$M$4:$M$24,AH8)+COUNTIF('26'!$M$4:$M$28,AH8)+COUNTIF('27'!$M$4:$M$33,AH8)+COUNTIF('28'!$M$4:$M$28,AH8)+COUNTIF('29'!$M$4:$M$32,AH8)+COUNTIF('30'!$M$4:$M$24,AH8)+COUNTIF('31'!$M$4:$M$45,AH8)</f>
        <v>0</v>
      </c>
      <c r="AJ8" s="66">
        <f t="shared" si="4"/>
        <v>0.00003</v>
      </c>
      <c r="AK8" s="66" t="s">
        <v>486</v>
      </c>
      <c r="AL8" s="66" t="s">
        <v>557</v>
      </c>
      <c r="AM8" s="66">
        <f>COUNTIFS('1'!$AG$30:$AG$35,AK8,'1'!$AF$30:$AF$35,1)+COUNTIFS('2'!$AG$30:$AG$35,AK8,'2'!$AF$30:$AF$35,1)+COUNTIFS('3'!$AG$30:$AG$35,AK8,'3'!$AF$30:$AF$35,1)+COUNTIFS('4'!$AG$31:$AG$36,AK8,'4'!$AF$31:$AF$36,1)+COUNTIFS('5'!$AG$31:$AG$36,AK8,'5'!$AF$31:$AF$36,1)+COUNTIFS('6'!$AG$30:$AG$35,AK8,'6'!$AF$30:$AF$35,1)+COUNTIFS('7'!$AG$30:$AG$35,AK8,'7'!$AF$30:$AF$35,1)+COUNTIFS('8'!$AG$33:$AG$38,AK8,'8'!$AF$33:$AF$38,1)+COUNTIFS('9'!$AG$30:$AG$35,AK8,'9'!$AF$30:$AF$35,1)+COUNTIFS('10'!$AG$30:$AG$35,AK8,'10'!$AF$30:$AF$35,1)+COUNTIFS('11'!$AG$34:$AG$39,AK8,'11'!$AF$34:$AF$39,1)+COUNTIFS('12'!$AG$34:$AG$39,AK8,'12'!$AF$34:$AF$39,1)+COUNTIFS('13'!$AG$31:$AG$36,AK8,'13'!$AF$31:$AF$36,1)+COUNTIFS('14'!$AG$37:$AG$42,AK8,'14'!$AF$37:$AF$42,1)+COUNTIFS('15'!$AG$36:$AG$41,AK8,'15'!$AF$36:$AF$41,1)+COUNTIFS('16'!$AG$32:$AG$37,AK8,'16'!$AF$32:$AF$37,1)+COUNTIFS('17'!$AG$37:$AG$42,AK8,'17'!$AF$37:$AF$42,1)+COUNTIFS('18'!$AG$37:$AG$42,AK8,'18'!$AF$37:$AF$42,1)+COUNTIFS('19'!$AG$30:$AG$35,AK8,'19'!$AF$30:$AF$35,1)+COUNTIFS('20'!$AG$35:$AG$40,AK8,'20'!$AF$35:$AF$40,1)+COUNTIFS('21'!$AG$30:$AG$35,AK8,'21'!$AF$30:$AF$35,1)+COUNTIFS('22'!$AG$36:$AG$41,AK8,'22'!$AF$36:$AF$41,1)+COUNTIFS('23'!$AG$46:$AG$51,AK8,'23'!$AF$46:$AF$51,1)+COUNTIFS('24'!$AG$39:$AG$44,AK8,'24'!$AF$39:$AF$44,1)+COUNTIFS('25'!$AG$33:$AG$38,AK8,'25'!$AF$33:$AF$38,1)+COUNTIFS('26'!$AG$37:$AG$42,AK8,'26'!$AF$37:$AF$42,1)+COUNTIFS('27'!$AG$42:$AG$47,AK8,'27'!$AF$42:$AF$47,1)+COUNTIFS('28'!$AG$37:$AG$42,AK8,'28'!$AF$37:$AF$42,1)+COUNTIFS('29'!$AG$41:$AG$46,AK8,'29'!$AF$41:$AF$46,1)+COUNTIFS('30'!$AG$33:$AG$38,AK8,'30'!$AF$33:$AF$38,1)+COUNTIFS('31'!$AG$56:$AG$61,AK8,'31'!$AF$56:$AF$61,1)</f>
        <v>0</v>
      </c>
      <c r="AN8" s="66" t="str">
        <f t="shared" si="5"/>
        <v/>
      </c>
      <c r="AO8" s="66" t="str">
        <f>IF(AM8=0,"",(SUMIFS('1'!$L$30:$L$35,'1'!$AG$30:$AG$35,AK8,'1'!$AF$30:$AF$35,1)+SUMIFS('2'!$L$30:$L$35,'2'!$AG$30:$AG$35,AK8,'2'!$AF$30:$AF$35,1)+SUMIFS('3'!$L$30:$L$35,'3'!$AG$30:$AG$35,AK8,'3'!$AF$30:$AF$35,1)+SUMIFS('4'!$L$31:$L$36,'4'!$AG$31:$AG$36,AK8,'4'!$AF$31:$AF$36,1)+SUMIFS('5'!$L$31:$L$36,'5'!$AG$31:$AG$36,AK8,'5'!$AF$31:$AF$36,1)+SUMIFS('6'!$L$30:$L$35,'6'!$AG$30:$AG$35,AK8,'6'!$AF$30:$AF$35,1)+SUMIFS('7'!$L$30:$L$35,'7'!$AG$30:$AG$35,AK8,'7'!$AF$30:$AF$35,1)+SUMIFS('8'!$L$33:$L$38,'8'!$AG$33:$AG$38,AK8,'8'!$AF$33:$AF$38,1)+SUMIFS('9'!$L$30:$L$35,'9'!$AG$30:$AG$35,AK8,'9'!$AF$30:$AF$35,1)+SUMIFS('10'!$L$30:$L$35,'10'!$AG$30:$AG$35,AK8,'10'!$AF$30:$AF$35,1)+SUMIFS('11'!$L$34:$L$39,'11'!$AG$34:$AG$39,AK8,'11'!$AF$34:$AF$39,1)+SUMIFS('12'!$L$34:$L$39,'12'!$AG$34:$AG$39,AK8,'12'!$AF$34:$AF$39,1)+SUMIFS('13'!$L$31:$L$36,'13'!$AG$31:$AG$36,AK8,'13'!$AF$31:$AF$36,1)+SUMIFS('14'!$L$37:$L$42,'14'!$AG$37:$AG$42,AK8,'14'!$AF$37:$AF$42,1)+SUMIFS('15'!$L$36:$L$41,'15'!$AG$36:$AG$41,AK8,'15'!$AF$36:$AF$41,1)+SUMIFS('16'!$L$32:$L$37,'16'!$AG$32:$AG$37,AK8,'16'!$AF$32:$AF$37,1)+SUMIFS('17'!$L$37:$L$42,'17'!$AG$37:$AG$42,AK8,'17'!$AF$37:$AF$42,1)+SUMIFS('18'!$L$37:$L$42,'18'!$AG$37:$AG$42,AK8,'18'!$AF$37:$AF$42,1)+SUMIFS('19'!$L$30:$L$35,'19'!$AG$30:$AG$35,AK8,'19'!$AF$30:$AF$35,1)+SUMIFS('20'!$L$35:$L$40,'20'!$AG$35:$AG$40,AK8,'20'!$AF$35:$AF$40,1)+SUMIFS('21'!$L$30:$L$35,'21'!$AG$30:$AG$35,AK8,'21'!$AF$30:$AF$35,1)+SUMIFS('22'!$L$36:$L$41,'22'!$AG$36:$AG$41,AK8,'22'!$AF$36:$AF$41,1)+SUMIFS('23'!$L$46:$L$51,'23'!$AG$46:$AG$51,AK8,'23'!$AF$46:$AF$51,1)+SUMIFS('24'!$L$39:$L$44,'24'!$AG$39:$AG$44,AK8,'24'!$AF$39:$AF$44,1)+SUMIFS('25'!$L$33:$L$38,'25'!$AG$33:$AG$38,AK8,'25'!$AF$33:$AF$38,1)+SUMIFS('26'!$L$37:$L$42,'26'!$AG$37:$AG$42,AK8,'26'!$AF$37:$AF$42,1)+SUMIFS('27'!$L$42:$L$47,'27'!$AG$42:$AG$47,AK8,'27'!$AF$42:$AF$47,1)+SUMIFS('28'!$L$37:$L$42,'28'!$AG$37:$AG$42,AK8,'28'!$AF$37:$AF$42,1)+SUMIFS('29'!$L$41:$L$46,'29'!$AG$41:$AG$46,AK8,'29'!$AF$41:$AF$46,1)+SUMIFS('30'!$L$33:$L$38,'30'!$AG$33:$AG$38,AK8,'30'!$AF$33:$AF$38,1)+SUMIFS('31'!$L$56:$L$61,'31'!$AG$56:$AG$61,AK8,'31'!$AF$56:$AF$61,1))/AM8)</f>
        <v/>
      </c>
      <c r="AP8" s="66" t="str">
        <f>IF(AM8=0,"",(SUMIFS('1'!$M$30:$M$35,'1'!$AG$30:$AG$35,AK8,'1'!$AF$30:$AF$35,1)+SUMIFS('2'!$M$30:$M$35,'2'!$AG$30:$AG$35,AK8,'2'!$AF$30:$AF$35,1)+SUMIFS('3'!$M$30:$M$35,'3'!$AG$30:$AG$35,AK8,'3'!$AF$30:$AF$35,1)+SUMIFS('4'!$M$31:$M$36,'4'!$AG$31:$AG$36,AK8,'4'!$AF$31:$AF$36,1)+SUMIFS('5'!$M$31:$M$36,'5'!$AG$31:$AG$36,AK8,'5'!$AF$31:$AF$36,1)+SUMIFS('6'!$M$30:$M$35,'6'!$AG$30:$AG$35,AK8,'6'!$AF$30:$AF$35,1)+SUMIFS('7'!$M$30:$M$35,'7'!$AG$30:$AG$35,AK8,'7'!$AF$30:$AF$35,1)+SUMIFS('8'!$M$33:$M$38,'8'!$AG$33:$AG$38,AK8,'8'!$AF$33:$AF$38,1)+SUMIFS('9'!$M$30:$M$35,'9'!$AG$30:$AG$35,AK8,'9'!$AF$30:$AF$35,1)+SUMIFS('10'!$M$30:$M$35,'10'!$AG$30:$AG$35,AK8,'10'!$AF$30:$AF$35,1)+SUMIFS('11'!$M$34:$M$39,'11'!$AG$34:$AG$39,AK8,'11'!$AF$34:$AF$39,1)+SUMIFS('12'!$M$34:$M$39,'12'!$AG$34:$AG$39,AK8,'12'!$AF$34:$AF$39,1)+SUMIFS('13'!$M$31:$M$36,'13'!$AG$31:$AG$36,AK8,'13'!$AF$31:$AF$36,1)+SUMIFS('14'!$M$37:$M$42,'14'!$AG$37:$AG$42,AK8,'14'!$AF$37:$AF$42,1)+SUMIFS('15'!$M$36:$M$41,'15'!$AG$36:$AG$41,AK8,'15'!$AF$36:$AF$41,1)+SUMIFS('16'!$M$32:$M$37,'16'!$AG$32:$AG$37,AK8,'16'!$AF$32:$AF$37,1)+SUMIFS('17'!$M$37:$M$42,'17'!$AG$37:$AG$42,AK8,'17'!$AF$37:$AF$42,1)+SUMIFS('18'!$M$37:$M$42,'18'!$AG$37:$AG$42,AK8,'18'!$AF$37:$AF$42,1)+SUMIFS('19'!$M$30:$M$35,'19'!$AG$30:$AG$35,AK8,'19'!$AF$30:$AF$35,1)+SUMIFS('20'!$M$35:$M$40,'20'!$AG$35:$AG$40,AK8,'20'!$AF$35:$AF$40,1)+SUMIFS('21'!$M$30:$M$35,'21'!$AG$30:$AG$35,AK8,'21'!$AF$30:$AF$35,1)+SUMIFS('22'!$M$36:$M$41,'22'!$AG$36:$AG$41,AK8,'22'!$AF$36:$AF$41,1)+SUMIFS('23'!$M$46:$M$51,'23'!$AG$46:$AG$51,AK8,'23'!$AF$46:$AF$51,1)+SUMIFS('24'!$M$39:$M$44,'24'!$AG$39:$AG$44,AK8,'24'!$AF$39:$AF$44,1)+SUMIFS('25'!$M$33:$M$38,'25'!$AG$33:$AG$38,AK8,'25'!$AF$33:$AF$38,1)+SUMIFS('26'!$M$37:$M$42,'26'!$AG$37:$AG$42,AK8,'26'!$AF$37:$AF$42,1)+SUMIFS('27'!$M$42:$M$47,'27'!$AG$42:$AG$47,AK8,'27'!$AF$42:$AF$47,1)+SUMIFS('28'!$M$37:$M$42,'28'!$AG$37:$AG$42,AK8,'28'!$AF$37:$AF$42,1)+SUMIFS('29'!$M$41:$M$46,'29'!$AG$41:$AG$46,AK8,'29'!$AF$41:$AF$46,1)+SUMIFS('30'!$M$33:$M$38,'30'!$AG$33:$AG$38,AK8,'30'!$AF$33:$AF$38,1)+SUMIFS('31'!$M$56:$M$61,'31'!$AG$56:$AG$61,AK8,'31'!$AF$56:$AF$61,1))/AM8)</f>
        <v/>
      </c>
      <c r="AQ8" s="66" t="str">
        <f>IF(AM8=0,"",(SUMIFS('1'!$N$30:$N$35,'1'!$AG$30:$AG$35,AK8,'1'!$AF$30:$AF$35,1)+SUMIFS('2'!$N$30:$N$35,'2'!$AG$30:$AG$35,AK8,'2'!$AF$30:$AF$35,1)+SUMIFS('3'!$N$30:$N$35,'3'!$AG$30:$AG$35,AK8,'3'!$AF$30:$AF$35,1)+SUMIFS('4'!$N$31:$N$36,'4'!$AG$31:$AG$36,AK8,'4'!$AF$31:$AF$36,1)+SUMIFS('5'!$N$31:$N$36,'5'!$AG$31:$AG$36,AK8,'5'!$AF$31:$AF$36,1)+SUMIFS('6'!$N$30:$N$35,'6'!$AG$30:$AG$35,AK8,'6'!$AF$30:$AF$35,1)+SUMIFS('7'!$N$30:$N$35,'7'!$AG$30:$AG$35,AK8,'7'!$AF$30:$AF$35,1)+SUMIFS('8'!$N$33:$N$38,'8'!$AG$33:$AG$38,AK8,'8'!$AF$33:$AF$38,1)+SUMIFS('9'!$N$30:$N$35,'9'!$AG$30:$AG$35,AK8,'9'!$AF$30:$AF$35,1)+SUMIFS('10'!$N$30:$N$35,'10'!$AG$30:$AG$35,AK8,'10'!$AF$30:$AF$35,1)+SUMIFS('11'!$N$34:$N$39,'11'!$AG$34:$AG$39,AK8,'11'!$AF$34:$AF$39,1)+SUMIFS('12'!$N$34:$N$39,'12'!$AG$34:$AG$39,AK8,'12'!$AF$34:$AF$39,1)+SUMIFS('13'!$N$31:$N$36,'13'!$AG$31:$AG$36,AK8,'13'!$AF$31:$AF$36,1)+SUMIFS('14'!$N$37:$N$42,'14'!$AG$37:$AG$42,AK8,'14'!$AF$37:$AF$42,1)+SUMIFS('15'!$N$36:$N$41,'15'!$AG$36:$AG$41,AK8,'15'!$AF$36:$AF$41,1)+SUMIFS('16'!$N$32:$N$37,'16'!$AG$32:$AG$37,AK8,'16'!$AF$32:$AF$37,1)+SUMIFS('17'!$N$37:$N$42,'17'!$AG$37:$AG$42,AK8,'17'!$AF$37:$AF$42,1)+SUMIFS('18'!$N$37:$N$42,'18'!$AG$37:$AG$42,AK8,'18'!$AF$37:$AF$42,1)+SUMIFS('19'!$N$30:$N$35,'19'!$AG$30:$AG$35,AK8,'19'!$AF$30:$AF$35,1)+SUMIFS('20'!$N$35:$N$40,'20'!$AG$35:$AG$40,AK8,'20'!$AF$35:$AF$40,1)+SUMIFS('21'!$N$30:$N$35,'21'!$AG$30:$AG$35,AK8,'21'!$AF$30:$AF$35,1)+SUMIFS('22'!$N$36:$N$41,'22'!$AG$36:$AG$41,AK8,'22'!$AF$36:$AF$41,1)+SUMIFS('23'!$N$46:$N$51,'23'!$AG$46:$AG$51,AK8,'23'!$AF$46:$AF$51,1)+SUMIFS('24'!$N$39:$N$44,'24'!$AG$39:$AG$44,AK8,'24'!$AF$39:$AF$44,1)+SUMIFS('25'!$N$33:$N$38,'25'!$AG$33:$AG$38,AK8,'25'!$AF$33:$AF$38,1)+SUMIFS('26'!$N$37:$N$42,'26'!$AG$37:$AG$42,AK8,'26'!$AF$37:$AF$42,1)+SUMIFS('27'!$N$42:$N$47,'27'!$AG$42:$AG$47,AK8,'27'!$AF$42:$AF$47,1)+SUMIFS('28'!$N$37:$N$42,'28'!$AG$37:$AG$42,AK8,'28'!$AF$37:$AF$42,1)+SUMIFS('29'!$N$41:$N$46,'29'!$AG$41:$AG$46,AK8,'29'!$AF$41:$AF$46,1)+SUMIFS('30'!$N$33:$N$38,'30'!$AG$33:$AG$38,AK8,'30'!$AF$33:$AF$38,1)+SUMIFS('31'!$N$56:$N$61,'31'!$AG$56:$AG$61,AK8,'31'!$AF$56:$AF$61,1))/AM8)</f>
        <v/>
      </c>
      <c r="AR8" s="66" t="str">
        <f>IF(AM8=0,"",(SUMIFS('1'!$O$30:$O$35,'1'!$AG$30:$AG$35,AK8,'1'!$AF$30:$AF$35,1)+SUMIFS('2'!$O$30:$O$35,'2'!$AG$30:$AG$35,AK8,'2'!$AF$30:$AF$35,1)+SUMIFS('3'!$O$30:$O$35,'3'!$AG$30:$AG$35,AK8,'3'!$AF$30:$AF$35,1)+SUMIFS('4'!$O$31:$O$36,'4'!$AG$31:$AG$36,AK8,'4'!$AF$31:$AF$36,1)+SUMIFS('5'!$O$31:$O$36,'5'!$AG$31:$AG$36,AK8,'5'!$AF$31:$AF$36,1)+SUMIFS('6'!$O$30:$O$35,'6'!$AG$30:$AG$35,AK8,'6'!$AF$30:$AF$35,1)+SUMIFS('7'!$O$30:$O$35,'7'!$AG$30:$AG$35,AK8,'7'!$AF$30:$AF$35,1)+SUMIFS('8'!$O$33:$O$38,'8'!$AG$33:$AG$38,AK8,'8'!$AF$33:$AF$38,1)+SUMIFS('9'!$O$30:$O$35,'9'!$AG$30:$AG$35,AK8,'9'!$AF$30:$AF$35,1)+SUMIFS('10'!$O$30:$O$35,'10'!$AG$30:$AG$35,AK8,'10'!$AF$30:$AF$35,1)+SUMIFS('11'!$O$34:$O$39,'11'!$AG$34:$AG$39,AK8,'11'!$AF$34:$AF$39,1)+SUMIFS('12'!$O$34:$O$39,'12'!$AG$34:$AG$39,AK8,'12'!$AF$34:$AF$39,1)+SUMIFS('13'!$O$31:$O$36,'13'!$AG$31:$AG$36,AK8,'13'!$AF$31:$AF$36,1)+SUMIFS('14'!$O$37:$O$42,'14'!$AG$37:$AG$42,AK8,'14'!$AF$37:$AF$42,1)+SUMIFS('15'!$O$36:$O$41,'15'!$AG$36:$AG$41,AK8,'15'!$AF$36:$AF$41,1)+SUMIFS('16'!$O$32:$O$37,'16'!$AG$32:$AG$37,AK8,'16'!$AF$32:$AF$37,1)+SUMIFS('17'!$O$37:$O$42,'17'!$AG$37:$AG$42,AK8,'17'!$AF$37:$AF$42,1)+SUMIFS('18'!$O$37:$O$42,'18'!$AG$37:$AG$42,AK8,'18'!$AF$37:$AF$42,1)+SUMIFS('19'!$O$30:$O$35,'19'!$AG$30:$AG$35,AK8,'19'!$AF$30:$AF$35,1)+SUMIFS('20'!$O$35:$O$40,'20'!$AG$35:$AG$40,AK8,'20'!$AF$35:$AF$40,1)+SUMIFS('21'!$O$30:$O$35,'21'!$AG$30:$AG$35,AK8,'21'!$AF$30:$AF$35,1)+SUMIFS('22'!$O$36:$O$41,'22'!$AG$36:$AG$41,AK8,'22'!$AF$36:$AF$41,1)+SUMIFS('23'!$O$46:$O$51,'23'!$AG$46:$AG$51,AK8,'23'!$AF$46:$AF$51,1)+SUMIFS('24'!$O$39:$O$44,'24'!$AG$39:$AG$44,AK8,'24'!$AF$39:$AF$44,1)+SUMIFS('25'!$O$33:$O$38,'25'!$AG$33:$AG$38,AK8,'25'!$AF$33:$AF$38,1)+SUMIFS('26'!$O$37:$O$42,'26'!$AG$37:$AG$42,AK8,'26'!$AF$37:$AF$42,1)+SUMIFS('27'!$O$42:$O$47,'27'!$AG$42:$AG$47,AK8,'27'!$AF$42:$AF$47,1)+SUMIFS('28'!$O$37:$O$42,'28'!$AG$37:$AG$42,AK8,'28'!$AF$37:$AF$42,1)+SUMIFS('29'!$O$41:$O$46,'29'!$AG$41:$AG$46,AK8,'29'!$AF$41:$AF$46,1)+SUMIFS('30'!$O$33:$O$38,'30'!$AG$33:$AG$38,AK8,'30'!$AF$33:$AF$38,1)+SUMIFS('31'!$O$56:$O$61,'31'!$AG$56:$AG$61,AK8,'31'!$AF$56:$AF$61,1))/AM8)</f>
        <v/>
      </c>
      <c r="AS8" s="66" t="str">
        <f>IF(AM8=0,"",(SUMIFS('1'!$P$30:$P$35,'1'!$AG$30:$AG$35,AK8,'1'!$AF$30:$AF$35,1)+SUMIFS('2'!$P$30:$P$35,'2'!$AG$30:$AG$35,AK8,'2'!$AF$30:$AF$35,1)+SUMIFS('3'!$P$30:$P$35,'3'!$AG$30:$AG$35,AK8,'3'!$AF$30:$AF$35,1)+SUMIFS('4'!$P$31:$P$36,'4'!$AG$31:$AG$36,AK8,'4'!$AF$31:$AF$36,1)+SUMIFS('5'!$P$31:$P$36,'5'!$AG$31:$AG$36,AK8,'5'!$AF$31:$AF$36,1)+SUMIFS('6'!$P$30:$P$35,'6'!$AG$30:$AG$35,AK8,'6'!$AF$30:$AF$35,1)+SUMIFS('7'!$P$30:$P$35,'7'!$AG$30:$AG$35,AK8,'7'!$AF$30:$AF$35,1)+SUMIFS('8'!$P$33:$P$38,'8'!$AG$33:$AG$38,AK8,'8'!$AF$33:$AF$38,1)+SUMIFS('9'!$P$30:$P$35,'9'!$AG$30:$AG$35,AK8,'9'!$AF$30:$AF$35,1)+SUMIFS('10'!$P$30:$P$35,'10'!$AG$30:$AG$35,AK8,'10'!$AF$30:$AF$35,1)+SUMIFS('11'!$P$34:$P$39,'11'!$AG$34:$AG$39,AK8,'11'!$AF$34:$AF$39,1)+SUMIFS('12'!$P$34:$P$39,'12'!$AG$34:$AG$39,AK8,'12'!$AF$34:$AF$39,1)+SUMIFS('13'!$P$31:$P$36,'13'!$AG$31:$AG$36,AK8,'13'!$AF$31:$AF$36,1)+SUMIFS('14'!$P$37:$P$42,'14'!$AG$37:$AG$42,AK8,'14'!$AF$37:$AF$42,1)+SUMIFS('15'!$P$36:$P$41,'15'!$AG$36:$AG$41,AK8,'15'!$AF$36:$AF$41,1)+SUMIFS('16'!$P$32:$P$37,'16'!$AG$32:$AG$37,AK8,'16'!$AF$32:$AF$37,1)+SUMIFS('17'!$P$37:$P$42,'17'!$AG$37:$AG$42,AK8,'17'!$AF$37:$AF$42,1)+SUMIFS('18'!$P$37:$P$42,'18'!$AG$37:$AG$42,AK8,'18'!$AF$37:$AF$42,1)+SUMIFS('19'!$P$30:$P$35,'19'!$AG$30:$AG$35,AK8,'19'!$AF$30:$AF$35,1)+SUMIFS('20'!$P$35:$P$40,'20'!$AG$35:$AG$40,AK8,'20'!$AF$35:$AF$40,1)+SUMIFS('21'!$P$30:$P$35,'21'!$AG$30:$AG$35,AK8,'21'!$AF$30:$AF$35,1)+SUMIFS('22'!$P$36:$P$41,'22'!$AG$36:$AG$41,AK8,'22'!$AF$36:$AF$41,1)+SUMIFS('23'!$P$46:$P$51,'23'!$AG$46:$AG$51,AK8,'23'!$AF$46:$AF$51,1)+SUMIFS('24'!$P$39:$P$44,'24'!$AG$39:$AG$44,AK8,'24'!$AF$39:$AF$44,1)+SUMIFS('25'!$P$33:$P$38,'25'!$AG$33:$AG$38,AK8,'25'!$AF$33:$AF$38,1)+SUMIFS('26'!$P$37:$P$42,'26'!$AG$37:$AG$42,AK8,'26'!$AF$37:$AF$42,1)+SUMIFS('27'!$P$42:$P$47,'27'!$AG$42:$AG$47,AK8,'27'!$AF$42:$AF$47,1)+SUMIFS('28'!$P$37:$P$42,'28'!$AG$37:$AG$42,AK8,'28'!$AF$37:$AF$42,1)+SUMIFS('29'!$P$41:$P$46,'29'!$AG$41:$AG$46,AK8,'29'!$AF$41:$AF$46,1)+SUMIFS('30'!$P$33:$P$38,'30'!$AG$33:$AG$38,AK8,'30'!$AF$33:$AF$38,1)+SUMIFS('31'!$P$56:$P$61,'31'!$AG$56:$AG$61,AK8,'31'!$AF$56:$AF$61,1))/AM8)</f>
        <v/>
      </c>
      <c r="AV8" s="66" t="str">
        <f>IF(COUNTIFS('1'!$AG$30:$AG$35,$AK8,'1'!$AF$30:$AF$35,1)=0,"",SUMIFS('1'!$AC$30:$AC$35,'1'!$AG$30:$AG$35,$AK8,'1'!$AF$30:$AF$35,1)/COUNTIFS('1'!$AG$30:$AG$35,$AK8,'1'!$AF$30:$AF$35,1))</f>
        <v/>
      </c>
      <c r="AW8" s="66" t="str">
        <f>IF(COUNTIFS('2'!$AG$30:$AG$35,$AK8,'2'!$AF$30:$AF$35,1)=0,"",SUMIFS('2'!$AC$30:$AC$35,'2'!$AG$30:$AG$35,$AK8,'2'!$AF$30:$AF$35,1)/COUNTIFS('2'!$AG$30:$AG$35,$AK8,'2'!$AF$30:$AF$35,1))</f>
        <v/>
      </c>
      <c r="AX8" s="66" t="str">
        <f>IF(COUNTIFS('3'!$AG$30:$AG$35,$AK8,'3'!$AF$30:$AF$35,1)=0,"",SUMIFS('3'!$AC$30:$AC$35,'3'!$AG$30:$AG$35,$AK8,'3'!$AF$30:$AF$35,1)/COUNTIFS('3'!$AG$30:$AG$35,$AK8,'3'!$AF$30:$AF$35,1))</f>
        <v/>
      </c>
      <c r="AY8" s="66" t="str">
        <f>IF(COUNTIFS('4'!$AG$31:$AG$36,$AK8,'4'!$AF$31:$AF$36,1)=0,"",SUMIFS('4'!$AC$31:$AC$36,'4'!$AG$31:$AG$36,$AK8,'4'!$AF$31:$AF$36,1)/COUNTIFS('4'!$AG$31:$AG$36,$AK8,'4'!$AF$31:$AF$36,1))</f>
        <v/>
      </c>
      <c r="AZ8" s="66" t="str">
        <f>IF(COUNTIFS('5'!$AG$31:$AG$36,$AK8,'5'!$AF$31:$AF$36,1)=0,"",SUMIFS('5'!$AC$31:$AC$36,'5'!$AG$31:$AG$36,$AK8,'5'!$AF$31:$AF$36,1)/COUNTIFS('5'!$AG$31:$AG$36,$AK8,'5'!$AF$31:$AF$36,1))</f>
        <v/>
      </c>
      <c r="BA8" s="66" t="str">
        <f>IF(COUNTIFS('6'!$AG$30:$AG$35,$AK8,'6'!$AF$30:$AF$35,1)=0,"",SUMIFS('6'!$AC$30:$AC$35,'6'!$AG$30:$AG$35,$AK8,'6'!$AF$30:$AF$35,1)/COUNTIFS('6'!$AG$30:$AG$35,$AK8,'6'!$AF$30:$AF$35,1))</f>
        <v/>
      </c>
      <c r="BB8" s="66" t="str">
        <f>IF(COUNTIFS('7'!$AG$30:$AG$35,$AK8,'7'!$AF$30:$AF$35,1)=0,"",SUMIFS('7'!$AC$30:$AC$35,'7'!$AG$30:$AG$35,$AK8,'7'!$AF$30:$AF$35,1)/COUNTIFS('7'!$AG$30:$AG$35,$AK8,'7'!$AF$30:$AF$35,1))</f>
        <v/>
      </c>
      <c r="BC8" s="66" t="str">
        <f>IF(COUNTIFS('8'!$AG$33:$AG$38,$AK8,'8'!$AF$33:$AF$38,1)=0,"",SUMIFS('8'!$AC$33:$AC$38,'8'!$AG$33:$AG$38,$AK8,'8'!$AF$33:$AF$38,1)/COUNTIFS('8'!$AG$33:$AG$38,$AK8,'8'!$AF$33:$AF$38,1))</f>
        <v/>
      </c>
      <c r="BD8" s="66" t="str">
        <f>IF(COUNTIFS('9'!$AG$30:$AG$35,$AK8,'9'!$AF$30:$AF$35,1)=0,"",SUMIFS('9'!$AC$30:$AC$35,'9'!$AG$30:$AG$35,$AK8,'9'!$AF$30:$AF$35,1)/COUNTIFS('9'!$AG$30:$AG$35,$AK8,'9'!$AF$30:$AF$35,1))</f>
        <v/>
      </c>
      <c r="BE8" s="66" t="str">
        <f>IF(COUNTIFS('10'!$AG$30:$AG$35,$AK8,'10'!$AF$30:$AF$35,1)=0,"",SUMIFS('10'!$AC$30:$AC$35,'10'!$AG$30:$AG$35,$AK8,'10'!$AF$30:$AF$35,1)/COUNTIFS('10'!$AG$30:$AG$35,$AK8,'10'!$AF$30:$AF$35,1))</f>
        <v/>
      </c>
      <c r="BF8" s="66" t="str">
        <f>IF(COUNTIFS('11'!$AG$34:$AG$39,$AK8,'11'!$AF$34:$AF$39,1)=0,"",SUMIFS('11'!$AC$34:$AC$39,'11'!$AG$34:$AG$39,$AK8,'11'!$AF$34:$AF$39,1)/COUNTIFS('11'!$AG$34:$AG$39,$AK8,'11'!$AF$34:$AF$39,1))</f>
        <v/>
      </c>
      <c r="BG8" s="66" t="str">
        <f>IF(COUNTIFS('12'!$AG$34:$AG$39,$AK8,'12'!$AF$34:$AF$39,1)=0,"",SUMIFS('12'!$AC$34:$AC$39,'12'!$AG$34:$AG$39,$AK8,'12'!$AF$34:$AF$39,1)/COUNTIFS('12'!$AG$34:$AG$39,$AK8,'12'!$AF$34:$AF$39,1))</f>
        <v/>
      </c>
      <c r="BH8" s="66" t="str">
        <f>IF(COUNTIFS('13'!$AG$31:$AG$36,$AK8,'13'!$AF$31:$AF$36,1)=0,"",SUMIFS('13'!$AC$31:$AC$36,'13'!$AG$31:$AG$36,$AK8,'13'!$AF$31:$AF$36,1)/COUNTIFS('13'!$AG$31:$AG$36,$AK8,'13'!$AF$31:$AF$36,1))</f>
        <v/>
      </c>
      <c r="BI8" s="66" t="str">
        <f>IF(COUNTIFS('14'!$AG$37:$AG$42,$AK8,'14'!$AF$37:$AF$42,1)=0,"",SUMIFS('14'!$AC$37:$AC$42,'14'!$AG$37:$AG$42,$AK8,'14'!$AF$37:$AF$42,1)/COUNTIFS('14'!$AG$37:$AG$42,$AK8,'14'!$AF$37:$AF$42,1))</f>
        <v/>
      </c>
      <c r="BJ8" s="66" t="str">
        <f>IF(COUNTIFS('15'!$AG$36:$AG$41,$AK8,'15'!$AF$36:$AF$41,1)=0,"",SUMIFS('15'!$AC$36:$AC$41,'15'!$AG$36:$AG$41,$AK8,'15'!$AF$36:$AF$41,1)/COUNTIFS('15'!$AG$36:$AG$41,$AK8,'15'!$AF$36:$AF$41,1))</f>
        <v/>
      </c>
      <c r="BK8" s="66" t="str">
        <f>IF(COUNTIFS('16'!$AG$32:$AG$37,$AK8,'16'!$AF$32:$AF$37,1)=0,"",SUMIFS('16'!$AC$32:$AC$37,'16'!$AG$32:$AG$37,$AK8,'16'!$AF$32:$AF$37,1)/COUNTIFS('16'!$AG$32:$AG$37,$AK8,'16'!$AF$32:$AF$37,1))</f>
        <v/>
      </c>
      <c r="BL8" s="66" t="str">
        <f>IF(COUNTIFS('17'!$AG$37:$AG$42,$AK8,'17'!$AF$37:$AF$42,1)=0,"",SUMIFS('17'!$AC$37:$AC$42,'17'!$AG$37:$AG$42,$AK8,'17'!$AF$37:$AF$42,1)/COUNTIFS('17'!$AG$37:$AG$42,$AK8,'17'!$AF$37:$AF$42,1))</f>
        <v/>
      </c>
      <c r="BM8" s="66" t="str">
        <f>IF(COUNTIFS('18'!$AG$37:$AG$42,$AK8,'18'!$AF$37:$AF$42,1)=0,"",SUMIFS('18'!$AC$37:$AC$42,'18'!$AG$37:$AG$42,$AK8,'18'!$AF$37:$AF$42,1)/COUNTIFS('18'!$AG$37:$AG$42,$AK8,'18'!$AF$37:$AF$42,1))</f>
        <v/>
      </c>
      <c r="BN8" s="66" t="str">
        <f>IF(COUNTIFS('19'!$AG$30:$AG$35,$AK8,'19'!$AF$30:$AF$35,1)=0,"",SUMIFS('19'!$AC$30:$AC$35,'19'!$AG$30:$AG$35,$AK8,'19'!$AF$30:$AF$35,1)/COUNTIFS('19'!$AG$30:$AG$35,$AK8,'19'!$AF$30:$AF$35,1))</f>
        <v/>
      </c>
      <c r="BO8" s="66" t="str">
        <f>IF(COUNTIFS('20'!$AG$35:$AG$40,$AK8,'20'!$AF$35:$AF$40,1)=0,"",SUMIFS('20'!$AC$35:$AC$40,'20'!$AG$35:$AG$40,$AK8,'20'!$AF$35:$AF$40,1)/COUNTIFS('20'!$AG$35:$AG$40,$AK8,'20'!$AF$35:$AF$40,1))</f>
        <v/>
      </c>
      <c r="BP8" s="66" t="str">
        <f>IF(COUNTIFS('21'!$AG$30:$AG$35,$AK8,'21'!$AF$30:$AF$35,1)=0,"",SUMIFS('21'!$AC$30:$AC$35,'21'!$AG$30:$AG$35,$AK8,'21'!$AF$30:$AF$35,1)/COUNTIFS('21'!$AG$30:$AG$35,$AK8,'21'!$AF$30:$AF$35,1))</f>
        <v/>
      </c>
      <c r="BQ8" s="66" t="str">
        <f>IF(COUNTIFS('22'!$AG$36:$AG$41,$AK8,'22'!$AF$36:$AF$41,1)=0,"",SUMIFS('22'!$AC$36:$AC$41,'22'!$AG$36:$AG$41,$AK8,'22'!$AF$36:$AF$41,1)/COUNTIFS('22'!$AG$36:$AG$41,$AK8,'22'!$AF$36:$AF$41,1))</f>
        <v/>
      </c>
      <c r="BR8" s="66" t="str">
        <f>IF(COUNTIFS('23'!$AG$46:$AG$51,$AK8,'23'!$AF$46:$AF$51,1)=0,"",SUMIFS('23'!$AC$46:$AC$51,'23'!$AG$46:$AG$51,$AK8,'23'!$AF$46:$AF$51,1)/COUNTIFS('23'!$AG$46:$AG$51,$AK8,'23'!$AF$46:$AF$51,1))</f>
        <v/>
      </c>
      <c r="BS8" s="66" t="str">
        <f>IF(COUNTIFS('24'!$AG$39:$AG$44,$AK8,'24'!$AF$39:$AF$44,1)=0,"",SUMIFS('24'!$AC$39:$AC$44,'24'!$AG$39:$AG$44,$AK8,'24'!$AF$39:$AF$44,1)/COUNTIFS('24'!$AG$39:$AG$44,$AK8,'24'!$AF$39:$AF$44,1))</f>
        <v/>
      </c>
      <c r="BT8" s="66" t="str">
        <f>IF(COUNTIFS('25'!$AG$33:$AG$38,$AK8,'25'!$AF$33:$AF$38,1)=0,"",SUMIFS('25'!$AC$33:$AC$38,'25'!$AG$33:$AG$38,$AK8,'25'!$AF$33:$AF$38,1)/COUNTIFS('25'!$AG$33:$AG$38,$AK8,'25'!$AF$33:$AF$38,1))</f>
        <v/>
      </c>
      <c r="BU8" s="66" t="str">
        <f>IF(COUNTIFS('26'!$AG$37:$AG$42,$AK8,'26'!$AF$37:$AF$42,1)=0,"",SUMIFS('26'!$AC$37:$AC$42,'26'!$AG$37:$AG$42,$AK8,'26'!$AF$37:$AF$42,1)/COUNTIFS('26'!$AG$37:$AG$42,$AK8,'26'!$AF$37:$AF$42,1))</f>
        <v/>
      </c>
      <c r="BV8" s="66" t="str">
        <f>IF(COUNTIFS('27'!$AG$42:$AG$47,$AK8,'27'!$AF$42:$AF$47,1)=0,"",SUMIFS('27'!$AC$42:$AC$47,'27'!$AG$42:$AG$47,$AK8,'27'!$AF$42:$AF$47,1)/COUNTIFS('27'!$AG$42:$AG$47,$AK8,'27'!$AF$42:$AF$47,1))</f>
        <v/>
      </c>
      <c r="BW8" s="66" t="str">
        <f>IF(COUNTIFS('28'!$AG$37:$AG$42,$AK8,'28'!$AF$37:$AF$42,1)=0,"",SUMIFS('28'!$AC$37:$AC$42,'28'!$AG$37:$AG$42,$AK8,'28'!$AF$37:$AF$42,1)/COUNTIFS('28'!$AG$37:$AG$42,$AK8,'28'!$AF$37:$AF$42,1))</f>
        <v/>
      </c>
      <c r="BX8" s="66" t="str">
        <f>IF(COUNTIFS('29'!$AG$41:$AG$46,$AK8,'29'!$AF$41:$AF$46,1)=0,"",SUMIFS('29'!$AC$41:$AC$46,'29'!$AG$41:$AG$46,$AK8,'29'!$AF$41:$AF$46,1)/COUNTIFS('29'!$AG$41:$AG$46,$AK8,'29'!$AF$41:$AF$46,1))</f>
        <v/>
      </c>
      <c r="BY8" s="66" t="str">
        <f>IF(COUNTIFS('30'!$AG$33:$AG$38,$AK8,'30'!$AF$33:$AF$38,1)=0,"",SUMIFS('30'!$AC$33:$AC$38,'30'!$AG$33:$AG$38,$AK8,'30'!$AF$33:$AF$38,1)/COUNTIFS('30'!$AG$33:$AG$38,$AK8,'30'!$AF$33:$AF$38,1))</f>
        <v/>
      </c>
      <c r="BZ8" s="66" t="str">
        <f>IF(COUNTIFS('31'!$AG$56:$AG$61,$AK8,'31'!$AF$56:$AF$61,1)=0,"",SUMIFS('31'!$AC$56:$AC$61,'31'!$AG$56:$AG$61,$AK8,'31'!$AF$56:$AF$61,1)/COUNTIFS('31'!$AG$56:$AG$61,$AK8,'31'!$AF$56:$AF$61,1))</f>
        <v/>
      </c>
      <c r="CA8" s="66" t="s">
        <v>605</v>
      </c>
      <c r="CB8" s="66">
        <f t="shared" si="6"/>
        <v>0</v>
      </c>
    </row>
    <row r="9">
      <c r="A9" s="141">
        <f>IF(LARGE($Y$5:$Y$17,4)=0,"",4)</f>
        <v>4</v>
      </c>
      <c r="B9" s="141" t="str">
        <f t="shared" si="7"/>
        <v>Couple A</v>
      </c>
      <c r="C9" s="141">
        <f t="shared" si="8"/>
        <v>24</v>
      </c>
      <c r="D9" s="142">
        <f t="shared" si="9"/>
        <v>0.04948453608</v>
      </c>
      <c r="E9" s="142">
        <f t="shared" si="10"/>
        <v>0.8226804124</v>
      </c>
      <c r="X9" s="66" t="s">
        <v>57</v>
      </c>
      <c r="Y9" s="66">
        <f>COUNTIF('1'!$D$4:$D$21,X9)+COUNTIF('2'!$D$4:$D$21,X9)+COUNTIF('3'!$D$4:$D$21,X9)+COUNTIF('4'!$D$4:$D$22,X9)+COUNTIF('5'!$D$4:$D$22,X9)+COUNTIF('6'!$D$4:$D$21,X9)+COUNTIF('7'!$D$4:$D$21,X9)+COUNTIF('8'!$D$4:$D$24,X9)+COUNTIF('9'!$D$4:$D$21,X9)+COUNTIF('10'!$D$4:$D$21,X9)+COUNTIF('11'!$D$4:$D$25,X9)+COUNTIF('12'!$D$4:$D$25,X9)+COUNTIF('13'!$D$4:$D$22,X9)+COUNTIF('14'!$D$4:$D$28,X9)+COUNTIF('15'!$D$4:$D$27,X9)+COUNTIF('16'!$D$4:$D$23,X9)+COUNTIF('17'!$D$4:$D$28,X9)+COUNTIF('18'!$D$4:$D$28,X9)+COUNTIF('19'!$D$4:$D$21,X9)+COUNTIF('20'!$D$4:$D$26,X9)+COUNTIF('21'!$D$4:$D$21,X9)+COUNTIF('22'!$D$4:$D$27,X9)+COUNTIF('23'!$D$4:$D$37,X9)+COUNTIF('24'!$D$4:$D$30,X9)+COUNTIF('25'!$D$4:$D$24,X9)+COUNTIF('26'!$D$4:$D$28,X9)+COUNTIF('27'!$D$4:$D$33,X9)+COUNTIF('28'!$D$4:$D$28,X9)+COUNTIF('29'!$D$4:$D$32,X9)+COUNTIF('30'!$D$4:$D$24,X9)+COUNTIF('31'!$D$4:$D$45,X9)</f>
        <v>12</v>
      </c>
      <c r="Z9" s="66">
        <f t="shared" si="1"/>
        <v>12.00009</v>
      </c>
      <c r="AA9" s="66" t="s">
        <v>602</v>
      </c>
      <c r="AB9" s="66" t="s">
        <v>557</v>
      </c>
      <c r="AC9" s="66">
        <f>COUNTIF('1'!$O$23:$O$26,AA9)+COUNTIF('2'!$O$23:$O$26,AA9)+COUNTIF('3'!$O$23:$O$26,AA9)+COUNTIF('4'!$O$24:$O$27,AA9)+COUNTIF('5'!$O$24:$O$27,AA9)+COUNTIF('6'!$O$23:$O$26,AA9)+COUNTIF('7'!$O$23:$O$26,AA9)+COUNTIF('8'!$O$26:$O$29,AA9)+COUNTIF('9'!$O$23:$O$26,AA9)+COUNTIF('10'!$O$23:$O$26,AA9)+COUNTIF('11'!$O$27:$O$30,AA9)+COUNTIF('12'!$O$27:$O$30,AA9)+COUNTIF('13'!$O$24:$O$27,AA9)+COUNTIF('14'!$O$30:$O$33,AA9)+COUNTIF('15'!$O$29:$O$32,AA9)+COUNTIF('16'!$O$25:$O$28,AA9)+COUNTIF('17'!$O$30:$O$33,AA9)+COUNTIF('18'!$O$30:$O$33,AA9)+COUNTIF('19'!$O$23:$O$26,AA9)+COUNTIF('20'!$O$28:$O$31,AA9)+COUNTIF('21'!$O$23:$O$26,AA9)+COUNTIF('22'!$O$29:$O$32,AA9)+COUNTIF('23'!$O$39:$O$42,AA9)+COUNTIF('24'!$O$32:$O$35,AA9)+COUNTIF('25'!$O$26:$O$29,AA9)+COUNTIF('26'!$O$30:$O$33,AA9)+COUNTIF('27'!$O$35:$O$38,AA9)+COUNTIF('28'!$O$30:$O$33,AA9)+COUNTIF('29'!$O$34:$O$37,AA9)+COUNTIF('30'!$O$26:$O$29,AA9)+COUNTIF('31'!$O$47:$O$50,AA9)</f>
        <v>0</v>
      </c>
      <c r="AD9" s="66">
        <f t="shared" si="2"/>
        <v>0.00007</v>
      </c>
      <c r="AE9" s="66" t="s">
        <v>602</v>
      </c>
      <c r="AF9" s="66">
        <f>COUNTIF('1'!$L$4:$L$21,AE9)+COUNTIF('2'!$L$4:$L$21,AE9)+COUNTIF('3'!$L$4:$L$21,AE9)+COUNTIF('4'!$L$4:$L$22,AE9)+COUNTIF('5'!$L$4:$L$22,AE9)+COUNTIF('6'!$L$4:$L$21,AE9)+COUNTIF('7'!$L$4:$L$21,AE9)+COUNTIF('8'!$L$4:$L$24,AE9)+COUNTIF('9'!$L$4:$L$21,AE9)+COUNTIF('10'!$L$4:$L$21,AE9)+COUNTIF('11'!$L$4:$L$25,AE9)+COUNTIF('12'!$L$4:$L$25,AE9)+COUNTIF('13'!$L$4:$L$22,AE9)+COUNTIF('14'!$L$4:$L$28,AE9)+COUNTIF('15'!$L$4:$L$27,AE9)+COUNTIF('16'!$L$4:$L$23,AE9)+COUNTIF('17'!$L$4:$L$28,AE9)+COUNTIF('18'!$L$4:$L$28,AE9)+COUNTIF('19'!$L$4:$L$21,AE9)+COUNTIF('20'!$L$4:$L$26,AE9)+COUNTIF('21'!$L$4:$L$21,AE9)+COUNTIF('22'!$L$4:$L$27,AE9)+COUNTIF('23'!$L$4:$L$37,AE9)+COUNTIF('24'!$L$4:$L$30,AE9)+COUNTIF('25'!$L$4:$L$24,AE9)+COUNTIF('26'!$L$4:$L$28,AE9)+COUNTIF('27'!$L$4:$L$33,AE9)+COUNTIF('28'!$L$4:$L$28,AE9)+COUNTIF('29'!$L$4:$L$32,AE9)+COUNTIF('30'!$L$4:$L$24,AE9)+COUNTIF('31'!$L$4:$L$45,AE9)</f>
        <v>0</v>
      </c>
      <c r="AG9" s="66">
        <f t="shared" si="3"/>
        <v>0.00001</v>
      </c>
      <c r="AH9" s="66" t="s">
        <v>604</v>
      </c>
      <c r="AI9" s="66">
        <f>COUNTIF('1'!$M$4:$M$21,AH9)+COUNTIF('2'!$M$4:$M$21,AH9)+COUNTIF('3'!$M$4:$M$21,AH9)+COUNTIF('4'!$M$4:$M$22,AH9)+COUNTIF('5'!$M$4:$M$22,AH9)+COUNTIF('6'!$M$4:$M$21,AH9)+COUNTIF('7'!$M$4:$M$21,AH9)+COUNTIF('8'!$M$4:$M$24,AH9)+COUNTIF('9'!$M$4:$M$21,AH9)+COUNTIF('10'!$M$4:$M$21,AH9)+COUNTIF('11'!$M$4:$M$25,AH9)+COUNTIF('12'!$M$4:$M$25,AH9)+COUNTIF('13'!$M$4:$M$22,AH9)+COUNTIF('14'!$M$4:$M$28,AH9)+COUNTIF('15'!$M$4:$M$27,AH9)+COUNTIF('16'!$M$4:$M$23,AH9)+COUNTIF('17'!$M$4:$M$28,AH9)+COUNTIF('18'!$M$4:$M$28,AH9)+COUNTIF('19'!$M$4:$M$21,AH9)+COUNTIF('20'!$M$4:$M$26,AH9)+COUNTIF('21'!$M$4:$M$21,AH9)+COUNTIF('22'!$M$4:$M$27,AH9)+COUNTIF('23'!$M$4:$M$37,AH9)+COUNTIF('24'!$M$4:$M$30,AH9)+COUNTIF('25'!$M$4:$M$24,AH9)+COUNTIF('26'!$M$4:$M$28,AH9)+COUNTIF('27'!$M$4:$M$33,AH9)+COUNTIF('28'!$M$4:$M$28,AH9)+COUNTIF('29'!$M$4:$M$32,AH9)+COUNTIF('30'!$M$4:$M$24,AH9)+COUNTIF('31'!$M$4:$M$45,AH9)</f>
        <v>0</v>
      </c>
      <c r="AJ9" s="66">
        <f t="shared" si="4"/>
        <v>0.00002</v>
      </c>
      <c r="AK9" s="66" t="s">
        <v>602</v>
      </c>
      <c r="AL9" s="66" t="s">
        <v>557</v>
      </c>
      <c r="AM9" s="66">
        <f>COUNTIFS('1'!$AG$30:$AG$35,AK9,'1'!$AF$30:$AF$35,1)+COUNTIFS('2'!$AG$30:$AG$35,AK9,'2'!$AF$30:$AF$35,1)+COUNTIFS('3'!$AG$30:$AG$35,AK9,'3'!$AF$30:$AF$35,1)+COUNTIFS('4'!$AG$31:$AG$36,AK9,'4'!$AF$31:$AF$36,1)+COUNTIFS('5'!$AG$31:$AG$36,AK9,'5'!$AF$31:$AF$36,1)+COUNTIFS('6'!$AG$30:$AG$35,AK9,'6'!$AF$30:$AF$35,1)+COUNTIFS('7'!$AG$30:$AG$35,AK9,'7'!$AF$30:$AF$35,1)+COUNTIFS('8'!$AG$33:$AG$38,AK9,'8'!$AF$33:$AF$38,1)+COUNTIFS('9'!$AG$30:$AG$35,AK9,'9'!$AF$30:$AF$35,1)+COUNTIFS('10'!$AG$30:$AG$35,AK9,'10'!$AF$30:$AF$35,1)+COUNTIFS('11'!$AG$34:$AG$39,AK9,'11'!$AF$34:$AF$39,1)+COUNTIFS('12'!$AG$34:$AG$39,AK9,'12'!$AF$34:$AF$39,1)+COUNTIFS('13'!$AG$31:$AG$36,AK9,'13'!$AF$31:$AF$36,1)+COUNTIFS('14'!$AG$37:$AG$42,AK9,'14'!$AF$37:$AF$42,1)+COUNTIFS('15'!$AG$36:$AG$41,AK9,'15'!$AF$36:$AF$41,1)+COUNTIFS('16'!$AG$32:$AG$37,AK9,'16'!$AF$32:$AF$37,1)+COUNTIFS('17'!$AG$37:$AG$42,AK9,'17'!$AF$37:$AF$42,1)+COUNTIFS('18'!$AG$37:$AG$42,AK9,'18'!$AF$37:$AF$42,1)+COUNTIFS('19'!$AG$30:$AG$35,AK9,'19'!$AF$30:$AF$35,1)+COUNTIFS('20'!$AG$35:$AG$40,AK9,'20'!$AF$35:$AF$40,1)+COUNTIFS('21'!$AG$30:$AG$35,AK9,'21'!$AF$30:$AF$35,1)+COUNTIFS('22'!$AG$36:$AG$41,AK9,'22'!$AF$36:$AF$41,1)+COUNTIFS('23'!$AG$46:$AG$51,AK9,'23'!$AF$46:$AF$51,1)+COUNTIFS('24'!$AG$39:$AG$44,AK9,'24'!$AF$39:$AF$44,1)+COUNTIFS('25'!$AG$33:$AG$38,AK9,'25'!$AF$33:$AF$38,1)+COUNTIFS('26'!$AG$37:$AG$42,AK9,'26'!$AF$37:$AF$42,1)+COUNTIFS('27'!$AG$42:$AG$47,AK9,'27'!$AF$42:$AF$47,1)+COUNTIFS('28'!$AG$37:$AG$42,AK9,'28'!$AF$37:$AF$42,1)+COUNTIFS('29'!$AG$41:$AG$46,AK9,'29'!$AF$41:$AF$46,1)+COUNTIFS('30'!$AG$33:$AG$38,AK9,'30'!$AF$33:$AF$38,1)+COUNTIFS('31'!$AG$56:$AG$61,AK9,'31'!$AF$56:$AF$61,1)</f>
        <v>0</v>
      </c>
      <c r="AN9" s="66" t="str">
        <f t="shared" si="5"/>
        <v/>
      </c>
      <c r="AO9" s="66" t="str">
        <f>IF(AM9=0,"",(SUMIFS('1'!$L$30:$L$35,'1'!$AG$30:$AG$35,AK9,'1'!$AF$30:$AF$35,1)+SUMIFS('2'!$L$30:$L$35,'2'!$AG$30:$AG$35,AK9,'2'!$AF$30:$AF$35,1)+SUMIFS('3'!$L$30:$L$35,'3'!$AG$30:$AG$35,AK9,'3'!$AF$30:$AF$35,1)+SUMIFS('4'!$L$31:$L$36,'4'!$AG$31:$AG$36,AK9,'4'!$AF$31:$AF$36,1)+SUMIFS('5'!$L$31:$L$36,'5'!$AG$31:$AG$36,AK9,'5'!$AF$31:$AF$36,1)+SUMIFS('6'!$L$30:$L$35,'6'!$AG$30:$AG$35,AK9,'6'!$AF$30:$AF$35,1)+SUMIFS('7'!$L$30:$L$35,'7'!$AG$30:$AG$35,AK9,'7'!$AF$30:$AF$35,1)+SUMIFS('8'!$L$33:$L$38,'8'!$AG$33:$AG$38,AK9,'8'!$AF$33:$AF$38,1)+SUMIFS('9'!$L$30:$L$35,'9'!$AG$30:$AG$35,AK9,'9'!$AF$30:$AF$35,1)+SUMIFS('10'!$L$30:$L$35,'10'!$AG$30:$AG$35,AK9,'10'!$AF$30:$AF$35,1)+SUMIFS('11'!$L$34:$L$39,'11'!$AG$34:$AG$39,AK9,'11'!$AF$34:$AF$39,1)+SUMIFS('12'!$L$34:$L$39,'12'!$AG$34:$AG$39,AK9,'12'!$AF$34:$AF$39,1)+SUMIFS('13'!$L$31:$L$36,'13'!$AG$31:$AG$36,AK9,'13'!$AF$31:$AF$36,1)+SUMIFS('14'!$L$37:$L$42,'14'!$AG$37:$AG$42,AK9,'14'!$AF$37:$AF$42,1)+SUMIFS('15'!$L$36:$L$41,'15'!$AG$36:$AG$41,AK9,'15'!$AF$36:$AF$41,1)+SUMIFS('16'!$L$32:$L$37,'16'!$AG$32:$AG$37,AK9,'16'!$AF$32:$AF$37,1)+SUMIFS('17'!$L$37:$L$42,'17'!$AG$37:$AG$42,AK9,'17'!$AF$37:$AF$42,1)+SUMIFS('18'!$L$37:$L$42,'18'!$AG$37:$AG$42,AK9,'18'!$AF$37:$AF$42,1)+SUMIFS('19'!$L$30:$L$35,'19'!$AG$30:$AG$35,AK9,'19'!$AF$30:$AF$35,1)+SUMIFS('20'!$L$35:$L$40,'20'!$AG$35:$AG$40,AK9,'20'!$AF$35:$AF$40,1)+SUMIFS('21'!$L$30:$L$35,'21'!$AG$30:$AG$35,AK9,'21'!$AF$30:$AF$35,1)+SUMIFS('22'!$L$36:$L$41,'22'!$AG$36:$AG$41,AK9,'22'!$AF$36:$AF$41,1)+SUMIFS('23'!$L$46:$L$51,'23'!$AG$46:$AG$51,AK9,'23'!$AF$46:$AF$51,1)+SUMIFS('24'!$L$39:$L$44,'24'!$AG$39:$AG$44,AK9,'24'!$AF$39:$AF$44,1)+SUMIFS('25'!$L$33:$L$38,'25'!$AG$33:$AG$38,AK9,'25'!$AF$33:$AF$38,1)+SUMIFS('26'!$L$37:$L$42,'26'!$AG$37:$AG$42,AK9,'26'!$AF$37:$AF$42,1)+SUMIFS('27'!$L$42:$L$47,'27'!$AG$42:$AG$47,AK9,'27'!$AF$42:$AF$47,1)+SUMIFS('28'!$L$37:$L$42,'28'!$AG$37:$AG$42,AK9,'28'!$AF$37:$AF$42,1)+SUMIFS('29'!$L$41:$L$46,'29'!$AG$41:$AG$46,AK9,'29'!$AF$41:$AF$46,1)+SUMIFS('30'!$L$33:$L$38,'30'!$AG$33:$AG$38,AK9,'30'!$AF$33:$AF$38,1)+SUMIFS('31'!$L$56:$L$61,'31'!$AG$56:$AG$61,AK9,'31'!$AF$56:$AF$61,1))/AM9)</f>
        <v/>
      </c>
      <c r="AP9" s="66" t="str">
        <f>IF(AM9=0,"",(SUMIFS('1'!$M$30:$M$35,'1'!$AG$30:$AG$35,AK9,'1'!$AF$30:$AF$35,1)+SUMIFS('2'!$M$30:$M$35,'2'!$AG$30:$AG$35,AK9,'2'!$AF$30:$AF$35,1)+SUMIFS('3'!$M$30:$M$35,'3'!$AG$30:$AG$35,AK9,'3'!$AF$30:$AF$35,1)+SUMIFS('4'!$M$31:$M$36,'4'!$AG$31:$AG$36,AK9,'4'!$AF$31:$AF$36,1)+SUMIFS('5'!$M$31:$M$36,'5'!$AG$31:$AG$36,AK9,'5'!$AF$31:$AF$36,1)+SUMIFS('6'!$M$30:$M$35,'6'!$AG$30:$AG$35,AK9,'6'!$AF$30:$AF$35,1)+SUMIFS('7'!$M$30:$M$35,'7'!$AG$30:$AG$35,AK9,'7'!$AF$30:$AF$35,1)+SUMIFS('8'!$M$33:$M$38,'8'!$AG$33:$AG$38,AK9,'8'!$AF$33:$AF$38,1)+SUMIFS('9'!$M$30:$M$35,'9'!$AG$30:$AG$35,AK9,'9'!$AF$30:$AF$35,1)+SUMIFS('10'!$M$30:$M$35,'10'!$AG$30:$AG$35,AK9,'10'!$AF$30:$AF$35,1)+SUMIFS('11'!$M$34:$M$39,'11'!$AG$34:$AG$39,AK9,'11'!$AF$34:$AF$39,1)+SUMIFS('12'!$M$34:$M$39,'12'!$AG$34:$AG$39,AK9,'12'!$AF$34:$AF$39,1)+SUMIFS('13'!$M$31:$M$36,'13'!$AG$31:$AG$36,AK9,'13'!$AF$31:$AF$36,1)+SUMIFS('14'!$M$37:$M$42,'14'!$AG$37:$AG$42,AK9,'14'!$AF$37:$AF$42,1)+SUMIFS('15'!$M$36:$M$41,'15'!$AG$36:$AG$41,AK9,'15'!$AF$36:$AF$41,1)+SUMIFS('16'!$M$32:$M$37,'16'!$AG$32:$AG$37,AK9,'16'!$AF$32:$AF$37,1)+SUMIFS('17'!$M$37:$M$42,'17'!$AG$37:$AG$42,AK9,'17'!$AF$37:$AF$42,1)+SUMIFS('18'!$M$37:$M$42,'18'!$AG$37:$AG$42,AK9,'18'!$AF$37:$AF$42,1)+SUMIFS('19'!$M$30:$M$35,'19'!$AG$30:$AG$35,AK9,'19'!$AF$30:$AF$35,1)+SUMIFS('20'!$M$35:$M$40,'20'!$AG$35:$AG$40,AK9,'20'!$AF$35:$AF$40,1)+SUMIFS('21'!$M$30:$M$35,'21'!$AG$30:$AG$35,AK9,'21'!$AF$30:$AF$35,1)+SUMIFS('22'!$M$36:$M$41,'22'!$AG$36:$AG$41,AK9,'22'!$AF$36:$AF$41,1)+SUMIFS('23'!$M$46:$M$51,'23'!$AG$46:$AG$51,AK9,'23'!$AF$46:$AF$51,1)+SUMIFS('24'!$M$39:$M$44,'24'!$AG$39:$AG$44,AK9,'24'!$AF$39:$AF$44,1)+SUMIFS('25'!$M$33:$M$38,'25'!$AG$33:$AG$38,AK9,'25'!$AF$33:$AF$38,1)+SUMIFS('26'!$M$37:$M$42,'26'!$AG$37:$AG$42,AK9,'26'!$AF$37:$AF$42,1)+SUMIFS('27'!$M$42:$M$47,'27'!$AG$42:$AG$47,AK9,'27'!$AF$42:$AF$47,1)+SUMIFS('28'!$M$37:$M$42,'28'!$AG$37:$AG$42,AK9,'28'!$AF$37:$AF$42,1)+SUMIFS('29'!$M$41:$M$46,'29'!$AG$41:$AG$46,AK9,'29'!$AF$41:$AF$46,1)+SUMIFS('30'!$M$33:$M$38,'30'!$AG$33:$AG$38,AK9,'30'!$AF$33:$AF$38,1)+SUMIFS('31'!$M$56:$M$61,'31'!$AG$56:$AG$61,AK9,'31'!$AF$56:$AF$61,1))/AM9)</f>
        <v/>
      </c>
      <c r="AQ9" s="66" t="str">
        <f>IF(AM9=0,"",(SUMIFS('1'!$N$30:$N$35,'1'!$AG$30:$AG$35,AK9,'1'!$AF$30:$AF$35,1)+SUMIFS('2'!$N$30:$N$35,'2'!$AG$30:$AG$35,AK9,'2'!$AF$30:$AF$35,1)+SUMIFS('3'!$N$30:$N$35,'3'!$AG$30:$AG$35,AK9,'3'!$AF$30:$AF$35,1)+SUMIFS('4'!$N$31:$N$36,'4'!$AG$31:$AG$36,AK9,'4'!$AF$31:$AF$36,1)+SUMIFS('5'!$N$31:$N$36,'5'!$AG$31:$AG$36,AK9,'5'!$AF$31:$AF$36,1)+SUMIFS('6'!$N$30:$N$35,'6'!$AG$30:$AG$35,AK9,'6'!$AF$30:$AF$35,1)+SUMIFS('7'!$N$30:$N$35,'7'!$AG$30:$AG$35,AK9,'7'!$AF$30:$AF$35,1)+SUMIFS('8'!$N$33:$N$38,'8'!$AG$33:$AG$38,AK9,'8'!$AF$33:$AF$38,1)+SUMIFS('9'!$N$30:$N$35,'9'!$AG$30:$AG$35,AK9,'9'!$AF$30:$AF$35,1)+SUMIFS('10'!$N$30:$N$35,'10'!$AG$30:$AG$35,AK9,'10'!$AF$30:$AF$35,1)+SUMIFS('11'!$N$34:$N$39,'11'!$AG$34:$AG$39,AK9,'11'!$AF$34:$AF$39,1)+SUMIFS('12'!$N$34:$N$39,'12'!$AG$34:$AG$39,AK9,'12'!$AF$34:$AF$39,1)+SUMIFS('13'!$N$31:$N$36,'13'!$AG$31:$AG$36,AK9,'13'!$AF$31:$AF$36,1)+SUMIFS('14'!$N$37:$N$42,'14'!$AG$37:$AG$42,AK9,'14'!$AF$37:$AF$42,1)+SUMIFS('15'!$N$36:$N$41,'15'!$AG$36:$AG$41,AK9,'15'!$AF$36:$AF$41,1)+SUMIFS('16'!$N$32:$N$37,'16'!$AG$32:$AG$37,AK9,'16'!$AF$32:$AF$37,1)+SUMIFS('17'!$N$37:$N$42,'17'!$AG$37:$AG$42,AK9,'17'!$AF$37:$AF$42,1)+SUMIFS('18'!$N$37:$N$42,'18'!$AG$37:$AG$42,AK9,'18'!$AF$37:$AF$42,1)+SUMIFS('19'!$N$30:$N$35,'19'!$AG$30:$AG$35,AK9,'19'!$AF$30:$AF$35,1)+SUMIFS('20'!$N$35:$N$40,'20'!$AG$35:$AG$40,AK9,'20'!$AF$35:$AF$40,1)+SUMIFS('21'!$N$30:$N$35,'21'!$AG$30:$AG$35,AK9,'21'!$AF$30:$AF$35,1)+SUMIFS('22'!$N$36:$N$41,'22'!$AG$36:$AG$41,AK9,'22'!$AF$36:$AF$41,1)+SUMIFS('23'!$N$46:$N$51,'23'!$AG$46:$AG$51,AK9,'23'!$AF$46:$AF$51,1)+SUMIFS('24'!$N$39:$N$44,'24'!$AG$39:$AG$44,AK9,'24'!$AF$39:$AF$44,1)+SUMIFS('25'!$N$33:$N$38,'25'!$AG$33:$AG$38,AK9,'25'!$AF$33:$AF$38,1)+SUMIFS('26'!$N$37:$N$42,'26'!$AG$37:$AG$42,AK9,'26'!$AF$37:$AF$42,1)+SUMIFS('27'!$N$42:$N$47,'27'!$AG$42:$AG$47,AK9,'27'!$AF$42:$AF$47,1)+SUMIFS('28'!$N$37:$N$42,'28'!$AG$37:$AG$42,AK9,'28'!$AF$37:$AF$42,1)+SUMIFS('29'!$N$41:$N$46,'29'!$AG$41:$AG$46,AK9,'29'!$AF$41:$AF$46,1)+SUMIFS('30'!$N$33:$N$38,'30'!$AG$33:$AG$38,AK9,'30'!$AF$33:$AF$38,1)+SUMIFS('31'!$N$56:$N$61,'31'!$AG$56:$AG$61,AK9,'31'!$AF$56:$AF$61,1))/AM9)</f>
        <v/>
      </c>
      <c r="AR9" s="66" t="str">
        <f>IF(AM9=0,"",(SUMIFS('1'!$O$30:$O$35,'1'!$AG$30:$AG$35,AK9,'1'!$AF$30:$AF$35,1)+SUMIFS('2'!$O$30:$O$35,'2'!$AG$30:$AG$35,AK9,'2'!$AF$30:$AF$35,1)+SUMIFS('3'!$O$30:$O$35,'3'!$AG$30:$AG$35,AK9,'3'!$AF$30:$AF$35,1)+SUMIFS('4'!$O$31:$O$36,'4'!$AG$31:$AG$36,AK9,'4'!$AF$31:$AF$36,1)+SUMIFS('5'!$O$31:$O$36,'5'!$AG$31:$AG$36,AK9,'5'!$AF$31:$AF$36,1)+SUMIFS('6'!$O$30:$O$35,'6'!$AG$30:$AG$35,AK9,'6'!$AF$30:$AF$35,1)+SUMIFS('7'!$O$30:$O$35,'7'!$AG$30:$AG$35,AK9,'7'!$AF$30:$AF$35,1)+SUMIFS('8'!$O$33:$O$38,'8'!$AG$33:$AG$38,AK9,'8'!$AF$33:$AF$38,1)+SUMIFS('9'!$O$30:$O$35,'9'!$AG$30:$AG$35,AK9,'9'!$AF$30:$AF$35,1)+SUMIFS('10'!$O$30:$O$35,'10'!$AG$30:$AG$35,AK9,'10'!$AF$30:$AF$35,1)+SUMIFS('11'!$O$34:$O$39,'11'!$AG$34:$AG$39,AK9,'11'!$AF$34:$AF$39,1)+SUMIFS('12'!$O$34:$O$39,'12'!$AG$34:$AG$39,AK9,'12'!$AF$34:$AF$39,1)+SUMIFS('13'!$O$31:$O$36,'13'!$AG$31:$AG$36,AK9,'13'!$AF$31:$AF$36,1)+SUMIFS('14'!$O$37:$O$42,'14'!$AG$37:$AG$42,AK9,'14'!$AF$37:$AF$42,1)+SUMIFS('15'!$O$36:$O$41,'15'!$AG$36:$AG$41,AK9,'15'!$AF$36:$AF$41,1)+SUMIFS('16'!$O$32:$O$37,'16'!$AG$32:$AG$37,AK9,'16'!$AF$32:$AF$37,1)+SUMIFS('17'!$O$37:$O$42,'17'!$AG$37:$AG$42,AK9,'17'!$AF$37:$AF$42,1)+SUMIFS('18'!$O$37:$O$42,'18'!$AG$37:$AG$42,AK9,'18'!$AF$37:$AF$42,1)+SUMIFS('19'!$O$30:$O$35,'19'!$AG$30:$AG$35,AK9,'19'!$AF$30:$AF$35,1)+SUMIFS('20'!$O$35:$O$40,'20'!$AG$35:$AG$40,AK9,'20'!$AF$35:$AF$40,1)+SUMIFS('21'!$O$30:$O$35,'21'!$AG$30:$AG$35,AK9,'21'!$AF$30:$AF$35,1)+SUMIFS('22'!$O$36:$O$41,'22'!$AG$36:$AG$41,AK9,'22'!$AF$36:$AF$41,1)+SUMIFS('23'!$O$46:$O$51,'23'!$AG$46:$AG$51,AK9,'23'!$AF$46:$AF$51,1)+SUMIFS('24'!$O$39:$O$44,'24'!$AG$39:$AG$44,AK9,'24'!$AF$39:$AF$44,1)+SUMIFS('25'!$O$33:$O$38,'25'!$AG$33:$AG$38,AK9,'25'!$AF$33:$AF$38,1)+SUMIFS('26'!$O$37:$O$42,'26'!$AG$37:$AG$42,AK9,'26'!$AF$37:$AF$42,1)+SUMIFS('27'!$O$42:$O$47,'27'!$AG$42:$AG$47,AK9,'27'!$AF$42:$AF$47,1)+SUMIFS('28'!$O$37:$O$42,'28'!$AG$37:$AG$42,AK9,'28'!$AF$37:$AF$42,1)+SUMIFS('29'!$O$41:$O$46,'29'!$AG$41:$AG$46,AK9,'29'!$AF$41:$AF$46,1)+SUMIFS('30'!$O$33:$O$38,'30'!$AG$33:$AG$38,AK9,'30'!$AF$33:$AF$38,1)+SUMIFS('31'!$O$56:$O$61,'31'!$AG$56:$AG$61,AK9,'31'!$AF$56:$AF$61,1))/AM9)</f>
        <v/>
      </c>
      <c r="AS9" s="66" t="str">
        <f>IF(AM9=0,"",(SUMIFS('1'!$P$30:$P$35,'1'!$AG$30:$AG$35,AK9,'1'!$AF$30:$AF$35,1)+SUMIFS('2'!$P$30:$P$35,'2'!$AG$30:$AG$35,AK9,'2'!$AF$30:$AF$35,1)+SUMIFS('3'!$P$30:$P$35,'3'!$AG$30:$AG$35,AK9,'3'!$AF$30:$AF$35,1)+SUMIFS('4'!$P$31:$P$36,'4'!$AG$31:$AG$36,AK9,'4'!$AF$31:$AF$36,1)+SUMIFS('5'!$P$31:$P$36,'5'!$AG$31:$AG$36,AK9,'5'!$AF$31:$AF$36,1)+SUMIFS('6'!$P$30:$P$35,'6'!$AG$30:$AG$35,AK9,'6'!$AF$30:$AF$35,1)+SUMIFS('7'!$P$30:$P$35,'7'!$AG$30:$AG$35,AK9,'7'!$AF$30:$AF$35,1)+SUMIFS('8'!$P$33:$P$38,'8'!$AG$33:$AG$38,AK9,'8'!$AF$33:$AF$38,1)+SUMIFS('9'!$P$30:$P$35,'9'!$AG$30:$AG$35,AK9,'9'!$AF$30:$AF$35,1)+SUMIFS('10'!$P$30:$P$35,'10'!$AG$30:$AG$35,AK9,'10'!$AF$30:$AF$35,1)+SUMIFS('11'!$P$34:$P$39,'11'!$AG$34:$AG$39,AK9,'11'!$AF$34:$AF$39,1)+SUMIFS('12'!$P$34:$P$39,'12'!$AG$34:$AG$39,AK9,'12'!$AF$34:$AF$39,1)+SUMIFS('13'!$P$31:$P$36,'13'!$AG$31:$AG$36,AK9,'13'!$AF$31:$AF$36,1)+SUMIFS('14'!$P$37:$P$42,'14'!$AG$37:$AG$42,AK9,'14'!$AF$37:$AF$42,1)+SUMIFS('15'!$P$36:$P$41,'15'!$AG$36:$AG$41,AK9,'15'!$AF$36:$AF$41,1)+SUMIFS('16'!$P$32:$P$37,'16'!$AG$32:$AG$37,AK9,'16'!$AF$32:$AF$37,1)+SUMIFS('17'!$P$37:$P$42,'17'!$AG$37:$AG$42,AK9,'17'!$AF$37:$AF$42,1)+SUMIFS('18'!$P$37:$P$42,'18'!$AG$37:$AG$42,AK9,'18'!$AF$37:$AF$42,1)+SUMIFS('19'!$P$30:$P$35,'19'!$AG$30:$AG$35,AK9,'19'!$AF$30:$AF$35,1)+SUMIFS('20'!$P$35:$P$40,'20'!$AG$35:$AG$40,AK9,'20'!$AF$35:$AF$40,1)+SUMIFS('21'!$P$30:$P$35,'21'!$AG$30:$AG$35,AK9,'21'!$AF$30:$AF$35,1)+SUMIFS('22'!$P$36:$P$41,'22'!$AG$36:$AG$41,AK9,'22'!$AF$36:$AF$41,1)+SUMIFS('23'!$P$46:$P$51,'23'!$AG$46:$AG$51,AK9,'23'!$AF$46:$AF$51,1)+SUMIFS('24'!$P$39:$P$44,'24'!$AG$39:$AG$44,AK9,'24'!$AF$39:$AF$44,1)+SUMIFS('25'!$P$33:$P$38,'25'!$AG$33:$AG$38,AK9,'25'!$AF$33:$AF$38,1)+SUMIFS('26'!$P$37:$P$42,'26'!$AG$37:$AG$42,AK9,'26'!$AF$37:$AF$42,1)+SUMIFS('27'!$P$42:$P$47,'27'!$AG$42:$AG$47,AK9,'27'!$AF$42:$AF$47,1)+SUMIFS('28'!$P$37:$P$42,'28'!$AG$37:$AG$42,AK9,'28'!$AF$37:$AF$42,1)+SUMIFS('29'!$P$41:$P$46,'29'!$AG$41:$AG$46,AK9,'29'!$AF$41:$AF$46,1)+SUMIFS('30'!$P$33:$P$38,'30'!$AG$33:$AG$38,AK9,'30'!$AF$33:$AF$38,1)+SUMIFS('31'!$P$56:$P$61,'31'!$AG$56:$AG$61,AK9,'31'!$AF$56:$AF$61,1))/AM9)</f>
        <v/>
      </c>
      <c r="AV9" s="66" t="str">
        <f>IF(COUNTIFS('1'!$AG$30:$AG$35,$AK9,'1'!$AF$30:$AF$35,1)=0,"",SUMIFS('1'!$AC$30:$AC$35,'1'!$AG$30:$AG$35,$AK9,'1'!$AF$30:$AF$35,1)/COUNTIFS('1'!$AG$30:$AG$35,$AK9,'1'!$AF$30:$AF$35,1))</f>
        <v/>
      </c>
      <c r="AW9" s="66" t="str">
        <f>IF(COUNTIFS('2'!$AG$30:$AG$35,$AK9,'2'!$AF$30:$AF$35,1)=0,"",SUMIFS('2'!$AC$30:$AC$35,'2'!$AG$30:$AG$35,$AK9,'2'!$AF$30:$AF$35,1)/COUNTIFS('2'!$AG$30:$AG$35,$AK9,'2'!$AF$30:$AF$35,1))</f>
        <v/>
      </c>
      <c r="AX9" s="66" t="str">
        <f>IF(COUNTIFS('3'!$AG$30:$AG$35,$AK9,'3'!$AF$30:$AF$35,1)=0,"",SUMIFS('3'!$AC$30:$AC$35,'3'!$AG$30:$AG$35,$AK9,'3'!$AF$30:$AF$35,1)/COUNTIFS('3'!$AG$30:$AG$35,$AK9,'3'!$AF$30:$AF$35,1))</f>
        <v/>
      </c>
      <c r="AY9" s="66" t="str">
        <f>IF(COUNTIFS('4'!$AG$31:$AG$36,$AK9,'4'!$AF$31:$AF$36,1)=0,"",SUMIFS('4'!$AC$31:$AC$36,'4'!$AG$31:$AG$36,$AK9,'4'!$AF$31:$AF$36,1)/COUNTIFS('4'!$AG$31:$AG$36,$AK9,'4'!$AF$31:$AF$36,1))</f>
        <v/>
      </c>
      <c r="AZ9" s="66" t="str">
        <f>IF(COUNTIFS('5'!$AG$31:$AG$36,$AK9,'5'!$AF$31:$AF$36,1)=0,"",SUMIFS('5'!$AC$31:$AC$36,'5'!$AG$31:$AG$36,$AK9,'5'!$AF$31:$AF$36,1)/COUNTIFS('5'!$AG$31:$AG$36,$AK9,'5'!$AF$31:$AF$36,1))</f>
        <v/>
      </c>
      <c r="BA9" s="66" t="str">
        <f>IF(COUNTIFS('6'!$AG$30:$AG$35,$AK9,'6'!$AF$30:$AF$35,1)=0,"",SUMIFS('6'!$AC$30:$AC$35,'6'!$AG$30:$AG$35,$AK9,'6'!$AF$30:$AF$35,1)/COUNTIFS('6'!$AG$30:$AG$35,$AK9,'6'!$AF$30:$AF$35,1))</f>
        <v/>
      </c>
      <c r="BB9" s="66" t="str">
        <f>IF(COUNTIFS('7'!$AG$30:$AG$35,$AK9,'7'!$AF$30:$AF$35,1)=0,"",SUMIFS('7'!$AC$30:$AC$35,'7'!$AG$30:$AG$35,$AK9,'7'!$AF$30:$AF$35,1)/COUNTIFS('7'!$AG$30:$AG$35,$AK9,'7'!$AF$30:$AF$35,1))</f>
        <v/>
      </c>
      <c r="BC9" s="66" t="str">
        <f>IF(COUNTIFS('8'!$AG$33:$AG$38,$AK9,'8'!$AF$33:$AF$38,1)=0,"",SUMIFS('8'!$AC$33:$AC$38,'8'!$AG$33:$AG$38,$AK9,'8'!$AF$33:$AF$38,1)/COUNTIFS('8'!$AG$33:$AG$38,$AK9,'8'!$AF$33:$AF$38,1))</f>
        <v/>
      </c>
      <c r="BD9" s="66" t="str">
        <f>IF(COUNTIFS('9'!$AG$30:$AG$35,$AK9,'9'!$AF$30:$AF$35,1)=0,"",SUMIFS('9'!$AC$30:$AC$35,'9'!$AG$30:$AG$35,$AK9,'9'!$AF$30:$AF$35,1)/COUNTIFS('9'!$AG$30:$AG$35,$AK9,'9'!$AF$30:$AF$35,1))</f>
        <v/>
      </c>
      <c r="BE9" s="66" t="str">
        <f>IF(COUNTIFS('10'!$AG$30:$AG$35,$AK9,'10'!$AF$30:$AF$35,1)=0,"",SUMIFS('10'!$AC$30:$AC$35,'10'!$AG$30:$AG$35,$AK9,'10'!$AF$30:$AF$35,1)/COUNTIFS('10'!$AG$30:$AG$35,$AK9,'10'!$AF$30:$AF$35,1))</f>
        <v/>
      </c>
      <c r="BF9" s="66" t="str">
        <f>IF(COUNTIFS('11'!$AG$34:$AG$39,$AK9,'11'!$AF$34:$AF$39,1)=0,"",SUMIFS('11'!$AC$34:$AC$39,'11'!$AG$34:$AG$39,$AK9,'11'!$AF$34:$AF$39,1)/COUNTIFS('11'!$AG$34:$AG$39,$AK9,'11'!$AF$34:$AF$39,1))</f>
        <v/>
      </c>
      <c r="BG9" s="66" t="str">
        <f>IF(COUNTIFS('12'!$AG$34:$AG$39,$AK9,'12'!$AF$34:$AF$39,1)=0,"",SUMIFS('12'!$AC$34:$AC$39,'12'!$AG$34:$AG$39,$AK9,'12'!$AF$34:$AF$39,1)/COUNTIFS('12'!$AG$34:$AG$39,$AK9,'12'!$AF$34:$AF$39,1))</f>
        <v/>
      </c>
      <c r="BH9" s="66" t="str">
        <f>IF(COUNTIFS('13'!$AG$31:$AG$36,$AK9,'13'!$AF$31:$AF$36,1)=0,"",SUMIFS('13'!$AC$31:$AC$36,'13'!$AG$31:$AG$36,$AK9,'13'!$AF$31:$AF$36,1)/COUNTIFS('13'!$AG$31:$AG$36,$AK9,'13'!$AF$31:$AF$36,1))</f>
        <v/>
      </c>
      <c r="BI9" s="66" t="str">
        <f>IF(COUNTIFS('14'!$AG$37:$AG$42,$AK9,'14'!$AF$37:$AF$42,1)=0,"",SUMIFS('14'!$AC$37:$AC$42,'14'!$AG$37:$AG$42,$AK9,'14'!$AF$37:$AF$42,1)/COUNTIFS('14'!$AG$37:$AG$42,$AK9,'14'!$AF$37:$AF$42,1))</f>
        <v/>
      </c>
      <c r="BJ9" s="66" t="str">
        <f>IF(COUNTIFS('15'!$AG$36:$AG$41,$AK9,'15'!$AF$36:$AF$41,1)=0,"",SUMIFS('15'!$AC$36:$AC$41,'15'!$AG$36:$AG$41,$AK9,'15'!$AF$36:$AF$41,1)/COUNTIFS('15'!$AG$36:$AG$41,$AK9,'15'!$AF$36:$AF$41,1))</f>
        <v/>
      </c>
      <c r="BK9" s="66" t="str">
        <f>IF(COUNTIFS('16'!$AG$32:$AG$37,$AK9,'16'!$AF$32:$AF$37,1)=0,"",SUMIFS('16'!$AC$32:$AC$37,'16'!$AG$32:$AG$37,$AK9,'16'!$AF$32:$AF$37,1)/COUNTIFS('16'!$AG$32:$AG$37,$AK9,'16'!$AF$32:$AF$37,1))</f>
        <v/>
      </c>
      <c r="BL9" s="66" t="str">
        <f>IF(COUNTIFS('17'!$AG$37:$AG$42,$AK9,'17'!$AF$37:$AF$42,1)=0,"",SUMIFS('17'!$AC$37:$AC$42,'17'!$AG$37:$AG$42,$AK9,'17'!$AF$37:$AF$42,1)/COUNTIFS('17'!$AG$37:$AG$42,$AK9,'17'!$AF$37:$AF$42,1))</f>
        <v/>
      </c>
      <c r="BM9" s="66" t="str">
        <f>IF(COUNTIFS('18'!$AG$37:$AG$42,$AK9,'18'!$AF$37:$AF$42,1)=0,"",SUMIFS('18'!$AC$37:$AC$42,'18'!$AG$37:$AG$42,$AK9,'18'!$AF$37:$AF$42,1)/COUNTIFS('18'!$AG$37:$AG$42,$AK9,'18'!$AF$37:$AF$42,1))</f>
        <v/>
      </c>
      <c r="BN9" s="66" t="str">
        <f>IF(COUNTIFS('19'!$AG$30:$AG$35,$AK9,'19'!$AF$30:$AF$35,1)=0,"",SUMIFS('19'!$AC$30:$AC$35,'19'!$AG$30:$AG$35,$AK9,'19'!$AF$30:$AF$35,1)/COUNTIFS('19'!$AG$30:$AG$35,$AK9,'19'!$AF$30:$AF$35,1))</f>
        <v/>
      </c>
      <c r="BO9" s="66" t="str">
        <f>IF(COUNTIFS('20'!$AG$35:$AG$40,$AK9,'20'!$AF$35:$AF$40,1)=0,"",SUMIFS('20'!$AC$35:$AC$40,'20'!$AG$35:$AG$40,$AK9,'20'!$AF$35:$AF$40,1)/COUNTIFS('20'!$AG$35:$AG$40,$AK9,'20'!$AF$35:$AF$40,1))</f>
        <v/>
      </c>
      <c r="BP9" s="66" t="str">
        <f>IF(COUNTIFS('21'!$AG$30:$AG$35,$AK9,'21'!$AF$30:$AF$35,1)=0,"",SUMIFS('21'!$AC$30:$AC$35,'21'!$AG$30:$AG$35,$AK9,'21'!$AF$30:$AF$35,1)/COUNTIFS('21'!$AG$30:$AG$35,$AK9,'21'!$AF$30:$AF$35,1))</f>
        <v/>
      </c>
      <c r="BQ9" s="66" t="str">
        <f>IF(COUNTIFS('22'!$AG$36:$AG$41,$AK9,'22'!$AF$36:$AF$41,1)=0,"",SUMIFS('22'!$AC$36:$AC$41,'22'!$AG$36:$AG$41,$AK9,'22'!$AF$36:$AF$41,1)/COUNTIFS('22'!$AG$36:$AG$41,$AK9,'22'!$AF$36:$AF$41,1))</f>
        <v/>
      </c>
      <c r="BR9" s="66" t="str">
        <f>IF(COUNTIFS('23'!$AG$46:$AG$51,$AK9,'23'!$AF$46:$AF$51,1)=0,"",SUMIFS('23'!$AC$46:$AC$51,'23'!$AG$46:$AG$51,$AK9,'23'!$AF$46:$AF$51,1)/COUNTIFS('23'!$AG$46:$AG$51,$AK9,'23'!$AF$46:$AF$51,1))</f>
        <v/>
      </c>
      <c r="BS9" s="66" t="str">
        <f>IF(COUNTIFS('24'!$AG$39:$AG$44,$AK9,'24'!$AF$39:$AF$44,1)=0,"",SUMIFS('24'!$AC$39:$AC$44,'24'!$AG$39:$AG$44,$AK9,'24'!$AF$39:$AF$44,1)/COUNTIFS('24'!$AG$39:$AG$44,$AK9,'24'!$AF$39:$AF$44,1))</f>
        <v/>
      </c>
      <c r="BT9" s="66" t="str">
        <f>IF(COUNTIFS('25'!$AG$33:$AG$38,$AK9,'25'!$AF$33:$AF$38,1)=0,"",SUMIFS('25'!$AC$33:$AC$38,'25'!$AG$33:$AG$38,$AK9,'25'!$AF$33:$AF$38,1)/COUNTIFS('25'!$AG$33:$AG$38,$AK9,'25'!$AF$33:$AF$38,1))</f>
        <v/>
      </c>
      <c r="BU9" s="66" t="str">
        <f>IF(COUNTIFS('26'!$AG$37:$AG$42,$AK9,'26'!$AF$37:$AF$42,1)=0,"",SUMIFS('26'!$AC$37:$AC$42,'26'!$AG$37:$AG$42,$AK9,'26'!$AF$37:$AF$42,1)/COUNTIFS('26'!$AG$37:$AG$42,$AK9,'26'!$AF$37:$AF$42,1))</f>
        <v/>
      </c>
      <c r="BV9" s="66" t="str">
        <f>IF(COUNTIFS('27'!$AG$42:$AG$47,$AK9,'27'!$AF$42:$AF$47,1)=0,"",SUMIFS('27'!$AC$42:$AC$47,'27'!$AG$42:$AG$47,$AK9,'27'!$AF$42:$AF$47,1)/COUNTIFS('27'!$AG$42:$AG$47,$AK9,'27'!$AF$42:$AF$47,1))</f>
        <v/>
      </c>
      <c r="BW9" s="66" t="str">
        <f>IF(COUNTIFS('28'!$AG$37:$AG$42,$AK9,'28'!$AF$37:$AF$42,1)=0,"",SUMIFS('28'!$AC$37:$AC$42,'28'!$AG$37:$AG$42,$AK9,'28'!$AF$37:$AF$42,1)/COUNTIFS('28'!$AG$37:$AG$42,$AK9,'28'!$AF$37:$AF$42,1))</f>
        <v/>
      </c>
      <c r="BX9" s="66" t="str">
        <f>IF(COUNTIFS('29'!$AG$41:$AG$46,$AK9,'29'!$AF$41:$AF$46,1)=0,"",SUMIFS('29'!$AC$41:$AC$46,'29'!$AG$41:$AG$46,$AK9,'29'!$AF$41:$AF$46,1)/COUNTIFS('29'!$AG$41:$AG$46,$AK9,'29'!$AF$41:$AF$46,1))</f>
        <v/>
      </c>
      <c r="BY9" s="66" t="str">
        <f>IF(COUNTIFS('30'!$AG$33:$AG$38,$AK9,'30'!$AF$33:$AF$38,1)=0,"",SUMIFS('30'!$AC$33:$AC$38,'30'!$AG$33:$AG$38,$AK9,'30'!$AF$33:$AF$38,1)/COUNTIFS('30'!$AG$33:$AG$38,$AK9,'30'!$AF$33:$AF$38,1))</f>
        <v/>
      </c>
      <c r="BZ9" s="66" t="str">
        <f>IF(COUNTIFS('31'!$AG$56:$AG$61,$AK9,'31'!$AF$56:$AF$61,1)=0,"",SUMIFS('31'!$AC$56:$AC$61,'31'!$AG$56:$AG$61,$AK9,'31'!$AF$56:$AF$61,1)/COUNTIFS('31'!$AG$56:$AG$61,$AK9,'31'!$AF$56:$AF$61,1))</f>
        <v/>
      </c>
    </row>
    <row r="10">
      <c r="A10" s="141">
        <f>IF(LARGE($Y$5:$Y$17,5)=0,"",5)</f>
        <v>5</v>
      </c>
      <c r="B10" s="141" t="str">
        <f t="shared" si="7"/>
        <v>Family A</v>
      </c>
      <c r="C10" s="141">
        <f t="shared" si="8"/>
        <v>23</v>
      </c>
      <c r="D10" s="142">
        <f t="shared" si="9"/>
        <v>0.04742268041</v>
      </c>
      <c r="E10" s="142">
        <f t="shared" si="10"/>
        <v>0.8701030928</v>
      </c>
      <c r="X10" s="66" t="s">
        <v>126</v>
      </c>
      <c r="Y10" s="66">
        <f>COUNTIF('1'!$D$4:$D$21,X10)+COUNTIF('2'!$D$4:$D$21,X10)+COUNTIF('3'!$D$4:$D$21,X10)+COUNTIF('4'!$D$4:$D$22,X10)+COUNTIF('5'!$D$4:$D$22,X10)+COUNTIF('6'!$D$4:$D$21,X10)+COUNTIF('7'!$D$4:$D$21,X10)+COUNTIF('8'!$D$4:$D$24,X10)+COUNTIF('9'!$D$4:$D$21,X10)+COUNTIF('10'!$D$4:$D$21,X10)+COUNTIF('11'!$D$4:$D$25,X10)+COUNTIF('12'!$D$4:$D$25,X10)+COUNTIF('13'!$D$4:$D$22,X10)+COUNTIF('14'!$D$4:$D$28,X10)+COUNTIF('15'!$D$4:$D$27,X10)+COUNTIF('16'!$D$4:$D$23,X10)+COUNTIF('17'!$D$4:$D$28,X10)+COUNTIF('18'!$D$4:$D$28,X10)+COUNTIF('19'!$D$4:$D$21,X10)+COUNTIF('20'!$D$4:$D$26,X10)+COUNTIF('21'!$D$4:$D$21,X10)+COUNTIF('22'!$D$4:$D$27,X10)+COUNTIF('23'!$D$4:$D$37,X10)+COUNTIF('24'!$D$4:$D$30,X10)+COUNTIF('25'!$D$4:$D$24,X10)+COUNTIF('26'!$D$4:$D$28,X10)+COUNTIF('27'!$D$4:$D$33,X10)+COUNTIF('28'!$D$4:$D$28,X10)+COUNTIF('29'!$D$4:$D$32,X10)+COUNTIF('30'!$D$4:$D$24,X10)+COUNTIF('31'!$D$4:$D$45,X10)</f>
        <v>37</v>
      </c>
      <c r="Z10" s="66">
        <f t="shared" si="1"/>
        <v>37.00008</v>
      </c>
      <c r="AA10" s="66" t="s">
        <v>564</v>
      </c>
      <c r="AB10" s="66" t="s">
        <v>603</v>
      </c>
      <c r="AC10" s="66">
        <f>COUNTIF('1'!$O$23:$O$26,AA10)+COUNTIF('2'!$O$23:$O$26,AA10)+COUNTIF('3'!$O$23:$O$26,AA10)+COUNTIF('4'!$O$24:$O$27,AA10)+COUNTIF('5'!$O$24:$O$27,AA10)+COUNTIF('6'!$O$23:$O$26,AA10)+COUNTIF('7'!$O$23:$O$26,AA10)+COUNTIF('8'!$O$26:$O$29,AA10)+COUNTIF('9'!$O$23:$O$26,AA10)+COUNTIF('10'!$O$23:$O$26,AA10)+COUNTIF('11'!$O$27:$O$30,AA10)+COUNTIF('12'!$O$27:$O$30,AA10)+COUNTIF('13'!$O$24:$O$27,AA10)+COUNTIF('14'!$O$30:$O$33,AA10)+COUNTIF('15'!$O$29:$O$32,AA10)+COUNTIF('16'!$O$25:$O$28,AA10)+COUNTIF('17'!$O$30:$O$33,AA10)+COUNTIF('18'!$O$30:$O$33,AA10)+COUNTIF('19'!$O$23:$O$26,AA10)+COUNTIF('20'!$O$28:$O$31,AA10)+COUNTIF('21'!$O$23:$O$26,AA10)+COUNTIF('22'!$O$29:$O$32,AA10)+COUNTIF('23'!$O$39:$O$42,AA10)+COUNTIF('24'!$O$32:$O$35,AA10)+COUNTIF('25'!$O$26:$O$29,AA10)+COUNTIF('26'!$O$30:$O$33,AA10)+COUNTIF('27'!$O$35:$O$38,AA10)+COUNTIF('28'!$O$30:$O$33,AA10)+COUNTIF('29'!$O$34:$O$37,AA10)+COUNTIF('30'!$O$26:$O$29,AA10)+COUNTIF('31'!$O$47:$O$50,AA10)</f>
        <v>0</v>
      </c>
      <c r="AD10" s="66">
        <f t="shared" si="2"/>
        <v>0.00006</v>
      </c>
      <c r="AH10" s="66" t="s">
        <v>47</v>
      </c>
      <c r="AI10" s="66">
        <f>COUNTIF('1'!$M$4:$M$21,AH10)+COUNTIF('2'!$M$4:$M$21,AH10)+COUNTIF('3'!$M$4:$M$21,AH10)+COUNTIF('4'!$M$4:$M$22,AH10)+COUNTIF('5'!$M$4:$M$22,AH10)+COUNTIF('6'!$M$4:$M$21,AH10)+COUNTIF('7'!$M$4:$M$21,AH10)+COUNTIF('8'!$M$4:$M$24,AH10)+COUNTIF('9'!$M$4:$M$21,AH10)+COUNTIF('10'!$M$4:$M$21,AH10)+COUNTIF('11'!$M$4:$M$25,AH10)+COUNTIF('12'!$M$4:$M$25,AH10)+COUNTIF('13'!$M$4:$M$22,AH10)+COUNTIF('14'!$M$4:$M$28,AH10)+COUNTIF('15'!$M$4:$M$27,AH10)+COUNTIF('16'!$M$4:$M$23,AH10)+COUNTIF('17'!$M$4:$M$28,AH10)+COUNTIF('18'!$M$4:$M$28,AH10)+COUNTIF('19'!$M$4:$M$21,AH10)+COUNTIF('20'!$M$4:$M$26,AH10)+COUNTIF('21'!$M$4:$M$21,AH10)+COUNTIF('22'!$M$4:$M$27,AH10)+COUNTIF('23'!$M$4:$M$37,AH10)+COUNTIF('24'!$M$4:$M$30,AH10)+COUNTIF('25'!$M$4:$M$24,AH10)+COUNTIF('26'!$M$4:$M$28,AH10)+COUNTIF('27'!$M$4:$M$33,AH10)+COUNTIF('28'!$M$4:$M$28,AH10)+COUNTIF('29'!$M$4:$M$32,AH10)+COUNTIF('30'!$M$4:$M$24,AH10)+COUNTIF('31'!$M$4:$M$45,AH10)</f>
        <v>105</v>
      </c>
      <c r="AJ10" s="66">
        <f t="shared" si="4"/>
        <v>105.00001</v>
      </c>
      <c r="AK10" s="66" t="s">
        <v>564</v>
      </c>
      <c r="AL10" s="66" t="s">
        <v>603</v>
      </c>
      <c r="AM10" s="66">
        <f>COUNTIFS('1'!$AG$30:$AG$35,AK10,'1'!$AF$30:$AF$35,1)+COUNTIFS('2'!$AG$30:$AG$35,AK10,'2'!$AF$30:$AF$35,1)+COUNTIFS('3'!$AG$30:$AG$35,AK10,'3'!$AF$30:$AF$35,1)+COUNTIFS('4'!$AG$31:$AG$36,AK10,'4'!$AF$31:$AF$36,1)+COUNTIFS('5'!$AG$31:$AG$36,AK10,'5'!$AF$31:$AF$36,1)+COUNTIFS('6'!$AG$30:$AG$35,AK10,'6'!$AF$30:$AF$35,1)+COUNTIFS('7'!$AG$30:$AG$35,AK10,'7'!$AF$30:$AF$35,1)+COUNTIFS('8'!$AG$33:$AG$38,AK10,'8'!$AF$33:$AF$38,1)+COUNTIFS('9'!$AG$30:$AG$35,AK10,'9'!$AF$30:$AF$35,1)+COUNTIFS('10'!$AG$30:$AG$35,AK10,'10'!$AF$30:$AF$35,1)+COUNTIFS('11'!$AG$34:$AG$39,AK10,'11'!$AF$34:$AF$39,1)+COUNTIFS('12'!$AG$34:$AG$39,AK10,'12'!$AF$34:$AF$39,1)+COUNTIFS('13'!$AG$31:$AG$36,AK10,'13'!$AF$31:$AF$36,1)+COUNTIFS('14'!$AG$37:$AG$42,AK10,'14'!$AF$37:$AF$42,1)+COUNTIFS('15'!$AG$36:$AG$41,AK10,'15'!$AF$36:$AF$41,1)+COUNTIFS('16'!$AG$32:$AG$37,AK10,'16'!$AF$32:$AF$37,1)+COUNTIFS('17'!$AG$37:$AG$42,AK10,'17'!$AF$37:$AF$42,1)+COUNTIFS('18'!$AG$37:$AG$42,AK10,'18'!$AF$37:$AF$42,1)+COUNTIFS('19'!$AG$30:$AG$35,AK10,'19'!$AF$30:$AF$35,1)+COUNTIFS('20'!$AG$35:$AG$40,AK10,'20'!$AF$35:$AF$40,1)+COUNTIFS('21'!$AG$30:$AG$35,AK10,'21'!$AF$30:$AF$35,1)+COUNTIFS('22'!$AG$36:$AG$41,AK10,'22'!$AF$36:$AF$41,1)+COUNTIFS('23'!$AG$46:$AG$51,AK10,'23'!$AF$46:$AF$51,1)+COUNTIFS('24'!$AG$39:$AG$44,AK10,'24'!$AF$39:$AF$44,1)+COUNTIFS('25'!$AG$33:$AG$38,AK10,'25'!$AF$33:$AF$38,1)+COUNTIFS('26'!$AG$37:$AG$42,AK10,'26'!$AF$37:$AF$42,1)+COUNTIFS('27'!$AG$42:$AG$47,AK10,'27'!$AF$42:$AF$47,1)+COUNTIFS('28'!$AG$37:$AG$42,AK10,'28'!$AF$37:$AF$42,1)+COUNTIFS('29'!$AG$41:$AG$46,AK10,'29'!$AF$41:$AF$46,1)+COUNTIFS('30'!$AG$33:$AG$38,AK10,'30'!$AF$33:$AF$38,1)+COUNTIFS('31'!$AG$56:$AG$61,AK10,'31'!$AF$56:$AF$61,1)</f>
        <v>0</v>
      </c>
      <c r="AN10" s="66" t="str">
        <f t="shared" si="5"/>
        <v/>
      </c>
      <c r="AO10" s="66" t="str">
        <f>IF(AM10=0,"",(SUMIFS('1'!$L$30:$L$35,'1'!$AG$30:$AG$35,AK10,'1'!$AF$30:$AF$35,1)+SUMIFS('2'!$L$30:$L$35,'2'!$AG$30:$AG$35,AK10,'2'!$AF$30:$AF$35,1)+SUMIFS('3'!$L$30:$L$35,'3'!$AG$30:$AG$35,AK10,'3'!$AF$30:$AF$35,1)+SUMIFS('4'!$L$31:$L$36,'4'!$AG$31:$AG$36,AK10,'4'!$AF$31:$AF$36,1)+SUMIFS('5'!$L$31:$L$36,'5'!$AG$31:$AG$36,AK10,'5'!$AF$31:$AF$36,1)+SUMIFS('6'!$L$30:$L$35,'6'!$AG$30:$AG$35,AK10,'6'!$AF$30:$AF$35,1)+SUMIFS('7'!$L$30:$L$35,'7'!$AG$30:$AG$35,AK10,'7'!$AF$30:$AF$35,1)+SUMIFS('8'!$L$33:$L$38,'8'!$AG$33:$AG$38,AK10,'8'!$AF$33:$AF$38,1)+SUMIFS('9'!$L$30:$L$35,'9'!$AG$30:$AG$35,AK10,'9'!$AF$30:$AF$35,1)+SUMIFS('10'!$L$30:$L$35,'10'!$AG$30:$AG$35,AK10,'10'!$AF$30:$AF$35,1)+SUMIFS('11'!$L$34:$L$39,'11'!$AG$34:$AG$39,AK10,'11'!$AF$34:$AF$39,1)+SUMIFS('12'!$L$34:$L$39,'12'!$AG$34:$AG$39,AK10,'12'!$AF$34:$AF$39,1)+SUMIFS('13'!$L$31:$L$36,'13'!$AG$31:$AG$36,AK10,'13'!$AF$31:$AF$36,1)+SUMIFS('14'!$L$37:$L$42,'14'!$AG$37:$AG$42,AK10,'14'!$AF$37:$AF$42,1)+SUMIFS('15'!$L$36:$L$41,'15'!$AG$36:$AG$41,AK10,'15'!$AF$36:$AF$41,1)+SUMIFS('16'!$L$32:$L$37,'16'!$AG$32:$AG$37,AK10,'16'!$AF$32:$AF$37,1)+SUMIFS('17'!$L$37:$L$42,'17'!$AG$37:$AG$42,AK10,'17'!$AF$37:$AF$42,1)+SUMIFS('18'!$L$37:$L$42,'18'!$AG$37:$AG$42,AK10,'18'!$AF$37:$AF$42,1)+SUMIFS('19'!$L$30:$L$35,'19'!$AG$30:$AG$35,AK10,'19'!$AF$30:$AF$35,1)+SUMIFS('20'!$L$35:$L$40,'20'!$AG$35:$AG$40,AK10,'20'!$AF$35:$AF$40,1)+SUMIFS('21'!$L$30:$L$35,'21'!$AG$30:$AG$35,AK10,'21'!$AF$30:$AF$35,1)+SUMIFS('22'!$L$36:$L$41,'22'!$AG$36:$AG$41,AK10,'22'!$AF$36:$AF$41,1)+SUMIFS('23'!$L$46:$L$51,'23'!$AG$46:$AG$51,AK10,'23'!$AF$46:$AF$51,1)+SUMIFS('24'!$L$39:$L$44,'24'!$AG$39:$AG$44,AK10,'24'!$AF$39:$AF$44,1)+SUMIFS('25'!$L$33:$L$38,'25'!$AG$33:$AG$38,AK10,'25'!$AF$33:$AF$38,1)+SUMIFS('26'!$L$37:$L$42,'26'!$AG$37:$AG$42,AK10,'26'!$AF$37:$AF$42,1)+SUMIFS('27'!$L$42:$L$47,'27'!$AG$42:$AG$47,AK10,'27'!$AF$42:$AF$47,1)+SUMIFS('28'!$L$37:$L$42,'28'!$AG$37:$AG$42,AK10,'28'!$AF$37:$AF$42,1)+SUMIFS('29'!$L$41:$L$46,'29'!$AG$41:$AG$46,AK10,'29'!$AF$41:$AF$46,1)+SUMIFS('30'!$L$33:$L$38,'30'!$AG$33:$AG$38,AK10,'30'!$AF$33:$AF$38,1)+SUMIFS('31'!$L$56:$L$61,'31'!$AG$56:$AG$61,AK10,'31'!$AF$56:$AF$61,1))/AM10)</f>
        <v/>
      </c>
      <c r="AP10" s="66" t="str">
        <f>IF(AM10=0,"",(SUMIFS('1'!$M$30:$M$35,'1'!$AG$30:$AG$35,AK10,'1'!$AF$30:$AF$35,1)+SUMIFS('2'!$M$30:$M$35,'2'!$AG$30:$AG$35,AK10,'2'!$AF$30:$AF$35,1)+SUMIFS('3'!$M$30:$M$35,'3'!$AG$30:$AG$35,AK10,'3'!$AF$30:$AF$35,1)+SUMIFS('4'!$M$31:$M$36,'4'!$AG$31:$AG$36,AK10,'4'!$AF$31:$AF$36,1)+SUMIFS('5'!$M$31:$M$36,'5'!$AG$31:$AG$36,AK10,'5'!$AF$31:$AF$36,1)+SUMIFS('6'!$M$30:$M$35,'6'!$AG$30:$AG$35,AK10,'6'!$AF$30:$AF$35,1)+SUMIFS('7'!$M$30:$M$35,'7'!$AG$30:$AG$35,AK10,'7'!$AF$30:$AF$35,1)+SUMIFS('8'!$M$33:$M$38,'8'!$AG$33:$AG$38,AK10,'8'!$AF$33:$AF$38,1)+SUMIFS('9'!$M$30:$M$35,'9'!$AG$30:$AG$35,AK10,'9'!$AF$30:$AF$35,1)+SUMIFS('10'!$M$30:$M$35,'10'!$AG$30:$AG$35,AK10,'10'!$AF$30:$AF$35,1)+SUMIFS('11'!$M$34:$M$39,'11'!$AG$34:$AG$39,AK10,'11'!$AF$34:$AF$39,1)+SUMIFS('12'!$M$34:$M$39,'12'!$AG$34:$AG$39,AK10,'12'!$AF$34:$AF$39,1)+SUMIFS('13'!$M$31:$M$36,'13'!$AG$31:$AG$36,AK10,'13'!$AF$31:$AF$36,1)+SUMIFS('14'!$M$37:$M$42,'14'!$AG$37:$AG$42,AK10,'14'!$AF$37:$AF$42,1)+SUMIFS('15'!$M$36:$M$41,'15'!$AG$36:$AG$41,AK10,'15'!$AF$36:$AF$41,1)+SUMIFS('16'!$M$32:$M$37,'16'!$AG$32:$AG$37,AK10,'16'!$AF$32:$AF$37,1)+SUMIFS('17'!$M$37:$M$42,'17'!$AG$37:$AG$42,AK10,'17'!$AF$37:$AF$42,1)+SUMIFS('18'!$M$37:$M$42,'18'!$AG$37:$AG$42,AK10,'18'!$AF$37:$AF$42,1)+SUMIFS('19'!$M$30:$M$35,'19'!$AG$30:$AG$35,AK10,'19'!$AF$30:$AF$35,1)+SUMIFS('20'!$M$35:$M$40,'20'!$AG$35:$AG$40,AK10,'20'!$AF$35:$AF$40,1)+SUMIFS('21'!$M$30:$M$35,'21'!$AG$30:$AG$35,AK10,'21'!$AF$30:$AF$35,1)+SUMIFS('22'!$M$36:$M$41,'22'!$AG$36:$AG$41,AK10,'22'!$AF$36:$AF$41,1)+SUMIFS('23'!$M$46:$M$51,'23'!$AG$46:$AG$51,AK10,'23'!$AF$46:$AF$51,1)+SUMIFS('24'!$M$39:$M$44,'24'!$AG$39:$AG$44,AK10,'24'!$AF$39:$AF$44,1)+SUMIFS('25'!$M$33:$M$38,'25'!$AG$33:$AG$38,AK10,'25'!$AF$33:$AF$38,1)+SUMIFS('26'!$M$37:$M$42,'26'!$AG$37:$AG$42,AK10,'26'!$AF$37:$AF$42,1)+SUMIFS('27'!$M$42:$M$47,'27'!$AG$42:$AG$47,AK10,'27'!$AF$42:$AF$47,1)+SUMIFS('28'!$M$37:$M$42,'28'!$AG$37:$AG$42,AK10,'28'!$AF$37:$AF$42,1)+SUMIFS('29'!$M$41:$M$46,'29'!$AG$41:$AG$46,AK10,'29'!$AF$41:$AF$46,1)+SUMIFS('30'!$M$33:$M$38,'30'!$AG$33:$AG$38,AK10,'30'!$AF$33:$AF$38,1)+SUMIFS('31'!$M$56:$M$61,'31'!$AG$56:$AG$61,AK10,'31'!$AF$56:$AF$61,1))/AM10)</f>
        <v/>
      </c>
      <c r="AQ10" s="66" t="str">
        <f>IF(AM10=0,"",(SUMIFS('1'!$N$30:$N$35,'1'!$AG$30:$AG$35,AK10,'1'!$AF$30:$AF$35,1)+SUMIFS('2'!$N$30:$N$35,'2'!$AG$30:$AG$35,AK10,'2'!$AF$30:$AF$35,1)+SUMIFS('3'!$N$30:$N$35,'3'!$AG$30:$AG$35,AK10,'3'!$AF$30:$AF$35,1)+SUMIFS('4'!$N$31:$N$36,'4'!$AG$31:$AG$36,AK10,'4'!$AF$31:$AF$36,1)+SUMIFS('5'!$N$31:$N$36,'5'!$AG$31:$AG$36,AK10,'5'!$AF$31:$AF$36,1)+SUMIFS('6'!$N$30:$N$35,'6'!$AG$30:$AG$35,AK10,'6'!$AF$30:$AF$35,1)+SUMIFS('7'!$N$30:$N$35,'7'!$AG$30:$AG$35,AK10,'7'!$AF$30:$AF$35,1)+SUMIFS('8'!$N$33:$N$38,'8'!$AG$33:$AG$38,AK10,'8'!$AF$33:$AF$38,1)+SUMIFS('9'!$N$30:$N$35,'9'!$AG$30:$AG$35,AK10,'9'!$AF$30:$AF$35,1)+SUMIFS('10'!$N$30:$N$35,'10'!$AG$30:$AG$35,AK10,'10'!$AF$30:$AF$35,1)+SUMIFS('11'!$N$34:$N$39,'11'!$AG$34:$AG$39,AK10,'11'!$AF$34:$AF$39,1)+SUMIFS('12'!$N$34:$N$39,'12'!$AG$34:$AG$39,AK10,'12'!$AF$34:$AF$39,1)+SUMIFS('13'!$N$31:$N$36,'13'!$AG$31:$AG$36,AK10,'13'!$AF$31:$AF$36,1)+SUMIFS('14'!$N$37:$N$42,'14'!$AG$37:$AG$42,AK10,'14'!$AF$37:$AF$42,1)+SUMIFS('15'!$N$36:$N$41,'15'!$AG$36:$AG$41,AK10,'15'!$AF$36:$AF$41,1)+SUMIFS('16'!$N$32:$N$37,'16'!$AG$32:$AG$37,AK10,'16'!$AF$32:$AF$37,1)+SUMIFS('17'!$N$37:$N$42,'17'!$AG$37:$AG$42,AK10,'17'!$AF$37:$AF$42,1)+SUMIFS('18'!$N$37:$N$42,'18'!$AG$37:$AG$42,AK10,'18'!$AF$37:$AF$42,1)+SUMIFS('19'!$N$30:$N$35,'19'!$AG$30:$AG$35,AK10,'19'!$AF$30:$AF$35,1)+SUMIFS('20'!$N$35:$N$40,'20'!$AG$35:$AG$40,AK10,'20'!$AF$35:$AF$40,1)+SUMIFS('21'!$N$30:$N$35,'21'!$AG$30:$AG$35,AK10,'21'!$AF$30:$AF$35,1)+SUMIFS('22'!$N$36:$N$41,'22'!$AG$36:$AG$41,AK10,'22'!$AF$36:$AF$41,1)+SUMIFS('23'!$N$46:$N$51,'23'!$AG$46:$AG$51,AK10,'23'!$AF$46:$AF$51,1)+SUMIFS('24'!$N$39:$N$44,'24'!$AG$39:$AG$44,AK10,'24'!$AF$39:$AF$44,1)+SUMIFS('25'!$N$33:$N$38,'25'!$AG$33:$AG$38,AK10,'25'!$AF$33:$AF$38,1)+SUMIFS('26'!$N$37:$N$42,'26'!$AG$37:$AG$42,AK10,'26'!$AF$37:$AF$42,1)+SUMIFS('27'!$N$42:$N$47,'27'!$AG$42:$AG$47,AK10,'27'!$AF$42:$AF$47,1)+SUMIFS('28'!$N$37:$N$42,'28'!$AG$37:$AG$42,AK10,'28'!$AF$37:$AF$42,1)+SUMIFS('29'!$N$41:$N$46,'29'!$AG$41:$AG$46,AK10,'29'!$AF$41:$AF$46,1)+SUMIFS('30'!$N$33:$N$38,'30'!$AG$33:$AG$38,AK10,'30'!$AF$33:$AF$38,1)+SUMIFS('31'!$N$56:$N$61,'31'!$AG$56:$AG$61,AK10,'31'!$AF$56:$AF$61,1))/AM10)</f>
        <v/>
      </c>
      <c r="AR10" s="66" t="str">
        <f>IF(AM10=0,"",(SUMIFS('1'!$O$30:$O$35,'1'!$AG$30:$AG$35,AK10,'1'!$AF$30:$AF$35,1)+SUMIFS('2'!$O$30:$O$35,'2'!$AG$30:$AG$35,AK10,'2'!$AF$30:$AF$35,1)+SUMIFS('3'!$O$30:$O$35,'3'!$AG$30:$AG$35,AK10,'3'!$AF$30:$AF$35,1)+SUMIFS('4'!$O$31:$O$36,'4'!$AG$31:$AG$36,AK10,'4'!$AF$31:$AF$36,1)+SUMIFS('5'!$O$31:$O$36,'5'!$AG$31:$AG$36,AK10,'5'!$AF$31:$AF$36,1)+SUMIFS('6'!$O$30:$O$35,'6'!$AG$30:$AG$35,AK10,'6'!$AF$30:$AF$35,1)+SUMIFS('7'!$O$30:$O$35,'7'!$AG$30:$AG$35,AK10,'7'!$AF$30:$AF$35,1)+SUMIFS('8'!$O$33:$O$38,'8'!$AG$33:$AG$38,AK10,'8'!$AF$33:$AF$38,1)+SUMIFS('9'!$O$30:$O$35,'9'!$AG$30:$AG$35,AK10,'9'!$AF$30:$AF$35,1)+SUMIFS('10'!$O$30:$O$35,'10'!$AG$30:$AG$35,AK10,'10'!$AF$30:$AF$35,1)+SUMIFS('11'!$O$34:$O$39,'11'!$AG$34:$AG$39,AK10,'11'!$AF$34:$AF$39,1)+SUMIFS('12'!$O$34:$O$39,'12'!$AG$34:$AG$39,AK10,'12'!$AF$34:$AF$39,1)+SUMIFS('13'!$O$31:$O$36,'13'!$AG$31:$AG$36,AK10,'13'!$AF$31:$AF$36,1)+SUMIFS('14'!$O$37:$O$42,'14'!$AG$37:$AG$42,AK10,'14'!$AF$37:$AF$42,1)+SUMIFS('15'!$O$36:$O$41,'15'!$AG$36:$AG$41,AK10,'15'!$AF$36:$AF$41,1)+SUMIFS('16'!$O$32:$O$37,'16'!$AG$32:$AG$37,AK10,'16'!$AF$32:$AF$37,1)+SUMIFS('17'!$O$37:$O$42,'17'!$AG$37:$AG$42,AK10,'17'!$AF$37:$AF$42,1)+SUMIFS('18'!$O$37:$O$42,'18'!$AG$37:$AG$42,AK10,'18'!$AF$37:$AF$42,1)+SUMIFS('19'!$O$30:$O$35,'19'!$AG$30:$AG$35,AK10,'19'!$AF$30:$AF$35,1)+SUMIFS('20'!$O$35:$O$40,'20'!$AG$35:$AG$40,AK10,'20'!$AF$35:$AF$40,1)+SUMIFS('21'!$O$30:$O$35,'21'!$AG$30:$AG$35,AK10,'21'!$AF$30:$AF$35,1)+SUMIFS('22'!$O$36:$O$41,'22'!$AG$36:$AG$41,AK10,'22'!$AF$36:$AF$41,1)+SUMIFS('23'!$O$46:$O$51,'23'!$AG$46:$AG$51,AK10,'23'!$AF$46:$AF$51,1)+SUMIFS('24'!$O$39:$O$44,'24'!$AG$39:$AG$44,AK10,'24'!$AF$39:$AF$44,1)+SUMIFS('25'!$O$33:$O$38,'25'!$AG$33:$AG$38,AK10,'25'!$AF$33:$AF$38,1)+SUMIFS('26'!$O$37:$O$42,'26'!$AG$37:$AG$42,AK10,'26'!$AF$37:$AF$42,1)+SUMIFS('27'!$O$42:$O$47,'27'!$AG$42:$AG$47,AK10,'27'!$AF$42:$AF$47,1)+SUMIFS('28'!$O$37:$O$42,'28'!$AG$37:$AG$42,AK10,'28'!$AF$37:$AF$42,1)+SUMIFS('29'!$O$41:$O$46,'29'!$AG$41:$AG$46,AK10,'29'!$AF$41:$AF$46,1)+SUMIFS('30'!$O$33:$O$38,'30'!$AG$33:$AG$38,AK10,'30'!$AF$33:$AF$38,1)+SUMIFS('31'!$O$56:$O$61,'31'!$AG$56:$AG$61,AK10,'31'!$AF$56:$AF$61,1))/AM10)</f>
        <v/>
      </c>
      <c r="AS10" s="66" t="str">
        <f>IF(AM10=0,"",(SUMIFS('1'!$P$30:$P$35,'1'!$AG$30:$AG$35,AK10,'1'!$AF$30:$AF$35,1)+SUMIFS('2'!$P$30:$P$35,'2'!$AG$30:$AG$35,AK10,'2'!$AF$30:$AF$35,1)+SUMIFS('3'!$P$30:$P$35,'3'!$AG$30:$AG$35,AK10,'3'!$AF$30:$AF$35,1)+SUMIFS('4'!$P$31:$P$36,'4'!$AG$31:$AG$36,AK10,'4'!$AF$31:$AF$36,1)+SUMIFS('5'!$P$31:$P$36,'5'!$AG$31:$AG$36,AK10,'5'!$AF$31:$AF$36,1)+SUMIFS('6'!$P$30:$P$35,'6'!$AG$30:$AG$35,AK10,'6'!$AF$30:$AF$35,1)+SUMIFS('7'!$P$30:$P$35,'7'!$AG$30:$AG$35,AK10,'7'!$AF$30:$AF$35,1)+SUMIFS('8'!$P$33:$P$38,'8'!$AG$33:$AG$38,AK10,'8'!$AF$33:$AF$38,1)+SUMIFS('9'!$P$30:$P$35,'9'!$AG$30:$AG$35,AK10,'9'!$AF$30:$AF$35,1)+SUMIFS('10'!$P$30:$P$35,'10'!$AG$30:$AG$35,AK10,'10'!$AF$30:$AF$35,1)+SUMIFS('11'!$P$34:$P$39,'11'!$AG$34:$AG$39,AK10,'11'!$AF$34:$AF$39,1)+SUMIFS('12'!$P$34:$P$39,'12'!$AG$34:$AG$39,AK10,'12'!$AF$34:$AF$39,1)+SUMIFS('13'!$P$31:$P$36,'13'!$AG$31:$AG$36,AK10,'13'!$AF$31:$AF$36,1)+SUMIFS('14'!$P$37:$P$42,'14'!$AG$37:$AG$42,AK10,'14'!$AF$37:$AF$42,1)+SUMIFS('15'!$P$36:$P$41,'15'!$AG$36:$AG$41,AK10,'15'!$AF$36:$AF$41,1)+SUMIFS('16'!$P$32:$P$37,'16'!$AG$32:$AG$37,AK10,'16'!$AF$32:$AF$37,1)+SUMIFS('17'!$P$37:$P$42,'17'!$AG$37:$AG$42,AK10,'17'!$AF$37:$AF$42,1)+SUMIFS('18'!$P$37:$P$42,'18'!$AG$37:$AG$42,AK10,'18'!$AF$37:$AF$42,1)+SUMIFS('19'!$P$30:$P$35,'19'!$AG$30:$AG$35,AK10,'19'!$AF$30:$AF$35,1)+SUMIFS('20'!$P$35:$P$40,'20'!$AG$35:$AG$40,AK10,'20'!$AF$35:$AF$40,1)+SUMIFS('21'!$P$30:$P$35,'21'!$AG$30:$AG$35,AK10,'21'!$AF$30:$AF$35,1)+SUMIFS('22'!$P$36:$P$41,'22'!$AG$36:$AG$41,AK10,'22'!$AF$36:$AF$41,1)+SUMIFS('23'!$P$46:$P$51,'23'!$AG$46:$AG$51,AK10,'23'!$AF$46:$AF$51,1)+SUMIFS('24'!$P$39:$P$44,'24'!$AG$39:$AG$44,AK10,'24'!$AF$39:$AF$44,1)+SUMIFS('25'!$P$33:$P$38,'25'!$AG$33:$AG$38,AK10,'25'!$AF$33:$AF$38,1)+SUMIFS('26'!$P$37:$P$42,'26'!$AG$37:$AG$42,AK10,'26'!$AF$37:$AF$42,1)+SUMIFS('27'!$P$42:$P$47,'27'!$AG$42:$AG$47,AK10,'27'!$AF$42:$AF$47,1)+SUMIFS('28'!$P$37:$P$42,'28'!$AG$37:$AG$42,AK10,'28'!$AF$37:$AF$42,1)+SUMIFS('29'!$P$41:$P$46,'29'!$AG$41:$AG$46,AK10,'29'!$AF$41:$AF$46,1)+SUMIFS('30'!$P$33:$P$38,'30'!$AG$33:$AG$38,AK10,'30'!$AF$33:$AF$38,1)+SUMIFS('31'!$P$56:$P$61,'31'!$AG$56:$AG$61,AK10,'31'!$AF$56:$AF$61,1))/AM10)</f>
        <v/>
      </c>
      <c r="AV10" s="66" t="str">
        <f>IF(COUNTIFS('1'!$AG$30:$AG$35,$AK10,'1'!$AF$30:$AF$35,1)=0,"",SUMIFS('1'!$AC$30:$AC$35,'1'!$AG$30:$AG$35,$AK10,'1'!$AF$30:$AF$35,1)/COUNTIFS('1'!$AG$30:$AG$35,$AK10,'1'!$AF$30:$AF$35,1))</f>
        <v/>
      </c>
      <c r="AW10" s="66" t="str">
        <f>IF(COUNTIFS('2'!$AG$30:$AG$35,$AK10,'2'!$AF$30:$AF$35,1)=0,"",SUMIFS('2'!$AC$30:$AC$35,'2'!$AG$30:$AG$35,$AK10,'2'!$AF$30:$AF$35,1)/COUNTIFS('2'!$AG$30:$AG$35,$AK10,'2'!$AF$30:$AF$35,1))</f>
        <v/>
      </c>
      <c r="AX10" s="66" t="str">
        <f>IF(COUNTIFS('3'!$AG$30:$AG$35,$AK10,'3'!$AF$30:$AF$35,1)=0,"",SUMIFS('3'!$AC$30:$AC$35,'3'!$AG$30:$AG$35,$AK10,'3'!$AF$30:$AF$35,1)/COUNTIFS('3'!$AG$30:$AG$35,$AK10,'3'!$AF$30:$AF$35,1))</f>
        <v/>
      </c>
      <c r="AY10" s="66" t="str">
        <f>IF(COUNTIFS('4'!$AG$31:$AG$36,$AK10,'4'!$AF$31:$AF$36,1)=0,"",SUMIFS('4'!$AC$31:$AC$36,'4'!$AG$31:$AG$36,$AK10,'4'!$AF$31:$AF$36,1)/COUNTIFS('4'!$AG$31:$AG$36,$AK10,'4'!$AF$31:$AF$36,1))</f>
        <v/>
      </c>
      <c r="AZ10" s="66" t="str">
        <f>IF(COUNTIFS('5'!$AG$31:$AG$36,$AK10,'5'!$AF$31:$AF$36,1)=0,"",SUMIFS('5'!$AC$31:$AC$36,'5'!$AG$31:$AG$36,$AK10,'5'!$AF$31:$AF$36,1)/COUNTIFS('5'!$AG$31:$AG$36,$AK10,'5'!$AF$31:$AF$36,1))</f>
        <v/>
      </c>
      <c r="BA10" s="66" t="str">
        <f>IF(COUNTIFS('6'!$AG$30:$AG$35,$AK10,'6'!$AF$30:$AF$35,1)=0,"",SUMIFS('6'!$AC$30:$AC$35,'6'!$AG$30:$AG$35,$AK10,'6'!$AF$30:$AF$35,1)/COUNTIFS('6'!$AG$30:$AG$35,$AK10,'6'!$AF$30:$AF$35,1))</f>
        <v/>
      </c>
      <c r="BB10" s="66" t="str">
        <f>IF(COUNTIFS('7'!$AG$30:$AG$35,$AK10,'7'!$AF$30:$AF$35,1)=0,"",SUMIFS('7'!$AC$30:$AC$35,'7'!$AG$30:$AG$35,$AK10,'7'!$AF$30:$AF$35,1)/COUNTIFS('7'!$AG$30:$AG$35,$AK10,'7'!$AF$30:$AF$35,1))</f>
        <v/>
      </c>
      <c r="BC10" s="66" t="str">
        <f>IF(COUNTIFS('8'!$AG$33:$AG$38,$AK10,'8'!$AF$33:$AF$38,1)=0,"",SUMIFS('8'!$AC$33:$AC$38,'8'!$AG$33:$AG$38,$AK10,'8'!$AF$33:$AF$38,1)/COUNTIFS('8'!$AG$33:$AG$38,$AK10,'8'!$AF$33:$AF$38,1))</f>
        <v/>
      </c>
      <c r="BD10" s="66" t="str">
        <f>IF(COUNTIFS('9'!$AG$30:$AG$35,$AK10,'9'!$AF$30:$AF$35,1)=0,"",SUMIFS('9'!$AC$30:$AC$35,'9'!$AG$30:$AG$35,$AK10,'9'!$AF$30:$AF$35,1)/COUNTIFS('9'!$AG$30:$AG$35,$AK10,'9'!$AF$30:$AF$35,1))</f>
        <v/>
      </c>
      <c r="BE10" s="66" t="str">
        <f>IF(COUNTIFS('10'!$AG$30:$AG$35,$AK10,'10'!$AF$30:$AF$35,1)=0,"",SUMIFS('10'!$AC$30:$AC$35,'10'!$AG$30:$AG$35,$AK10,'10'!$AF$30:$AF$35,1)/COUNTIFS('10'!$AG$30:$AG$35,$AK10,'10'!$AF$30:$AF$35,1))</f>
        <v/>
      </c>
      <c r="BF10" s="66" t="str">
        <f>IF(COUNTIFS('11'!$AG$34:$AG$39,$AK10,'11'!$AF$34:$AF$39,1)=0,"",SUMIFS('11'!$AC$34:$AC$39,'11'!$AG$34:$AG$39,$AK10,'11'!$AF$34:$AF$39,1)/COUNTIFS('11'!$AG$34:$AG$39,$AK10,'11'!$AF$34:$AF$39,1))</f>
        <v/>
      </c>
      <c r="BG10" s="66" t="str">
        <f>IF(COUNTIFS('12'!$AG$34:$AG$39,$AK10,'12'!$AF$34:$AF$39,1)=0,"",SUMIFS('12'!$AC$34:$AC$39,'12'!$AG$34:$AG$39,$AK10,'12'!$AF$34:$AF$39,1)/COUNTIFS('12'!$AG$34:$AG$39,$AK10,'12'!$AF$34:$AF$39,1))</f>
        <v/>
      </c>
      <c r="BH10" s="66" t="str">
        <f>IF(COUNTIFS('13'!$AG$31:$AG$36,$AK10,'13'!$AF$31:$AF$36,1)=0,"",SUMIFS('13'!$AC$31:$AC$36,'13'!$AG$31:$AG$36,$AK10,'13'!$AF$31:$AF$36,1)/COUNTIFS('13'!$AG$31:$AG$36,$AK10,'13'!$AF$31:$AF$36,1))</f>
        <v/>
      </c>
      <c r="BI10" s="66" t="str">
        <f>IF(COUNTIFS('14'!$AG$37:$AG$42,$AK10,'14'!$AF$37:$AF$42,1)=0,"",SUMIFS('14'!$AC$37:$AC$42,'14'!$AG$37:$AG$42,$AK10,'14'!$AF$37:$AF$42,1)/COUNTIFS('14'!$AG$37:$AG$42,$AK10,'14'!$AF$37:$AF$42,1))</f>
        <v/>
      </c>
      <c r="BJ10" s="66" t="str">
        <f>IF(COUNTIFS('15'!$AG$36:$AG$41,$AK10,'15'!$AF$36:$AF$41,1)=0,"",SUMIFS('15'!$AC$36:$AC$41,'15'!$AG$36:$AG$41,$AK10,'15'!$AF$36:$AF$41,1)/COUNTIFS('15'!$AG$36:$AG$41,$AK10,'15'!$AF$36:$AF$41,1))</f>
        <v/>
      </c>
      <c r="BK10" s="66" t="str">
        <f>IF(COUNTIFS('16'!$AG$32:$AG$37,$AK10,'16'!$AF$32:$AF$37,1)=0,"",SUMIFS('16'!$AC$32:$AC$37,'16'!$AG$32:$AG$37,$AK10,'16'!$AF$32:$AF$37,1)/COUNTIFS('16'!$AG$32:$AG$37,$AK10,'16'!$AF$32:$AF$37,1))</f>
        <v/>
      </c>
      <c r="BL10" s="66" t="str">
        <f>IF(COUNTIFS('17'!$AG$37:$AG$42,$AK10,'17'!$AF$37:$AF$42,1)=0,"",SUMIFS('17'!$AC$37:$AC$42,'17'!$AG$37:$AG$42,$AK10,'17'!$AF$37:$AF$42,1)/COUNTIFS('17'!$AG$37:$AG$42,$AK10,'17'!$AF$37:$AF$42,1))</f>
        <v/>
      </c>
      <c r="BM10" s="66" t="str">
        <f>IF(COUNTIFS('18'!$AG$37:$AG$42,$AK10,'18'!$AF$37:$AF$42,1)=0,"",SUMIFS('18'!$AC$37:$AC$42,'18'!$AG$37:$AG$42,$AK10,'18'!$AF$37:$AF$42,1)/COUNTIFS('18'!$AG$37:$AG$42,$AK10,'18'!$AF$37:$AF$42,1))</f>
        <v/>
      </c>
      <c r="BN10" s="66" t="str">
        <f>IF(COUNTIFS('19'!$AG$30:$AG$35,$AK10,'19'!$AF$30:$AF$35,1)=0,"",SUMIFS('19'!$AC$30:$AC$35,'19'!$AG$30:$AG$35,$AK10,'19'!$AF$30:$AF$35,1)/COUNTIFS('19'!$AG$30:$AG$35,$AK10,'19'!$AF$30:$AF$35,1))</f>
        <v/>
      </c>
      <c r="BO10" s="66" t="str">
        <f>IF(COUNTIFS('20'!$AG$35:$AG$40,$AK10,'20'!$AF$35:$AF$40,1)=0,"",SUMIFS('20'!$AC$35:$AC$40,'20'!$AG$35:$AG$40,$AK10,'20'!$AF$35:$AF$40,1)/COUNTIFS('20'!$AG$35:$AG$40,$AK10,'20'!$AF$35:$AF$40,1))</f>
        <v/>
      </c>
      <c r="BP10" s="66" t="str">
        <f>IF(COUNTIFS('21'!$AG$30:$AG$35,$AK10,'21'!$AF$30:$AF$35,1)=0,"",SUMIFS('21'!$AC$30:$AC$35,'21'!$AG$30:$AG$35,$AK10,'21'!$AF$30:$AF$35,1)/COUNTIFS('21'!$AG$30:$AG$35,$AK10,'21'!$AF$30:$AF$35,1))</f>
        <v/>
      </c>
      <c r="BQ10" s="66" t="str">
        <f>IF(COUNTIFS('22'!$AG$36:$AG$41,$AK10,'22'!$AF$36:$AF$41,1)=0,"",SUMIFS('22'!$AC$36:$AC$41,'22'!$AG$36:$AG$41,$AK10,'22'!$AF$36:$AF$41,1)/COUNTIFS('22'!$AG$36:$AG$41,$AK10,'22'!$AF$36:$AF$41,1))</f>
        <v/>
      </c>
      <c r="BR10" s="66" t="str">
        <f>IF(COUNTIFS('23'!$AG$46:$AG$51,$AK10,'23'!$AF$46:$AF$51,1)=0,"",SUMIFS('23'!$AC$46:$AC$51,'23'!$AG$46:$AG$51,$AK10,'23'!$AF$46:$AF$51,1)/COUNTIFS('23'!$AG$46:$AG$51,$AK10,'23'!$AF$46:$AF$51,1))</f>
        <v/>
      </c>
      <c r="BS10" s="66" t="str">
        <f>IF(COUNTIFS('24'!$AG$39:$AG$44,$AK10,'24'!$AF$39:$AF$44,1)=0,"",SUMIFS('24'!$AC$39:$AC$44,'24'!$AG$39:$AG$44,$AK10,'24'!$AF$39:$AF$44,1)/COUNTIFS('24'!$AG$39:$AG$44,$AK10,'24'!$AF$39:$AF$44,1))</f>
        <v/>
      </c>
      <c r="BT10" s="66" t="str">
        <f>IF(COUNTIFS('25'!$AG$33:$AG$38,$AK10,'25'!$AF$33:$AF$38,1)=0,"",SUMIFS('25'!$AC$33:$AC$38,'25'!$AG$33:$AG$38,$AK10,'25'!$AF$33:$AF$38,1)/COUNTIFS('25'!$AG$33:$AG$38,$AK10,'25'!$AF$33:$AF$38,1))</f>
        <v/>
      </c>
      <c r="BU10" s="66" t="str">
        <f>IF(COUNTIFS('26'!$AG$37:$AG$42,$AK10,'26'!$AF$37:$AF$42,1)=0,"",SUMIFS('26'!$AC$37:$AC$42,'26'!$AG$37:$AG$42,$AK10,'26'!$AF$37:$AF$42,1)/COUNTIFS('26'!$AG$37:$AG$42,$AK10,'26'!$AF$37:$AF$42,1))</f>
        <v/>
      </c>
      <c r="BV10" s="66" t="str">
        <f>IF(COUNTIFS('27'!$AG$42:$AG$47,$AK10,'27'!$AF$42:$AF$47,1)=0,"",SUMIFS('27'!$AC$42:$AC$47,'27'!$AG$42:$AG$47,$AK10,'27'!$AF$42:$AF$47,1)/COUNTIFS('27'!$AG$42:$AG$47,$AK10,'27'!$AF$42:$AF$47,1))</f>
        <v/>
      </c>
      <c r="BW10" s="66" t="str">
        <f>IF(COUNTIFS('28'!$AG$37:$AG$42,$AK10,'28'!$AF$37:$AF$42,1)=0,"",SUMIFS('28'!$AC$37:$AC$42,'28'!$AG$37:$AG$42,$AK10,'28'!$AF$37:$AF$42,1)/COUNTIFS('28'!$AG$37:$AG$42,$AK10,'28'!$AF$37:$AF$42,1))</f>
        <v/>
      </c>
      <c r="BX10" s="66" t="str">
        <f>IF(COUNTIFS('29'!$AG$41:$AG$46,$AK10,'29'!$AF$41:$AF$46,1)=0,"",SUMIFS('29'!$AC$41:$AC$46,'29'!$AG$41:$AG$46,$AK10,'29'!$AF$41:$AF$46,1)/COUNTIFS('29'!$AG$41:$AG$46,$AK10,'29'!$AF$41:$AF$46,1))</f>
        <v/>
      </c>
      <c r="BY10" s="66" t="str">
        <f>IF(COUNTIFS('30'!$AG$33:$AG$38,$AK10,'30'!$AF$33:$AF$38,1)=0,"",SUMIFS('30'!$AC$33:$AC$38,'30'!$AG$33:$AG$38,$AK10,'30'!$AF$33:$AF$38,1)/COUNTIFS('30'!$AG$33:$AG$38,$AK10,'30'!$AF$33:$AF$38,1))</f>
        <v/>
      </c>
      <c r="BZ10" s="66" t="str">
        <f>IF(COUNTIFS('31'!$AG$56:$AG$61,$AK10,'31'!$AF$56:$AF$61,1)=0,"",SUMIFS('31'!$AC$56:$AC$61,'31'!$AG$56:$AG$61,$AK10,'31'!$AF$56:$AF$61,1)/COUNTIFS('31'!$AG$56:$AG$61,$AK10,'31'!$AF$56:$AF$61,1))</f>
        <v/>
      </c>
    </row>
    <row r="11">
      <c r="A11" s="141">
        <f>IF(LARGE($Y$5:$Y$17,6)=0,"",6)</f>
        <v>6</v>
      </c>
      <c r="B11" s="141" t="str">
        <f t="shared" si="7"/>
        <v>Single</v>
      </c>
      <c r="C11" s="141">
        <f t="shared" si="8"/>
        <v>22</v>
      </c>
      <c r="D11" s="142">
        <f t="shared" si="9"/>
        <v>0.04536082474</v>
      </c>
      <c r="E11" s="142">
        <f t="shared" si="10"/>
        <v>0.9154639175</v>
      </c>
      <c r="X11" s="66" t="s">
        <v>24</v>
      </c>
      <c r="Y11" s="66">
        <f>COUNTIF('1'!$D$4:$D$21,X11)+COUNTIF('2'!$D$4:$D$21,X11)+COUNTIF('3'!$D$4:$D$21,X11)+COUNTIF('4'!$D$4:$D$22,X11)+COUNTIF('5'!$D$4:$D$22,X11)+COUNTIF('6'!$D$4:$D$21,X11)+COUNTIF('7'!$D$4:$D$21,X11)+COUNTIF('8'!$D$4:$D$24,X11)+COUNTIF('9'!$D$4:$D$21,X11)+COUNTIF('10'!$D$4:$D$21,X11)+COUNTIF('11'!$D$4:$D$25,X11)+COUNTIF('12'!$D$4:$D$25,X11)+COUNTIF('13'!$D$4:$D$22,X11)+COUNTIF('14'!$D$4:$D$28,X11)+COUNTIF('15'!$D$4:$D$27,X11)+COUNTIF('16'!$D$4:$D$23,X11)+COUNTIF('17'!$D$4:$D$28,X11)+COUNTIF('18'!$D$4:$D$28,X11)+COUNTIF('19'!$D$4:$D$21,X11)+COUNTIF('20'!$D$4:$D$26,X11)+COUNTIF('21'!$D$4:$D$21,X11)+COUNTIF('22'!$D$4:$D$27,X11)+COUNTIF('23'!$D$4:$D$37,X11)+COUNTIF('24'!$D$4:$D$30,X11)+COUNTIF('25'!$D$4:$D$24,X11)+COUNTIF('26'!$D$4:$D$28,X11)+COUNTIF('27'!$D$4:$D$33,X11)+COUNTIF('28'!$D$4:$D$28,X11)+COUNTIF('29'!$D$4:$D$32,X11)+COUNTIF('30'!$D$4:$D$24,X11)+COUNTIF('31'!$D$4:$D$45,X11)</f>
        <v>23</v>
      </c>
      <c r="Z11" s="66">
        <f t="shared" si="1"/>
        <v>23.00007</v>
      </c>
      <c r="AA11" s="66" t="s">
        <v>594</v>
      </c>
      <c r="AB11" s="66" t="s">
        <v>603</v>
      </c>
      <c r="AC11" s="66">
        <f>COUNTIF('1'!$O$23:$O$26,AA11)+COUNTIF('2'!$O$23:$O$26,AA11)+COUNTIF('3'!$O$23:$O$26,AA11)+COUNTIF('4'!$O$24:$O$27,AA11)+COUNTIF('5'!$O$24:$O$27,AA11)+COUNTIF('6'!$O$23:$O$26,AA11)+COUNTIF('7'!$O$23:$O$26,AA11)+COUNTIF('8'!$O$26:$O$29,AA11)+COUNTIF('9'!$O$23:$O$26,AA11)+COUNTIF('10'!$O$23:$O$26,AA11)+COUNTIF('11'!$O$27:$O$30,AA11)+COUNTIF('12'!$O$27:$O$30,AA11)+COUNTIF('13'!$O$24:$O$27,AA11)+COUNTIF('14'!$O$30:$O$33,AA11)+COUNTIF('15'!$O$29:$O$32,AA11)+COUNTIF('16'!$O$25:$O$28,AA11)+COUNTIF('17'!$O$30:$O$33,AA11)+COUNTIF('18'!$O$30:$O$33,AA11)+COUNTIF('19'!$O$23:$O$26,AA11)+COUNTIF('20'!$O$28:$O$31,AA11)+COUNTIF('21'!$O$23:$O$26,AA11)+COUNTIF('22'!$O$29:$O$32,AA11)+COUNTIF('23'!$O$39:$O$42,AA11)+COUNTIF('24'!$O$32:$O$35,AA11)+COUNTIF('25'!$O$26:$O$29,AA11)+COUNTIF('26'!$O$30:$O$33,AA11)+COUNTIF('27'!$O$35:$O$38,AA11)+COUNTIF('28'!$O$30:$O$33,AA11)+COUNTIF('29'!$O$34:$O$37,AA11)+COUNTIF('30'!$O$26:$O$29,AA11)+COUNTIF('31'!$O$47:$O$50,AA11)</f>
        <v>0</v>
      </c>
      <c r="AD11" s="66">
        <f t="shared" si="2"/>
        <v>0.00005</v>
      </c>
      <c r="AK11" s="66" t="s">
        <v>594</v>
      </c>
      <c r="AL11" s="66" t="s">
        <v>603</v>
      </c>
      <c r="AM11" s="66">
        <f>COUNTIFS('1'!$AG$30:$AG$35,AK11,'1'!$AF$30:$AF$35,1)+COUNTIFS('2'!$AG$30:$AG$35,AK11,'2'!$AF$30:$AF$35,1)+COUNTIFS('3'!$AG$30:$AG$35,AK11,'3'!$AF$30:$AF$35,1)+COUNTIFS('4'!$AG$31:$AG$36,AK11,'4'!$AF$31:$AF$36,1)+COUNTIFS('5'!$AG$31:$AG$36,AK11,'5'!$AF$31:$AF$36,1)+COUNTIFS('6'!$AG$30:$AG$35,AK11,'6'!$AF$30:$AF$35,1)+COUNTIFS('7'!$AG$30:$AG$35,AK11,'7'!$AF$30:$AF$35,1)+COUNTIFS('8'!$AG$33:$AG$38,AK11,'8'!$AF$33:$AF$38,1)+COUNTIFS('9'!$AG$30:$AG$35,AK11,'9'!$AF$30:$AF$35,1)+COUNTIFS('10'!$AG$30:$AG$35,AK11,'10'!$AF$30:$AF$35,1)+COUNTIFS('11'!$AG$34:$AG$39,AK11,'11'!$AF$34:$AF$39,1)+COUNTIFS('12'!$AG$34:$AG$39,AK11,'12'!$AF$34:$AF$39,1)+COUNTIFS('13'!$AG$31:$AG$36,AK11,'13'!$AF$31:$AF$36,1)+COUNTIFS('14'!$AG$37:$AG$42,AK11,'14'!$AF$37:$AF$42,1)+COUNTIFS('15'!$AG$36:$AG$41,AK11,'15'!$AF$36:$AF$41,1)+COUNTIFS('16'!$AG$32:$AG$37,AK11,'16'!$AF$32:$AF$37,1)+COUNTIFS('17'!$AG$37:$AG$42,AK11,'17'!$AF$37:$AF$42,1)+COUNTIFS('18'!$AG$37:$AG$42,AK11,'18'!$AF$37:$AF$42,1)+COUNTIFS('19'!$AG$30:$AG$35,AK11,'19'!$AF$30:$AF$35,1)+COUNTIFS('20'!$AG$35:$AG$40,AK11,'20'!$AF$35:$AF$40,1)+COUNTIFS('21'!$AG$30:$AG$35,AK11,'21'!$AF$30:$AF$35,1)+COUNTIFS('22'!$AG$36:$AG$41,AK11,'22'!$AF$36:$AF$41,1)+COUNTIFS('23'!$AG$46:$AG$51,AK11,'23'!$AF$46:$AF$51,1)+COUNTIFS('24'!$AG$39:$AG$44,AK11,'24'!$AF$39:$AF$44,1)+COUNTIFS('25'!$AG$33:$AG$38,AK11,'25'!$AF$33:$AF$38,1)+COUNTIFS('26'!$AG$37:$AG$42,AK11,'26'!$AF$37:$AF$42,1)+COUNTIFS('27'!$AG$42:$AG$47,AK11,'27'!$AF$42:$AF$47,1)+COUNTIFS('28'!$AG$37:$AG$42,AK11,'28'!$AF$37:$AF$42,1)+COUNTIFS('29'!$AG$41:$AG$46,AK11,'29'!$AF$41:$AF$46,1)+COUNTIFS('30'!$AG$33:$AG$38,AK11,'30'!$AF$33:$AF$38,1)+COUNTIFS('31'!$AG$56:$AG$61,AK11,'31'!$AF$56:$AF$61,1)</f>
        <v>0</v>
      </c>
      <c r="AN11" s="66" t="str">
        <f t="shared" si="5"/>
        <v/>
      </c>
      <c r="AO11" s="66" t="str">
        <f>IF(AM11=0,"",(SUMIFS('1'!$L$30:$L$35,'1'!$AG$30:$AG$35,AK11,'1'!$AF$30:$AF$35,1)+SUMIFS('2'!$L$30:$L$35,'2'!$AG$30:$AG$35,AK11,'2'!$AF$30:$AF$35,1)+SUMIFS('3'!$L$30:$L$35,'3'!$AG$30:$AG$35,AK11,'3'!$AF$30:$AF$35,1)+SUMIFS('4'!$L$31:$L$36,'4'!$AG$31:$AG$36,AK11,'4'!$AF$31:$AF$36,1)+SUMIFS('5'!$L$31:$L$36,'5'!$AG$31:$AG$36,AK11,'5'!$AF$31:$AF$36,1)+SUMIFS('6'!$L$30:$L$35,'6'!$AG$30:$AG$35,AK11,'6'!$AF$30:$AF$35,1)+SUMIFS('7'!$L$30:$L$35,'7'!$AG$30:$AG$35,AK11,'7'!$AF$30:$AF$35,1)+SUMIFS('8'!$L$33:$L$38,'8'!$AG$33:$AG$38,AK11,'8'!$AF$33:$AF$38,1)+SUMIFS('9'!$L$30:$L$35,'9'!$AG$30:$AG$35,AK11,'9'!$AF$30:$AF$35,1)+SUMIFS('10'!$L$30:$L$35,'10'!$AG$30:$AG$35,AK11,'10'!$AF$30:$AF$35,1)+SUMIFS('11'!$L$34:$L$39,'11'!$AG$34:$AG$39,AK11,'11'!$AF$34:$AF$39,1)+SUMIFS('12'!$L$34:$L$39,'12'!$AG$34:$AG$39,AK11,'12'!$AF$34:$AF$39,1)+SUMIFS('13'!$L$31:$L$36,'13'!$AG$31:$AG$36,AK11,'13'!$AF$31:$AF$36,1)+SUMIFS('14'!$L$37:$L$42,'14'!$AG$37:$AG$42,AK11,'14'!$AF$37:$AF$42,1)+SUMIFS('15'!$L$36:$L$41,'15'!$AG$36:$AG$41,AK11,'15'!$AF$36:$AF$41,1)+SUMIFS('16'!$L$32:$L$37,'16'!$AG$32:$AG$37,AK11,'16'!$AF$32:$AF$37,1)+SUMIFS('17'!$L$37:$L$42,'17'!$AG$37:$AG$42,AK11,'17'!$AF$37:$AF$42,1)+SUMIFS('18'!$L$37:$L$42,'18'!$AG$37:$AG$42,AK11,'18'!$AF$37:$AF$42,1)+SUMIFS('19'!$L$30:$L$35,'19'!$AG$30:$AG$35,AK11,'19'!$AF$30:$AF$35,1)+SUMIFS('20'!$L$35:$L$40,'20'!$AG$35:$AG$40,AK11,'20'!$AF$35:$AF$40,1)+SUMIFS('21'!$L$30:$L$35,'21'!$AG$30:$AG$35,AK11,'21'!$AF$30:$AF$35,1)+SUMIFS('22'!$L$36:$L$41,'22'!$AG$36:$AG$41,AK11,'22'!$AF$36:$AF$41,1)+SUMIFS('23'!$L$46:$L$51,'23'!$AG$46:$AG$51,AK11,'23'!$AF$46:$AF$51,1)+SUMIFS('24'!$L$39:$L$44,'24'!$AG$39:$AG$44,AK11,'24'!$AF$39:$AF$44,1)+SUMIFS('25'!$L$33:$L$38,'25'!$AG$33:$AG$38,AK11,'25'!$AF$33:$AF$38,1)+SUMIFS('26'!$L$37:$L$42,'26'!$AG$37:$AG$42,AK11,'26'!$AF$37:$AF$42,1)+SUMIFS('27'!$L$42:$L$47,'27'!$AG$42:$AG$47,AK11,'27'!$AF$42:$AF$47,1)+SUMIFS('28'!$L$37:$L$42,'28'!$AG$37:$AG$42,AK11,'28'!$AF$37:$AF$42,1)+SUMIFS('29'!$L$41:$L$46,'29'!$AG$41:$AG$46,AK11,'29'!$AF$41:$AF$46,1)+SUMIFS('30'!$L$33:$L$38,'30'!$AG$33:$AG$38,AK11,'30'!$AF$33:$AF$38,1)+SUMIFS('31'!$L$56:$L$61,'31'!$AG$56:$AG$61,AK11,'31'!$AF$56:$AF$61,1))/AM11)</f>
        <v/>
      </c>
      <c r="AP11" s="66" t="str">
        <f>IF(AM11=0,"",(SUMIFS('1'!$M$30:$M$35,'1'!$AG$30:$AG$35,AK11,'1'!$AF$30:$AF$35,1)+SUMIFS('2'!$M$30:$M$35,'2'!$AG$30:$AG$35,AK11,'2'!$AF$30:$AF$35,1)+SUMIFS('3'!$M$30:$M$35,'3'!$AG$30:$AG$35,AK11,'3'!$AF$30:$AF$35,1)+SUMIFS('4'!$M$31:$M$36,'4'!$AG$31:$AG$36,AK11,'4'!$AF$31:$AF$36,1)+SUMIFS('5'!$M$31:$M$36,'5'!$AG$31:$AG$36,AK11,'5'!$AF$31:$AF$36,1)+SUMIFS('6'!$M$30:$M$35,'6'!$AG$30:$AG$35,AK11,'6'!$AF$30:$AF$35,1)+SUMIFS('7'!$M$30:$M$35,'7'!$AG$30:$AG$35,AK11,'7'!$AF$30:$AF$35,1)+SUMIFS('8'!$M$33:$M$38,'8'!$AG$33:$AG$38,AK11,'8'!$AF$33:$AF$38,1)+SUMIFS('9'!$M$30:$M$35,'9'!$AG$30:$AG$35,AK11,'9'!$AF$30:$AF$35,1)+SUMIFS('10'!$M$30:$M$35,'10'!$AG$30:$AG$35,AK11,'10'!$AF$30:$AF$35,1)+SUMIFS('11'!$M$34:$M$39,'11'!$AG$34:$AG$39,AK11,'11'!$AF$34:$AF$39,1)+SUMIFS('12'!$M$34:$M$39,'12'!$AG$34:$AG$39,AK11,'12'!$AF$34:$AF$39,1)+SUMIFS('13'!$M$31:$M$36,'13'!$AG$31:$AG$36,AK11,'13'!$AF$31:$AF$36,1)+SUMIFS('14'!$M$37:$M$42,'14'!$AG$37:$AG$42,AK11,'14'!$AF$37:$AF$42,1)+SUMIFS('15'!$M$36:$M$41,'15'!$AG$36:$AG$41,AK11,'15'!$AF$36:$AF$41,1)+SUMIFS('16'!$M$32:$M$37,'16'!$AG$32:$AG$37,AK11,'16'!$AF$32:$AF$37,1)+SUMIFS('17'!$M$37:$M$42,'17'!$AG$37:$AG$42,AK11,'17'!$AF$37:$AF$42,1)+SUMIFS('18'!$M$37:$M$42,'18'!$AG$37:$AG$42,AK11,'18'!$AF$37:$AF$42,1)+SUMIFS('19'!$M$30:$M$35,'19'!$AG$30:$AG$35,AK11,'19'!$AF$30:$AF$35,1)+SUMIFS('20'!$M$35:$M$40,'20'!$AG$35:$AG$40,AK11,'20'!$AF$35:$AF$40,1)+SUMIFS('21'!$M$30:$M$35,'21'!$AG$30:$AG$35,AK11,'21'!$AF$30:$AF$35,1)+SUMIFS('22'!$M$36:$M$41,'22'!$AG$36:$AG$41,AK11,'22'!$AF$36:$AF$41,1)+SUMIFS('23'!$M$46:$M$51,'23'!$AG$46:$AG$51,AK11,'23'!$AF$46:$AF$51,1)+SUMIFS('24'!$M$39:$M$44,'24'!$AG$39:$AG$44,AK11,'24'!$AF$39:$AF$44,1)+SUMIFS('25'!$M$33:$M$38,'25'!$AG$33:$AG$38,AK11,'25'!$AF$33:$AF$38,1)+SUMIFS('26'!$M$37:$M$42,'26'!$AG$37:$AG$42,AK11,'26'!$AF$37:$AF$42,1)+SUMIFS('27'!$M$42:$M$47,'27'!$AG$42:$AG$47,AK11,'27'!$AF$42:$AF$47,1)+SUMIFS('28'!$M$37:$M$42,'28'!$AG$37:$AG$42,AK11,'28'!$AF$37:$AF$42,1)+SUMIFS('29'!$M$41:$M$46,'29'!$AG$41:$AG$46,AK11,'29'!$AF$41:$AF$46,1)+SUMIFS('30'!$M$33:$M$38,'30'!$AG$33:$AG$38,AK11,'30'!$AF$33:$AF$38,1)+SUMIFS('31'!$M$56:$M$61,'31'!$AG$56:$AG$61,AK11,'31'!$AF$56:$AF$61,1))/AM11)</f>
        <v/>
      </c>
      <c r="AQ11" s="66" t="str">
        <f>IF(AM11=0,"",(SUMIFS('1'!$N$30:$N$35,'1'!$AG$30:$AG$35,AK11,'1'!$AF$30:$AF$35,1)+SUMIFS('2'!$N$30:$N$35,'2'!$AG$30:$AG$35,AK11,'2'!$AF$30:$AF$35,1)+SUMIFS('3'!$N$30:$N$35,'3'!$AG$30:$AG$35,AK11,'3'!$AF$30:$AF$35,1)+SUMIFS('4'!$N$31:$N$36,'4'!$AG$31:$AG$36,AK11,'4'!$AF$31:$AF$36,1)+SUMIFS('5'!$N$31:$N$36,'5'!$AG$31:$AG$36,AK11,'5'!$AF$31:$AF$36,1)+SUMIFS('6'!$N$30:$N$35,'6'!$AG$30:$AG$35,AK11,'6'!$AF$30:$AF$35,1)+SUMIFS('7'!$N$30:$N$35,'7'!$AG$30:$AG$35,AK11,'7'!$AF$30:$AF$35,1)+SUMIFS('8'!$N$33:$N$38,'8'!$AG$33:$AG$38,AK11,'8'!$AF$33:$AF$38,1)+SUMIFS('9'!$N$30:$N$35,'9'!$AG$30:$AG$35,AK11,'9'!$AF$30:$AF$35,1)+SUMIFS('10'!$N$30:$N$35,'10'!$AG$30:$AG$35,AK11,'10'!$AF$30:$AF$35,1)+SUMIFS('11'!$N$34:$N$39,'11'!$AG$34:$AG$39,AK11,'11'!$AF$34:$AF$39,1)+SUMIFS('12'!$N$34:$N$39,'12'!$AG$34:$AG$39,AK11,'12'!$AF$34:$AF$39,1)+SUMIFS('13'!$N$31:$N$36,'13'!$AG$31:$AG$36,AK11,'13'!$AF$31:$AF$36,1)+SUMIFS('14'!$N$37:$N$42,'14'!$AG$37:$AG$42,AK11,'14'!$AF$37:$AF$42,1)+SUMIFS('15'!$N$36:$N$41,'15'!$AG$36:$AG$41,AK11,'15'!$AF$36:$AF$41,1)+SUMIFS('16'!$N$32:$N$37,'16'!$AG$32:$AG$37,AK11,'16'!$AF$32:$AF$37,1)+SUMIFS('17'!$N$37:$N$42,'17'!$AG$37:$AG$42,AK11,'17'!$AF$37:$AF$42,1)+SUMIFS('18'!$N$37:$N$42,'18'!$AG$37:$AG$42,AK11,'18'!$AF$37:$AF$42,1)+SUMIFS('19'!$N$30:$N$35,'19'!$AG$30:$AG$35,AK11,'19'!$AF$30:$AF$35,1)+SUMIFS('20'!$N$35:$N$40,'20'!$AG$35:$AG$40,AK11,'20'!$AF$35:$AF$40,1)+SUMIFS('21'!$N$30:$N$35,'21'!$AG$30:$AG$35,AK11,'21'!$AF$30:$AF$35,1)+SUMIFS('22'!$N$36:$N$41,'22'!$AG$36:$AG$41,AK11,'22'!$AF$36:$AF$41,1)+SUMIFS('23'!$N$46:$N$51,'23'!$AG$46:$AG$51,AK11,'23'!$AF$46:$AF$51,1)+SUMIFS('24'!$N$39:$N$44,'24'!$AG$39:$AG$44,AK11,'24'!$AF$39:$AF$44,1)+SUMIFS('25'!$N$33:$N$38,'25'!$AG$33:$AG$38,AK11,'25'!$AF$33:$AF$38,1)+SUMIFS('26'!$N$37:$N$42,'26'!$AG$37:$AG$42,AK11,'26'!$AF$37:$AF$42,1)+SUMIFS('27'!$N$42:$N$47,'27'!$AG$42:$AG$47,AK11,'27'!$AF$42:$AF$47,1)+SUMIFS('28'!$N$37:$N$42,'28'!$AG$37:$AG$42,AK11,'28'!$AF$37:$AF$42,1)+SUMIFS('29'!$N$41:$N$46,'29'!$AG$41:$AG$46,AK11,'29'!$AF$41:$AF$46,1)+SUMIFS('30'!$N$33:$N$38,'30'!$AG$33:$AG$38,AK11,'30'!$AF$33:$AF$38,1)+SUMIFS('31'!$N$56:$N$61,'31'!$AG$56:$AG$61,AK11,'31'!$AF$56:$AF$61,1))/AM11)</f>
        <v/>
      </c>
      <c r="AR11" s="66" t="str">
        <f>IF(AM11=0,"",(SUMIFS('1'!$O$30:$O$35,'1'!$AG$30:$AG$35,AK11,'1'!$AF$30:$AF$35,1)+SUMIFS('2'!$O$30:$O$35,'2'!$AG$30:$AG$35,AK11,'2'!$AF$30:$AF$35,1)+SUMIFS('3'!$O$30:$O$35,'3'!$AG$30:$AG$35,AK11,'3'!$AF$30:$AF$35,1)+SUMIFS('4'!$O$31:$O$36,'4'!$AG$31:$AG$36,AK11,'4'!$AF$31:$AF$36,1)+SUMIFS('5'!$O$31:$O$36,'5'!$AG$31:$AG$36,AK11,'5'!$AF$31:$AF$36,1)+SUMIFS('6'!$O$30:$O$35,'6'!$AG$30:$AG$35,AK11,'6'!$AF$30:$AF$35,1)+SUMIFS('7'!$O$30:$O$35,'7'!$AG$30:$AG$35,AK11,'7'!$AF$30:$AF$35,1)+SUMIFS('8'!$O$33:$O$38,'8'!$AG$33:$AG$38,AK11,'8'!$AF$33:$AF$38,1)+SUMIFS('9'!$O$30:$O$35,'9'!$AG$30:$AG$35,AK11,'9'!$AF$30:$AF$35,1)+SUMIFS('10'!$O$30:$O$35,'10'!$AG$30:$AG$35,AK11,'10'!$AF$30:$AF$35,1)+SUMIFS('11'!$O$34:$O$39,'11'!$AG$34:$AG$39,AK11,'11'!$AF$34:$AF$39,1)+SUMIFS('12'!$O$34:$O$39,'12'!$AG$34:$AG$39,AK11,'12'!$AF$34:$AF$39,1)+SUMIFS('13'!$O$31:$O$36,'13'!$AG$31:$AG$36,AK11,'13'!$AF$31:$AF$36,1)+SUMIFS('14'!$O$37:$O$42,'14'!$AG$37:$AG$42,AK11,'14'!$AF$37:$AF$42,1)+SUMIFS('15'!$O$36:$O$41,'15'!$AG$36:$AG$41,AK11,'15'!$AF$36:$AF$41,1)+SUMIFS('16'!$O$32:$O$37,'16'!$AG$32:$AG$37,AK11,'16'!$AF$32:$AF$37,1)+SUMIFS('17'!$O$37:$O$42,'17'!$AG$37:$AG$42,AK11,'17'!$AF$37:$AF$42,1)+SUMIFS('18'!$O$37:$O$42,'18'!$AG$37:$AG$42,AK11,'18'!$AF$37:$AF$42,1)+SUMIFS('19'!$O$30:$O$35,'19'!$AG$30:$AG$35,AK11,'19'!$AF$30:$AF$35,1)+SUMIFS('20'!$O$35:$O$40,'20'!$AG$35:$AG$40,AK11,'20'!$AF$35:$AF$40,1)+SUMIFS('21'!$O$30:$O$35,'21'!$AG$30:$AG$35,AK11,'21'!$AF$30:$AF$35,1)+SUMIFS('22'!$O$36:$O$41,'22'!$AG$36:$AG$41,AK11,'22'!$AF$36:$AF$41,1)+SUMIFS('23'!$O$46:$O$51,'23'!$AG$46:$AG$51,AK11,'23'!$AF$46:$AF$51,1)+SUMIFS('24'!$O$39:$O$44,'24'!$AG$39:$AG$44,AK11,'24'!$AF$39:$AF$44,1)+SUMIFS('25'!$O$33:$O$38,'25'!$AG$33:$AG$38,AK11,'25'!$AF$33:$AF$38,1)+SUMIFS('26'!$O$37:$O$42,'26'!$AG$37:$AG$42,AK11,'26'!$AF$37:$AF$42,1)+SUMIFS('27'!$O$42:$O$47,'27'!$AG$42:$AG$47,AK11,'27'!$AF$42:$AF$47,1)+SUMIFS('28'!$O$37:$O$42,'28'!$AG$37:$AG$42,AK11,'28'!$AF$37:$AF$42,1)+SUMIFS('29'!$O$41:$O$46,'29'!$AG$41:$AG$46,AK11,'29'!$AF$41:$AF$46,1)+SUMIFS('30'!$O$33:$O$38,'30'!$AG$33:$AG$38,AK11,'30'!$AF$33:$AF$38,1)+SUMIFS('31'!$O$56:$O$61,'31'!$AG$56:$AG$61,AK11,'31'!$AF$56:$AF$61,1))/AM11)</f>
        <v/>
      </c>
      <c r="AS11" s="66" t="str">
        <f>IF(AM11=0,"",(SUMIFS('1'!$P$30:$P$35,'1'!$AG$30:$AG$35,AK11,'1'!$AF$30:$AF$35,1)+SUMIFS('2'!$P$30:$P$35,'2'!$AG$30:$AG$35,AK11,'2'!$AF$30:$AF$35,1)+SUMIFS('3'!$P$30:$P$35,'3'!$AG$30:$AG$35,AK11,'3'!$AF$30:$AF$35,1)+SUMIFS('4'!$P$31:$P$36,'4'!$AG$31:$AG$36,AK11,'4'!$AF$31:$AF$36,1)+SUMIFS('5'!$P$31:$P$36,'5'!$AG$31:$AG$36,AK11,'5'!$AF$31:$AF$36,1)+SUMIFS('6'!$P$30:$P$35,'6'!$AG$30:$AG$35,AK11,'6'!$AF$30:$AF$35,1)+SUMIFS('7'!$P$30:$P$35,'7'!$AG$30:$AG$35,AK11,'7'!$AF$30:$AF$35,1)+SUMIFS('8'!$P$33:$P$38,'8'!$AG$33:$AG$38,AK11,'8'!$AF$33:$AF$38,1)+SUMIFS('9'!$P$30:$P$35,'9'!$AG$30:$AG$35,AK11,'9'!$AF$30:$AF$35,1)+SUMIFS('10'!$P$30:$P$35,'10'!$AG$30:$AG$35,AK11,'10'!$AF$30:$AF$35,1)+SUMIFS('11'!$P$34:$P$39,'11'!$AG$34:$AG$39,AK11,'11'!$AF$34:$AF$39,1)+SUMIFS('12'!$P$34:$P$39,'12'!$AG$34:$AG$39,AK11,'12'!$AF$34:$AF$39,1)+SUMIFS('13'!$P$31:$P$36,'13'!$AG$31:$AG$36,AK11,'13'!$AF$31:$AF$36,1)+SUMIFS('14'!$P$37:$P$42,'14'!$AG$37:$AG$42,AK11,'14'!$AF$37:$AF$42,1)+SUMIFS('15'!$P$36:$P$41,'15'!$AG$36:$AG$41,AK11,'15'!$AF$36:$AF$41,1)+SUMIFS('16'!$P$32:$P$37,'16'!$AG$32:$AG$37,AK11,'16'!$AF$32:$AF$37,1)+SUMIFS('17'!$P$37:$P$42,'17'!$AG$37:$AG$42,AK11,'17'!$AF$37:$AF$42,1)+SUMIFS('18'!$P$37:$P$42,'18'!$AG$37:$AG$42,AK11,'18'!$AF$37:$AF$42,1)+SUMIFS('19'!$P$30:$P$35,'19'!$AG$30:$AG$35,AK11,'19'!$AF$30:$AF$35,1)+SUMIFS('20'!$P$35:$P$40,'20'!$AG$35:$AG$40,AK11,'20'!$AF$35:$AF$40,1)+SUMIFS('21'!$P$30:$P$35,'21'!$AG$30:$AG$35,AK11,'21'!$AF$30:$AF$35,1)+SUMIFS('22'!$P$36:$P$41,'22'!$AG$36:$AG$41,AK11,'22'!$AF$36:$AF$41,1)+SUMIFS('23'!$P$46:$P$51,'23'!$AG$46:$AG$51,AK11,'23'!$AF$46:$AF$51,1)+SUMIFS('24'!$P$39:$P$44,'24'!$AG$39:$AG$44,AK11,'24'!$AF$39:$AF$44,1)+SUMIFS('25'!$P$33:$P$38,'25'!$AG$33:$AG$38,AK11,'25'!$AF$33:$AF$38,1)+SUMIFS('26'!$P$37:$P$42,'26'!$AG$37:$AG$42,AK11,'26'!$AF$37:$AF$42,1)+SUMIFS('27'!$P$42:$P$47,'27'!$AG$42:$AG$47,AK11,'27'!$AF$42:$AF$47,1)+SUMIFS('28'!$P$37:$P$42,'28'!$AG$37:$AG$42,AK11,'28'!$AF$37:$AF$42,1)+SUMIFS('29'!$P$41:$P$46,'29'!$AG$41:$AG$46,AK11,'29'!$AF$41:$AF$46,1)+SUMIFS('30'!$P$33:$P$38,'30'!$AG$33:$AG$38,AK11,'30'!$AF$33:$AF$38,1)+SUMIFS('31'!$P$56:$P$61,'31'!$AG$56:$AG$61,AK11,'31'!$AF$56:$AF$61,1))/AM11)</f>
        <v/>
      </c>
      <c r="AV11" s="66" t="str">
        <f>IF(COUNTIFS('1'!$AG$30:$AG$35,$AK11,'1'!$AF$30:$AF$35,1)=0,"",SUMIFS('1'!$AC$30:$AC$35,'1'!$AG$30:$AG$35,$AK11,'1'!$AF$30:$AF$35,1)/COUNTIFS('1'!$AG$30:$AG$35,$AK11,'1'!$AF$30:$AF$35,1))</f>
        <v/>
      </c>
      <c r="AW11" s="66" t="str">
        <f>IF(COUNTIFS('2'!$AG$30:$AG$35,$AK11,'2'!$AF$30:$AF$35,1)=0,"",SUMIFS('2'!$AC$30:$AC$35,'2'!$AG$30:$AG$35,$AK11,'2'!$AF$30:$AF$35,1)/COUNTIFS('2'!$AG$30:$AG$35,$AK11,'2'!$AF$30:$AF$35,1))</f>
        <v/>
      </c>
      <c r="AX11" s="66" t="str">
        <f>IF(COUNTIFS('3'!$AG$30:$AG$35,$AK11,'3'!$AF$30:$AF$35,1)=0,"",SUMIFS('3'!$AC$30:$AC$35,'3'!$AG$30:$AG$35,$AK11,'3'!$AF$30:$AF$35,1)/COUNTIFS('3'!$AG$30:$AG$35,$AK11,'3'!$AF$30:$AF$35,1))</f>
        <v/>
      </c>
      <c r="AY11" s="66" t="str">
        <f>IF(COUNTIFS('4'!$AG$31:$AG$36,$AK11,'4'!$AF$31:$AF$36,1)=0,"",SUMIFS('4'!$AC$31:$AC$36,'4'!$AG$31:$AG$36,$AK11,'4'!$AF$31:$AF$36,1)/COUNTIFS('4'!$AG$31:$AG$36,$AK11,'4'!$AF$31:$AF$36,1))</f>
        <v/>
      </c>
      <c r="AZ11" s="66" t="str">
        <f>IF(COUNTIFS('5'!$AG$31:$AG$36,$AK11,'5'!$AF$31:$AF$36,1)=0,"",SUMIFS('5'!$AC$31:$AC$36,'5'!$AG$31:$AG$36,$AK11,'5'!$AF$31:$AF$36,1)/COUNTIFS('5'!$AG$31:$AG$36,$AK11,'5'!$AF$31:$AF$36,1))</f>
        <v/>
      </c>
      <c r="BA11" s="66" t="str">
        <f>IF(COUNTIFS('6'!$AG$30:$AG$35,$AK11,'6'!$AF$30:$AF$35,1)=0,"",SUMIFS('6'!$AC$30:$AC$35,'6'!$AG$30:$AG$35,$AK11,'6'!$AF$30:$AF$35,1)/COUNTIFS('6'!$AG$30:$AG$35,$AK11,'6'!$AF$30:$AF$35,1))</f>
        <v/>
      </c>
      <c r="BB11" s="66" t="str">
        <f>IF(COUNTIFS('7'!$AG$30:$AG$35,$AK11,'7'!$AF$30:$AF$35,1)=0,"",SUMIFS('7'!$AC$30:$AC$35,'7'!$AG$30:$AG$35,$AK11,'7'!$AF$30:$AF$35,1)/COUNTIFS('7'!$AG$30:$AG$35,$AK11,'7'!$AF$30:$AF$35,1))</f>
        <v/>
      </c>
      <c r="BC11" s="66" t="str">
        <f>IF(COUNTIFS('8'!$AG$33:$AG$38,$AK11,'8'!$AF$33:$AF$38,1)=0,"",SUMIFS('8'!$AC$33:$AC$38,'8'!$AG$33:$AG$38,$AK11,'8'!$AF$33:$AF$38,1)/COUNTIFS('8'!$AG$33:$AG$38,$AK11,'8'!$AF$33:$AF$38,1))</f>
        <v/>
      </c>
      <c r="BD11" s="66" t="str">
        <f>IF(COUNTIFS('9'!$AG$30:$AG$35,$AK11,'9'!$AF$30:$AF$35,1)=0,"",SUMIFS('9'!$AC$30:$AC$35,'9'!$AG$30:$AG$35,$AK11,'9'!$AF$30:$AF$35,1)/COUNTIFS('9'!$AG$30:$AG$35,$AK11,'9'!$AF$30:$AF$35,1))</f>
        <v/>
      </c>
      <c r="BE11" s="66" t="str">
        <f>IF(COUNTIFS('10'!$AG$30:$AG$35,$AK11,'10'!$AF$30:$AF$35,1)=0,"",SUMIFS('10'!$AC$30:$AC$35,'10'!$AG$30:$AG$35,$AK11,'10'!$AF$30:$AF$35,1)/COUNTIFS('10'!$AG$30:$AG$35,$AK11,'10'!$AF$30:$AF$35,1))</f>
        <v/>
      </c>
      <c r="BF11" s="66" t="str">
        <f>IF(COUNTIFS('11'!$AG$34:$AG$39,$AK11,'11'!$AF$34:$AF$39,1)=0,"",SUMIFS('11'!$AC$34:$AC$39,'11'!$AG$34:$AG$39,$AK11,'11'!$AF$34:$AF$39,1)/COUNTIFS('11'!$AG$34:$AG$39,$AK11,'11'!$AF$34:$AF$39,1))</f>
        <v/>
      </c>
      <c r="BG11" s="66" t="str">
        <f>IF(COUNTIFS('12'!$AG$34:$AG$39,$AK11,'12'!$AF$34:$AF$39,1)=0,"",SUMIFS('12'!$AC$34:$AC$39,'12'!$AG$34:$AG$39,$AK11,'12'!$AF$34:$AF$39,1)/COUNTIFS('12'!$AG$34:$AG$39,$AK11,'12'!$AF$34:$AF$39,1))</f>
        <v/>
      </c>
      <c r="BH11" s="66" t="str">
        <f>IF(COUNTIFS('13'!$AG$31:$AG$36,$AK11,'13'!$AF$31:$AF$36,1)=0,"",SUMIFS('13'!$AC$31:$AC$36,'13'!$AG$31:$AG$36,$AK11,'13'!$AF$31:$AF$36,1)/COUNTIFS('13'!$AG$31:$AG$36,$AK11,'13'!$AF$31:$AF$36,1))</f>
        <v/>
      </c>
      <c r="BI11" s="66" t="str">
        <f>IF(COUNTIFS('14'!$AG$37:$AG$42,$AK11,'14'!$AF$37:$AF$42,1)=0,"",SUMIFS('14'!$AC$37:$AC$42,'14'!$AG$37:$AG$42,$AK11,'14'!$AF$37:$AF$42,1)/COUNTIFS('14'!$AG$37:$AG$42,$AK11,'14'!$AF$37:$AF$42,1))</f>
        <v/>
      </c>
      <c r="BJ11" s="66" t="str">
        <f>IF(COUNTIFS('15'!$AG$36:$AG$41,$AK11,'15'!$AF$36:$AF$41,1)=0,"",SUMIFS('15'!$AC$36:$AC$41,'15'!$AG$36:$AG$41,$AK11,'15'!$AF$36:$AF$41,1)/COUNTIFS('15'!$AG$36:$AG$41,$AK11,'15'!$AF$36:$AF$41,1))</f>
        <v/>
      </c>
      <c r="BK11" s="66" t="str">
        <f>IF(COUNTIFS('16'!$AG$32:$AG$37,$AK11,'16'!$AF$32:$AF$37,1)=0,"",SUMIFS('16'!$AC$32:$AC$37,'16'!$AG$32:$AG$37,$AK11,'16'!$AF$32:$AF$37,1)/COUNTIFS('16'!$AG$32:$AG$37,$AK11,'16'!$AF$32:$AF$37,1))</f>
        <v/>
      </c>
      <c r="BL11" s="66" t="str">
        <f>IF(COUNTIFS('17'!$AG$37:$AG$42,$AK11,'17'!$AF$37:$AF$42,1)=0,"",SUMIFS('17'!$AC$37:$AC$42,'17'!$AG$37:$AG$42,$AK11,'17'!$AF$37:$AF$42,1)/COUNTIFS('17'!$AG$37:$AG$42,$AK11,'17'!$AF$37:$AF$42,1))</f>
        <v/>
      </c>
      <c r="BM11" s="66" t="str">
        <f>IF(COUNTIFS('18'!$AG$37:$AG$42,$AK11,'18'!$AF$37:$AF$42,1)=0,"",SUMIFS('18'!$AC$37:$AC$42,'18'!$AG$37:$AG$42,$AK11,'18'!$AF$37:$AF$42,1)/COUNTIFS('18'!$AG$37:$AG$42,$AK11,'18'!$AF$37:$AF$42,1))</f>
        <v/>
      </c>
      <c r="BN11" s="66" t="str">
        <f>IF(COUNTIFS('19'!$AG$30:$AG$35,$AK11,'19'!$AF$30:$AF$35,1)=0,"",SUMIFS('19'!$AC$30:$AC$35,'19'!$AG$30:$AG$35,$AK11,'19'!$AF$30:$AF$35,1)/COUNTIFS('19'!$AG$30:$AG$35,$AK11,'19'!$AF$30:$AF$35,1))</f>
        <v/>
      </c>
      <c r="BO11" s="66" t="str">
        <f>IF(COUNTIFS('20'!$AG$35:$AG$40,$AK11,'20'!$AF$35:$AF$40,1)=0,"",SUMIFS('20'!$AC$35:$AC$40,'20'!$AG$35:$AG$40,$AK11,'20'!$AF$35:$AF$40,1)/COUNTIFS('20'!$AG$35:$AG$40,$AK11,'20'!$AF$35:$AF$40,1))</f>
        <v/>
      </c>
      <c r="BP11" s="66" t="str">
        <f>IF(COUNTIFS('21'!$AG$30:$AG$35,$AK11,'21'!$AF$30:$AF$35,1)=0,"",SUMIFS('21'!$AC$30:$AC$35,'21'!$AG$30:$AG$35,$AK11,'21'!$AF$30:$AF$35,1)/COUNTIFS('21'!$AG$30:$AG$35,$AK11,'21'!$AF$30:$AF$35,1))</f>
        <v/>
      </c>
      <c r="BQ11" s="66" t="str">
        <f>IF(COUNTIFS('22'!$AG$36:$AG$41,$AK11,'22'!$AF$36:$AF$41,1)=0,"",SUMIFS('22'!$AC$36:$AC$41,'22'!$AG$36:$AG$41,$AK11,'22'!$AF$36:$AF$41,1)/COUNTIFS('22'!$AG$36:$AG$41,$AK11,'22'!$AF$36:$AF$41,1))</f>
        <v/>
      </c>
      <c r="BR11" s="66" t="str">
        <f>IF(COUNTIFS('23'!$AG$46:$AG$51,$AK11,'23'!$AF$46:$AF$51,1)=0,"",SUMIFS('23'!$AC$46:$AC$51,'23'!$AG$46:$AG$51,$AK11,'23'!$AF$46:$AF$51,1)/COUNTIFS('23'!$AG$46:$AG$51,$AK11,'23'!$AF$46:$AF$51,1))</f>
        <v/>
      </c>
      <c r="BS11" s="66" t="str">
        <f>IF(COUNTIFS('24'!$AG$39:$AG$44,$AK11,'24'!$AF$39:$AF$44,1)=0,"",SUMIFS('24'!$AC$39:$AC$44,'24'!$AG$39:$AG$44,$AK11,'24'!$AF$39:$AF$44,1)/COUNTIFS('24'!$AG$39:$AG$44,$AK11,'24'!$AF$39:$AF$44,1))</f>
        <v/>
      </c>
      <c r="BT11" s="66" t="str">
        <f>IF(COUNTIFS('25'!$AG$33:$AG$38,$AK11,'25'!$AF$33:$AF$38,1)=0,"",SUMIFS('25'!$AC$33:$AC$38,'25'!$AG$33:$AG$38,$AK11,'25'!$AF$33:$AF$38,1)/COUNTIFS('25'!$AG$33:$AG$38,$AK11,'25'!$AF$33:$AF$38,1))</f>
        <v/>
      </c>
      <c r="BU11" s="66" t="str">
        <f>IF(COUNTIFS('26'!$AG$37:$AG$42,$AK11,'26'!$AF$37:$AF$42,1)=0,"",SUMIFS('26'!$AC$37:$AC$42,'26'!$AG$37:$AG$42,$AK11,'26'!$AF$37:$AF$42,1)/COUNTIFS('26'!$AG$37:$AG$42,$AK11,'26'!$AF$37:$AF$42,1))</f>
        <v/>
      </c>
      <c r="BV11" s="66" t="str">
        <f>IF(COUNTIFS('27'!$AG$42:$AG$47,$AK11,'27'!$AF$42:$AF$47,1)=0,"",SUMIFS('27'!$AC$42:$AC$47,'27'!$AG$42:$AG$47,$AK11,'27'!$AF$42:$AF$47,1)/COUNTIFS('27'!$AG$42:$AG$47,$AK11,'27'!$AF$42:$AF$47,1))</f>
        <v/>
      </c>
      <c r="BW11" s="66" t="str">
        <f>IF(COUNTIFS('28'!$AG$37:$AG$42,$AK11,'28'!$AF$37:$AF$42,1)=0,"",SUMIFS('28'!$AC$37:$AC$42,'28'!$AG$37:$AG$42,$AK11,'28'!$AF$37:$AF$42,1)/COUNTIFS('28'!$AG$37:$AG$42,$AK11,'28'!$AF$37:$AF$42,1))</f>
        <v/>
      </c>
      <c r="BX11" s="66" t="str">
        <f>IF(COUNTIFS('29'!$AG$41:$AG$46,$AK11,'29'!$AF$41:$AF$46,1)=0,"",SUMIFS('29'!$AC$41:$AC$46,'29'!$AG$41:$AG$46,$AK11,'29'!$AF$41:$AF$46,1)/COUNTIFS('29'!$AG$41:$AG$46,$AK11,'29'!$AF$41:$AF$46,1))</f>
        <v/>
      </c>
      <c r="BY11" s="66" t="str">
        <f>IF(COUNTIFS('30'!$AG$33:$AG$38,$AK11,'30'!$AF$33:$AF$38,1)=0,"",SUMIFS('30'!$AC$33:$AC$38,'30'!$AG$33:$AG$38,$AK11,'30'!$AF$33:$AF$38,1)/COUNTIFS('30'!$AG$33:$AG$38,$AK11,'30'!$AF$33:$AF$38,1))</f>
        <v/>
      </c>
      <c r="BZ11" s="66" t="str">
        <f>IF(COUNTIFS('31'!$AG$56:$AG$61,$AK11,'31'!$AF$56:$AF$61,1)=0,"",SUMIFS('31'!$AC$56:$AC$61,'31'!$AG$56:$AG$61,$AK11,'31'!$AF$56:$AF$61,1)/COUNTIFS('31'!$AG$56:$AG$61,$AK11,'31'!$AF$56:$AF$61,1))</f>
        <v/>
      </c>
    </row>
    <row r="12">
      <c r="A12" s="141">
        <f>IF(LARGE($Y$5:$Y$17,7)=0,"",7)</f>
        <v>7</v>
      </c>
      <c r="B12" s="141" t="str">
        <f t="shared" si="7"/>
        <v>Graduation Premium</v>
      </c>
      <c r="C12" s="141">
        <f t="shared" si="8"/>
        <v>14</v>
      </c>
      <c r="D12" s="142">
        <f t="shared" si="9"/>
        <v>0.02886597938</v>
      </c>
      <c r="E12" s="142">
        <f t="shared" si="10"/>
        <v>0.9443298969</v>
      </c>
      <c r="X12" s="66" t="s">
        <v>130</v>
      </c>
      <c r="Y12" s="66">
        <f>COUNTIF('1'!$D$4:$D$21,X12)+COUNTIF('2'!$D$4:$D$21,X12)+COUNTIF('3'!$D$4:$D$21,X12)+COUNTIF('4'!$D$4:$D$22,X12)+COUNTIF('5'!$D$4:$D$22,X12)+COUNTIF('6'!$D$4:$D$21,X12)+COUNTIF('7'!$D$4:$D$21,X12)+COUNTIF('8'!$D$4:$D$24,X12)+COUNTIF('9'!$D$4:$D$21,X12)+COUNTIF('10'!$D$4:$D$21,X12)+COUNTIF('11'!$D$4:$D$25,X12)+COUNTIF('12'!$D$4:$D$25,X12)+COUNTIF('13'!$D$4:$D$22,X12)+COUNTIF('14'!$D$4:$D$28,X12)+COUNTIF('15'!$D$4:$D$27,X12)+COUNTIF('16'!$D$4:$D$23,X12)+COUNTIF('17'!$D$4:$D$28,X12)+COUNTIF('18'!$D$4:$D$28,X12)+COUNTIF('19'!$D$4:$D$21,X12)+COUNTIF('20'!$D$4:$D$26,X12)+COUNTIF('21'!$D$4:$D$21,X12)+COUNTIF('22'!$D$4:$D$27,X12)+COUNTIF('23'!$D$4:$D$37,X12)+COUNTIF('24'!$D$4:$D$30,X12)+COUNTIF('25'!$D$4:$D$24,X12)+COUNTIF('26'!$D$4:$D$28,X12)+COUNTIF('27'!$D$4:$D$33,X12)+COUNTIF('28'!$D$4:$D$28,X12)+COUNTIF('29'!$D$4:$D$32,X12)+COUNTIF('30'!$D$4:$D$24,X12)+COUNTIF('31'!$D$4:$D$45,X12)</f>
        <v>7</v>
      </c>
      <c r="Z12" s="66">
        <f t="shared" si="1"/>
        <v>7.00006</v>
      </c>
      <c r="AA12" s="66" t="s">
        <v>37</v>
      </c>
      <c r="AB12" s="66" t="s">
        <v>603</v>
      </c>
      <c r="AC12" s="66">
        <f>COUNTIF('1'!$O$23:$O$26,AA12)+COUNTIF('2'!$O$23:$O$26,AA12)+COUNTIF('3'!$O$23:$O$26,AA12)+COUNTIF('4'!$O$24:$O$27,AA12)+COUNTIF('5'!$O$24:$O$27,AA12)+COUNTIF('6'!$O$23:$O$26,AA12)+COUNTIF('7'!$O$23:$O$26,AA12)+COUNTIF('8'!$O$26:$O$29,AA12)+COUNTIF('9'!$O$23:$O$26,AA12)+COUNTIF('10'!$O$23:$O$26,AA12)+COUNTIF('11'!$O$27:$O$30,AA12)+COUNTIF('12'!$O$27:$O$30,AA12)+COUNTIF('13'!$O$24:$O$27,AA12)+COUNTIF('14'!$O$30:$O$33,AA12)+COUNTIF('15'!$O$29:$O$32,AA12)+COUNTIF('16'!$O$25:$O$28,AA12)+COUNTIF('17'!$O$30:$O$33,AA12)+COUNTIF('18'!$O$30:$O$33,AA12)+COUNTIF('19'!$O$23:$O$26,AA12)+COUNTIF('20'!$O$28:$O$31,AA12)+COUNTIF('21'!$O$23:$O$26,AA12)+COUNTIF('22'!$O$29:$O$32,AA12)+COUNTIF('23'!$O$39:$O$42,AA12)+COUNTIF('24'!$O$32:$O$35,AA12)+COUNTIF('25'!$O$26:$O$29,AA12)+COUNTIF('26'!$O$30:$O$33,AA12)+COUNTIF('27'!$O$35:$O$38,AA12)+COUNTIF('28'!$O$30:$O$33,AA12)+COUNTIF('29'!$O$34:$O$37,AA12)+COUNTIF('30'!$O$26:$O$29,AA12)+COUNTIF('31'!$O$47:$O$50,AA12)</f>
        <v>31</v>
      </c>
      <c r="AD12" s="66">
        <f t="shared" si="2"/>
        <v>31.00004</v>
      </c>
      <c r="AK12" s="66" t="s">
        <v>37</v>
      </c>
      <c r="AL12" s="66" t="s">
        <v>603</v>
      </c>
      <c r="AM12" s="66">
        <f>COUNTIFS('1'!$AG$30:$AG$35,AK12,'1'!$AF$30:$AF$35,1)+COUNTIFS('2'!$AG$30:$AG$35,AK12,'2'!$AF$30:$AF$35,1)+COUNTIFS('3'!$AG$30:$AG$35,AK12,'3'!$AF$30:$AF$35,1)+COUNTIFS('4'!$AG$31:$AG$36,AK12,'4'!$AF$31:$AF$36,1)+COUNTIFS('5'!$AG$31:$AG$36,AK12,'5'!$AF$31:$AF$36,1)+COUNTIFS('6'!$AG$30:$AG$35,AK12,'6'!$AF$30:$AF$35,1)+COUNTIFS('7'!$AG$30:$AG$35,AK12,'7'!$AF$30:$AF$35,1)+COUNTIFS('8'!$AG$33:$AG$38,AK12,'8'!$AF$33:$AF$38,1)+COUNTIFS('9'!$AG$30:$AG$35,AK12,'9'!$AF$30:$AF$35,1)+COUNTIFS('10'!$AG$30:$AG$35,AK12,'10'!$AF$30:$AF$35,1)+COUNTIFS('11'!$AG$34:$AG$39,AK12,'11'!$AF$34:$AF$39,1)+COUNTIFS('12'!$AG$34:$AG$39,AK12,'12'!$AF$34:$AF$39,1)+COUNTIFS('13'!$AG$31:$AG$36,AK12,'13'!$AF$31:$AF$36,1)+COUNTIFS('14'!$AG$37:$AG$42,AK12,'14'!$AF$37:$AF$42,1)+COUNTIFS('15'!$AG$36:$AG$41,AK12,'15'!$AF$36:$AF$41,1)+COUNTIFS('16'!$AG$32:$AG$37,AK12,'16'!$AF$32:$AF$37,1)+COUNTIFS('17'!$AG$37:$AG$42,AK12,'17'!$AF$37:$AF$42,1)+COUNTIFS('18'!$AG$37:$AG$42,AK12,'18'!$AF$37:$AF$42,1)+COUNTIFS('19'!$AG$30:$AG$35,AK12,'19'!$AF$30:$AF$35,1)+COUNTIFS('20'!$AG$35:$AG$40,AK12,'20'!$AF$35:$AF$40,1)+COUNTIFS('21'!$AG$30:$AG$35,AK12,'21'!$AF$30:$AF$35,1)+COUNTIFS('22'!$AG$36:$AG$41,AK12,'22'!$AF$36:$AF$41,1)+COUNTIFS('23'!$AG$46:$AG$51,AK12,'23'!$AF$46:$AF$51,1)+COUNTIFS('24'!$AG$39:$AG$44,AK12,'24'!$AF$39:$AF$44,1)+COUNTIFS('25'!$AG$33:$AG$38,AK12,'25'!$AF$33:$AF$38,1)+COUNTIFS('26'!$AG$37:$AG$42,AK12,'26'!$AF$37:$AF$42,1)+COUNTIFS('27'!$AG$42:$AG$47,AK12,'27'!$AF$42:$AF$47,1)+COUNTIFS('28'!$AG$37:$AG$42,AK12,'28'!$AF$37:$AF$42,1)+COUNTIFS('29'!$AG$41:$AG$46,AK12,'29'!$AF$41:$AF$46,1)+COUNTIFS('30'!$AG$33:$AG$38,AK12,'30'!$AF$33:$AF$38,1)+COUNTIFS('31'!$AG$56:$AG$61,AK12,'31'!$AF$56:$AF$61,1)</f>
        <v>31</v>
      </c>
      <c r="AN12" s="66">
        <f t="shared" si="5"/>
        <v>98.80645161</v>
      </c>
      <c r="AO12" s="66">
        <f>IF(AM12=0,"",(SUMIFS('1'!$L$30:$L$35,'1'!$AG$30:$AG$35,AK12,'1'!$AF$30:$AF$35,1)+SUMIFS('2'!$L$30:$L$35,'2'!$AG$30:$AG$35,AK12,'2'!$AF$30:$AF$35,1)+SUMIFS('3'!$L$30:$L$35,'3'!$AG$30:$AG$35,AK12,'3'!$AF$30:$AF$35,1)+SUMIFS('4'!$L$31:$L$36,'4'!$AG$31:$AG$36,AK12,'4'!$AF$31:$AF$36,1)+SUMIFS('5'!$L$31:$L$36,'5'!$AG$31:$AG$36,AK12,'5'!$AF$31:$AF$36,1)+SUMIFS('6'!$L$30:$L$35,'6'!$AG$30:$AG$35,AK12,'6'!$AF$30:$AF$35,1)+SUMIFS('7'!$L$30:$L$35,'7'!$AG$30:$AG$35,AK12,'7'!$AF$30:$AF$35,1)+SUMIFS('8'!$L$33:$L$38,'8'!$AG$33:$AG$38,AK12,'8'!$AF$33:$AF$38,1)+SUMIFS('9'!$L$30:$L$35,'9'!$AG$30:$AG$35,AK12,'9'!$AF$30:$AF$35,1)+SUMIFS('10'!$L$30:$L$35,'10'!$AG$30:$AG$35,AK12,'10'!$AF$30:$AF$35,1)+SUMIFS('11'!$L$34:$L$39,'11'!$AG$34:$AG$39,AK12,'11'!$AF$34:$AF$39,1)+SUMIFS('12'!$L$34:$L$39,'12'!$AG$34:$AG$39,AK12,'12'!$AF$34:$AF$39,1)+SUMIFS('13'!$L$31:$L$36,'13'!$AG$31:$AG$36,AK12,'13'!$AF$31:$AF$36,1)+SUMIFS('14'!$L$37:$L$42,'14'!$AG$37:$AG$42,AK12,'14'!$AF$37:$AF$42,1)+SUMIFS('15'!$L$36:$L$41,'15'!$AG$36:$AG$41,AK12,'15'!$AF$36:$AF$41,1)+SUMIFS('16'!$L$32:$L$37,'16'!$AG$32:$AG$37,AK12,'16'!$AF$32:$AF$37,1)+SUMIFS('17'!$L$37:$L$42,'17'!$AG$37:$AG$42,AK12,'17'!$AF$37:$AF$42,1)+SUMIFS('18'!$L$37:$L$42,'18'!$AG$37:$AG$42,AK12,'18'!$AF$37:$AF$42,1)+SUMIFS('19'!$L$30:$L$35,'19'!$AG$30:$AG$35,AK12,'19'!$AF$30:$AF$35,1)+SUMIFS('20'!$L$35:$L$40,'20'!$AG$35:$AG$40,AK12,'20'!$AF$35:$AF$40,1)+SUMIFS('21'!$L$30:$L$35,'21'!$AG$30:$AG$35,AK12,'21'!$AF$30:$AF$35,1)+SUMIFS('22'!$L$36:$L$41,'22'!$AG$36:$AG$41,AK12,'22'!$AF$36:$AF$41,1)+SUMIFS('23'!$L$46:$L$51,'23'!$AG$46:$AG$51,AK12,'23'!$AF$46:$AF$51,1)+SUMIFS('24'!$L$39:$L$44,'24'!$AG$39:$AG$44,AK12,'24'!$AF$39:$AF$44,1)+SUMIFS('25'!$L$33:$L$38,'25'!$AG$33:$AG$38,AK12,'25'!$AF$33:$AF$38,1)+SUMIFS('26'!$L$37:$L$42,'26'!$AG$37:$AG$42,AK12,'26'!$AF$37:$AF$42,1)+SUMIFS('27'!$L$42:$L$47,'27'!$AG$42:$AG$47,AK12,'27'!$AF$42:$AF$47,1)+SUMIFS('28'!$L$37:$L$42,'28'!$AG$37:$AG$42,AK12,'28'!$AF$37:$AF$42,1)+SUMIFS('29'!$L$41:$L$46,'29'!$AG$41:$AG$46,AK12,'29'!$AF$41:$AF$46,1)+SUMIFS('30'!$L$33:$L$38,'30'!$AG$33:$AG$38,AK12,'30'!$AF$33:$AF$38,1)+SUMIFS('31'!$L$56:$L$61,'31'!$AG$56:$AG$61,AK12,'31'!$AF$56:$AF$61,1))/AM12)</f>
        <v>4.967741935</v>
      </c>
      <c r="AP12" s="66">
        <f>IF(AM12=0,"",(SUMIFS('1'!$M$30:$M$35,'1'!$AG$30:$AG$35,AK12,'1'!$AF$30:$AF$35,1)+SUMIFS('2'!$M$30:$M$35,'2'!$AG$30:$AG$35,AK12,'2'!$AF$30:$AF$35,1)+SUMIFS('3'!$M$30:$M$35,'3'!$AG$30:$AG$35,AK12,'3'!$AF$30:$AF$35,1)+SUMIFS('4'!$M$31:$M$36,'4'!$AG$31:$AG$36,AK12,'4'!$AF$31:$AF$36,1)+SUMIFS('5'!$M$31:$M$36,'5'!$AG$31:$AG$36,AK12,'5'!$AF$31:$AF$36,1)+SUMIFS('6'!$M$30:$M$35,'6'!$AG$30:$AG$35,AK12,'6'!$AF$30:$AF$35,1)+SUMIFS('7'!$M$30:$M$35,'7'!$AG$30:$AG$35,AK12,'7'!$AF$30:$AF$35,1)+SUMIFS('8'!$M$33:$M$38,'8'!$AG$33:$AG$38,AK12,'8'!$AF$33:$AF$38,1)+SUMIFS('9'!$M$30:$M$35,'9'!$AG$30:$AG$35,AK12,'9'!$AF$30:$AF$35,1)+SUMIFS('10'!$M$30:$M$35,'10'!$AG$30:$AG$35,AK12,'10'!$AF$30:$AF$35,1)+SUMIFS('11'!$M$34:$M$39,'11'!$AG$34:$AG$39,AK12,'11'!$AF$34:$AF$39,1)+SUMIFS('12'!$M$34:$M$39,'12'!$AG$34:$AG$39,AK12,'12'!$AF$34:$AF$39,1)+SUMIFS('13'!$M$31:$M$36,'13'!$AG$31:$AG$36,AK12,'13'!$AF$31:$AF$36,1)+SUMIFS('14'!$M$37:$M$42,'14'!$AG$37:$AG$42,AK12,'14'!$AF$37:$AF$42,1)+SUMIFS('15'!$M$36:$M$41,'15'!$AG$36:$AG$41,AK12,'15'!$AF$36:$AF$41,1)+SUMIFS('16'!$M$32:$M$37,'16'!$AG$32:$AG$37,AK12,'16'!$AF$32:$AF$37,1)+SUMIFS('17'!$M$37:$M$42,'17'!$AG$37:$AG$42,AK12,'17'!$AF$37:$AF$42,1)+SUMIFS('18'!$M$37:$M$42,'18'!$AG$37:$AG$42,AK12,'18'!$AF$37:$AF$42,1)+SUMIFS('19'!$M$30:$M$35,'19'!$AG$30:$AG$35,AK12,'19'!$AF$30:$AF$35,1)+SUMIFS('20'!$M$35:$M$40,'20'!$AG$35:$AG$40,AK12,'20'!$AF$35:$AF$40,1)+SUMIFS('21'!$M$30:$M$35,'21'!$AG$30:$AG$35,AK12,'21'!$AF$30:$AF$35,1)+SUMIFS('22'!$M$36:$M$41,'22'!$AG$36:$AG$41,AK12,'22'!$AF$36:$AF$41,1)+SUMIFS('23'!$M$46:$M$51,'23'!$AG$46:$AG$51,AK12,'23'!$AF$46:$AF$51,1)+SUMIFS('24'!$M$39:$M$44,'24'!$AG$39:$AG$44,AK12,'24'!$AF$39:$AF$44,1)+SUMIFS('25'!$M$33:$M$38,'25'!$AG$33:$AG$38,AK12,'25'!$AF$33:$AF$38,1)+SUMIFS('26'!$M$37:$M$42,'26'!$AG$37:$AG$42,AK12,'26'!$AF$37:$AF$42,1)+SUMIFS('27'!$M$42:$M$47,'27'!$AG$42:$AG$47,AK12,'27'!$AF$42:$AF$47,1)+SUMIFS('28'!$M$37:$M$42,'28'!$AG$37:$AG$42,AK12,'28'!$AF$37:$AF$42,1)+SUMIFS('29'!$M$41:$M$46,'29'!$AG$41:$AG$46,AK12,'29'!$AF$41:$AF$46,1)+SUMIFS('30'!$M$33:$M$38,'30'!$AG$33:$AG$38,AK12,'30'!$AF$33:$AF$38,1)+SUMIFS('31'!$M$56:$M$61,'31'!$AG$56:$AG$61,AK12,'31'!$AF$56:$AF$61,1))/AM12)</f>
        <v>4.967741935</v>
      </c>
      <c r="AQ12" s="66">
        <f>IF(AM12=0,"",(SUMIFS('1'!$N$30:$N$35,'1'!$AG$30:$AG$35,AK12,'1'!$AF$30:$AF$35,1)+SUMIFS('2'!$N$30:$N$35,'2'!$AG$30:$AG$35,AK12,'2'!$AF$30:$AF$35,1)+SUMIFS('3'!$N$30:$N$35,'3'!$AG$30:$AG$35,AK12,'3'!$AF$30:$AF$35,1)+SUMIFS('4'!$N$31:$N$36,'4'!$AG$31:$AG$36,AK12,'4'!$AF$31:$AF$36,1)+SUMIFS('5'!$N$31:$N$36,'5'!$AG$31:$AG$36,AK12,'5'!$AF$31:$AF$36,1)+SUMIFS('6'!$N$30:$N$35,'6'!$AG$30:$AG$35,AK12,'6'!$AF$30:$AF$35,1)+SUMIFS('7'!$N$30:$N$35,'7'!$AG$30:$AG$35,AK12,'7'!$AF$30:$AF$35,1)+SUMIFS('8'!$N$33:$N$38,'8'!$AG$33:$AG$38,AK12,'8'!$AF$33:$AF$38,1)+SUMIFS('9'!$N$30:$N$35,'9'!$AG$30:$AG$35,AK12,'9'!$AF$30:$AF$35,1)+SUMIFS('10'!$N$30:$N$35,'10'!$AG$30:$AG$35,AK12,'10'!$AF$30:$AF$35,1)+SUMIFS('11'!$N$34:$N$39,'11'!$AG$34:$AG$39,AK12,'11'!$AF$34:$AF$39,1)+SUMIFS('12'!$N$34:$N$39,'12'!$AG$34:$AG$39,AK12,'12'!$AF$34:$AF$39,1)+SUMIFS('13'!$N$31:$N$36,'13'!$AG$31:$AG$36,AK12,'13'!$AF$31:$AF$36,1)+SUMIFS('14'!$N$37:$N$42,'14'!$AG$37:$AG$42,AK12,'14'!$AF$37:$AF$42,1)+SUMIFS('15'!$N$36:$N$41,'15'!$AG$36:$AG$41,AK12,'15'!$AF$36:$AF$41,1)+SUMIFS('16'!$N$32:$N$37,'16'!$AG$32:$AG$37,AK12,'16'!$AF$32:$AF$37,1)+SUMIFS('17'!$N$37:$N$42,'17'!$AG$37:$AG$42,AK12,'17'!$AF$37:$AF$42,1)+SUMIFS('18'!$N$37:$N$42,'18'!$AG$37:$AG$42,AK12,'18'!$AF$37:$AF$42,1)+SUMIFS('19'!$N$30:$N$35,'19'!$AG$30:$AG$35,AK12,'19'!$AF$30:$AF$35,1)+SUMIFS('20'!$N$35:$N$40,'20'!$AG$35:$AG$40,AK12,'20'!$AF$35:$AF$40,1)+SUMIFS('21'!$N$30:$N$35,'21'!$AG$30:$AG$35,AK12,'21'!$AF$30:$AF$35,1)+SUMIFS('22'!$N$36:$N$41,'22'!$AG$36:$AG$41,AK12,'22'!$AF$36:$AF$41,1)+SUMIFS('23'!$N$46:$N$51,'23'!$AG$46:$AG$51,AK12,'23'!$AF$46:$AF$51,1)+SUMIFS('24'!$N$39:$N$44,'24'!$AG$39:$AG$44,AK12,'24'!$AF$39:$AF$44,1)+SUMIFS('25'!$N$33:$N$38,'25'!$AG$33:$AG$38,AK12,'25'!$AF$33:$AF$38,1)+SUMIFS('26'!$N$37:$N$42,'26'!$AG$37:$AG$42,AK12,'26'!$AF$37:$AF$42,1)+SUMIFS('27'!$N$42:$N$47,'27'!$AG$42:$AG$47,AK12,'27'!$AF$42:$AF$47,1)+SUMIFS('28'!$N$37:$N$42,'28'!$AG$37:$AG$42,AK12,'28'!$AF$37:$AF$42,1)+SUMIFS('29'!$N$41:$N$46,'29'!$AG$41:$AG$46,AK12,'29'!$AF$41:$AF$46,1)+SUMIFS('30'!$N$33:$N$38,'30'!$AG$33:$AG$38,AK12,'30'!$AF$33:$AF$38,1)+SUMIFS('31'!$N$56:$N$61,'31'!$AG$56:$AG$61,AK12,'31'!$AF$56:$AF$61,1))/AM12)</f>
        <v>4.935483871</v>
      </c>
      <c r="AR12" s="66">
        <f>IF(AM12=0,"",(SUMIFS('1'!$O$30:$O$35,'1'!$AG$30:$AG$35,AK12,'1'!$AF$30:$AF$35,1)+SUMIFS('2'!$O$30:$O$35,'2'!$AG$30:$AG$35,AK12,'2'!$AF$30:$AF$35,1)+SUMIFS('3'!$O$30:$O$35,'3'!$AG$30:$AG$35,AK12,'3'!$AF$30:$AF$35,1)+SUMIFS('4'!$O$31:$O$36,'4'!$AG$31:$AG$36,AK12,'4'!$AF$31:$AF$36,1)+SUMIFS('5'!$O$31:$O$36,'5'!$AG$31:$AG$36,AK12,'5'!$AF$31:$AF$36,1)+SUMIFS('6'!$O$30:$O$35,'6'!$AG$30:$AG$35,AK12,'6'!$AF$30:$AF$35,1)+SUMIFS('7'!$O$30:$O$35,'7'!$AG$30:$AG$35,AK12,'7'!$AF$30:$AF$35,1)+SUMIFS('8'!$O$33:$O$38,'8'!$AG$33:$AG$38,AK12,'8'!$AF$33:$AF$38,1)+SUMIFS('9'!$O$30:$O$35,'9'!$AG$30:$AG$35,AK12,'9'!$AF$30:$AF$35,1)+SUMIFS('10'!$O$30:$O$35,'10'!$AG$30:$AG$35,AK12,'10'!$AF$30:$AF$35,1)+SUMIFS('11'!$O$34:$O$39,'11'!$AG$34:$AG$39,AK12,'11'!$AF$34:$AF$39,1)+SUMIFS('12'!$O$34:$O$39,'12'!$AG$34:$AG$39,AK12,'12'!$AF$34:$AF$39,1)+SUMIFS('13'!$O$31:$O$36,'13'!$AG$31:$AG$36,AK12,'13'!$AF$31:$AF$36,1)+SUMIFS('14'!$O$37:$O$42,'14'!$AG$37:$AG$42,AK12,'14'!$AF$37:$AF$42,1)+SUMIFS('15'!$O$36:$O$41,'15'!$AG$36:$AG$41,AK12,'15'!$AF$36:$AF$41,1)+SUMIFS('16'!$O$32:$O$37,'16'!$AG$32:$AG$37,AK12,'16'!$AF$32:$AF$37,1)+SUMIFS('17'!$O$37:$O$42,'17'!$AG$37:$AG$42,AK12,'17'!$AF$37:$AF$42,1)+SUMIFS('18'!$O$37:$O$42,'18'!$AG$37:$AG$42,AK12,'18'!$AF$37:$AF$42,1)+SUMIFS('19'!$O$30:$O$35,'19'!$AG$30:$AG$35,AK12,'19'!$AF$30:$AF$35,1)+SUMIFS('20'!$O$35:$O$40,'20'!$AG$35:$AG$40,AK12,'20'!$AF$35:$AF$40,1)+SUMIFS('21'!$O$30:$O$35,'21'!$AG$30:$AG$35,AK12,'21'!$AF$30:$AF$35,1)+SUMIFS('22'!$O$36:$O$41,'22'!$AG$36:$AG$41,AK12,'22'!$AF$36:$AF$41,1)+SUMIFS('23'!$O$46:$O$51,'23'!$AG$46:$AG$51,AK12,'23'!$AF$46:$AF$51,1)+SUMIFS('24'!$O$39:$O$44,'24'!$AG$39:$AG$44,AK12,'24'!$AF$39:$AF$44,1)+SUMIFS('25'!$O$33:$O$38,'25'!$AG$33:$AG$38,AK12,'25'!$AF$33:$AF$38,1)+SUMIFS('26'!$O$37:$O$42,'26'!$AG$37:$AG$42,AK12,'26'!$AF$37:$AF$42,1)+SUMIFS('27'!$O$42:$O$47,'27'!$AG$42:$AG$47,AK12,'27'!$AF$42:$AF$47,1)+SUMIFS('28'!$O$37:$O$42,'28'!$AG$37:$AG$42,AK12,'28'!$AF$37:$AF$42,1)+SUMIFS('29'!$O$41:$O$46,'29'!$AG$41:$AG$46,AK12,'29'!$AF$41:$AF$46,1)+SUMIFS('30'!$O$33:$O$38,'30'!$AG$33:$AG$38,AK12,'30'!$AF$33:$AF$38,1)+SUMIFS('31'!$O$56:$O$61,'31'!$AG$56:$AG$61,AK12,'31'!$AF$56:$AF$61,1))/AM12)</f>
        <v>4.935483871</v>
      </c>
      <c r="AS12" s="66">
        <f>IF(AM12=0,"",(SUMIFS('1'!$P$30:$P$35,'1'!$AG$30:$AG$35,AK12,'1'!$AF$30:$AF$35,1)+SUMIFS('2'!$P$30:$P$35,'2'!$AG$30:$AG$35,AK12,'2'!$AF$30:$AF$35,1)+SUMIFS('3'!$P$30:$P$35,'3'!$AG$30:$AG$35,AK12,'3'!$AF$30:$AF$35,1)+SUMIFS('4'!$P$31:$P$36,'4'!$AG$31:$AG$36,AK12,'4'!$AF$31:$AF$36,1)+SUMIFS('5'!$P$31:$P$36,'5'!$AG$31:$AG$36,AK12,'5'!$AF$31:$AF$36,1)+SUMIFS('6'!$P$30:$P$35,'6'!$AG$30:$AG$35,AK12,'6'!$AF$30:$AF$35,1)+SUMIFS('7'!$P$30:$P$35,'7'!$AG$30:$AG$35,AK12,'7'!$AF$30:$AF$35,1)+SUMIFS('8'!$P$33:$P$38,'8'!$AG$33:$AG$38,AK12,'8'!$AF$33:$AF$38,1)+SUMIFS('9'!$P$30:$P$35,'9'!$AG$30:$AG$35,AK12,'9'!$AF$30:$AF$35,1)+SUMIFS('10'!$P$30:$P$35,'10'!$AG$30:$AG$35,AK12,'10'!$AF$30:$AF$35,1)+SUMIFS('11'!$P$34:$P$39,'11'!$AG$34:$AG$39,AK12,'11'!$AF$34:$AF$39,1)+SUMIFS('12'!$P$34:$P$39,'12'!$AG$34:$AG$39,AK12,'12'!$AF$34:$AF$39,1)+SUMIFS('13'!$P$31:$P$36,'13'!$AG$31:$AG$36,AK12,'13'!$AF$31:$AF$36,1)+SUMIFS('14'!$P$37:$P$42,'14'!$AG$37:$AG$42,AK12,'14'!$AF$37:$AF$42,1)+SUMIFS('15'!$P$36:$P$41,'15'!$AG$36:$AG$41,AK12,'15'!$AF$36:$AF$41,1)+SUMIFS('16'!$P$32:$P$37,'16'!$AG$32:$AG$37,AK12,'16'!$AF$32:$AF$37,1)+SUMIFS('17'!$P$37:$P$42,'17'!$AG$37:$AG$42,AK12,'17'!$AF$37:$AF$42,1)+SUMIFS('18'!$P$37:$P$42,'18'!$AG$37:$AG$42,AK12,'18'!$AF$37:$AF$42,1)+SUMIFS('19'!$P$30:$P$35,'19'!$AG$30:$AG$35,AK12,'19'!$AF$30:$AF$35,1)+SUMIFS('20'!$P$35:$P$40,'20'!$AG$35:$AG$40,AK12,'20'!$AF$35:$AF$40,1)+SUMIFS('21'!$P$30:$P$35,'21'!$AG$30:$AG$35,AK12,'21'!$AF$30:$AF$35,1)+SUMIFS('22'!$P$36:$P$41,'22'!$AG$36:$AG$41,AK12,'22'!$AF$36:$AF$41,1)+SUMIFS('23'!$P$46:$P$51,'23'!$AG$46:$AG$51,AK12,'23'!$AF$46:$AF$51,1)+SUMIFS('24'!$P$39:$P$44,'24'!$AG$39:$AG$44,AK12,'24'!$AF$39:$AF$44,1)+SUMIFS('25'!$P$33:$P$38,'25'!$AG$33:$AG$38,AK12,'25'!$AF$33:$AF$38,1)+SUMIFS('26'!$P$37:$P$42,'26'!$AG$37:$AG$42,AK12,'26'!$AF$37:$AF$42,1)+SUMIFS('27'!$P$42:$P$47,'27'!$AG$42:$AG$47,AK12,'27'!$AF$42:$AF$47,1)+SUMIFS('28'!$P$37:$P$42,'28'!$AG$37:$AG$42,AK12,'28'!$AF$37:$AF$42,1)+SUMIFS('29'!$P$41:$P$46,'29'!$AG$41:$AG$46,AK12,'29'!$AF$41:$AF$46,1)+SUMIFS('30'!$P$33:$P$38,'30'!$AG$33:$AG$38,AK12,'30'!$AF$33:$AF$38,1)+SUMIFS('31'!$P$56:$P$61,'31'!$AG$56:$AG$61,AK12,'31'!$AF$56:$AF$61,1))/AM12)</f>
        <v>4.870967742</v>
      </c>
      <c r="AV12" s="66">
        <f>IF(COUNTIFS('1'!$AG$30:$AG$35,$AK12,'1'!$AF$30:$AF$35,1)=0,"",SUMIFS('1'!$AC$30:$AC$35,'1'!$AG$30:$AG$35,$AK12,'1'!$AF$30:$AF$35,1)/COUNTIFS('1'!$AG$30:$AG$35,$AK12,'1'!$AF$30:$AF$35,1))</f>
        <v>92</v>
      </c>
      <c r="AW12" s="66">
        <f>IF(COUNTIFS('2'!$AG$30:$AG$35,$AK12,'2'!$AF$30:$AF$35,1)=0,"",SUMIFS('2'!$AC$30:$AC$35,'2'!$AG$30:$AG$35,$AK12,'2'!$AF$30:$AF$35,1)/COUNTIFS('2'!$AG$30:$AG$35,$AK12,'2'!$AF$30:$AF$35,1))</f>
        <v>100</v>
      </c>
      <c r="AX12" s="66">
        <f>IF(COUNTIFS('3'!$AG$30:$AG$35,$AK12,'3'!$AF$30:$AF$35,1)=0,"",SUMIFS('3'!$AC$30:$AC$35,'3'!$AG$30:$AG$35,$AK12,'3'!$AF$30:$AF$35,1)/COUNTIFS('3'!$AG$30:$AG$35,$AK12,'3'!$AF$30:$AF$35,1))</f>
        <v>100</v>
      </c>
      <c r="AY12" s="66">
        <f>IF(COUNTIFS('4'!$AG$31:$AG$36,$AK12,'4'!$AF$31:$AF$36,1)=0,"",SUMIFS('4'!$AC$31:$AC$36,'4'!$AG$31:$AG$36,$AK12,'4'!$AF$31:$AF$36,1)/COUNTIFS('4'!$AG$31:$AG$36,$AK12,'4'!$AF$31:$AF$36,1))</f>
        <v>100</v>
      </c>
      <c r="AZ12" s="66">
        <f>IF(COUNTIFS('5'!$AG$31:$AG$36,$AK12,'5'!$AF$31:$AF$36,1)=0,"",SUMIFS('5'!$AC$31:$AC$36,'5'!$AG$31:$AG$36,$AK12,'5'!$AF$31:$AF$36,1)/COUNTIFS('5'!$AG$31:$AG$36,$AK12,'5'!$AF$31:$AF$36,1))</f>
        <v>100</v>
      </c>
      <c r="BA12" s="66" t="str">
        <f>IF(COUNTIFS('6'!$AG$30:$AG$35,$AK12,'6'!$AF$30:$AF$35,1)=0,"",SUMIFS('6'!$AC$30:$AC$35,'6'!$AG$30:$AG$35,$AK12,'6'!$AF$30:$AF$35,1)/COUNTIFS('6'!$AG$30:$AG$35,$AK12,'6'!$AF$30:$AF$35,1))</f>
        <v/>
      </c>
      <c r="BB12" s="66">
        <f>IF(COUNTIFS('7'!$AG$30:$AG$35,$AK12,'7'!$AF$30:$AF$35,1)=0,"",SUMIFS('7'!$AC$30:$AC$35,'7'!$AG$30:$AG$35,$AK12,'7'!$AF$30:$AF$35,1)/COUNTIFS('7'!$AG$30:$AG$35,$AK12,'7'!$AF$30:$AF$35,1))</f>
        <v>100</v>
      </c>
      <c r="BC12" s="66">
        <f>IF(COUNTIFS('8'!$AG$33:$AG$38,$AK12,'8'!$AF$33:$AF$38,1)=0,"",SUMIFS('8'!$AC$33:$AC$38,'8'!$AG$33:$AG$38,$AK12,'8'!$AF$33:$AF$38,1)/COUNTIFS('8'!$AG$33:$AG$38,$AK12,'8'!$AF$33:$AF$38,1))</f>
        <v>100</v>
      </c>
      <c r="BD12" s="66">
        <f>IF(COUNTIFS('9'!$AG$30:$AG$35,$AK12,'9'!$AF$30:$AF$35,1)=0,"",SUMIFS('9'!$AC$30:$AC$35,'9'!$AG$30:$AG$35,$AK12,'9'!$AF$30:$AF$35,1)/COUNTIFS('9'!$AG$30:$AG$35,$AK12,'9'!$AF$30:$AF$35,1))</f>
        <v>100</v>
      </c>
      <c r="BE12" s="66">
        <f>IF(COUNTIFS('10'!$AG$30:$AG$35,$AK12,'10'!$AF$30:$AF$35,1)=0,"",SUMIFS('10'!$AC$30:$AC$35,'10'!$AG$30:$AG$35,$AK12,'10'!$AF$30:$AF$35,1)/COUNTIFS('10'!$AG$30:$AG$35,$AK12,'10'!$AF$30:$AF$35,1))</f>
        <v>100</v>
      </c>
      <c r="BF12" s="66" t="str">
        <f>IF(COUNTIFS('11'!$AG$34:$AG$39,$AK12,'11'!$AF$34:$AF$39,1)=0,"",SUMIFS('11'!$AC$34:$AC$39,'11'!$AG$34:$AG$39,$AK12,'11'!$AF$34:$AF$39,1)/COUNTIFS('11'!$AG$34:$AG$39,$AK12,'11'!$AF$34:$AF$39,1))</f>
        <v/>
      </c>
      <c r="BG12" s="66">
        <f>IF(COUNTIFS('12'!$AG$34:$AG$39,$AK12,'12'!$AF$34:$AF$39,1)=0,"",SUMIFS('12'!$AC$34:$AC$39,'12'!$AG$34:$AG$39,$AK12,'12'!$AF$34:$AF$39,1)/COUNTIFS('12'!$AG$34:$AG$39,$AK12,'12'!$AF$34:$AF$39,1))</f>
        <v>100</v>
      </c>
      <c r="BH12" s="66">
        <f>IF(COUNTIFS('13'!$AG$31:$AG$36,$AK12,'13'!$AF$31:$AF$36,1)=0,"",SUMIFS('13'!$AC$31:$AC$36,'13'!$AG$31:$AG$36,$AK12,'13'!$AF$31:$AF$36,1)/COUNTIFS('13'!$AG$31:$AG$36,$AK12,'13'!$AF$31:$AF$36,1))</f>
        <v>100</v>
      </c>
      <c r="BI12" s="66">
        <f>IF(COUNTIFS('14'!$AG$37:$AG$42,$AK12,'14'!$AF$37:$AF$42,1)=0,"",SUMIFS('14'!$AC$37:$AC$42,'14'!$AG$37:$AG$42,$AK12,'14'!$AF$37:$AF$42,1)/COUNTIFS('14'!$AG$37:$AG$42,$AK12,'14'!$AF$37:$AF$42,1))</f>
        <v>100</v>
      </c>
      <c r="BJ12" s="66">
        <f>IF(COUNTIFS('15'!$AG$36:$AG$41,$AK12,'15'!$AF$36:$AF$41,1)=0,"",SUMIFS('15'!$AC$36:$AC$41,'15'!$AG$36:$AG$41,$AK12,'15'!$AF$36:$AF$41,1)/COUNTIFS('15'!$AG$36:$AG$41,$AK12,'15'!$AF$36:$AF$41,1))</f>
        <v>88</v>
      </c>
      <c r="BK12" s="66">
        <f>IF(COUNTIFS('16'!$AG$32:$AG$37,$AK12,'16'!$AF$32:$AF$37,1)=0,"",SUMIFS('16'!$AC$32:$AC$37,'16'!$AG$32:$AG$37,$AK12,'16'!$AF$32:$AF$37,1)/COUNTIFS('16'!$AG$32:$AG$37,$AK12,'16'!$AF$32:$AF$37,1))</f>
        <v>92</v>
      </c>
      <c r="BL12" s="66">
        <f>IF(COUNTIFS('17'!$AG$37:$AG$42,$AK12,'17'!$AF$37:$AF$42,1)=0,"",SUMIFS('17'!$AC$37:$AC$42,'17'!$AG$37:$AG$42,$AK12,'17'!$AF$37:$AF$42,1)/COUNTIFS('17'!$AG$37:$AG$42,$AK12,'17'!$AF$37:$AF$42,1))</f>
        <v>97</v>
      </c>
      <c r="BM12" s="66">
        <f>IF(COUNTIFS('18'!$AG$37:$AG$42,$AK12,'18'!$AF$37:$AF$42,1)=0,"",SUMIFS('18'!$AC$37:$AC$42,'18'!$AG$37:$AG$42,$AK12,'18'!$AF$37:$AF$42,1)/COUNTIFS('18'!$AG$37:$AG$42,$AK12,'18'!$AF$37:$AF$42,1))</f>
        <v>97</v>
      </c>
      <c r="BN12" s="66">
        <f>IF(COUNTIFS('19'!$AG$30:$AG$35,$AK12,'19'!$AF$30:$AF$35,1)=0,"",SUMIFS('19'!$AC$30:$AC$35,'19'!$AG$30:$AG$35,$AK12,'19'!$AF$30:$AF$35,1)/COUNTIFS('19'!$AG$30:$AG$35,$AK12,'19'!$AF$30:$AF$35,1))</f>
        <v>100</v>
      </c>
      <c r="BO12" s="66">
        <f>IF(COUNTIFS('20'!$AG$35:$AG$40,$AK12,'20'!$AF$35:$AF$40,1)=0,"",SUMIFS('20'!$AC$35:$AC$40,'20'!$AG$35:$AG$40,$AK12,'20'!$AF$35:$AF$40,1)/COUNTIFS('20'!$AG$35:$AG$40,$AK12,'20'!$AF$35:$AF$40,1))</f>
        <v>100</v>
      </c>
      <c r="BP12" s="66" t="str">
        <f>IF(COUNTIFS('21'!$AG$30:$AG$35,$AK12,'21'!$AF$30:$AF$35,1)=0,"",SUMIFS('21'!$AC$30:$AC$35,'21'!$AG$30:$AG$35,$AK12,'21'!$AF$30:$AF$35,1)/COUNTIFS('21'!$AG$30:$AG$35,$AK12,'21'!$AF$30:$AF$35,1))</f>
        <v/>
      </c>
      <c r="BQ12" s="66">
        <f>IF(COUNTIFS('22'!$AG$36:$AG$41,$AK12,'22'!$AF$36:$AF$41,1)=0,"",SUMIFS('22'!$AC$36:$AC$41,'22'!$AG$36:$AG$41,$AK12,'22'!$AF$36:$AF$41,1)/COUNTIFS('22'!$AG$36:$AG$41,$AK12,'22'!$AF$36:$AF$41,1))</f>
        <v>100</v>
      </c>
      <c r="BR12" s="66">
        <f>IF(COUNTIFS('23'!$AG$46:$AG$51,$AK12,'23'!$AF$46:$AF$51,1)=0,"",SUMIFS('23'!$AC$46:$AC$51,'23'!$AG$46:$AG$51,$AK12,'23'!$AF$46:$AF$51,1)/COUNTIFS('23'!$AG$46:$AG$51,$AK12,'23'!$AF$46:$AF$51,1))</f>
        <v>100</v>
      </c>
      <c r="BS12" s="66">
        <f>IF(COUNTIFS('24'!$AG$39:$AG$44,$AK12,'24'!$AF$39:$AF$44,1)=0,"",SUMIFS('24'!$AC$39:$AC$44,'24'!$AG$39:$AG$44,$AK12,'24'!$AF$39:$AF$44,1)/COUNTIFS('24'!$AG$39:$AG$44,$AK12,'24'!$AF$39:$AF$44,1))</f>
        <v>100</v>
      </c>
      <c r="BT12" s="66">
        <f>IF(COUNTIFS('25'!$AG$33:$AG$38,$AK12,'25'!$AF$33:$AF$38,1)=0,"",SUMIFS('25'!$AC$33:$AC$38,'25'!$AG$33:$AG$38,$AK12,'25'!$AF$33:$AF$38,1)/COUNTIFS('25'!$AG$33:$AG$38,$AK12,'25'!$AF$33:$AF$38,1))</f>
        <v>100</v>
      </c>
      <c r="BU12" s="66">
        <f>IF(COUNTIFS('26'!$AG$37:$AG$42,$AK12,'26'!$AF$37:$AF$42,1)=0,"",SUMIFS('26'!$AC$37:$AC$42,'26'!$AG$37:$AG$42,$AK12,'26'!$AF$37:$AF$42,1)/COUNTIFS('26'!$AG$37:$AG$42,$AK12,'26'!$AF$37:$AF$42,1))</f>
        <v>100</v>
      </c>
      <c r="BV12" s="66">
        <f>IF(COUNTIFS('27'!$AG$42:$AG$47,$AK12,'27'!$AF$42:$AF$47,1)=0,"",SUMIFS('27'!$AC$42:$AC$47,'27'!$AG$42:$AG$47,$AK12,'27'!$AF$42:$AF$47,1)/COUNTIFS('27'!$AG$42:$AG$47,$AK12,'27'!$AF$42:$AF$47,1))</f>
        <v>97</v>
      </c>
      <c r="BW12" s="66">
        <f>IF(COUNTIFS('28'!$AG$37:$AG$42,$AK12,'28'!$AF$37:$AF$42,1)=0,"",SUMIFS('28'!$AC$37:$AC$42,'28'!$AG$37:$AG$42,$AK12,'28'!$AF$37:$AF$42,1)/COUNTIFS('28'!$AG$37:$AG$42,$AK12,'28'!$AF$37:$AF$42,1))</f>
        <v>100</v>
      </c>
      <c r="BX12" s="66">
        <f>IF(COUNTIFS('29'!$AG$41:$AG$46,$AK12,'29'!$AF$41:$AF$46,1)=0,"",SUMIFS('29'!$AC$41:$AC$46,'29'!$AG$41:$AG$46,$AK12,'29'!$AF$41:$AF$46,1)/COUNTIFS('29'!$AG$41:$AG$46,$AK12,'29'!$AF$41:$AF$46,1))</f>
        <v>100</v>
      </c>
      <c r="BY12" s="66" t="str">
        <f>IF(COUNTIFS('30'!$AG$33:$AG$38,$AK12,'30'!$AF$33:$AF$38,1)=0,"",SUMIFS('30'!$AC$33:$AC$38,'30'!$AG$33:$AG$38,$AK12,'30'!$AF$33:$AF$38,1)/COUNTIFS('30'!$AG$33:$AG$38,$AK12,'30'!$AF$33:$AF$38,1))</f>
        <v/>
      </c>
      <c r="BZ12" s="66">
        <f>IF(COUNTIFS('31'!$AG$56:$AG$61,$AK12,'31'!$AF$56:$AF$61,1)=0,"",SUMIFS('31'!$AC$56:$AC$61,'31'!$AG$56:$AG$61,$AK12,'31'!$AF$56:$AF$61,1)/COUNTIFS('31'!$AG$56:$AG$61,$AK12,'31'!$AF$56:$AF$61,1))</f>
        <v>100</v>
      </c>
    </row>
    <row r="13">
      <c r="A13" s="141">
        <f>IF(LARGE($Y$5:$Y$17,8)=0,"",8)</f>
        <v>8</v>
      </c>
      <c r="B13" s="141" t="str">
        <f t="shared" si="7"/>
        <v>Pas Foto</v>
      </c>
      <c r="C13" s="141">
        <f t="shared" si="8"/>
        <v>12</v>
      </c>
      <c r="D13" s="142">
        <f t="shared" si="9"/>
        <v>0.02474226804</v>
      </c>
      <c r="E13" s="142">
        <f t="shared" si="10"/>
        <v>0.9690721649</v>
      </c>
      <c r="X13" s="66" t="s">
        <v>157</v>
      </c>
      <c r="Y13" s="66">
        <f>COUNTIF('1'!$D$4:$D$21,X13)+COUNTIF('2'!$D$4:$D$21,X13)+COUNTIF('3'!$D$4:$D$21,X13)+COUNTIF('4'!$D$4:$D$22,X13)+COUNTIF('5'!$D$4:$D$22,X13)+COUNTIF('6'!$D$4:$D$21,X13)+COUNTIF('7'!$D$4:$D$21,X13)+COUNTIF('8'!$D$4:$D$24,X13)+COUNTIF('9'!$D$4:$D$21,X13)+COUNTIF('10'!$D$4:$D$21,X13)+COUNTIF('11'!$D$4:$D$25,X13)+COUNTIF('12'!$D$4:$D$25,X13)+COUNTIF('13'!$D$4:$D$22,X13)+COUNTIF('14'!$D$4:$D$28,X13)+COUNTIF('15'!$D$4:$D$27,X13)+COUNTIF('16'!$D$4:$D$23,X13)+COUNTIF('17'!$D$4:$D$28,X13)+COUNTIF('18'!$D$4:$D$28,X13)+COUNTIF('19'!$D$4:$D$21,X13)+COUNTIF('20'!$D$4:$D$26,X13)+COUNTIF('21'!$D$4:$D$21,X13)+COUNTIF('22'!$D$4:$D$27,X13)+COUNTIF('23'!$D$4:$D$37,X13)+COUNTIF('24'!$D$4:$D$30,X13)+COUNTIF('25'!$D$4:$D$24,X13)+COUNTIF('26'!$D$4:$D$28,X13)+COUNTIF('27'!$D$4:$D$33,X13)+COUNTIF('28'!$D$4:$D$28,X13)+COUNTIF('29'!$D$4:$D$32,X13)+COUNTIF('30'!$D$4:$D$24,X13)+COUNTIF('31'!$D$4:$D$45,X13)</f>
        <v>3</v>
      </c>
      <c r="Z13" s="66">
        <f t="shared" si="1"/>
        <v>3.00005</v>
      </c>
      <c r="AA13" s="66" t="s">
        <v>597</v>
      </c>
      <c r="AB13" s="66" t="s">
        <v>603</v>
      </c>
      <c r="AC13" s="66">
        <f>COUNTIF('1'!$O$23:$O$26,AA13)+COUNTIF('2'!$O$23:$O$26,AA13)+COUNTIF('3'!$O$23:$O$26,AA13)+COUNTIF('4'!$O$24:$O$27,AA13)+COUNTIF('5'!$O$24:$O$27,AA13)+COUNTIF('6'!$O$23:$O$26,AA13)+COUNTIF('7'!$O$23:$O$26,AA13)+COUNTIF('8'!$O$26:$O$29,AA13)+COUNTIF('9'!$O$23:$O$26,AA13)+COUNTIF('10'!$O$23:$O$26,AA13)+COUNTIF('11'!$O$27:$O$30,AA13)+COUNTIF('12'!$O$27:$O$30,AA13)+COUNTIF('13'!$O$24:$O$27,AA13)+COUNTIF('14'!$O$30:$O$33,AA13)+COUNTIF('15'!$O$29:$O$32,AA13)+COUNTIF('16'!$O$25:$O$28,AA13)+COUNTIF('17'!$O$30:$O$33,AA13)+COUNTIF('18'!$O$30:$O$33,AA13)+COUNTIF('19'!$O$23:$O$26,AA13)+COUNTIF('20'!$O$28:$O$31,AA13)+COUNTIF('21'!$O$23:$O$26,AA13)+COUNTIF('22'!$O$29:$O$32,AA13)+COUNTIF('23'!$O$39:$O$42,AA13)+COUNTIF('24'!$O$32:$O$35,AA13)+COUNTIF('25'!$O$26:$O$29,AA13)+COUNTIF('26'!$O$30:$O$33,AA13)+COUNTIF('27'!$O$35:$O$38,AA13)+COUNTIF('28'!$O$30:$O$33,AA13)+COUNTIF('29'!$O$34:$O$37,AA13)+COUNTIF('30'!$O$26:$O$29,AA13)+COUNTIF('31'!$O$47:$O$50,AA13)</f>
        <v>0</v>
      </c>
      <c r="AD13" s="66">
        <f t="shared" si="2"/>
        <v>0.00003</v>
      </c>
      <c r="AK13" s="66" t="s">
        <v>597</v>
      </c>
      <c r="AL13" s="66" t="s">
        <v>603</v>
      </c>
      <c r="AM13" s="66">
        <f>COUNTIFS('1'!$AG$30:$AG$35,AK13,'1'!$AF$30:$AF$35,1)+COUNTIFS('2'!$AG$30:$AG$35,AK13,'2'!$AF$30:$AF$35,1)+COUNTIFS('3'!$AG$30:$AG$35,AK13,'3'!$AF$30:$AF$35,1)+COUNTIFS('4'!$AG$31:$AG$36,AK13,'4'!$AF$31:$AF$36,1)+COUNTIFS('5'!$AG$31:$AG$36,AK13,'5'!$AF$31:$AF$36,1)+COUNTIFS('6'!$AG$30:$AG$35,AK13,'6'!$AF$30:$AF$35,1)+COUNTIFS('7'!$AG$30:$AG$35,AK13,'7'!$AF$30:$AF$35,1)+COUNTIFS('8'!$AG$33:$AG$38,AK13,'8'!$AF$33:$AF$38,1)+COUNTIFS('9'!$AG$30:$AG$35,AK13,'9'!$AF$30:$AF$35,1)+COUNTIFS('10'!$AG$30:$AG$35,AK13,'10'!$AF$30:$AF$35,1)+COUNTIFS('11'!$AG$34:$AG$39,AK13,'11'!$AF$34:$AF$39,1)+COUNTIFS('12'!$AG$34:$AG$39,AK13,'12'!$AF$34:$AF$39,1)+COUNTIFS('13'!$AG$31:$AG$36,AK13,'13'!$AF$31:$AF$36,1)+COUNTIFS('14'!$AG$37:$AG$42,AK13,'14'!$AF$37:$AF$42,1)+COUNTIFS('15'!$AG$36:$AG$41,AK13,'15'!$AF$36:$AF$41,1)+COUNTIFS('16'!$AG$32:$AG$37,AK13,'16'!$AF$32:$AF$37,1)+COUNTIFS('17'!$AG$37:$AG$42,AK13,'17'!$AF$37:$AF$42,1)+COUNTIFS('18'!$AG$37:$AG$42,AK13,'18'!$AF$37:$AF$42,1)+COUNTIFS('19'!$AG$30:$AG$35,AK13,'19'!$AF$30:$AF$35,1)+COUNTIFS('20'!$AG$35:$AG$40,AK13,'20'!$AF$35:$AF$40,1)+COUNTIFS('21'!$AG$30:$AG$35,AK13,'21'!$AF$30:$AF$35,1)+COUNTIFS('22'!$AG$36:$AG$41,AK13,'22'!$AF$36:$AF$41,1)+COUNTIFS('23'!$AG$46:$AG$51,AK13,'23'!$AF$46:$AF$51,1)+COUNTIFS('24'!$AG$39:$AG$44,AK13,'24'!$AF$39:$AF$44,1)+COUNTIFS('25'!$AG$33:$AG$38,AK13,'25'!$AF$33:$AF$38,1)+COUNTIFS('26'!$AG$37:$AG$42,AK13,'26'!$AF$37:$AF$42,1)+COUNTIFS('27'!$AG$42:$AG$47,AK13,'27'!$AF$42:$AF$47,1)+COUNTIFS('28'!$AG$37:$AG$42,AK13,'28'!$AF$37:$AF$42,1)+COUNTIFS('29'!$AG$41:$AG$46,AK13,'29'!$AF$41:$AF$46,1)+COUNTIFS('30'!$AG$33:$AG$38,AK13,'30'!$AF$33:$AF$38,1)+COUNTIFS('31'!$AG$56:$AG$61,AK13,'31'!$AF$56:$AF$61,1)</f>
        <v>0</v>
      </c>
      <c r="AN13" s="66" t="str">
        <f t="shared" si="5"/>
        <v/>
      </c>
      <c r="AO13" s="66" t="str">
        <f>IF(AM13=0,"",(SUMIFS('1'!$L$30:$L$35,'1'!$AG$30:$AG$35,AK13,'1'!$AF$30:$AF$35,1)+SUMIFS('2'!$L$30:$L$35,'2'!$AG$30:$AG$35,AK13,'2'!$AF$30:$AF$35,1)+SUMIFS('3'!$L$30:$L$35,'3'!$AG$30:$AG$35,AK13,'3'!$AF$30:$AF$35,1)+SUMIFS('4'!$L$31:$L$36,'4'!$AG$31:$AG$36,AK13,'4'!$AF$31:$AF$36,1)+SUMIFS('5'!$L$31:$L$36,'5'!$AG$31:$AG$36,AK13,'5'!$AF$31:$AF$36,1)+SUMIFS('6'!$L$30:$L$35,'6'!$AG$30:$AG$35,AK13,'6'!$AF$30:$AF$35,1)+SUMIFS('7'!$L$30:$L$35,'7'!$AG$30:$AG$35,AK13,'7'!$AF$30:$AF$35,1)+SUMIFS('8'!$L$33:$L$38,'8'!$AG$33:$AG$38,AK13,'8'!$AF$33:$AF$38,1)+SUMIFS('9'!$L$30:$L$35,'9'!$AG$30:$AG$35,AK13,'9'!$AF$30:$AF$35,1)+SUMIFS('10'!$L$30:$L$35,'10'!$AG$30:$AG$35,AK13,'10'!$AF$30:$AF$35,1)+SUMIFS('11'!$L$34:$L$39,'11'!$AG$34:$AG$39,AK13,'11'!$AF$34:$AF$39,1)+SUMIFS('12'!$L$34:$L$39,'12'!$AG$34:$AG$39,AK13,'12'!$AF$34:$AF$39,1)+SUMIFS('13'!$L$31:$L$36,'13'!$AG$31:$AG$36,AK13,'13'!$AF$31:$AF$36,1)+SUMIFS('14'!$L$37:$L$42,'14'!$AG$37:$AG$42,AK13,'14'!$AF$37:$AF$42,1)+SUMIFS('15'!$L$36:$L$41,'15'!$AG$36:$AG$41,AK13,'15'!$AF$36:$AF$41,1)+SUMIFS('16'!$L$32:$L$37,'16'!$AG$32:$AG$37,AK13,'16'!$AF$32:$AF$37,1)+SUMIFS('17'!$L$37:$L$42,'17'!$AG$37:$AG$42,AK13,'17'!$AF$37:$AF$42,1)+SUMIFS('18'!$L$37:$L$42,'18'!$AG$37:$AG$42,AK13,'18'!$AF$37:$AF$42,1)+SUMIFS('19'!$L$30:$L$35,'19'!$AG$30:$AG$35,AK13,'19'!$AF$30:$AF$35,1)+SUMIFS('20'!$L$35:$L$40,'20'!$AG$35:$AG$40,AK13,'20'!$AF$35:$AF$40,1)+SUMIFS('21'!$L$30:$L$35,'21'!$AG$30:$AG$35,AK13,'21'!$AF$30:$AF$35,1)+SUMIFS('22'!$L$36:$L$41,'22'!$AG$36:$AG$41,AK13,'22'!$AF$36:$AF$41,1)+SUMIFS('23'!$L$46:$L$51,'23'!$AG$46:$AG$51,AK13,'23'!$AF$46:$AF$51,1)+SUMIFS('24'!$L$39:$L$44,'24'!$AG$39:$AG$44,AK13,'24'!$AF$39:$AF$44,1)+SUMIFS('25'!$L$33:$L$38,'25'!$AG$33:$AG$38,AK13,'25'!$AF$33:$AF$38,1)+SUMIFS('26'!$L$37:$L$42,'26'!$AG$37:$AG$42,AK13,'26'!$AF$37:$AF$42,1)+SUMIFS('27'!$L$42:$L$47,'27'!$AG$42:$AG$47,AK13,'27'!$AF$42:$AF$47,1)+SUMIFS('28'!$L$37:$L$42,'28'!$AG$37:$AG$42,AK13,'28'!$AF$37:$AF$42,1)+SUMIFS('29'!$L$41:$L$46,'29'!$AG$41:$AG$46,AK13,'29'!$AF$41:$AF$46,1)+SUMIFS('30'!$L$33:$L$38,'30'!$AG$33:$AG$38,AK13,'30'!$AF$33:$AF$38,1)+SUMIFS('31'!$L$56:$L$61,'31'!$AG$56:$AG$61,AK13,'31'!$AF$56:$AF$61,1))/AM13)</f>
        <v/>
      </c>
      <c r="AP13" s="66" t="str">
        <f>IF(AM13=0,"",(SUMIFS('1'!$M$30:$M$35,'1'!$AG$30:$AG$35,AK13,'1'!$AF$30:$AF$35,1)+SUMIFS('2'!$M$30:$M$35,'2'!$AG$30:$AG$35,AK13,'2'!$AF$30:$AF$35,1)+SUMIFS('3'!$M$30:$M$35,'3'!$AG$30:$AG$35,AK13,'3'!$AF$30:$AF$35,1)+SUMIFS('4'!$M$31:$M$36,'4'!$AG$31:$AG$36,AK13,'4'!$AF$31:$AF$36,1)+SUMIFS('5'!$M$31:$M$36,'5'!$AG$31:$AG$36,AK13,'5'!$AF$31:$AF$36,1)+SUMIFS('6'!$M$30:$M$35,'6'!$AG$30:$AG$35,AK13,'6'!$AF$30:$AF$35,1)+SUMIFS('7'!$M$30:$M$35,'7'!$AG$30:$AG$35,AK13,'7'!$AF$30:$AF$35,1)+SUMIFS('8'!$M$33:$M$38,'8'!$AG$33:$AG$38,AK13,'8'!$AF$33:$AF$38,1)+SUMIFS('9'!$M$30:$M$35,'9'!$AG$30:$AG$35,AK13,'9'!$AF$30:$AF$35,1)+SUMIFS('10'!$M$30:$M$35,'10'!$AG$30:$AG$35,AK13,'10'!$AF$30:$AF$35,1)+SUMIFS('11'!$M$34:$M$39,'11'!$AG$34:$AG$39,AK13,'11'!$AF$34:$AF$39,1)+SUMIFS('12'!$M$34:$M$39,'12'!$AG$34:$AG$39,AK13,'12'!$AF$34:$AF$39,1)+SUMIFS('13'!$M$31:$M$36,'13'!$AG$31:$AG$36,AK13,'13'!$AF$31:$AF$36,1)+SUMIFS('14'!$M$37:$M$42,'14'!$AG$37:$AG$42,AK13,'14'!$AF$37:$AF$42,1)+SUMIFS('15'!$M$36:$M$41,'15'!$AG$36:$AG$41,AK13,'15'!$AF$36:$AF$41,1)+SUMIFS('16'!$M$32:$M$37,'16'!$AG$32:$AG$37,AK13,'16'!$AF$32:$AF$37,1)+SUMIFS('17'!$M$37:$M$42,'17'!$AG$37:$AG$42,AK13,'17'!$AF$37:$AF$42,1)+SUMIFS('18'!$M$37:$M$42,'18'!$AG$37:$AG$42,AK13,'18'!$AF$37:$AF$42,1)+SUMIFS('19'!$M$30:$M$35,'19'!$AG$30:$AG$35,AK13,'19'!$AF$30:$AF$35,1)+SUMIFS('20'!$M$35:$M$40,'20'!$AG$35:$AG$40,AK13,'20'!$AF$35:$AF$40,1)+SUMIFS('21'!$M$30:$M$35,'21'!$AG$30:$AG$35,AK13,'21'!$AF$30:$AF$35,1)+SUMIFS('22'!$M$36:$M$41,'22'!$AG$36:$AG$41,AK13,'22'!$AF$36:$AF$41,1)+SUMIFS('23'!$M$46:$M$51,'23'!$AG$46:$AG$51,AK13,'23'!$AF$46:$AF$51,1)+SUMIFS('24'!$M$39:$M$44,'24'!$AG$39:$AG$44,AK13,'24'!$AF$39:$AF$44,1)+SUMIFS('25'!$M$33:$M$38,'25'!$AG$33:$AG$38,AK13,'25'!$AF$33:$AF$38,1)+SUMIFS('26'!$M$37:$M$42,'26'!$AG$37:$AG$42,AK13,'26'!$AF$37:$AF$42,1)+SUMIFS('27'!$M$42:$M$47,'27'!$AG$42:$AG$47,AK13,'27'!$AF$42:$AF$47,1)+SUMIFS('28'!$M$37:$M$42,'28'!$AG$37:$AG$42,AK13,'28'!$AF$37:$AF$42,1)+SUMIFS('29'!$M$41:$M$46,'29'!$AG$41:$AG$46,AK13,'29'!$AF$41:$AF$46,1)+SUMIFS('30'!$M$33:$M$38,'30'!$AG$33:$AG$38,AK13,'30'!$AF$33:$AF$38,1)+SUMIFS('31'!$M$56:$M$61,'31'!$AG$56:$AG$61,AK13,'31'!$AF$56:$AF$61,1))/AM13)</f>
        <v/>
      </c>
      <c r="AQ13" s="66" t="str">
        <f>IF(AM13=0,"",(SUMIFS('1'!$N$30:$N$35,'1'!$AG$30:$AG$35,AK13,'1'!$AF$30:$AF$35,1)+SUMIFS('2'!$N$30:$N$35,'2'!$AG$30:$AG$35,AK13,'2'!$AF$30:$AF$35,1)+SUMIFS('3'!$N$30:$N$35,'3'!$AG$30:$AG$35,AK13,'3'!$AF$30:$AF$35,1)+SUMIFS('4'!$N$31:$N$36,'4'!$AG$31:$AG$36,AK13,'4'!$AF$31:$AF$36,1)+SUMIFS('5'!$N$31:$N$36,'5'!$AG$31:$AG$36,AK13,'5'!$AF$31:$AF$36,1)+SUMIFS('6'!$N$30:$N$35,'6'!$AG$30:$AG$35,AK13,'6'!$AF$30:$AF$35,1)+SUMIFS('7'!$N$30:$N$35,'7'!$AG$30:$AG$35,AK13,'7'!$AF$30:$AF$35,1)+SUMIFS('8'!$N$33:$N$38,'8'!$AG$33:$AG$38,AK13,'8'!$AF$33:$AF$38,1)+SUMIFS('9'!$N$30:$N$35,'9'!$AG$30:$AG$35,AK13,'9'!$AF$30:$AF$35,1)+SUMIFS('10'!$N$30:$N$35,'10'!$AG$30:$AG$35,AK13,'10'!$AF$30:$AF$35,1)+SUMIFS('11'!$N$34:$N$39,'11'!$AG$34:$AG$39,AK13,'11'!$AF$34:$AF$39,1)+SUMIFS('12'!$N$34:$N$39,'12'!$AG$34:$AG$39,AK13,'12'!$AF$34:$AF$39,1)+SUMIFS('13'!$N$31:$N$36,'13'!$AG$31:$AG$36,AK13,'13'!$AF$31:$AF$36,1)+SUMIFS('14'!$N$37:$N$42,'14'!$AG$37:$AG$42,AK13,'14'!$AF$37:$AF$42,1)+SUMIFS('15'!$N$36:$N$41,'15'!$AG$36:$AG$41,AK13,'15'!$AF$36:$AF$41,1)+SUMIFS('16'!$N$32:$N$37,'16'!$AG$32:$AG$37,AK13,'16'!$AF$32:$AF$37,1)+SUMIFS('17'!$N$37:$N$42,'17'!$AG$37:$AG$42,AK13,'17'!$AF$37:$AF$42,1)+SUMIFS('18'!$N$37:$N$42,'18'!$AG$37:$AG$42,AK13,'18'!$AF$37:$AF$42,1)+SUMIFS('19'!$N$30:$N$35,'19'!$AG$30:$AG$35,AK13,'19'!$AF$30:$AF$35,1)+SUMIFS('20'!$N$35:$N$40,'20'!$AG$35:$AG$40,AK13,'20'!$AF$35:$AF$40,1)+SUMIFS('21'!$N$30:$N$35,'21'!$AG$30:$AG$35,AK13,'21'!$AF$30:$AF$35,1)+SUMIFS('22'!$N$36:$N$41,'22'!$AG$36:$AG$41,AK13,'22'!$AF$36:$AF$41,1)+SUMIFS('23'!$N$46:$N$51,'23'!$AG$46:$AG$51,AK13,'23'!$AF$46:$AF$51,1)+SUMIFS('24'!$N$39:$N$44,'24'!$AG$39:$AG$44,AK13,'24'!$AF$39:$AF$44,1)+SUMIFS('25'!$N$33:$N$38,'25'!$AG$33:$AG$38,AK13,'25'!$AF$33:$AF$38,1)+SUMIFS('26'!$N$37:$N$42,'26'!$AG$37:$AG$42,AK13,'26'!$AF$37:$AF$42,1)+SUMIFS('27'!$N$42:$N$47,'27'!$AG$42:$AG$47,AK13,'27'!$AF$42:$AF$47,1)+SUMIFS('28'!$N$37:$N$42,'28'!$AG$37:$AG$42,AK13,'28'!$AF$37:$AF$42,1)+SUMIFS('29'!$N$41:$N$46,'29'!$AG$41:$AG$46,AK13,'29'!$AF$41:$AF$46,1)+SUMIFS('30'!$N$33:$N$38,'30'!$AG$33:$AG$38,AK13,'30'!$AF$33:$AF$38,1)+SUMIFS('31'!$N$56:$N$61,'31'!$AG$56:$AG$61,AK13,'31'!$AF$56:$AF$61,1))/AM13)</f>
        <v/>
      </c>
      <c r="AR13" s="66" t="str">
        <f>IF(AM13=0,"",(SUMIFS('1'!$O$30:$O$35,'1'!$AG$30:$AG$35,AK13,'1'!$AF$30:$AF$35,1)+SUMIFS('2'!$O$30:$O$35,'2'!$AG$30:$AG$35,AK13,'2'!$AF$30:$AF$35,1)+SUMIFS('3'!$O$30:$O$35,'3'!$AG$30:$AG$35,AK13,'3'!$AF$30:$AF$35,1)+SUMIFS('4'!$O$31:$O$36,'4'!$AG$31:$AG$36,AK13,'4'!$AF$31:$AF$36,1)+SUMIFS('5'!$O$31:$O$36,'5'!$AG$31:$AG$36,AK13,'5'!$AF$31:$AF$36,1)+SUMIFS('6'!$O$30:$O$35,'6'!$AG$30:$AG$35,AK13,'6'!$AF$30:$AF$35,1)+SUMIFS('7'!$O$30:$O$35,'7'!$AG$30:$AG$35,AK13,'7'!$AF$30:$AF$35,1)+SUMIFS('8'!$O$33:$O$38,'8'!$AG$33:$AG$38,AK13,'8'!$AF$33:$AF$38,1)+SUMIFS('9'!$O$30:$O$35,'9'!$AG$30:$AG$35,AK13,'9'!$AF$30:$AF$35,1)+SUMIFS('10'!$O$30:$O$35,'10'!$AG$30:$AG$35,AK13,'10'!$AF$30:$AF$35,1)+SUMIFS('11'!$O$34:$O$39,'11'!$AG$34:$AG$39,AK13,'11'!$AF$34:$AF$39,1)+SUMIFS('12'!$O$34:$O$39,'12'!$AG$34:$AG$39,AK13,'12'!$AF$34:$AF$39,1)+SUMIFS('13'!$O$31:$O$36,'13'!$AG$31:$AG$36,AK13,'13'!$AF$31:$AF$36,1)+SUMIFS('14'!$O$37:$O$42,'14'!$AG$37:$AG$42,AK13,'14'!$AF$37:$AF$42,1)+SUMIFS('15'!$O$36:$O$41,'15'!$AG$36:$AG$41,AK13,'15'!$AF$36:$AF$41,1)+SUMIFS('16'!$O$32:$O$37,'16'!$AG$32:$AG$37,AK13,'16'!$AF$32:$AF$37,1)+SUMIFS('17'!$O$37:$O$42,'17'!$AG$37:$AG$42,AK13,'17'!$AF$37:$AF$42,1)+SUMIFS('18'!$O$37:$O$42,'18'!$AG$37:$AG$42,AK13,'18'!$AF$37:$AF$42,1)+SUMIFS('19'!$O$30:$O$35,'19'!$AG$30:$AG$35,AK13,'19'!$AF$30:$AF$35,1)+SUMIFS('20'!$O$35:$O$40,'20'!$AG$35:$AG$40,AK13,'20'!$AF$35:$AF$40,1)+SUMIFS('21'!$O$30:$O$35,'21'!$AG$30:$AG$35,AK13,'21'!$AF$30:$AF$35,1)+SUMIFS('22'!$O$36:$O$41,'22'!$AG$36:$AG$41,AK13,'22'!$AF$36:$AF$41,1)+SUMIFS('23'!$O$46:$O$51,'23'!$AG$46:$AG$51,AK13,'23'!$AF$46:$AF$51,1)+SUMIFS('24'!$O$39:$O$44,'24'!$AG$39:$AG$44,AK13,'24'!$AF$39:$AF$44,1)+SUMIFS('25'!$O$33:$O$38,'25'!$AG$33:$AG$38,AK13,'25'!$AF$33:$AF$38,1)+SUMIFS('26'!$O$37:$O$42,'26'!$AG$37:$AG$42,AK13,'26'!$AF$37:$AF$42,1)+SUMIFS('27'!$O$42:$O$47,'27'!$AG$42:$AG$47,AK13,'27'!$AF$42:$AF$47,1)+SUMIFS('28'!$O$37:$O$42,'28'!$AG$37:$AG$42,AK13,'28'!$AF$37:$AF$42,1)+SUMIFS('29'!$O$41:$O$46,'29'!$AG$41:$AG$46,AK13,'29'!$AF$41:$AF$46,1)+SUMIFS('30'!$O$33:$O$38,'30'!$AG$33:$AG$38,AK13,'30'!$AF$33:$AF$38,1)+SUMIFS('31'!$O$56:$O$61,'31'!$AG$56:$AG$61,AK13,'31'!$AF$56:$AF$61,1))/AM13)</f>
        <v/>
      </c>
      <c r="AS13" s="66" t="str">
        <f>IF(AM13=0,"",(SUMIFS('1'!$P$30:$P$35,'1'!$AG$30:$AG$35,AK13,'1'!$AF$30:$AF$35,1)+SUMIFS('2'!$P$30:$P$35,'2'!$AG$30:$AG$35,AK13,'2'!$AF$30:$AF$35,1)+SUMIFS('3'!$P$30:$P$35,'3'!$AG$30:$AG$35,AK13,'3'!$AF$30:$AF$35,1)+SUMIFS('4'!$P$31:$P$36,'4'!$AG$31:$AG$36,AK13,'4'!$AF$31:$AF$36,1)+SUMIFS('5'!$P$31:$P$36,'5'!$AG$31:$AG$36,AK13,'5'!$AF$31:$AF$36,1)+SUMIFS('6'!$P$30:$P$35,'6'!$AG$30:$AG$35,AK13,'6'!$AF$30:$AF$35,1)+SUMIFS('7'!$P$30:$P$35,'7'!$AG$30:$AG$35,AK13,'7'!$AF$30:$AF$35,1)+SUMIFS('8'!$P$33:$P$38,'8'!$AG$33:$AG$38,AK13,'8'!$AF$33:$AF$38,1)+SUMIFS('9'!$P$30:$P$35,'9'!$AG$30:$AG$35,AK13,'9'!$AF$30:$AF$35,1)+SUMIFS('10'!$P$30:$P$35,'10'!$AG$30:$AG$35,AK13,'10'!$AF$30:$AF$35,1)+SUMIFS('11'!$P$34:$P$39,'11'!$AG$34:$AG$39,AK13,'11'!$AF$34:$AF$39,1)+SUMIFS('12'!$P$34:$P$39,'12'!$AG$34:$AG$39,AK13,'12'!$AF$34:$AF$39,1)+SUMIFS('13'!$P$31:$P$36,'13'!$AG$31:$AG$36,AK13,'13'!$AF$31:$AF$36,1)+SUMIFS('14'!$P$37:$P$42,'14'!$AG$37:$AG$42,AK13,'14'!$AF$37:$AF$42,1)+SUMIFS('15'!$P$36:$P$41,'15'!$AG$36:$AG$41,AK13,'15'!$AF$36:$AF$41,1)+SUMIFS('16'!$P$32:$P$37,'16'!$AG$32:$AG$37,AK13,'16'!$AF$32:$AF$37,1)+SUMIFS('17'!$P$37:$P$42,'17'!$AG$37:$AG$42,AK13,'17'!$AF$37:$AF$42,1)+SUMIFS('18'!$P$37:$P$42,'18'!$AG$37:$AG$42,AK13,'18'!$AF$37:$AF$42,1)+SUMIFS('19'!$P$30:$P$35,'19'!$AG$30:$AG$35,AK13,'19'!$AF$30:$AF$35,1)+SUMIFS('20'!$P$35:$P$40,'20'!$AG$35:$AG$40,AK13,'20'!$AF$35:$AF$40,1)+SUMIFS('21'!$P$30:$P$35,'21'!$AG$30:$AG$35,AK13,'21'!$AF$30:$AF$35,1)+SUMIFS('22'!$P$36:$P$41,'22'!$AG$36:$AG$41,AK13,'22'!$AF$36:$AF$41,1)+SUMIFS('23'!$P$46:$P$51,'23'!$AG$46:$AG$51,AK13,'23'!$AF$46:$AF$51,1)+SUMIFS('24'!$P$39:$P$44,'24'!$AG$39:$AG$44,AK13,'24'!$AF$39:$AF$44,1)+SUMIFS('25'!$P$33:$P$38,'25'!$AG$33:$AG$38,AK13,'25'!$AF$33:$AF$38,1)+SUMIFS('26'!$P$37:$P$42,'26'!$AG$37:$AG$42,AK13,'26'!$AF$37:$AF$42,1)+SUMIFS('27'!$P$42:$P$47,'27'!$AG$42:$AG$47,AK13,'27'!$AF$42:$AF$47,1)+SUMIFS('28'!$P$37:$P$42,'28'!$AG$37:$AG$42,AK13,'28'!$AF$37:$AF$42,1)+SUMIFS('29'!$P$41:$P$46,'29'!$AG$41:$AG$46,AK13,'29'!$AF$41:$AF$46,1)+SUMIFS('30'!$P$33:$P$38,'30'!$AG$33:$AG$38,AK13,'30'!$AF$33:$AF$38,1)+SUMIFS('31'!$P$56:$P$61,'31'!$AG$56:$AG$61,AK13,'31'!$AF$56:$AF$61,1))/AM13)</f>
        <v/>
      </c>
      <c r="AV13" s="66" t="str">
        <f>IF(COUNTIFS('1'!$AG$30:$AG$35,$AK13,'1'!$AF$30:$AF$35,1)=0,"",SUMIFS('1'!$AC$30:$AC$35,'1'!$AG$30:$AG$35,$AK13,'1'!$AF$30:$AF$35,1)/COUNTIFS('1'!$AG$30:$AG$35,$AK13,'1'!$AF$30:$AF$35,1))</f>
        <v/>
      </c>
      <c r="AW13" s="66" t="str">
        <f>IF(COUNTIFS('2'!$AG$30:$AG$35,$AK13,'2'!$AF$30:$AF$35,1)=0,"",SUMIFS('2'!$AC$30:$AC$35,'2'!$AG$30:$AG$35,$AK13,'2'!$AF$30:$AF$35,1)/COUNTIFS('2'!$AG$30:$AG$35,$AK13,'2'!$AF$30:$AF$35,1))</f>
        <v/>
      </c>
      <c r="AX13" s="66" t="str">
        <f>IF(COUNTIFS('3'!$AG$30:$AG$35,$AK13,'3'!$AF$30:$AF$35,1)=0,"",SUMIFS('3'!$AC$30:$AC$35,'3'!$AG$30:$AG$35,$AK13,'3'!$AF$30:$AF$35,1)/COUNTIFS('3'!$AG$30:$AG$35,$AK13,'3'!$AF$30:$AF$35,1))</f>
        <v/>
      </c>
      <c r="AY13" s="66" t="str">
        <f>IF(COUNTIFS('4'!$AG$31:$AG$36,$AK13,'4'!$AF$31:$AF$36,1)=0,"",SUMIFS('4'!$AC$31:$AC$36,'4'!$AG$31:$AG$36,$AK13,'4'!$AF$31:$AF$36,1)/COUNTIFS('4'!$AG$31:$AG$36,$AK13,'4'!$AF$31:$AF$36,1))</f>
        <v/>
      </c>
      <c r="AZ13" s="66" t="str">
        <f>IF(COUNTIFS('5'!$AG$31:$AG$36,$AK13,'5'!$AF$31:$AF$36,1)=0,"",SUMIFS('5'!$AC$31:$AC$36,'5'!$AG$31:$AG$36,$AK13,'5'!$AF$31:$AF$36,1)/COUNTIFS('5'!$AG$31:$AG$36,$AK13,'5'!$AF$31:$AF$36,1))</f>
        <v/>
      </c>
      <c r="BA13" s="66" t="str">
        <f>IF(COUNTIFS('6'!$AG$30:$AG$35,$AK13,'6'!$AF$30:$AF$35,1)=0,"",SUMIFS('6'!$AC$30:$AC$35,'6'!$AG$30:$AG$35,$AK13,'6'!$AF$30:$AF$35,1)/COUNTIFS('6'!$AG$30:$AG$35,$AK13,'6'!$AF$30:$AF$35,1))</f>
        <v/>
      </c>
      <c r="BB13" s="66" t="str">
        <f>IF(COUNTIFS('7'!$AG$30:$AG$35,$AK13,'7'!$AF$30:$AF$35,1)=0,"",SUMIFS('7'!$AC$30:$AC$35,'7'!$AG$30:$AG$35,$AK13,'7'!$AF$30:$AF$35,1)/COUNTIFS('7'!$AG$30:$AG$35,$AK13,'7'!$AF$30:$AF$35,1))</f>
        <v/>
      </c>
      <c r="BC13" s="66" t="str">
        <f>IF(COUNTIFS('8'!$AG$33:$AG$38,$AK13,'8'!$AF$33:$AF$38,1)=0,"",SUMIFS('8'!$AC$33:$AC$38,'8'!$AG$33:$AG$38,$AK13,'8'!$AF$33:$AF$38,1)/COUNTIFS('8'!$AG$33:$AG$38,$AK13,'8'!$AF$33:$AF$38,1))</f>
        <v/>
      </c>
      <c r="BD13" s="66" t="str">
        <f>IF(COUNTIFS('9'!$AG$30:$AG$35,$AK13,'9'!$AF$30:$AF$35,1)=0,"",SUMIFS('9'!$AC$30:$AC$35,'9'!$AG$30:$AG$35,$AK13,'9'!$AF$30:$AF$35,1)/COUNTIFS('9'!$AG$30:$AG$35,$AK13,'9'!$AF$30:$AF$35,1))</f>
        <v/>
      </c>
      <c r="BE13" s="66" t="str">
        <f>IF(COUNTIFS('10'!$AG$30:$AG$35,$AK13,'10'!$AF$30:$AF$35,1)=0,"",SUMIFS('10'!$AC$30:$AC$35,'10'!$AG$30:$AG$35,$AK13,'10'!$AF$30:$AF$35,1)/COUNTIFS('10'!$AG$30:$AG$35,$AK13,'10'!$AF$30:$AF$35,1))</f>
        <v/>
      </c>
      <c r="BF13" s="66" t="str">
        <f>IF(COUNTIFS('11'!$AG$34:$AG$39,$AK13,'11'!$AF$34:$AF$39,1)=0,"",SUMIFS('11'!$AC$34:$AC$39,'11'!$AG$34:$AG$39,$AK13,'11'!$AF$34:$AF$39,1)/COUNTIFS('11'!$AG$34:$AG$39,$AK13,'11'!$AF$34:$AF$39,1))</f>
        <v/>
      </c>
      <c r="BG13" s="66" t="str">
        <f>IF(COUNTIFS('12'!$AG$34:$AG$39,$AK13,'12'!$AF$34:$AF$39,1)=0,"",SUMIFS('12'!$AC$34:$AC$39,'12'!$AG$34:$AG$39,$AK13,'12'!$AF$34:$AF$39,1)/COUNTIFS('12'!$AG$34:$AG$39,$AK13,'12'!$AF$34:$AF$39,1))</f>
        <v/>
      </c>
      <c r="BH13" s="66" t="str">
        <f>IF(COUNTIFS('13'!$AG$31:$AG$36,$AK13,'13'!$AF$31:$AF$36,1)=0,"",SUMIFS('13'!$AC$31:$AC$36,'13'!$AG$31:$AG$36,$AK13,'13'!$AF$31:$AF$36,1)/COUNTIFS('13'!$AG$31:$AG$36,$AK13,'13'!$AF$31:$AF$36,1))</f>
        <v/>
      </c>
      <c r="BI13" s="66" t="str">
        <f>IF(COUNTIFS('14'!$AG$37:$AG$42,$AK13,'14'!$AF$37:$AF$42,1)=0,"",SUMIFS('14'!$AC$37:$AC$42,'14'!$AG$37:$AG$42,$AK13,'14'!$AF$37:$AF$42,1)/COUNTIFS('14'!$AG$37:$AG$42,$AK13,'14'!$AF$37:$AF$42,1))</f>
        <v/>
      </c>
      <c r="BJ13" s="66" t="str">
        <f>IF(COUNTIFS('15'!$AG$36:$AG$41,$AK13,'15'!$AF$36:$AF$41,1)=0,"",SUMIFS('15'!$AC$36:$AC$41,'15'!$AG$36:$AG$41,$AK13,'15'!$AF$36:$AF$41,1)/COUNTIFS('15'!$AG$36:$AG$41,$AK13,'15'!$AF$36:$AF$41,1))</f>
        <v/>
      </c>
      <c r="BK13" s="66" t="str">
        <f>IF(COUNTIFS('16'!$AG$32:$AG$37,$AK13,'16'!$AF$32:$AF$37,1)=0,"",SUMIFS('16'!$AC$32:$AC$37,'16'!$AG$32:$AG$37,$AK13,'16'!$AF$32:$AF$37,1)/COUNTIFS('16'!$AG$32:$AG$37,$AK13,'16'!$AF$32:$AF$37,1))</f>
        <v/>
      </c>
      <c r="BL13" s="66" t="str">
        <f>IF(COUNTIFS('17'!$AG$37:$AG$42,$AK13,'17'!$AF$37:$AF$42,1)=0,"",SUMIFS('17'!$AC$37:$AC$42,'17'!$AG$37:$AG$42,$AK13,'17'!$AF$37:$AF$42,1)/COUNTIFS('17'!$AG$37:$AG$42,$AK13,'17'!$AF$37:$AF$42,1))</f>
        <v/>
      </c>
      <c r="BM13" s="66" t="str">
        <f>IF(COUNTIFS('18'!$AG$37:$AG$42,$AK13,'18'!$AF$37:$AF$42,1)=0,"",SUMIFS('18'!$AC$37:$AC$42,'18'!$AG$37:$AG$42,$AK13,'18'!$AF$37:$AF$42,1)/COUNTIFS('18'!$AG$37:$AG$42,$AK13,'18'!$AF$37:$AF$42,1))</f>
        <v/>
      </c>
      <c r="BN13" s="66" t="str">
        <f>IF(COUNTIFS('19'!$AG$30:$AG$35,$AK13,'19'!$AF$30:$AF$35,1)=0,"",SUMIFS('19'!$AC$30:$AC$35,'19'!$AG$30:$AG$35,$AK13,'19'!$AF$30:$AF$35,1)/COUNTIFS('19'!$AG$30:$AG$35,$AK13,'19'!$AF$30:$AF$35,1))</f>
        <v/>
      </c>
      <c r="BO13" s="66" t="str">
        <f>IF(COUNTIFS('20'!$AG$35:$AG$40,$AK13,'20'!$AF$35:$AF$40,1)=0,"",SUMIFS('20'!$AC$35:$AC$40,'20'!$AG$35:$AG$40,$AK13,'20'!$AF$35:$AF$40,1)/COUNTIFS('20'!$AG$35:$AG$40,$AK13,'20'!$AF$35:$AF$40,1))</f>
        <v/>
      </c>
      <c r="BP13" s="66" t="str">
        <f>IF(COUNTIFS('21'!$AG$30:$AG$35,$AK13,'21'!$AF$30:$AF$35,1)=0,"",SUMIFS('21'!$AC$30:$AC$35,'21'!$AG$30:$AG$35,$AK13,'21'!$AF$30:$AF$35,1)/COUNTIFS('21'!$AG$30:$AG$35,$AK13,'21'!$AF$30:$AF$35,1))</f>
        <v/>
      </c>
      <c r="BQ13" s="66" t="str">
        <f>IF(COUNTIFS('22'!$AG$36:$AG$41,$AK13,'22'!$AF$36:$AF$41,1)=0,"",SUMIFS('22'!$AC$36:$AC$41,'22'!$AG$36:$AG$41,$AK13,'22'!$AF$36:$AF$41,1)/COUNTIFS('22'!$AG$36:$AG$41,$AK13,'22'!$AF$36:$AF$41,1))</f>
        <v/>
      </c>
      <c r="BR13" s="66" t="str">
        <f>IF(COUNTIFS('23'!$AG$46:$AG$51,$AK13,'23'!$AF$46:$AF$51,1)=0,"",SUMIFS('23'!$AC$46:$AC$51,'23'!$AG$46:$AG$51,$AK13,'23'!$AF$46:$AF$51,1)/COUNTIFS('23'!$AG$46:$AG$51,$AK13,'23'!$AF$46:$AF$51,1))</f>
        <v/>
      </c>
      <c r="BS13" s="66" t="str">
        <f>IF(COUNTIFS('24'!$AG$39:$AG$44,$AK13,'24'!$AF$39:$AF$44,1)=0,"",SUMIFS('24'!$AC$39:$AC$44,'24'!$AG$39:$AG$44,$AK13,'24'!$AF$39:$AF$44,1)/COUNTIFS('24'!$AG$39:$AG$44,$AK13,'24'!$AF$39:$AF$44,1))</f>
        <v/>
      </c>
      <c r="BT13" s="66" t="str">
        <f>IF(COUNTIFS('25'!$AG$33:$AG$38,$AK13,'25'!$AF$33:$AF$38,1)=0,"",SUMIFS('25'!$AC$33:$AC$38,'25'!$AG$33:$AG$38,$AK13,'25'!$AF$33:$AF$38,1)/COUNTIFS('25'!$AG$33:$AG$38,$AK13,'25'!$AF$33:$AF$38,1))</f>
        <v/>
      </c>
      <c r="BU13" s="66" t="str">
        <f>IF(COUNTIFS('26'!$AG$37:$AG$42,$AK13,'26'!$AF$37:$AF$42,1)=0,"",SUMIFS('26'!$AC$37:$AC$42,'26'!$AG$37:$AG$42,$AK13,'26'!$AF$37:$AF$42,1)/COUNTIFS('26'!$AG$37:$AG$42,$AK13,'26'!$AF$37:$AF$42,1))</f>
        <v/>
      </c>
      <c r="BV13" s="66" t="str">
        <f>IF(COUNTIFS('27'!$AG$42:$AG$47,$AK13,'27'!$AF$42:$AF$47,1)=0,"",SUMIFS('27'!$AC$42:$AC$47,'27'!$AG$42:$AG$47,$AK13,'27'!$AF$42:$AF$47,1)/COUNTIFS('27'!$AG$42:$AG$47,$AK13,'27'!$AF$42:$AF$47,1))</f>
        <v/>
      </c>
      <c r="BW13" s="66" t="str">
        <f>IF(COUNTIFS('28'!$AG$37:$AG$42,$AK13,'28'!$AF$37:$AF$42,1)=0,"",SUMIFS('28'!$AC$37:$AC$42,'28'!$AG$37:$AG$42,$AK13,'28'!$AF$37:$AF$42,1)/COUNTIFS('28'!$AG$37:$AG$42,$AK13,'28'!$AF$37:$AF$42,1))</f>
        <v/>
      </c>
      <c r="BX13" s="66" t="str">
        <f>IF(COUNTIFS('29'!$AG$41:$AG$46,$AK13,'29'!$AF$41:$AF$46,1)=0,"",SUMIFS('29'!$AC$41:$AC$46,'29'!$AG$41:$AG$46,$AK13,'29'!$AF$41:$AF$46,1)/COUNTIFS('29'!$AG$41:$AG$46,$AK13,'29'!$AF$41:$AF$46,1))</f>
        <v/>
      </c>
      <c r="BY13" s="66" t="str">
        <f>IF(COUNTIFS('30'!$AG$33:$AG$38,$AK13,'30'!$AF$33:$AF$38,1)=0,"",SUMIFS('30'!$AC$33:$AC$38,'30'!$AG$33:$AG$38,$AK13,'30'!$AF$33:$AF$38,1)/COUNTIFS('30'!$AG$33:$AG$38,$AK13,'30'!$AF$33:$AF$38,1))</f>
        <v/>
      </c>
      <c r="BZ13" s="66" t="str">
        <f>IF(COUNTIFS('31'!$AG$56:$AG$61,$AK13,'31'!$AF$56:$AF$61,1)=0,"",SUMIFS('31'!$AC$56:$AC$61,'31'!$AG$56:$AG$61,$AK13,'31'!$AF$56:$AF$61,1)/COUNTIFS('31'!$AG$56:$AG$61,$AK13,'31'!$AF$56:$AF$61,1))</f>
        <v/>
      </c>
    </row>
    <row r="14">
      <c r="A14" s="141">
        <f>IF(LARGE($Y$5:$Y$17,9)=0,"",9)</f>
        <v>9</v>
      </c>
      <c r="B14" s="141" t="str">
        <f t="shared" si="7"/>
        <v>Family B</v>
      </c>
      <c r="C14" s="141">
        <f t="shared" si="8"/>
        <v>7</v>
      </c>
      <c r="D14" s="142">
        <f t="shared" si="9"/>
        <v>0.01443298969</v>
      </c>
      <c r="E14" s="142">
        <f t="shared" si="10"/>
        <v>0.9835051546</v>
      </c>
      <c r="X14" s="66" t="s">
        <v>195</v>
      </c>
      <c r="Y14" s="66">
        <f>COUNTIF('1'!$D$4:$D$21,X14)+COUNTIF('2'!$D$4:$D$21,X14)+COUNTIF('3'!$D$4:$D$21,X14)+COUNTIF('4'!$D$4:$D$22,X14)+COUNTIF('5'!$D$4:$D$22,X14)+COUNTIF('6'!$D$4:$D$21,X14)+COUNTIF('7'!$D$4:$D$21,X14)+COUNTIF('8'!$D$4:$D$24,X14)+COUNTIF('9'!$D$4:$D$21,X14)+COUNTIF('10'!$D$4:$D$21,X14)+COUNTIF('11'!$D$4:$D$25,X14)+COUNTIF('12'!$D$4:$D$25,X14)+COUNTIF('13'!$D$4:$D$22,X14)+COUNTIF('14'!$D$4:$D$28,X14)+COUNTIF('15'!$D$4:$D$27,X14)+COUNTIF('16'!$D$4:$D$23,X14)+COUNTIF('17'!$D$4:$D$28,X14)+COUNTIF('18'!$D$4:$D$28,X14)+COUNTIF('19'!$D$4:$D$21,X14)+COUNTIF('20'!$D$4:$D$26,X14)+COUNTIF('21'!$D$4:$D$21,X14)+COUNTIF('22'!$D$4:$D$27,X14)+COUNTIF('23'!$D$4:$D$37,X14)+COUNTIF('24'!$D$4:$D$30,X14)+COUNTIF('25'!$D$4:$D$24,X14)+COUNTIF('26'!$D$4:$D$28,X14)+COUNTIF('27'!$D$4:$D$33,X14)+COUNTIF('28'!$D$4:$D$28,X14)+COUNTIF('29'!$D$4:$D$32,X14)+COUNTIF('30'!$D$4:$D$24,X14)+COUNTIF('31'!$D$4:$D$45,X14)</f>
        <v>14</v>
      </c>
      <c r="Z14" s="66">
        <f t="shared" si="1"/>
        <v>14.00004</v>
      </c>
      <c r="AA14" s="66" t="s">
        <v>604</v>
      </c>
      <c r="AB14" s="66" t="s">
        <v>603</v>
      </c>
      <c r="AC14" s="66">
        <f>COUNTIF('1'!$O$23:$O$26,AA14)+COUNTIF('2'!$O$23:$O$26,AA14)+COUNTIF('3'!$O$23:$O$26,AA14)+COUNTIF('4'!$O$24:$O$27,AA14)+COUNTIF('5'!$O$24:$O$27,AA14)+COUNTIF('6'!$O$23:$O$26,AA14)+COUNTIF('7'!$O$23:$O$26,AA14)+COUNTIF('8'!$O$26:$O$29,AA14)+COUNTIF('9'!$O$23:$O$26,AA14)+COUNTIF('10'!$O$23:$O$26,AA14)+COUNTIF('11'!$O$27:$O$30,AA14)+COUNTIF('12'!$O$27:$O$30,AA14)+COUNTIF('13'!$O$24:$O$27,AA14)+COUNTIF('14'!$O$30:$O$33,AA14)+COUNTIF('15'!$O$29:$O$32,AA14)+COUNTIF('16'!$O$25:$O$28,AA14)+COUNTIF('17'!$O$30:$O$33,AA14)+COUNTIF('18'!$O$30:$O$33,AA14)+COUNTIF('19'!$O$23:$O$26,AA14)+COUNTIF('20'!$O$28:$O$31,AA14)+COUNTIF('21'!$O$23:$O$26,AA14)+COUNTIF('22'!$O$29:$O$32,AA14)+COUNTIF('23'!$O$39:$O$42,AA14)+COUNTIF('24'!$O$32:$O$35,AA14)+COUNTIF('25'!$O$26:$O$29,AA14)+COUNTIF('26'!$O$30:$O$33,AA14)+COUNTIF('27'!$O$35:$O$38,AA14)+COUNTIF('28'!$O$30:$O$33,AA14)+COUNTIF('29'!$O$34:$O$37,AA14)+COUNTIF('30'!$O$26:$O$29,AA14)+COUNTIF('31'!$O$47:$O$50,AA14)</f>
        <v>0</v>
      </c>
      <c r="AD14" s="66">
        <f t="shared" si="2"/>
        <v>0.00002</v>
      </c>
      <c r="AK14" s="66" t="s">
        <v>604</v>
      </c>
      <c r="AL14" s="66" t="s">
        <v>603</v>
      </c>
      <c r="AM14" s="66">
        <f>COUNTIFS('1'!$AG$30:$AG$35,AK14,'1'!$AF$30:$AF$35,1)+COUNTIFS('2'!$AG$30:$AG$35,AK14,'2'!$AF$30:$AF$35,1)+COUNTIFS('3'!$AG$30:$AG$35,AK14,'3'!$AF$30:$AF$35,1)+COUNTIFS('4'!$AG$31:$AG$36,AK14,'4'!$AF$31:$AF$36,1)+COUNTIFS('5'!$AG$31:$AG$36,AK14,'5'!$AF$31:$AF$36,1)+COUNTIFS('6'!$AG$30:$AG$35,AK14,'6'!$AF$30:$AF$35,1)+COUNTIFS('7'!$AG$30:$AG$35,AK14,'7'!$AF$30:$AF$35,1)+COUNTIFS('8'!$AG$33:$AG$38,AK14,'8'!$AF$33:$AF$38,1)+COUNTIFS('9'!$AG$30:$AG$35,AK14,'9'!$AF$30:$AF$35,1)+COUNTIFS('10'!$AG$30:$AG$35,AK14,'10'!$AF$30:$AF$35,1)+COUNTIFS('11'!$AG$34:$AG$39,AK14,'11'!$AF$34:$AF$39,1)+COUNTIFS('12'!$AG$34:$AG$39,AK14,'12'!$AF$34:$AF$39,1)+COUNTIFS('13'!$AG$31:$AG$36,AK14,'13'!$AF$31:$AF$36,1)+COUNTIFS('14'!$AG$37:$AG$42,AK14,'14'!$AF$37:$AF$42,1)+COUNTIFS('15'!$AG$36:$AG$41,AK14,'15'!$AF$36:$AF$41,1)+COUNTIFS('16'!$AG$32:$AG$37,AK14,'16'!$AF$32:$AF$37,1)+COUNTIFS('17'!$AG$37:$AG$42,AK14,'17'!$AF$37:$AF$42,1)+COUNTIFS('18'!$AG$37:$AG$42,AK14,'18'!$AF$37:$AF$42,1)+COUNTIFS('19'!$AG$30:$AG$35,AK14,'19'!$AF$30:$AF$35,1)+COUNTIFS('20'!$AG$35:$AG$40,AK14,'20'!$AF$35:$AF$40,1)+COUNTIFS('21'!$AG$30:$AG$35,AK14,'21'!$AF$30:$AF$35,1)+COUNTIFS('22'!$AG$36:$AG$41,AK14,'22'!$AF$36:$AF$41,1)+COUNTIFS('23'!$AG$46:$AG$51,AK14,'23'!$AF$46:$AF$51,1)+COUNTIFS('24'!$AG$39:$AG$44,AK14,'24'!$AF$39:$AF$44,1)+COUNTIFS('25'!$AG$33:$AG$38,AK14,'25'!$AF$33:$AF$38,1)+COUNTIFS('26'!$AG$37:$AG$42,AK14,'26'!$AF$37:$AF$42,1)+COUNTIFS('27'!$AG$42:$AG$47,AK14,'27'!$AF$42:$AF$47,1)+COUNTIFS('28'!$AG$37:$AG$42,AK14,'28'!$AF$37:$AF$42,1)+COUNTIFS('29'!$AG$41:$AG$46,AK14,'29'!$AF$41:$AF$46,1)+COUNTIFS('30'!$AG$33:$AG$38,AK14,'30'!$AF$33:$AF$38,1)+COUNTIFS('31'!$AG$56:$AG$61,AK14,'31'!$AF$56:$AF$61,1)</f>
        <v>0</v>
      </c>
      <c r="AN14" s="66" t="str">
        <f t="shared" si="5"/>
        <v/>
      </c>
      <c r="AO14" s="66" t="str">
        <f>IF(AM14=0,"",(SUMIFS('1'!$L$30:$L$35,'1'!$AG$30:$AG$35,AK14,'1'!$AF$30:$AF$35,1)+SUMIFS('2'!$L$30:$L$35,'2'!$AG$30:$AG$35,AK14,'2'!$AF$30:$AF$35,1)+SUMIFS('3'!$L$30:$L$35,'3'!$AG$30:$AG$35,AK14,'3'!$AF$30:$AF$35,1)+SUMIFS('4'!$L$31:$L$36,'4'!$AG$31:$AG$36,AK14,'4'!$AF$31:$AF$36,1)+SUMIFS('5'!$L$31:$L$36,'5'!$AG$31:$AG$36,AK14,'5'!$AF$31:$AF$36,1)+SUMIFS('6'!$L$30:$L$35,'6'!$AG$30:$AG$35,AK14,'6'!$AF$30:$AF$35,1)+SUMIFS('7'!$L$30:$L$35,'7'!$AG$30:$AG$35,AK14,'7'!$AF$30:$AF$35,1)+SUMIFS('8'!$L$33:$L$38,'8'!$AG$33:$AG$38,AK14,'8'!$AF$33:$AF$38,1)+SUMIFS('9'!$L$30:$L$35,'9'!$AG$30:$AG$35,AK14,'9'!$AF$30:$AF$35,1)+SUMIFS('10'!$L$30:$L$35,'10'!$AG$30:$AG$35,AK14,'10'!$AF$30:$AF$35,1)+SUMIFS('11'!$L$34:$L$39,'11'!$AG$34:$AG$39,AK14,'11'!$AF$34:$AF$39,1)+SUMIFS('12'!$L$34:$L$39,'12'!$AG$34:$AG$39,AK14,'12'!$AF$34:$AF$39,1)+SUMIFS('13'!$L$31:$L$36,'13'!$AG$31:$AG$36,AK14,'13'!$AF$31:$AF$36,1)+SUMIFS('14'!$L$37:$L$42,'14'!$AG$37:$AG$42,AK14,'14'!$AF$37:$AF$42,1)+SUMIFS('15'!$L$36:$L$41,'15'!$AG$36:$AG$41,AK14,'15'!$AF$36:$AF$41,1)+SUMIFS('16'!$L$32:$L$37,'16'!$AG$32:$AG$37,AK14,'16'!$AF$32:$AF$37,1)+SUMIFS('17'!$L$37:$L$42,'17'!$AG$37:$AG$42,AK14,'17'!$AF$37:$AF$42,1)+SUMIFS('18'!$L$37:$L$42,'18'!$AG$37:$AG$42,AK14,'18'!$AF$37:$AF$42,1)+SUMIFS('19'!$L$30:$L$35,'19'!$AG$30:$AG$35,AK14,'19'!$AF$30:$AF$35,1)+SUMIFS('20'!$L$35:$L$40,'20'!$AG$35:$AG$40,AK14,'20'!$AF$35:$AF$40,1)+SUMIFS('21'!$L$30:$L$35,'21'!$AG$30:$AG$35,AK14,'21'!$AF$30:$AF$35,1)+SUMIFS('22'!$L$36:$L$41,'22'!$AG$36:$AG$41,AK14,'22'!$AF$36:$AF$41,1)+SUMIFS('23'!$L$46:$L$51,'23'!$AG$46:$AG$51,AK14,'23'!$AF$46:$AF$51,1)+SUMIFS('24'!$L$39:$L$44,'24'!$AG$39:$AG$44,AK14,'24'!$AF$39:$AF$44,1)+SUMIFS('25'!$L$33:$L$38,'25'!$AG$33:$AG$38,AK14,'25'!$AF$33:$AF$38,1)+SUMIFS('26'!$L$37:$L$42,'26'!$AG$37:$AG$42,AK14,'26'!$AF$37:$AF$42,1)+SUMIFS('27'!$L$42:$L$47,'27'!$AG$42:$AG$47,AK14,'27'!$AF$42:$AF$47,1)+SUMIFS('28'!$L$37:$L$42,'28'!$AG$37:$AG$42,AK14,'28'!$AF$37:$AF$42,1)+SUMIFS('29'!$L$41:$L$46,'29'!$AG$41:$AG$46,AK14,'29'!$AF$41:$AF$46,1)+SUMIFS('30'!$L$33:$L$38,'30'!$AG$33:$AG$38,AK14,'30'!$AF$33:$AF$38,1)+SUMIFS('31'!$L$56:$L$61,'31'!$AG$56:$AG$61,AK14,'31'!$AF$56:$AF$61,1))/AM14)</f>
        <v/>
      </c>
      <c r="AP14" s="66" t="str">
        <f>IF(AM14=0,"",(SUMIFS('1'!$M$30:$M$35,'1'!$AG$30:$AG$35,AK14,'1'!$AF$30:$AF$35,1)+SUMIFS('2'!$M$30:$M$35,'2'!$AG$30:$AG$35,AK14,'2'!$AF$30:$AF$35,1)+SUMIFS('3'!$M$30:$M$35,'3'!$AG$30:$AG$35,AK14,'3'!$AF$30:$AF$35,1)+SUMIFS('4'!$M$31:$M$36,'4'!$AG$31:$AG$36,AK14,'4'!$AF$31:$AF$36,1)+SUMIFS('5'!$M$31:$M$36,'5'!$AG$31:$AG$36,AK14,'5'!$AF$31:$AF$36,1)+SUMIFS('6'!$M$30:$M$35,'6'!$AG$30:$AG$35,AK14,'6'!$AF$30:$AF$35,1)+SUMIFS('7'!$M$30:$M$35,'7'!$AG$30:$AG$35,AK14,'7'!$AF$30:$AF$35,1)+SUMIFS('8'!$M$33:$M$38,'8'!$AG$33:$AG$38,AK14,'8'!$AF$33:$AF$38,1)+SUMIFS('9'!$M$30:$M$35,'9'!$AG$30:$AG$35,AK14,'9'!$AF$30:$AF$35,1)+SUMIFS('10'!$M$30:$M$35,'10'!$AG$30:$AG$35,AK14,'10'!$AF$30:$AF$35,1)+SUMIFS('11'!$M$34:$M$39,'11'!$AG$34:$AG$39,AK14,'11'!$AF$34:$AF$39,1)+SUMIFS('12'!$M$34:$M$39,'12'!$AG$34:$AG$39,AK14,'12'!$AF$34:$AF$39,1)+SUMIFS('13'!$M$31:$M$36,'13'!$AG$31:$AG$36,AK14,'13'!$AF$31:$AF$36,1)+SUMIFS('14'!$M$37:$M$42,'14'!$AG$37:$AG$42,AK14,'14'!$AF$37:$AF$42,1)+SUMIFS('15'!$M$36:$M$41,'15'!$AG$36:$AG$41,AK14,'15'!$AF$36:$AF$41,1)+SUMIFS('16'!$M$32:$M$37,'16'!$AG$32:$AG$37,AK14,'16'!$AF$32:$AF$37,1)+SUMIFS('17'!$M$37:$M$42,'17'!$AG$37:$AG$42,AK14,'17'!$AF$37:$AF$42,1)+SUMIFS('18'!$M$37:$M$42,'18'!$AG$37:$AG$42,AK14,'18'!$AF$37:$AF$42,1)+SUMIFS('19'!$M$30:$M$35,'19'!$AG$30:$AG$35,AK14,'19'!$AF$30:$AF$35,1)+SUMIFS('20'!$M$35:$M$40,'20'!$AG$35:$AG$40,AK14,'20'!$AF$35:$AF$40,1)+SUMIFS('21'!$M$30:$M$35,'21'!$AG$30:$AG$35,AK14,'21'!$AF$30:$AF$35,1)+SUMIFS('22'!$M$36:$M$41,'22'!$AG$36:$AG$41,AK14,'22'!$AF$36:$AF$41,1)+SUMIFS('23'!$M$46:$M$51,'23'!$AG$46:$AG$51,AK14,'23'!$AF$46:$AF$51,1)+SUMIFS('24'!$M$39:$M$44,'24'!$AG$39:$AG$44,AK14,'24'!$AF$39:$AF$44,1)+SUMIFS('25'!$M$33:$M$38,'25'!$AG$33:$AG$38,AK14,'25'!$AF$33:$AF$38,1)+SUMIFS('26'!$M$37:$M$42,'26'!$AG$37:$AG$42,AK14,'26'!$AF$37:$AF$42,1)+SUMIFS('27'!$M$42:$M$47,'27'!$AG$42:$AG$47,AK14,'27'!$AF$42:$AF$47,1)+SUMIFS('28'!$M$37:$M$42,'28'!$AG$37:$AG$42,AK14,'28'!$AF$37:$AF$42,1)+SUMIFS('29'!$M$41:$M$46,'29'!$AG$41:$AG$46,AK14,'29'!$AF$41:$AF$46,1)+SUMIFS('30'!$M$33:$M$38,'30'!$AG$33:$AG$38,AK14,'30'!$AF$33:$AF$38,1)+SUMIFS('31'!$M$56:$M$61,'31'!$AG$56:$AG$61,AK14,'31'!$AF$56:$AF$61,1))/AM14)</f>
        <v/>
      </c>
      <c r="AQ14" s="66" t="str">
        <f>IF(AM14=0,"",(SUMIFS('1'!$N$30:$N$35,'1'!$AG$30:$AG$35,AK14,'1'!$AF$30:$AF$35,1)+SUMIFS('2'!$N$30:$N$35,'2'!$AG$30:$AG$35,AK14,'2'!$AF$30:$AF$35,1)+SUMIFS('3'!$N$30:$N$35,'3'!$AG$30:$AG$35,AK14,'3'!$AF$30:$AF$35,1)+SUMIFS('4'!$N$31:$N$36,'4'!$AG$31:$AG$36,AK14,'4'!$AF$31:$AF$36,1)+SUMIFS('5'!$N$31:$N$36,'5'!$AG$31:$AG$36,AK14,'5'!$AF$31:$AF$36,1)+SUMIFS('6'!$N$30:$N$35,'6'!$AG$30:$AG$35,AK14,'6'!$AF$30:$AF$35,1)+SUMIFS('7'!$N$30:$N$35,'7'!$AG$30:$AG$35,AK14,'7'!$AF$30:$AF$35,1)+SUMIFS('8'!$N$33:$N$38,'8'!$AG$33:$AG$38,AK14,'8'!$AF$33:$AF$38,1)+SUMIFS('9'!$N$30:$N$35,'9'!$AG$30:$AG$35,AK14,'9'!$AF$30:$AF$35,1)+SUMIFS('10'!$N$30:$N$35,'10'!$AG$30:$AG$35,AK14,'10'!$AF$30:$AF$35,1)+SUMIFS('11'!$N$34:$N$39,'11'!$AG$34:$AG$39,AK14,'11'!$AF$34:$AF$39,1)+SUMIFS('12'!$N$34:$N$39,'12'!$AG$34:$AG$39,AK14,'12'!$AF$34:$AF$39,1)+SUMIFS('13'!$N$31:$N$36,'13'!$AG$31:$AG$36,AK14,'13'!$AF$31:$AF$36,1)+SUMIFS('14'!$N$37:$N$42,'14'!$AG$37:$AG$42,AK14,'14'!$AF$37:$AF$42,1)+SUMIFS('15'!$N$36:$N$41,'15'!$AG$36:$AG$41,AK14,'15'!$AF$36:$AF$41,1)+SUMIFS('16'!$N$32:$N$37,'16'!$AG$32:$AG$37,AK14,'16'!$AF$32:$AF$37,1)+SUMIFS('17'!$N$37:$N$42,'17'!$AG$37:$AG$42,AK14,'17'!$AF$37:$AF$42,1)+SUMIFS('18'!$N$37:$N$42,'18'!$AG$37:$AG$42,AK14,'18'!$AF$37:$AF$42,1)+SUMIFS('19'!$N$30:$N$35,'19'!$AG$30:$AG$35,AK14,'19'!$AF$30:$AF$35,1)+SUMIFS('20'!$N$35:$N$40,'20'!$AG$35:$AG$40,AK14,'20'!$AF$35:$AF$40,1)+SUMIFS('21'!$N$30:$N$35,'21'!$AG$30:$AG$35,AK14,'21'!$AF$30:$AF$35,1)+SUMIFS('22'!$N$36:$N$41,'22'!$AG$36:$AG$41,AK14,'22'!$AF$36:$AF$41,1)+SUMIFS('23'!$N$46:$N$51,'23'!$AG$46:$AG$51,AK14,'23'!$AF$46:$AF$51,1)+SUMIFS('24'!$N$39:$N$44,'24'!$AG$39:$AG$44,AK14,'24'!$AF$39:$AF$44,1)+SUMIFS('25'!$N$33:$N$38,'25'!$AG$33:$AG$38,AK14,'25'!$AF$33:$AF$38,1)+SUMIFS('26'!$N$37:$N$42,'26'!$AG$37:$AG$42,AK14,'26'!$AF$37:$AF$42,1)+SUMIFS('27'!$N$42:$N$47,'27'!$AG$42:$AG$47,AK14,'27'!$AF$42:$AF$47,1)+SUMIFS('28'!$N$37:$N$42,'28'!$AG$37:$AG$42,AK14,'28'!$AF$37:$AF$42,1)+SUMIFS('29'!$N$41:$N$46,'29'!$AG$41:$AG$46,AK14,'29'!$AF$41:$AF$46,1)+SUMIFS('30'!$N$33:$N$38,'30'!$AG$33:$AG$38,AK14,'30'!$AF$33:$AF$38,1)+SUMIFS('31'!$N$56:$N$61,'31'!$AG$56:$AG$61,AK14,'31'!$AF$56:$AF$61,1))/AM14)</f>
        <v/>
      </c>
      <c r="AR14" s="66" t="str">
        <f>IF(AM14=0,"",(SUMIFS('1'!$O$30:$O$35,'1'!$AG$30:$AG$35,AK14,'1'!$AF$30:$AF$35,1)+SUMIFS('2'!$O$30:$O$35,'2'!$AG$30:$AG$35,AK14,'2'!$AF$30:$AF$35,1)+SUMIFS('3'!$O$30:$O$35,'3'!$AG$30:$AG$35,AK14,'3'!$AF$30:$AF$35,1)+SUMIFS('4'!$O$31:$O$36,'4'!$AG$31:$AG$36,AK14,'4'!$AF$31:$AF$36,1)+SUMIFS('5'!$O$31:$O$36,'5'!$AG$31:$AG$36,AK14,'5'!$AF$31:$AF$36,1)+SUMIFS('6'!$O$30:$O$35,'6'!$AG$30:$AG$35,AK14,'6'!$AF$30:$AF$35,1)+SUMIFS('7'!$O$30:$O$35,'7'!$AG$30:$AG$35,AK14,'7'!$AF$30:$AF$35,1)+SUMIFS('8'!$O$33:$O$38,'8'!$AG$33:$AG$38,AK14,'8'!$AF$33:$AF$38,1)+SUMIFS('9'!$O$30:$O$35,'9'!$AG$30:$AG$35,AK14,'9'!$AF$30:$AF$35,1)+SUMIFS('10'!$O$30:$O$35,'10'!$AG$30:$AG$35,AK14,'10'!$AF$30:$AF$35,1)+SUMIFS('11'!$O$34:$O$39,'11'!$AG$34:$AG$39,AK14,'11'!$AF$34:$AF$39,1)+SUMIFS('12'!$O$34:$O$39,'12'!$AG$34:$AG$39,AK14,'12'!$AF$34:$AF$39,1)+SUMIFS('13'!$O$31:$O$36,'13'!$AG$31:$AG$36,AK14,'13'!$AF$31:$AF$36,1)+SUMIFS('14'!$O$37:$O$42,'14'!$AG$37:$AG$42,AK14,'14'!$AF$37:$AF$42,1)+SUMIFS('15'!$O$36:$O$41,'15'!$AG$36:$AG$41,AK14,'15'!$AF$36:$AF$41,1)+SUMIFS('16'!$O$32:$O$37,'16'!$AG$32:$AG$37,AK14,'16'!$AF$32:$AF$37,1)+SUMIFS('17'!$O$37:$O$42,'17'!$AG$37:$AG$42,AK14,'17'!$AF$37:$AF$42,1)+SUMIFS('18'!$O$37:$O$42,'18'!$AG$37:$AG$42,AK14,'18'!$AF$37:$AF$42,1)+SUMIFS('19'!$O$30:$O$35,'19'!$AG$30:$AG$35,AK14,'19'!$AF$30:$AF$35,1)+SUMIFS('20'!$O$35:$O$40,'20'!$AG$35:$AG$40,AK14,'20'!$AF$35:$AF$40,1)+SUMIFS('21'!$O$30:$O$35,'21'!$AG$30:$AG$35,AK14,'21'!$AF$30:$AF$35,1)+SUMIFS('22'!$O$36:$O$41,'22'!$AG$36:$AG$41,AK14,'22'!$AF$36:$AF$41,1)+SUMIFS('23'!$O$46:$O$51,'23'!$AG$46:$AG$51,AK14,'23'!$AF$46:$AF$51,1)+SUMIFS('24'!$O$39:$O$44,'24'!$AG$39:$AG$44,AK14,'24'!$AF$39:$AF$44,1)+SUMIFS('25'!$O$33:$O$38,'25'!$AG$33:$AG$38,AK14,'25'!$AF$33:$AF$38,1)+SUMIFS('26'!$O$37:$O$42,'26'!$AG$37:$AG$42,AK14,'26'!$AF$37:$AF$42,1)+SUMIFS('27'!$O$42:$O$47,'27'!$AG$42:$AG$47,AK14,'27'!$AF$42:$AF$47,1)+SUMIFS('28'!$O$37:$O$42,'28'!$AG$37:$AG$42,AK14,'28'!$AF$37:$AF$42,1)+SUMIFS('29'!$O$41:$O$46,'29'!$AG$41:$AG$46,AK14,'29'!$AF$41:$AF$46,1)+SUMIFS('30'!$O$33:$O$38,'30'!$AG$33:$AG$38,AK14,'30'!$AF$33:$AF$38,1)+SUMIFS('31'!$O$56:$O$61,'31'!$AG$56:$AG$61,AK14,'31'!$AF$56:$AF$61,1))/AM14)</f>
        <v/>
      </c>
      <c r="AS14" s="66" t="str">
        <f>IF(AM14=0,"",(SUMIFS('1'!$P$30:$P$35,'1'!$AG$30:$AG$35,AK14,'1'!$AF$30:$AF$35,1)+SUMIFS('2'!$P$30:$P$35,'2'!$AG$30:$AG$35,AK14,'2'!$AF$30:$AF$35,1)+SUMIFS('3'!$P$30:$P$35,'3'!$AG$30:$AG$35,AK14,'3'!$AF$30:$AF$35,1)+SUMIFS('4'!$P$31:$P$36,'4'!$AG$31:$AG$36,AK14,'4'!$AF$31:$AF$36,1)+SUMIFS('5'!$P$31:$P$36,'5'!$AG$31:$AG$36,AK14,'5'!$AF$31:$AF$36,1)+SUMIFS('6'!$P$30:$P$35,'6'!$AG$30:$AG$35,AK14,'6'!$AF$30:$AF$35,1)+SUMIFS('7'!$P$30:$P$35,'7'!$AG$30:$AG$35,AK14,'7'!$AF$30:$AF$35,1)+SUMIFS('8'!$P$33:$P$38,'8'!$AG$33:$AG$38,AK14,'8'!$AF$33:$AF$38,1)+SUMIFS('9'!$P$30:$P$35,'9'!$AG$30:$AG$35,AK14,'9'!$AF$30:$AF$35,1)+SUMIFS('10'!$P$30:$P$35,'10'!$AG$30:$AG$35,AK14,'10'!$AF$30:$AF$35,1)+SUMIFS('11'!$P$34:$P$39,'11'!$AG$34:$AG$39,AK14,'11'!$AF$34:$AF$39,1)+SUMIFS('12'!$P$34:$P$39,'12'!$AG$34:$AG$39,AK14,'12'!$AF$34:$AF$39,1)+SUMIFS('13'!$P$31:$P$36,'13'!$AG$31:$AG$36,AK14,'13'!$AF$31:$AF$36,1)+SUMIFS('14'!$P$37:$P$42,'14'!$AG$37:$AG$42,AK14,'14'!$AF$37:$AF$42,1)+SUMIFS('15'!$P$36:$P$41,'15'!$AG$36:$AG$41,AK14,'15'!$AF$36:$AF$41,1)+SUMIFS('16'!$P$32:$P$37,'16'!$AG$32:$AG$37,AK14,'16'!$AF$32:$AF$37,1)+SUMIFS('17'!$P$37:$P$42,'17'!$AG$37:$AG$42,AK14,'17'!$AF$37:$AF$42,1)+SUMIFS('18'!$P$37:$P$42,'18'!$AG$37:$AG$42,AK14,'18'!$AF$37:$AF$42,1)+SUMIFS('19'!$P$30:$P$35,'19'!$AG$30:$AG$35,AK14,'19'!$AF$30:$AF$35,1)+SUMIFS('20'!$P$35:$P$40,'20'!$AG$35:$AG$40,AK14,'20'!$AF$35:$AF$40,1)+SUMIFS('21'!$P$30:$P$35,'21'!$AG$30:$AG$35,AK14,'21'!$AF$30:$AF$35,1)+SUMIFS('22'!$P$36:$P$41,'22'!$AG$36:$AG$41,AK14,'22'!$AF$36:$AF$41,1)+SUMIFS('23'!$P$46:$P$51,'23'!$AG$46:$AG$51,AK14,'23'!$AF$46:$AF$51,1)+SUMIFS('24'!$P$39:$P$44,'24'!$AG$39:$AG$44,AK14,'24'!$AF$39:$AF$44,1)+SUMIFS('25'!$P$33:$P$38,'25'!$AG$33:$AG$38,AK14,'25'!$AF$33:$AF$38,1)+SUMIFS('26'!$P$37:$P$42,'26'!$AG$37:$AG$42,AK14,'26'!$AF$37:$AF$42,1)+SUMIFS('27'!$P$42:$P$47,'27'!$AG$42:$AG$47,AK14,'27'!$AF$42:$AF$47,1)+SUMIFS('28'!$P$37:$P$42,'28'!$AG$37:$AG$42,AK14,'28'!$AF$37:$AF$42,1)+SUMIFS('29'!$P$41:$P$46,'29'!$AG$41:$AG$46,AK14,'29'!$AF$41:$AF$46,1)+SUMIFS('30'!$P$33:$P$38,'30'!$AG$33:$AG$38,AK14,'30'!$AF$33:$AF$38,1)+SUMIFS('31'!$P$56:$P$61,'31'!$AG$56:$AG$61,AK14,'31'!$AF$56:$AF$61,1))/AM14)</f>
        <v/>
      </c>
      <c r="AV14" s="66" t="str">
        <f>IF(COUNTIFS('1'!$AG$30:$AG$35,$AK14,'1'!$AF$30:$AF$35,1)=0,"",SUMIFS('1'!$AC$30:$AC$35,'1'!$AG$30:$AG$35,$AK14,'1'!$AF$30:$AF$35,1)/COUNTIFS('1'!$AG$30:$AG$35,$AK14,'1'!$AF$30:$AF$35,1))</f>
        <v/>
      </c>
      <c r="AW14" s="66" t="str">
        <f>IF(COUNTIFS('2'!$AG$30:$AG$35,$AK14,'2'!$AF$30:$AF$35,1)=0,"",SUMIFS('2'!$AC$30:$AC$35,'2'!$AG$30:$AG$35,$AK14,'2'!$AF$30:$AF$35,1)/COUNTIFS('2'!$AG$30:$AG$35,$AK14,'2'!$AF$30:$AF$35,1))</f>
        <v/>
      </c>
      <c r="AX14" s="66" t="str">
        <f>IF(COUNTIFS('3'!$AG$30:$AG$35,$AK14,'3'!$AF$30:$AF$35,1)=0,"",SUMIFS('3'!$AC$30:$AC$35,'3'!$AG$30:$AG$35,$AK14,'3'!$AF$30:$AF$35,1)/COUNTIFS('3'!$AG$30:$AG$35,$AK14,'3'!$AF$30:$AF$35,1))</f>
        <v/>
      </c>
      <c r="AY14" s="66" t="str">
        <f>IF(COUNTIFS('4'!$AG$31:$AG$36,$AK14,'4'!$AF$31:$AF$36,1)=0,"",SUMIFS('4'!$AC$31:$AC$36,'4'!$AG$31:$AG$36,$AK14,'4'!$AF$31:$AF$36,1)/COUNTIFS('4'!$AG$31:$AG$36,$AK14,'4'!$AF$31:$AF$36,1))</f>
        <v/>
      </c>
      <c r="AZ14" s="66" t="str">
        <f>IF(COUNTIFS('5'!$AG$31:$AG$36,$AK14,'5'!$AF$31:$AF$36,1)=0,"",SUMIFS('5'!$AC$31:$AC$36,'5'!$AG$31:$AG$36,$AK14,'5'!$AF$31:$AF$36,1)/COUNTIFS('5'!$AG$31:$AG$36,$AK14,'5'!$AF$31:$AF$36,1))</f>
        <v/>
      </c>
      <c r="BA14" s="66" t="str">
        <f>IF(COUNTIFS('6'!$AG$30:$AG$35,$AK14,'6'!$AF$30:$AF$35,1)=0,"",SUMIFS('6'!$AC$30:$AC$35,'6'!$AG$30:$AG$35,$AK14,'6'!$AF$30:$AF$35,1)/COUNTIFS('6'!$AG$30:$AG$35,$AK14,'6'!$AF$30:$AF$35,1))</f>
        <v/>
      </c>
      <c r="BB14" s="66" t="str">
        <f>IF(COUNTIFS('7'!$AG$30:$AG$35,$AK14,'7'!$AF$30:$AF$35,1)=0,"",SUMIFS('7'!$AC$30:$AC$35,'7'!$AG$30:$AG$35,$AK14,'7'!$AF$30:$AF$35,1)/COUNTIFS('7'!$AG$30:$AG$35,$AK14,'7'!$AF$30:$AF$35,1))</f>
        <v/>
      </c>
      <c r="BC14" s="66" t="str">
        <f>IF(COUNTIFS('8'!$AG$33:$AG$38,$AK14,'8'!$AF$33:$AF$38,1)=0,"",SUMIFS('8'!$AC$33:$AC$38,'8'!$AG$33:$AG$38,$AK14,'8'!$AF$33:$AF$38,1)/COUNTIFS('8'!$AG$33:$AG$38,$AK14,'8'!$AF$33:$AF$38,1))</f>
        <v/>
      </c>
      <c r="BD14" s="66" t="str">
        <f>IF(COUNTIFS('9'!$AG$30:$AG$35,$AK14,'9'!$AF$30:$AF$35,1)=0,"",SUMIFS('9'!$AC$30:$AC$35,'9'!$AG$30:$AG$35,$AK14,'9'!$AF$30:$AF$35,1)/COUNTIFS('9'!$AG$30:$AG$35,$AK14,'9'!$AF$30:$AF$35,1))</f>
        <v/>
      </c>
      <c r="BE14" s="66" t="str">
        <f>IF(COUNTIFS('10'!$AG$30:$AG$35,$AK14,'10'!$AF$30:$AF$35,1)=0,"",SUMIFS('10'!$AC$30:$AC$35,'10'!$AG$30:$AG$35,$AK14,'10'!$AF$30:$AF$35,1)/COUNTIFS('10'!$AG$30:$AG$35,$AK14,'10'!$AF$30:$AF$35,1))</f>
        <v/>
      </c>
      <c r="BF14" s="66" t="str">
        <f>IF(COUNTIFS('11'!$AG$34:$AG$39,$AK14,'11'!$AF$34:$AF$39,1)=0,"",SUMIFS('11'!$AC$34:$AC$39,'11'!$AG$34:$AG$39,$AK14,'11'!$AF$34:$AF$39,1)/COUNTIFS('11'!$AG$34:$AG$39,$AK14,'11'!$AF$34:$AF$39,1))</f>
        <v/>
      </c>
      <c r="BG14" s="66" t="str">
        <f>IF(COUNTIFS('12'!$AG$34:$AG$39,$AK14,'12'!$AF$34:$AF$39,1)=0,"",SUMIFS('12'!$AC$34:$AC$39,'12'!$AG$34:$AG$39,$AK14,'12'!$AF$34:$AF$39,1)/COUNTIFS('12'!$AG$34:$AG$39,$AK14,'12'!$AF$34:$AF$39,1))</f>
        <v/>
      </c>
      <c r="BH14" s="66" t="str">
        <f>IF(COUNTIFS('13'!$AG$31:$AG$36,$AK14,'13'!$AF$31:$AF$36,1)=0,"",SUMIFS('13'!$AC$31:$AC$36,'13'!$AG$31:$AG$36,$AK14,'13'!$AF$31:$AF$36,1)/COUNTIFS('13'!$AG$31:$AG$36,$AK14,'13'!$AF$31:$AF$36,1))</f>
        <v/>
      </c>
      <c r="BI14" s="66" t="str">
        <f>IF(COUNTIFS('14'!$AG$37:$AG$42,$AK14,'14'!$AF$37:$AF$42,1)=0,"",SUMIFS('14'!$AC$37:$AC$42,'14'!$AG$37:$AG$42,$AK14,'14'!$AF$37:$AF$42,1)/COUNTIFS('14'!$AG$37:$AG$42,$AK14,'14'!$AF$37:$AF$42,1))</f>
        <v/>
      </c>
      <c r="BJ14" s="66" t="str">
        <f>IF(COUNTIFS('15'!$AG$36:$AG$41,$AK14,'15'!$AF$36:$AF$41,1)=0,"",SUMIFS('15'!$AC$36:$AC$41,'15'!$AG$36:$AG$41,$AK14,'15'!$AF$36:$AF$41,1)/COUNTIFS('15'!$AG$36:$AG$41,$AK14,'15'!$AF$36:$AF$41,1))</f>
        <v/>
      </c>
      <c r="BK14" s="66" t="str">
        <f>IF(COUNTIFS('16'!$AG$32:$AG$37,$AK14,'16'!$AF$32:$AF$37,1)=0,"",SUMIFS('16'!$AC$32:$AC$37,'16'!$AG$32:$AG$37,$AK14,'16'!$AF$32:$AF$37,1)/COUNTIFS('16'!$AG$32:$AG$37,$AK14,'16'!$AF$32:$AF$37,1))</f>
        <v/>
      </c>
      <c r="BL14" s="66" t="str">
        <f>IF(COUNTIFS('17'!$AG$37:$AG$42,$AK14,'17'!$AF$37:$AF$42,1)=0,"",SUMIFS('17'!$AC$37:$AC$42,'17'!$AG$37:$AG$42,$AK14,'17'!$AF$37:$AF$42,1)/COUNTIFS('17'!$AG$37:$AG$42,$AK14,'17'!$AF$37:$AF$42,1))</f>
        <v/>
      </c>
      <c r="BM14" s="66" t="str">
        <f>IF(COUNTIFS('18'!$AG$37:$AG$42,$AK14,'18'!$AF$37:$AF$42,1)=0,"",SUMIFS('18'!$AC$37:$AC$42,'18'!$AG$37:$AG$42,$AK14,'18'!$AF$37:$AF$42,1)/COUNTIFS('18'!$AG$37:$AG$42,$AK14,'18'!$AF$37:$AF$42,1))</f>
        <v/>
      </c>
      <c r="BN14" s="66" t="str">
        <f>IF(COUNTIFS('19'!$AG$30:$AG$35,$AK14,'19'!$AF$30:$AF$35,1)=0,"",SUMIFS('19'!$AC$30:$AC$35,'19'!$AG$30:$AG$35,$AK14,'19'!$AF$30:$AF$35,1)/COUNTIFS('19'!$AG$30:$AG$35,$AK14,'19'!$AF$30:$AF$35,1))</f>
        <v/>
      </c>
      <c r="BO14" s="66" t="str">
        <f>IF(COUNTIFS('20'!$AG$35:$AG$40,$AK14,'20'!$AF$35:$AF$40,1)=0,"",SUMIFS('20'!$AC$35:$AC$40,'20'!$AG$35:$AG$40,$AK14,'20'!$AF$35:$AF$40,1)/COUNTIFS('20'!$AG$35:$AG$40,$AK14,'20'!$AF$35:$AF$40,1))</f>
        <v/>
      </c>
      <c r="BP14" s="66" t="str">
        <f>IF(COUNTIFS('21'!$AG$30:$AG$35,$AK14,'21'!$AF$30:$AF$35,1)=0,"",SUMIFS('21'!$AC$30:$AC$35,'21'!$AG$30:$AG$35,$AK14,'21'!$AF$30:$AF$35,1)/COUNTIFS('21'!$AG$30:$AG$35,$AK14,'21'!$AF$30:$AF$35,1))</f>
        <v/>
      </c>
      <c r="BQ14" s="66" t="str">
        <f>IF(COUNTIFS('22'!$AG$36:$AG$41,$AK14,'22'!$AF$36:$AF$41,1)=0,"",SUMIFS('22'!$AC$36:$AC$41,'22'!$AG$36:$AG$41,$AK14,'22'!$AF$36:$AF$41,1)/COUNTIFS('22'!$AG$36:$AG$41,$AK14,'22'!$AF$36:$AF$41,1))</f>
        <v/>
      </c>
      <c r="BR14" s="66" t="str">
        <f>IF(COUNTIFS('23'!$AG$46:$AG$51,$AK14,'23'!$AF$46:$AF$51,1)=0,"",SUMIFS('23'!$AC$46:$AC$51,'23'!$AG$46:$AG$51,$AK14,'23'!$AF$46:$AF$51,1)/COUNTIFS('23'!$AG$46:$AG$51,$AK14,'23'!$AF$46:$AF$51,1))</f>
        <v/>
      </c>
      <c r="BS14" s="66" t="str">
        <f>IF(COUNTIFS('24'!$AG$39:$AG$44,$AK14,'24'!$AF$39:$AF$44,1)=0,"",SUMIFS('24'!$AC$39:$AC$44,'24'!$AG$39:$AG$44,$AK14,'24'!$AF$39:$AF$44,1)/COUNTIFS('24'!$AG$39:$AG$44,$AK14,'24'!$AF$39:$AF$44,1))</f>
        <v/>
      </c>
      <c r="BT14" s="66" t="str">
        <f>IF(COUNTIFS('25'!$AG$33:$AG$38,$AK14,'25'!$AF$33:$AF$38,1)=0,"",SUMIFS('25'!$AC$33:$AC$38,'25'!$AG$33:$AG$38,$AK14,'25'!$AF$33:$AF$38,1)/COUNTIFS('25'!$AG$33:$AG$38,$AK14,'25'!$AF$33:$AF$38,1))</f>
        <v/>
      </c>
      <c r="BU14" s="66" t="str">
        <f>IF(COUNTIFS('26'!$AG$37:$AG$42,$AK14,'26'!$AF$37:$AF$42,1)=0,"",SUMIFS('26'!$AC$37:$AC$42,'26'!$AG$37:$AG$42,$AK14,'26'!$AF$37:$AF$42,1)/COUNTIFS('26'!$AG$37:$AG$42,$AK14,'26'!$AF$37:$AF$42,1))</f>
        <v/>
      </c>
      <c r="BV14" s="66" t="str">
        <f>IF(COUNTIFS('27'!$AG$42:$AG$47,$AK14,'27'!$AF$42:$AF$47,1)=0,"",SUMIFS('27'!$AC$42:$AC$47,'27'!$AG$42:$AG$47,$AK14,'27'!$AF$42:$AF$47,1)/COUNTIFS('27'!$AG$42:$AG$47,$AK14,'27'!$AF$42:$AF$47,1))</f>
        <v/>
      </c>
      <c r="BW14" s="66" t="str">
        <f>IF(COUNTIFS('28'!$AG$37:$AG$42,$AK14,'28'!$AF$37:$AF$42,1)=0,"",SUMIFS('28'!$AC$37:$AC$42,'28'!$AG$37:$AG$42,$AK14,'28'!$AF$37:$AF$42,1)/COUNTIFS('28'!$AG$37:$AG$42,$AK14,'28'!$AF$37:$AF$42,1))</f>
        <v/>
      </c>
      <c r="BX14" s="66" t="str">
        <f>IF(COUNTIFS('29'!$AG$41:$AG$46,$AK14,'29'!$AF$41:$AF$46,1)=0,"",SUMIFS('29'!$AC$41:$AC$46,'29'!$AG$41:$AG$46,$AK14,'29'!$AF$41:$AF$46,1)/COUNTIFS('29'!$AG$41:$AG$46,$AK14,'29'!$AF$41:$AF$46,1))</f>
        <v/>
      </c>
      <c r="BY14" s="66" t="str">
        <f>IF(COUNTIFS('30'!$AG$33:$AG$38,$AK14,'30'!$AF$33:$AF$38,1)=0,"",SUMIFS('30'!$AC$33:$AC$38,'30'!$AG$33:$AG$38,$AK14,'30'!$AF$33:$AF$38,1)/COUNTIFS('30'!$AG$33:$AG$38,$AK14,'30'!$AF$33:$AF$38,1))</f>
        <v/>
      </c>
      <c r="BZ14" s="66" t="str">
        <f>IF(COUNTIFS('31'!$AG$56:$AG$61,$AK14,'31'!$AF$56:$AF$61,1)=0,"",SUMIFS('31'!$AC$56:$AC$61,'31'!$AG$56:$AG$61,$AK14,'31'!$AF$56:$AF$61,1)/COUNTIFS('31'!$AG$56:$AG$61,$AK14,'31'!$AF$56:$AF$61,1))</f>
        <v/>
      </c>
    </row>
    <row r="15">
      <c r="A15" s="141">
        <f>IF(LARGE($Y$5:$Y$17,10)=0,"",10)</f>
        <v>10</v>
      </c>
      <c r="B15" s="141" t="str">
        <f t="shared" si="7"/>
        <v>Couple C</v>
      </c>
      <c r="C15" s="141">
        <f t="shared" si="8"/>
        <v>3</v>
      </c>
      <c r="D15" s="142">
        <f t="shared" si="9"/>
        <v>0.00618556701</v>
      </c>
      <c r="E15" s="142">
        <f t="shared" si="10"/>
        <v>0.9896907216</v>
      </c>
      <c r="X15" s="66" t="s">
        <v>159</v>
      </c>
      <c r="Y15" s="66">
        <f>COUNTIF('1'!$D$4:$D$21,X15)+COUNTIF('2'!$D$4:$D$21,X15)+COUNTIF('3'!$D$4:$D$21,X15)+COUNTIF('4'!$D$4:$D$22,X15)+COUNTIF('5'!$D$4:$D$22,X15)+COUNTIF('6'!$D$4:$D$21,X15)+COUNTIF('7'!$D$4:$D$21,X15)+COUNTIF('8'!$D$4:$D$24,X15)+COUNTIF('9'!$D$4:$D$21,X15)+COUNTIF('10'!$D$4:$D$21,X15)+COUNTIF('11'!$D$4:$D$25,X15)+COUNTIF('12'!$D$4:$D$25,X15)+COUNTIF('13'!$D$4:$D$22,X15)+COUNTIF('14'!$D$4:$D$28,X15)+COUNTIF('15'!$D$4:$D$27,X15)+COUNTIF('16'!$D$4:$D$23,X15)+COUNTIF('17'!$D$4:$D$28,X15)+COUNTIF('18'!$D$4:$D$28,X15)+COUNTIF('19'!$D$4:$D$21,X15)+COUNTIF('20'!$D$4:$D$26,X15)+COUNTIF('21'!$D$4:$D$21,X15)+COUNTIF('22'!$D$4:$D$27,X15)+COUNTIF('23'!$D$4:$D$37,X15)+COUNTIF('24'!$D$4:$D$30,X15)+COUNTIF('25'!$D$4:$D$24,X15)+COUNTIF('26'!$D$4:$D$28,X15)+COUNTIF('27'!$D$4:$D$33,X15)+COUNTIF('28'!$D$4:$D$28,X15)+COUNTIF('29'!$D$4:$D$32,X15)+COUNTIF('30'!$D$4:$D$24,X15)+COUNTIF('31'!$D$4:$D$45,X15)</f>
        <v>3</v>
      </c>
      <c r="Z15" s="66">
        <f t="shared" si="1"/>
        <v>3.00003</v>
      </c>
      <c r="AA15" s="66" t="s">
        <v>47</v>
      </c>
      <c r="AB15" s="66" t="s">
        <v>603</v>
      </c>
      <c r="AC15" s="66">
        <f>COUNTIF('1'!$O$23:$O$26,AA15)+COUNTIF('2'!$O$23:$O$26,AA15)+COUNTIF('3'!$O$23:$O$26,AA15)+COUNTIF('4'!$O$24:$O$27,AA15)+COUNTIF('5'!$O$24:$O$27,AA15)+COUNTIF('6'!$O$23:$O$26,AA15)+COUNTIF('7'!$O$23:$O$26,AA15)+COUNTIF('8'!$O$26:$O$29,AA15)+COUNTIF('9'!$O$23:$O$26,AA15)+COUNTIF('10'!$O$23:$O$26,AA15)+COUNTIF('11'!$O$27:$O$30,AA15)+COUNTIF('12'!$O$27:$O$30,AA15)+COUNTIF('13'!$O$24:$O$27,AA15)+COUNTIF('14'!$O$30:$O$33,AA15)+COUNTIF('15'!$O$29:$O$32,AA15)+COUNTIF('16'!$O$25:$O$28,AA15)+COUNTIF('17'!$O$30:$O$33,AA15)+COUNTIF('18'!$O$30:$O$33,AA15)+COUNTIF('19'!$O$23:$O$26,AA15)+COUNTIF('20'!$O$28:$O$31,AA15)+COUNTIF('21'!$O$23:$O$26,AA15)+COUNTIF('22'!$O$29:$O$32,AA15)+COUNTIF('23'!$O$39:$O$42,AA15)+COUNTIF('24'!$O$32:$O$35,AA15)+COUNTIF('25'!$O$26:$O$29,AA15)+COUNTIF('26'!$O$30:$O$33,AA15)+COUNTIF('27'!$O$35:$O$38,AA15)+COUNTIF('28'!$O$30:$O$33,AA15)+COUNTIF('29'!$O$34:$O$37,AA15)+COUNTIF('30'!$O$26:$O$29,AA15)+COUNTIF('31'!$O$47:$O$50,AA15)</f>
        <v>31</v>
      </c>
      <c r="AD15" s="66">
        <f t="shared" si="2"/>
        <v>31.00001</v>
      </c>
      <c r="AK15" s="66" t="s">
        <v>47</v>
      </c>
      <c r="AL15" s="66" t="s">
        <v>603</v>
      </c>
      <c r="AM15" s="66">
        <f>COUNTIFS('1'!$AG$30:$AG$35,AK15,'1'!$AF$30:$AF$35,1)+COUNTIFS('2'!$AG$30:$AG$35,AK15,'2'!$AF$30:$AF$35,1)+COUNTIFS('3'!$AG$30:$AG$35,AK15,'3'!$AF$30:$AF$35,1)+COUNTIFS('4'!$AG$31:$AG$36,AK15,'4'!$AF$31:$AF$36,1)+COUNTIFS('5'!$AG$31:$AG$36,AK15,'5'!$AF$31:$AF$36,1)+COUNTIFS('6'!$AG$30:$AG$35,AK15,'6'!$AF$30:$AF$35,1)+COUNTIFS('7'!$AG$30:$AG$35,AK15,'7'!$AF$30:$AF$35,1)+COUNTIFS('8'!$AG$33:$AG$38,AK15,'8'!$AF$33:$AF$38,1)+COUNTIFS('9'!$AG$30:$AG$35,AK15,'9'!$AF$30:$AF$35,1)+COUNTIFS('10'!$AG$30:$AG$35,AK15,'10'!$AF$30:$AF$35,1)+COUNTIFS('11'!$AG$34:$AG$39,AK15,'11'!$AF$34:$AF$39,1)+COUNTIFS('12'!$AG$34:$AG$39,AK15,'12'!$AF$34:$AF$39,1)+COUNTIFS('13'!$AG$31:$AG$36,AK15,'13'!$AF$31:$AF$36,1)+COUNTIFS('14'!$AG$37:$AG$42,AK15,'14'!$AF$37:$AF$42,1)+COUNTIFS('15'!$AG$36:$AG$41,AK15,'15'!$AF$36:$AF$41,1)+COUNTIFS('16'!$AG$32:$AG$37,AK15,'16'!$AF$32:$AF$37,1)+COUNTIFS('17'!$AG$37:$AG$42,AK15,'17'!$AF$37:$AF$42,1)+COUNTIFS('18'!$AG$37:$AG$42,AK15,'18'!$AF$37:$AF$42,1)+COUNTIFS('19'!$AG$30:$AG$35,AK15,'19'!$AF$30:$AF$35,1)+COUNTIFS('20'!$AG$35:$AG$40,AK15,'20'!$AF$35:$AF$40,1)+COUNTIFS('21'!$AG$30:$AG$35,AK15,'21'!$AF$30:$AF$35,1)+COUNTIFS('22'!$AG$36:$AG$41,AK15,'22'!$AF$36:$AF$41,1)+COUNTIFS('23'!$AG$46:$AG$51,AK15,'23'!$AF$46:$AF$51,1)+COUNTIFS('24'!$AG$39:$AG$44,AK15,'24'!$AF$39:$AF$44,1)+COUNTIFS('25'!$AG$33:$AG$38,AK15,'25'!$AF$33:$AF$38,1)+COUNTIFS('26'!$AG$37:$AG$42,AK15,'26'!$AF$37:$AF$42,1)+COUNTIFS('27'!$AG$42:$AG$47,AK15,'27'!$AF$42:$AF$47,1)+COUNTIFS('28'!$AG$37:$AG$42,AK15,'28'!$AF$37:$AF$42,1)+COUNTIFS('29'!$AG$41:$AG$46,AK15,'29'!$AF$41:$AF$46,1)+COUNTIFS('30'!$AG$33:$AG$38,AK15,'30'!$AF$33:$AF$38,1)+COUNTIFS('31'!$AG$56:$AG$61,AK15,'31'!$AF$56:$AF$61,1)</f>
        <v>31</v>
      </c>
      <c r="AN15" s="66">
        <f t="shared" si="5"/>
        <v>97</v>
      </c>
      <c r="AO15" s="66">
        <f>IF(AM15=0,"",(SUMIFS('1'!$L$30:$L$35,'1'!$AG$30:$AG$35,AK15,'1'!$AF$30:$AF$35,1)+SUMIFS('2'!$L$30:$L$35,'2'!$AG$30:$AG$35,AK15,'2'!$AF$30:$AF$35,1)+SUMIFS('3'!$L$30:$L$35,'3'!$AG$30:$AG$35,AK15,'3'!$AF$30:$AF$35,1)+SUMIFS('4'!$L$31:$L$36,'4'!$AG$31:$AG$36,AK15,'4'!$AF$31:$AF$36,1)+SUMIFS('5'!$L$31:$L$36,'5'!$AG$31:$AG$36,AK15,'5'!$AF$31:$AF$36,1)+SUMIFS('6'!$L$30:$L$35,'6'!$AG$30:$AG$35,AK15,'6'!$AF$30:$AF$35,1)+SUMIFS('7'!$L$30:$L$35,'7'!$AG$30:$AG$35,AK15,'7'!$AF$30:$AF$35,1)+SUMIFS('8'!$L$33:$L$38,'8'!$AG$33:$AG$38,AK15,'8'!$AF$33:$AF$38,1)+SUMIFS('9'!$L$30:$L$35,'9'!$AG$30:$AG$35,AK15,'9'!$AF$30:$AF$35,1)+SUMIFS('10'!$L$30:$L$35,'10'!$AG$30:$AG$35,AK15,'10'!$AF$30:$AF$35,1)+SUMIFS('11'!$L$34:$L$39,'11'!$AG$34:$AG$39,AK15,'11'!$AF$34:$AF$39,1)+SUMIFS('12'!$L$34:$L$39,'12'!$AG$34:$AG$39,AK15,'12'!$AF$34:$AF$39,1)+SUMIFS('13'!$L$31:$L$36,'13'!$AG$31:$AG$36,AK15,'13'!$AF$31:$AF$36,1)+SUMIFS('14'!$L$37:$L$42,'14'!$AG$37:$AG$42,AK15,'14'!$AF$37:$AF$42,1)+SUMIFS('15'!$L$36:$L$41,'15'!$AG$36:$AG$41,AK15,'15'!$AF$36:$AF$41,1)+SUMIFS('16'!$L$32:$L$37,'16'!$AG$32:$AG$37,AK15,'16'!$AF$32:$AF$37,1)+SUMIFS('17'!$L$37:$L$42,'17'!$AG$37:$AG$42,AK15,'17'!$AF$37:$AF$42,1)+SUMIFS('18'!$L$37:$L$42,'18'!$AG$37:$AG$42,AK15,'18'!$AF$37:$AF$42,1)+SUMIFS('19'!$L$30:$L$35,'19'!$AG$30:$AG$35,AK15,'19'!$AF$30:$AF$35,1)+SUMIFS('20'!$L$35:$L$40,'20'!$AG$35:$AG$40,AK15,'20'!$AF$35:$AF$40,1)+SUMIFS('21'!$L$30:$L$35,'21'!$AG$30:$AG$35,AK15,'21'!$AF$30:$AF$35,1)+SUMIFS('22'!$L$36:$L$41,'22'!$AG$36:$AG$41,AK15,'22'!$AF$36:$AF$41,1)+SUMIFS('23'!$L$46:$L$51,'23'!$AG$46:$AG$51,AK15,'23'!$AF$46:$AF$51,1)+SUMIFS('24'!$L$39:$L$44,'24'!$AG$39:$AG$44,AK15,'24'!$AF$39:$AF$44,1)+SUMIFS('25'!$L$33:$L$38,'25'!$AG$33:$AG$38,AK15,'25'!$AF$33:$AF$38,1)+SUMIFS('26'!$L$37:$L$42,'26'!$AG$37:$AG$42,AK15,'26'!$AF$37:$AF$42,1)+SUMIFS('27'!$L$42:$L$47,'27'!$AG$42:$AG$47,AK15,'27'!$AF$42:$AF$47,1)+SUMIFS('28'!$L$37:$L$42,'28'!$AG$37:$AG$42,AK15,'28'!$AF$37:$AF$42,1)+SUMIFS('29'!$L$41:$L$46,'29'!$AG$41:$AG$46,AK15,'29'!$AF$41:$AF$46,1)+SUMIFS('30'!$L$33:$L$38,'30'!$AG$33:$AG$38,AK15,'30'!$AF$33:$AF$38,1)+SUMIFS('31'!$L$56:$L$61,'31'!$AG$56:$AG$61,AK15,'31'!$AF$56:$AF$61,1))/AM15)</f>
        <v>4.967741935</v>
      </c>
      <c r="AP15" s="66">
        <f>IF(AM15=0,"",(SUMIFS('1'!$M$30:$M$35,'1'!$AG$30:$AG$35,AK15,'1'!$AF$30:$AF$35,1)+SUMIFS('2'!$M$30:$M$35,'2'!$AG$30:$AG$35,AK15,'2'!$AF$30:$AF$35,1)+SUMIFS('3'!$M$30:$M$35,'3'!$AG$30:$AG$35,AK15,'3'!$AF$30:$AF$35,1)+SUMIFS('4'!$M$31:$M$36,'4'!$AG$31:$AG$36,AK15,'4'!$AF$31:$AF$36,1)+SUMIFS('5'!$M$31:$M$36,'5'!$AG$31:$AG$36,AK15,'5'!$AF$31:$AF$36,1)+SUMIFS('6'!$M$30:$M$35,'6'!$AG$30:$AG$35,AK15,'6'!$AF$30:$AF$35,1)+SUMIFS('7'!$M$30:$M$35,'7'!$AG$30:$AG$35,AK15,'7'!$AF$30:$AF$35,1)+SUMIFS('8'!$M$33:$M$38,'8'!$AG$33:$AG$38,AK15,'8'!$AF$33:$AF$38,1)+SUMIFS('9'!$M$30:$M$35,'9'!$AG$30:$AG$35,AK15,'9'!$AF$30:$AF$35,1)+SUMIFS('10'!$M$30:$M$35,'10'!$AG$30:$AG$35,AK15,'10'!$AF$30:$AF$35,1)+SUMIFS('11'!$M$34:$M$39,'11'!$AG$34:$AG$39,AK15,'11'!$AF$34:$AF$39,1)+SUMIFS('12'!$M$34:$M$39,'12'!$AG$34:$AG$39,AK15,'12'!$AF$34:$AF$39,1)+SUMIFS('13'!$M$31:$M$36,'13'!$AG$31:$AG$36,AK15,'13'!$AF$31:$AF$36,1)+SUMIFS('14'!$M$37:$M$42,'14'!$AG$37:$AG$42,AK15,'14'!$AF$37:$AF$42,1)+SUMIFS('15'!$M$36:$M$41,'15'!$AG$36:$AG$41,AK15,'15'!$AF$36:$AF$41,1)+SUMIFS('16'!$M$32:$M$37,'16'!$AG$32:$AG$37,AK15,'16'!$AF$32:$AF$37,1)+SUMIFS('17'!$M$37:$M$42,'17'!$AG$37:$AG$42,AK15,'17'!$AF$37:$AF$42,1)+SUMIFS('18'!$M$37:$M$42,'18'!$AG$37:$AG$42,AK15,'18'!$AF$37:$AF$42,1)+SUMIFS('19'!$M$30:$M$35,'19'!$AG$30:$AG$35,AK15,'19'!$AF$30:$AF$35,1)+SUMIFS('20'!$M$35:$M$40,'20'!$AG$35:$AG$40,AK15,'20'!$AF$35:$AF$40,1)+SUMIFS('21'!$M$30:$M$35,'21'!$AG$30:$AG$35,AK15,'21'!$AF$30:$AF$35,1)+SUMIFS('22'!$M$36:$M$41,'22'!$AG$36:$AG$41,AK15,'22'!$AF$36:$AF$41,1)+SUMIFS('23'!$M$46:$M$51,'23'!$AG$46:$AG$51,AK15,'23'!$AF$46:$AF$51,1)+SUMIFS('24'!$M$39:$M$44,'24'!$AG$39:$AG$44,AK15,'24'!$AF$39:$AF$44,1)+SUMIFS('25'!$M$33:$M$38,'25'!$AG$33:$AG$38,AK15,'25'!$AF$33:$AF$38,1)+SUMIFS('26'!$M$37:$M$42,'26'!$AG$37:$AG$42,AK15,'26'!$AF$37:$AF$42,1)+SUMIFS('27'!$M$42:$M$47,'27'!$AG$42:$AG$47,AK15,'27'!$AF$42:$AF$47,1)+SUMIFS('28'!$M$37:$M$42,'28'!$AG$37:$AG$42,AK15,'28'!$AF$37:$AF$42,1)+SUMIFS('29'!$M$41:$M$46,'29'!$AG$41:$AG$46,AK15,'29'!$AF$41:$AF$46,1)+SUMIFS('30'!$M$33:$M$38,'30'!$AG$33:$AG$38,AK15,'30'!$AF$33:$AF$38,1)+SUMIFS('31'!$M$56:$M$61,'31'!$AG$56:$AG$61,AK15,'31'!$AF$56:$AF$61,1))/AM15)</f>
        <v>4.806451613</v>
      </c>
      <c r="AQ15" s="66">
        <f>IF(AM15=0,"",(SUMIFS('1'!$N$30:$N$35,'1'!$AG$30:$AG$35,AK15,'1'!$AF$30:$AF$35,1)+SUMIFS('2'!$N$30:$N$35,'2'!$AG$30:$AG$35,AK15,'2'!$AF$30:$AF$35,1)+SUMIFS('3'!$N$30:$N$35,'3'!$AG$30:$AG$35,AK15,'3'!$AF$30:$AF$35,1)+SUMIFS('4'!$N$31:$N$36,'4'!$AG$31:$AG$36,AK15,'4'!$AF$31:$AF$36,1)+SUMIFS('5'!$N$31:$N$36,'5'!$AG$31:$AG$36,AK15,'5'!$AF$31:$AF$36,1)+SUMIFS('6'!$N$30:$N$35,'6'!$AG$30:$AG$35,AK15,'6'!$AF$30:$AF$35,1)+SUMIFS('7'!$N$30:$N$35,'7'!$AG$30:$AG$35,AK15,'7'!$AF$30:$AF$35,1)+SUMIFS('8'!$N$33:$N$38,'8'!$AG$33:$AG$38,AK15,'8'!$AF$33:$AF$38,1)+SUMIFS('9'!$N$30:$N$35,'9'!$AG$30:$AG$35,AK15,'9'!$AF$30:$AF$35,1)+SUMIFS('10'!$N$30:$N$35,'10'!$AG$30:$AG$35,AK15,'10'!$AF$30:$AF$35,1)+SUMIFS('11'!$N$34:$N$39,'11'!$AG$34:$AG$39,AK15,'11'!$AF$34:$AF$39,1)+SUMIFS('12'!$N$34:$N$39,'12'!$AG$34:$AG$39,AK15,'12'!$AF$34:$AF$39,1)+SUMIFS('13'!$N$31:$N$36,'13'!$AG$31:$AG$36,AK15,'13'!$AF$31:$AF$36,1)+SUMIFS('14'!$N$37:$N$42,'14'!$AG$37:$AG$42,AK15,'14'!$AF$37:$AF$42,1)+SUMIFS('15'!$N$36:$N$41,'15'!$AG$36:$AG$41,AK15,'15'!$AF$36:$AF$41,1)+SUMIFS('16'!$N$32:$N$37,'16'!$AG$32:$AG$37,AK15,'16'!$AF$32:$AF$37,1)+SUMIFS('17'!$N$37:$N$42,'17'!$AG$37:$AG$42,AK15,'17'!$AF$37:$AF$42,1)+SUMIFS('18'!$N$37:$N$42,'18'!$AG$37:$AG$42,AK15,'18'!$AF$37:$AF$42,1)+SUMIFS('19'!$N$30:$N$35,'19'!$AG$30:$AG$35,AK15,'19'!$AF$30:$AF$35,1)+SUMIFS('20'!$N$35:$N$40,'20'!$AG$35:$AG$40,AK15,'20'!$AF$35:$AF$40,1)+SUMIFS('21'!$N$30:$N$35,'21'!$AG$30:$AG$35,AK15,'21'!$AF$30:$AF$35,1)+SUMIFS('22'!$N$36:$N$41,'22'!$AG$36:$AG$41,AK15,'22'!$AF$36:$AF$41,1)+SUMIFS('23'!$N$46:$N$51,'23'!$AG$46:$AG$51,AK15,'23'!$AF$46:$AF$51,1)+SUMIFS('24'!$N$39:$N$44,'24'!$AG$39:$AG$44,AK15,'24'!$AF$39:$AF$44,1)+SUMIFS('25'!$N$33:$N$38,'25'!$AG$33:$AG$38,AK15,'25'!$AF$33:$AF$38,1)+SUMIFS('26'!$N$37:$N$42,'26'!$AG$37:$AG$42,AK15,'26'!$AF$37:$AF$42,1)+SUMIFS('27'!$N$42:$N$47,'27'!$AG$42:$AG$47,AK15,'27'!$AF$42:$AF$47,1)+SUMIFS('28'!$N$37:$N$42,'28'!$AG$37:$AG$42,AK15,'28'!$AF$37:$AF$42,1)+SUMIFS('29'!$N$41:$N$46,'29'!$AG$41:$AG$46,AK15,'29'!$AF$41:$AF$46,1)+SUMIFS('30'!$N$33:$N$38,'30'!$AG$33:$AG$38,AK15,'30'!$AF$33:$AF$38,1)+SUMIFS('31'!$N$56:$N$61,'31'!$AG$56:$AG$61,AK15,'31'!$AF$56:$AF$61,1))/AM15)</f>
        <v>4.870967742</v>
      </c>
      <c r="AR15" s="66">
        <f>IF(AM15=0,"",(SUMIFS('1'!$O$30:$O$35,'1'!$AG$30:$AG$35,AK15,'1'!$AF$30:$AF$35,1)+SUMIFS('2'!$O$30:$O$35,'2'!$AG$30:$AG$35,AK15,'2'!$AF$30:$AF$35,1)+SUMIFS('3'!$O$30:$O$35,'3'!$AG$30:$AG$35,AK15,'3'!$AF$30:$AF$35,1)+SUMIFS('4'!$O$31:$O$36,'4'!$AG$31:$AG$36,AK15,'4'!$AF$31:$AF$36,1)+SUMIFS('5'!$O$31:$O$36,'5'!$AG$31:$AG$36,AK15,'5'!$AF$31:$AF$36,1)+SUMIFS('6'!$O$30:$O$35,'6'!$AG$30:$AG$35,AK15,'6'!$AF$30:$AF$35,1)+SUMIFS('7'!$O$30:$O$35,'7'!$AG$30:$AG$35,AK15,'7'!$AF$30:$AF$35,1)+SUMIFS('8'!$O$33:$O$38,'8'!$AG$33:$AG$38,AK15,'8'!$AF$33:$AF$38,1)+SUMIFS('9'!$O$30:$O$35,'9'!$AG$30:$AG$35,AK15,'9'!$AF$30:$AF$35,1)+SUMIFS('10'!$O$30:$O$35,'10'!$AG$30:$AG$35,AK15,'10'!$AF$30:$AF$35,1)+SUMIFS('11'!$O$34:$O$39,'11'!$AG$34:$AG$39,AK15,'11'!$AF$34:$AF$39,1)+SUMIFS('12'!$O$34:$O$39,'12'!$AG$34:$AG$39,AK15,'12'!$AF$34:$AF$39,1)+SUMIFS('13'!$O$31:$O$36,'13'!$AG$31:$AG$36,AK15,'13'!$AF$31:$AF$36,1)+SUMIFS('14'!$O$37:$O$42,'14'!$AG$37:$AG$42,AK15,'14'!$AF$37:$AF$42,1)+SUMIFS('15'!$O$36:$O$41,'15'!$AG$36:$AG$41,AK15,'15'!$AF$36:$AF$41,1)+SUMIFS('16'!$O$32:$O$37,'16'!$AG$32:$AG$37,AK15,'16'!$AF$32:$AF$37,1)+SUMIFS('17'!$O$37:$O$42,'17'!$AG$37:$AG$42,AK15,'17'!$AF$37:$AF$42,1)+SUMIFS('18'!$O$37:$O$42,'18'!$AG$37:$AG$42,AK15,'18'!$AF$37:$AF$42,1)+SUMIFS('19'!$O$30:$O$35,'19'!$AG$30:$AG$35,AK15,'19'!$AF$30:$AF$35,1)+SUMIFS('20'!$O$35:$O$40,'20'!$AG$35:$AG$40,AK15,'20'!$AF$35:$AF$40,1)+SUMIFS('21'!$O$30:$O$35,'21'!$AG$30:$AG$35,AK15,'21'!$AF$30:$AF$35,1)+SUMIFS('22'!$O$36:$O$41,'22'!$AG$36:$AG$41,AK15,'22'!$AF$36:$AF$41,1)+SUMIFS('23'!$O$46:$O$51,'23'!$AG$46:$AG$51,AK15,'23'!$AF$46:$AF$51,1)+SUMIFS('24'!$O$39:$O$44,'24'!$AG$39:$AG$44,AK15,'24'!$AF$39:$AF$44,1)+SUMIFS('25'!$O$33:$O$38,'25'!$AG$33:$AG$38,AK15,'25'!$AF$33:$AF$38,1)+SUMIFS('26'!$O$37:$O$42,'26'!$AG$37:$AG$42,AK15,'26'!$AF$37:$AF$42,1)+SUMIFS('27'!$O$42:$O$47,'27'!$AG$42:$AG$47,AK15,'27'!$AF$42:$AF$47,1)+SUMIFS('28'!$O$37:$O$42,'28'!$AG$37:$AG$42,AK15,'28'!$AF$37:$AF$42,1)+SUMIFS('29'!$O$41:$O$46,'29'!$AG$41:$AG$46,AK15,'29'!$AF$41:$AF$46,1)+SUMIFS('30'!$O$33:$O$38,'30'!$AG$33:$AG$38,AK15,'30'!$AF$33:$AF$38,1)+SUMIFS('31'!$O$56:$O$61,'31'!$AG$56:$AG$61,AK15,'31'!$AF$56:$AF$61,1))/AM15)</f>
        <v>4.806451613</v>
      </c>
      <c r="AS15" s="66">
        <f>IF(AM15=0,"",(SUMIFS('1'!$P$30:$P$35,'1'!$AG$30:$AG$35,AK15,'1'!$AF$30:$AF$35,1)+SUMIFS('2'!$P$30:$P$35,'2'!$AG$30:$AG$35,AK15,'2'!$AF$30:$AF$35,1)+SUMIFS('3'!$P$30:$P$35,'3'!$AG$30:$AG$35,AK15,'3'!$AF$30:$AF$35,1)+SUMIFS('4'!$P$31:$P$36,'4'!$AG$31:$AG$36,AK15,'4'!$AF$31:$AF$36,1)+SUMIFS('5'!$P$31:$P$36,'5'!$AG$31:$AG$36,AK15,'5'!$AF$31:$AF$36,1)+SUMIFS('6'!$P$30:$P$35,'6'!$AG$30:$AG$35,AK15,'6'!$AF$30:$AF$35,1)+SUMIFS('7'!$P$30:$P$35,'7'!$AG$30:$AG$35,AK15,'7'!$AF$30:$AF$35,1)+SUMIFS('8'!$P$33:$P$38,'8'!$AG$33:$AG$38,AK15,'8'!$AF$33:$AF$38,1)+SUMIFS('9'!$P$30:$P$35,'9'!$AG$30:$AG$35,AK15,'9'!$AF$30:$AF$35,1)+SUMIFS('10'!$P$30:$P$35,'10'!$AG$30:$AG$35,AK15,'10'!$AF$30:$AF$35,1)+SUMIFS('11'!$P$34:$P$39,'11'!$AG$34:$AG$39,AK15,'11'!$AF$34:$AF$39,1)+SUMIFS('12'!$P$34:$P$39,'12'!$AG$34:$AG$39,AK15,'12'!$AF$34:$AF$39,1)+SUMIFS('13'!$P$31:$P$36,'13'!$AG$31:$AG$36,AK15,'13'!$AF$31:$AF$36,1)+SUMIFS('14'!$P$37:$P$42,'14'!$AG$37:$AG$42,AK15,'14'!$AF$37:$AF$42,1)+SUMIFS('15'!$P$36:$P$41,'15'!$AG$36:$AG$41,AK15,'15'!$AF$36:$AF$41,1)+SUMIFS('16'!$P$32:$P$37,'16'!$AG$32:$AG$37,AK15,'16'!$AF$32:$AF$37,1)+SUMIFS('17'!$P$37:$P$42,'17'!$AG$37:$AG$42,AK15,'17'!$AF$37:$AF$42,1)+SUMIFS('18'!$P$37:$P$42,'18'!$AG$37:$AG$42,AK15,'18'!$AF$37:$AF$42,1)+SUMIFS('19'!$P$30:$P$35,'19'!$AG$30:$AG$35,AK15,'19'!$AF$30:$AF$35,1)+SUMIFS('20'!$P$35:$P$40,'20'!$AG$35:$AG$40,AK15,'20'!$AF$35:$AF$40,1)+SUMIFS('21'!$P$30:$P$35,'21'!$AG$30:$AG$35,AK15,'21'!$AF$30:$AF$35,1)+SUMIFS('22'!$P$36:$P$41,'22'!$AG$36:$AG$41,AK15,'22'!$AF$36:$AF$41,1)+SUMIFS('23'!$P$46:$P$51,'23'!$AG$46:$AG$51,AK15,'23'!$AF$46:$AF$51,1)+SUMIFS('24'!$P$39:$P$44,'24'!$AG$39:$AG$44,AK15,'24'!$AF$39:$AF$44,1)+SUMIFS('25'!$P$33:$P$38,'25'!$AG$33:$AG$38,AK15,'25'!$AF$33:$AF$38,1)+SUMIFS('26'!$P$37:$P$42,'26'!$AG$37:$AG$42,AK15,'26'!$AF$37:$AF$42,1)+SUMIFS('27'!$P$42:$P$47,'27'!$AG$42:$AG$47,AK15,'27'!$AF$42:$AF$47,1)+SUMIFS('28'!$P$37:$P$42,'28'!$AG$37:$AG$42,AK15,'28'!$AF$37:$AF$42,1)+SUMIFS('29'!$P$41:$P$46,'29'!$AG$41:$AG$46,AK15,'29'!$AF$41:$AF$46,1)+SUMIFS('30'!$P$33:$P$38,'30'!$AG$33:$AG$38,AK15,'30'!$AF$33:$AF$38,1)+SUMIFS('31'!$P$56:$P$61,'31'!$AG$56:$AG$61,AK15,'31'!$AF$56:$AF$61,1))/AM15)</f>
        <v>4.774193548</v>
      </c>
      <c r="AV15" s="66">
        <f>IF(COUNTIFS('1'!$AG$30:$AG$35,$AK15,'1'!$AF$30:$AF$35,1)=0,"",SUMIFS('1'!$AC$30:$AC$35,'1'!$AG$30:$AG$35,$AK15,'1'!$AF$30:$AF$35,1)/COUNTIFS('1'!$AG$30:$AG$35,$AK15,'1'!$AF$30:$AF$35,1))</f>
        <v>89</v>
      </c>
      <c r="AW15" s="66">
        <f>IF(COUNTIFS('2'!$AG$30:$AG$35,$AK15,'2'!$AF$30:$AF$35,1)=0,"",SUMIFS('2'!$AC$30:$AC$35,'2'!$AG$30:$AG$35,$AK15,'2'!$AF$30:$AF$35,1)/COUNTIFS('2'!$AG$30:$AG$35,$AK15,'2'!$AF$30:$AF$35,1))</f>
        <v>95</v>
      </c>
      <c r="AX15" s="66">
        <f>IF(COUNTIFS('3'!$AG$30:$AG$35,$AK15,'3'!$AF$30:$AF$35,1)=0,"",SUMIFS('3'!$AC$30:$AC$35,'3'!$AG$30:$AG$35,$AK15,'3'!$AF$30:$AF$35,1)/COUNTIFS('3'!$AG$30:$AG$35,$AK15,'3'!$AF$30:$AF$35,1))</f>
        <v>95</v>
      </c>
      <c r="AY15" s="66">
        <f>IF(COUNTIFS('4'!$AG$31:$AG$36,$AK15,'4'!$AF$31:$AF$36,1)=0,"",SUMIFS('4'!$AC$31:$AC$36,'4'!$AG$31:$AG$36,$AK15,'4'!$AF$31:$AF$36,1)/COUNTIFS('4'!$AG$31:$AG$36,$AK15,'4'!$AF$31:$AF$36,1))</f>
        <v>100</v>
      </c>
      <c r="AZ15" s="66">
        <f>IF(COUNTIFS('5'!$AG$31:$AG$36,$AK15,'5'!$AF$31:$AF$36,1)=0,"",SUMIFS('5'!$AC$31:$AC$36,'5'!$AG$31:$AG$36,$AK15,'5'!$AF$31:$AF$36,1)/COUNTIFS('5'!$AG$31:$AG$36,$AK15,'5'!$AF$31:$AF$36,1))</f>
        <v>100</v>
      </c>
      <c r="BA15" s="66">
        <f>IF(COUNTIFS('6'!$AG$30:$AG$35,$AK15,'6'!$AF$30:$AF$35,1)=0,"",SUMIFS('6'!$AC$30:$AC$35,'6'!$AG$30:$AG$35,$AK15,'6'!$AF$30:$AF$35,1)/COUNTIFS('6'!$AG$30:$AG$35,$AK15,'6'!$AF$30:$AF$35,1))</f>
        <v>89</v>
      </c>
      <c r="BB15" s="66">
        <f>IF(COUNTIFS('7'!$AG$30:$AG$35,$AK15,'7'!$AF$30:$AF$35,1)=0,"",SUMIFS('7'!$AC$30:$AC$35,'7'!$AG$30:$AG$35,$AK15,'7'!$AF$30:$AF$35,1)/COUNTIFS('7'!$AG$30:$AG$35,$AK15,'7'!$AF$30:$AF$35,1))</f>
        <v>100</v>
      </c>
      <c r="BC15" s="66" t="str">
        <f>IF(COUNTIFS('8'!$AG$33:$AG$38,$AK15,'8'!$AF$33:$AF$38,1)=0,"",SUMIFS('8'!$AC$33:$AC$38,'8'!$AG$33:$AG$38,$AK15,'8'!$AF$33:$AF$38,1)/COUNTIFS('8'!$AG$33:$AG$38,$AK15,'8'!$AF$33:$AF$38,1))</f>
        <v/>
      </c>
      <c r="BD15" s="66">
        <f>IF(COUNTIFS('9'!$AG$30:$AG$35,$AK15,'9'!$AF$30:$AF$35,1)=0,"",SUMIFS('9'!$AC$30:$AC$35,'9'!$AG$30:$AG$35,$AK15,'9'!$AF$30:$AF$35,1)/COUNTIFS('9'!$AG$30:$AG$35,$AK15,'9'!$AF$30:$AF$35,1))</f>
        <v>100</v>
      </c>
      <c r="BE15" s="66">
        <f>IF(COUNTIFS('10'!$AG$30:$AG$35,$AK15,'10'!$AF$30:$AF$35,1)=0,"",SUMIFS('10'!$AC$30:$AC$35,'10'!$AG$30:$AG$35,$AK15,'10'!$AF$30:$AF$35,1)/COUNTIFS('10'!$AG$30:$AG$35,$AK15,'10'!$AF$30:$AF$35,1))</f>
        <v>100</v>
      </c>
      <c r="BF15" s="66">
        <f>IF(COUNTIFS('11'!$AG$34:$AG$39,$AK15,'11'!$AF$34:$AF$39,1)=0,"",SUMIFS('11'!$AC$34:$AC$39,'11'!$AG$34:$AG$39,$AK15,'11'!$AF$34:$AF$39,1)/COUNTIFS('11'!$AG$34:$AG$39,$AK15,'11'!$AF$34:$AF$39,1))</f>
        <v>100</v>
      </c>
      <c r="BG15" s="66">
        <f>IF(COUNTIFS('12'!$AG$34:$AG$39,$AK15,'12'!$AF$34:$AF$39,1)=0,"",SUMIFS('12'!$AC$34:$AC$39,'12'!$AG$34:$AG$39,$AK15,'12'!$AF$34:$AF$39,1)/COUNTIFS('12'!$AG$34:$AG$39,$AK15,'12'!$AF$34:$AF$39,1))</f>
        <v>100</v>
      </c>
      <c r="BH15" s="66">
        <f>IF(COUNTIFS('13'!$AG$31:$AG$36,$AK15,'13'!$AF$31:$AF$36,1)=0,"",SUMIFS('13'!$AC$31:$AC$36,'13'!$AG$31:$AG$36,$AK15,'13'!$AF$31:$AF$36,1)/COUNTIFS('13'!$AG$31:$AG$36,$AK15,'13'!$AF$31:$AF$36,1))</f>
        <v>100</v>
      </c>
      <c r="BI15" s="66" t="str">
        <f>IF(COUNTIFS('14'!$AG$37:$AG$42,$AK15,'14'!$AF$37:$AF$42,1)=0,"",SUMIFS('14'!$AC$37:$AC$42,'14'!$AG$37:$AG$42,$AK15,'14'!$AF$37:$AF$42,1)/COUNTIFS('14'!$AG$37:$AG$42,$AK15,'14'!$AF$37:$AF$42,1))</f>
        <v/>
      </c>
      <c r="BJ15" s="66">
        <f>IF(COUNTIFS('15'!$AG$36:$AG$41,$AK15,'15'!$AF$36:$AF$41,1)=0,"",SUMIFS('15'!$AC$36:$AC$41,'15'!$AG$36:$AG$41,$AK15,'15'!$AF$36:$AF$41,1)/COUNTIFS('15'!$AG$36:$AG$41,$AK15,'15'!$AF$36:$AF$41,1))</f>
        <v>88</v>
      </c>
      <c r="BK15" s="66">
        <f>IF(COUNTIFS('16'!$AG$32:$AG$37,$AK15,'16'!$AF$32:$AF$37,1)=0,"",SUMIFS('16'!$AC$32:$AC$37,'16'!$AG$32:$AG$37,$AK15,'16'!$AF$32:$AF$37,1)/COUNTIFS('16'!$AG$32:$AG$37,$AK15,'16'!$AF$32:$AF$37,1))</f>
        <v>97</v>
      </c>
      <c r="BL15" s="66">
        <f>IF(COUNTIFS('17'!$AG$37:$AG$42,$AK15,'17'!$AF$37:$AF$42,1)=0,"",SUMIFS('17'!$AC$37:$AC$42,'17'!$AG$37:$AG$42,$AK15,'17'!$AF$37:$AF$42,1)/COUNTIFS('17'!$AG$37:$AG$42,$AK15,'17'!$AF$37:$AF$42,1))</f>
        <v>95</v>
      </c>
      <c r="BM15" s="66">
        <f>IF(COUNTIFS('18'!$AG$37:$AG$42,$AK15,'18'!$AF$37:$AF$42,1)=0,"",SUMIFS('18'!$AC$37:$AC$42,'18'!$AG$37:$AG$42,$AK15,'18'!$AF$37:$AF$42,1)/COUNTIFS('18'!$AG$37:$AG$42,$AK15,'18'!$AF$37:$AF$42,1))</f>
        <v>97</v>
      </c>
      <c r="BN15" s="66">
        <f>IF(COUNTIFS('19'!$AG$30:$AG$35,$AK15,'19'!$AF$30:$AF$35,1)=0,"",SUMIFS('19'!$AC$30:$AC$35,'19'!$AG$30:$AG$35,$AK15,'19'!$AF$30:$AF$35,1)/COUNTIFS('19'!$AG$30:$AG$35,$AK15,'19'!$AF$30:$AF$35,1))</f>
        <v>97</v>
      </c>
      <c r="BO15" s="66">
        <f>IF(COUNTIFS('20'!$AG$35:$AG$40,$AK15,'20'!$AF$35:$AF$40,1)=0,"",SUMIFS('20'!$AC$35:$AC$40,'20'!$AG$35:$AG$40,$AK15,'20'!$AF$35:$AF$40,1)/COUNTIFS('20'!$AG$35:$AG$40,$AK15,'20'!$AF$35:$AF$40,1))</f>
        <v>100</v>
      </c>
      <c r="BP15" s="66">
        <f>IF(COUNTIFS('21'!$AG$30:$AG$35,$AK15,'21'!$AF$30:$AF$35,1)=0,"",SUMIFS('21'!$AC$30:$AC$35,'21'!$AG$30:$AG$35,$AK15,'21'!$AF$30:$AF$35,1)/COUNTIFS('21'!$AG$30:$AG$35,$AK15,'21'!$AF$30:$AF$35,1))</f>
        <v>100</v>
      </c>
      <c r="BQ15" s="66" t="str">
        <f>IF(COUNTIFS('22'!$AG$36:$AG$41,$AK15,'22'!$AF$36:$AF$41,1)=0,"",SUMIFS('22'!$AC$36:$AC$41,'22'!$AG$36:$AG$41,$AK15,'22'!$AF$36:$AF$41,1)/COUNTIFS('22'!$AG$36:$AG$41,$AK15,'22'!$AF$36:$AF$41,1))</f>
        <v/>
      </c>
      <c r="BR15" s="66">
        <f>IF(COUNTIFS('23'!$AG$46:$AG$51,$AK15,'23'!$AF$46:$AF$51,1)=0,"",SUMIFS('23'!$AC$46:$AC$51,'23'!$AG$46:$AG$51,$AK15,'23'!$AF$46:$AF$51,1)/COUNTIFS('23'!$AG$46:$AG$51,$AK15,'23'!$AF$46:$AF$51,1))</f>
        <v>92</v>
      </c>
      <c r="BS15" s="66">
        <f>IF(COUNTIFS('24'!$AG$39:$AG$44,$AK15,'24'!$AF$39:$AF$44,1)=0,"",SUMIFS('24'!$AC$39:$AC$44,'24'!$AG$39:$AG$44,$AK15,'24'!$AF$39:$AF$44,1)/COUNTIFS('24'!$AG$39:$AG$44,$AK15,'24'!$AF$39:$AF$44,1))</f>
        <v>100</v>
      </c>
      <c r="BT15" s="66">
        <f>IF(COUNTIFS('25'!$AG$33:$AG$38,$AK15,'25'!$AF$33:$AF$38,1)=0,"",SUMIFS('25'!$AC$33:$AC$38,'25'!$AG$33:$AG$38,$AK15,'25'!$AF$33:$AF$38,1)/COUNTIFS('25'!$AG$33:$AG$38,$AK15,'25'!$AF$33:$AF$38,1))</f>
        <v>97</v>
      </c>
      <c r="BU15" s="66" t="str">
        <f>IF(COUNTIFS('26'!$AG$37:$AG$42,$AK15,'26'!$AF$37:$AF$42,1)=0,"",SUMIFS('26'!$AC$37:$AC$42,'26'!$AG$37:$AG$42,$AK15,'26'!$AF$37:$AF$42,1)/COUNTIFS('26'!$AG$37:$AG$42,$AK15,'26'!$AF$37:$AF$42,1))</f>
        <v/>
      </c>
      <c r="BV15" s="66">
        <f>IF(COUNTIFS('27'!$AG$42:$AG$47,$AK15,'27'!$AF$42:$AF$47,1)=0,"",SUMIFS('27'!$AC$42:$AC$47,'27'!$AG$42:$AG$47,$AK15,'27'!$AF$42:$AF$47,1)/COUNTIFS('27'!$AG$42:$AG$47,$AK15,'27'!$AF$42:$AF$47,1))</f>
        <v>92</v>
      </c>
      <c r="BW15" s="66">
        <f>IF(COUNTIFS('28'!$AG$37:$AG$42,$AK15,'28'!$AF$37:$AF$42,1)=0,"",SUMIFS('28'!$AC$37:$AC$42,'28'!$AG$37:$AG$42,$AK15,'28'!$AF$37:$AF$42,1)/COUNTIFS('28'!$AG$37:$AG$42,$AK15,'28'!$AF$37:$AF$42,1))</f>
        <v>100</v>
      </c>
      <c r="BX15" s="66">
        <f>IF(COUNTIFS('29'!$AG$41:$AG$46,$AK15,'29'!$AF$41:$AF$46,1)=0,"",SUMIFS('29'!$AC$41:$AC$46,'29'!$AG$41:$AG$46,$AK15,'29'!$AF$41:$AF$46,1)/COUNTIFS('29'!$AG$41:$AG$46,$AK15,'29'!$AF$41:$AF$46,1))</f>
        <v>100</v>
      </c>
      <c r="BY15" s="66">
        <f>IF(COUNTIFS('30'!$AG$33:$AG$38,$AK15,'30'!$AF$33:$AF$38,1)=0,"",SUMIFS('30'!$AC$33:$AC$38,'30'!$AG$33:$AG$38,$AK15,'30'!$AF$33:$AF$38,1)/COUNTIFS('30'!$AG$33:$AG$38,$AK15,'30'!$AF$33:$AF$38,1))</f>
        <v>100</v>
      </c>
      <c r="BZ15" s="66">
        <f>IF(COUNTIFS('31'!$AG$56:$AG$61,$AK15,'31'!$AF$56:$AF$61,1)=0,"",SUMIFS('31'!$AC$56:$AC$61,'31'!$AG$56:$AG$61,$AK15,'31'!$AF$56:$AF$61,1)/COUNTIFS('31'!$AG$56:$AG$61,$AK15,'31'!$AF$56:$AF$61,1))</f>
        <v>95</v>
      </c>
    </row>
    <row r="16">
      <c r="A16" s="141">
        <f>IF(LARGE($Y$5:$Y$17,11)=0,"",11)</f>
        <v>11</v>
      </c>
      <c r="B16" s="141" t="str">
        <f t="shared" si="7"/>
        <v>Studio Rent</v>
      </c>
      <c r="C16" s="141">
        <f t="shared" si="8"/>
        <v>3</v>
      </c>
      <c r="D16" s="142">
        <f t="shared" si="9"/>
        <v>0.00618556701</v>
      </c>
      <c r="E16" s="142">
        <f t="shared" si="10"/>
        <v>0.9958762887</v>
      </c>
      <c r="X16" s="66" t="s">
        <v>215</v>
      </c>
      <c r="Y16" s="66">
        <f>COUNTIF('1'!$D$4:$D$21,X16)+COUNTIF('2'!$D$4:$D$21,X16)+COUNTIF('3'!$D$4:$D$21,X16)+COUNTIF('4'!$D$4:$D$22,X16)+COUNTIF('5'!$D$4:$D$22,X16)+COUNTIF('6'!$D$4:$D$21,X16)+COUNTIF('7'!$D$4:$D$21,X16)+COUNTIF('8'!$D$4:$D$24,X16)+COUNTIF('9'!$D$4:$D$21,X16)+COUNTIF('10'!$D$4:$D$21,X16)+COUNTIF('11'!$D$4:$D$25,X16)+COUNTIF('12'!$D$4:$D$25,X16)+COUNTIF('13'!$D$4:$D$22,X16)+COUNTIF('14'!$D$4:$D$28,X16)+COUNTIF('15'!$D$4:$D$27,X16)+COUNTIF('16'!$D$4:$D$23,X16)+COUNTIF('17'!$D$4:$D$28,X16)+COUNTIF('18'!$D$4:$D$28,X16)+COUNTIF('19'!$D$4:$D$21,X16)+COUNTIF('20'!$D$4:$D$26,X16)+COUNTIF('21'!$D$4:$D$21,X16)+COUNTIF('22'!$D$4:$D$27,X16)+COUNTIF('23'!$D$4:$D$37,X16)+COUNTIF('24'!$D$4:$D$30,X16)+COUNTIF('25'!$D$4:$D$24,X16)+COUNTIF('26'!$D$4:$D$28,X16)+COUNTIF('27'!$D$4:$D$33,X16)+COUNTIF('28'!$D$4:$D$28,X16)+COUNTIF('29'!$D$4:$D$32,X16)+COUNTIF('30'!$D$4:$D$24,X16)+COUNTIF('31'!$D$4:$D$45,X16)</f>
        <v>1</v>
      </c>
      <c r="Z16" s="66">
        <f t="shared" si="1"/>
        <v>1.00002</v>
      </c>
    </row>
    <row r="17">
      <c r="A17" s="141">
        <f>IF(LARGE($Y$5:$Y$17,12)=0,"",12)</f>
        <v>12</v>
      </c>
      <c r="B17" s="141" t="str">
        <f t="shared" si="7"/>
        <v>Frame</v>
      </c>
      <c r="C17" s="141">
        <f t="shared" si="8"/>
        <v>1</v>
      </c>
      <c r="D17" s="142">
        <f t="shared" si="9"/>
        <v>0.00206185567</v>
      </c>
      <c r="E17" s="142">
        <f t="shared" si="10"/>
        <v>0.9979381443</v>
      </c>
      <c r="X17" s="66" t="s">
        <v>43</v>
      </c>
      <c r="Y17" s="66">
        <f>COUNTIF('1'!$D$4:$D$21,X17)+COUNTIF('2'!$D$4:$D$21,X17)+COUNTIF('3'!$D$4:$D$21,X17)+COUNTIF('4'!$D$4:$D$22,X17)+COUNTIF('5'!$D$4:$D$22,X17)+COUNTIF('6'!$D$4:$D$21,X17)+COUNTIF('7'!$D$4:$D$21,X17)+COUNTIF('8'!$D$4:$D$24,X17)+COUNTIF('9'!$D$4:$D$21,X17)+COUNTIF('10'!$D$4:$D$21,X17)+COUNTIF('11'!$D$4:$D$25,X17)+COUNTIF('12'!$D$4:$D$25,X17)+COUNTIF('13'!$D$4:$D$22,X17)+COUNTIF('14'!$D$4:$D$28,X17)+COUNTIF('15'!$D$4:$D$27,X17)+COUNTIF('16'!$D$4:$D$23,X17)+COUNTIF('17'!$D$4:$D$28,X17)+COUNTIF('18'!$D$4:$D$28,X17)+COUNTIF('19'!$D$4:$D$21,X17)+COUNTIF('20'!$D$4:$D$26,X17)+COUNTIF('21'!$D$4:$D$21,X17)+COUNTIF('22'!$D$4:$D$27,X17)+COUNTIF('23'!$D$4:$D$37,X17)+COUNTIF('24'!$D$4:$D$30,X17)+COUNTIF('25'!$D$4:$D$24,X17)+COUNTIF('26'!$D$4:$D$28,X17)+COUNTIF('27'!$D$4:$D$33,X17)+COUNTIF('28'!$D$4:$D$28,X17)+COUNTIF('29'!$D$4:$D$32,X17)+COUNTIF('30'!$D$4:$D$24,X17)+COUNTIF('31'!$D$4:$D$45,X17)</f>
        <v>1</v>
      </c>
      <c r="Z17" s="66">
        <f t="shared" si="1"/>
        <v>1.00001</v>
      </c>
    </row>
    <row r="18">
      <c r="A18" s="141">
        <f>IF(LARGE($Y$5:$Y$17,13)=0,"",13)</f>
        <v>13</v>
      </c>
      <c r="B18" s="141" t="str">
        <f t="shared" si="7"/>
        <v>Photo Fox</v>
      </c>
      <c r="C18" s="141">
        <f t="shared" si="8"/>
        <v>1</v>
      </c>
      <c r="D18" s="142">
        <f t="shared" si="9"/>
        <v>0.00206185567</v>
      </c>
      <c r="E18" s="142">
        <f t="shared" si="10"/>
        <v>1</v>
      </c>
      <c r="AV18" s="66">
        <f t="shared" ref="AV18:BZ18" si="11">IF(COUNT(AV5:AV15)=0,"",AVERAGE(AV5:AV15))</f>
        <v>92.5</v>
      </c>
      <c r="AW18" s="66">
        <f t="shared" si="11"/>
        <v>98.75</v>
      </c>
      <c r="AX18" s="66">
        <f t="shared" si="11"/>
        <v>98.75</v>
      </c>
      <c r="AY18" s="66">
        <f t="shared" si="11"/>
        <v>100</v>
      </c>
      <c r="AZ18" s="66">
        <f t="shared" si="11"/>
        <v>100</v>
      </c>
      <c r="BA18" s="66">
        <f t="shared" si="11"/>
        <v>89</v>
      </c>
      <c r="BB18" s="66">
        <f t="shared" si="11"/>
        <v>100</v>
      </c>
      <c r="BC18" s="66">
        <f t="shared" si="11"/>
        <v>100</v>
      </c>
      <c r="BD18" s="66">
        <f t="shared" si="11"/>
        <v>100</v>
      </c>
      <c r="BE18" s="66">
        <f t="shared" si="11"/>
        <v>100</v>
      </c>
      <c r="BF18" s="66">
        <f t="shared" si="11"/>
        <v>100</v>
      </c>
      <c r="BG18" s="66">
        <f t="shared" si="11"/>
        <v>100</v>
      </c>
      <c r="BH18" s="66">
        <f t="shared" si="11"/>
        <v>100</v>
      </c>
      <c r="BI18" s="66">
        <f t="shared" si="11"/>
        <v>100</v>
      </c>
      <c r="BJ18" s="66">
        <f t="shared" si="11"/>
        <v>94</v>
      </c>
      <c r="BK18" s="66">
        <f t="shared" si="11"/>
        <v>94.5</v>
      </c>
      <c r="BL18" s="66">
        <f t="shared" si="11"/>
        <v>96</v>
      </c>
      <c r="BM18" s="66">
        <f t="shared" si="11"/>
        <v>97</v>
      </c>
      <c r="BN18" s="66">
        <f t="shared" si="11"/>
        <v>97.75</v>
      </c>
      <c r="BO18" s="66">
        <f t="shared" si="11"/>
        <v>97.25</v>
      </c>
      <c r="BP18" s="66">
        <f t="shared" si="11"/>
        <v>100</v>
      </c>
      <c r="BQ18" s="66">
        <f t="shared" si="11"/>
        <v>98.33333333</v>
      </c>
      <c r="BR18" s="66">
        <f t="shared" si="11"/>
        <v>93.66666667</v>
      </c>
      <c r="BS18" s="66">
        <f t="shared" si="11"/>
        <v>99.25</v>
      </c>
      <c r="BT18" s="66">
        <f t="shared" si="11"/>
        <v>98.5</v>
      </c>
      <c r="BU18" s="66">
        <f t="shared" si="11"/>
        <v>100</v>
      </c>
      <c r="BV18" s="66">
        <f t="shared" si="11"/>
        <v>92.25</v>
      </c>
      <c r="BW18" s="66">
        <f t="shared" si="11"/>
        <v>100</v>
      </c>
      <c r="BX18" s="66">
        <f t="shared" si="11"/>
        <v>100</v>
      </c>
      <c r="BY18" s="66">
        <f t="shared" si="11"/>
        <v>100</v>
      </c>
      <c r="BZ18" s="66">
        <f t="shared" si="11"/>
        <v>98.75</v>
      </c>
    </row>
    <row r="19">
      <c r="A19" s="141" t="s">
        <v>606</v>
      </c>
      <c r="C19" s="141">
        <f>SUM(C6:C18)</f>
        <v>485</v>
      </c>
      <c r="D19" s="142"/>
      <c r="E19" s="142">
        <f>SUM(D6:D18)</f>
        <v>1</v>
      </c>
    </row>
    <row r="21" ht="15.75" customHeight="1"/>
    <row r="22" ht="15.75" customHeight="1"/>
    <row r="23" ht="15.75" customHeight="1">
      <c r="A23" s="130" t="s">
        <v>607</v>
      </c>
      <c r="F23" s="130" t="s">
        <v>608</v>
      </c>
    </row>
    <row r="24" ht="15.75" customHeight="1">
      <c r="A24" s="131" t="s">
        <v>1</v>
      </c>
      <c r="B24" s="131" t="s">
        <v>609</v>
      </c>
      <c r="C24" s="131" t="s">
        <v>610</v>
      </c>
      <c r="D24" s="131" t="s">
        <v>611</v>
      </c>
      <c r="F24" s="131" t="s">
        <v>549</v>
      </c>
      <c r="G24" s="131" t="s">
        <v>7</v>
      </c>
      <c r="H24" s="131" t="s">
        <v>612</v>
      </c>
      <c r="I24" s="131" t="s">
        <v>613</v>
      </c>
    </row>
    <row r="25" ht="15.75" customHeight="1">
      <c r="A25" s="141" t="str">
        <f t="array" ref="A25">IF(LARGE($AC$5:$AC$15,1)=0,"",INDEX($AA$5:$AA$15,MATCH(LARGE($AD$5:$AD$15,1),$AD$5:$AD$15,0)))</f>
        <v>INDAH</v>
      </c>
      <c r="B25" s="141" t="str">
        <f t="shared" ref="B25:B35" si="12">IF(A25="","",INDEX($AB$5:$AB$15,MATCH(A25,$AA$5:$AA$15,0)))</f>
        <v>Admin/CS</v>
      </c>
      <c r="C25" s="141">
        <f t="shared" ref="C25:C35" si="13">IF(A25="","",INDEX($AC$5:$AC$15,MATCH(A25,$AA$5:$AA$15,0)))</f>
        <v>31</v>
      </c>
      <c r="D25" s="142">
        <f t="shared" ref="D25:D35" si="14">IF(A25="","",IFERROR(C25/SUM($C$25:$C$35),0))</f>
        <v>0.25</v>
      </c>
      <c r="F25" s="141">
        <f>IF(LARGE($AF$5:$AF$9,1)=0,"",1)</f>
        <v>1</v>
      </c>
      <c r="G25" s="141" t="str">
        <f t="shared" ref="G25:G29" si="15">IF(F25="","",INDEX($AE$5:$AE$9,MATCH(LARGE($AG$5:$AG$9,F25),$AG$5:$AG$9,0)))</f>
        <v>INDAH</v>
      </c>
      <c r="H25" s="141">
        <f t="shared" ref="H25:H29" si="16">IF(G25="","",INDEX($AF$5:$AF$9,MATCH(G25,$AE$5:$AE$9,0)))</f>
        <v>261</v>
      </c>
      <c r="I25" s="142">
        <f t="shared" ref="I25:I29" si="17">IF(H25="","",IFERROR(H25/SUM($H$25:$H$29),0))</f>
        <v>0.5178571429</v>
      </c>
    </row>
    <row r="26" ht="15.75" customHeight="1">
      <c r="A26" s="141" t="str">
        <f t="array" ref="A26">IF(LARGE($AC$5:$AC$15,2)=0,"",INDEX($AA$5:$AA$15,MATCH(LARGE($AD$5:$AD$15,2),$AD$5:$AD$15,0)))</f>
        <v>AMEL</v>
      </c>
      <c r="B26" s="141" t="str">
        <f t="shared" si="12"/>
        <v>Admin/CS</v>
      </c>
      <c r="C26" s="141">
        <f t="shared" si="13"/>
        <v>31</v>
      </c>
      <c r="D26" s="142">
        <f t="shared" si="14"/>
        <v>0.25</v>
      </c>
      <c r="F26" s="141">
        <f>IF(LARGE($AF$5:$AF$9,2)=0,"",2)</f>
        <v>2</v>
      </c>
      <c r="G26" s="141" t="str">
        <f t="shared" si="15"/>
        <v>AMEL</v>
      </c>
      <c r="H26" s="141">
        <f t="shared" si="16"/>
        <v>241</v>
      </c>
      <c r="I26" s="142">
        <f t="shared" si="17"/>
        <v>0.4781746032</v>
      </c>
    </row>
    <row r="27" ht="15.75" customHeight="1">
      <c r="A27" s="141" t="str">
        <f t="array" ref="A27">IF(LARGE($AC$5:$AC$15,3)=0,"",INDEX($AA$5:$AA$15,MATCH(LARGE($AD$5:$AD$15,3),$AD$5:$AD$15,0)))</f>
        <v>ADIF</v>
      </c>
      <c r="B27" s="141" t="str">
        <f t="shared" si="12"/>
        <v>Fotografer</v>
      </c>
      <c r="C27" s="141">
        <f t="shared" si="13"/>
        <v>31</v>
      </c>
      <c r="D27" s="142">
        <f t="shared" si="14"/>
        <v>0.25</v>
      </c>
      <c r="F27" s="141">
        <f>IF(LARGE($AF$5:$AF$9,3)=0,"",3)</f>
        <v>3</v>
      </c>
      <c r="G27" s="141" t="str">
        <f t="shared" si="15"/>
        <v>PENTIL</v>
      </c>
      <c r="H27" s="141">
        <f t="shared" si="16"/>
        <v>2</v>
      </c>
      <c r="I27" s="142">
        <f t="shared" si="17"/>
        <v>0.003968253968</v>
      </c>
    </row>
    <row r="28" ht="15.75" customHeight="1">
      <c r="A28" s="141" t="str">
        <f t="array" ref="A28">IF(LARGE($AC$5:$AC$15,4)=0,"",INDEX($AA$5:$AA$15,MATCH(LARGE($AD$5:$AD$15,4),$AD$5:$AD$15,0)))</f>
        <v>SAKA</v>
      </c>
      <c r="B28" s="141" t="str">
        <f t="shared" si="12"/>
        <v>Fotografer</v>
      </c>
      <c r="C28" s="141">
        <f t="shared" si="13"/>
        <v>31</v>
      </c>
      <c r="D28" s="142">
        <f t="shared" si="14"/>
        <v>0.25</v>
      </c>
      <c r="F28" s="141" t="str">
        <f>IF(LARGE($AF$5:$AF$9,4)=0,"",4)</f>
        <v/>
      </c>
      <c r="G28" s="141" t="str">
        <f t="shared" si="15"/>
        <v/>
      </c>
      <c r="H28" s="141" t="str">
        <f t="shared" si="16"/>
        <v/>
      </c>
      <c r="I28" s="142" t="str">
        <f t="shared" si="17"/>
        <v/>
      </c>
    </row>
    <row r="29" ht="15.75" customHeight="1">
      <c r="A29" s="141" t="str">
        <f t="array" ref="A29">IF(LARGE($AC$5:$AC$15,5)=0,"",INDEX($AA$5:$AA$15,MATCH(LARGE($AD$5:$AD$15,5),$AD$5:$AD$15,0)))</f>
        <v/>
      </c>
      <c r="B29" s="141" t="str">
        <f t="shared" si="12"/>
        <v/>
      </c>
      <c r="C29" s="141" t="str">
        <f t="shared" si="13"/>
        <v/>
      </c>
      <c r="D29" s="142" t="str">
        <f t="shared" si="14"/>
        <v/>
      </c>
      <c r="F29" s="141" t="str">
        <f>IF(LARGE($AF$5:$AF$9,5)=0,"",5)</f>
        <v/>
      </c>
      <c r="G29" s="141" t="str">
        <f t="shared" si="15"/>
        <v/>
      </c>
      <c r="H29" s="141" t="str">
        <f t="shared" si="16"/>
        <v/>
      </c>
      <c r="I29" s="142" t="str">
        <f t="shared" si="17"/>
        <v/>
      </c>
    </row>
    <row r="30" ht="15.75" customHeight="1">
      <c r="A30" s="141" t="str">
        <f t="array" ref="A30">IF(LARGE($AC$5:$AC$15,6)=0,"",INDEX($AA$5:$AA$15,MATCH(LARGE($AD$5:$AD$15,6),$AD$5:$AD$15,0)))</f>
        <v/>
      </c>
      <c r="B30" s="141" t="str">
        <f t="shared" si="12"/>
        <v/>
      </c>
      <c r="C30" s="141" t="str">
        <f t="shared" si="13"/>
        <v/>
      </c>
      <c r="D30" s="142" t="str">
        <f t="shared" si="14"/>
        <v/>
      </c>
    </row>
    <row r="31" ht="15.75" customHeight="1">
      <c r="A31" s="141" t="str">
        <f t="array" ref="A31">IF(LARGE($AC$5:$AC$15,7)=0,"",INDEX($AA$5:$AA$15,MATCH(LARGE($AD$5:$AD$15,7),$AD$5:$AD$15,0)))</f>
        <v/>
      </c>
      <c r="B31" s="141" t="str">
        <f t="shared" si="12"/>
        <v/>
      </c>
      <c r="C31" s="141" t="str">
        <f t="shared" si="13"/>
        <v/>
      </c>
      <c r="D31" s="142" t="str">
        <f t="shared" si="14"/>
        <v/>
      </c>
      <c r="F31" s="130" t="s">
        <v>614</v>
      </c>
    </row>
    <row r="32" ht="15.75" customHeight="1">
      <c r="A32" s="141" t="str">
        <f t="array" ref="A32">IF(LARGE($AC$5:$AC$15,8)=0,"",INDEX($AA$5:$AA$15,MATCH(LARGE($AD$5:$AD$15,8),$AD$5:$AD$15,0)))</f>
        <v/>
      </c>
      <c r="B32" s="141" t="str">
        <f t="shared" si="12"/>
        <v/>
      </c>
      <c r="C32" s="141" t="str">
        <f t="shared" si="13"/>
        <v/>
      </c>
      <c r="D32" s="142" t="str">
        <f t="shared" si="14"/>
        <v/>
      </c>
      <c r="F32" s="131" t="s">
        <v>549</v>
      </c>
      <c r="G32" s="131" t="s">
        <v>603</v>
      </c>
      <c r="H32" s="131" t="s">
        <v>612</v>
      </c>
      <c r="I32" s="131" t="s">
        <v>613</v>
      </c>
    </row>
    <row r="33" ht="15.75" customHeight="1">
      <c r="A33" s="141" t="str">
        <f t="array" ref="A33">IF(LARGE($AC$5:$AC$15,9)=0,"",INDEX($AA$5:$AA$15,MATCH(LARGE($AD$5:$AD$15,9),$AD$5:$AD$15,0)))</f>
        <v/>
      </c>
      <c r="B33" s="141" t="str">
        <f t="shared" si="12"/>
        <v/>
      </c>
      <c r="C33" s="141" t="str">
        <f t="shared" si="13"/>
        <v/>
      </c>
      <c r="D33" s="142" t="str">
        <f t="shared" si="14"/>
        <v/>
      </c>
      <c r="F33" s="141">
        <f>IF(LARGE($AI$5:$AI$10,1)=0,"",1)</f>
        <v>1</v>
      </c>
      <c r="G33" s="141" t="str">
        <f t="shared" ref="G33:G38" si="18">IF(F33="","",INDEX($AH$5:$AH$10,MATCH(LARGE($AJ$5:$AJ$10,F33),$AJ$5:$AJ$10,0)))</f>
        <v>SAKA</v>
      </c>
      <c r="H33" s="141">
        <f t="shared" ref="H33:H38" si="19">IF(G33="","",INDEX($AI$5:$AI$10,MATCH(G33,$AH$5:$AH$10,0)))</f>
        <v>105</v>
      </c>
      <c r="I33" s="142">
        <f t="shared" ref="I33:I38" si="20">IF(H33="","",IFERROR(H33/SUM($H$33:$H$38),0))</f>
        <v>0.5072463768</v>
      </c>
    </row>
    <row r="34" ht="15.75" customHeight="1">
      <c r="A34" s="141" t="str">
        <f t="array" ref="A34">IF(LARGE($AC$5:$AC$15,10)=0,"",INDEX($AA$5:$AA$15,MATCH(LARGE($AD$5:$AD$15,10),$AD$5:$AD$15,0)))</f>
        <v/>
      </c>
      <c r="B34" s="141" t="str">
        <f t="shared" si="12"/>
        <v/>
      </c>
      <c r="C34" s="141" t="str">
        <f t="shared" si="13"/>
        <v/>
      </c>
      <c r="D34" s="142" t="str">
        <f t="shared" si="14"/>
        <v/>
      </c>
      <c r="F34" s="141">
        <f>IF(LARGE($AI$5:$AI$10,2)=0,"",2)</f>
        <v>2</v>
      </c>
      <c r="G34" s="141" t="str">
        <f t="shared" si="18"/>
        <v>ADIF</v>
      </c>
      <c r="H34" s="141">
        <f t="shared" si="19"/>
        <v>102</v>
      </c>
      <c r="I34" s="142">
        <f t="shared" si="20"/>
        <v>0.4927536232</v>
      </c>
    </row>
    <row r="35" ht="15.75" customHeight="1">
      <c r="A35" s="141" t="str">
        <f t="array" ref="A35">IF(LARGE($AC$5:$AC$15,11)=0,"",INDEX($AA$5:$AA$15,MATCH(LARGE($AD$5:$AD$15,11),$AD$5:$AD$15,0)))</f>
        <v/>
      </c>
      <c r="B35" s="141" t="str">
        <f t="shared" si="12"/>
        <v/>
      </c>
      <c r="C35" s="141" t="str">
        <f t="shared" si="13"/>
        <v/>
      </c>
      <c r="D35" s="142" t="str">
        <f t="shared" si="14"/>
        <v/>
      </c>
      <c r="F35" s="141" t="str">
        <f>IF(LARGE($AI$5:$AI$10,3)=0,"",3)</f>
        <v/>
      </c>
      <c r="G35" s="141" t="str">
        <f t="shared" si="18"/>
        <v/>
      </c>
      <c r="H35" s="141" t="str">
        <f t="shared" si="19"/>
        <v/>
      </c>
      <c r="I35" s="142" t="str">
        <f t="shared" si="20"/>
        <v/>
      </c>
    </row>
    <row r="36" ht="15.75" customHeight="1">
      <c r="F36" s="141" t="str">
        <f>IF(LARGE($AI$5:$AI$10,4)=0,"",4)</f>
        <v/>
      </c>
      <c r="G36" s="141" t="str">
        <f t="shared" si="18"/>
        <v/>
      </c>
      <c r="H36" s="141" t="str">
        <f t="shared" si="19"/>
        <v/>
      </c>
      <c r="I36" s="142" t="str">
        <f t="shared" si="20"/>
        <v/>
      </c>
    </row>
    <row r="37" ht="15.75" customHeight="1">
      <c r="F37" s="141" t="str">
        <f>IF(LARGE($AI$5:$AI$10,5)=0,"",5)</f>
        <v/>
      </c>
      <c r="G37" s="141" t="str">
        <f t="shared" si="18"/>
        <v/>
      </c>
      <c r="H37" s="141" t="str">
        <f t="shared" si="19"/>
        <v/>
      </c>
      <c r="I37" s="142" t="str">
        <f t="shared" si="20"/>
        <v/>
      </c>
    </row>
    <row r="38" ht="15.75" customHeight="1">
      <c r="F38" s="141" t="str">
        <f>IF(LARGE($AI$5:$AI$10,6)=0,"",6)</f>
        <v/>
      </c>
      <c r="G38" s="141" t="str">
        <f t="shared" si="18"/>
        <v/>
      </c>
      <c r="H38" s="141" t="str">
        <f t="shared" si="19"/>
        <v/>
      </c>
      <c r="I38" s="142" t="str">
        <f t="shared" si="20"/>
        <v/>
      </c>
    </row>
    <row r="39" ht="15.75" customHeight="1"/>
    <row r="40" ht="15.75" customHeight="1"/>
    <row r="41" ht="15.75" customHeight="1"/>
    <row r="42" ht="15.75" customHeight="1"/>
    <row r="43" ht="15.75" customHeight="1">
      <c r="A43" s="130" t="s">
        <v>615</v>
      </c>
    </row>
    <row r="44" ht="15.75" customHeight="1"/>
    <row r="45" ht="15.75" customHeight="1">
      <c r="A45" s="131" t="s">
        <v>582</v>
      </c>
      <c r="D45" s="131" t="s">
        <v>616</v>
      </c>
      <c r="G45" s="131" t="s">
        <v>617</v>
      </c>
      <c r="J45" s="131" t="s">
        <v>618</v>
      </c>
    </row>
    <row r="46" ht="15.75" customHeight="1">
      <c r="A46" s="147">
        <f>IF(COUNTIF($C$51:$C$61,"&gt;0")=0,"",AVERAGEIF($D$51:$D$61,"&gt;0",$D$51:$D$61))</f>
        <v>0.9791935484</v>
      </c>
      <c r="D46" s="147">
        <f>IF(COUNTIFS($B$51:$B$61,"Admin/CS",$C$51:$C$61,"&gt;0")=0,"",SUMIFS($D$51:$D$61,$B$51:$B$61,"Admin/CS",$C$51:$C$61,"&gt;0")/COUNTIFS($B$51:$B$61,"Admin/CS",$C$51:$C$61,"&gt;0"))</f>
        <v>0.9793548387</v>
      </c>
      <c r="G46" s="147">
        <f>IF(COUNTIFS($B$51:$B$61,"Fotografer",$C$51:$C$61,"&gt;0")=0,"",SUMIFS($D$51:$D$61,$B$51:$B$61,"Fotografer",$C$51:$C$61,"&gt;0")/COUNTIFS($B$51:$B$61,"Fotografer",$C$51:$C$61,"&gt;0"))</f>
        <v>0.9790322581</v>
      </c>
      <c r="J46" s="148" t="str">
        <f t="array" ref="J46">IF(COUNTIF($C$51:$C$61,"&gt;0")=0,"-",INDEX($A$51:$A$61,MATCH(MAX($D$51:$D$61),$D$51:$D$61,0))&amp;" | "&amp;TEXT(MAX($D$51:$D$61),"0.0%"))</f>
        <v>INDAH | 99.1%</v>
      </c>
    </row>
    <row r="47" ht="15.75" customHeight="1"/>
    <row r="48" ht="15.75" customHeight="1"/>
    <row r="49" ht="15.75" customHeight="1"/>
    <row r="50" ht="15.75" customHeight="1">
      <c r="A50" s="131" t="s">
        <v>1</v>
      </c>
      <c r="B50" s="131" t="s">
        <v>609</v>
      </c>
      <c r="C50" s="131" t="s">
        <v>587</v>
      </c>
      <c r="D50" s="131" t="s">
        <v>588</v>
      </c>
      <c r="E50" s="131" t="s">
        <v>102</v>
      </c>
      <c r="F50" s="131" t="s">
        <v>103</v>
      </c>
      <c r="G50" s="131" t="s">
        <v>104</v>
      </c>
      <c r="H50" s="131" t="s">
        <v>105</v>
      </c>
      <c r="I50" s="131" t="s">
        <v>106</v>
      </c>
      <c r="J50" s="131" t="s">
        <v>619</v>
      </c>
      <c r="K50" s="131" t="s">
        <v>620</v>
      </c>
    </row>
    <row r="51" ht="15.75" customHeight="1">
      <c r="A51" s="141" t="str">
        <f t="shared" ref="A51:C51" si="21">AK5</f>
        <v>INDAH</v>
      </c>
      <c r="B51" s="141" t="str">
        <f t="shared" si="21"/>
        <v>Admin/CS</v>
      </c>
      <c r="C51" s="149">
        <f t="shared" si="21"/>
        <v>31</v>
      </c>
      <c r="D51" s="142">
        <f t="shared" ref="D51:D61" si="23">IF(C51=0,"",AN5/100)</f>
        <v>0.9912903226</v>
      </c>
      <c r="E51" s="150">
        <f t="shared" ref="E51:E61" si="24">IF(C51=0,"",AO5)</f>
        <v>5</v>
      </c>
      <c r="F51" s="150">
        <f t="shared" ref="F51:F61" si="25">IF(C51=0,"",AP5)</f>
        <v>4.935483871</v>
      </c>
      <c r="G51" s="150">
        <f t="shared" ref="G51:G61" si="26">IF(C51=0,"",AQ5)</f>
        <v>4.967741935</v>
      </c>
      <c r="H51" s="150">
        <f t="shared" ref="H51:H61" si="27">IF(C51=0,"",AR5)</f>
        <v>4.935483871</v>
      </c>
      <c r="I51" s="150">
        <f t="shared" ref="I51:I61" si="28">IF(C51=0,"",AS5)</f>
        <v>4.935483871</v>
      </c>
      <c r="J51" s="141" t="str">
        <f t="shared" ref="J51:J61" si="29">IF(D51="","Belum Dinilai",IF(D51&gt;=0.9,"Sangat Baik",IF(D51&gt;=0.8,"Baik",IF(D51&gt;=0.7,"Coaching","Underperform"))))</f>
        <v>Sangat Baik</v>
      </c>
      <c r="K51" s="77" t="str">
        <f t="shared" ref="K51:K61" si="30">IF(C51=0,"Belum Ada",IF((LOOKUP(2,1/(AV5:BZ5&lt;&gt;""),AV5:BZ5)-AN5)&gt;1,"▲ +"&amp;TEXT(LOOKUP(2,1/(AV5:BZ5&lt;&gt;""),AV5:BZ5)-AN5,"0"),IF((LOOKUP(2,1/(AV5:BZ5&lt;&gt;""),AV5:BZ5)-AN5)&lt;-1,"▼ "&amp;TEXT(LOOKUP(2,1/(AV5:BZ5&lt;&gt;""),AV5:BZ5)-AN5,"0"),"→ Stabil")))</f>
        <v>#N/A</v>
      </c>
    </row>
    <row r="52" ht="15.75" customHeight="1">
      <c r="A52" s="141" t="str">
        <f t="shared" ref="A52:C52" si="22">AK6</f>
        <v>ADDEL</v>
      </c>
      <c r="B52" s="141" t="str">
        <f t="shared" si="22"/>
        <v>Admin/CS</v>
      </c>
      <c r="C52" s="149">
        <f t="shared" si="22"/>
        <v>0</v>
      </c>
      <c r="D52" s="142" t="str">
        <f t="shared" si="23"/>
        <v/>
      </c>
      <c r="E52" s="150" t="str">
        <f t="shared" si="24"/>
        <v/>
      </c>
      <c r="F52" s="150" t="str">
        <f t="shared" si="25"/>
        <v/>
      </c>
      <c r="G52" s="150" t="str">
        <f t="shared" si="26"/>
        <v/>
      </c>
      <c r="H52" s="150" t="str">
        <f t="shared" si="27"/>
        <v/>
      </c>
      <c r="I52" s="150" t="str">
        <f t="shared" si="28"/>
        <v/>
      </c>
      <c r="J52" s="141" t="str">
        <f t="shared" si="29"/>
        <v>Belum Dinilai</v>
      </c>
      <c r="K52" s="77" t="str">
        <f t="shared" si="30"/>
        <v>Belum Ada</v>
      </c>
    </row>
    <row r="53" ht="15.75" customHeight="1">
      <c r="A53" s="141" t="str">
        <f t="shared" ref="A53:C53" si="31">AK7</f>
        <v>AMEL</v>
      </c>
      <c r="B53" s="141" t="str">
        <f t="shared" si="31"/>
        <v>Admin/CS</v>
      </c>
      <c r="C53" s="149">
        <f t="shared" si="31"/>
        <v>31</v>
      </c>
      <c r="D53" s="142">
        <f t="shared" si="23"/>
        <v>0.9674193548</v>
      </c>
      <c r="E53" s="150">
        <f t="shared" si="24"/>
        <v>4.935483871</v>
      </c>
      <c r="F53" s="150">
        <f t="shared" si="25"/>
        <v>4.870967742</v>
      </c>
      <c r="G53" s="150">
        <f t="shared" si="26"/>
        <v>4.838709677</v>
      </c>
      <c r="H53" s="150">
        <f t="shared" si="27"/>
        <v>4.774193548</v>
      </c>
      <c r="I53" s="150">
        <f t="shared" si="28"/>
        <v>4.709677419</v>
      </c>
      <c r="J53" s="141" t="str">
        <f t="shared" si="29"/>
        <v>Sangat Baik</v>
      </c>
      <c r="K53" s="77" t="str">
        <f t="shared" si="30"/>
        <v>#N/A</v>
      </c>
    </row>
    <row r="54" ht="15.75" customHeight="1">
      <c r="A54" s="141" t="str">
        <f t="shared" ref="A54:C54" si="32">AK8</f>
        <v>PENTIL</v>
      </c>
      <c r="B54" s="141" t="str">
        <f t="shared" si="32"/>
        <v>Admin/CS</v>
      </c>
      <c r="C54" s="149">
        <f t="shared" si="32"/>
        <v>0</v>
      </c>
      <c r="D54" s="142" t="str">
        <f t="shared" si="23"/>
        <v/>
      </c>
      <c r="E54" s="150" t="str">
        <f t="shared" si="24"/>
        <v/>
      </c>
      <c r="F54" s="150" t="str">
        <f t="shared" si="25"/>
        <v/>
      </c>
      <c r="G54" s="150" t="str">
        <f t="shared" si="26"/>
        <v/>
      </c>
      <c r="H54" s="150" t="str">
        <f t="shared" si="27"/>
        <v/>
      </c>
      <c r="I54" s="150" t="str">
        <f t="shared" si="28"/>
        <v/>
      </c>
      <c r="J54" s="141" t="str">
        <f t="shared" si="29"/>
        <v>Belum Dinilai</v>
      </c>
      <c r="K54" s="77" t="str">
        <f t="shared" si="30"/>
        <v>Belum Ada</v>
      </c>
    </row>
    <row r="55" ht="15.75" customHeight="1">
      <c r="A55" s="141" t="str">
        <f t="shared" ref="A55:C55" si="33">AK9</f>
        <v>JIJANG</v>
      </c>
      <c r="B55" s="141" t="str">
        <f t="shared" si="33"/>
        <v>Admin/CS</v>
      </c>
      <c r="C55" s="149">
        <f t="shared" si="33"/>
        <v>0</v>
      </c>
      <c r="D55" s="142" t="str">
        <f t="shared" si="23"/>
        <v/>
      </c>
      <c r="E55" s="150" t="str">
        <f t="shared" si="24"/>
        <v/>
      </c>
      <c r="F55" s="150" t="str">
        <f t="shared" si="25"/>
        <v/>
      </c>
      <c r="G55" s="150" t="str">
        <f t="shared" si="26"/>
        <v/>
      </c>
      <c r="H55" s="150" t="str">
        <f t="shared" si="27"/>
        <v/>
      </c>
      <c r="I55" s="150" t="str">
        <f t="shared" si="28"/>
        <v/>
      </c>
      <c r="J55" s="141" t="str">
        <f t="shared" si="29"/>
        <v>Belum Dinilai</v>
      </c>
      <c r="K55" s="77" t="str">
        <f t="shared" si="30"/>
        <v>Belum Ada</v>
      </c>
    </row>
    <row r="56" ht="15.75" customHeight="1">
      <c r="A56" s="141" t="str">
        <f t="shared" ref="A56:C56" si="34">AK10</f>
        <v>HANIF</v>
      </c>
      <c r="B56" s="141" t="str">
        <f t="shared" si="34"/>
        <v>Fotografer</v>
      </c>
      <c r="C56" s="149">
        <f t="shared" si="34"/>
        <v>0</v>
      </c>
      <c r="D56" s="142" t="str">
        <f t="shared" si="23"/>
        <v/>
      </c>
      <c r="E56" s="150" t="str">
        <f t="shared" si="24"/>
        <v/>
      </c>
      <c r="F56" s="150" t="str">
        <f t="shared" si="25"/>
        <v/>
      </c>
      <c r="G56" s="150" t="str">
        <f t="shared" si="26"/>
        <v/>
      </c>
      <c r="H56" s="150" t="str">
        <f t="shared" si="27"/>
        <v/>
      </c>
      <c r="I56" s="150" t="str">
        <f t="shared" si="28"/>
        <v/>
      </c>
      <c r="J56" s="141" t="str">
        <f t="shared" si="29"/>
        <v>Belum Dinilai</v>
      </c>
      <c r="K56" s="77" t="str">
        <f t="shared" si="30"/>
        <v>Belum Ada</v>
      </c>
    </row>
    <row r="57" ht="15.75" customHeight="1">
      <c r="A57" s="141" t="str">
        <f t="shared" ref="A57:C57" si="35">AK11</f>
        <v>FAHME</v>
      </c>
      <c r="B57" s="141" t="str">
        <f t="shared" si="35"/>
        <v>Fotografer</v>
      </c>
      <c r="C57" s="149">
        <f t="shared" si="35"/>
        <v>0</v>
      </c>
      <c r="D57" s="142" t="str">
        <f t="shared" si="23"/>
        <v/>
      </c>
      <c r="E57" s="150" t="str">
        <f t="shared" si="24"/>
        <v/>
      </c>
      <c r="F57" s="150" t="str">
        <f t="shared" si="25"/>
        <v/>
      </c>
      <c r="G57" s="150" t="str">
        <f t="shared" si="26"/>
        <v/>
      </c>
      <c r="H57" s="150" t="str">
        <f t="shared" si="27"/>
        <v/>
      </c>
      <c r="I57" s="150" t="str">
        <f t="shared" si="28"/>
        <v/>
      </c>
      <c r="J57" s="141" t="str">
        <f t="shared" si="29"/>
        <v>Belum Dinilai</v>
      </c>
      <c r="K57" s="77" t="str">
        <f t="shared" si="30"/>
        <v>Belum Ada</v>
      </c>
    </row>
    <row r="58" ht="15.75" customHeight="1">
      <c r="A58" s="141" t="str">
        <f t="shared" ref="A58:C58" si="36">AK12</f>
        <v>ADIF</v>
      </c>
      <c r="B58" s="141" t="str">
        <f t="shared" si="36"/>
        <v>Fotografer</v>
      </c>
      <c r="C58" s="149">
        <f t="shared" si="36"/>
        <v>31</v>
      </c>
      <c r="D58" s="142">
        <f t="shared" si="23"/>
        <v>0.9880645161</v>
      </c>
      <c r="E58" s="150">
        <f t="shared" si="24"/>
        <v>4.967741935</v>
      </c>
      <c r="F58" s="150">
        <f t="shared" si="25"/>
        <v>4.967741935</v>
      </c>
      <c r="G58" s="150">
        <f t="shared" si="26"/>
        <v>4.935483871</v>
      </c>
      <c r="H58" s="150">
        <f t="shared" si="27"/>
        <v>4.935483871</v>
      </c>
      <c r="I58" s="150">
        <f t="shared" si="28"/>
        <v>4.870967742</v>
      </c>
      <c r="J58" s="141" t="str">
        <f t="shared" si="29"/>
        <v>Sangat Baik</v>
      </c>
      <c r="K58" s="77" t="str">
        <f t="shared" si="30"/>
        <v>#N/A</v>
      </c>
    </row>
    <row r="59" ht="15.75" customHeight="1">
      <c r="A59" s="141" t="str">
        <f t="shared" ref="A59:C59" si="37">AK13</f>
        <v>ABROR</v>
      </c>
      <c r="B59" s="141" t="str">
        <f t="shared" si="37"/>
        <v>Fotografer</v>
      </c>
      <c r="C59" s="149">
        <f t="shared" si="37"/>
        <v>0</v>
      </c>
      <c r="D59" s="142" t="str">
        <f t="shared" si="23"/>
        <v/>
      </c>
      <c r="E59" s="150" t="str">
        <f t="shared" si="24"/>
        <v/>
      </c>
      <c r="F59" s="150" t="str">
        <f t="shared" si="25"/>
        <v/>
      </c>
      <c r="G59" s="150" t="str">
        <f t="shared" si="26"/>
        <v/>
      </c>
      <c r="H59" s="150" t="str">
        <f t="shared" si="27"/>
        <v/>
      </c>
      <c r="I59" s="150" t="str">
        <f t="shared" si="28"/>
        <v/>
      </c>
      <c r="J59" s="141" t="str">
        <f t="shared" si="29"/>
        <v>Belum Dinilai</v>
      </c>
      <c r="K59" s="77" t="str">
        <f t="shared" si="30"/>
        <v>Belum Ada</v>
      </c>
    </row>
    <row r="60" ht="15.75" customHeight="1">
      <c r="A60" s="141" t="str">
        <f t="shared" ref="A60:C60" si="38">AK14</f>
        <v>FADEL</v>
      </c>
      <c r="B60" s="141" t="str">
        <f t="shared" si="38"/>
        <v>Fotografer</v>
      </c>
      <c r="C60" s="149">
        <f t="shared" si="38"/>
        <v>0</v>
      </c>
      <c r="D60" s="142" t="str">
        <f t="shared" si="23"/>
        <v/>
      </c>
      <c r="E60" s="150" t="str">
        <f t="shared" si="24"/>
        <v/>
      </c>
      <c r="F60" s="150" t="str">
        <f t="shared" si="25"/>
        <v/>
      </c>
      <c r="G60" s="150" t="str">
        <f t="shared" si="26"/>
        <v/>
      </c>
      <c r="H60" s="150" t="str">
        <f t="shared" si="27"/>
        <v/>
      </c>
      <c r="I60" s="150" t="str">
        <f t="shared" si="28"/>
        <v/>
      </c>
      <c r="J60" s="141" t="str">
        <f t="shared" si="29"/>
        <v>Belum Dinilai</v>
      </c>
      <c r="K60" s="77" t="str">
        <f t="shared" si="30"/>
        <v>Belum Ada</v>
      </c>
    </row>
    <row r="61" ht="15.75" customHeight="1">
      <c r="A61" s="141" t="str">
        <f t="shared" ref="A61:C61" si="39">AK15</f>
        <v>SAKA</v>
      </c>
      <c r="B61" s="141" t="str">
        <f t="shared" si="39"/>
        <v>Fotografer</v>
      </c>
      <c r="C61" s="149">
        <f t="shared" si="39"/>
        <v>31</v>
      </c>
      <c r="D61" s="142">
        <f t="shared" si="23"/>
        <v>0.97</v>
      </c>
      <c r="E61" s="150">
        <f t="shared" si="24"/>
        <v>4.967741935</v>
      </c>
      <c r="F61" s="150">
        <f t="shared" si="25"/>
        <v>4.806451613</v>
      </c>
      <c r="G61" s="150">
        <f t="shared" si="26"/>
        <v>4.870967742</v>
      </c>
      <c r="H61" s="150">
        <f t="shared" si="27"/>
        <v>4.806451613</v>
      </c>
      <c r="I61" s="150">
        <f t="shared" si="28"/>
        <v>4.774193548</v>
      </c>
      <c r="J61" s="141" t="str">
        <f t="shared" si="29"/>
        <v>Sangat Baik</v>
      </c>
      <c r="K61" s="77" t="str">
        <f t="shared" si="30"/>
        <v>#N/A</v>
      </c>
    </row>
    <row r="62" ht="15.75" customHeight="1"/>
    <row r="63" ht="15.75" customHeight="1"/>
    <row r="64" ht="15.75" customHeight="1">
      <c r="A64" s="151" t="s">
        <v>621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L1"/>
    <mergeCell ref="A2:L2"/>
    <mergeCell ref="A4:E4"/>
    <mergeCell ref="A19:B19"/>
    <mergeCell ref="A23:D23"/>
    <mergeCell ref="F23:I23"/>
    <mergeCell ref="F31:I31"/>
    <mergeCell ref="G46:I47"/>
    <mergeCell ref="J46:L47"/>
    <mergeCell ref="A43:L43"/>
    <mergeCell ref="A45:C45"/>
    <mergeCell ref="D45:F45"/>
    <mergeCell ref="G45:I45"/>
    <mergeCell ref="J45:L45"/>
    <mergeCell ref="A46:C47"/>
    <mergeCell ref="D46:F47"/>
    <mergeCell ref="A64:K64"/>
  </mergeCells>
  <conditionalFormatting sqref="C6:C18">
    <cfRule type="colorScale" priority="1">
      <colorScale>
        <cfvo type="min"/>
        <cfvo type="percentile" val="50"/>
        <cfvo type="max"/>
        <color rgb="FFFFFFFF"/>
        <color rgb="FFE8D5F1"/>
        <color rgb="FF9C4DAD"/>
      </colorScale>
    </cfRule>
  </conditionalFormatting>
  <conditionalFormatting sqref="C25:C35">
    <cfRule type="colorScale" priority="2">
      <colorScale>
        <cfvo type="min"/>
        <cfvo type="percentile" val="50"/>
        <cfvo type="max"/>
        <color rgb="FFFFFFFF"/>
        <color rgb="FFD9EAF7"/>
        <color rgb="FF4F81BD"/>
      </colorScale>
    </cfRule>
  </conditionalFormatting>
  <conditionalFormatting sqref="H25:H29">
    <cfRule type="colorScale" priority="3">
      <colorScale>
        <cfvo type="min"/>
        <cfvo type="percentile" val="50"/>
        <cfvo type="max"/>
        <color rgb="FFFFFFFF"/>
        <color rgb="FFD9EAF7"/>
        <color rgb="FF2F75B5"/>
      </colorScale>
    </cfRule>
  </conditionalFormatting>
  <conditionalFormatting sqref="H33:H38">
    <cfRule type="colorScale" priority="4">
      <colorScale>
        <cfvo type="min"/>
        <cfvo type="percentile" val="50"/>
        <cfvo type="max"/>
        <color rgb="FFFFFFFF"/>
        <color rgb="FFD9EAD3"/>
        <color rgb="FF548235"/>
      </colorScale>
    </cfRule>
  </conditionalFormatting>
  <conditionalFormatting sqref="D51:D61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E51:I61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51:K61">
    <cfRule type="expression" dxfId="7" priority="7">
      <formula>LEFT(K51,1)="▲"</formula>
    </cfRule>
  </conditionalFormatting>
  <conditionalFormatting sqref="K51:K61">
    <cfRule type="expression" dxfId="8" priority="8">
      <formula>LEFT(K51,1)="▼"</formula>
    </cfRule>
  </conditionalFormatting>
  <conditionalFormatting sqref="K51:K61">
    <cfRule type="expression" dxfId="9" priority="9">
      <formula>LEFT(K51,1)="→"</formula>
    </cfRule>
  </conditionalFormatting>
  <printOptions/>
  <pageMargins bottom="0.75" footer="0.0" header="0.0" left="0.7" right="0.7" top="0.75"/>
  <pageSetup orientation="landscape"/>
  <drawing r:id="rId1"/>
</worksheet>
</file>