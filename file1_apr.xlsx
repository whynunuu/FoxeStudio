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4" sheetId="4" r:id="rId8"/>
    <sheet state="visible" name="5" sheetId="5" r:id="rId9"/>
    <sheet state="visible" name="6" sheetId="6" r:id="rId10"/>
    <sheet state="visible" name="7" sheetId="7" r:id="rId11"/>
    <sheet state="visible" name="8" sheetId="8" r:id="rId12"/>
    <sheet state="visible" name="9" sheetId="9" r:id="rId13"/>
    <sheet state="visible" name="10" sheetId="10" r:id="rId14"/>
    <sheet state="visible" name="11" sheetId="11" r:id="rId15"/>
    <sheet state="visible" name="12" sheetId="12" r:id="rId16"/>
    <sheet state="visible" name="13" sheetId="13" r:id="rId17"/>
    <sheet state="visible" name="14" sheetId="14" r:id="rId18"/>
    <sheet state="visible" name="15" sheetId="15" r:id="rId19"/>
    <sheet state="visible" name="16" sheetId="16" r:id="rId20"/>
    <sheet state="visible" name="17" sheetId="17" r:id="rId21"/>
    <sheet state="visible" name="18" sheetId="18" r:id="rId22"/>
    <sheet state="visible" name="19" sheetId="19" r:id="rId23"/>
    <sheet state="visible" name="20" sheetId="20" r:id="rId24"/>
    <sheet state="visible" name="21" sheetId="21" r:id="rId25"/>
    <sheet state="visible" name="22" sheetId="22" r:id="rId26"/>
    <sheet state="visible" name="23" sheetId="23" r:id="rId27"/>
    <sheet state="visible" name="24" sheetId="24" r:id="rId28"/>
    <sheet state="visible" name="25" sheetId="25" r:id="rId29"/>
    <sheet state="visible" name="26" sheetId="26" r:id="rId30"/>
    <sheet state="visible" name="27" sheetId="27" r:id="rId31"/>
    <sheet state="visible" name="28" sheetId="28" r:id="rId32"/>
    <sheet state="visible" name="29" sheetId="29" r:id="rId33"/>
    <sheet state="visible" name="30" sheetId="30" r:id="rId34"/>
    <sheet state="visible" name="Draft" sheetId="31" r:id="rId35"/>
  </sheets>
  <definedNames/>
  <calcPr/>
</workbook>
</file>

<file path=xl/sharedStrings.xml><?xml version="1.0" encoding="utf-8"?>
<sst xmlns="http://schemas.openxmlformats.org/spreadsheetml/2006/main" count="3003" uniqueCount="367">
  <si>
    <t>No</t>
  </si>
  <si>
    <t>Nama</t>
  </si>
  <si>
    <t>Paket</t>
  </si>
  <si>
    <t>Q</t>
  </si>
  <si>
    <t>Tanggal Foto</t>
  </si>
  <si>
    <t>Pemasukan</t>
  </si>
  <si>
    <t>Keterangan</t>
  </si>
  <si>
    <t>Admin</t>
  </si>
  <si>
    <t>Fotogarfer</t>
  </si>
  <si>
    <t>Post Prod</t>
  </si>
  <si>
    <t>Cash</t>
  </si>
  <si>
    <t>Transfer</t>
  </si>
  <si>
    <t>Pembayaran</t>
  </si>
  <si>
    <t>All File</t>
  </si>
  <si>
    <t xml:space="preserve">File Edit </t>
  </si>
  <si>
    <t>Editan/FG</t>
  </si>
  <si>
    <t>Cetakan/Fame</t>
  </si>
  <si>
    <t>Diambil/Date</t>
  </si>
  <si>
    <t>Adinda</t>
  </si>
  <si>
    <t>Muhammad Fakhriz Zaman</t>
  </si>
  <si>
    <t>Graduation</t>
  </si>
  <si>
    <t>Frame</t>
  </si>
  <si>
    <t>Lunas</t>
  </si>
  <si>
    <t>Uploaded</t>
  </si>
  <si>
    <t>Pending</t>
  </si>
  <si>
    <t xml:space="preserve"> Yowel Hafidzah</t>
  </si>
  <si>
    <t>INDAH</t>
  </si>
  <si>
    <t>HANIF</t>
  </si>
  <si>
    <t>Large Group</t>
  </si>
  <si>
    <t>Fairuz</t>
  </si>
  <si>
    <t>Irman</t>
  </si>
  <si>
    <t>DP</t>
  </si>
  <si>
    <t>Buna</t>
  </si>
  <si>
    <t>Add 10R</t>
  </si>
  <si>
    <t xml:space="preserve">ADDEL </t>
  </si>
  <si>
    <t>Dina</t>
  </si>
  <si>
    <t>Add Edit</t>
  </si>
  <si>
    <t>Sofi</t>
  </si>
  <si>
    <t>ADIF</t>
  </si>
  <si>
    <t>Farah Amiria</t>
  </si>
  <si>
    <t>Anggar</t>
  </si>
  <si>
    <t>Single</t>
  </si>
  <si>
    <t>all file, add time, add edit 3</t>
  </si>
  <si>
    <t xml:space="preserve"> Saleh</t>
  </si>
  <si>
    <t>Yeni</t>
  </si>
  <si>
    <t>Family A</t>
  </si>
  <si>
    <t>Nurlayla</t>
  </si>
  <si>
    <t>Family B</t>
  </si>
  <si>
    <t>Lisa</t>
  </si>
  <si>
    <t>Narendra</t>
  </si>
  <si>
    <t>Acel</t>
  </si>
  <si>
    <t>Mutiara</t>
  </si>
  <si>
    <t xml:space="preserve">HANIF </t>
  </si>
  <si>
    <t xml:space="preserve">  ANITANOPI</t>
  </si>
  <si>
    <t>Couple A</t>
  </si>
  <si>
    <t>Shierly Anggraeni</t>
  </si>
  <si>
    <t>ADS</t>
  </si>
  <si>
    <t>Pas Foto</t>
  </si>
  <si>
    <t>Tri Huda</t>
  </si>
  <si>
    <t>melan</t>
  </si>
  <si>
    <t xml:space="preserve">Photofox </t>
  </si>
  <si>
    <t xml:space="preserve">Haura </t>
  </si>
  <si>
    <t>Caca</t>
  </si>
  <si>
    <t>devika</t>
  </si>
  <si>
    <t>Anya</t>
  </si>
  <si>
    <t>Elsa</t>
  </si>
  <si>
    <t>Aisyah</t>
  </si>
  <si>
    <t>Sasing UMP 25</t>
  </si>
  <si>
    <t>Sosmas</t>
  </si>
  <si>
    <t>6 aprl</t>
  </si>
  <si>
    <t>Koas 26</t>
  </si>
  <si>
    <t>Nadia</t>
  </si>
  <si>
    <t>Gesti</t>
  </si>
  <si>
    <t>Maternity</t>
  </si>
  <si>
    <t>Melan</t>
  </si>
  <si>
    <t>Photofox</t>
  </si>
  <si>
    <t>Deviana</t>
  </si>
  <si>
    <t>Couple C</t>
  </si>
  <si>
    <t>Aulia</t>
  </si>
  <si>
    <t>Graduation Premium</t>
  </si>
  <si>
    <t>Janitra</t>
  </si>
  <si>
    <t>Couple B</t>
  </si>
  <si>
    <t>Nominal</t>
  </si>
  <si>
    <t>Aurel Zidni</t>
  </si>
  <si>
    <t>Shift</t>
  </si>
  <si>
    <t>Maya</t>
  </si>
  <si>
    <t>Pendapatan Tunai</t>
  </si>
  <si>
    <t>BEM FH UMP</t>
  </si>
  <si>
    <t>Admin 1</t>
  </si>
  <si>
    <t>Anitanopi</t>
  </si>
  <si>
    <t>Paralon</t>
  </si>
  <si>
    <t>Adinda Nisrina Fauziyah</t>
  </si>
  <si>
    <t>Leli M</t>
  </si>
  <si>
    <t>add 5r 7x</t>
  </si>
  <si>
    <t>Admin 2</t>
  </si>
  <si>
    <t>Galon</t>
  </si>
  <si>
    <t>Fadel</t>
  </si>
  <si>
    <t>Putri Citra</t>
  </si>
  <si>
    <t>Fotografer 1</t>
  </si>
  <si>
    <t xml:space="preserve">Pengharum Ruangan </t>
  </si>
  <si>
    <t>Fotografer 2</t>
  </si>
  <si>
    <t>Keysa</t>
  </si>
  <si>
    <t>Penthil</t>
  </si>
  <si>
    <t>Addel</t>
  </si>
  <si>
    <t>onel</t>
  </si>
  <si>
    <t>Saleh</t>
  </si>
  <si>
    <t>Hanif</t>
  </si>
  <si>
    <t>Nuning</t>
  </si>
  <si>
    <t>Packing</t>
  </si>
  <si>
    <t>Yowel</t>
  </si>
  <si>
    <t>add 10r (2), 5r (1)</t>
  </si>
  <si>
    <t>Bolo Santuy</t>
  </si>
  <si>
    <t>Dhia</t>
  </si>
  <si>
    <t>Rahma</t>
  </si>
  <si>
    <t>Rahes</t>
  </si>
  <si>
    <t>-</t>
  </si>
  <si>
    <t>Ivisual</t>
  </si>
  <si>
    <t>Studio Rent</t>
  </si>
  <si>
    <t>Fahme</t>
  </si>
  <si>
    <t>ADDEL</t>
  </si>
  <si>
    <t xml:space="preserve">ADIF </t>
  </si>
  <si>
    <t>Austin</t>
  </si>
  <si>
    <t xml:space="preserve"> latifah</t>
  </si>
  <si>
    <t>Onel</t>
  </si>
  <si>
    <t>baddie kajen</t>
  </si>
  <si>
    <t>Rizka</t>
  </si>
  <si>
    <t>Devika</t>
  </si>
  <si>
    <t>pass photo</t>
  </si>
  <si>
    <t>AKRI NUR FAOZAN</t>
  </si>
  <si>
    <t>Dai</t>
  </si>
  <si>
    <t>Riswo</t>
  </si>
  <si>
    <t>Muhammad Chaniif Syahrizal Arianto</t>
  </si>
  <si>
    <t>Akri Nur Faozan</t>
  </si>
  <si>
    <t>Add Cetak</t>
  </si>
  <si>
    <t>3x4, 4x6</t>
  </si>
  <si>
    <t>Rae</t>
  </si>
  <si>
    <t>silvia</t>
  </si>
  <si>
    <t>Adif</t>
  </si>
  <si>
    <t>Fadel cod paket</t>
  </si>
  <si>
    <t>Indah</t>
  </si>
  <si>
    <t>Walli</t>
  </si>
  <si>
    <t xml:space="preserve">Hanif </t>
  </si>
  <si>
    <t xml:space="preserve">pentil </t>
  </si>
  <si>
    <t>salma</t>
  </si>
  <si>
    <t>odeey</t>
  </si>
  <si>
    <t xml:space="preserve"> lita</t>
  </si>
  <si>
    <t>2 mei</t>
  </si>
  <si>
    <t>Ayu</t>
  </si>
  <si>
    <t>Clara</t>
  </si>
  <si>
    <t>Melin</t>
  </si>
  <si>
    <t>all file</t>
  </si>
  <si>
    <t xml:space="preserve">Abror </t>
  </si>
  <si>
    <t xml:space="preserve">Canvas 16R </t>
  </si>
  <si>
    <t xml:space="preserve"> HIMAKA</t>
  </si>
  <si>
    <t>Walii</t>
  </si>
  <si>
    <t>Restu</t>
  </si>
  <si>
    <t>cia</t>
  </si>
  <si>
    <t>Zufhar</t>
  </si>
  <si>
    <t>Nadia Izzati</t>
  </si>
  <si>
    <t>Rizal</t>
  </si>
  <si>
    <t>Asha</t>
  </si>
  <si>
    <t xml:space="preserve"> Falah</t>
  </si>
  <si>
    <t>Salma</t>
  </si>
  <si>
    <t>Shalsabila Rahamlia</t>
  </si>
  <si>
    <t>Intan Firdausi</t>
  </si>
  <si>
    <t>Dian</t>
  </si>
  <si>
    <t>Falah</t>
  </si>
  <si>
    <t xml:space="preserve"> Ragil Ayu Putri Andini</t>
  </si>
  <si>
    <t xml:space="preserve">Melvi </t>
  </si>
  <si>
    <t>Masai</t>
  </si>
  <si>
    <t>Nazmi Salsa</t>
  </si>
  <si>
    <t>Lala</t>
  </si>
  <si>
    <t>Wuri</t>
  </si>
  <si>
    <t>Ragil Ayu</t>
  </si>
  <si>
    <t>Kelli</t>
  </si>
  <si>
    <t>yumna naura hidayah</t>
  </si>
  <si>
    <t>Dimas Alfaridzi</t>
  </si>
  <si>
    <t>Wiqor</t>
  </si>
  <si>
    <t>puput</t>
  </si>
  <si>
    <t>Preweed 1,6</t>
  </si>
  <si>
    <t>yudhan</t>
  </si>
  <si>
    <t>Avina</t>
  </si>
  <si>
    <t>Alan</t>
  </si>
  <si>
    <t>Ajeng Zahra</t>
  </si>
  <si>
    <t>Faqih</t>
  </si>
  <si>
    <t>HIMAKA</t>
  </si>
  <si>
    <t xml:space="preserve"> Irvan</t>
  </si>
  <si>
    <t>Naila</t>
  </si>
  <si>
    <t>Endistya</t>
  </si>
  <si>
    <t>Ayacha</t>
  </si>
  <si>
    <t>Rico</t>
  </si>
  <si>
    <t>Ikko Laras</t>
  </si>
  <si>
    <t>Tyas</t>
  </si>
  <si>
    <t>Ariiq</t>
  </si>
  <si>
    <t>JEC</t>
  </si>
  <si>
    <t>Imelda</t>
  </si>
  <si>
    <t>Harits</t>
  </si>
  <si>
    <t>Zara</t>
  </si>
  <si>
    <t>Wulan Ayu</t>
  </si>
  <si>
    <t>Anis Brillianti</t>
  </si>
  <si>
    <t>Yumna naura hidayah</t>
  </si>
  <si>
    <t>Winda Putri</t>
  </si>
  <si>
    <t>zahra saldiva</t>
  </si>
  <si>
    <t>Tutup Paralon</t>
  </si>
  <si>
    <t>Faiz</t>
  </si>
  <si>
    <t>single</t>
  </si>
  <si>
    <t>Amplop C</t>
  </si>
  <si>
    <t>Ekotim bem kbmik</t>
  </si>
  <si>
    <t>Azis supriyanto</t>
  </si>
  <si>
    <t>Dinda</t>
  </si>
  <si>
    <t>Aditiya</t>
  </si>
  <si>
    <t xml:space="preserve">Indah </t>
  </si>
  <si>
    <t xml:space="preserve">Dimas </t>
  </si>
  <si>
    <t>Wiqohyatul</t>
  </si>
  <si>
    <t>Risma</t>
  </si>
  <si>
    <t xml:space="preserve">Yasmin </t>
  </si>
  <si>
    <t>Arayyan</t>
  </si>
  <si>
    <t>31 maret</t>
  </si>
  <si>
    <t>all softfile</t>
  </si>
  <si>
    <t>emi</t>
  </si>
  <si>
    <t>Eca</t>
  </si>
  <si>
    <t>Alvin</t>
  </si>
  <si>
    <t>Ibu Haji Ade</t>
  </si>
  <si>
    <t>Shalsabilla Rahmalia</t>
  </si>
  <si>
    <t>Haekal</t>
  </si>
  <si>
    <t>Sabira</t>
  </si>
  <si>
    <t>Melvi</t>
  </si>
  <si>
    <t>Nazwa Nayla</t>
  </si>
  <si>
    <t>Devin</t>
  </si>
  <si>
    <t>Tanti</t>
  </si>
  <si>
    <t>18 mei</t>
  </si>
  <si>
    <t>Fira</t>
  </si>
  <si>
    <t>Ekotim</t>
  </si>
  <si>
    <t>Rafi Ilmi</t>
  </si>
  <si>
    <t>9 juni</t>
  </si>
  <si>
    <t>Puput</t>
  </si>
  <si>
    <t>Vinna</t>
  </si>
  <si>
    <t>Sabria</t>
  </si>
  <si>
    <t>Indriyani</t>
  </si>
  <si>
    <t>Ka Asraf</t>
  </si>
  <si>
    <t>Ofi</t>
  </si>
  <si>
    <t>Emi</t>
  </si>
  <si>
    <t>Indriyana</t>
  </si>
  <si>
    <t>18 aoril</t>
  </si>
  <si>
    <t>Levana</t>
  </si>
  <si>
    <t>Biro Keuangan BEM Unsoed</t>
  </si>
  <si>
    <t>Aura</t>
  </si>
  <si>
    <t>Irvan</t>
  </si>
  <si>
    <t>Jasmine</t>
  </si>
  <si>
    <t>Dewi Rukmana</t>
  </si>
  <si>
    <t>Merlyn</t>
  </si>
  <si>
    <t>5 mei</t>
  </si>
  <si>
    <t xml:space="preserve"> Desi Sukma</t>
  </si>
  <si>
    <t>Yudhan</t>
  </si>
  <si>
    <t>Gradiosta</t>
  </si>
  <si>
    <t>azza</t>
  </si>
  <si>
    <t>Desi Sukma</t>
  </si>
  <si>
    <t>Ninik Soegeng</t>
  </si>
  <si>
    <t>Cetak 16R</t>
  </si>
  <si>
    <t>Rey</t>
  </si>
  <si>
    <t>Shafda Himabisi</t>
  </si>
  <si>
    <t>Wangi</t>
  </si>
  <si>
    <t>Zulfi himabisi</t>
  </si>
  <si>
    <t>Syarifa</t>
  </si>
  <si>
    <t>Kemensek</t>
  </si>
  <si>
    <t>Fanny agustiawandany</t>
  </si>
  <si>
    <t>Atwasena</t>
  </si>
  <si>
    <t>Balya</t>
  </si>
  <si>
    <t>Sabrina</t>
  </si>
  <si>
    <t>Azza</t>
  </si>
  <si>
    <t>ots</t>
  </si>
  <si>
    <t>Vani</t>
  </si>
  <si>
    <t>Dodi</t>
  </si>
  <si>
    <t>add cetak 12r (1) , 10r (3)</t>
  </si>
  <si>
    <t>cleo</t>
  </si>
  <si>
    <t>Pengharum ruangan</t>
  </si>
  <si>
    <t>angel</t>
  </si>
  <si>
    <t>Pentil</t>
  </si>
  <si>
    <t>Gosend</t>
  </si>
  <si>
    <t>Alfi</t>
  </si>
  <si>
    <t>Plastik</t>
  </si>
  <si>
    <t>1 mei</t>
  </si>
  <si>
    <t>Odeyy</t>
  </si>
  <si>
    <t xml:space="preserve"> Rizal</t>
  </si>
  <si>
    <t>rara</t>
  </si>
  <si>
    <t>3 mei</t>
  </si>
  <si>
    <t xml:space="preserve"> Anggun Pratama</t>
  </si>
  <si>
    <t>Annisa Brillianti</t>
  </si>
  <si>
    <t>Zahwa</t>
  </si>
  <si>
    <t>Rizky Wassyifa</t>
  </si>
  <si>
    <t xml:space="preserve"> Lidia</t>
  </si>
  <si>
    <t>9 mei</t>
  </si>
  <si>
    <t>add 5R</t>
  </si>
  <si>
    <t>Nur Atika Khasanah</t>
  </si>
  <si>
    <t>Ardiffa</t>
  </si>
  <si>
    <t>Laras</t>
  </si>
  <si>
    <t>Rara</t>
  </si>
  <si>
    <t>Cleo</t>
  </si>
  <si>
    <t>Coki Ardiansyah</t>
  </si>
  <si>
    <t>9 Juni</t>
  </si>
  <si>
    <t>Febi</t>
  </si>
  <si>
    <t>Nazwa Layla</t>
  </si>
  <si>
    <t>Nuy</t>
  </si>
  <si>
    <t>Agung</t>
  </si>
  <si>
    <t>Anggita Sahra</t>
  </si>
  <si>
    <t>Angel</t>
  </si>
  <si>
    <t>Wulan</t>
  </si>
  <si>
    <t>Ilmiah</t>
  </si>
  <si>
    <t xml:space="preserve"> Ridwan Bodrek</t>
  </si>
  <si>
    <t>tri hawa</t>
  </si>
  <si>
    <t>Adinda Nisrina</t>
  </si>
  <si>
    <t>Ikhlas Agus Prasetyo</t>
  </si>
  <si>
    <t>Nayla</t>
  </si>
  <si>
    <t>Ridwan Bodrek</t>
  </si>
  <si>
    <t>Baterai A2 , A3</t>
  </si>
  <si>
    <t>Shafda</t>
  </si>
  <si>
    <t xml:space="preserve">PSDM HIMABISI </t>
  </si>
  <si>
    <t>Vania rizky tylante</t>
  </si>
  <si>
    <t>Plastik kresek</t>
  </si>
  <si>
    <t xml:space="preserve"> Lulu</t>
  </si>
  <si>
    <t>Wanda</t>
  </si>
  <si>
    <t>Ida Purwati</t>
  </si>
  <si>
    <t>Indra Gunawan</t>
  </si>
  <si>
    <t>sarah ayu n</t>
  </si>
  <si>
    <t>Latifah</t>
  </si>
  <si>
    <t>Siska</t>
  </si>
  <si>
    <t>Tiara</t>
  </si>
  <si>
    <t>Anggun</t>
  </si>
  <si>
    <t>Ita</t>
  </si>
  <si>
    <t>Emeralda</t>
  </si>
  <si>
    <t>PSDM HIMABISI</t>
  </si>
  <si>
    <t>Rahma Dewi</t>
  </si>
  <si>
    <t xml:space="preserve"> Dinhud</t>
  </si>
  <si>
    <t>Vanesha</t>
  </si>
  <si>
    <t>Dinhud</t>
  </si>
  <si>
    <t>add edit</t>
  </si>
  <si>
    <t>Rifqi</t>
  </si>
  <si>
    <t>Untung</t>
  </si>
  <si>
    <t>Najma Despro</t>
  </si>
  <si>
    <t>Irma</t>
  </si>
  <si>
    <t>Laluna</t>
  </si>
  <si>
    <t>Annisa</t>
  </si>
  <si>
    <t>Via</t>
  </si>
  <si>
    <t>Dilla</t>
  </si>
  <si>
    <t>Emira Tazkia</t>
  </si>
  <si>
    <t>Vinner</t>
  </si>
  <si>
    <t>Kelas 6f SD Al Irsyad 02</t>
  </si>
  <si>
    <t>Doni Miko</t>
  </si>
  <si>
    <t>Nur Atika</t>
  </si>
  <si>
    <t>Emerlada</t>
  </si>
  <si>
    <t>Vania Rizky</t>
  </si>
  <si>
    <t>Aisyah dan sintia</t>
  </si>
  <si>
    <t xml:space="preserve">Ikhlas Agus </t>
  </si>
  <si>
    <t>287 april</t>
  </si>
  <si>
    <t>Prisca</t>
  </si>
  <si>
    <t>dilla</t>
  </si>
  <si>
    <t xml:space="preserve">  </t>
  </si>
  <si>
    <t xml:space="preserve">Fahme </t>
  </si>
  <si>
    <t>Susana Muslikhatun</t>
  </si>
  <si>
    <t>Dwika</t>
  </si>
  <si>
    <t>Diah Tuzzahra</t>
  </si>
  <si>
    <t xml:space="preserve"> Sosmas Himabisi</t>
  </si>
  <si>
    <t>Sekar Ayu</t>
  </si>
  <si>
    <t>7 mei</t>
  </si>
  <si>
    <t>Citra</t>
  </si>
  <si>
    <t xml:space="preserve"> Nur Liya Fitriyani</t>
  </si>
  <si>
    <t>Zulfi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</si>
</sst>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m"/>
    <numFmt numFmtId="165" formatCode="d mmmm yyyy"/>
    <numFmt numFmtId="166" formatCode="[$Rp]#,##0"/>
    <numFmt numFmtId="167" formatCode="d mmm"/>
    <numFmt numFmtId="168" formatCode="dm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/>
    <font>
      <b/>
      <color theme="1"/>
      <name val="Arial"/>
    </font>
    <font>
      <color theme="1"/>
      <name val="Arial"/>
    </font>
    <font>
      <b/>
      <i/>
      <color theme="1"/>
      <name val="Arial"/>
    </font>
    <font>
      <b/>
      <i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EA9999"/>
        <bgColor rgb="FFEA999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2" fillId="3" fontId="3" numFmtId="0" xfId="0" applyAlignment="1" applyBorder="1" applyFill="1" applyFont="1">
      <alignment horizontal="center" readingOrder="0" vertical="center"/>
    </xf>
    <xf borderId="5" fillId="0" fontId="4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6" fillId="2" fontId="3" numFmtId="0" xfId="0" applyAlignment="1" applyBorder="1" applyFill="1" applyFont="1">
      <alignment horizontal="center" readingOrder="0" vertical="center"/>
    </xf>
    <xf borderId="6" fillId="3" fontId="3" numFmtId="0" xfId="0" applyAlignment="1" applyBorder="1" applyFill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readingOrder="0"/>
    </xf>
    <xf borderId="6" fillId="0" fontId="6" numFmtId="0" xfId="0" applyAlignment="1" applyBorder="1" applyFont="1">
      <alignment vertical="bottom"/>
    </xf>
    <xf borderId="6" fillId="0" fontId="1" numFmtId="0" xfId="0" applyAlignment="1" applyBorder="1" applyFont="1">
      <alignment horizontal="center" readingOrder="0"/>
    </xf>
    <xf borderId="6" fillId="0" fontId="6" numFmtId="164" xfId="0" applyAlignment="1" applyBorder="1" applyFont="1" applyNumberFormat="1">
      <alignment horizontal="center"/>
    </xf>
    <xf borderId="6" fillId="0" fontId="1" numFmtId="165" xfId="0" applyAlignment="1" applyBorder="1" applyFont="1" applyNumberFormat="1">
      <alignment horizontal="center" readingOrder="0" vertical="center"/>
    </xf>
    <xf borderId="2" fillId="0" fontId="6" numFmtId="166" xfId="0" applyBorder="1" applyFont="1" applyNumberFormat="1"/>
    <xf borderId="2" fillId="0" fontId="2" numFmtId="166" xfId="0" applyAlignment="1" applyBorder="1" applyFont="1" applyNumberFormat="1">
      <alignment horizontal="right" readingOrder="0" vertical="center"/>
    </xf>
    <xf borderId="6" fillId="0" fontId="7" numFmtId="166" xfId="0" applyAlignment="1" applyBorder="1" applyFont="1" applyNumberFormat="1">
      <alignment horizontal="right"/>
    </xf>
    <xf borderId="6" fillId="0" fontId="8" numFmtId="166" xfId="0" applyAlignment="1" applyBorder="1" applyFont="1" applyNumberFormat="1">
      <alignment horizontal="right" readingOrder="0" vertical="center"/>
    </xf>
    <xf borderId="6" fillId="0" fontId="6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vertical="center"/>
    </xf>
    <xf borderId="6" fillId="0" fontId="1" numFmtId="164" xfId="0" applyAlignment="1" applyBorder="1" applyFont="1" applyNumberFormat="1">
      <alignment horizontal="center" readingOrder="0" vertical="center"/>
    </xf>
    <xf borderId="2" fillId="0" fontId="2" numFmtId="166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center" vertical="center"/>
    </xf>
    <xf borderId="6" fillId="0" fontId="1" numFmtId="167" xfId="0" applyAlignment="1" applyBorder="1" applyFont="1" applyNumberFormat="1">
      <alignment horizontal="center" readingOrder="0" vertical="center"/>
    </xf>
    <xf borderId="6" fillId="0" fontId="8" numFmtId="166" xfId="0" applyAlignment="1" applyBorder="1" applyFont="1" applyNumberFormat="1">
      <alignment horizontal="right" vertical="center"/>
    </xf>
    <xf borderId="6" fillId="0" fontId="1" numFmtId="0" xfId="0" applyAlignment="1" applyBorder="1" applyFont="1">
      <alignment horizontal="center" vertical="center"/>
    </xf>
    <xf borderId="6" fillId="0" fontId="1" numFmtId="168" xfId="0" applyAlignment="1" applyBorder="1" applyFont="1" applyNumberFormat="1">
      <alignment horizontal="center" readingOrder="0" vertical="center"/>
    </xf>
    <xf borderId="6" fillId="0" fontId="2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5" fillId="4" fontId="2" numFmtId="166" xfId="0" applyAlignment="1" applyBorder="1" applyFill="1" applyFont="1" applyNumberFormat="1">
      <alignment horizontal="center" vertical="center"/>
    </xf>
    <xf borderId="5" fillId="5" fontId="8" numFmtId="166" xfId="0" applyAlignment="1" applyBorder="1" applyFill="1" applyFont="1" applyNumberFormat="1">
      <alignment horizontal="center" vertical="center"/>
    </xf>
    <xf borderId="6" fillId="2" fontId="1" numFmtId="0" xfId="0" applyAlignment="1" applyBorder="1" applyFill="1" applyFont="1">
      <alignment horizontal="center" readingOrder="0" vertical="center"/>
    </xf>
    <xf borderId="6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7" fillId="0" fontId="2" numFmtId="0" xfId="0" applyAlignment="1" applyBorder="1" applyFont="1">
      <alignment horizontal="center" readingOrder="0" vertical="center"/>
    </xf>
    <xf borderId="7" fillId="0" fontId="2" numFmtId="0" xfId="0" applyAlignment="1" applyBorder="1" applyFont="1">
      <alignment horizontal="left" readingOrder="0" vertical="center"/>
    </xf>
    <xf borderId="7" fillId="0" fontId="2" numFmtId="166" xfId="0" applyAlignment="1" applyBorder="1" applyFont="1" applyNumberFormat="1">
      <alignment horizontal="right" vertical="center"/>
    </xf>
    <xf borderId="0" fillId="0" fontId="1" numFmtId="166" xfId="0" applyAlignment="1" applyFont="1" applyNumberFormat="1">
      <alignment horizontal="right" vertical="center"/>
    </xf>
    <xf borderId="1" fillId="6" fontId="1" numFmtId="0" xfId="0" applyAlignment="1" applyBorder="1" applyFill="1" applyFont="1">
      <alignment horizontal="left" readingOrder="0" vertical="center"/>
    </xf>
    <xf borderId="7" fillId="7" fontId="2" numFmtId="0" xfId="0" applyAlignment="1" applyBorder="1" applyFill="1" applyFont="1">
      <alignment horizontal="center" readingOrder="0" vertical="center"/>
    </xf>
    <xf borderId="7" fillId="7" fontId="2" numFmtId="0" xfId="0" applyAlignment="1" applyBorder="1" applyFill="1" applyFont="1">
      <alignment horizontal="left" readingOrder="0" vertical="center"/>
    </xf>
    <xf borderId="7" fillId="7" fontId="2" numFmtId="166" xfId="0" applyAlignment="1" applyBorder="1" applyFill="1" applyFont="1" applyNumberFormat="1">
      <alignment horizontal="right" readingOrder="0" vertical="center"/>
    </xf>
    <xf borderId="0" fillId="0" fontId="1" numFmtId="166" xfId="0" applyAlignment="1" applyFont="1" applyNumberFormat="1">
      <alignment horizontal="right" readingOrder="0" vertical="center"/>
    </xf>
    <xf borderId="5" fillId="6" fontId="1" numFmtId="0" xfId="0" applyAlignment="1" applyBorder="1" applyFill="1" applyFont="1">
      <alignment horizontal="left" readingOrder="0" vertical="center"/>
    </xf>
    <xf borderId="5" fillId="0" fontId="1" numFmtId="0" xfId="0" applyAlignment="1" applyBorder="1" applyFont="1">
      <alignment horizontal="center" readingOrder="0" vertical="center"/>
    </xf>
    <xf borderId="7" fillId="0" fontId="2" numFmtId="166" xfId="0" applyAlignment="1" applyBorder="1" applyFont="1" applyNumberFormat="1">
      <alignment horizontal="right" readingOrder="0" vertical="center"/>
    </xf>
    <xf borderId="7" fillId="4" fontId="1" numFmtId="0" xfId="0" applyAlignment="1" applyBorder="1" applyFill="1" applyFont="1">
      <alignment horizontal="left" readingOrder="0" vertical="center"/>
    </xf>
    <xf borderId="5" fillId="4" fontId="1" numFmtId="0" xfId="0" applyAlignment="1" applyBorder="1" applyFill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7" fillId="0" fontId="2" numFmtId="0" xfId="0" applyAlignment="1" applyBorder="1" applyFont="1">
      <alignment horizontal="left" vertical="center"/>
    </xf>
    <xf borderId="7" fillId="7" fontId="2" numFmtId="0" xfId="0" applyAlignment="1" applyBorder="1" applyFill="1" applyFont="1">
      <alignment horizontal="left" vertical="center"/>
    </xf>
    <xf borderId="7" fillId="7" fontId="2" numFmtId="166" xfId="0" applyAlignment="1" applyBorder="1" applyFill="1" applyFont="1" applyNumberFormat="1">
      <alignment horizontal="right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left" vertical="center"/>
    </xf>
    <xf borderId="5" fillId="0" fontId="2" numFmtId="166" xfId="0" applyAlignment="1" applyBorder="1" applyFont="1" applyNumberFormat="1">
      <alignment horizontal="right" vertical="center"/>
    </xf>
    <xf borderId="6" fillId="8" fontId="2" numFmtId="166" xfId="0" applyAlignment="1" applyBorder="1" applyFill="1" applyFont="1" applyNumberFormat="1">
      <alignment horizontal="center" vertical="center"/>
    </xf>
    <xf borderId="6" fillId="0" fontId="1" numFmtId="9" xfId="0" applyAlignment="1" applyBorder="1" applyFont="1" applyNumberFormat="1">
      <alignment horizontal="center" readingOrder="0"/>
    </xf>
    <xf borderId="8" fillId="0" fontId="6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vertical="bottom"/>
    </xf>
    <xf borderId="0" fillId="0" fontId="1" numFmtId="166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20.38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6" t="s">
        <v>19</v>
      </c>
      <c r="D4" s="17" t="s">
        <v>20</v>
      </c>
      <c r="E4" s="19"/>
      <c r="F4" s="21">
        <v>46112.0</v>
      </c>
      <c r="G4" s="23"/>
      <c r="H4" s="25">
        <v>250000.0</v>
      </c>
      <c r="I4" s="27" t="s">
        <v>22</v>
      </c>
      <c r="J4" s="27" t="s">
        <v>23</v>
      </c>
      <c r="K4" s="27" t="s">
        <v>24</v>
      </c>
      <c r="L4" s="27" t="s">
        <v>26</v>
      </c>
      <c r="M4" s="27" t="s">
        <v>27</v>
      </c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30</v>
      </c>
      <c r="D5" s="18" t="s">
        <v>20</v>
      </c>
      <c r="E5" s="20"/>
      <c r="F5" s="22">
        <v>46113.0</v>
      </c>
      <c r="G5" s="24"/>
      <c r="H5" s="26">
        <v>100000.0</v>
      </c>
      <c r="I5" s="28" t="s">
        <v>31</v>
      </c>
      <c r="J5" s="28"/>
      <c r="K5" s="28"/>
      <c r="L5" s="28" t="s">
        <v>26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35</v>
      </c>
      <c r="D6" s="18" t="s">
        <v>36</v>
      </c>
      <c r="E6" s="20"/>
      <c r="F6" s="33">
        <v>46099.0</v>
      </c>
      <c r="G6" s="34"/>
      <c r="H6" s="26">
        <v>80000.0</v>
      </c>
      <c r="I6" s="28" t="s">
        <v>22</v>
      </c>
      <c r="J6" s="28"/>
      <c r="K6" s="28"/>
      <c r="L6" s="28" t="s">
        <v>26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40</v>
      </c>
      <c r="D7" s="18" t="s">
        <v>41</v>
      </c>
      <c r="E7" s="20" t="s">
        <v>42</v>
      </c>
      <c r="F7" s="33">
        <v>46113.0</v>
      </c>
      <c r="G7" s="24"/>
      <c r="H7" s="26">
        <v>155000.0</v>
      </c>
      <c r="I7" s="28" t="s">
        <v>22</v>
      </c>
      <c r="J7" s="28" t="s">
        <v>23</v>
      </c>
      <c r="K7" s="28" t="s">
        <v>23</v>
      </c>
      <c r="L7" s="28" t="s">
        <v>26</v>
      </c>
      <c r="M7" s="28" t="s">
        <v>38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46</v>
      </c>
      <c r="D8" s="18" t="s">
        <v>47</v>
      </c>
      <c r="E8" s="20"/>
      <c r="F8" s="33">
        <v>46113.0</v>
      </c>
      <c r="G8" s="24"/>
      <c r="H8" s="26">
        <v>100000.0</v>
      </c>
      <c r="I8" s="28" t="s">
        <v>31</v>
      </c>
      <c r="J8" s="28"/>
      <c r="K8" s="28"/>
      <c r="L8" s="28" t="s">
        <v>26</v>
      </c>
      <c r="M8" s="35"/>
      <c r="N8" s="31"/>
      <c r="O8" s="32"/>
      <c r="P8" s="32"/>
      <c r="Q8" s="1"/>
      <c r="R8" s="1"/>
    </row>
    <row r="9">
      <c r="A9" s="1"/>
      <c r="B9" s="14">
        <v>6.0</v>
      </c>
      <c r="C9" s="15" t="s">
        <v>30</v>
      </c>
      <c r="D9" s="18" t="s">
        <v>20</v>
      </c>
      <c r="E9" s="20"/>
      <c r="F9" s="33">
        <v>46113.0</v>
      </c>
      <c r="G9" s="24"/>
      <c r="H9" s="26">
        <v>250000.0</v>
      </c>
      <c r="I9" s="28" t="s">
        <v>22</v>
      </c>
      <c r="J9" s="28" t="s">
        <v>23</v>
      </c>
      <c r="K9" s="28" t="s">
        <v>24</v>
      </c>
      <c r="L9" s="28" t="s">
        <v>26</v>
      </c>
      <c r="M9" s="28" t="s">
        <v>38</v>
      </c>
      <c r="N9" s="31"/>
      <c r="O9" s="32"/>
      <c r="P9" s="32"/>
      <c r="Q9" s="1"/>
      <c r="R9" s="1"/>
    </row>
    <row r="10">
      <c r="A10" s="1"/>
      <c r="B10" s="14">
        <v>7.0</v>
      </c>
      <c r="C10" s="15" t="s">
        <v>50</v>
      </c>
      <c r="D10" s="18" t="s">
        <v>41</v>
      </c>
      <c r="E10" s="20"/>
      <c r="F10" s="33">
        <v>46113.0</v>
      </c>
      <c r="G10" s="24"/>
      <c r="H10" s="26">
        <v>100000.0</v>
      </c>
      <c r="I10" s="28" t="s">
        <v>22</v>
      </c>
      <c r="J10" s="28"/>
      <c r="K10" s="28"/>
      <c r="L10" s="28" t="s">
        <v>26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55</v>
      </c>
      <c r="D11" s="18" t="s">
        <v>36</v>
      </c>
      <c r="E11" s="20"/>
      <c r="F11" s="33">
        <v>46112.0</v>
      </c>
      <c r="G11" s="24"/>
      <c r="H11" s="26">
        <v>10000.0</v>
      </c>
      <c r="I11" s="28" t="s">
        <v>22</v>
      </c>
      <c r="J11" s="28"/>
      <c r="K11" s="28"/>
      <c r="L11" s="28" t="s">
        <v>26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58</v>
      </c>
      <c r="D12" s="18" t="s">
        <v>28</v>
      </c>
      <c r="E12" s="20"/>
      <c r="F12" s="33">
        <v>46115.0</v>
      </c>
      <c r="G12" s="24"/>
      <c r="H12" s="26">
        <v>100000.0</v>
      </c>
      <c r="I12" s="28" t="s">
        <v>31</v>
      </c>
      <c r="J12" s="28"/>
      <c r="K12" s="28"/>
      <c r="L12" s="28" t="s">
        <v>26</v>
      </c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61</v>
      </c>
      <c r="D13" s="18" t="s">
        <v>20</v>
      </c>
      <c r="E13" s="20"/>
      <c r="F13" s="33">
        <v>46113.0</v>
      </c>
      <c r="G13" s="24"/>
      <c r="H13" s="26">
        <v>270000.0</v>
      </c>
      <c r="I13" s="28" t="s">
        <v>22</v>
      </c>
      <c r="J13" s="28" t="s">
        <v>23</v>
      </c>
      <c r="K13" s="28" t="s">
        <v>24</v>
      </c>
      <c r="L13" s="28" t="s">
        <v>26</v>
      </c>
      <c r="M13" s="28" t="s">
        <v>38</v>
      </c>
      <c r="N13" s="31"/>
      <c r="O13" s="32"/>
      <c r="P13" s="32"/>
      <c r="Q13" s="1"/>
      <c r="R13" s="1"/>
    </row>
    <row r="14">
      <c r="A14" s="1"/>
      <c r="B14" s="38"/>
      <c r="C14" s="15" t="s">
        <v>62</v>
      </c>
      <c r="D14" s="18" t="s">
        <v>28</v>
      </c>
      <c r="E14" s="20"/>
      <c r="F14" s="33">
        <v>46113.0</v>
      </c>
      <c r="G14" s="24">
        <v>775000.0</v>
      </c>
      <c r="H14" s="37"/>
      <c r="I14" s="28" t="s">
        <v>22</v>
      </c>
      <c r="J14" s="28" t="s">
        <v>23</v>
      </c>
      <c r="K14" s="28" t="s">
        <v>23</v>
      </c>
      <c r="L14" s="28" t="s">
        <v>26</v>
      </c>
      <c r="M14" s="28" t="s">
        <v>38</v>
      </c>
      <c r="N14" s="31"/>
      <c r="O14" s="32"/>
      <c r="P14" s="32"/>
      <c r="Q14" s="1"/>
      <c r="R14" s="1"/>
    </row>
    <row r="15">
      <c r="A15" s="1"/>
      <c r="B15" s="38"/>
      <c r="C15" s="15" t="s">
        <v>46</v>
      </c>
      <c r="D15" s="18" t="s">
        <v>47</v>
      </c>
      <c r="E15" s="20"/>
      <c r="F15" s="36">
        <v>46113.0</v>
      </c>
      <c r="G15" s="24">
        <v>0.0</v>
      </c>
      <c r="H15" s="26">
        <v>0.0</v>
      </c>
      <c r="I15" s="28" t="s">
        <v>22</v>
      </c>
      <c r="J15" s="28" t="s">
        <v>23</v>
      </c>
      <c r="K15" s="28" t="s">
        <v>23</v>
      </c>
      <c r="L15" s="28" t="s">
        <v>34</v>
      </c>
      <c r="M15" s="28" t="s">
        <v>52</v>
      </c>
      <c r="N15" s="31"/>
      <c r="O15" s="32"/>
      <c r="P15" s="32"/>
      <c r="Q15" s="1"/>
      <c r="R15" s="1"/>
    </row>
    <row r="16">
      <c r="A16" s="1"/>
      <c r="B16" s="38"/>
      <c r="C16" s="15" t="s">
        <v>65</v>
      </c>
      <c r="D16" s="18" t="s">
        <v>60</v>
      </c>
      <c r="E16" s="20"/>
      <c r="F16" s="36">
        <v>46113.0</v>
      </c>
      <c r="G16" s="24">
        <v>200000.0</v>
      </c>
      <c r="H16" s="37"/>
      <c r="I16" s="28" t="s">
        <v>22</v>
      </c>
      <c r="J16" s="28" t="s">
        <v>23</v>
      </c>
      <c r="K16" s="28" t="s">
        <v>24</v>
      </c>
      <c r="L16" s="28" t="s">
        <v>34</v>
      </c>
      <c r="M16" s="28" t="s">
        <v>52</v>
      </c>
      <c r="N16" s="31"/>
      <c r="O16" s="32"/>
      <c r="P16" s="32"/>
      <c r="Q16" s="1"/>
      <c r="R16" s="1"/>
    </row>
    <row r="17">
      <c r="A17" s="1"/>
      <c r="B17" s="38"/>
      <c r="C17" s="15" t="s">
        <v>68</v>
      </c>
      <c r="D17" s="18" t="s">
        <v>28</v>
      </c>
      <c r="E17" s="20"/>
      <c r="F17" s="39">
        <v>46113.0</v>
      </c>
      <c r="G17" s="24">
        <v>400000.0</v>
      </c>
      <c r="H17" s="37"/>
      <c r="I17" s="28" t="s">
        <v>22</v>
      </c>
      <c r="J17" s="28" t="s">
        <v>23</v>
      </c>
      <c r="K17" s="28" t="s">
        <v>23</v>
      </c>
      <c r="L17" s="28" t="s">
        <v>34</v>
      </c>
      <c r="M17" s="28" t="s">
        <v>52</v>
      </c>
      <c r="N17" s="31"/>
      <c r="O17" s="32"/>
      <c r="P17" s="32"/>
      <c r="Q17" s="1"/>
      <c r="R17" s="1"/>
    </row>
    <row r="18">
      <c r="A18" s="1"/>
      <c r="B18" s="38"/>
      <c r="C18" s="15" t="s">
        <v>70</v>
      </c>
      <c r="D18" s="18" t="s">
        <v>28</v>
      </c>
      <c r="E18" s="20"/>
      <c r="F18" s="36">
        <v>46113.0</v>
      </c>
      <c r="G18" s="34"/>
      <c r="H18" s="26">
        <v>750000.0</v>
      </c>
      <c r="I18" s="28" t="s">
        <v>22</v>
      </c>
      <c r="J18" s="28" t="s">
        <v>23</v>
      </c>
      <c r="K18" s="28" t="s">
        <v>24</v>
      </c>
      <c r="L18" s="28" t="s">
        <v>34</v>
      </c>
      <c r="M18" s="28" t="s">
        <v>52</v>
      </c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1375000</v>
      </c>
      <c r="H19" s="43">
        <f t="shared" si="1"/>
        <v>2165000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1375000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 t="s">
        <v>90</v>
      </c>
      <c r="D24" s="54">
        <v>-110000.0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 t="s">
        <v>95</v>
      </c>
      <c r="D25" s="58">
        <v>-24000.0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38</v>
      </c>
      <c r="P25" s="1"/>
      <c r="Q25" s="1"/>
      <c r="R25" s="1"/>
    </row>
    <row r="26">
      <c r="A26" s="1"/>
      <c r="B26" s="52">
        <v>4.0</v>
      </c>
      <c r="C26" s="53" t="s">
        <v>99</v>
      </c>
      <c r="D26" s="54">
        <v>-13000.0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52</v>
      </c>
      <c r="P26" s="1"/>
      <c r="Q26" s="1"/>
      <c r="R26" s="1"/>
    </row>
    <row r="27">
      <c r="A27" s="1"/>
      <c r="B27" s="47"/>
      <c r="C27" s="48" t="s">
        <v>96</v>
      </c>
      <c r="D27" s="58">
        <v>-100000.0</v>
      </c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53" t="s">
        <v>103</v>
      </c>
      <c r="D28" s="54">
        <v>-28000.0</v>
      </c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1100000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5:L18 O23:O24">
      <formula1>"-,JIJANG,AXEL,PENTIL,ADDEL ,INDAH"</formula1>
    </dataValidation>
    <dataValidation type="list" allowBlank="1" showDropDown="1" showErrorMessage="1" sqref="M4">
      <formula1>"-,VERO,FADEL,PENTIL,FAHME,ADIF,HANIF,ABROR"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5:D18">
      <formula1>"-,Single,Couple A,Couple B,Group A,Group B,Group C,Large Group,Graduation,Graduation Premium,Family A,Family B,Maternity,Concept,Studio Rent,Pas Foto,Single,Add Person ,Add Edit,Photofox "</formula1>
    </dataValidation>
    <dataValidation type="list" allowBlank="1" showDropDown="1" showErrorMessage="1" sqref="D4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L4">
      <formula1>"-,JIJANG,AXEL,PENTIL,FAHME,INDAH,ADDEL"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5:M18 O25:O26">
      <formula1>"-,VERO,FADEL,PENTIL,HANIF ,ADIF"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</v>
      </c>
      <c r="D4" s="18" t="s">
        <v>21</v>
      </c>
      <c r="E4" s="20"/>
      <c r="F4" s="22">
        <v>46109.0</v>
      </c>
      <c r="G4" s="24">
        <v>125000.0</v>
      </c>
      <c r="H4" s="26"/>
      <c r="I4" s="28" t="s">
        <v>22</v>
      </c>
      <c r="J4" s="28"/>
      <c r="K4" s="28"/>
      <c r="L4" s="28" t="s">
        <v>26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29</v>
      </c>
      <c r="D5" s="18" t="s">
        <v>28</v>
      </c>
      <c r="E5" s="20"/>
      <c r="F5" s="22">
        <v>46118.0</v>
      </c>
      <c r="G5" s="24"/>
      <c r="H5" s="26">
        <v>100000.0</v>
      </c>
      <c r="I5" s="28" t="s">
        <v>31</v>
      </c>
      <c r="J5" s="28"/>
      <c r="K5" s="28"/>
      <c r="L5" s="28" t="s">
        <v>26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32</v>
      </c>
      <c r="D6" s="18" t="s">
        <v>33</v>
      </c>
      <c r="E6" s="20"/>
      <c r="F6" s="33">
        <v>46112.0</v>
      </c>
      <c r="G6" s="34"/>
      <c r="H6" s="26">
        <v>25000.0</v>
      </c>
      <c r="I6" s="28" t="s">
        <v>22</v>
      </c>
      <c r="J6" s="28"/>
      <c r="K6" s="28"/>
      <c r="L6" s="28" t="s">
        <v>26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37</v>
      </c>
      <c r="D7" s="18" t="s">
        <v>20</v>
      </c>
      <c r="E7" s="20"/>
      <c r="F7" s="33">
        <v>46114.0</v>
      </c>
      <c r="G7" s="24"/>
      <c r="H7" s="26">
        <v>250000.0</v>
      </c>
      <c r="I7" s="28" t="s">
        <v>22</v>
      </c>
      <c r="J7" s="28" t="s">
        <v>23</v>
      </c>
      <c r="K7" s="28" t="s">
        <v>24</v>
      </c>
      <c r="L7" s="28" t="s">
        <v>26</v>
      </c>
      <c r="M7" s="28" t="s">
        <v>38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43</v>
      </c>
      <c r="D8" s="18" t="s">
        <v>41</v>
      </c>
      <c r="E8" s="20"/>
      <c r="F8" s="36">
        <v>46114.0</v>
      </c>
      <c r="G8" s="24"/>
      <c r="H8" s="26">
        <v>100000.0</v>
      </c>
      <c r="I8" s="28" t="s">
        <v>22</v>
      </c>
      <c r="J8" s="28"/>
      <c r="K8" s="28"/>
      <c r="L8" s="28" t="s">
        <v>34</v>
      </c>
      <c r="M8" s="35"/>
      <c r="N8" s="31"/>
      <c r="O8" s="32"/>
      <c r="P8" s="32"/>
      <c r="Q8" s="1"/>
      <c r="R8" s="1"/>
    </row>
    <row r="9">
      <c r="A9" s="1"/>
      <c r="B9" s="14">
        <v>6.0</v>
      </c>
      <c r="C9" s="15" t="s">
        <v>48</v>
      </c>
      <c r="D9" s="18" t="s">
        <v>28</v>
      </c>
      <c r="E9" s="20"/>
      <c r="F9" s="36">
        <v>46122.0</v>
      </c>
      <c r="G9" s="24"/>
      <c r="H9" s="26">
        <v>100000.0</v>
      </c>
      <c r="I9" s="28" t="s">
        <v>31</v>
      </c>
      <c r="J9" s="28"/>
      <c r="K9" s="28"/>
      <c r="L9" s="28" t="s">
        <v>34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49</v>
      </c>
      <c r="D10" s="18" t="s">
        <v>28</v>
      </c>
      <c r="E10" s="20"/>
      <c r="F10" s="36">
        <v>46114.0</v>
      </c>
      <c r="G10" s="24"/>
      <c r="H10" s="26">
        <v>125000.0</v>
      </c>
      <c r="I10" s="28" t="s">
        <v>22</v>
      </c>
      <c r="J10" s="28" t="s">
        <v>23</v>
      </c>
      <c r="K10" s="28" t="s">
        <v>24</v>
      </c>
      <c r="L10" s="28" t="s">
        <v>34</v>
      </c>
      <c r="M10" s="28" t="s">
        <v>52</v>
      </c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53</v>
      </c>
      <c r="D11" s="18" t="s">
        <v>54</v>
      </c>
      <c r="E11" s="20"/>
      <c r="F11" s="33">
        <v>46114.0</v>
      </c>
      <c r="G11" s="24"/>
      <c r="H11" s="26">
        <v>100000.0</v>
      </c>
      <c r="I11" s="28" t="s">
        <v>31</v>
      </c>
      <c r="J11" s="28"/>
      <c r="K11" s="28"/>
      <c r="L11" s="28" t="s">
        <v>34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56</v>
      </c>
      <c r="D12" s="18" t="s">
        <v>57</v>
      </c>
      <c r="E12" s="20"/>
      <c r="F12" s="36">
        <v>46114.0</v>
      </c>
      <c r="G12" s="24">
        <v>50000.0</v>
      </c>
      <c r="H12" s="37"/>
      <c r="I12" s="28" t="s">
        <v>22</v>
      </c>
      <c r="J12" s="28" t="s">
        <v>23</v>
      </c>
      <c r="K12" s="28" t="s">
        <v>23</v>
      </c>
      <c r="L12" s="28" t="s">
        <v>34</v>
      </c>
      <c r="M12" s="28" t="s">
        <v>52</v>
      </c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175000</v>
      </c>
      <c r="H19" s="43">
        <f t="shared" si="1"/>
        <v>800000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175000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 t="s">
        <v>96</v>
      </c>
      <c r="D24" s="54">
        <v>-33000.0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 t="s">
        <v>102</v>
      </c>
      <c r="D25" s="58">
        <v>-42000.0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38</v>
      </c>
      <c r="P25" s="1"/>
      <c r="Q25" s="1"/>
      <c r="R25" s="1"/>
    </row>
    <row r="26">
      <c r="A26" s="1"/>
      <c r="B26" s="52">
        <v>4.0</v>
      </c>
      <c r="C26" s="53" t="s">
        <v>106</v>
      </c>
      <c r="D26" s="54">
        <v>-50000.0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52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Edit,Frame,Add 10R"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"-,VERO,FADEL,PENTIL,HANIF ,ADIF"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4.63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25</v>
      </c>
      <c r="D4" s="18" t="s">
        <v>28</v>
      </c>
      <c r="E4" s="20"/>
      <c r="F4" s="22">
        <v>46116.0</v>
      </c>
      <c r="G4" s="24"/>
      <c r="H4" s="26">
        <v>150000.0</v>
      </c>
      <c r="I4" s="28" t="s">
        <v>31</v>
      </c>
      <c r="J4" s="28"/>
      <c r="K4" s="28"/>
      <c r="L4" s="28" t="s">
        <v>34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44</v>
      </c>
      <c r="D5" s="18" t="s">
        <v>45</v>
      </c>
      <c r="E5" s="20"/>
      <c r="F5" s="22">
        <v>46116.0</v>
      </c>
      <c r="G5" s="24"/>
      <c r="H5" s="26">
        <v>100000.0</v>
      </c>
      <c r="I5" s="28" t="s">
        <v>31</v>
      </c>
      <c r="J5" s="28"/>
      <c r="K5" s="28"/>
      <c r="L5" s="28" t="s">
        <v>34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51</v>
      </c>
      <c r="D6" s="18" t="s">
        <v>45</v>
      </c>
      <c r="E6" s="20"/>
      <c r="F6" s="22">
        <v>46116.0</v>
      </c>
      <c r="G6" s="34"/>
      <c r="H6" s="26">
        <v>290000.0</v>
      </c>
      <c r="I6" s="28" t="s">
        <v>22</v>
      </c>
      <c r="J6" s="28" t="s">
        <v>23</v>
      </c>
      <c r="K6" s="28" t="s">
        <v>24</v>
      </c>
      <c r="L6" s="28" t="s">
        <v>34</v>
      </c>
      <c r="M6" s="28" t="s">
        <v>52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59</v>
      </c>
      <c r="D7" s="18" t="s">
        <v>60</v>
      </c>
      <c r="E7" s="20"/>
      <c r="F7" s="36">
        <v>46118.0</v>
      </c>
      <c r="G7" s="24"/>
      <c r="H7" s="26">
        <v>100000.0</v>
      </c>
      <c r="I7" s="28" t="s">
        <v>31</v>
      </c>
      <c r="J7" s="28"/>
      <c r="K7" s="28"/>
      <c r="L7" s="28" t="s">
        <v>34</v>
      </c>
      <c r="M7" s="28"/>
      <c r="N7" s="31"/>
      <c r="O7" s="31"/>
      <c r="P7" s="32"/>
      <c r="Q7" s="1"/>
      <c r="R7" s="1"/>
    </row>
    <row r="8">
      <c r="A8" s="1"/>
      <c r="B8" s="14">
        <v>5.0</v>
      </c>
      <c r="C8" s="15" t="s">
        <v>63</v>
      </c>
      <c r="D8" s="18" t="s">
        <v>54</v>
      </c>
      <c r="E8" s="20"/>
      <c r="F8" s="36">
        <v>46117.0</v>
      </c>
      <c r="G8" s="24"/>
      <c r="H8" s="26">
        <v>100000.0</v>
      </c>
      <c r="I8" s="28" t="s">
        <v>31</v>
      </c>
      <c r="J8" s="28"/>
      <c r="K8" s="28"/>
      <c r="L8" s="28" t="s">
        <v>34</v>
      </c>
      <c r="M8" s="35"/>
      <c r="N8" s="31"/>
      <c r="O8" s="32"/>
      <c r="P8" s="32"/>
      <c r="Q8" s="1"/>
      <c r="R8" s="1"/>
    </row>
    <row r="9">
      <c r="A9" s="1"/>
      <c r="B9" s="14">
        <v>6.0</v>
      </c>
      <c r="C9" s="15" t="s">
        <v>64</v>
      </c>
      <c r="D9" s="18" t="s">
        <v>41</v>
      </c>
      <c r="E9" s="20"/>
      <c r="F9" s="33">
        <v>46116.0</v>
      </c>
      <c r="G9" s="24"/>
      <c r="H9" s="26">
        <v>150000.0</v>
      </c>
      <c r="I9" s="28" t="s">
        <v>22</v>
      </c>
      <c r="J9" s="28" t="s">
        <v>23</v>
      </c>
      <c r="K9" s="28" t="s">
        <v>24</v>
      </c>
      <c r="L9" s="28" t="s">
        <v>34</v>
      </c>
      <c r="M9" s="28" t="s">
        <v>52</v>
      </c>
      <c r="N9" s="31"/>
      <c r="O9" s="32"/>
      <c r="P9" s="32"/>
      <c r="Q9" s="1"/>
      <c r="R9" s="1"/>
    </row>
    <row r="10">
      <c r="A10" s="1"/>
      <c r="B10" s="14">
        <v>7.0</v>
      </c>
      <c r="C10" s="15" t="s">
        <v>67</v>
      </c>
      <c r="D10" s="18" t="s">
        <v>28</v>
      </c>
      <c r="E10" s="20"/>
      <c r="F10" s="14" t="s">
        <v>69</v>
      </c>
      <c r="G10" s="24"/>
      <c r="H10" s="26">
        <v>100000.0</v>
      </c>
      <c r="I10" s="28" t="s">
        <v>31</v>
      </c>
      <c r="J10" s="28"/>
      <c r="K10" s="28"/>
      <c r="L10" s="28" t="s">
        <v>34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71</v>
      </c>
      <c r="D11" s="18" t="s">
        <v>45</v>
      </c>
      <c r="E11" s="20"/>
      <c r="F11" s="33">
        <v>46116.0</v>
      </c>
      <c r="G11" s="24"/>
      <c r="H11" s="26">
        <v>100000.0</v>
      </c>
      <c r="I11" s="28" t="s">
        <v>31</v>
      </c>
      <c r="J11" s="28"/>
      <c r="K11" s="28"/>
      <c r="L11" s="28" t="s">
        <v>34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72</v>
      </c>
      <c r="D12" s="18" t="s">
        <v>73</v>
      </c>
      <c r="E12" s="20"/>
      <c r="F12" s="33">
        <v>46116.0</v>
      </c>
      <c r="G12" s="24"/>
      <c r="H12" s="26">
        <v>300000.0</v>
      </c>
      <c r="I12" s="28" t="s">
        <v>22</v>
      </c>
      <c r="J12" s="28" t="s">
        <v>23</v>
      </c>
      <c r="K12" s="28" t="s">
        <v>23</v>
      </c>
      <c r="L12" s="28" t="s">
        <v>34</v>
      </c>
      <c r="M12" s="28" t="s">
        <v>52</v>
      </c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76</v>
      </c>
      <c r="D13" s="18" t="s">
        <v>77</v>
      </c>
      <c r="E13" s="20"/>
      <c r="F13" s="33">
        <v>46116.0</v>
      </c>
      <c r="G13" s="24"/>
      <c r="H13" s="26">
        <v>300000.0</v>
      </c>
      <c r="I13" s="28" t="s">
        <v>22</v>
      </c>
      <c r="J13" s="28" t="s">
        <v>23</v>
      </c>
      <c r="K13" s="28" t="s">
        <v>24</v>
      </c>
      <c r="L13" s="28" t="s">
        <v>34</v>
      </c>
      <c r="M13" s="28" t="s">
        <v>52</v>
      </c>
      <c r="N13" s="31"/>
      <c r="O13" s="32"/>
      <c r="P13" s="32"/>
      <c r="Q13" s="1"/>
      <c r="R13" s="1"/>
    </row>
    <row r="14">
      <c r="A14" s="1"/>
      <c r="B14" s="14">
        <v>11.0</v>
      </c>
      <c r="C14" s="15" t="s">
        <v>80</v>
      </c>
      <c r="D14" s="18" t="s">
        <v>81</v>
      </c>
      <c r="E14" s="20"/>
      <c r="F14" s="33">
        <v>46115.0</v>
      </c>
      <c r="G14" s="24"/>
      <c r="H14" s="26">
        <v>100000.0</v>
      </c>
      <c r="I14" s="28" t="s">
        <v>31</v>
      </c>
      <c r="J14" s="28"/>
      <c r="K14" s="28"/>
      <c r="L14" s="28" t="s">
        <v>26</v>
      </c>
      <c r="M14" s="35"/>
      <c r="N14" s="31"/>
      <c r="O14" s="32"/>
      <c r="P14" s="32"/>
      <c r="Q14" s="1"/>
      <c r="R14" s="1"/>
    </row>
    <row r="15">
      <c r="A15" s="1"/>
      <c r="B15" s="14">
        <v>12.0</v>
      </c>
      <c r="C15" s="15" t="s">
        <v>85</v>
      </c>
      <c r="D15" s="18" t="s">
        <v>45</v>
      </c>
      <c r="E15" s="20"/>
      <c r="F15" s="33">
        <v>46115.0</v>
      </c>
      <c r="G15" s="24"/>
      <c r="H15" s="26">
        <v>100000.0</v>
      </c>
      <c r="I15" s="28" t="s">
        <v>31</v>
      </c>
      <c r="J15" s="28"/>
      <c r="K15" s="28"/>
      <c r="L15" s="28" t="s">
        <v>26</v>
      </c>
      <c r="M15" s="35"/>
      <c r="N15" s="31"/>
      <c r="O15" s="32"/>
      <c r="P15" s="32"/>
      <c r="Q15" s="1"/>
      <c r="R15" s="1"/>
    </row>
    <row r="16">
      <c r="A16" s="1"/>
      <c r="B16" s="14">
        <v>13.0</v>
      </c>
      <c r="C16" s="15" t="s">
        <v>78</v>
      </c>
      <c r="D16" s="18" t="s">
        <v>79</v>
      </c>
      <c r="E16" s="20"/>
      <c r="F16" s="33">
        <v>46116.0</v>
      </c>
      <c r="G16" s="24"/>
      <c r="H16" s="26">
        <v>100000.0</v>
      </c>
      <c r="I16" s="28" t="s">
        <v>31</v>
      </c>
      <c r="J16" s="28"/>
      <c r="K16" s="28"/>
      <c r="L16" s="28" t="s">
        <v>26</v>
      </c>
      <c r="M16" s="35"/>
      <c r="N16" s="31"/>
      <c r="O16" s="32"/>
      <c r="P16" s="32"/>
      <c r="Q16" s="1"/>
      <c r="R16" s="1"/>
    </row>
    <row r="17">
      <c r="A17" s="1"/>
      <c r="B17" s="14">
        <v>14.0</v>
      </c>
      <c r="C17" s="15" t="s">
        <v>89</v>
      </c>
      <c r="D17" s="18" t="s">
        <v>54</v>
      </c>
      <c r="E17" s="20"/>
      <c r="F17" s="33">
        <v>46115.0</v>
      </c>
      <c r="G17" s="24">
        <v>50000.0</v>
      </c>
      <c r="H17" s="37"/>
      <c r="I17" s="28" t="s">
        <v>22</v>
      </c>
      <c r="J17" s="28" t="s">
        <v>23</v>
      </c>
      <c r="K17" s="28" t="s">
        <v>23</v>
      </c>
      <c r="L17" s="28" t="s">
        <v>26</v>
      </c>
      <c r="M17" s="28" t="s">
        <v>38</v>
      </c>
      <c r="N17" s="31"/>
      <c r="O17" s="32"/>
      <c r="P17" s="32"/>
      <c r="Q17" s="1"/>
      <c r="R17" s="1"/>
    </row>
    <row r="18">
      <c r="A18" s="1"/>
      <c r="B18" s="14">
        <v>15.0</v>
      </c>
      <c r="C18" s="15" t="s">
        <v>92</v>
      </c>
      <c r="D18" s="18" t="s">
        <v>28</v>
      </c>
      <c r="E18" s="20" t="s">
        <v>93</v>
      </c>
      <c r="F18" s="33">
        <v>46115.0</v>
      </c>
      <c r="G18" s="24"/>
      <c r="H18" s="26">
        <v>145000.0</v>
      </c>
      <c r="I18" s="28" t="s">
        <v>22</v>
      </c>
      <c r="J18" s="28" t="s">
        <v>23</v>
      </c>
      <c r="K18" s="28" t="s">
        <v>23</v>
      </c>
      <c r="L18" s="28" t="s">
        <v>26</v>
      </c>
      <c r="M18" s="28" t="s">
        <v>38</v>
      </c>
      <c r="N18" s="31"/>
      <c r="O18" s="32"/>
      <c r="P18" s="32"/>
      <c r="Q18" s="1"/>
      <c r="R18" s="1"/>
    </row>
    <row r="19">
      <c r="A19" s="1"/>
      <c r="B19" s="14">
        <v>16.0</v>
      </c>
      <c r="C19" s="15" t="s">
        <v>97</v>
      </c>
      <c r="D19" s="18" t="s">
        <v>45</v>
      </c>
      <c r="E19" s="20"/>
      <c r="F19" s="33">
        <v>46107.0</v>
      </c>
      <c r="G19" s="24"/>
      <c r="H19" s="26">
        <v>20000.0</v>
      </c>
      <c r="I19" s="28" t="s">
        <v>22</v>
      </c>
      <c r="J19" s="28"/>
      <c r="K19" s="28"/>
      <c r="L19" s="28" t="s">
        <v>26</v>
      </c>
      <c r="M19" s="35"/>
      <c r="N19" s="31"/>
      <c r="O19" s="32"/>
      <c r="P19" s="32"/>
      <c r="Q19" s="1"/>
      <c r="R19" s="1"/>
    </row>
    <row r="20">
      <c r="A20" s="1"/>
      <c r="B20" s="14">
        <v>17.0</v>
      </c>
      <c r="C20" s="15" t="s">
        <v>101</v>
      </c>
      <c r="D20" s="18" t="s">
        <v>20</v>
      </c>
      <c r="E20" s="20"/>
      <c r="F20" s="33">
        <v>46115.0</v>
      </c>
      <c r="G20" s="24">
        <v>350000.0</v>
      </c>
      <c r="H20" s="37"/>
      <c r="I20" s="28" t="s">
        <v>22</v>
      </c>
      <c r="J20" s="28" t="s">
        <v>23</v>
      </c>
      <c r="K20" s="28" t="s">
        <v>24</v>
      </c>
      <c r="L20" s="28" t="s">
        <v>34</v>
      </c>
      <c r="M20" s="28" t="s">
        <v>52</v>
      </c>
      <c r="N20" s="31"/>
      <c r="O20" s="32"/>
      <c r="P20" s="32"/>
      <c r="Q20" s="1"/>
      <c r="R20" s="1"/>
    </row>
    <row r="21">
      <c r="A21" s="1"/>
      <c r="B21" s="14">
        <v>18.0</v>
      </c>
      <c r="C21" s="15" t="s">
        <v>105</v>
      </c>
      <c r="D21" s="18" t="s">
        <v>41</v>
      </c>
      <c r="E21" s="20"/>
      <c r="F21" s="33">
        <v>46115.0</v>
      </c>
      <c r="G21" s="24">
        <v>0.0</v>
      </c>
      <c r="H21" s="26">
        <v>0.0</v>
      </c>
      <c r="I21" s="28" t="s">
        <v>22</v>
      </c>
      <c r="J21" s="28" t="s">
        <v>23</v>
      </c>
      <c r="K21" s="28" t="s">
        <v>23</v>
      </c>
      <c r="L21" s="28" t="s">
        <v>26</v>
      </c>
      <c r="M21" s="28" t="s">
        <v>38</v>
      </c>
      <c r="N21" s="31"/>
      <c r="O21" s="32"/>
      <c r="P21" s="32"/>
      <c r="Q21" s="1"/>
      <c r="R21" s="1"/>
    </row>
    <row r="22">
      <c r="A22" s="1"/>
      <c r="B22" s="14">
        <v>19.0</v>
      </c>
      <c r="C22" s="15" t="s">
        <v>107</v>
      </c>
      <c r="D22" s="18" t="s">
        <v>108</v>
      </c>
      <c r="E22" s="20"/>
      <c r="F22" s="33">
        <v>46105.0</v>
      </c>
      <c r="G22" s="24"/>
      <c r="H22" s="26">
        <v>20000.0</v>
      </c>
      <c r="I22" s="28" t="s">
        <v>22</v>
      </c>
      <c r="J22" s="28"/>
      <c r="K22" s="28"/>
      <c r="L22" s="28" t="s">
        <v>26</v>
      </c>
      <c r="M22" s="35"/>
      <c r="N22" s="31"/>
      <c r="O22" s="32"/>
      <c r="P22" s="32"/>
      <c r="Q22" s="1"/>
      <c r="R22" s="1"/>
    </row>
    <row r="23">
      <c r="A23" s="1"/>
      <c r="B23" s="14">
        <v>20.0</v>
      </c>
      <c r="C23" s="15" t="s">
        <v>44</v>
      </c>
      <c r="D23" s="18" t="s">
        <v>45</v>
      </c>
      <c r="E23" s="20" t="s">
        <v>110</v>
      </c>
      <c r="F23" s="33">
        <v>46115.0</v>
      </c>
      <c r="G23" s="24"/>
      <c r="H23" s="26">
        <v>390000.0</v>
      </c>
      <c r="I23" s="28" t="s">
        <v>22</v>
      </c>
      <c r="J23" s="28" t="s">
        <v>23</v>
      </c>
      <c r="K23" s="28" t="s">
        <v>23</v>
      </c>
      <c r="L23" s="28" t="s">
        <v>26</v>
      </c>
      <c r="M23" s="28" t="s">
        <v>38</v>
      </c>
      <c r="N23" s="31"/>
      <c r="O23" s="32"/>
      <c r="P23" s="32"/>
      <c r="Q23" s="1"/>
      <c r="R23" s="1"/>
    </row>
    <row r="24">
      <c r="A24" s="1"/>
      <c r="B24" s="14">
        <v>21.0</v>
      </c>
      <c r="C24" s="15" t="s">
        <v>83</v>
      </c>
      <c r="D24" s="18" t="s">
        <v>57</v>
      </c>
      <c r="E24" s="20"/>
      <c r="F24" s="33">
        <v>46116.0</v>
      </c>
      <c r="G24" s="24"/>
      <c r="H24" s="26">
        <v>100000.0</v>
      </c>
      <c r="I24" s="28" t="s">
        <v>22</v>
      </c>
      <c r="J24" s="28"/>
      <c r="K24" s="28"/>
      <c r="L24" s="28" t="s">
        <v>26</v>
      </c>
      <c r="M24" s="35"/>
      <c r="N24" s="31"/>
      <c r="O24" s="32"/>
      <c r="P24" s="32"/>
      <c r="Q24" s="1"/>
      <c r="R24" s="1"/>
    </row>
    <row r="25">
      <c r="A25" s="1"/>
      <c r="B25" s="14">
        <v>22.0</v>
      </c>
      <c r="C25" s="15" t="s">
        <v>80</v>
      </c>
      <c r="D25" s="18" t="s">
        <v>81</v>
      </c>
      <c r="E25" s="20"/>
      <c r="F25" s="33">
        <v>46115.0</v>
      </c>
      <c r="G25" s="24"/>
      <c r="H25" s="26">
        <v>100000.0</v>
      </c>
      <c r="I25" s="28" t="s">
        <v>22</v>
      </c>
      <c r="J25" s="28" t="s">
        <v>23</v>
      </c>
      <c r="K25" s="28" t="s">
        <v>24</v>
      </c>
      <c r="L25" s="28" t="s">
        <v>26</v>
      </c>
      <c r="M25" s="28" t="s">
        <v>38</v>
      </c>
      <c r="N25" s="31"/>
      <c r="O25" s="32"/>
      <c r="P25" s="32"/>
      <c r="Q25" s="1"/>
      <c r="R25" s="1"/>
    </row>
    <row r="26">
      <c r="A26" s="1"/>
      <c r="B26" s="14">
        <v>23.0</v>
      </c>
      <c r="C26" s="15" t="s">
        <v>71</v>
      </c>
      <c r="D26" s="18" t="s">
        <v>45</v>
      </c>
      <c r="E26" s="20"/>
      <c r="F26" s="33">
        <v>46115.0</v>
      </c>
      <c r="G26" s="24"/>
      <c r="H26" s="26">
        <v>250000.0</v>
      </c>
      <c r="I26" s="28" t="s">
        <v>22</v>
      </c>
      <c r="J26" s="28" t="s">
        <v>23</v>
      </c>
      <c r="K26" s="28" t="s">
        <v>24</v>
      </c>
      <c r="L26" s="28" t="s">
        <v>26</v>
      </c>
      <c r="M26" s="28" t="s">
        <v>38</v>
      </c>
      <c r="N26" s="31"/>
      <c r="O26" s="32"/>
      <c r="P26" s="32"/>
      <c r="Q26" s="1"/>
      <c r="R26" s="1"/>
    </row>
    <row r="27">
      <c r="A27" s="1"/>
      <c r="B27" s="14">
        <v>24.0</v>
      </c>
      <c r="C27" s="15" t="s">
        <v>85</v>
      </c>
      <c r="D27" s="18" t="s">
        <v>45</v>
      </c>
      <c r="E27" s="20"/>
      <c r="F27" s="33">
        <v>46115.0</v>
      </c>
      <c r="G27" s="24"/>
      <c r="H27" s="26">
        <v>390000.0</v>
      </c>
      <c r="I27" s="28" t="s">
        <v>22</v>
      </c>
      <c r="J27" s="28" t="s">
        <v>23</v>
      </c>
      <c r="K27" s="28" t="s">
        <v>24</v>
      </c>
      <c r="L27" s="28" t="s">
        <v>26</v>
      </c>
      <c r="M27" s="28" t="s">
        <v>38</v>
      </c>
      <c r="N27" s="31"/>
      <c r="O27" s="32"/>
      <c r="P27" s="32"/>
      <c r="Q27" s="1"/>
      <c r="R27" s="1"/>
    </row>
    <row r="28">
      <c r="A28" s="1"/>
      <c r="B28" s="14">
        <v>25.0</v>
      </c>
      <c r="C28" s="15" t="s">
        <v>113</v>
      </c>
      <c r="D28" s="18" t="s">
        <v>41</v>
      </c>
      <c r="E28" s="20"/>
      <c r="F28" s="33">
        <v>46124.0</v>
      </c>
      <c r="G28" s="24"/>
      <c r="H28" s="26">
        <v>100000.0</v>
      </c>
      <c r="I28" s="28" t="s">
        <v>22</v>
      </c>
      <c r="J28" s="28"/>
      <c r="K28" s="28"/>
      <c r="L28" s="28" t="s">
        <v>26</v>
      </c>
      <c r="M28" s="35"/>
      <c r="N28" s="31"/>
      <c r="O28" s="32"/>
      <c r="P28" s="32"/>
      <c r="Q28" s="1"/>
      <c r="R28" s="1"/>
    </row>
    <row r="29">
      <c r="A29" s="1"/>
      <c r="B29" s="14">
        <v>26.0</v>
      </c>
      <c r="C29" s="15" t="s">
        <v>58</v>
      </c>
      <c r="D29" s="18" t="s">
        <v>28</v>
      </c>
      <c r="E29" s="20"/>
      <c r="F29" s="33">
        <v>46115.0</v>
      </c>
      <c r="G29" s="24">
        <v>100000.0</v>
      </c>
      <c r="H29" s="37"/>
      <c r="I29" s="28" t="s">
        <v>22</v>
      </c>
      <c r="J29" s="28" t="s">
        <v>23</v>
      </c>
      <c r="K29" s="28" t="s">
        <v>24</v>
      </c>
      <c r="L29" s="28" t="s">
        <v>26</v>
      </c>
      <c r="M29" s="28" t="s">
        <v>38</v>
      </c>
      <c r="N29" s="32"/>
      <c r="O29" s="32"/>
      <c r="P29" s="32"/>
      <c r="Q29" s="1"/>
      <c r="R29" s="1"/>
    </row>
    <row r="30">
      <c r="A30" s="1"/>
      <c r="B30" s="14"/>
      <c r="C30" s="40"/>
      <c r="D30" s="18"/>
      <c r="E30" s="20"/>
      <c r="F30" s="38"/>
      <c r="G30" s="34"/>
      <c r="H30" s="37"/>
      <c r="I30" s="35"/>
      <c r="J30" s="35"/>
      <c r="K30" s="35"/>
      <c r="L30" s="35"/>
      <c r="M30" s="35"/>
      <c r="N30" s="41"/>
      <c r="O30" s="41"/>
      <c r="P30" s="41"/>
      <c r="Q30" s="1"/>
      <c r="R30" s="1"/>
    </row>
    <row r="31" ht="18.75" customHeight="1">
      <c r="A31" s="1"/>
      <c r="B31" s="1"/>
      <c r="C31" s="2"/>
      <c r="D31" s="2"/>
      <c r="E31" s="1"/>
      <c r="F31" s="1"/>
      <c r="G31" s="42">
        <f t="shared" ref="G31:H31" si="1">SUM(G4:G30)</f>
        <v>500000</v>
      </c>
      <c r="H31" s="43">
        <f t="shared" si="1"/>
        <v>3505000</v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ht="23.25" customHeight="1">
      <c r="A32" s="1"/>
      <c r="B32" s="1"/>
      <c r="C32" s="2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2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4" t="s">
        <v>0</v>
      </c>
      <c r="C34" s="45" t="s">
        <v>6</v>
      </c>
      <c r="D34" s="45" t="s">
        <v>82</v>
      </c>
      <c r="E34" s="46"/>
      <c r="F34" s="1"/>
      <c r="G34" s="1"/>
      <c r="H34" s="1"/>
      <c r="I34" s="1"/>
      <c r="J34" s="1"/>
      <c r="K34" s="1"/>
      <c r="L34" s="1"/>
      <c r="M34" s="1"/>
      <c r="N34" s="45" t="s">
        <v>84</v>
      </c>
      <c r="O34" s="45" t="s">
        <v>1</v>
      </c>
      <c r="P34" s="1"/>
      <c r="Q34" s="1"/>
      <c r="R34" s="1"/>
    </row>
    <row r="35">
      <c r="A35" s="1"/>
      <c r="B35" s="47">
        <v>1.0</v>
      </c>
      <c r="C35" s="48" t="s">
        <v>86</v>
      </c>
      <c r="D35" s="49">
        <f>SUM(G31)</f>
        <v>500000</v>
      </c>
      <c r="E35" s="50"/>
      <c r="F35" s="1"/>
      <c r="G35" s="1"/>
      <c r="H35" s="1"/>
      <c r="I35" s="1"/>
      <c r="J35" s="1"/>
      <c r="K35" s="1"/>
      <c r="L35" s="1"/>
      <c r="M35" s="1"/>
      <c r="N35" s="51" t="s">
        <v>88</v>
      </c>
      <c r="O35" s="29" t="s">
        <v>34</v>
      </c>
      <c r="P35" s="1"/>
      <c r="Q35" s="1"/>
      <c r="R35" s="1"/>
    </row>
    <row r="36">
      <c r="A36" s="1"/>
      <c r="B36" s="52">
        <v>2.0</v>
      </c>
      <c r="C36" s="53" t="s">
        <v>102</v>
      </c>
      <c r="D36" s="54">
        <v>-50000.0</v>
      </c>
      <c r="E36" s="55"/>
      <c r="F36" s="1"/>
      <c r="G36" s="1"/>
      <c r="H36" s="1"/>
      <c r="I36" s="1"/>
      <c r="J36" s="1"/>
      <c r="K36" s="1"/>
      <c r="L36" s="1"/>
      <c r="M36" s="1"/>
      <c r="N36" s="56" t="s">
        <v>94</v>
      </c>
      <c r="O36" s="57" t="s">
        <v>26</v>
      </c>
      <c r="P36" s="1"/>
      <c r="Q36" s="1"/>
      <c r="R36" s="1"/>
    </row>
    <row r="37">
      <c r="A37" s="1"/>
      <c r="B37" s="47">
        <v>3.0</v>
      </c>
      <c r="C37" s="48"/>
      <c r="D37" s="58"/>
      <c r="E37" s="55"/>
      <c r="F37" s="1"/>
      <c r="G37" s="1"/>
      <c r="H37" s="1"/>
      <c r="I37" s="1"/>
      <c r="J37" s="1"/>
      <c r="K37" s="1"/>
      <c r="L37" s="1"/>
      <c r="M37" s="1"/>
      <c r="N37" s="59" t="s">
        <v>98</v>
      </c>
      <c r="O37" s="31" t="s">
        <v>52</v>
      </c>
      <c r="P37" s="1"/>
      <c r="Q37" s="1"/>
      <c r="R37" s="1"/>
    </row>
    <row r="38">
      <c r="A38" s="1"/>
      <c r="B38" s="52">
        <v>4.0</v>
      </c>
      <c r="C38" s="53"/>
      <c r="D38" s="54"/>
      <c r="E38" s="55"/>
      <c r="F38" s="1"/>
      <c r="G38" s="1"/>
      <c r="H38" s="1"/>
      <c r="I38" s="1"/>
      <c r="J38" s="1"/>
      <c r="K38" s="1"/>
      <c r="L38" s="1"/>
      <c r="M38" s="1"/>
      <c r="N38" s="60" t="s">
        <v>100</v>
      </c>
      <c r="O38" s="57" t="s">
        <v>38</v>
      </c>
      <c r="P38" s="1"/>
      <c r="Q38" s="1"/>
      <c r="R38" s="1"/>
    </row>
    <row r="39">
      <c r="A39" s="1"/>
      <c r="B39" s="47"/>
      <c r="C39" s="62"/>
      <c r="D39" s="49"/>
      <c r="E39" s="50"/>
      <c r="F39" s="1"/>
      <c r="G39" s="1"/>
      <c r="H39" s="1"/>
      <c r="I39" s="1"/>
      <c r="J39" s="1"/>
      <c r="K39" s="1"/>
      <c r="L39" s="1"/>
      <c r="M39" s="1"/>
      <c r="N39" s="61"/>
      <c r="O39" s="1"/>
      <c r="P39" s="1"/>
      <c r="Q39" s="1"/>
      <c r="R39" s="1"/>
    </row>
    <row r="40">
      <c r="A40" s="1"/>
      <c r="B40" s="52"/>
      <c r="C40" s="63"/>
      <c r="D40" s="64"/>
      <c r="E40" s="5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47"/>
      <c r="C41" s="62"/>
      <c r="D41" s="49"/>
      <c r="E41" s="5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52"/>
      <c r="C42" s="63"/>
      <c r="D42" s="64"/>
      <c r="E42" s="5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>
      <c r="A43" s="1"/>
      <c r="B43" s="47"/>
      <c r="C43" s="62"/>
      <c r="D43" s="49"/>
      <c r="E43" s="5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>
      <c r="A44" s="1"/>
      <c r="B44" s="52"/>
      <c r="C44" s="63"/>
      <c r="D44" s="64"/>
      <c r="E44" s="5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65"/>
      <c r="C45" s="66"/>
      <c r="D45" s="67"/>
      <c r="E45" s="5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1"/>
      <c r="C46" s="2"/>
      <c r="D46" s="68">
        <f>SUM(D35:D45)</f>
        <v>450000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1"/>
      <c r="C47" s="2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1"/>
      <c r="C48" s="2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1"/>
      <c r="C49" s="2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30 O35:O36">
      <formula1>"-,JIJANG,ADDEL ,PENTIL,FAHME,INDAH"</formula1>
    </dataValidation>
    <dataValidation type="list" allowBlank="1" showDropDown="1" showErrorMessage="1" sqref="D4:D30">
      <formula1>"-,Single,Couple A,Couple B,Group A,Group B,Group C,Large Group,Graduation,Graduation Premium,Family A,Family B,Maternity,Concept,Studio Rent,Pas Foto,Single,Add Person ,Add Edit,Photofox ,Couple C,Packing"</formula1>
    </dataValidation>
    <dataValidation type="list" allowBlank="1" showErrorMessage="1" sqref="N4:N30">
      <formula1>"-,Pending,Progress,Uploaded"</formula1>
    </dataValidation>
    <dataValidation type="list" allowBlank="1" showErrorMessage="1" sqref="O4:O30">
      <formula1>"-,In Pikako,In Foxe"</formula1>
    </dataValidation>
    <dataValidation type="list" allowBlank="1" showDropDown="1" showErrorMessage="1" sqref="I4:I30">
      <formula1>"-,DP,Lunas"</formula1>
    </dataValidation>
    <dataValidation type="list" allowBlank="1" showDropDown="1" showErrorMessage="1" sqref="J4:K30">
      <formula1>"-,Pending,Uploaded"</formula1>
    </dataValidation>
    <dataValidation type="list" allowBlank="1" showDropDown="1" showErrorMessage="1" sqref="M4:M30 O37:O38">
      <formula1>"-,VERO,FADEL,PENTIL,HANIF ,ADIF"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39</v>
      </c>
      <c r="D4" s="18" t="s">
        <v>45</v>
      </c>
      <c r="E4" s="20"/>
      <c r="F4" s="33">
        <v>46116.0</v>
      </c>
      <c r="G4" s="24"/>
      <c r="H4" s="26">
        <v>250000.0</v>
      </c>
      <c r="I4" s="28" t="s">
        <v>22</v>
      </c>
      <c r="J4" s="28" t="s">
        <v>23</v>
      </c>
      <c r="K4" s="28" t="s">
        <v>24</v>
      </c>
      <c r="L4" s="28" t="s">
        <v>26</v>
      </c>
      <c r="M4" s="28" t="s">
        <v>27</v>
      </c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66</v>
      </c>
      <c r="D5" s="18" t="s">
        <v>41</v>
      </c>
      <c r="E5" s="20">
        <v>2.0</v>
      </c>
      <c r="F5" s="22">
        <v>46141.0</v>
      </c>
      <c r="G5" s="24"/>
      <c r="H5" s="26">
        <v>200000.0</v>
      </c>
      <c r="I5" s="28" t="s">
        <v>22</v>
      </c>
      <c r="J5" s="28"/>
      <c r="K5" s="28"/>
      <c r="L5" s="28" t="s">
        <v>26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74</v>
      </c>
      <c r="D6" s="18" t="s">
        <v>75</v>
      </c>
      <c r="E6" s="20"/>
      <c r="F6" s="33">
        <v>46116.0</v>
      </c>
      <c r="G6" s="24">
        <v>100000.0</v>
      </c>
      <c r="H6" s="26"/>
      <c r="I6" s="28" t="s">
        <v>22</v>
      </c>
      <c r="J6" s="28" t="s">
        <v>23</v>
      </c>
      <c r="K6" s="28" t="s">
        <v>23</v>
      </c>
      <c r="L6" s="28" t="s">
        <v>26</v>
      </c>
      <c r="M6" s="28" t="s">
        <v>27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78</v>
      </c>
      <c r="D7" s="18" t="s">
        <v>79</v>
      </c>
      <c r="E7" s="20"/>
      <c r="F7" s="33">
        <v>46116.0</v>
      </c>
      <c r="G7" s="24"/>
      <c r="H7" s="26">
        <v>400000.0</v>
      </c>
      <c r="I7" s="28" t="s">
        <v>22</v>
      </c>
      <c r="J7" s="28" t="s">
        <v>23</v>
      </c>
      <c r="K7" s="28" t="s">
        <v>24</v>
      </c>
      <c r="L7" s="28" t="s">
        <v>26</v>
      </c>
      <c r="M7" s="28" t="s">
        <v>27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83</v>
      </c>
      <c r="D8" s="18" t="s">
        <v>57</v>
      </c>
      <c r="E8" s="20">
        <v>3.0</v>
      </c>
      <c r="F8" s="33">
        <v>46116.0</v>
      </c>
      <c r="G8" s="24">
        <v>50000.0</v>
      </c>
      <c r="H8" s="37"/>
      <c r="I8" s="28" t="s">
        <v>22</v>
      </c>
      <c r="J8" s="28" t="s">
        <v>23</v>
      </c>
      <c r="K8" s="28" t="s">
        <v>23</v>
      </c>
      <c r="L8" s="28" t="s">
        <v>26</v>
      </c>
      <c r="M8" s="28" t="s">
        <v>27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87</v>
      </c>
      <c r="D9" s="18" t="s">
        <v>28</v>
      </c>
      <c r="E9" s="20"/>
      <c r="F9" s="33">
        <v>46118.0</v>
      </c>
      <c r="G9" s="24"/>
      <c r="H9" s="26">
        <v>100000.0</v>
      </c>
      <c r="I9" s="28" t="s">
        <v>31</v>
      </c>
      <c r="J9" s="28"/>
      <c r="K9" s="28"/>
      <c r="L9" s="28" t="s">
        <v>26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91</v>
      </c>
      <c r="D10" s="18" t="s">
        <v>28</v>
      </c>
      <c r="E10" s="20"/>
      <c r="F10" s="33">
        <v>46117.0</v>
      </c>
      <c r="G10" s="24"/>
      <c r="H10" s="26">
        <v>100000.0</v>
      </c>
      <c r="I10" s="28" t="s">
        <v>31</v>
      </c>
      <c r="J10" s="28"/>
      <c r="K10" s="28"/>
      <c r="L10" s="28" t="s">
        <v>26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80</v>
      </c>
      <c r="D11" s="18" t="s">
        <v>36</v>
      </c>
      <c r="E11" s="20"/>
      <c r="F11" s="33">
        <v>46115.0</v>
      </c>
      <c r="G11" s="24"/>
      <c r="H11" s="26">
        <v>90000.0</v>
      </c>
      <c r="I11" s="28" t="s">
        <v>22</v>
      </c>
      <c r="J11" s="28"/>
      <c r="K11" s="28"/>
      <c r="L11" s="28" t="s">
        <v>26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104</v>
      </c>
      <c r="D12" s="18" t="s">
        <v>57</v>
      </c>
      <c r="E12" s="20"/>
      <c r="F12" s="33">
        <v>46117.0</v>
      </c>
      <c r="G12" s="24"/>
      <c r="H12" s="26">
        <v>100000.0</v>
      </c>
      <c r="I12" s="28" t="s">
        <v>22</v>
      </c>
      <c r="J12" s="28"/>
      <c r="K12" s="28"/>
      <c r="L12" s="28" t="s">
        <v>34</v>
      </c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109</v>
      </c>
      <c r="D13" s="18" t="s">
        <v>28</v>
      </c>
      <c r="E13" s="20"/>
      <c r="F13" s="33">
        <v>46116.0</v>
      </c>
      <c r="G13" s="24">
        <v>1100000.0</v>
      </c>
      <c r="H13" s="37"/>
      <c r="I13" s="28" t="s">
        <v>22</v>
      </c>
      <c r="J13" s="28" t="s">
        <v>23</v>
      </c>
      <c r="K13" s="28" t="s">
        <v>23</v>
      </c>
      <c r="L13" s="28" t="s">
        <v>34</v>
      </c>
      <c r="M13" s="28" t="s">
        <v>27</v>
      </c>
      <c r="N13" s="31"/>
      <c r="O13" s="32"/>
      <c r="P13" s="32"/>
      <c r="Q13" s="1"/>
      <c r="R13" s="1"/>
    </row>
    <row r="14">
      <c r="A14" s="1"/>
      <c r="B14" s="38"/>
      <c r="C14" s="15" t="s">
        <v>111</v>
      </c>
      <c r="D14" s="18" t="s">
        <v>28</v>
      </c>
      <c r="E14" s="20"/>
      <c r="F14" s="33">
        <v>46119.0</v>
      </c>
      <c r="G14" s="24"/>
      <c r="H14" s="26">
        <v>100000.0</v>
      </c>
      <c r="I14" s="28" t="s">
        <v>31</v>
      </c>
      <c r="J14" s="28"/>
      <c r="K14" s="28"/>
      <c r="L14" s="28" t="s">
        <v>34</v>
      </c>
      <c r="M14" s="35"/>
      <c r="N14" s="31"/>
      <c r="O14" s="32"/>
      <c r="P14" s="32"/>
      <c r="Q14" s="1"/>
      <c r="R14" s="1"/>
    </row>
    <row r="15">
      <c r="A15" s="1"/>
      <c r="B15" s="38"/>
      <c r="C15" s="15" t="s">
        <v>112</v>
      </c>
      <c r="D15" s="18" t="s">
        <v>73</v>
      </c>
      <c r="E15" s="20"/>
      <c r="F15" s="33">
        <v>46117.0</v>
      </c>
      <c r="G15" s="24"/>
      <c r="H15" s="26">
        <v>100000.0</v>
      </c>
      <c r="I15" s="28" t="s">
        <v>31</v>
      </c>
      <c r="J15" s="28"/>
      <c r="K15" s="28"/>
      <c r="L15" s="28" t="s">
        <v>34</v>
      </c>
      <c r="M15" s="35"/>
      <c r="N15" s="31"/>
      <c r="O15" s="32"/>
      <c r="P15" s="32"/>
      <c r="Q15" s="1"/>
      <c r="R15" s="1"/>
    </row>
    <row r="16">
      <c r="A16" s="1"/>
      <c r="B16" s="38"/>
      <c r="C16" s="15" t="s">
        <v>114</v>
      </c>
      <c r="D16" s="18" t="s">
        <v>28</v>
      </c>
      <c r="E16" s="20"/>
      <c r="F16" s="33">
        <v>46116.0</v>
      </c>
      <c r="G16" s="24"/>
      <c r="H16" s="26">
        <v>675000.0</v>
      </c>
      <c r="I16" s="28" t="s">
        <v>22</v>
      </c>
      <c r="J16" s="28" t="s">
        <v>23</v>
      </c>
      <c r="K16" s="28" t="s">
        <v>23</v>
      </c>
      <c r="L16" s="28" t="s">
        <v>34</v>
      </c>
      <c r="M16" s="28" t="s">
        <v>27</v>
      </c>
      <c r="N16" s="31"/>
      <c r="O16" s="32"/>
      <c r="P16" s="32"/>
      <c r="Q16" s="1"/>
      <c r="R16" s="1"/>
    </row>
    <row r="17">
      <c r="A17" s="1"/>
      <c r="B17" s="38"/>
      <c r="C17" s="15" t="s">
        <v>50</v>
      </c>
      <c r="D17" s="18" t="s">
        <v>41</v>
      </c>
      <c r="E17" s="20"/>
      <c r="F17" s="33">
        <v>46116.0</v>
      </c>
      <c r="G17" s="24">
        <v>0.0</v>
      </c>
      <c r="H17" s="26">
        <v>0.0</v>
      </c>
      <c r="I17" s="28" t="s">
        <v>22</v>
      </c>
      <c r="J17" s="28" t="s">
        <v>23</v>
      </c>
      <c r="K17" s="28" t="s">
        <v>115</v>
      </c>
      <c r="L17" s="28" t="s">
        <v>34</v>
      </c>
      <c r="M17" s="28" t="s">
        <v>27</v>
      </c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1250000</v>
      </c>
      <c r="H19" s="43">
        <f t="shared" si="1"/>
        <v>2115000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1250000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 t="s">
        <v>102</v>
      </c>
      <c r="D24" s="54">
        <v>-50000.0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 t="s">
        <v>118</v>
      </c>
      <c r="D25" s="58">
        <v>-100000.0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27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27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1100000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"-,VERO,FADEL,PENTIL,FAHME,HANIF"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0.13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</v>
      </c>
      <c r="D4" s="18" t="s">
        <v>28</v>
      </c>
      <c r="E4" s="20"/>
      <c r="F4" s="22">
        <v>46117.0</v>
      </c>
      <c r="G4" s="24">
        <v>75000.0</v>
      </c>
      <c r="H4" s="26"/>
      <c r="I4" s="28" t="s">
        <v>22</v>
      </c>
      <c r="J4" s="28" t="s">
        <v>23</v>
      </c>
      <c r="K4" s="28" t="s">
        <v>23</v>
      </c>
      <c r="L4" s="28" t="s">
        <v>119</v>
      </c>
      <c r="M4" s="28" t="s">
        <v>120</v>
      </c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121</v>
      </c>
      <c r="D5" s="18" t="s">
        <v>28</v>
      </c>
      <c r="E5" s="20"/>
      <c r="F5" s="22">
        <v>46117.0</v>
      </c>
      <c r="G5" s="24"/>
      <c r="H5" s="26">
        <v>200000.0</v>
      </c>
      <c r="I5" s="28" t="s">
        <v>22</v>
      </c>
      <c r="J5" s="28" t="s">
        <v>23</v>
      </c>
      <c r="K5" s="28" t="s">
        <v>23</v>
      </c>
      <c r="L5" s="28" t="s">
        <v>119</v>
      </c>
      <c r="M5" s="28" t="s">
        <v>120</v>
      </c>
      <c r="N5" s="31"/>
      <c r="O5" s="31"/>
      <c r="P5" s="32"/>
      <c r="Q5" s="1"/>
      <c r="R5" s="1"/>
    </row>
    <row r="6">
      <c r="A6" s="1"/>
      <c r="B6" s="14">
        <v>3.0</v>
      </c>
      <c r="C6" s="15" t="s">
        <v>123</v>
      </c>
      <c r="D6" s="18" t="s">
        <v>57</v>
      </c>
      <c r="E6" s="20"/>
      <c r="F6" s="33">
        <v>46117.0</v>
      </c>
      <c r="G6" s="24">
        <v>50000.0</v>
      </c>
      <c r="H6" s="26"/>
      <c r="I6" s="28" t="s">
        <v>22</v>
      </c>
      <c r="J6" s="28" t="s">
        <v>23</v>
      </c>
      <c r="K6" s="28" t="s">
        <v>23</v>
      </c>
      <c r="L6" s="28" t="s">
        <v>119</v>
      </c>
      <c r="M6" s="28" t="s">
        <v>120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124</v>
      </c>
      <c r="D7" s="18" t="s">
        <v>75</v>
      </c>
      <c r="E7" s="20"/>
      <c r="F7" s="33">
        <v>46117.0</v>
      </c>
      <c r="G7" s="24"/>
      <c r="H7" s="26">
        <v>100000.0</v>
      </c>
      <c r="I7" s="28" t="s">
        <v>31</v>
      </c>
      <c r="J7" s="28"/>
      <c r="K7" s="28"/>
      <c r="L7" s="28" t="s">
        <v>119</v>
      </c>
      <c r="M7" s="28"/>
      <c r="N7" s="31"/>
      <c r="O7" s="31"/>
      <c r="P7" s="32"/>
      <c r="Q7" s="1"/>
      <c r="R7" s="1"/>
    </row>
    <row r="8">
      <c r="A8" s="1"/>
      <c r="B8" s="14">
        <v>5.0</v>
      </c>
      <c r="C8" s="15" t="s">
        <v>125</v>
      </c>
      <c r="D8" s="18" t="s">
        <v>57</v>
      </c>
      <c r="E8" s="20"/>
      <c r="F8" s="33">
        <v>46117.0</v>
      </c>
      <c r="G8" s="24"/>
      <c r="H8" s="26">
        <v>100000.0</v>
      </c>
      <c r="I8" s="28" t="s">
        <v>22</v>
      </c>
      <c r="J8" s="28" t="s">
        <v>23</v>
      </c>
      <c r="K8" s="28" t="s">
        <v>24</v>
      </c>
      <c r="L8" s="28" t="s">
        <v>119</v>
      </c>
      <c r="M8" s="28" t="s">
        <v>120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112</v>
      </c>
      <c r="D9" s="18" t="s">
        <v>73</v>
      </c>
      <c r="E9" s="20"/>
      <c r="F9" s="33">
        <v>46117.0</v>
      </c>
      <c r="G9" s="24"/>
      <c r="H9" s="26">
        <v>250000.0</v>
      </c>
      <c r="I9" s="28" t="s">
        <v>22</v>
      </c>
      <c r="J9" s="28" t="s">
        <v>23</v>
      </c>
      <c r="K9" s="28" t="s">
        <v>23</v>
      </c>
      <c r="L9" s="28" t="s">
        <v>119</v>
      </c>
      <c r="M9" s="28" t="s">
        <v>120</v>
      </c>
      <c r="N9" s="31"/>
      <c r="O9" s="32"/>
      <c r="P9" s="32"/>
      <c r="Q9" s="1"/>
      <c r="R9" s="1"/>
    </row>
    <row r="10">
      <c r="A10" s="1"/>
      <c r="B10" s="14">
        <v>7.0</v>
      </c>
      <c r="C10" s="15" t="s">
        <v>126</v>
      </c>
      <c r="D10" s="18" t="s">
        <v>54</v>
      </c>
      <c r="E10" s="20" t="s">
        <v>127</v>
      </c>
      <c r="F10" s="33">
        <v>46117.0</v>
      </c>
      <c r="G10" s="24">
        <v>150000.0</v>
      </c>
      <c r="H10" s="37"/>
      <c r="I10" s="28" t="s">
        <v>22</v>
      </c>
      <c r="J10" s="28" t="s">
        <v>23</v>
      </c>
      <c r="K10" s="28" t="s">
        <v>23</v>
      </c>
      <c r="L10" s="28" t="s">
        <v>26</v>
      </c>
      <c r="M10" s="28" t="s">
        <v>120</v>
      </c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128</v>
      </c>
      <c r="D11" s="18" t="s">
        <v>75</v>
      </c>
      <c r="E11" s="20"/>
      <c r="F11" s="33">
        <v>46117.0</v>
      </c>
      <c r="G11" s="24"/>
      <c r="H11" s="26">
        <v>100000.0</v>
      </c>
      <c r="I11" s="28" t="s">
        <v>31</v>
      </c>
      <c r="J11" s="28"/>
      <c r="K11" s="28"/>
      <c r="L11" s="28" t="s">
        <v>26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129</v>
      </c>
      <c r="D12" s="18" t="s">
        <v>57</v>
      </c>
      <c r="E12" s="20">
        <v>2.0</v>
      </c>
      <c r="F12" s="33">
        <v>46117.0</v>
      </c>
      <c r="G12" s="24">
        <v>100000.0</v>
      </c>
      <c r="H12" s="37"/>
      <c r="I12" s="28" t="s">
        <v>22</v>
      </c>
      <c r="J12" s="28" t="s">
        <v>23</v>
      </c>
      <c r="K12" s="28" t="s">
        <v>23</v>
      </c>
      <c r="L12" s="28" t="s">
        <v>26</v>
      </c>
      <c r="M12" s="28" t="s">
        <v>120</v>
      </c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130</v>
      </c>
      <c r="D13" s="18" t="s">
        <v>108</v>
      </c>
      <c r="E13" s="20"/>
      <c r="F13" s="33">
        <v>46104.0</v>
      </c>
      <c r="G13" s="24"/>
      <c r="H13" s="26">
        <v>20000.0</v>
      </c>
      <c r="I13" s="28" t="s">
        <v>22</v>
      </c>
      <c r="J13" s="28"/>
      <c r="K13" s="28"/>
      <c r="L13" s="28" t="s">
        <v>26</v>
      </c>
      <c r="M13" s="35"/>
      <c r="N13" s="31"/>
      <c r="O13" s="32"/>
      <c r="P13" s="32"/>
      <c r="Q13" s="1"/>
      <c r="R13" s="1"/>
    </row>
    <row r="14">
      <c r="A14" s="1"/>
      <c r="B14" s="38"/>
      <c r="C14" s="15" t="s">
        <v>131</v>
      </c>
      <c r="D14" s="18" t="s">
        <v>108</v>
      </c>
      <c r="E14" s="20"/>
      <c r="F14" s="33">
        <v>46096.0</v>
      </c>
      <c r="G14" s="24"/>
      <c r="H14" s="26">
        <v>92000.0</v>
      </c>
      <c r="I14" s="28" t="s">
        <v>22</v>
      </c>
      <c r="J14" s="28"/>
      <c r="K14" s="28"/>
      <c r="L14" s="28" t="s">
        <v>26</v>
      </c>
      <c r="M14" s="35"/>
      <c r="N14" s="31"/>
      <c r="O14" s="32"/>
      <c r="P14" s="32"/>
      <c r="Q14" s="1"/>
      <c r="R14" s="1"/>
    </row>
    <row r="15">
      <c r="A15" s="1"/>
      <c r="B15" s="38"/>
      <c r="C15" s="15" t="s">
        <v>132</v>
      </c>
      <c r="D15" s="18" t="s">
        <v>75</v>
      </c>
      <c r="E15" s="20"/>
      <c r="F15" s="33">
        <v>46117.0</v>
      </c>
      <c r="G15" s="24"/>
      <c r="H15" s="26">
        <v>125000.0</v>
      </c>
      <c r="I15" s="28" t="s">
        <v>22</v>
      </c>
      <c r="J15" s="28" t="s">
        <v>23</v>
      </c>
      <c r="K15" s="28" t="s">
        <v>23</v>
      </c>
      <c r="L15" s="28" t="s">
        <v>26</v>
      </c>
      <c r="M15" s="28" t="s">
        <v>120</v>
      </c>
      <c r="N15" s="31"/>
      <c r="O15" s="32"/>
      <c r="P15" s="32"/>
      <c r="Q15" s="1"/>
      <c r="R15" s="1"/>
    </row>
    <row r="16">
      <c r="A16" s="1"/>
      <c r="B16" s="38"/>
      <c r="C16" s="15" t="s">
        <v>125</v>
      </c>
      <c r="D16" s="18" t="s">
        <v>133</v>
      </c>
      <c r="E16" s="20" t="s">
        <v>134</v>
      </c>
      <c r="F16" s="33">
        <v>46117.0</v>
      </c>
      <c r="G16" s="24"/>
      <c r="H16" s="26">
        <v>50000.0</v>
      </c>
      <c r="I16" s="28" t="s">
        <v>22</v>
      </c>
      <c r="J16" s="28"/>
      <c r="K16" s="28"/>
      <c r="L16" s="28" t="s">
        <v>26</v>
      </c>
      <c r="M16" s="35"/>
      <c r="N16" s="31"/>
      <c r="O16" s="32"/>
      <c r="P16" s="32"/>
      <c r="Q16" s="1"/>
      <c r="R16" s="1"/>
    </row>
    <row r="17">
      <c r="A17" s="1"/>
      <c r="B17" s="38"/>
      <c r="C17" s="15" t="s">
        <v>135</v>
      </c>
      <c r="D17" s="18" t="s">
        <v>75</v>
      </c>
      <c r="E17" s="20"/>
      <c r="F17" s="33">
        <v>46117.0</v>
      </c>
      <c r="G17" s="24"/>
      <c r="H17" s="26">
        <v>125000.0</v>
      </c>
      <c r="I17" s="28" t="s">
        <v>22</v>
      </c>
      <c r="J17" s="28" t="s">
        <v>23</v>
      </c>
      <c r="K17" s="28" t="s">
        <v>23</v>
      </c>
      <c r="L17" s="28" t="s">
        <v>26</v>
      </c>
      <c r="M17" s="28" t="s">
        <v>120</v>
      </c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375000</v>
      </c>
      <c r="H19" s="43">
        <f t="shared" si="1"/>
        <v>1162000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375000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119</v>
      </c>
      <c r="P23" s="1"/>
      <c r="Q23" s="1"/>
      <c r="R23" s="1"/>
    </row>
    <row r="24">
      <c r="A24" s="1"/>
      <c r="B24" s="52">
        <v>2.0</v>
      </c>
      <c r="C24" s="53" t="s">
        <v>96</v>
      </c>
      <c r="D24" s="54">
        <v>-25000.0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26</v>
      </c>
      <c r="P24" s="1"/>
      <c r="Q24" s="1"/>
      <c r="R24" s="1"/>
    </row>
    <row r="25">
      <c r="A25" s="1"/>
      <c r="B25" s="47">
        <v>3.0</v>
      </c>
      <c r="C25" s="48" t="s">
        <v>137</v>
      </c>
      <c r="D25" s="58">
        <v>-100000.0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120</v>
      </c>
      <c r="P25" s="1"/>
      <c r="Q25" s="1"/>
      <c r="R25" s="1"/>
    </row>
    <row r="26">
      <c r="A26" s="1"/>
      <c r="B26" s="52">
        <v>4.0</v>
      </c>
      <c r="C26" s="53" t="s">
        <v>106</v>
      </c>
      <c r="D26" s="54">
        <v>-100000.0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120</v>
      </c>
      <c r="P26" s="1"/>
      <c r="Q26" s="1"/>
      <c r="R26" s="1"/>
    </row>
    <row r="27">
      <c r="A27" s="1"/>
      <c r="B27" s="47"/>
      <c r="C27" s="48" t="s">
        <v>102</v>
      </c>
      <c r="D27" s="58">
        <v>-62000.0</v>
      </c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53" t="s">
        <v>138</v>
      </c>
      <c r="D28" s="54">
        <v>-74500.0</v>
      </c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13500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Edit,Photofox,Prewed,Packing,Add Cetak"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"-,VERO,FADEL,PENTIL,ADIF 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116</v>
      </c>
      <c r="D4" s="18" t="s">
        <v>117</v>
      </c>
      <c r="E4" s="20"/>
      <c r="F4" s="22">
        <v>46118.0</v>
      </c>
      <c r="G4" s="24"/>
      <c r="H4" s="26">
        <v>250000.0</v>
      </c>
      <c r="I4" s="28" t="s">
        <v>22</v>
      </c>
      <c r="J4" s="28"/>
      <c r="K4" s="28"/>
      <c r="L4" s="28" t="s">
        <v>26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122</v>
      </c>
      <c r="D5" s="18" t="s">
        <v>28</v>
      </c>
      <c r="E5" s="20"/>
      <c r="F5" s="22">
        <v>46138.0</v>
      </c>
      <c r="G5" s="24"/>
      <c r="H5" s="26">
        <v>100000.0</v>
      </c>
      <c r="I5" s="28" t="s">
        <v>31</v>
      </c>
      <c r="J5" s="28"/>
      <c r="K5" s="28"/>
      <c r="L5" s="28" t="s">
        <v>34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87</v>
      </c>
      <c r="D6" s="18" t="s">
        <v>28</v>
      </c>
      <c r="E6" s="20"/>
      <c r="F6" s="33">
        <v>46118.0</v>
      </c>
      <c r="G6" s="24">
        <v>100000.0</v>
      </c>
      <c r="H6" s="26">
        <v>1150000.0</v>
      </c>
      <c r="I6" s="28" t="s">
        <v>22</v>
      </c>
      <c r="J6" s="28" t="s">
        <v>23</v>
      </c>
      <c r="K6" s="28" t="s">
        <v>115</v>
      </c>
      <c r="L6" s="28" t="s">
        <v>34</v>
      </c>
      <c r="M6" s="28" t="s">
        <v>120</v>
      </c>
      <c r="N6" s="31"/>
      <c r="O6" s="31"/>
      <c r="P6" s="32"/>
      <c r="Q6" s="1"/>
      <c r="R6" s="1"/>
    </row>
    <row r="7">
      <c r="A7" s="1"/>
      <c r="B7" s="14">
        <v>4.0</v>
      </c>
      <c r="C7" s="15"/>
      <c r="D7" s="18"/>
      <c r="E7" s="20"/>
      <c r="F7" s="38"/>
      <c r="G7" s="24"/>
      <c r="H7" s="37"/>
      <c r="I7" s="28"/>
      <c r="J7" s="28"/>
      <c r="K7" s="28"/>
      <c r="L7" s="35"/>
      <c r="M7" s="35"/>
      <c r="N7" s="31"/>
      <c r="O7" s="31"/>
      <c r="P7" s="32"/>
      <c r="Q7" s="1"/>
      <c r="R7" s="1"/>
    </row>
    <row r="8">
      <c r="A8" s="1"/>
      <c r="B8" s="14">
        <v>5.0</v>
      </c>
      <c r="C8" s="15"/>
      <c r="D8" s="18"/>
      <c r="E8" s="20"/>
      <c r="F8" s="38"/>
      <c r="G8" s="24"/>
      <c r="H8" s="37"/>
      <c r="I8" s="28"/>
      <c r="J8" s="28"/>
      <c r="K8" s="28"/>
      <c r="L8" s="35"/>
      <c r="M8" s="35"/>
      <c r="N8" s="31"/>
      <c r="O8" s="32"/>
      <c r="P8" s="32"/>
      <c r="Q8" s="1"/>
      <c r="R8" s="1"/>
    </row>
    <row r="9">
      <c r="A9" s="1"/>
      <c r="B9" s="14">
        <v>6.0</v>
      </c>
      <c r="C9" s="15"/>
      <c r="D9" s="18"/>
      <c r="E9" s="20"/>
      <c r="F9" s="38"/>
      <c r="G9" s="24"/>
      <c r="H9" s="37"/>
      <c r="I9" s="28"/>
      <c r="J9" s="28"/>
      <c r="K9" s="28"/>
      <c r="L9" s="35"/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/>
      <c r="D10" s="18"/>
      <c r="E10" s="20"/>
      <c r="F10" s="38"/>
      <c r="G10" s="24"/>
      <c r="H10" s="37"/>
      <c r="I10" s="28"/>
      <c r="J10" s="28"/>
      <c r="K10" s="28"/>
      <c r="L10" s="35"/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/>
      <c r="D11" s="18"/>
      <c r="E11" s="20"/>
      <c r="F11" s="38"/>
      <c r="G11" s="24"/>
      <c r="H11" s="37"/>
      <c r="I11" s="28"/>
      <c r="J11" s="28"/>
      <c r="K11" s="28"/>
      <c r="L11" s="35"/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/>
      <c r="D12" s="18"/>
      <c r="E12" s="20"/>
      <c r="F12" s="38"/>
      <c r="G12" s="24"/>
      <c r="H12" s="37"/>
      <c r="I12" s="28"/>
      <c r="J12" s="28"/>
      <c r="K12" s="28"/>
      <c r="L12" s="35"/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100000</v>
      </c>
      <c r="H19" s="43">
        <f t="shared" si="1"/>
        <v>1500000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100000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 t="s">
        <v>139</v>
      </c>
      <c r="D24" s="54">
        <v>-100000.0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/>
      <c r="D25" s="58"/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27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120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"-,VERO,FADEL,PENTIL,FAHME,ADIF 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111</v>
      </c>
      <c r="D4" s="18" t="s">
        <v>28</v>
      </c>
      <c r="E4" s="20"/>
      <c r="F4" s="22">
        <v>46119.0</v>
      </c>
      <c r="G4" s="24">
        <v>450000.0</v>
      </c>
      <c r="H4" s="26"/>
      <c r="I4" s="28" t="s">
        <v>22</v>
      </c>
      <c r="J4" s="28" t="s">
        <v>23</v>
      </c>
      <c r="K4" s="28" t="s">
        <v>23</v>
      </c>
      <c r="L4" s="28" t="s">
        <v>26</v>
      </c>
      <c r="M4" s="28" t="s">
        <v>38</v>
      </c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67</v>
      </c>
      <c r="D5" s="18" t="s">
        <v>28</v>
      </c>
      <c r="E5" s="69">
        <v>0.4</v>
      </c>
      <c r="F5" s="36">
        <v>46119.0</v>
      </c>
      <c r="G5" s="24">
        <v>615000.0</v>
      </c>
      <c r="H5" s="26"/>
      <c r="I5" s="28" t="s">
        <v>22</v>
      </c>
      <c r="J5" s="28" t="s">
        <v>23</v>
      </c>
      <c r="K5" s="28" t="s">
        <v>23</v>
      </c>
      <c r="L5" s="28" t="s">
        <v>34</v>
      </c>
      <c r="M5" s="28" t="s">
        <v>52</v>
      </c>
      <c r="N5" s="31"/>
      <c r="O5" s="31"/>
      <c r="P5" s="32"/>
      <c r="Q5" s="1"/>
      <c r="R5" s="1"/>
    </row>
    <row r="6">
      <c r="A6" s="1"/>
      <c r="B6" s="14">
        <v>3.0</v>
      </c>
      <c r="C6" s="15" t="s">
        <v>136</v>
      </c>
      <c r="D6" s="18" t="s">
        <v>28</v>
      </c>
      <c r="E6" s="20"/>
      <c r="F6" s="36">
        <v>46119.0</v>
      </c>
      <c r="G6" s="34"/>
      <c r="H6" s="26">
        <v>200000.0</v>
      </c>
      <c r="I6" s="28" t="s">
        <v>22</v>
      </c>
      <c r="J6" s="28" t="s">
        <v>23</v>
      </c>
      <c r="K6" s="28" t="s">
        <v>23</v>
      </c>
      <c r="L6" s="28" t="s">
        <v>34</v>
      </c>
      <c r="M6" s="28" t="s">
        <v>52</v>
      </c>
      <c r="N6" s="31"/>
      <c r="O6" s="31"/>
      <c r="P6" s="32"/>
      <c r="Q6" s="1"/>
      <c r="R6" s="1"/>
    </row>
    <row r="7">
      <c r="A7" s="1"/>
      <c r="B7" s="14">
        <v>4.0</v>
      </c>
      <c r="C7" s="15"/>
      <c r="D7" s="18"/>
      <c r="E7" s="20"/>
      <c r="F7" s="38"/>
      <c r="G7" s="24"/>
      <c r="H7" s="37"/>
      <c r="I7" s="28"/>
      <c r="J7" s="28"/>
      <c r="K7" s="28"/>
      <c r="L7" s="35"/>
      <c r="M7" s="35"/>
      <c r="N7" s="31"/>
      <c r="O7" s="31"/>
      <c r="P7" s="32"/>
      <c r="Q7" s="1"/>
      <c r="R7" s="1"/>
    </row>
    <row r="8">
      <c r="A8" s="1"/>
      <c r="B8" s="14">
        <v>5.0</v>
      </c>
      <c r="C8" s="15"/>
      <c r="D8" s="18"/>
      <c r="E8" s="20"/>
      <c r="F8" s="38"/>
      <c r="G8" s="24"/>
      <c r="H8" s="37"/>
      <c r="I8" s="28"/>
      <c r="J8" s="28"/>
      <c r="K8" s="28"/>
      <c r="L8" s="35"/>
      <c r="M8" s="35"/>
      <c r="N8" s="31"/>
      <c r="O8" s="32"/>
      <c r="P8" s="32"/>
      <c r="Q8" s="1"/>
      <c r="R8" s="1"/>
    </row>
    <row r="9">
      <c r="A9" s="1"/>
      <c r="B9" s="14">
        <v>6.0</v>
      </c>
      <c r="C9" s="15"/>
      <c r="D9" s="18"/>
      <c r="E9" s="20"/>
      <c r="F9" s="38"/>
      <c r="G9" s="24"/>
      <c r="H9" s="37"/>
      <c r="I9" s="28"/>
      <c r="J9" s="28"/>
      <c r="K9" s="28"/>
      <c r="L9" s="35"/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/>
      <c r="D10" s="18"/>
      <c r="E10" s="20"/>
      <c r="F10" s="38"/>
      <c r="G10" s="24"/>
      <c r="H10" s="37"/>
      <c r="I10" s="28"/>
      <c r="J10" s="28"/>
      <c r="K10" s="28"/>
      <c r="L10" s="35"/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/>
      <c r="D11" s="18"/>
      <c r="E11" s="20"/>
      <c r="F11" s="38"/>
      <c r="G11" s="24"/>
      <c r="H11" s="37"/>
      <c r="I11" s="28"/>
      <c r="J11" s="28"/>
      <c r="K11" s="28"/>
      <c r="L11" s="35"/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/>
      <c r="D12" s="18"/>
      <c r="E12" s="20"/>
      <c r="F12" s="38"/>
      <c r="G12" s="24"/>
      <c r="H12" s="37"/>
      <c r="I12" s="28"/>
      <c r="J12" s="28"/>
      <c r="K12" s="28"/>
      <c r="L12" s="35"/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1065000</v>
      </c>
      <c r="H19" s="43">
        <f t="shared" si="1"/>
        <v>200000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1065000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 t="s">
        <v>141</v>
      </c>
      <c r="D24" s="54">
        <v>-50000.0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 t="s">
        <v>142</v>
      </c>
      <c r="D25" s="58">
        <v>-50000.0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38</v>
      </c>
      <c r="P25" s="1"/>
      <c r="Q25" s="1"/>
      <c r="R25" s="1"/>
    </row>
    <row r="26">
      <c r="A26" s="1"/>
      <c r="B26" s="52">
        <v>4.0</v>
      </c>
      <c r="C26" s="53" t="s">
        <v>96</v>
      </c>
      <c r="D26" s="54">
        <v>-75500.0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52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889500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"-,VERO,HANIF ,PENTIL,FAHME,ADIF"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140</v>
      </c>
      <c r="D4" s="18" t="s">
        <v>28</v>
      </c>
      <c r="E4" s="20"/>
      <c r="F4" s="22">
        <v>46120.0</v>
      </c>
      <c r="G4" s="24"/>
      <c r="H4" s="26">
        <v>100000.0</v>
      </c>
      <c r="I4" s="28" t="s">
        <v>31</v>
      </c>
      <c r="J4" s="28"/>
      <c r="K4" s="28"/>
      <c r="L4" s="28" t="s">
        <v>34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143</v>
      </c>
      <c r="D5" s="18" t="s">
        <v>28</v>
      </c>
      <c r="E5" s="20"/>
      <c r="F5" s="22">
        <v>46121.0</v>
      </c>
      <c r="G5" s="24"/>
      <c r="H5" s="26">
        <v>100000.0</v>
      </c>
      <c r="I5" s="28" t="s">
        <v>31</v>
      </c>
      <c r="J5" s="28"/>
      <c r="K5" s="28"/>
      <c r="L5" s="28" t="s">
        <v>34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145</v>
      </c>
      <c r="D6" s="18" t="s">
        <v>20</v>
      </c>
      <c r="E6" s="20"/>
      <c r="F6" s="14" t="s">
        <v>146</v>
      </c>
      <c r="G6" s="34"/>
      <c r="H6" s="26">
        <v>100000.0</v>
      </c>
      <c r="I6" s="28" t="s">
        <v>31</v>
      </c>
      <c r="J6" s="28"/>
      <c r="K6" s="28"/>
      <c r="L6" s="28" t="s">
        <v>34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147</v>
      </c>
      <c r="D7" s="18" t="s">
        <v>28</v>
      </c>
      <c r="E7" s="20"/>
      <c r="F7" s="33">
        <v>46123.0</v>
      </c>
      <c r="G7" s="24"/>
      <c r="H7" s="26">
        <v>100000.0</v>
      </c>
      <c r="I7" s="28" t="s">
        <v>31</v>
      </c>
      <c r="J7" s="28"/>
      <c r="K7" s="28"/>
      <c r="L7" s="28" t="s">
        <v>34</v>
      </c>
      <c r="M7" s="35"/>
      <c r="N7" s="31"/>
      <c r="O7" s="31"/>
      <c r="P7" s="32"/>
      <c r="Q7" s="1"/>
      <c r="R7" s="1"/>
    </row>
    <row r="8">
      <c r="A8" s="1"/>
      <c r="B8" s="14">
        <v>5.0</v>
      </c>
      <c r="C8" s="15" t="s">
        <v>148</v>
      </c>
      <c r="D8" s="18" t="s">
        <v>41</v>
      </c>
      <c r="E8" s="20" t="s">
        <v>150</v>
      </c>
      <c r="F8" s="33">
        <v>46120.0</v>
      </c>
      <c r="G8" s="24">
        <v>150000.0</v>
      </c>
      <c r="H8" s="37"/>
      <c r="I8" s="28" t="s">
        <v>22</v>
      </c>
      <c r="J8" s="28" t="s">
        <v>23</v>
      </c>
      <c r="K8" s="28" t="s">
        <v>23</v>
      </c>
      <c r="L8" s="28" t="s">
        <v>34</v>
      </c>
      <c r="M8" s="28" t="s">
        <v>52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151</v>
      </c>
      <c r="D9" s="18" t="s">
        <v>152</v>
      </c>
      <c r="E9" s="20"/>
      <c r="F9" s="38"/>
      <c r="G9" s="24">
        <v>150000.0</v>
      </c>
      <c r="H9" s="37"/>
      <c r="I9" s="28" t="s">
        <v>22</v>
      </c>
      <c r="J9" s="28"/>
      <c r="K9" s="28"/>
      <c r="L9" s="28" t="s">
        <v>34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154</v>
      </c>
      <c r="D10" s="18" t="s">
        <v>28</v>
      </c>
      <c r="E10" s="20"/>
      <c r="F10" s="33">
        <v>46120.0</v>
      </c>
      <c r="G10" s="24">
        <v>100000.0</v>
      </c>
      <c r="H10" s="26">
        <v>25000.0</v>
      </c>
      <c r="I10" s="28" t="s">
        <v>22</v>
      </c>
      <c r="J10" s="28" t="s">
        <v>23</v>
      </c>
      <c r="K10" s="28" t="s">
        <v>23</v>
      </c>
      <c r="L10" s="28" t="s">
        <v>34</v>
      </c>
      <c r="M10" s="28" t="s">
        <v>52</v>
      </c>
      <c r="N10" s="31"/>
      <c r="O10" s="32"/>
      <c r="P10" s="32"/>
      <c r="Q10" s="1"/>
      <c r="R10" s="1"/>
    </row>
    <row r="11">
      <c r="A11" s="1"/>
      <c r="B11" s="14">
        <v>8.0</v>
      </c>
      <c r="C11" s="15"/>
      <c r="D11" s="18"/>
      <c r="E11" s="20"/>
      <c r="F11" s="38"/>
      <c r="G11" s="24"/>
      <c r="H11" s="37"/>
      <c r="I11" s="28"/>
      <c r="J11" s="28"/>
      <c r="K11" s="28"/>
      <c r="L11" s="35"/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/>
      <c r="D12" s="18"/>
      <c r="E12" s="20"/>
      <c r="F12" s="38"/>
      <c r="G12" s="24"/>
      <c r="H12" s="37"/>
      <c r="I12" s="28"/>
      <c r="J12" s="28"/>
      <c r="K12" s="28"/>
      <c r="L12" s="35"/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400000</v>
      </c>
      <c r="H19" s="43">
        <f t="shared" si="1"/>
        <v>425000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400000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34</v>
      </c>
      <c r="P23" s="1"/>
      <c r="Q23" s="1"/>
      <c r="R23" s="1"/>
    </row>
    <row r="24">
      <c r="A24" s="1"/>
      <c r="B24" s="52">
        <v>2.0</v>
      </c>
      <c r="C24" s="53" t="s">
        <v>106</v>
      </c>
      <c r="D24" s="54">
        <v>-50000.0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 t="s">
        <v>102</v>
      </c>
      <c r="D25" s="58">
        <v>-50000.0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120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52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300000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Edit,Canvas 16R "</formula1>
    </dataValidation>
    <dataValidation type="list" allowBlank="1" showDropDown="1" showErrorMessage="1" sqref="M4:M18 O25:O26">
      <formula1>"-,VERO,FADEL,PENTIL,HANIF "</formula1>
    </dataValidation>
    <dataValidation type="list" allowBlank="1" showDropDown="1" showErrorMessage="1" sqref="L4:L18 O23:O24">
      <formula1>"-,JIJANG,ADDEL ,PENTIL,FAHME"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144</v>
      </c>
      <c r="D4" s="18" t="s">
        <v>28</v>
      </c>
      <c r="E4" s="20"/>
      <c r="F4" s="22">
        <v>46134.0</v>
      </c>
      <c r="G4" s="24"/>
      <c r="H4" s="26">
        <v>100000.0</v>
      </c>
      <c r="I4" s="28" t="s">
        <v>31</v>
      </c>
      <c r="J4" s="28"/>
      <c r="K4" s="28"/>
      <c r="L4" s="28" t="s">
        <v>119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149</v>
      </c>
      <c r="D5" s="18" t="s">
        <v>20</v>
      </c>
      <c r="E5" s="20"/>
      <c r="F5" s="22">
        <v>46123.0</v>
      </c>
      <c r="G5" s="24"/>
      <c r="H5" s="26">
        <v>100000.0</v>
      </c>
      <c r="I5" s="28" t="s">
        <v>31</v>
      </c>
      <c r="J5" s="28"/>
      <c r="K5" s="28"/>
      <c r="L5" s="28" t="s">
        <v>119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153</v>
      </c>
      <c r="D6" s="18" t="s">
        <v>28</v>
      </c>
      <c r="E6" s="20"/>
      <c r="F6" s="33">
        <v>46124.0</v>
      </c>
      <c r="G6" s="34"/>
      <c r="H6" s="26">
        <v>100000.0</v>
      </c>
      <c r="I6" s="28" t="s">
        <v>31</v>
      </c>
      <c r="J6" s="28"/>
      <c r="K6" s="28"/>
      <c r="L6" s="28" t="s">
        <v>119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155</v>
      </c>
      <c r="D7" s="18" t="s">
        <v>20</v>
      </c>
      <c r="E7" s="20"/>
      <c r="F7" s="33">
        <v>46127.0</v>
      </c>
      <c r="G7" s="24"/>
      <c r="H7" s="26">
        <v>100000.0</v>
      </c>
      <c r="I7" s="28" t="s">
        <v>31</v>
      </c>
      <c r="J7" s="28"/>
      <c r="K7" s="28"/>
      <c r="L7" s="28" t="s">
        <v>119</v>
      </c>
      <c r="M7" s="35"/>
      <c r="N7" s="31"/>
      <c r="O7" s="31"/>
      <c r="P7" s="32"/>
      <c r="Q7" s="1"/>
      <c r="R7" s="1"/>
    </row>
    <row r="8">
      <c r="A8" s="1"/>
      <c r="B8" s="14">
        <v>5.0</v>
      </c>
      <c r="C8" s="15" t="s">
        <v>156</v>
      </c>
      <c r="D8" s="18" t="s">
        <v>28</v>
      </c>
      <c r="E8" s="20"/>
      <c r="F8" s="33">
        <v>46122.0</v>
      </c>
      <c r="G8" s="24"/>
      <c r="H8" s="26">
        <v>100000.0</v>
      </c>
      <c r="I8" s="28" t="s">
        <v>31</v>
      </c>
      <c r="J8" s="28"/>
      <c r="K8" s="28"/>
      <c r="L8" s="28" t="s">
        <v>119</v>
      </c>
      <c r="M8" s="35"/>
      <c r="N8" s="31"/>
      <c r="O8" s="32"/>
      <c r="P8" s="32"/>
      <c r="Q8" s="1"/>
      <c r="R8" s="1"/>
    </row>
    <row r="9">
      <c r="A9" s="1"/>
      <c r="B9" s="14">
        <v>6.0</v>
      </c>
      <c r="C9" s="15" t="s">
        <v>157</v>
      </c>
      <c r="D9" s="18" t="s">
        <v>41</v>
      </c>
      <c r="E9" s="20" t="s">
        <v>150</v>
      </c>
      <c r="F9" s="33">
        <v>46121.0</v>
      </c>
      <c r="G9" s="24"/>
      <c r="H9" s="26">
        <v>150000.0</v>
      </c>
      <c r="I9" s="28" t="s">
        <v>22</v>
      </c>
      <c r="J9" s="28" t="s">
        <v>23</v>
      </c>
      <c r="K9" s="28" t="s">
        <v>23</v>
      </c>
      <c r="L9" s="28" t="s">
        <v>119</v>
      </c>
      <c r="M9" s="28" t="s">
        <v>52</v>
      </c>
      <c r="N9" s="31"/>
      <c r="O9" s="32"/>
      <c r="P9" s="32"/>
      <c r="Q9" s="1"/>
      <c r="R9" s="1"/>
    </row>
    <row r="10">
      <c r="A10" s="1"/>
      <c r="B10" s="14">
        <v>7.0</v>
      </c>
      <c r="C10" s="15" t="s">
        <v>158</v>
      </c>
      <c r="D10" s="18" t="s">
        <v>28</v>
      </c>
      <c r="E10" s="20"/>
      <c r="F10" s="33">
        <v>46131.0</v>
      </c>
      <c r="G10" s="24"/>
      <c r="H10" s="26">
        <v>100000.0</v>
      </c>
      <c r="I10" s="28" t="s">
        <v>31</v>
      </c>
      <c r="J10" s="28"/>
      <c r="K10" s="28"/>
      <c r="L10" s="28" t="s">
        <v>119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159</v>
      </c>
      <c r="D11" s="18" t="s">
        <v>47</v>
      </c>
      <c r="E11" s="20"/>
      <c r="F11" s="33">
        <v>46123.0</v>
      </c>
      <c r="G11" s="24"/>
      <c r="H11" s="26">
        <v>100000.0</v>
      </c>
      <c r="I11" s="28" t="s">
        <v>31</v>
      </c>
      <c r="J11" s="28"/>
      <c r="K11" s="28"/>
      <c r="L11" s="28" t="s">
        <v>119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162</v>
      </c>
      <c r="D12" s="18" t="s">
        <v>28</v>
      </c>
      <c r="E12" s="20"/>
      <c r="F12" s="33">
        <v>46121.0</v>
      </c>
      <c r="G12" s="24"/>
      <c r="H12" s="26">
        <v>675000.0</v>
      </c>
      <c r="I12" s="28" t="s">
        <v>22</v>
      </c>
      <c r="J12" s="28" t="s">
        <v>23</v>
      </c>
      <c r="K12" s="28" t="s">
        <v>24</v>
      </c>
      <c r="L12" s="28" t="s">
        <v>119</v>
      </c>
      <c r="M12" s="28" t="s">
        <v>52</v>
      </c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0</v>
      </c>
      <c r="H19" s="43">
        <f t="shared" si="1"/>
        <v>1525000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119</v>
      </c>
      <c r="P23" s="1"/>
      <c r="Q23" s="1"/>
      <c r="R23" s="1"/>
    </row>
    <row r="24">
      <c r="A24" s="1"/>
      <c r="B24" s="52">
        <v>2.0</v>
      </c>
      <c r="C24" s="53"/>
      <c r="D24" s="54"/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119</v>
      </c>
      <c r="P24" s="1"/>
      <c r="Q24" s="1"/>
      <c r="R24" s="1"/>
    </row>
    <row r="25">
      <c r="A25" s="1"/>
      <c r="B25" s="47">
        <v>3.0</v>
      </c>
      <c r="C25" s="48"/>
      <c r="D25" s="58"/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52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52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M4:M18 O25:O26">
      <formula1>"-,VERO,FADEL,ADIF ,HANIF 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70" t="s">
        <v>161</v>
      </c>
      <c r="D4" s="18" t="s">
        <v>28</v>
      </c>
      <c r="E4" s="20"/>
      <c r="F4" s="22">
        <v>46122.0</v>
      </c>
      <c r="G4" s="24"/>
      <c r="H4" s="26">
        <v>100000.0</v>
      </c>
      <c r="I4" s="28" t="s">
        <v>31</v>
      </c>
      <c r="J4" s="28"/>
      <c r="K4" s="28"/>
      <c r="L4" s="28" t="s">
        <v>26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164</v>
      </c>
      <c r="D5" s="18" t="s">
        <v>20</v>
      </c>
      <c r="E5" s="20"/>
      <c r="F5" s="22">
        <v>46138.0</v>
      </c>
      <c r="G5" s="24"/>
      <c r="H5" s="26">
        <v>100000.0</v>
      </c>
      <c r="I5" s="28" t="s">
        <v>31</v>
      </c>
      <c r="J5" s="28"/>
      <c r="K5" s="28"/>
      <c r="L5" s="28" t="s">
        <v>26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166</v>
      </c>
      <c r="D6" s="18" t="s">
        <v>28</v>
      </c>
      <c r="E6" s="20"/>
      <c r="F6" s="33">
        <v>46122.0</v>
      </c>
      <c r="G6" s="34"/>
      <c r="H6" s="26">
        <v>150000.0</v>
      </c>
      <c r="I6" s="28" t="s">
        <v>22</v>
      </c>
      <c r="J6" s="28" t="s">
        <v>23</v>
      </c>
      <c r="K6" s="28" t="s">
        <v>24</v>
      </c>
      <c r="L6" s="28" t="s">
        <v>26</v>
      </c>
      <c r="M6" s="28" t="s">
        <v>27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168</v>
      </c>
      <c r="D7" s="18" t="s">
        <v>28</v>
      </c>
      <c r="E7" s="20"/>
      <c r="F7" s="33">
        <v>46128.0</v>
      </c>
      <c r="G7" s="24"/>
      <c r="H7" s="26">
        <v>100000.0</v>
      </c>
      <c r="I7" s="28" t="s">
        <v>31</v>
      </c>
      <c r="J7" s="28"/>
      <c r="K7" s="28"/>
      <c r="L7" s="28" t="s">
        <v>26</v>
      </c>
      <c r="M7" s="35"/>
      <c r="N7" s="31"/>
      <c r="O7" s="31"/>
      <c r="P7" s="32"/>
      <c r="Q7" s="1"/>
      <c r="R7" s="1"/>
    </row>
    <row r="8">
      <c r="A8" s="1"/>
      <c r="B8" s="14">
        <v>5.0</v>
      </c>
      <c r="C8" s="15" t="s">
        <v>48</v>
      </c>
      <c r="D8" s="18" t="s">
        <v>28</v>
      </c>
      <c r="E8" s="69">
        <v>0.2</v>
      </c>
      <c r="F8" s="33">
        <v>46122.0</v>
      </c>
      <c r="G8" s="24">
        <v>836000.0</v>
      </c>
      <c r="H8" s="26">
        <v>124000.0</v>
      </c>
      <c r="I8" s="28" t="s">
        <v>22</v>
      </c>
      <c r="J8" s="28" t="s">
        <v>23</v>
      </c>
      <c r="K8" s="28" t="s">
        <v>24</v>
      </c>
      <c r="L8" s="28" t="s">
        <v>26</v>
      </c>
      <c r="M8" s="28" t="s">
        <v>27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29</v>
      </c>
      <c r="D9" s="18" t="s">
        <v>28</v>
      </c>
      <c r="E9" s="20"/>
      <c r="F9" s="33">
        <v>46122.0</v>
      </c>
      <c r="G9" s="24"/>
      <c r="H9" s="26">
        <v>575000.0</v>
      </c>
      <c r="I9" s="28" t="s">
        <v>22</v>
      </c>
      <c r="J9" s="28" t="s">
        <v>23</v>
      </c>
      <c r="K9" s="28" t="s">
        <v>23</v>
      </c>
      <c r="L9" s="28" t="s">
        <v>26</v>
      </c>
      <c r="M9" s="28" t="s">
        <v>38</v>
      </c>
      <c r="N9" s="31"/>
      <c r="O9" s="32"/>
      <c r="P9" s="32"/>
      <c r="Q9" s="1"/>
      <c r="R9" s="1"/>
    </row>
    <row r="10">
      <c r="A10" s="1"/>
      <c r="B10" s="14">
        <v>7.0</v>
      </c>
      <c r="C10" s="15" t="s">
        <v>172</v>
      </c>
      <c r="D10" s="18" t="s">
        <v>108</v>
      </c>
      <c r="E10" s="20"/>
      <c r="F10" s="33">
        <v>46112.0</v>
      </c>
      <c r="G10" s="24"/>
      <c r="H10" s="26">
        <v>20000.0</v>
      </c>
      <c r="I10" s="28" t="s">
        <v>22</v>
      </c>
      <c r="J10" s="28"/>
      <c r="K10" s="28"/>
      <c r="L10" s="28" t="s">
        <v>26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170</v>
      </c>
      <c r="D11" s="18" t="s">
        <v>75</v>
      </c>
      <c r="E11" s="20"/>
      <c r="F11" s="33">
        <v>46123.0</v>
      </c>
      <c r="G11" s="24"/>
      <c r="H11" s="26">
        <v>100000.0</v>
      </c>
      <c r="I11" s="28" t="s">
        <v>31</v>
      </c>
      <c r="J11" s="28"/>
      <c r="K11" s="28"/>
      <c r="L11" s="28" t="s">
        <v>26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159</v>
      </c>
      <c r="D12" s="18" t="s">
        <v>54</v>
      </c>
      <c r="E12" s="20"/>
      <c r="F12" s="33">
        <v>46122.0</v>
      </c>
      <c r="G12" s="24">
        <v>150000.0</v>
      </c>
      <c r="H12" s="37"/>
      <c r="I12" s="28" t="s">
        <v>22</v>
      </c>
      <c r="J12" s="28" t="s">
        <v>23</v>
      </c>
      <c r="K12" s="28" t="s">
        <v>23</v>
      </c>
      <c r="L12" s="28" t="s">
        <v>26</v>
      </c>
      <c r="M12" s="28" t="s">
        <v>38</v>
      </c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174</v>
      </c>
      <c r="D13" s="18" t="s">
        <v>28</v>
      </c>
      <c r="E13" s="20"/>
      <c r="F13" s="33">
        <v>46122.0</v>
      </c>
      <c r="G13" s="24">
        <v>400000.0</v>
      </c>
      <c r="H13" s="37"/>
      <c r="I13" s="28" t="s">
        <v>22</v>
      </c>
      <c r="J13" s="28" t="s">
        <v>23</v>
      </c>
      <c r="K13" s="28" t="s">
        <v>23</v>
      </c>
      <c r="L13" s="28" t="s">
        <v>26</v>
      </c>
      <c r="M13" s="28" t="s">
        <v>38</v>
      </c>
      <c r="N13" s="31"/>
      <c r="O13" s="32"/>
      <c r="P13" s="32"/>
      <c r="Q13" s="1"/>
      <c r="R13" s="1"/>
    </row>
    <row r="14">
      <c r="A14" s="1"/>
      <c r="B14" s="38"/>
      <c r="C14" s="15" t="s">
        <v>171</v>
      </c>
      <c r="D14" s="18" t="s">
        <v>75</v>
      </c>
      <c r="E14" s="20"/>
      <c r="F14" s="33">
        <v>46123.0</v>
      </c>
      <c r="G14" s="24"/>
      <c r="H14" s="26">
        <v>100000.0</v>
      </c>
      <c r="I14" s="28" t="s">
        <v>31</v>
      </c>
      <c r="J14" s="28"/>
      <c r="K14" s="28"/>
      <c r="L14" s="28" t="s">
        <v>26</v>
      </c>
      <c r="M14" s="35"/>
      <c r="N14" s="31"/>
      <c r="O14" s="32"/>
      <c r="P14" s="32"/>
      <c r="Q14" s="1"/>
      <c r="R14" s="1"/>
    </row>
    <row r="15">
      <c r="A15" s="1"/>
      <c r="B15" s="38"/>
      <c r="C15" s="15" t="s">
        <v>175</v>
      </c>
      <c r="D15" s="18" t="s">
        <v>75</v>
      </c>
      <c r="E15" s="20"/>
      <c r="F15" s="33">
        <v>46124.0</v>
      </c>
      <c r="G15" s="24"/>
      <c r="H15" s="26">
        <v>100000.0</v>
      </c>
      <c r="I15" s="28" t="s">
        <v>31</v>
      </c>
      <c r="J15" s="28"/>
      <c r="K15" s="28"/>
      <c r="L15" s="28" t="s">
        <v>26</v>
      </c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1386000</v>
      </c>
      <c r="H19" s="43">
        <f t="shared" si="1"/>
        <v>1469000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1386000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 t="s">
        <v>106</v>
      </c>
      <c r="D24" s="54">
        <v>-70000.0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26</v>
      </c>
      <c r="P24" s="1"/>
      <c r="Q24" s="1"/>
      <c r="R24" s="1"/>
    </row>
    <row r="25">
      <c r="A25" s="1"/>
      <c r="B25" s="47">
        <v>3.0</v>
      </c>
      <c r="C25" s="48" t="s">
        <v>96</v>
      </c>
      <c r="D25" s="58">
        <v>-24000.0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27</v>
      </c>
      <c r="P25" s="1"/>
      <c r="Q25" s="1"/>
      <c r="R25" s="1"/>
    </row>
    <row r="26">
      <c r="A26" s="1"/>
      <c r="B26" s="52">
        <v>4.0</v>
      </c>
      <c r="C26" s="53" t="s">
        <v>102</v>
      </c>
      <c r="D26" s="54">
        <v>-42000.0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38</v>
      </c>
      <c r="P26" s="1"/>
      <c r="Q26" s="1"/>
      <c r="R26" s="1"/>
    </row>
    <row r="27">
      <c r="A27" s="1"/>
      <c r="B27" s="47"/>
      <c r="C27" s="48" t="s">
        <v>118</v>
      </c>
      <c r="D27" s="58">
        <v>-50000.0</v>
      </c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53" t="s">
        <v>139</v>
      </c>
      <c r="D28" s="54">
        <v>-100000.0</v>
      </c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1100000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DropDown="1" showErrorMessage="1" sqref="M4:M18 O25:O26">
      <formula1>"-,VERO,FADEL,PENTIL,FAHME,HANIF,ADIF"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160</v>
      </c>
      <c r="D4" s="18" t="s">
        <v>20</v>
      </c>
      <c r="E4" s="20"/>
      <c r="F4" s="22">
        <v>46128.0</v>
      </c>
      <c r="G4" s="24"/>
      <c r="H4" s="26">
        <v>100000.0</v>
      </c>
      <c r="I4" s="28" t="s">
        <v>31</v>
      </c>
      <c r="J4" s="28"/>
      <c r="K4" s="28"/>
      <c r="L4" s="28" t="s">
        <v>26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71" t="s">
        <v>163</v>
      </c>
      <c r="D5" s="18" t="s">
        <v>20</v>
      </c>
      <c r="E5" s="20"/>
      <c r="F5" s="22">
        <v>46128.0</v>
      </c>
      <c r="G5" s="24"/>
      <c r="H5" s="26">
        <v>100000.0</v>
      </c>
      <c r="I5" s="28" t="s">
        <v>31</v>
      </c>
      <c r="J5" s="28"/>
      <c r="K5" s="28"/>
      <c r="L5" s="28" t="s">
        <v>26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165</v>
      </c>
      <c r="D6" s="18" t="s">
        <v>75</v>
      </c>
      <c r="E6" s="20"/>
      <c r="F6" s="33">
        <v>46123.0</v>
      </c>
      <c r="G6" s="34"/>
      <c r="H6" s="26">
        <v>100000.0</v>
      </c>
      <c r="I6" s="28" t="s">
        <v>31</v>
      </c>
      <c r="J6" s="28"/>
      <c r="K6" s="28"/>
      <c r="L6" s="28" t="s">
        <v>26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147</v>
      </c>
      <c r="D7" s="18" t="s">
        <v>28</v>
      </c>
      <c r="E7" s="20"/>
      <c r="F7" s="33">
        <v>46123.0</v>
      </c>
      <c r="G7" s="24">
        <v>725000.0</v>
      </c>
      <c r="H7" s="37"/>
      <c r="I7" s="28" t="s">
        <v>22</v>
      </c>
      <c r="J7" s="28" t="s">
        <v>23</v>
      </c>
      <c r="K7" s="28" t="s">
        <v>23</v>
      </c>
      <c r="L7" s="28" t="s">
        <v>26</v>
      </c>
      <c r="M7" s="28" t="s">
        <v>27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167</v>
      </c>
      <c r="D8" s="18" t="s">
        <v>20</v>
      </c>
      <c r="E8" s="20"/>
      <c r="F8" s="33">
        <v>46123.0</v>
      </c>
      <c r="G8" s="24"/>
      <c r="H8" s="26">
        <v>100000.0</v>
      </c>
      <c r="I8" s="28" t="s">
        <v>31</v>
      </c>
      <c r="J8" s="28"/>
      <c r="K8" s="28"/>
      <c r="L8" s="28" t="s">
        <v>26</v>
      </c>
      <c r="M8" s="35"/>
      <c r="N8" s="31"/>
      <c r="O8" s="32"/>
      <c r="P8" s="32"/>
      <c r="Q8" s="1"/>
      <c r="R8" s="1"/>
    </row>
    <row r="9">
      <c r="A9" s="1"/>
      <c r="B9" s="14">
        <v>6.0</v>
      </c>
      <c r="C9" s="15" t="s">
        <v>165</v>
      </c>
      <c r="D9" s="18" t="s">
        <v>75</v>
      </c>
      <c r="E9" s="20"/>
      <c r="F9" s="33">
        <v>46123.0</v>
      </c>
      <c r="G9" s="24"/>
      <c r="H9" s="26">
        <v>100000.0</v>
      </c>
      <c r="I9" s="28" t="s">
        <v>22</v>
      </c>
      <c r="J9" s="28" t="s">
        <v>23</v>
      </c>
      <c r="K9" s="28" t="s">
        <v>23</v>
      </c>
      <c r="L9" s="28" t="s">
        <v>26</v>
      </c>
      <c r="M9" s="28" t="s">
        <v>38</v>
      </c>
      <c r="N9" s="31"/>
      <c r="O9" s="32"/>
      <c r="P9" s="32"/>
      <c r="Q9" s="1"/>
      <c r="R9" s="1"/>
    </row>
    <row r="10">
      <c r="A10" s="1"/>
      <c r="B10" s="14">
        <v>7.0</v>
      </c>
      <c r="C10" s="15" t="s">
        <v>169</v>
      </c>
      <c r="D10" s="18" t="s">
        <v>28</v>
      </c>
      <c r="E10" s="20"/>
      <c r="F10" s="14" t="s">
        <v>146</v>
      </c>
      <c r="G10" s="24"/>
      <c r="H10" s="26">
        <v>100000.0</v>
      </c>
      <c r="I10" s="28" t="s">
        <v>31</v>
      </c>
      <c r="J10" s="28"/>
      <c r="K10" s="28"/>
      <c r="L10" s="28" t="s">
        <v>26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159</v>
      </c>
      <c r="D11" s="18" t="s">
        <v>47</v>
      </c>
      <c r="E11" s="20"/>
      <c r="F11" s="33">
        <v>46123.0</v>
      </c>
      <c r="G11" s="24"/>
      <c r="H11" s="26">
        <v>350000.0</v>
      </c>
      <c r="I11" s="28" t="s">
        <v>22</v>
      </c>
      <c r="J11" s="28" t="s">
        <v>23</v>
      </c>
      <c r="K11" s="28" t="s">
        <v>24</v>
      </c>
      <c r="L11" s="28" t="s">
        <v>26</v>
      </c>
      <c r="M11" s="28" t="s">
        <v>38</v>
      </c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170</v>
      </c>
      <c r="D12" s="18" t="s">
        <v>75</v>
      </c>
      <c r="E12" s="20"/>
      <c r="F12" s="33">
        <v>46123.0</v>
      </c>
      <c r="G12" s="24"/>
      <c r="H12" s="26">
        <v>325000.0</v>
      </c>
      <c r="I12" s="28" t="s">
        <v>22</v>
      </c>
      <c r="J12" s="28" t="s">
        <v>23</v>
      </c>
      <c r="K12" s="28" t="s">
        <v>23</v>
      </c>
      <c r="L12" s="28" t="s">
        <v>26</v>
      </c>
      <c r="M12" s="28" t="s">
        <v>38</v>
      </c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171</v>
      </c>
      <c r="D13" s="18" t="s">
        <v>75</v>
      </c>
      <c r="E13" s="20"/>
      <c r="F13" s="33">
        <v>46123.0</v>
      </c>
      <c r="G13" s="24"/>
      <c r="H13" s="26">
        <v>125000.0</v>
      </c>
      <c r="I13" s="28" t="s">
        <v>22</v>
      </c>
      <c r="J13" s="28" t="s">
        <v>23</v>
      </c>
      <c r="K13" s="28" t="s">
        <v>23</v>
      </c>
      <c r="L13" s="28" t="s">
        <v>26</v>
      </c>
      <c r="M13" s="28" t="s">
        <v>38</v>
      </c>
      <c r="N13" s="31"/>
      <c r="O13" s="32"/>
      <c r="P13" s="32"/>
      <c r="Q13" s="1"/>
      <c r="R13" s="1"/>
    </row>
    <row r="14">
      <c r="A14" s="1"/>
      <c r="B14" s="38"/>
      <c r="C14" s="15" t="s">
        <v>149</v>
      </c>
      <c r="D14" s="18" t="s">
        <v>20</v>
      </c>
      <c r="E14" s="20"/>
      <c r="F14" s="33">
        <v>46123.0</v>
      </c>
      <c r="G14" s="24"/>
      <c r="H14" s="26">
        <v>250000.0</v>
      </c>
      <c r="I14" s="28" t="s">
        <v>22</v>
      </c>
      <c r="J14" s="28" t="s">
        <v>23</v>
      </c>
      <c r="K14" s="28" t="s">
        <v>23</v>
      </c>
      <c r="L14" s="28" t="s">
        <v>26</v>
      </c>
      <c r="M14" s="28" t="s">
        <v>38</v>
      </c>
      <c r="N14" s="31"/>
      <c r="O14" s="32"/>
      <c r="P14" s="32"/>
      <c r="Q14" s="1"/>
      <c r="R14" s="1"/>
    </row>
    <row r="15">
      <c r="A15" s="1"/>
      <c r="B15" s="38"/>
      <c r="C15" s="15" t="s">
        <v>173</v>
      </c>
      <c r="D15" s="18" t="s">
        <v>20</v>
      </c>
      <c r="E15" s="20"/>
      <c r="F15" s="33">
        <v>46123.0</v>
      </c>
      <c r="G15" s="24"/>
      <c r="H15" s="26">
        <v>290000.0</v>
      </c>
      <c r="I15" s="28" t="s">
        <v>22</v>
      </c>
      <c r="J15" s="28" t="s">
        <v>23</v>
      </c>
      <c r="K15" s="28" t="s">
        <v>24</v>
      </c>
      <c r="L15" s="28" t="s">
        <v>26</v>
      </c>
      <c r="M15" s="28" t="s">
        <v>38</v>
      </c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725000</v>
      </c>
      <c r="H19" s="43">
        <f t="shared" si="1"/>
        <v>1940000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725000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 t="s">
        <v>118</v>
      </c>
      <c r="D24" s="54">
        <v>-25000.0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26</v>
      </c>
      <c r="P24" s="1"/>
      <c r="Q24" s="1"/>
      <c r="R24" s="1"/>
    </row>
    <row r="25">
      <c r="A25" s="1"/>
      <c r="B25" s="47">
        <v>3.0</v>
      </c>
      <c r="C25" s="48" t="s">
        <v>102</v>
      </c>
      <c r="D25" s="58">
        <v>-50000.0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27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38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650000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177</v>
      </c>
      <c r="D4" s="18" t="s">
        <v>20</v>
      </c>
      <c r="E4" s="20"/>
      <c r="F4" s="33">
        <v>46127.0</v>
      </c>
      <c r="G4" s="24"/>
      <c r="H4" s="26">
        <v>100000.0</v>
      </c>
      <c r="I4" s="28" t="s">
        <v>31</v>
      </c>
      <c r="J4" s="28"/>
      <c r="K4" s="28"/>
      <c r="L4" s="28" t="s">
        <v>26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182</v>
      </c>
      <c r="D5" s="18" t="s">
        <v>28</v>
      </c>
      <c r="E5" s="20"/>
      <c r="F5" s="22">
        <v>46124.0</v>
      </c>
      <c r="G5" s="24"/>
      <c r="H5" s="26">
        <v>100000.0</v>
      </c>
      <c r="I5" s="28" t="s">
        <v>31</v>
      </c>
      <c r="J5" s="28"/>
      <c r="K5" s="28"/>
      <c r="L5" s="28" t="s">
        <v>26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185</v>
      </c>
      <c r="D6" s="18" t="s">
        <v>28</v>
      </c>
      <c r="E6" s="20"/>
      <c r="F6" s="33">
        <v>46124.0</v>
      </c>
      <c r="G6" s="34"/>
      <c r="H6" s="26">
        <v>425000.0</v>
      </c>
      <c r="I6" s="28" t="s">
        <v>22</v>
      </c>
      <c r="J6" s="28" t="s">
        <v>23</v>
      </c>
      <c r="K6" s="28" t="s">
        <v>23</v>
      </c>
      <c r="L6" s="28" t="s">
        <v>26</v>
      </c>
      <c r="M6" s="28" t="s">
        <v>38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188</v>
      </c>
      <c r="D7" s="18" t="s">
        <v>28</v>
      </c>
      <c r="E7" s="20"/>
      <c r="F7" s="33">
        <v>46124.0</v>
      </c>
      <c r="G7" s="24">
        <v>1040000.0</v>
      </c>
      <c r="H7" s="37"/>
      <c r="I7" s="28" t="s">
        <v>22</v>
      </c>
      <c r="J7" s="28" t="s">
        <v>23</v>
      </c>
      <c r="K7" s="28" t="s">
        <v>24</v>
      </c>
      <c r="L7" s="28" t="s">
        <v>26</v>
      </c>
      <c r="M7" s="28" t="s">
        <v>38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182</v>
      </c>
      <c r="D8" s="18" t="s">
        <v>28</v>
      </c>
      <c r="E8" s="20"/>
      <c r="F8" s="33">
        <v>46124.0</v>
      </c>
      <c r="G8" s="24">
        <v>665000.0</v>
      </c>
      <c r="H8" s="37"/>
      <c r="I8" s="28" t="s">
        <v>22</v>
      </c>
      <c r="J8" s="28" t="s">
        <v>23</v>
      </c>
      <c r="K8" s="28" t="s">
        <v>23</v>
      </c>
      <c r="L8" s="28" t="s">
        <v>26</v>
      </c>
      <c r="M8" s="28" t="s">
        <v>38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194</v>
      </c>
      <c r="D9" s="18" t="s">
        <v>28</v>
      </c>
      <c r="E9" s="20"/>
      <c r="F9" s="33">
        <v>46137.0</v>
      </c>
      <c r="G9" s="24"/>
      <c r="H9" s="26">
        <v>100000.0</v>
      </c>
      <c r="I9" s="28" t="s">
        <v>31</v>
      </c>
      <c r="J9" s="28"/>
      <c r="K9" s="28"/>
      <c r="L9" s="28" t="s">
        <v>26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183</v>
      </c>
      <c r="D10" s="18" t="s">
        <v>60</v>
      </c>
      <c r="E10" s="20"/>
      <c r="F10" s="33">
        <v>46126.0</v>
      </c>
      <c r="G10" s="24"/>
      <c r="H10" s="26">
        <v>100000.0</v>
      </c>
      <c r="I10" s="28" t="s">
        <v>31</v>
      </c>
      <c r="J10" s="28"/>
      <c r="K10" s="28"/>
      <c r="L10" s="28" t="s">
        <v>34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73" t="s">
        <v>200</v>
      </c>
      <c r="D11" s="18" t="s">
        <v>60</v>
      </c>
      <c r="E11" s="20"/>
      <c r="F11" s="33">
        <v>46124.0</v>
      </c>
      <c r="G11" s="24">
        <v>100000.0</v>
      </c>
      <c r="H11" s="37"/>
      <c r="I11" s="28" t="s">
        <v>22</v>
      </c>
      <c r="J11" s="28" t="s">
        <v>23</v>
      </c>
      <c r="K11" s="28" t="s">
        <v>24</v>
      </c>
      <c r="L11" s="28" t="s">
        <v>34</v>
      </c>
      <c r="M11" s="28" t="s">
        <v>38</v>
      </c>
      <c r="N11" s="31"/>
      <c r="O11" s="32"/>
      <c r="P11" s="32"/>
      <c r="Q11" s="1"/>
      <c r="R11" s="1"/>
    </row>
    <row r="12">
      <c r="A12" s="1"/>
      <c r="B12" s="14">
        <v>9.0</v>
      </c>
      <c r="C12" s="15"/>
      <c r="D12" s="18"/>
      <c r="E12" s="20"/>
      <c r="F12" s="38"/>
      <c r="G12" s="24"/>
      <c r="H12" s="37"/>
      <c r="I12" s="28"/>
      <c r="J12" s="28"/>
      <c r="K12" s="28"/>
      <c r="L12" s="35"/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1805000</v>
      </c>
      <c r="H19" s="43">
        <f t="shared" si="1"/>
        <v>825000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1805000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 t="s">
        <v>211</v>
      </c>
      <c r="D24" s="54">
        <v>-100000.0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 t="s">
        <v>137</v>
      </c>
      <c r="D25" s="58">
        <v>-20000.0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38</v>
      </c>
      <c r="P25" s="1"/>
      <c r="Q25" s="1"/>
      <c r="R25" s="1"/>
    </row>
    <row r="26">
      <c r="A26" s="1"/>
      <c r="B26" s="52">
        <v>4.0</v>
      </c>
      <c r="C26" s="53" t="s">
        <v>2</v>
      </c>
      <c r="D26" s="54">
        <v>-7500.0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38</v>
      </c>
      <c r="P26" s="1"/>
      <c r="Q26" s="1"/>
      <c r="R26" s="1"/>
    </row>
    <row r="27">
      <c r="A27" s="1"/>
      <c r="B27" s="47"/>
      <c r="C27" s="48" t="s">
        <v>102</v>
      </c>
      <c r="D27" s="58">
        <v>-60000.0</v>
      </c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53" t="s">
        <v>106</v>
      </c>
      <c r="D28" s="54">
        <v>-50000.0</v>
      </c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1567500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"-,JIJANG,AXEL,PENTIL,FAHME,ADDEL 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 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"-,VERO,FADEL,PENTIL,FAHME,ADIF"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176</v>
      </c>
      <c r="D4" s="18" t="s">
        <v>20</v>
      </c>
      <c r="E4" s="20"/>
      <c r="F4" s="22">
        <v>46127.0</v>
      </c>
      <c r="G4" s="24"/>
      <c r="H4" s="26">
        <v>100000.0</v>
      </c>
      <c r="I4" s="28" t="s">
        <v>31</v>
      </c>
      <c r="J4" s="28"/>
      <c r="K4" s="28"/>
      <c r="L4" s="28" t="s">
        <v>34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178</v>
      </c>
      <c r="D5" s="18" t="s">
        <v>179</v>
      </c>
      <c r="E5" s="20"/>
      <c r="F5" s="22">
        <v>46130.0</v>
      </c>
      <c r="G5" s="24"/>
      <c r="H5" s="26">
        <v>100000.0</v>
      </c>
      <c r="I5" s="28" t="s">
        <v>31</v>
      </c>
      <c r="J5" s="28"/>
      <c r="K5" s="28"/>
      <c r="L5" s="28" t="s">
        <v>34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181</v>
      </c>
      <c r="D6" s="18" t="s">
        <v>57</v>
      </c>
      <c r="E6" s="20"/>
      <c r="F6" s="33">
        <v>46125.0</v>
      </c>
      <c r="G6" s="34"/>
      <c r="H6" s="26">
        <v>50000.0</v>
      </c>
      <c r="I6" s="28" t="s">
        <v>22</v>
      </c>
      <c r="J6" s="28" t="s">
        <v>23</v>
      </c>
      <c r="K6" s="28" t="s">
        <v>24</v>
      </c>
      <c r="L6" s="28" t="s">
        <v>34</v>
      </c>
      <c r="M6" s="28" t="s">
        <v>120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66</v>
      </c>
      <c r="D7" s="18" t="s">
        <v>57</v>
      </c>
      <c r="E7" s="20"/>
      <c r="F7" s="33">
        <v>46125.0</v>
      </c>
      <c r="G7" s="24">
        <v>50000.0</v>
      </c>
      <c r="H7" s="37"/>
      <c r="I7" s="28" t="s">
        <v>22</v>
      </c>
      <c r="J7" s="28" t="s">
        <v>23</v>
      </c>
      <c r="K7" s="28" t="s">
        <v>24</v>
      </c>
      <c r="L7" s="28" t="s">
        <v>34</v>
      </c>
      <c r="M7" s="28" t="s">
        <v>120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78</v>
      </c>
      <c r="D8" s="18" t="s">
        <v>28</v>
      </c>
      <c r="E8" s="20">
        <v>38.0</v>
      </c>
      <c r="F8" s="22">
        <v>46127.0</v>
      </c>
      <c r="G8" s="24">
        <v>100000.0</v>
      </c>
      <c r="H8" s="37"/>
      <c r="I8" s="28" t="s">
        <v>31</v>
      </c>
      <c r="J8" s="28"/>
      <c r="K8" s="28"/>
      <c r="L8" s="28" t="s">
        <v>34</v>
      </c>
      <c r="M8" s="35"/>
      <c r="N8" s="31"/>
      <c r="O8" s="32"/>
      <c r="P8" s="32"/>
      <c r="Q8" s="1"/>
      <c r="R8" s="1"/>
    </row>
    <row r="9">
      <c r="A9" s="1"/>
      <c r="B9" s="14">
        <v>6.0</v>
      </c>
      <c r="C9" s="15" t="s">
        <v>184</v>
      </c>
      <c r="D9" s="18" t="s">
        <v>20</v>
      </c>
      <c r="E9" s="20"/>
      <c r="F9" s="33">
        <v>46127.0</v>
      </c>
      <c r="G9" s="24"/>
      <c r="H9" s="26">
        <v>100000.0</v>
      </c>
      <c r="I9" s="28" t="s">
        <v>31</v>
      </c>
      <c r="J9" s="28"/>
      <c r="K9" s="28"/>
      <c r="L9" s="28" t="s">
        <v>26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187</v>
      </c>
      <c r="D10" s="18" t="s">
        <v>28</v>
      </c>
      <c r="E10" s="20"/>
      <c r="F10" s="33">
        <v>46130.0</v>
      </c>
      <c r="G10" s="24"/>
      <c r="H10" s="26">
        <v>100000.0</v>
      </c>
      <c r="I10" s="28" t="s">
        <v>31</v>
      </c>
      <c r="J10" s="28"/>
      <c r="K10" s="28"/>
      <c r="L10" s="28" t="s">
        <v>26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189</v>
      </c>
      <c r="D11" s="18" t="s">
        <v>41</v>
      </c>
      <c r="E11" s="20"/>
      <c r="F11" s="33">
        <v>46125.0</v>
      </c>
      <c r="G11" s="24"/>
      <c r="H11" s="26">
        <v>100000.0</v>
      </c>
      <c r="I11" s="28" t="s">
        <v>22</v>
      </c>
      <c r="J11" s="28" t="s">
        <v>23</v>
      </c>
      <c r="K11" s="28" t="s">
        <v>23</v>
      </c>
      <c r="L11" s="28" t="s">
        <v>26</v>
      </c>
      <c r="M11" s="28" t="s">
        <v>27</v>
      </c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190</v>
      </c>
      <c r="D12" s="18" t="s">
        <v>75</v>
      </c>
      <c r="E12" s="20"/>
      <c r="F12" s="33">
        <v>46126.0</v>
      </c>
      <c r="G12" s="24"/>
      <c r="H12" s="26">
        <v>200000.0</v>
      </c>
      <c r="I12" s="28" t="s">
        <v>22</v>
      </c>
      <c r="J12" s="28"/>
      <c r="K12" s="28"/>
      <c r="L12" s="28" t="s">
        <v>26</v>
      </c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191</v>
      </c>
      <c r="D13" s="18" t="s">
        <v>108</v>
      </c>
      <c r="E13" s="20"/>
      <c r="F13" s="33">
        <v>46106.0</v>
      </c>
      <c r="G13" s="24"/>
      <c r="H13" s="26">
        <v>20000.0</v>
      </c>
      <c r="I13" s="28" t="s">
        <v>22</v>
      </c>
      <c r="J13" s="28"/>
      <c r="K13" s="28"/>
      <c r="L13" s="28" t="s">
        <v>26</v>
      </c>
      <c r="M13" s="35"/>
      <c r="N13" s="31"/>
      <c r="O13" s="32"/>
      <c r="P13" s="32"/>
      <c r="Q13" s="1"/>
      <c r="R13" s="1"/>
    </row>
    <row r="14">
      <c r="A14" s="1"/>
      <c r="B14" s="38"/>
      <c r="C14" s="15" t="s">
        <v>193</v>
      </c>
      <c r="D14" s="18" t="s">
        <v>108</v>
      </c>
      <c r="E14" s="20"/>
      <c r="F14" s="33">
        <v>46112.0</v>
      </c>
      <c r="G14" s="24"/>
      <c r="H14" s="26">
        <v>20000.0</v>
      </c>
      <c r="I14" s="28" t="s">
        <v>22</v>
      </c>
      <c r="J14" s="28"/>
      <c r="K14" s="28"/>
      <c r="L14" s="28" t="s">
        <v>26</v>
      </c>
      <c r="M14" s="35"/>
      <c r="N14" s="31"/>
      <c r="O14" s="32"/>
      <c r="P14" s="32"/>
      <c r="Q14" s="1"/>
      <c r="R14" s="1"/>
    </row>
    <row r="15">
      <c r="A15" s="1"/>
      <c r="B15" s="38"/>
      <c r="C15" s="15" t="s">
        <v>195</v>
      </c>
      <c r="D15" s="18" t="s">
        <v>45</v>
      </c>
      <c r="E15" s="20"/>
      <c r="F15" s="33">
        <v>46125.0</v>
      </c>
      <c r="G15" s="24">
        <v>350000.0</v>
      </c>
      <c r="H15" s="37"/>
      <c r="I15" s="28" t="s">
        <v>22</v>
      </c>
      <c r="J15" s="28" t="s">
        <v>23</v>
      </c>
      <c r="K15" s="28" t="s">
        <v>24</v>
      </c>
      <c r="L15" s="28" t="s">
        <v>26</v>
      </c>
      <c r="M15" s="28" t="s">
        <v>27</v>
      </c>
      <c r="N15" s="31"/>
      <c r="O15" s="32"/>
      <c r="P15" s="32"/>
      <c r="Q15" s="1"/>
      <c r="R15" s="1"/>
    </row>
    <row r="16">
      <c r="A16" s="1"/>
      <c r="B16" s="38"/>
      <c r="C16" s="15" t="s">
        <v>196</v>
      </c>
      <c r="D16" s="18" t="s">
        <v>108</v>
      </c>
      <c r="E16" s="20"/>
      <c r="F16" s="33">
        <v>46112.0</v>
      </c>
      <c r="G16" s="24"/>
      <c r="H16" s="26">
        <v>20000.0</v>
      </c>
      <c r="I16" s="28" t="s">
        <v>22</v>
      </c>
      <c r="J16" s="28"/>
      <c r="K16" s="28"/>
      <c r="L16" s="28" t="s">
        <v>26</v>
      </c>
      <c r="M16" s="35"/>
      <c r="N16" s="31"/>
      <c r="O16" s="32"/>
      <c r="P16" s="32"/>
      <c r="Q16" s="1"/>
      <c r="R16" s="1"/>
    </row>
    <row r="17">
      <c r="A17" s="1"/>
      <c r="B17" s="38"/>
      <c r="C17" s="15" t="s">
        <v>198</v>
      </c>
      <c r="D17" s="18" t="s">
        <v>45</v>
      </c>
      <c r="E17" s="20"/>
      <c r="F17" s="33">
        <v>46126.0</v>
      </c>
      <c r="G17" s="24"/>
      <c r="H17" s="26">
        <v>100000.0</v>
      </c>
      <c r="I17" s="28" t="s">
        <v>31</v>
      </c>
      <c r="J17" s="28"/>
      <c r="K17" s="28"/>
      <c r="L17" s="28" t="s">
        <v>26</v>
      </c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500000</v>
      </c>
      <c r="H19" s="43">
        <f t="shared" si="1"/>
        <v>910000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500000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34</v>
      </c>
      <c r="P23" s="1"/>
      <c r="Q23" s="1"/>
      <c r="R23" s="1"/>
    </row>
    <row r="24">
      <c r="A24" s="1"/>
      <c r="B24" s="52">
        <v>2.0</v>
      </c>
      <c r="C24" s="53" t="s">
        <v>203</v>
      </c>
      <c r="D24" s="54">
        <v>-55000.0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26</v>
      </c>
      <c r="P24" s="1"/>
      <c r="Q24" s="1"/>
      <c r="R24" s="1"/>
    </row>
    <row r="25">
      <c r="A25" s="1"/>
      <c r="B25" s="47">
        <v>3.0</v>
      </c>
      <c r="C25" s="48" t="s">
        <v>106</v>
      </c>
      <c r="D25" s="58">
        <v>-45000.0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120</v>
      </c>
      <c r="P25" s="1"/>
      <c r="Q25" s="1"/>
      <c r="R25" s="1"/>
    </row>
    <row r="26">
      <c r="A26" s="1"/>
      <c r="B26" s="52">
        <v>4.0</v>
      </c>
      <c r="C26" s="53" t="s">
        <v>96</v>
      </c>
      <c r="D26" s="54">
        <v>-50000.0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27</v>
      </c>
      <c r="P26" s="1"/>
      <c r="Q26" s="1"/>
      <c r="R26" s="1"/>
    </row>
    <row r="27">
      <c r="A27" s="1"/>
      <c r="B27" s="47"/>
      <c r="C27" s="48" t="s">
        <v>118</v>
      </c>
      <c r="D27" s="58">
        <v>-100000.0</v>
      </c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53" t="s">
        <v>137</v>
      </c>
      <c r="D28" s="54">
        <v>-50000.0</v>
      </c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48" t="s">
        <v>95</v>
      </c>
      <c r="D29" s="58">
        <v>-32000.0</v>
      </c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53" t="s">
        <v>206</v>
      </c>
      <c r="D30" s="54">
        <v>-63000.0</v>
      </c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105000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18 O25:O26">
      <formula1>"-,VERO,FADEL,PENTIL,ADIF ,HANIF"</formula1>
    </dataValidation>
    <dataValidation type="list" allowBlank="1" showDropDown="1" showErrorMessage="1" sqref="L4:L18 O23:O24">
      <formula1>"-,JIJANG,ADDEL 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Edit,Preweed 1,6,Photofox,Packing"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180</v>
      </c>
      <c r="D4" s="18" t="s">
        <v>47</v>
      </c>
      <c r="E4" s="20"/>
      <c r="F4" s="22">
        <v>46131.0</v>
      </c>
      <c r="G4" s="24"/>
      <c r="H4" s="26">
        <v>100000.0</v>
      </c>
      <c r="I4" s="28" t="s">
        <v>31</v>
      </c>
      <c r="J4" s="28"/>
      <c r="K4" s="28"/>
      <c r="L4" s="28" t="s">
        <v>34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72" t="s">
        <v>183</v>
      </c>
      <c r="D5" s="18" t="s">
        <v>75</v>
      </c>
      <c r="E5" s="20"/>
      <c r="F5" s="22">
        <v>46126.0</v>
      </c>
      <c r="G5" s="24"/>
      <c r="H5" s="26">
        <v>100000.0</v>
      </c>
      <c r="I5" s="28" t="s">
        <v>22</v>
      </c>
      <c r="J5" s="28" t="s">
        <v>23</v>
      </c>
      <c r="K5" s="28" t="s">
        <v>23</v>
      </c>
      <c r="L5" s="28" t="s">
        <v>34</v>
      </c>
      <c r="M5" s="28" t="s">
        <v>52</v>
      </c>
      <c r="N5" s="31"/>
      <c r="O5" s="31"/>
      <c r="P5" s="32"/>
      <c r="Q5" s="1"/>
      <c r="R5" s="1"/>
    </row>
    <row r="6">
      <c r="A6" s="1"/>
      <c r="B6" s="14">
        <v>3.0</v>
      </c>
      <c r="C6" s="15" t="s">
        <v>186</v>
      </c>
      <c r="D6" s="18" t="s">
        <v>28</v>
      </c>
      <c r="E6" s="20"/>
      <c r="F6" s="33">
        <v>46130.0</v>
      </c>
      <c r="G6" s="34"/>
      <c r="H6" s="26">
        <v>100000.0</v>
      </c>
      <c r="I6" s="28" t="s">
        <v>31</v>
      </c>
      <c r="J6" s="28"/>
      <c r="K6" s="28"/>
      <c r="L6" s="28" t="s">
        <v>26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190</v>
      </c>
      <c r="D7" s="18" t="s">
        <v>75</v>
      </c>
      <c r="E7" s="20"/>
      <c r="F7" s="33">
        <v>46126.0</v>
      </c>
      <c r="G7" s="24">
        <v>0.0</v>
      </c>
      <c r="H7" s="26">
        <v>0.0</v>
      </c>
      <c r="I7" s="28" t="s">
        <v>22</v>
      </c>
      <c r="J7" s="28" t="s">
        <v>23</v>
      </c>
      <c r="K7" s="28" t="s">
        <v>23</v>
      </c>
      <c r="L7" s="28" t="s">
        <v>26</v>
      </c>
      <c r="M7" s="28" t="s">
        <v>38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192</v>
      </c>
      <c r="D8" s="18" t="s">
        <v>54</v>
      </c>
      <c r="E8" s="20"/>
      <c r="F8" s="33">
        <v>46127.0</v>
      </c>
      <c r="G8" s="24"/>
      <c r="H8" s="26">
        <v>100000.0</v>
      </c>
      <c r="I8" s="28" t="s">
        <v>31</v>
      </c>
      <c r="J8" s="28"/>
      <c r="K8" s="28"/>
      <c r="L8" s="28" t="s">
        <v>26</v>
      </c>
      <c r="M8" s="35"/>
      <c r="N8" s="31"/>
      <c r="O8" s="32"/>
      <c r="P8" s="32"/>
      <c r="Q8" s="1"/>
      <c r="R8" s="1"/>
    </row>
    <row r="9">
      <c r="A9" s="1"/>
      <c r="B9" s="14">
        <v>6.0</v>
      </c>
      <c r="C9" s="15" t="s">
        <v>197</v>
      </c>
      <c r="D9" s="18" t="s">
        <v>28</v>
      </c>
      <c r="E9" s="20"/>
      <c r="F9" s="33">
        <v>46130.0</v>
      </c>
      <c r="G9" s="24"/>
      <c r="H9" s="26">
        <v>100000.0</v>
      </c>
      <c r="I9" s="28" t="s">
        <v>31</v>
      </c>
      <c r="J9" s="28"/>
      <c r="K9" s="28"/>
      <c r="L9" s="28" t="s">
        <v>26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199</v>
      </c>
      <c r="D10" s="18" t="s">
        <v>28</v>
      </c>
      <c r="E10" s="20"/>
      <c r="F10" s="33">
        <v>46132.0</v>
      </c>
      <c r="G10" s="24"/>
      <c r="H10" s="26">
        <v>100000.0</v>
      </c>
      <c r="I10" s="28" t="s">
        <v>31</v>
      </c>
      <c r="J10" s="28"/>
      <c r="K10" s="28"/>
      <c r="L10" s="28" t="s">
        <v>26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201</v>
      </c>
      <c r="D11" s="18" t="s">
        <v>20</v>
      </c>
      <c r="E11" s="20"/>
      <c r="F11" s="33">
        <v>46127.0</v>
      </c>
      <c r="G11" s="24"/>
      <c r="H11" s="26">
        <v>100000.0</v>
      </c>
      <c r="I11" s="28" t="s">
        <v>31</v>
      </c>
      <c r="J11" s="28"/>
      <c r="K11" s="28"/>
      <c r="L11" s="28" t="s">
        <v>26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/>
      <c r="D12" s="18"/>
      <c r="E12" s="20"/>
      <c r="F12" s="38"/>
      <c r="G12" s="24"/>
      <c r="H12" s="37"/>
      <c r="I12" s="28"/>
      <c r="J12" s="28"/>
      <c r="K12" s="28"/>
      <c r="L12" s="35"/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0</v>
      </c>
      <c r="H19" s="43">
        <f t="shared" si="1"/>
        <v>700000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34</v>
      </c>
      <c r="P23" s="1"/>
      <c r="Q23" s="1"/>
      <c r="R23" s="1"/>
    </row>
    <row r="24">
      <c r="A24" s="1"/>
      <c r="B24" s="52">
        <v>2.0</v>
      </c>
      <c r="C24" s="53"/>
      <c r="D24" s="54"/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26</v>
      </c>
      <c r="P24" s="1"/>
      <c r="Q24" s="1"/>
      <c r="R24" s="1"/>
    </row>
    <row r="25">
      <c r="A25" s="1"/>
      <c r="B25" s="47">
        <v>3.0</v>
      </c>
      <c r="C25" s="48"/>
      <c r="D25" s="58"/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52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38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"-,VERO,FADEL,HANIF ,FAHME,ADIF"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11.75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202</v>
      </c>
      <c r="D4" s="18" t="s">
        <v>41</v>
      </c>
      <c r="E4" s="20"/>
      <c r="F4" s="22">
        <v>46127.0</v>
      </c>
      <c r="G4" s="24"/>
      <c r="H4" s="26">
        <v>100000.0</v>
      </c>
      <c r="I4" s="28" t="s">
        <v>22</v>
      </c>
      <c r="J4" s="28"/>
      <c r="K4" s="28"/>
      <c r="L4" s="28" t="s">
        <v>26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78</v>
      </c>
      <c r="D5" s="18" t="s">
        <v>28</v>
      </c>
      <c r="E5" s="20"/>
      <c r="F5" s="22">
        <v>46127.0</v>
      </c>
      <c r="G5" s="24"/>
      <c r="H5" s="26">
        <v>900000.0</v>
      </c>
      <c r="I5" s="28" t="s">
        <v>22</v>
      </c>
      <c r="J5" s="28" t="s">
        <v>23</v>
      </c>
      <c r="K5" s="28" t="s">
        <v>23</v>
      </c>
      <c r="L5" s="28" t="s">
        <v>26</v>
      </c>
      <c r="M5" s="28" t="s">
        <v>27</v>
      </c>
      <c r="N5" s="31"/>
      <c r="O5" s="31"/>
      <c r="P5" s="32"/>
      <c r="Q5" s="1"/>
      <c r="R5" s="1"/>
    </row>
    <row r="6">
      <c r="A6" s="1"/>
      <c r="B6" s="14">
        <v>3.0</v>
      </c>
      <c r="C6" s="15" t="s">
        <v>204</v>
      </c>
      <c r="D6" s="18" t="s">
        <v>57</v>
      </c>
      <c r="E6" s="20" t="s">
        <v>205</v>
      </c>
      <c r="F6" s="33">
        <v>46127.0</v>
      </c>
      <c r="G6" s="34"/>
      <c r="H6" s="26">
        <v>200000.0</v>
      </c>
      <c r="I6" s="28" t="s">
        <v>22</v>
      </c>
      <c r="J6" s="28" t="s">
        <v>23</v>
      </c>
      <c r="K6" s="28" t="s">
        <v>23</v>
      </c>
      <c r="L6" s="28" t="s">
        <v>26</v>
      </c>
      <c r="M6" s="28" t="s">
        <v>27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184</v>
      </c>
      <c r="D7" s="18" t="s">
        <v>20</v>
      </c>
      <c r="E7" s="20"/>
      <c r="F7" s="33">
        <v>46127.0</v>
      </c>
      <c r="G7" s="24">
        <v>270000.0</v>
      </c>
      <c r="H7" s="37"/>
      <c r="I7" s="28" t="s">
        <v>22</v>
      </c>
      <c r="J7" s="28" t="s">
        <v>23</v>
      </c>
      <c r="K7" s="28" t="s">
        <v>24</v>
      </c>
      <c r="L7" s="28" t="s">
        <v>26</v>
      </c>
      <c r="M7" s="28" t="s">
        <v>27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207</v>
      </c>
      <c r="D8" s="18" t="s">
        <v>28</v>
      </c>
      <c r="E8" s="20"/>
      <c r="F8" s="33">
        <v>46128.0</v>
      </c>
      <c r="G8" s="24"/>
      <c r="H8" s="26">
        <v>100000.0</v>
      </c>
      <c r="I8" s="28" t="s">
        <v>31</v>
      </c>
      <c r="J8" s="28"/>
      <c r="K8" s="28"/>
      <c r="L8" s="28" t="s">
        <v>26</v>
      </c>
      <c r="M8" s="35"/>
      <c r="N8" s="31"/>
      <c r="O8" s="32"/>
      <c r="P8" s="32"/>
      <c r="Q8" s="1"/>
      <c r="R8" s="1"/>
    </row>
    <row r="9">
      <c r="A9" s="1"/>
      <c r="B9" s="14">
        <v>6.0</v>
      </c>
      <c r="C9" s="15" t="s">
        <v>208</v>
      </c>
      <c r="D9" s="18" t="s">
        <v>20</v>
      </c>
      <c r="E9" s="20"/>
      <c r="F9" s="33">
        <v>46128.0</v>
      </c>
      <c r="G9" s="24"/>
      <c r="H9" s="26">
        <v>100000.0</v>
      </c>
      <c r="I9" s="28" t="s">
        <v>31</v>
      </c>
      <c r="J9" s="28"/>
      <c r="K9" s="28"/>
      <c r="L9" s="28" t="s">
        <v>26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209</v>
      </c>
      <c r="D10" s="18" t="s">
        <v>20</v>
      </c>
      <c r="E10" s="20"/>
      <c r="F10" s="33">
        <v>46127.0</v>
      </c>
      <c r="G10" s="24"/>
      <c r="H10" s="26">
        <v>250000.0</v>
      </c>
      <c r="I10" s="28" t="s">
        <v>22</v>
      </c>
      <c r="J10" s="28" t="s">
        <v>23</v>
      </c>
      <c r="K10" s="28" t="s">
        <v>24</v>
      </c>
      <c r="L10" s="28" t="s">
        <v>26</v>
      </c>
      <c r="M10" s="28" t="s">
        <v>27</v>
      </c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177</v>
      </c>
      <c r="D11" s="18" t="s">
        <v>20</v>
      </c>
      <c r="E11" s="20"/>
      <c r="F11" s="33">
        <v>46127.0</v>
      </c>
      <c r="G11" s="24"/>
      <c r="H11" s="26">
        <v>350000.0</v>
      </c>
      <c r="I11" s="28" t="s">
        <v>22</v>
      </c>
      <c r="J11" s="28" t="s">
        <v>23</v>
      </c>
      <c r="K11" s="28" t="s">
        <v>24</v>
      </c>
      <c r="L11" s="28" t="s">
        <v>26</v>
      </c>
      <c r="M11" s="28" t="s">
        <v>27</v>
      </c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210</v>
      </c>
      <c r="D12" s="18" t="s">
        <v>20</v>
      </c>
      <c r="E12" s="20"/>
      <c r="F12" s="33">
        <v>46127.0</v>
      </c>
      <c r="G12" s="24">
        <v>50000.0</v>
      </c>
      <c r="H12" s="26">
        <v>300000.0</v>
      </c>
      <c r="I12" s="28" t="s">
        <v>22</v>
      </c>
      <c r="J12" s="28" t="s">
        <v>23</v>
      </c>
      <c r="K12" s="28" t="s">
        <v>24</v>
      </c>
      <c r="L12" s="28" t="s">
        <v>26</v>
      </c>
      <c r="M12" s="28" t="s">
        <v>27</v>
      </c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212</v>
      </c>
      <c r="D13" s="18" t="s">
        <v>20</v>
      </c>
      <c r="E13" s="20"/>
      <c r="F13" s="33">
        <v>46127.0</v>
      </c>
      <c r="G13" s="24"/>
      <c r="H13" s="26">
        <v>310000.0</v>
      </c>
      <c r="I13" s="28" t="s">
        <v>22</v>
      </c>
      <c r="J13" s="28" t="s">
        <v>23</v>
      </c>
      <c r="K13" s="28" t="s">
        <v>23</v>
      </c>
      <c r="L13" s="28" t="s">
        <v>26</v>
      </c>
      <c r="M13" s="28" t="s">
        <v>27</v>
      </c>
      <c r="N13" s="31"/>
      <c r="O13" s="32"/>
      <c r="P13" s="32"/>
      <c r="Q13" s="1"/>
      <c r="R13" s="1"/>
    </row>
    <row r="14">
      <c r="A14" s="1"/>
      <c r="B14" s="38"/>
      <c r="C14" s="15" t="s">
        <v>201</v>
      </c>
      <c r="D14" s="18" t="s">
        <v>20</v>
      </c>
      <c r="E14" s="20"/>
      <c r="F14" s="33">
        <v>46127.0</v>
      </c>
      <c r="G14" s="24">
        <v>290000.0</v>
      </c>
      <c r="H14" s="37"/>
      <c r="I14" s="28" t="s">
        <v>22</v>
      </c>
      <c r="J14" s="28" t="s">
        <v>23</v>
      </c>
      <c r="K14" s="28" t="s">
        <v>23</v>
      </c>
      <c r="L14" s="28" t="s">
        <v>34</v>
      </c>
      <c r="M14" s="28" t="s">
        <v>27</v>
      </c>
      <c r="N14" s="31"/>
      <c r="O14" s="32"/>
      <c r="P14" s="32"/>
      <c r="Q14" s="1"/>
      <c r="R14" s="1"/>
    </row>
    <row r="15">
      <c r="A15" s="1"/>
      <c r="B15" s="38"/>
      <c r="C15" s="15" t="s">
        <v>192</v>
      </c>
      <c r="D15" s="18" t="s">
        <v>41</v>
      </c>
      <c r="E15" s="20"/>
      <c r="F15" s="33">
        <v>46127.0</v>
      </c>
      <c r="G15" s="24">
        <v>200000.0</v>
      </c>
      <c r="H15" s="37"/>
      <c r="I15" s="28" t="s">
        <v>22</v>
      </c>
      <c r="J15" s="28" t="s">
        <v>23</v>
      </c>
      <c r="K15" s="28" t="s">
        <v>24</v>
      </c>
      <c r="L15" s="28" t="s">
        <v>34</v>
      </c>
      <c r="M15" s="28" t="s">
        <v>27</v>
      </c>
      <c r="N15" s="31"/>
      <c r="O15" s="32"/>
      <c r="P15" s="32"/>
      <c r="Q15" s="1"/>
      <c r="R15" s="1"/>
    </row>
    <row r="16">
      <c r="A16" s="1"/>
      <c r="B16" s="38"/>
      <c r="C16" s="15" t="s">
        <v>213</v>
      </c>
      <c r="D16" s="18" t="s">
        <v>20</v>
      </c>
      <c r="E16" s="20"/>
      <c r="F16" s="33">
        <v>46127.0</v>
      </c>
      <c r="G16" s="24">
        <v>270000.0</v>
      </c>
      <c r="H16" s="37"/>
      <c r="I16" s="28" t="s">
        <v>22</v>
      </c>
      <c r="J16" s="28" t="s">
        <v>23</v>
      </c>
      <c r="K16" s="28" t="s">
        <v>24</v>
      </c>
      <c r="L16" s="28" t="s">
        <v>34</v>
      </c>
      <c r="M16" s="28" t="s">
        <v>27</v>
      </c>
      <c r="N16" s="31"/>
      <c r="O16" s="32"/>
      <c r="P16" s="32"/>
      <c r="Q16" s="1"/>
      <c r="R16" s="1"/>
    </row>
    <row r="17">
      <c r="A17" s="1"/>
      <c r="B17" s="38"/>
      <c r="C17" s="15" t="s">
        <v>214</v>
      </c>
      <c r="D17" s="18" t="s">
        <v>60</v>
      </c>
      <c r="E17" s="20"/>
      <c r="F17" s="33">
        <v>46128.0</v>
      </c>
      <c r="G17" s="24"/>
      <c r="H17" s="26">
        <v>100000.0</v>
      </c>
      <c r="I17" s="28" t="s">
        <v>31</v>
      </c>
      <c r="J17" s="28"/>
      <c r="K17" s="28"/>
      <c r="L17" s="28" t="s">
        <v>34</v>
      </c>
      <c r="M17" s="35"/>
      <c r="N17" s="31"/>
      <c r="O17" s="32"/>
      <c r="P17" s="32"/>
      <c r="Q17" s="1"/>
      <c r="R17" s="1"/>
    </row>
    <row r="18">
      <c r="A18" s="1"/>
      <c r="B18" s="38"/>
      <c r="C18" s="15" t="s">
        <v>198</v>
      </c>
      <c r="D18" s="18" t="s">
        <v>45</v>
      </c>
      <c r="E18" s="20"/>
      <c r="F18" s="33">
        <v>46128.0</v>
      </c>
      <c r="G18" s="24">
        <v>250000.0</v>
      </c>
      <c r="H18" s="37"/>
      <c r="I18" s="28" t="s">
        <v>22</v>
      </c>
      <c r="J18" s="28" t="s">
        <v>23</v>
      </c>
      <c r="K18" s="28" t="s">
        <v>24</v>
      </c>
      <c r="L18" s="28" t="s">
        <v>34</v>
      </c>
      <c r="M18" s="28" t="s">
        <v>27</v>
      </c>
      <c r="N18" s="31"/>
      <c r="O18" s="32"/>
      <c r="P18" s="32"/>
      <c r="Q18" s="1"/>
      <c r="R18" s="1"/>
    </row>
    <row r="19">
      <c r="A19" s="1"/>
      <c r="B19" s="38"/>
      <c r="C19" s="15" t="s">
        <v>216</v>
      </c>
      <c r="D19" s="18" t="s">
        <v>108</v>
      </c>
      <c r="E19" s="20"/>
      <c r="F19" s="14" t="s">
        <v>217</v>
      </c>
      <c r="G19" s="24"/>
      <c r="H19" s="26">
        <v>20000.0</v>
      </c>
      <c r="I19" s="28" t="s">
        <v>22</v>
      </c>
      <c r="J19" s="28"/>
      <c r="K19" s="28"/>
      <c r="L19" s="28" t="s">
        <v>34</v>
      </c>
      <c r="M19" s="35"/>
      <c r="N19" s="31"/>
      <c r="O19" s="32"/>
      <c r="P19" s="32"/>
      <c r="Q19" s="1"/>
      <c r="R19" s="1"/>
    </row>
    <row r="20">
      <c r="A20" s="1"/>
      <c r="B20" s="38"/>
      <c r="C20" s="15" t="s">
        <v>155</v>
      </c>
      <c r="D20" s="18" t="s">
        <v>20</v>
      </c>
      <c r="E20" s="20"/>
      <c r="F20" s="33">
        <v>46127.0</v>
      </c>
      <c r="G20" s="24">
        <v>250000.0</v>
      </c>
      <c r="H20" s="37"/>
      <c r="I20" s="28" t="s">
        <v>22</v>
      </c>
      <c r="J20" s="28" t="s">
        <v>23</v>
      </c>
      <c r="K20" s="28" t="s">
        <v>23</v>
      </c>
      <c r="L20" s="28" t="s">
        <v>34</v>
      </c>
      <c r="M20" s="28" t="s">
        <v>27</v>
      </c>
      <c r="N20" s="31"/>
      <c r="O20" s="32"/>
      <c r="P20" s="32"/>
      <c r="Q20" s="1"/>
      <c r="R20" s="1"/>
    </row>
    <row r="21">
      <c r="A21" s="1"/>
      <c r="B21" s="38"/>
      <c r="C21" s="15" t="s">
        <v>202</v>
      </c>
      <c r="D21" s="18" t="s">
        <v>41</v>
      </c>
      <c r="E21" s="20" t="s">
        <v>218</v>
      </c>
      <c r="F21" s="33">
        <v>46127.0</v>
      </c>
      <c r="G21" s="24"/>
      <c r="H21" s="26">
        <v>50000.0</v>
      </c>
      <c r="I21" s="28" t="s">
        <v>22</v>
      </c>
      <c r="J21" s="28" t="s">
        <v>23</v>
      </c>
      <c r="K21" s="28" t="s">
        <v>24</v>
      </c>
      <c r="L21" s="28" t="s">
        <v>34</v>
      </c>
      <c r="M21" s="28" t="s">
        <v>27</v>
      </c>
      <c r="N21" s="31"/>
      <c r="O21" s="32"/>
      <c r="P21" s="32"/>
      <c r="Q21" s="1"/>
      <c r="R21" s="1"/>
    </row>
    <row r="22">
      <c r="A22" s="1"/>
      <c r="B22" s="38"/>
      <c r="C22" s="40"/>
      <c r="D22" s="18"/>
      <c r="E22" s="20"/>
      <c r="F22" s="38"/>
      <c r="G22" s="34"/>
      <c r="H22" s="37"/>
      <c r="I22" s="35"/>
      <c r="J22" s="35"/>
      <c r="K22" s="35"/>
      <c r="L22" s="35"/>
      <c r="M22" s="35"/>
      <c r="N22" s="41"/>
      <c r="O22" s="41"/>
      <c r="P22" s="41"/>
      <c r="Q22" s="1"/>
      <c r="R22" s="1"/>
    </row>
    <row r="23" ht="18.75" customHeight="1">
      <c r="A23" s="1"/>
      <c r="B23" s="1"/>
      <c r="C23" s="2"/>
      <c r="D23" s="2"/>
      <c r="E23" s="1"/>
      <c r="F23" s="1"/>
      <c r="G23" s="42">
        <f t="shared" ref="G23:H23" si="1">SUM(G4:G22)</f>
        <v>1580000</v>
      </c>
      <c r="H23" s="43">
        <f t="shared" si="1"/>
        <v>2780000</v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ht="23.25" customHeight="1">
      <c r="A24" s="1"/>
      <c r="B24" s="1"/>
      <c r="C24" s="2"/>
      <c r="D24" s="2"/>
      <c r="E24" s="1"/>
      <c r="F24" s="1"/>
      <c r="G24" s="1"/>
      <c r="H24" s="1"/>
      <c r="I24" s="46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1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>
      <c r="A26" s="1"/>
      <c r="B26" s="44" t="s">
        <v>0</v>
      </c>
      <c r="C26" s="45" t="s">
        <v>6</v>
      </c>
      <c r="D26" s="45" t="s">
        <v>82</v>
      </c>
      <c r="E26" s="46"/>
      <c r="F26" s="1"/>
      <c r="G26" s="1"/>
      <c r="H26" s="1"/>
      <c r="I26" s="1"/>
      <c r="J26" s="1"/>
      <c r="K26" s="1"/>
      <c r="L26" s="1"/>
      <c r="M26" s="1"/>
      <c r="N26" s="45" t="s">
        <v>84</v>
      </c>
      <c r="O26" s="45" t="s">
        <v>1</v>
      </c>
      <c r="P26" s="1"/>
      <c r="Q26" s="1"/>
      <c r="R26" s="1"/>
    </row>
    <row r="27">
      <c r="A27" s="1"/>
      <c r="B27" s="47">
        <v>1.0</v>
      </c>
      <c r="C27" s="48" t="s">
        <v>86</v>
      </c>
      <c r="D27" s="49">
        <f>SUM(G23)</f>
        <v>1580000</v>
      </c>
      <c r="E27" s="50"/>
      <c r="F27" s="1"/>
      <c r="G27" s="1"/>
      <c r="H27" s="1"/>
      <c r="I27" s="1"/>
      <c r="J27" s="1"/>
      <c r="K27" s="1"/>
      <c r="L27" s="1"/>
      <c r="M27" s="1"/>
      <c r="N27" s="51" t="s">
        <v>88</v>
      </c>
      <c r="O27" s="29" t="s">
        <v>26</v>
      </c>
      <c r="P27" s="1"/>
      <c r="Q27" s="1"/>
      <c r="R27" s="1"/>
    </row>
    <row r="28">
      <c r="A28" s="1"/>
      <c r="B28" s="52">
        <v>2.0</v>
      </c>
      <c r="C28" s="53" t="s">
        <v>106</v>
      </c>
      <c r="D28" s="54">
        <v>-80000.0</v>
      </c>
      <c r="E28" s="55"/>
      <c r="F28" s="1"/>
      <c r="G28" s="1"/>
      <c r="H28" s="1"/>
      <c r="I28" s="1"/>
      <c r="J28" s="1"/>
      <c r="K28" s="1"/>
      <c r="L28" s="1"/>
      <c r="M28" s="1"/>
      <c r="N28" s="56" t="s">
        <v>94</v>
      </c>
      <c r="O28" s="57" t="s">
        <v>34</v>
      </c>
      <c r="P28" s="1"/>
      <c r="Q28" s="1"/>
      <c r="R28" s="1"/>
    </row>
    <row r="29">
      <c r="A29" s="1"/>
      <c r="B29" s="47">
        <v>3.0</v>
      </c>
      <c r="C29" s="48" t="s">
        <v>96</v>
      </c>
      <c r="D29" s="58">
        <v>-25000.0</v>
      </c>
      <c r="E29" s="55"/>
      <c r="F29" s="1"/>
      <c r="G29" s="1"/>
      <c r="H29" s="1"/>
      <c r="I29" s="1"/>
      <c r="J29" s="1"/>
      <c r="K29" s="1"/>
      <c r="L29" s="1"/>
      <c r="M29" s="1"/>
      <c r="N29" s="59" t="s">
        <v>98</v>
      </c>
      <c r="O29" s="31" t="s">
        <v>27</v>
      </c>
      <c r="P29" s="1"/>
      <c r="Q29" s="1"/>
      <c r="R29" s="1"/>
    </row>
    <row r="30">
      <c r="A30" s="1"/>
      <c r="B30" s="52">
        <v>4.0</v>
      </c>
      <c r="C30" s="53"/>
      <c r="D30" s="54"/>
      <c r="E30" s="55"/>
      <c r="F30" s="1"/>
      <c r="G30" s="1"/>
      <c r="H30" s="1"/>
      <c r="I30" s="1"/>
      <c r="J30" s="1"/>
      <c r="K30" s="1"/>
      <c r="L30" s="1"/>
      <c r="M30" s="1"/>
      <c r="N30" s="60" t="s">
        <v>100</v>
      </c>
      <c r="O30" s="57" t="s">
        <v>27</v>
      </c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6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47"/>
      <c r="C33" s="62"/>
      <c r="D33" s="49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52"/>
      <c r="C34" s="63"/>
      <c r="D34" s="64"/>
      <c r="E34" s="5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47"/>
      <c r="C35" s="62"/>
      <c r="D35" s="49"/>
      <c r="E35" s="5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52"/>
      <c r="C36" s="63"/>
      <c r="D36" s="64"/>
      <c r="E36" s="5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65"/>
      <c r="C37" s="66"/>
      <c r="D37" s="67"/>
      <c r="E37" s="5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68">
        <f>SUM(D27:D37)</f>
        <v>1475000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>
      <c r="A42" s="1"/>
      <c r="B42" s="1"/>
      <c r="C42" s="2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2 O27:O28">
      <formula1>"-,JIJANG,AXEL,ADDEL ,FAHME,INDAH"</formula1>
    </dataValidation>
    <dataValidation type="list" allowBlank="1" showErrorMessage="1" sqref="N4:N22">
      <formula1>"-,Pending,Progress,Uploaded"</formula1>
    </dataValidation>
    <dataValidation type="list" allowBlank="1" showErrorMessage="1" sqref="O4:O22">
      <formula1>"-,In Pikako,In Foxe"</formula1>
    </dataValidation>
    <dataValidation type="list" allowBlank="1" showDropDown="1" showErrorMessage="1" sqref="D4:D22">
      <formula1>"-,Single,Couple A,Couple B,Group A,Group B,Group C,Large Group,Graduation,Graduation Premium,Family A,Family B,Maternity,Concept,Studio Rent,Pas Foto,Single,Add Person ,Add Edit,Photofox ,Packing"</formula1>
    </dataValidation>
    <dataValidation type="list" allowBlank="1" showDropDown="1" showErrorMessage="1" sqref="I4:I22">
      <formula1>"-,DP,Lunas"</formula1>
    </dataValidation>
    <dataValidation type="list" allowBlank="1" showDropDown="1" showErrorMessage="1" sqref="J4:K22">
      <formula1>"-,Pending,Uploaded"</formula1>
    </dataValidation>
    <dataValidation type="list" allowBlank="1" showDropDown="1" showErrorMessage="1" sqref="M4:M22 O29:O30">
      <formula1>"-,VERO,FADEL,PENTIL,FAHME,ADIF,HANIF"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215</v>
      </c>
      <c r="D4" s="18" t="s">
        <v>28</v>
      </c>
      <c r="E4" s="20"/>
      <c r="F4" s="22">
        <v>46128.0</v>
      </c>
      <c r="G4" s="24"/>
      <c r="H4" s="26">
        <v>100000.0</v>
      </c>
      <c r="I4" s="28" t="s">
        <v>31</v>
      </c>
      <c r="J4" s="28"/>
      <c r="K4" s="28"/>
      <c r="L4" s="28" t="s">
        <v>34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219</v>
      </c>
      <c r="D5" s="18" t="s">
        <v>28</v>
      </c>
      <c r="E5" s="20"/>
      <c r="F5" s="22">
        <v>46130.0</v>
      </c>
      <c r="G5" s="24"/>
      <c r="H5" s="26">
        <v>100000.0</v>
      </c>
      <c r="I5" s="28" t="s">
        <v>31</v>
      </c>
      <c r="J5" s="28"/>
      <c r="K5" s="28"/>
      <c r="L5" s="28" t="s">
        <v>34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160</v>
      </c>
      <c r="D6" s="18" t="s">
        <v>20</v>
      </c>
      <c r="E6" s="20"/>
      <c r="F6" s="33">
        <v>46128.0</v>
      </c>
      <c r="G6" s="34"/>
      <c r="H6" s="26">
        <v>250000.0</v>
      </c>
      <c r="I6" s="28" t="s">
        <v>22</v>
      </c>
      <c r="J6" s="28" t="s">
        <v>23</v>
      </c>
      <c r="K6" s="28" t="s">
        <v>24</v>
      </c>
      <c r="L6" s="28" t="s">
        <v>34</v>
      </c>
      <c r="M6" s="28" t="s">
        <v>52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220</v>
      </c>
      <c r="D7" s="18" t="s">
        <v>28</v>
      </c>
      <c r="E7" s="20"/>
      <c r="F7" s="33">
        <v>46128.0</v>
      </c>
      <c r="G7" s="24">
        <v>75000.0</v>
      </c>
      <c r="H7" s="37"/>
      <c r="I7" s="28" t="s">
        <v>22</v>
      </c>
      <c r="J7" s="28" t="s">
        <v>23</v>
      </c>
      <c r="K7" s="28" t="s">
        <v>23</v>
      </c>
      <c r="L7" s="28" t="s">
        <v>34</v>
      </c>
      <c r="M7" s="28" t="s">
        <v>52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208</v>
      </c>
      <c r="D8" s="18" t="s">
        <v>20</v>
      </c>
      <c r="E8" s="20"/>
      <c r="F8" s="33">
        <v>46128.0</v>
      </c>
      <c r="G8" s="24">
        <v>200000.0</v>
      </c>
      <c r="H8" s="26">
        <v>50000.0</v>
      </c>
      <c r="I8" s="28" t="s">
        <v>22</v>
      </c>
      <c r="J8" s="28" t="s">
        <v>23</v>
      </c>
      <c r="K8" s="28" t="s">
        <v>23</v>
      </c>
      <c r="L8" s="28" t="s">
        <v>34</v>
      </c>
      <c r="M8" s="28" t="s">
        <v>52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221</v>
      </c>
      <c r="D9" s="18" t="s">
        <v>41</v>
      </c>
      <c r="E9" s="20"/>
      <c r="F9" s="33">
        <v>46128.0</v>
      </c>
      <c r="G9" s="24"/>
      <c r="H9" s="26">
        <v>150000.0</v>
      </c>
      <c r="I9" s="28" t="s">
        <v>22</v>
      </c>
      <c r="J9" s="28" t="s">
        <v>23</v>
      </c>
      <c r="K9" s="28" t="s">
        <v>24</v>
      </c>
      <c r="L9" s="28" t="s">
        <v>34</v>
      </c>
      <c r="M9" s="28" t="s">
        <v>52</v>
      </c>
      <c r="N9" s="31"/>
      <c r="O9" s="32"/>
      <c r="P9" s="32"/>
      <c r="Q9" s="1"/>
      <c r="R9" s="1"/>
    </row>
    <row r="10">
      <c r="A10" s="1"/>
      <c r="B10" s="14">
        <v>7.0</v>
      </c>
      <c r="C10" s="15" t="s">
        <v>214</v>
      </c>
      <c r="D10" s="18" t="s">
        <v>75</v>
      </c>
      <c r="E10" s="20"/>
      <c r="F10" s="33">
        <v>46128.0</v>
      </c>
      <c r="G10" s="24">
        <v>100000.0</v>
      </c>
      <c r="H10" s="37"/>
      <c r="I10" s="28" t="s">
        <v>22</v>
      </c>
      <c r="J10" s="28" t="s">
        <v>23</v>
      </c>
      <c r="K10" s="28" t="s">
        <v>23</v>
      </c>
      <c r="L10" s="28" t="s">
        <v>34</v>
      </c>
      <c r="M10" s="28" t="s">
        <v>52</v>
      </c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222</v>
      </c>
      <c r="D11" s="18" t="s">
        <v>79</v>
      </c>
      <c r="E11" s="20"/>
      <c r="F11" s="33">
        <v>46128.0</v>
      </c>
      <c r="G11" s="24">
        <v>500000.0</v>
      </c>
      <c r="H11" s="37"/>
      <c r="I11" s="28" t="s">
        <v>22</v>
      </c>
      <c r="J11" s="28" t="s">
        <v>23</v>
      </c>
      <c r="K11" s="28" t="s">
        <v>24</v>
      </c>
      <c r="L11" s="28" t="s">
        <v>34</v>
      </c>
      <c r="M11" s="28" t="s">
        <v>52</v>
      </c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223</v>
      </c>
      <c r="D12" s="18" t="s">
        <v>20</v>
      </c>
      <c r="E12" s="20"/>
      <c r="F12" s="33">
        <v>46128.0</v>
      </c>
      <c r="G12" s="24"/>
      <c r="H12" s="26">
        <v>270000.0</v>
      </c>
      <c r="I12" s="28" t="s">
        <v>22</v>
      </c>
      <c r="J12" s="28" t="s">
        <v>23</v>
      </c>
      <c r="K12" s="28" t="s">
        <v>24</v>
      </c>
      <c r="L12" s="28" t="s">
        <v>34</v>
      </c>
      <c r="M12" s="28" t="s">
        <v>52</v>
      </c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225</v>
      </c>
      <c r="D13" s="18" t="s">
        <v>28</v>
      </c>
      <c r="E13" s="20"/>
      <c r="F13" s="33">
        <v>46128.0</v>
      </c>
      <c r="G13" s="24"/>
      <c r="H13" s="26">
        <v>100000.0</v>
      </c>
      <c r="I13" s="28" t="s">
        <v>31</v>
      </c>
      <c r="J13" s="28"/>
      <c r="K13" s="28"/>
      <c r="L13" s="28" t="s">
        <v>26</v>
      </c>
      <c r="M13" s="35"/>
      <c r="N13" s="31"/>
      <c r="O13" s="32"/>
      <c r="P13" s="32"/>
      <c r="Q13" s="1"/>
      <c r="R13" s="1"/>
    </row>
    <row r="14">
      <c r="A14" s="1"/>
      <c r="B14" s="38"/>
      <c r="C14" s="15" t="s">
        <v>215</v>
      </c>
      <c r="D14" s="18" t="s">
        <v>28</v>
      </c>
      <c r="E14" s="20"/>
      <c r="F14" s="33">
        <v>46128.0</v>
      </c>
      <c r="G14" s="24"/>
      <c r="H14" s="26">
        <v>100000.0</v>
      </c>
      <c r="I14" s="28" t="s">
        <v>22</v>
      </c>
      <c r="J14" s="28" t="s">
        <v>23</v>
      </c>
      <c r="K14" s="28" t="s">
        <v>23</v>
      </c>
      <c r="L14" s="28" t="s">
        <v>26</v>
      </c>
      <c r="M14" s="28" t="s">
        <v>38</v>
      </c>
      <c r="N14" s="31"/>
      <c r="O14" s="32"/>
      <c r="P14" s="32"/>
      <c r="Q14" s="1"/>
      <c r="R14" s="1"/>
    </row>
    <row r="15">
      <c r="A15" s="1"/>
      <c r="B15" s="38"/>
      <c r="C15" s="15" t="s">
        <v>226</v>
      </c>
      <c r="D15" s="18" t="s">
        <v>28</v>
      </c>
      <c r="E15" s="20"/>
      <c r="F15" s="33">
        <v>46128.0</v>
      </c>
      <c r="G15" s="24"/>
      <c r="H15" s="26">
        <v>100000.0</v>
      </c>
      <c r="I15" s="28" t="s">
        <v>22</v>
      </c>
      <c r="J15" s="28" t="s">
        <v>23</v>
      </c>
      <c r="K15" s="28" t="s">
        <v>23</v>
      </c>
      <c r="L15" s="28" t="s">
        <v>26</v>
      </c>
      <c r="M15" s="28" t="s">
        <v>38</v>
      </c>
      <c r="N15" s="31"/>
      <c r="O15" s="32"/>
      <c r="P15" s="32"/>
      <c r="Q15" s="1"/>
      <c r="R15" s="1"/>
    </row>
    <row r="16">
      <c r="A16" s="1"/>
      <c r="B16" s="38"/>
      <c r="C16" s="15" t="s">
        <v>227</v>
      </c>
      <c r="D16" s="18" t="s">
        <v>28</v>
      </c>
      <c r="E16" s="20"/>
      <c r="F16" s="33">
        <v>46135.0</v>
      </c>
      <c r="G16" s="24"/>
      <c r="H16" s="26">
        <v>175000.0</v>
      </c>
      <c r="I16" s="28" t="s">
        <v>22</v>
      </c>
      <c r="J16" s="28"/>
      <c r="K16" s="28"/>
      <c r="L16" s="28" t="s">
        <v>26</v>
      </c>
      <c r="M16" s="35"/>
      <c r="N16" s="31"/>
      <c r="O16" s="32"/>
      <c r="P16" s="32"/>
      <c r="Q16" s="1"/>
      <c r="R16" s="1"/>
    </row>
    <row r="17">
      <c r="A17" s="1"/>
      <c r="B17" s="38"/>
      <c r="C17" s="15" t="s">
        <v>228</v>
      </c>
      <c r="D17" s="18" t="s">
        <v>20</v>
      </c>
      <c r="E17" s="20"/>
      <c r="F17" s="33">
        <v>46128.0</v>
      </c>
      <c r="G17" s="24">
        <v>370000.0</v>
      </c>
      <c r="H17" s="37"/>
      <c r="I17" s="28" t="s">
        <v>22</v>
      </c>
      <c r="J17" s="28" t="s">
        <v>23</v>
      </c>
      <c r="K17" s="28" t="s">
        <v>23</v>
      </c>
      <c r="L17" s="28" t="s">
        <v>26</v>
      </c>
      <c r="M17" s="28" t="s">
        <v>38</v>
      </c>
      <c r="N17" s="31"/>
      <c r="O17" s="32"/>
      <c r="P17" s="32"/>
      <c r="Q17" s="1"/>
      <c r="R17" s="1"/>
    </row>
    <row r="18">
      <c r="A18" s="1"/>
      <c r="B18" s="38"/>
      <c r="C18" s="15" t="s">
        <v>229</v>
      </c>
      <c r="D18" s="18" t="s">
        <v>20</v>
      </c>
      <c r="E18" s="20"/>
      <c r="F18" s="14" t="s">
        <v>230</v>
      </c>
      <c r="G18" s="24"/>
      <c r="H18" s="26">
        <v>100000.0</v>
      </c>
      <c r="I18" s="28" t="s">
        <v>31</v>
      </c>
      <c r="J18" s="28"/>
      <c r="K18" s="28"/>
      <c r="L18" s="28" t="s">
        <v>26</v>
      </c>
      <c r="M18" s="35"/>
      <c r="N18" s="31"/>
      <c r="O18" s="32"/>
      <c r="P18" s="32"/>
      <c r="Q18" s="1"/>
      <c r="R18" s="1"/>
    </row>
    <row r="19">
      <c r="A19" s="1"/>
      <c r="B19" s="38"/>
      <c r="C19" s="15" t="s">
        <v>232</v>
      </c>
      <c r="D19" s="18" t="s">
        <v>28</v>
      </c>
      <c r="E19" s="20"/>
      <c r="F19" s="33">
        <v>46128.0</v>
      </c>
      <c r="G19" s="24">
        <v>250000.0</v>
      </c>
      <c r="H19" s="37"/>
      <c r="I19" s="28" t="s">
        <v>22</v>
      </c>
      <c r="J19" s="28" t="s">
        <v>23</v>
      </c>
      <c r="K19" s="28" t="s">
        <v>24</v>
      </c>
      <c r="L19" s="28" t="s">
        <v>26</v>
      </c>
      <c r="M19" s="28" t="s">
        <v>38</v>
      </c>
      <c r="N19" s="31"/>
      <c r="O19" s="32"/>
      <c r="P19" s="32"/>
      <c r="Q19" s="1"/>
      <c r="R19" s="1"/>
    </row>
    <row r="20">
      <c r="A20" s="1"/>
      <c r="B20" s="38"/>
      <c r="C20" s="40"/>
      <c r="D20" s="18"/>
      <c r="E20" s="20"/>
      <c r="F20" s="38"/>
      <c r="G20" s="34"/>
      <c r="H20" s="37"/>
      <c r="I20" s="35"/>
      <c r="J20" s="35"/>
      <c r="K20" s="35"/>
      <c r="L20" s="35"/>
      <c r="M20" s="35"/>
      <c r="N20" s="32"/>
      <c r="O20" s="32"/>
      <c r="P20" s="32"/>
      <c r="Q20" s="1"/>
      <c r="R20" s="1"/>
    </row>
    <row r="21">
      <c r="A21" s="1"/>
      <c r="B21" s="38"/>
      <c r="C21" s="40"/>
      <c r="D21" s="18"/>
      <c r="E21" s="20"/>
      <c r="F21" s="38"/>
      <c r="G21" s="34"/>
      <c r="H21" s="37"/>
      <c r="I21" s="35"/>
      <c r="J21" s="35"/>
      <c r="K21" s="35"/>
      <c r="L21" s="35"/>
      <c r="M21" s="35"/>
      <c r="N21" s="41"/>
      <c r="O21" s="41"/>
      <c r="P21" s="41"/>
      <c r="Q21" s="1"/>
      <c r="R21" s="1"/>
    </row>
    <row r="22" ht="18.75" customHeight="1">
      <c r="A22" s="1"/>
      <c r="B22" s="1"/>
      <c r="C22" s="2"/>
      <c r="D22" s="2"/>
      <c r="E22" s="1"/>
      <c r="F22" s="1"/>
      <c r="G22" s="42">
        <f t="shared" ref="G22:H22" si="1">SUM(G4:G21)</f>
        <v>1495000</v>
      </c>
      <c r="H22" s="43">
        <f t="shared" si="1"/>
        <v>1495000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23.25" customHeight="1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44" t="s">
        <v>0</v>
      </c>
      <c r="C25" s="45" t="s">
        <v>6</v>
      </c>
      <c r="D25" s="45" t="s">
        <v>82</v>
      </c>
      <c r="E25" s="46"/>
      <c r="F25" s="1"/>
      <c r="G25" s="1"/>
      <c r="H25" s="1"/>
      <c r="I25" s="1"/>
      <c r="J25" s="1"/>
      <c r="K25" s="1"/>
      <c r="L25" s="1"/>
      <c r="M25" s="1"/>
      <c r="N25" s="45" t="s">
        <v>84</v>
      </c>
      <c r="O25" s="45" t="s">
        <v>1</v>
      </c>
      <c r="P25" s="1"/>
      <c r="Q25" s="1"/>
      <c r="R25" s="1"/>
    </row>
    <row r="26">
      <c r="A26" s="1"/>
      <c r="B26" s="47">
        <v>1.0</v>
      </c>
      <c r="C26" s="48" t="s">
        <v>86</v>
      </c>
      <c r="D26" s="49">
        <f>SUM(G22)</f>
        <v>1495000</v>
      </c>
      <c r="E26" s="50"/>
      <c r="F26" s="1"/>
      <c r="G26" s="1"/>
      <c r="H26" s="1"/>
      <c r="I26" s="1"/>
      <c r="J26" s="1"/>
      <c r="K26" s="1"/>
      <c r="L26" s="1"/>
      <c r="M26" s="1"/>
      <c r="N26" s="51" t="s">
        <v>88</v>
      </c>
      <c r="O26" s="29" t="s">
        <v>34</v>
      </c>
      <c r="P26" s="1"/>
      <c r="Q26" s="1"/>
      <c r="R26" s="1"/>
    </row>
    <row r="27">
      <c r="A27" s="1"/>
      <c r="B27" s="52">
        <v>2.0</v>
      </c>
      <c r="C27" s="53" t="s">
        <v>102</v>
      </c>
      <c r="D27" s="54">
        <v>-75000.0</v>
      </c>
      <c r="E27" s="55"/>
      <c r="F27" s="1"/>
      <c r="G27" s="1"/>
      <c r="H27" s="1"/>
      <c r="I27" s="1"/>
      <c r="J27" s="1"/>
      <c r="K27" s="1"/>
      <c r="L27" s="1"/>
      <c r="M27" s="1"/>
      <c r="N27" s="56" t="s">
        <v>94</v>
      </c>
      <c r="O27" s="57" t="s">
        <v>26</v>
      </c>
      <c r="P27" s="1"/>
      <c r="Q27" s="1"/>
      <c r="R27" s="1"/>
    </row>
    <row r="28">
      <c r="A28" s="1"/>
      <c r="B28" s="47">
        <v>3.0</v>
      </c>
      <c r="C28" s="48" t="s">
        <v>106</v>
      </c>
      <c r="D28" s="58">
        <v>-100000.0</v>
      </c>
      <c r="E28" s="55"/>
      <c r="F28" s="1"/>
      <c r="G28" s="1"/>
      <c r="H28" s="1"/>
      <c r="I28" s="1"/>
      <c r="J28" s="1"/>
      <c r="K28" s="1"/>
      <c r="L28" s="1"/>
      <c r="M28" s="1"/>
      <c r="N28" s="59" t="s">
        <v>98</v>
      </c>
      <c r="O28" s="31" t="s">
        <v>52</v>
      </c>
      <c r="P28" s="1"/>
      <c r="Q28" s="1"/>
      <c r="R28" s="1"/>
    </row>
    <row r="29">
      <c r="A29" s="1"/>
      <c r="B29" s="52">
        <v>4.0</v>
      </c>
      <c r="C29" s="53" t="s">
        <v>118</v>
      </c>
      <c r="D29" s="54">
        <v>-70000.0</v>
      </c>
      <c r="E29" s="55"/>
      <c r="F29" s="1"/>
      <c r="G29" s="1"/>
      <c r="H29" s="1"/>
      <c r="I29" s="1"/>
      <c r="J29" s="1"/>
      <c r="K29" s="1"/>
      <c r="L29" s="1"/>
      <c r="M29" s="1"/>
      <c r="N29" s="60" t="s">
        <v>100</v>
      </c>
      <c r="O29" s="57" t="s">
        <v>38</v>
      </c>
      <c r="P29" s="1"/>
      <c r="Q29" s="1"/>
      <c r="R29" s="1"/>
    </row>
    <row r="30">
      <c r="A30" s="1"/>
      <c r="B30" s="47"/>
      <c r="C30" s="48" t="s">
        <v>139</v>
      </c>
      <c r="D30" s="58">
        <v>-50000.0</v>
      </c>
      <c r="E30" s="50"/>
      <c r="F30" s="1"/>
      <c r="G30" s="1"/>
      <c r="H30" s="1"/>
      <c r="I30" s="1"/>
      <c r="J30" s="1"/>
      <c r="K30" s="1"/>
      <c r="L30" s="1"/>
      <c r="M30" s="1"/>
      <c r="N30" s="61"/>
      <c r="O30" s="1"/>
      <c r="P30" s="1"/>
      <c r="Q30" s="1"/>
      <c r="R30" s="1"/>
    </row>
    <row r="31">
      <c r="A31" s="1"/>
      <c r="B31" s="52"/>
      <c r="C31" s="63"/>
      <c r="D31" s="64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7"/>
      <c r="C32" s="62"/>
      <c r="D32" s="49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2"/>
      <c r="C33" s="63"/>
      <c r="D33" s="64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7"/>
      <c r="C34" s="62"/>
      <c r="D34" s="49"/>
      <c r="E34" s="5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52"/>
      <c r="C35" s="63"/>
      <c r="D35" s="64"/>
      <c r="E35" s="5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65"/>
      <c r="C36" s="66"/>
      <c r="D36" s="67"/>
      <c r="E36" s="5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68">
        <f>SUM(D26:D36)</f>
        <v>1200000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1 O26:O27">
      <formula1>"-,JIJANG,ADDEL ,PENTIL,FAHME,INDAH"</formula1>
    </dataValidation>
    <dataValidation type="list" allowBlank="1" showErrorMessage="1" sqref="N4:N21">
      <formula1>"-,Pending,Progress,Uploaded"</formula1>
    </dataValidation>
    <dataValidation type="list" allowBlank="1" showErrorMessage="1" sqref="O4:O21">
      <formula1>"-,In Pikako,In Foxe"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1">
      <formula1>"-,DP,Lunas"</formula1>
    </dataValidation>
    <dataValidation type="list" allowBlank="1" showDropDown="1" showErrorMessage="1" sqref="J4:K21">
      <formula1>"-,Pending,Uploaded"</formula1>
    </dataValidation>
    <dataValidation type="list" allowBlank="1" showDropDown="1" showErrorMessage="1" sqref="M4:M21 O28:O29">
      <formula1>"-,VERO,FADEL,PENTIL,HANIF ,ADIF"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26.5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224</v>
      </c>
      <c r="D4" s="18" t="s">
        <v>28</v>
      </c>
      <c r="E4" s="20"/>
      <c r="F4" s="22">
        <v>46131.0</v>
      </c>
      <c r="G4" s="24"/>
      <c r="H4" s="26">
        <v>100000.0</v>
      </c>
      <c r="I4" s="28" t="s">
        <v>31</v>
      </c>
      <c r="J4" s="28"/>
      <c r="K4" s="28"/>
      <c r="L4" s="28" t="s">
        <v>34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231</v>
      </c>
      <c r="D5" s="18" t="s">
        <v>28</v>
      </c>
      <c r="E5" s="20"/>
      <c r="F5" s="22">
        <v>46134.0</v>
      </c>
      <c r="G5" s="24"/>
      <c r="H5" s="26">
        <v>100000.0</v>
      </c>
      <c r="I5" s="28" t="s">
        <v>31</v>
      </c>
      <c r="J5" s="28"/>
      <c r="K5" s="28"/>
      <c r="L5" s="28" t="s">
        <v>34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233</v>
      </c>
      <c r="D6" s="18" t="s">
        <v>20</v>
      </c>
      <c r="E6" s="20"/>
      <c r="F6" s="14" t="s">
        <v>234</v>
      </c>
      <c r="G6" s="34"/>
      <c r="H6" s="26">
        <v>100000.0</v>
      </c>
      <c r="I6" s="28" t="s">
        <v>31</v>
      </c>
      <c r="J6" s="28"/>
      <c r="K6" s="28"/>
      <c r="L6" s="28" t="s">
        <v>34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235</v>
      </c>
      <c r="D7" s="18" t="s">
        <v>179</v>
      </c>
      <c r="E7" s="20"/>
      <c r="F7" s="33">
        <v>46129.0</v>
      </c>
      <c r="G7" s="24"/>
      <c r="H7" s="26">
        <v>1600000.0</v>
      </c>
      <c r="I7" s="28" t="s">
        <v>22</v>
      </c>
      <c r="J7" s="28" t="s">
        <v>23</v>
      </c>
      <c r="K7" s="28" t="s">
        <v>24</v>
      </c>
      <c r="L7" s="28" t="s">
        <v>34</v>
      </c>
      <c r="M7" s="28" t="s">
        <v>52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236</v>
      </c>
      <c r="D8" s="18" t="s">
        <v>28</v>
      </c>
      <c r="E8" s="20"/>
      <c r="F8" s="33">
        <v>46130.0</v>
      </c>
      <c r="G8" s="24"/>
      <c r="H8" s="26">
        <v>100000.0</v>
      </c>
      <c r="I8" s="28" t="s">
        <v>31</v>
      </c>
      <c r="J8" s="28"/>
      <c r="K8" s="28"/>
      <c r="L8" s="28" t="s">
        <v>34</v>
      </c>
      <c r="M8" s="35"/>
      <c r="N8" s="31"/>
      <c r="O8" s="32"/>
      <c r="P8" s="32"/>
      <c r="Q8" s="1"/>
      <c r="R8" s="1"/>
    </row>
    <row r="9">
      <c r="A9" s="1"/>
      <c r="B9" s="14">
        <v>6.0</v>
      </c>
      <c r="C9" s="15" t="s">
        <v>237</v>
      </c>
      <c r="D9" s="18" t="s">
        <v>28</v>
      </c>
      <c r="E9" s="20"/>
      <c r="F9" s="33">
        <v>46129.0</v>
      </c>
      <c r="G9" s="24">
        <v>600000.0</v>
      </c>
      <c r="H9" s="37"/>
      <c r="I9" s="28" t="s">
        <v>22</v>
      </c>
      <c r="J9" s="28" t="s">
        <v>23</v>
      </c>
      <c r="K9" s="28" t="s">
        <v>23</v>
      </c>
      <c r="L9" s="28" t="s">
        <v>34</v>
      </c>
      <c r="M9" s="28" t="s">
        <v>52</v>
      </c>
      <c r="N9" s="31"/>
      <c r="O9" s="32"/>
      <c r="P9" s="32"/>
      <c r="Q9" s="1"/>
      <c r="R9" s="1"/>
    </row>
    <row r="10">
      <c r="A10" s="1"/>
      <c r="B10" s="14">
        <v>7.0</v>
      </c>
      <c r="C10" s="15" t="s">
        <v>239</v>
      </c>
      <c r="D10" s="18" t="s">
        <v>28</v>
      </c>
      <c r="E10" s="20"/>
      <c r="F10" s="33">
        <v>46130.0</v>
      </c>
      <c r="G10" s="24"/>
      <c r="H10" s="26">
        <v>100000.0</v>
      </c>
      <c r="I10" s="28" t="s">
        <v>31</v>
      </c>
      <c r="J10" s="28"/>
      <c r="K10" s="28"/>
      <c r="L10" s="28" t="s">
        <v>34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240</v>
      </c>
      <c r="D11" s="18" t="s">
        <v>45</v>
      </c>
      <c r="E11" s="20"/>
      <c r="F11" s="33">
        <v>46131.0</v>
      </c>
      <c r="G11" s="24"/>
      <c r="H11" s="26">
        <v>100000.0</v>
      </c>
      <c r="I11" s="28" t="s">
        <v>31</v>
      </c>
      <c r="J11" s="28"/>
      <c r="K11" s="28"/>
      <c r="L11" s="28" t="s">
        <v>34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242</v>
      </c>
      <c r="D12" s="18" t="s">
        <v>60</v>
      </c>
      <c r="E12" s="20"/>
      <c r="F12" s="14" t="s">
        <v>243</v>
      </c>
      <c r="G12" s="24"/>
      <c r="H12" s="26">
        <v>100000.0</v>
      </c>
      <c r="I12" s="28" t="s">
        <v>31</v>
      </c>
      <c r="J12" s="28"/>
      <c r="K12" s="28"/>
      <c r="L12" s="28" t="s">
        <v>34</v>
      </c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244</v>
      </c>
      <c r="D13" s="18" t="s">
        <v>28</v>
      </c>
      <c r="E13" s="20"/>
      <c r="F13" s="33">
        <v>46130.0</v>
      </c>
      <c r="G13" s="24"/>
      <c r="H13" s="26">
        <v>100000.0</v>
      </c>
      <c r="I13" s="28" t="s">
        <v>31</v>
      </c>
      <c r="J13" s="28"/>
      <c r="K13" s="28"/>
      <c r="L13" s="28" t="s">
        <v>34</v>
      </c>
      <c r="M13" s="35"/>
      <c r="N13" s="31"/>
      <c r="O13" s="32"/>
      <c r="P13" s="32"/>
      <c r="Q13" s="1"/>
      <c r="R13" s="1"/>
    </row>
    <row r="14">
      <c r="A14" s="1"/>
      <c r="B14" s="38"/>
      <c r="C14" s="15" t="s">
        <v>245</v>
      </c>
      <c r="D14" s="18" t="s">
        <v>28</v>
      </c>
      <c r="E14" s="20"/>
      <c r="F14" s="33">
        <v>46136.0</v>
      </c>
      <c r="G14" s="24"/>
      <c r="H14" s="26">
        <v>100000.0</v>
      </c>
      <c r="I14" s="28" t="s">
        <v>31</v>
      </c>
      <c r="J14" s="28"/>
      <c r="K14" s="28"/>
      <c r="L14" s="28" t="s">
        <v>34</v>
      </c>
      <c r="M14" s="35"/>
      <c r="N14" s="31"/>
      <c r="O14" s="32"/>
      <c r="P14" s="32"/>
      <c r="Q14" s="1"/>
      <c r="R14" s="1"/>
    </row>
    <row r="15">
      <c r="A15" s="1"/>
      <c r="B15" s="38"/>
      <c r="C15" s="15" t="s">
        <v>159</v>
      </c>
      <c r="D15" s="18" t="s">
        <v>54</v>
      </c>
      <c r="E15" s="20"/>
      <c r="F15" s="33">
        <v>46129.0</v>
      </c>
      <c r="G15" s="24"/>
      <c r="H15" s="26">
        <v>150000.0</v>
      </c>
      <c r="I15" s="28" t="s">
        <v>22</v>
      </c>
      <c r="J15" s="28" t="s">
        <v>23</v>
      </c>
      <c r="K15" s="28" t="s">
        <v>24</v>
      </c>
      <c r="L15" s="28" t="s">
        <v>34</v>
      </c>
      <c r="M15" s="28" t="s">
        <v>120</v>
      </c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600000</v>
      </c>
      <c r="H19" s="43">
        <f t="shared" si="1"/>
        <v>2650000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600000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34</v>
      </c>
      <c r="P23" s="1"/>
      <c r="Q23" s="1"/>
      <c r="R23" s="1"/>
    </row>
    <row r="24">
      <c r="A24" s="1"/>
      <c r="B24" s="52">
        <v>2.0</v>
      </c>
      <c r="C24" s="53" t="s">
        <v>137</v>
      </c>
      <c r="D24" s="54">
        <v>-50000.0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 t="s">
        <v>103</v>
      </c>
      <c r="D25" s="58">
        <v>-100000.0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52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120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450000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18 O25:O26">
      <formula1>"-,VERO,FADEL,PENTIL,ADIF ,HANIF 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Edit,Preweed 1,6,Photofox "</formula1>
    </dataValidation>
    <dataValidation type="list" allowBlank="1" showDropDown="1" showErrorMessage="1" sqref="L4:L18 O23:O24">
      <formula1>"-,JIJANG,ADDEL ,PENTIL,FAHME"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197</v>
      </c>
      <c r="D4" s="18" t="s">
        <v>28</v>
      </c>
      <c r="E4" s="20"/>
      <c r="F4" s="22">
        <v>46130.0</v>
      </c>
      <c r="G4" s="24">
        <v>500000.0</v>
      </c>
      <c r="H4" s="26"/>
      <c r="I4" s="28" t="s">
        <v>22</v>
      </c>
      <c r="J4" s="28" t="s">
        <v>23</v>
      </c>
      <c r="K4" s="28" t="s">
        <v>23</v>
      </c>
      <c r="L4" s="28" t="s">
        <v>26</v>
      </c>
      <c r="M4" s="28" t="s">
        <v>38</v>
      </c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238</v>
      </c>
      <c r="D5" s="18" t="s">
        <v>75</v>
      </c>
      <c r="E5" s="20"/>
      <c r="F5" s="22">
        <v>46130.0</v>
      </c>
      <c r="G5" s="24">
        <v>200000.0</v>
      </c>
      <c r="H5" s="26"/>
      <c r="I5" s="28" t="s">
        <v>22</v>
      </c>
      <c r="J5" s="28" t="s">
        <v>23</v>
      </c>
      <c r="K5" s="28" t="s">
        <v>23</v>
      </c>
      <c r="L5" s="28" t="s">
        <v>26</v>
      </c>
      <c r="M5" s="28" t="s">
        <v>38</v>
      </c>
      <c r="N5" s="31"/>
      <c r="O5" s="31"/>
      <c r="P5" s="32"/>
      <c r="Q5" s="1"/>
      <c r="R5" s="1"/>
    </row>
    <row r="6">
      <c r="A6" s="1"/>
      <c r="B6" s="14">
        <v>3.0</v>
      </c>
      <c r="C6" s="15" t="s">
        <v>241</v>
      </c>
      <c r="D6" s="18" t="s">
        <v>28</v>
      </c>
      <c r="E6" s="20"/>
      <c r="F6" s="33">
        <v>46130.0</v>
      </c>
      <c r="G6" s="34"/>
      <c r="H6" s="26">
        <v>125000.0</v>
      </c>
      <c r="I6" s="28" t="s">
        <v>22</v>
      </c>
      <c r="J6" s="28" t="s">
        <v>23</v>
      </c>
      <c r="K6" s="28" t="s">
        <v>24</v>
      </c>
      <c r="L6" s="28" t="s">
        <v>26</v>
      </c>
      <c r="M6" s="28" t="s">
        <v>38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239</v>
      </c>
      <c r="D7" s="18" t="s">
        <v>28</v>
      </c>
      <c r="E7" s="20"/>
      <c r="F7" s="33">
        <v>46130.0</v>
      </c>
      <c r="G7" s="24">
        <v>1225000.0</v>
      </c>
      <c r="H7" s="37"/>
      <c r="I7" s="28" t="s">
        <v>22</v>
      </c>
      <c r="J7" s="28" t="s">
        <v>23</v>
      </c>
      <c r="K7" s="28" t="s">
        <v>23</v>
      </c>
      <c r="L7" s="28" t="s">
        <v>26</v>
      </c>
      <c r="M7" s="28" t="s">
        <v>38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236</v>
      </c>
      <c r="D8" s="18" t="s">
        <v>28</v>
      </c>
      <c r="E8" s="20"/>
      <c r="F8" s="33">
        <v>46130.0</v>
      </c>
      <c r="G8" s="24">
        <v>200000.0</v>
      </c>
      <c r="H8" s="37"/>
      <c r="I8" s="28" t="s">
        <v>22</v>
      </c>
      <c r="J8" s="28" t="s">
        <v>23</v>
      </c>
      <c r="K8" s="28" t="s">
        <v>23</v>
      </c>
      <c r="L8" s="28" t="s">
        <v>26</v>
      </c>
      <c r="M8" s="28" t="s">
        <v>27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244</v>
      </c>
      <c r="D9" s="18" t="s">
        <v>28</v>
      </c>
      <c r="E9" s="20"/>
      <c r="F9" s="33">
        <v>46130.0</v>
      </c>
      <c r="G9" s="24"/>
      <c r="H9" s="26">
        <v>150000.0</v>
      </c>
      <c r="I9" s="28" t="s">
        <v>22</v>
      </c>
      <c r="J9" s="28" t="s">
        <v>23</v>
      </c>
      <c r="K9" s="28" t="s">
        <v>23</v>
      </c>
      <c r="L9" s="28" t="s">
        <v>26</v>
      </c>
      <c r="M9" s="28" t="s">
        <v>27</v>
      </c>
      <c r="N9" s="31"/>
      <c r="O9" s="32"/>
      <c r="P9" s="32"/>
      <c r="Q9" s="1"/>
      <c r="R9" s="1"/>
    </row>
    <row r="10">
      <c r="A10" s="1"/>
      <c r="B10" s="14">
        <v>7.0</v>
      </c>
      <c r="C10" s="15" t="s">
        <v>246</v>
      </c>
      <c r="D10" s="18" t="s">
        <v>54</v>
      </c>
      <c r="E10" s="20"/>
      <c r="F10" s="33">
        <v>46144.0</v>
      </c>
      <c r="G10" s="24"/>
      <c r="H10" s="26">
        <v>100000.0</v>
      </c>
      <c r="I10" s="28" t="s">
        <v>31</v>
      </c>
      <c r="J10" s="28"/>
      <c r="K10" s="28"/>
      <c r="L10" s="28" t="s">
        <v>26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247</v>
      </c>
      <c r="D11" s="18" t="s">
        <v>28</v>
      </c>
      <c r="E11" s="20"/>
      <c r="F11" s="33">
        <v>46130.0</v>
      </c>
      <c r="G11" s="24">
        <v>350000.0</v>
      </c>
      <c r="H11" s="37"/>
      <c r="I11" s="28" t="s">
        <v>22</v>
      </c>
      <c r="J11" s="28" t="s">
        <v>23</v>
      </c>
      <c r="K11" s="28" t="s">
        <v>24</v>
      </c>
      <c r="L11" s="28" t="s">
        <v>26</v>
      </c>
      <c r="M11" s="28" t="s">
        <v>27</v>
      </c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187</v>
      </c>
      <c r="D12" s="18" t="s">
        <v>28</v>
      </c>
      <c r="E12" s="20"/>
      <c r="F12" s="33">
        <v>46130.0</v>
      </c>
      <c r="G12" s="24"/>
      <c r="H12" s="26">
        <v>375000.0</v>
      </c>
      <c r="I12" s="28" t="s">
        <v>22</v>
      </c>
      <c r="J12" s="28" t="s">
        <v>23</v>
      </c>
      <c r="K12" s="28" t="s">
        <v>24</v>
      </c>
      <c r="L12" s="28" t="s">
        <v>26</v>
      </c>
      <c r="M12" s="28" t="s">
        <v>27</v>
      </c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2475000</v>
      </c>
      <c r="H19" s="43">
        <f t="shared" si="1"/>
        <v>750000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2475000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 t="s">
        <v>102</v>
      </c>
      <c r="D24" s="54">
        <v>-50000.0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26</v>
      </c>
      <c r="P24" s="1"/>
      <c r="Q24" s="1"/>
      <c r="R24" s="1"/>
    </row>
    <row r="25">
      <c r="A25" s="1"/>
      <c r="B25" s="47">
        <v>3.0</v>
      </c>
      <c r="C25" s="48" t="s">
        <v>96</v>
      </c>
      <c r="D25" s="58">
        <v>-30000.0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38</v>
      </c>
      <c r="P25" s="1"/>
      <c r="Q25" s="1"/>
      <c r="R25" s="1"/>
    </row>
    <row r="26">
      <c r="A26" s="1"/>
      <c r="B26" s="52">
        <v>4.0</v>
      </c>
      <c r="C26" s="53" t="s">
        <v>118</v>
      </c>
      <c r="D26" s="54">
        <v>-100000.0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27</v>
      </c>
      <c r="P26" s="1"/>
      <c r="Q26" s="1"/>
      <c r="R26" s="1"/>
    </row>
    <row r="27">
      <c r="A27" s="1"/>
      <c r="B27" s="47"/>
      <c r="C27" s="48" t="s">
        <v>96</v>
      </c>
      <c r="D27" s="58">
        <v>-37000.0</v>
      </c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53" t="s">
        <v>106</v>
      </c>
      <c r="D28" s="54">
        <v>-58000.0</v>
      </c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48" t="s">
        <v>137</v>
      </c>
      <c r="D29" s="58">
        <v>-50000.0</v>
      </c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2150000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248</v>
      </c>
      <c r="D4" s="18" t="s">
        <v>45</v>
      </c>
      <c r="E4" s="20"/>
      <c r="F4" s="22">
        <v>46131.0</v>
      </c>
      <c r="G4" s="24"/>
      <c r="H4" s="26">
        <v>100000.0</v>
      </c>
      <c r="I4" s="28" t="s">
        <v>31</v>
      </c>
      <c r="J4" s="28"/>
      <c r="K4" s="28"/>
      <c r="L4" s="28" t="s">
        <v>34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240</v>
      </c>
      <c r="D5" s="18" t="s">
        <v>45</v>
      </c>
      <c r="E5" s="20"/>
      <c r="F5" s="22">
        <v>46131.0</v>
      </c>
      <c r="G5" s="24"/>
      <c r="H5" s="26">
        <v>250000.0</v>
      </c>
      <c r="I5" s="28" t="s">
        <v>22</v>
      </c>
      <c r="J5" s="28" t="s">
        <v>23</v>
      </c>
      <c r="K5" s="28" t="s">
        <v>24</v>
      </c>
      <c r="L5" s="28" t="s">
        <v>34</v>
      </c>
      <c r="M5" s="28" t="s">
        <v>52</v>
      </c>
      <c r="N5" s="31"/>
      <c r="O5" s="31"/>
      <c r="P5" s="32"/>
      <c r="Q5" s="1"/>
      <c r="R5" s="1"/>
    </row>
    <row r="6">
      <c r="A6" s="1"/>
      <c r="B6" s="14">
        <v>3.0</v>
      </c>
      <c r="C6" s="15" t="s">
        <v>249</v>
      </c>
      <c r="D6" s="18" t="s">
        <v>20</v>
      </c>
      <c r="E6" s="20"/>
      <c r="F6" s="33">
        <v>46138.0</v>
      </c>
      <c r="G6" s="34"/>
      <c r="H6" s="26">
        <v>100000.0</v>
      </c>
      <c r="I6" s="28" t="s">
        <v>31</v>
      </c>
      <c r="J6" s="28"/>
      <c r="K6" s="28"/>
      <c r="L6" s="28" t="s">
        <v>34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158</v>
      </c>
      <c r="D7" s="18" t="s">
        <v>28</v>
      </c>
      <c r="E7" s="20"/>
      <c r="F7" s="33">
        <v>46131.0</v>
      </c>
      <c r="G7" s="24"/>
      <c r="H7" s="26">
        <v>300000.0</v>
      </c>
      <c r="I7" s="28" t="s">
        <v>22</v>
      </c>
      <c r="J7" s="28" t="s">
        <v>23</v>
      </c>
      <c r="K7" s="28" t="s">
        <v>23</v>
      </c>
      <c r="L7" s="28" t="s">
        <v>34</v>
      </c>
      <c r="M7" s="28" t="s">
        <v>52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248</v>
      </c>
      <c r="D8" s="18" t="s">
        <v>45</v>
      </c>
      <c r="E8" s="20"/>
      <c r="F8" s="33">
        <v>46131.0</v>
      </c>
      <c r="G8" s="24"/>
      <c r="H8" s="26">
        <v>250000.0</v>
      </c>
      <c r="I8" s="28" t="s">
        <v>22</v>
      </c>
      <c r="J8" s="28" t="s">
        <v>23</v>
      </c>
      <c r="K8" s="28" t="s">
        <v>23</v>
      </c>
      <c r="L8" s="28" t="s">
        <v>34</v>
      </c>
      <c r="M8" s="28" t="s">
        <v>52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252</v>
      </c>
      <c r="D9" s="18" t="s">
        <v>41</v>
      </c>
      <c r="E9" s="20"/>
      <c r="F9" s="33">
        <v>46131.0</v>
      </c>
      <c r="G9" s="24"/>
      <c r="H9" s="26">
        <v>100000.0</v>
      </c>
      <c r="I9" s="28" t="s">
        <v>22</v>
      </c>
      <c r="J9" s="28"/>
      <c r="K9" s="28"/>
      <c r="L9" s="28" t="s">
        <v>34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224</v>
      </c>
      <c r="D10" s="18" t="s">
        <v>28</v>
      </c>
      <c r="E10" s="20"/>
      <c r="F10" s="33">
        <v>46131.0</v>
      </c>
      <c r="G10" s="24"/>
      <c r="H10" s="26">
        <v>75000.0</v>
      </c>
      <c r="I10" s="28" t="s">
        <v>22</v>
      </c>
      <c r="J10" s="28" t="s">
        <v>23</v>
      </c>
      <c r="K10" s="28" t="s">
        <v>23</v>
      </c>
      <c r="L10" s="28" t="s">
        <v>34</v>
      </c>
      <c r="M10" s="28" t="s">
        <v>52</v>
      </c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253</v>
      </c>
      <c r="D11" s="18" t="s">
        <v>47</v>
      </c>
      <c r="E11" s="20"/>
      <c r="F11" s="33">
        <v>46131.0</v>
      </c>
      <c r="G11" s="24"/>
      <c r="H11" s="26">
        <v>390000.0</v>
      </c>
      <c r="I11" s="28" t="s">
        <v>22</v>
      </c>
      <c r="J11" s="28" t="s">
        <v>23</v>
      </c>
      <c r="K11" s="28" t="s">
        <v>23</v>
      </c>
      <c r="L11" s="28" t="s">
        <v>34</v>
      </c>
      <c r="M11" s="28" t="s">
        <v>52</v>
      </c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254</v>
      </c>
      <c r="D12" s="18" t="s">
        <v>28</v>
      </c>
      <c r="E12" s="20"/>
      <c r="F12" s="33">
        <v>46132.0</v>
      </c>
      <c r="G12" s="24"/>
      <c r="H12" s="26">
        <v>100000.0</v>
      </c>
      <c r="I12" s="28" t="s">
        <v>31</v>
      </c>
      <c r="J12" s="28"/>
      <c r="K12" s="28"/>
      <c r="L12" s="28" t="s">
        <v>26</v>
      </c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256</v>
      </c>
      <c r="D13" s="18" t="s">
        <v>41</v>
      </c>
      <c r="E13" s="20" t="s">
        <v>150</v>
      </c>
      <c r="F13" s="33">
        <v>46131.0</v>
      </c>
      <c r="G13" s="24"/>
      <c r="H13" s="26">
        <v>50000.0</v>
      </c>
      <c r="I13" s="28" t="s">
        <v>22</v>
      </c>
      <c r="J13" s="28" t="s">
        <v>23</v>
      </c>
      <c r="K13" s="28" t="s">
        <v>23</v>
      </c>
      <c r="L13" s="28" t="s">
        <v>26</v>
      </c>
      <c r="M13" s="28" t="s">
        <v>38</v>
      </c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0</v>
      </c>
      <c r="H19" s="43">
        <f t="shared" si="1"/>
        <v>1715000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34</v>
      </c>
      <c r="P23" s="1"/>
      <c r="Q23" s="1"/>
      <c r="R23" s="1"/>
    </row>
    <row r="24">
      <c r="A24" s="1"/>
      <c r="B24" s="52">
        <v>2.0</v>
      </c>
      <c r="C24" s="53"/>
      <c r="D24" s="54"/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26</v>
      </c>
      <c r="P24" s="1"/>
      <c r="Q24" s="1"/>
      <c r="R24" s="1"/>
    </row>
    <row r="25">
      <c r="A25" s="1"/>
      <c r="B25" s="47">
        <v>3.0</v>
      </c>
      <c r="C25" s="48"/>
      <c r="D25" s="58"/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52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38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18">
      <formula1>"-,Pending,Progress,Uploaded"</formula1>
    </dataValidation>
    <dataValidation type="list" allowBlank="1" showDropDown="1" showErrorMessage="1" sqref="D4:D12 D1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13">
      <formula1>"-,Single,Couple A,Couple B,Group A,Group B,Group C,Large Group,Graduation,Graduation Premium,Family A,Family B,Maternity,Concept,Studio Rent,Pas Foto,Single,Add Person ,Add Edit,All File"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L4:L18 O23:O24">
      <formula1>"-,ADDEL ,AXEL,PENTIL,FAHME,INDAH"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"-,VERO,FADEL,PENTIL,HANIF ,ADIF"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250</v>
      </c>
      <c r="D4" s="18" t="s">
        <v>20</v>
      </c>
      <c r="E4" s="20"/>
      <c r="F4" s="14" t="s">
        <v>251</v>
      </c>
      <c r="G4" s="24"/>
      <c r="H4" s="26">
        <v>350000.0</v>
      </c>
      <c r="I4" s="28" t="s">
        <v>22</v>
      </c>
      <c r="J4" s="28"/>
      <c r="K4" s="28"/>
      <c r="L4" s="28" t="s">
        <v>119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255</v>
      </c>
      <c r="D5" s="18" t="s">
        <v>57</v>
      </c>
      <c r="E5" s="20"/>
      <c r="F5" s="22">
        <v>46132.0</v>
      </c>
      <c r="G5" s="24"/>
      <c r="H5" s="26">
        <v>50000.0</v>
      </c>
      <c r="I5" s="28" t="s">
        <v>22</v>
      </c>
      <c r="J5" s="28"/>
      <c r="K5" s="28"/>
      <c r="L5" s="28" t="s">
        <v>119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257</v>
      </c>
      <c r="D6" s="18" t="s">
        <v>258</v>
      </c>
      <c r="E6" s="20">
        <v>2.0</v>
      </c>
      <c r="F6" s="38"/>
      <c r="G6" s="24">
        <v>250000.0</v>
      </c>
      <c r="H6" s="26"/>
      <c r="I6" s="28" t="s">
        <v>22</v>
      </c>
      <c r="J6" s="28"/>
      <c r="K6" s="28"/>
      <c r="L6" s="28" t="s">
        <v>119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259</v>
      </c>
      <c r="D7" s="18" t="s">
        <v>54</v>
      </c>
      <c r="E7" s="20"/>
      <c r="F7" s="33">
        <v>46132.0</v>
      </c>
      <c r="G7" s="24"/>
      <c r="H7" s="26">
        <v>100000.0</v>
      </c>
      <c r="I7" s="28" t="s">
        <v>31</v>
      </c>
      <c r="J7" s="28"/>
      <c r="K7" s="28"/>
      <c r="L7" s="28" t="s">
        <v>119</v>
      </c>
      <c r="M7" s="35"/>
      <c r="N7" s="31"/>
      <c r="O7" s="31"/>
      <c r="P7" s="32"/>
      <c r="Q7" s="1"/>
      <c r="R7" s="1"/>
    </row>
    <row r="8">
      <c r="A8" s="1"/>
      <c r="B8" s="14">
        <v>5.0</v>
      </c>
      <c r="C8" s="15" t="s">
        <v>261</v>
      </c>
      <c r="D8" s="18" t="s">
        <v>28</v>
      </c>
      <c r="E8" s="20"/>
      <c r="F8" s="33">
        <v>46131.0</v>
      </c>
      <c r="G8" s="24"/>
      <c r="H8" s="26">
        <v>300000.0</v>
      </c>
      <c r="I8" s="28" t="s">
        <v>22</v>
      </c>
      <c r="J8" s="28" t="s">
        <v>23</v>
      </c>
      <c r="K8" s="28" t="s">
        <v>23</v>
      </c>
      <c r="L8" s="28" t="s">
        <v>119</v>
      </c>
      <c r="M8" s="28" t="s">
        <v>120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262</v>
      </c>
      <c r="D9" s="18" t="s">
        <v>28</v>
      </c>
      <c r="E9" s="20"/>
      <c r="F9" s="33">
        <v>46142.0</v>
      </c>
      <c r="G9" s="24"/>
      <c r="H9" s="26">
        <v>100000.0</v>
      </c>
      <c r="I9" s="28" t="s">
        <v>31</v>
      </c>
      <c r="J9" s="28"/>
      <c r="K9" s="28"/>
      <c r="L9" s="28" t="s">
        <v>119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18</v>
      </c>
      <c r="D10" s="18" t="s">
        <v>41</v>
      </c>
      <c r="E10" s="20"/>
      <c r="F10" s="33">
        <v>46132.0</v>
      </c>
      <c r="G10" s="24"/>
      <c r="H10" s="26">
        <v>150000.0</v>
      </c>
      <c r="I10" s="28" t="s">
        <v>22</v>
      </c>
      <c r="J10" s="28" t="s">
        <v>23</v>
      </c>
      <c r="K10" s="28" t="s">
        <v>24</v>
      </c>
      <c r="L10" s="28" t="s">
        <v>119</v>
      </c>
      <c r="M10" s="28" t="s">
        <v>120</v>
      </c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263</v>
      </c>
      <c r="D11" s="18" t="s">
        <v>28</v>
      </c>
      <c r="E11" s="20"/>
      <c r="F11" s="33">
        <v>46133.0</v>
      </c>
      <c r="G11" s="24"/>
      <c r="H11" s="26">
        <v>100000.0</v>
      </c>
      <c r="I11" s="28" t="s">
        <v>31</v>
      </c>
      <c r="J11" s="28"/>
      <c r="K11" s="28"/>
      <c r="L11" s="28" t="s">
        <v>26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264</v>
      </c>
      <c r="D12" s="18" t="s">
        <v>28</v>
      </c>
      <c r="E12" s="20"/>
      <c r="F12" s="33">
        <v>46134.0</v>
      </c>
      <c r="G12" s="24"/>
      <c r="H12" s="26">
        <v>100000.0</v>
      </c>
      <c r="I12" s="28" t="s">
        <v>31</v>
      </c>
      <c r="J12" s="28"/>
      <c r="K12" s="28"/>
      <c r="L12" s="28" t="s">
        <v>26</v>
      </c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254</v>
      </c>
      <c r="D13" s="18" t="s">
        <v>28</v>
      </c>
      <c r="E13" s="20"/>
      <c r="F13" s="33">
        <v>46132.0</v>
      </c>
      <c r="G13" s="24">
        <v>475000.0</v>
      </c>
      <c r="H13" s="37"/>
      <c r="I13" s="28" t="s">
        <v>22</v>
      </c>
      <c r="J13" s="28" t="s">
        <v>23</v>
      </c>
      <c r="K13" s="28" t="s">
        <v>23</v>
      </c>
      <c r="L13" s="28" t="s">
        <v>26</v>
      </c>
      <c r="M13" s="28" t="s">
        <v>120</v>
      </c>
      <c r="N13" s="31"/>
      <c r="O13" s="32"/>
      <c r="P13" s="32"/>
      <c r="Q13" s="1"/>
      <c r="R13" s="1"/>
    </row>
    <row r="14">
      <c r="A14" s="1"/>
      <c r="B14" s="38"/>
      <c r="C14" s="15" t="s">
        <v>259</v>
      </c>
      <c r="D14" s="18" t="s">
        <v>54</v>
      </c>
      <c r="E14" s="20"/>
      <c r="F14" s="33">
        <v>46132.0</v>
      </c>
      <c r="G14" s="24">
        <v>50000.0</v>
      </c>
      <c r="H14" s="37"/>
      <c r="I14" s="28" t="s">
        <v>22</v>
      </c>
      <c r="J14" s="28" t="s">
        <v>23</v>
      </c>
      <c r="K14" s="28" t="s">
        <v>23</v>
      </c>
      <c r="L14" s="28" t="s">
        <v>26</v>
      </c>
      <c r="M14" s="28" t="s">
        <v>120</v>
      </c>
      <c r="N14" s="31"/>
      <c r="O14" s="32"/>
      <c r="P14" s="32"/>
      <c r="Q14" s="1"/>
      <c r="R14" s="1"/>
    </row>
    <row r="15">
      <c r="A15" s="1"/>
      <c r="B15" s="38"/>
      <c r="C15" s="15" t="s">
        <v>267</v>
      </c>
      <c r="D15" s="18" t="s">
        <v>57</v>
      </c>
      <c r="E15" s="20"/>
      <c r="F15" s="33">
        <v>46132.0</v>
      </c>
      <c r="G15" s="24">
        <v>0.0</v>
      </c>
      <c r="H15" s="26">
        <v>0.0</v>
      </c>
      <c r="I15" s="28" t="s">
        <v>22</v>
      </c>
      <c r="J15" s="28" t="s">
        <v>23</v>
      </c>
      <c r="K15" s="28" t="s">
        <v>24</v>
      </c>
      <c r="L15" s="28" t="s">
        <v>26</v>
      </c>
      <c r="M15" s="28" t="s">
        <v>120</v>
      </c>
      <c r="N15" s="31"/>
      <c r="O15" s="32"/>
      <c r="P15" s="32"/>
      <c r="Q15" s="1"/>
      <c r="R15" s="1"/>
    </row>
    <row r="16">
      <c r="A16" s="1"/>
      <c r="B16" s="38"/>
      <c r="C16" s="15" t="s">
        <v>269</v>
      </c>
      <c r="D16" s="18" t="s">
        <v>57</v>
      </c>
      <c r="E16" s="20"/>
      <c r="F16" s="33">
        <v>46132.0</v>
      </c>
      <c r="G16" s="24">
        <v>0.0</v>
      </c>
      <c r="H16" s="26">
        <v>0.0</v>
      </c>
      <c r="I16" s="28" t="s">
        <v>22</v>
      </c>
      <c r="J16" s="28" t="s">
        <v>23</v>
      </c>
      <c r="K16" s="28" t="s">
        <v>23</v>
      </c>
      <c r="L16" s="28" t="s">
        <v>26</v>
      </c>
      <c r="M16" s="28" t="s">
        <v>120</v>
      </c>
      <c r="N16" s="31"/>
      <c r="O16" s="32"/>
      <c r="P16" s="32"/>
      <c r="Q16" s="1"/>
      <c r="R16" s="1"/>
    </row>
    <row r="17">
      <c r="A17" s="1"/>
      <c r="B17" s="38"/>
      <c r="C17" s="15" t="s">
        <v>272</v>
      </c>
      <c r="D17" s="18" t="s">
        <v>54</v>
      </c>
      <c r="E17" s="20"/>
      <c r="F17" s="33">
        <v>46132.0</v>
      </c>
      <c r="G17" s="24"/>
      <c r="H17" s="26">
        <v>150000.0</v>
      </c>
      <c r="I17" s="28" t="s">
        <v>22</v>
      </c>
      <c r="J17" s="28" t="s">
        <v>23</v>
      </c>
      <c r="K17" s="28" t="s">
        <v>23</v>
      </c>
      <c r="L17" s="28" t="s">
        <v>26</v>
      </c>
      <c r="M17" s="28" t="s">
        <v>120</v>
      </c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775000</v>
      </c>
      <c r="H19" s="43">
        <f t="shared" si="1"/>
        <v>1400000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775000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119</v>
      </c>
      <c r="P23" s="1"/>
      <c r="Q23" s="1"/>
      <c r="R23" s="1"/>
    </row>
    <row r="24">
      <c r="A24" s="1"/>
      <c r="B24" s="52">
        <v>2.0</v>
      </c>
      <c r="C24" s="53" t="s">
        <v>103</v>
      </c>
      <c r="D24" s="54">
        <v>-50000.0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26</v>
      </c>
      <c r="P24" s="1"/>
      <c r="Q24" s="1"/>
      <c r="R24" s="1"/>
    </row>
    <row r="25">
      <c r="A25" s="1"/>
      <c r="B25" s="47">
        <v>3.0</v>
      </c>
      <c r="C25" s="48" t="s">
        <v>275</v>
      </c>
      <c r="D25" s="58">
        <v>-22000.0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120</v>
      </c>
      <c r="P25" s="1"/>
      <c r="Q25" s="1"/>
      <c r="R25" s="1"/>
    </row>
    <row r="26">
      <c r="A26" s="1"/>
      <c r="B26" s="52">
        <v>4.0</v>
      </c>
      <c r="C26" s="53" t="s">
        <v>102</v>
      </c>
      <c r="D26" s="54">
        <v>-100000.0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120</v>
      </c>
      <c r="P26" s="1"/>
      <c r="Q26" s="1"/>
      <c r="R26" s="1"/>
    </row>
    <row r="27">
      <c r="A27" s="1"/>
      <c r="B27" s="47"/>
      <c r="C27" s="48" t="s">
        <v>137</v>
      </c>
      <c r="D27" s="58">
        <v>-8500.0</v>
      </c>
      <c r="E27" s="50"/>
      <c r="F27" s="74">
        <f>D24+D26+D27+D28</f>
        <v>-172500</v>
      </c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53" t="s">
        <v>139</v>
      </c>
      <c r="D28" s="54">
        <v>-14000.0</v>
      </c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580500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"-,JIJANG,ADDEL,PENTIL,FAHME,INDAH"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Edit,Cetak 16R"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"-,VERO,ADIF ,PENTIL,FAHME,HANIF"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21.63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260</v>
      </c>
      <c r="D4" s="18" t="s">
        <v>28</v>
      </c>
      <c r="E4" s="20"/>
      <c r="F4" s="22">
        <v>46137.0</v>
      </c>
      <c r="G4" s="24"/>
      <c r="H4" s="26">
        <v>100000.0</v>
      </c>
      <c r="I4" s="28" t="s">
        <v>31</v>
      </c>
      <c r="J4" s="28"/>
      <c r="K4" s="28"/>
      <c r="L4" s="28" t="s">
        <v>26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265</v>
      </c>
      <c r="D5" s="18" t="s">
        <v>20</v>
      </c>
      <c r="E5" s="20"/>
      <c r="F5" s="22">
        <v>46151.0</v>
      </c>
      <c r="G5" s="24"/>
      <c r="H5" s="26">
        <v>100000.0</v>
      </c>
      <c r="I5" s="28" t="s">
        <v>31</v>
      </c>
      <c r="J5" s="28"/>
      <c r="K5" s="28"/>
      <c r="L5" s="28" t="s">
        <v>26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266</v>
      </c>
      <c r="D6" s="18" t="s">
        <v>28</v>
      </c>
      <c r="E6" s="20"/>
      <c r="F6" s="33">
        <v>46148.0</v>
      </c>
      <c r="G6" s="34"/>
      <c r="H6" s="26">
        <v>100000.0</v>
      </c>
      <c r="I6" s="28" t="s">
        <v>31</v>
      </c>
      <c r="J6" s="28"/>
      <c r="K6" s="28"/>
      <c r="L6" s="28" t="s">
        <v>26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268</v>
      </c>
      <c r="D7" s="18" t="s">
        <v>57</v>
      </c>
      <c r="E7" s="20" t="s">
        <v>270</v>
      </c>
      <c r="F7" s="33">
        <v>46133.0</v>
      </c>
      <c r="G7" s="24">
        <v>50000.0</v>
      </c>
      <c r="H7" s="37"/>
      <c r="I7" s="28" t="s">
        <v>22</v>
      </c>
      <c r="J7" s="28" t="s">
        <v>23</v>
      </c>
      <c r="K7" s="28" t="s">
        <v>23</v>
      </c>
      <c r="L7" s="28" t="s">
        <v>26</v>
      </c>
      <c r="M7" s="28" t="s">
        <v>27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271</v>
      </c>
      <c r="D8" s="18" t="s">
        <v>41</v>
      </c>
      <c r="E8" s="20" t="s">
        <v>273</v>
      </c>
      <c r="F8" s="33">
        <v>46133.0</v>
      </c>
      <c r="G8" s="24">
        <v>265000.0</v>
      </c>
      <c r="H8" s="37"/>
      <c r="I8" s="28" t="s">
        <v>22</v>
      </c>
      <c r="J8" s="28" t="s">
        <v>23</v>
      </c>
      <c r="K8" s="28" t="s">
        <v>23</v>
      </c>
      <c r="L8" s="28" t="s">
        <v>26</v>
      </c>
      <c r="M8" s="28" t="s">
        <v>27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274</v>
      </c>
      <c r="D9" s="18" t="s">
        <v>117</v>
      </c>
      <c r="E9" s="20"/>
      <c r="F9" s="33">
        <v>46135.0</v>
      </c>
      <c r="G9" s="24"/>
      <c r="H9" s="26">
        <v>100000.0</v>
      </c>
      <c r="I9" s="28" t="s">
        <v>22</v>
      </c>
      <c r="J9" s="28"/>
      <c r="K9" s="28"/>
      <c r="L9" s="28" t="s">
        <v>34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263</v>
      </c>
      <c r="D10" s="18" t="s">
        <v>28</v>
      </c>
      <c r="E10" s="20"/>
      <c r="F10" s="33">
        <v>46133.0</v>
      </c>
      <c r="G10" s="24">
        <v>625000.0</v>
      </c>
      <c r="H10" s="37"/>
      <c r="I10" s="28" t="s">
        <v>22</v>
      </c>
      <c r="J10" s="28" t="s">
        <v>23</v>
      </c>
      <c r="K10" s="28" t="s">
        <v>23</v>
      </c>
      <c r="L10" s="28" t="s">
        <v>34</v>
      </c>
      <c r="M10" s="28" t="s">
        <v>120</v>
      </c>
      <c r="N10" s="31"/>
      <c r="O10" s="32"/>
      <c r="P10" s="32"/>
      <c r="Q10" s="1"/>
      <c r="R10" s="1"/>
    </row>
    <row r="11">
      <c r="A11" s="1"/>
      <c r="B11" s="14">
        <v>8.0</v>
      </c>
      <c r="C11" s="15"/>
      <c r="D11" s="18"/>
      <c r="E11" s="20"/>
      <c r="F11" s="38"/>
      <c r="G11" s="24"/>
      <c r="H11" s="37"/>
      <c r="I11" s="28"/>
      <c r="J11" s="28"/>
      <c r="K11" s="28"/>
      <c r="L11" s="35"/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/>
      <c r="D12" s="18"/>
      <c r="E12" s="20"/>
      <c r="F12" s="38"/>
      <c r="G12" s="24"/>
      <c r="H12" s="37"/>
      <c r="I12" s="28"/>
      <c r="J12" s="28"/>
      <c r="K12" s="28"/>
      <c r="L12" s="35"/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940000</v>
      </c>
      <c r="H19" s="43">
        <f t="shared" si="1"/>
        <v>400000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940000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 t="s">
        <v>277</v>
      </c>
      <c r="D24" s="54">
        <v>-50000.0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 t="s">
        <v>278</v>
      </c>
      <c r="D25" s="58">
        <v>-25000.0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27</v>
      </c>
      <c r="P25" s="1"/>
      <c r="Q25" s="1"/>
      <c r="R25" s="1"/>
    </row>
    <row r="26">
      <c r="A26" s="1"/>
      <c r="B26" s="52">
        <v>4.0</v>
      </c>
      <c r="C26" s="53" t="s">
        <v>118</v>
      </c>
      <c r="D26" s="54">
        <v>-100000.0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120</v>
      </c>
      <c r="P26" s="1"/>
      <c r="Q26" s="1"/>
      <c r="R26" s="1"/>
    </row>
    <row r="27">
      <c r="A27" s="1"/>
      <c r="B27" s="47"/>
      <c r="C27" s="48" t="s">
        <v>139</v>
      </c>
      <c r="D27" s="58">
        <v>-20000.0</v>
      </c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53" t="s">
        <v>103</v>
      </c>
      <c r="D28" s="54">
        <v>-50000.0</v>
      </c>
      <c r="E28" s="50"/>
      <c r="F28" s="74">
        <f>D24+D26+D27+D28+D29+D31</f>
        <v>-262000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48" t="s">
        <v>106</v>
      </c>
      <c r="D29" s="58">
        <v>-15000.0</v>
      </c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53" t="s">
        <v>280</v>
      </c>
      <c r="D30" s="54">
        <v>-110000.0</v>
      </c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48" t="s">
        <v>118</v>
      </c>
      <c r="D31" s="58">
        <v>-27000.0</v>
      </c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543000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18 O25:O26">
      <formula1>"-,VERO,FADEL,PENTIL,ADIF ,HANIF"</formula1>
    </dataValidation>
    <dataValidation type="list" allowBlank="1" showDropDown="1" showErrorMessage="1" sqref="L4:L18 O23:O24">
      <formula1>"-,JIJANG,ADDEL ,PENTIL,FAHME,INDAH"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276</v>
      </c>
      <c r="D4" s="18" t="s">
        <v>28</v>
      </c>
      <c r="E4" s="20"/>
      <c r="F4" s="22">
        <v>46136.0</v>
      </c>
      <c r="G4" s="24"/>
      <c r="H4" s="26">
        <v>100000.0</v>
      </c>
      <c r="I4" s="28" t="s">
        <v>31</v>
      </c>
      <c r="J4" s="28"/>
      <c r="K4" s="28"/>
      <c r="L4" s="28" t="s">
        <v>34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75" t="s">
        <v>279</v>
      </c>
      <c r="D5" s="18" t="s">
        <v>28</v>
      </c>
      <c r="E5" s="20"/>
      <c r="F5" s="14" t="s">
        <v>281</v>
      </c>
      <c r="G5" s="24"/>
      <c r="H5" s="26">
        <v>100000.0</v>
      </c>
      <c r="I5" s="28" t="s">
        <v>31</v>
      </c>
      <c r="J5" s="28"/>
      <c r="K5" s="28"/>
      <c r="L5" s="28" t="s">
        <v>34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282</v>
      </c>
      <c r="D6" s="18" t="s">
        <v>28</v>
      </c>
      <c r="E6" s="20"/>
      <c r="F6" s="33">
        <v>46134.0</v>
      </c>
      <c r="G6" s="34"/>
      <c r="H6" s="26">
        <v>825000.0</v>
      </c>
      <c r="I6" s="28" t="s">
        <v>22</v>
      </c>
      <c r="J6" s="28" t="s">
        <v>23</v>
      </c>
      <c r="K6" s="28" t="s">
        <v>23</v>
      </c>
      <c r="L6" s="28" t="s">
        <v>34</v>
      </c>
      <c r="M6" s="28" t="s">
        <v>120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283</v>
      </c>
      <c r="D7" s="18" t="s">
        <v>28</v>
      </c>
      <c r="E7" s="20"/>
      <c r="F7" s="14" t="s">
        <v>281</v>
      </c>
      <c r="G7" s="24"/>
      <c r="H7" s="26">
        <v>100000.0</v>
      </c>
      <c r="I7" s="28" t="s">
        <v>31</v>
      </c>
      <c r="J7" s="28"/>
      <c r="K7" s="28"/>
      <c r="L7" s="28" t="s">
        <v>34</v>
      </c>
      <c r="M7" s="35"/>
      <c r="N7" s="31"/>
      <c r="O7" s="31"/>
      <c r="P7" s="32"/>
      <c r="Q7" s="1"/>
      <c r="R7" s="1"/>
    </row>
    <row r="8">
      <c r="A8" s="1"/>
      <c r="B8" s="14">
        <v>5.0</v>
      </c>
      <c r="C8" s="15" t="s">
        <v>284</v>
      </c>
      <c r="D8" s="18" t="s">
        <v>28</v>
      </c>
      <c r="E8" s="20"/>
      <c r="F8" s="14" t="s">
        <v>285</v>
      </c>
      <c r="G8" s="24"/>
      <c r="H8" s="26">
        <v>100000.0</v>
      </c>
      <c r="I8" s="28" t="s">
        <v>31</v>
      </c>
      <c r="J8" s="28"/>
      <c r="K8" s="28"/>
      <c r="L8" s="28" t="s">
        <v>34</v>
      </c>
      <c r="M8" s="35"/>
      <c r="N8" s="31"/>
      <c r="O8" s="32"/>
      <c r="P8" s="32"/>
      <c r="Q8" s="1"/>
      <c r="R8" s="1"/>
    </row>
    <row r="9">
      <c r="A9" s="1"/>
      <c r="B9" s="14">
        <v>6.0</v>
      </c>
      <c r="C9" s="15" t="s">
        <v>286</v>
      </c>
      <c r="D9" s="18" t="s">
        <v>20</v>
      </c>
      <c r="E9" s="20"/>
      <c r="F9" s="14" t="s">
        <v>234</v>
      </c>
      <c r="G9" s="24"/>
      <c r="H9" s="26">
        <v>100000.0</v>
      </c>
      <c r="I9" s="28" t="s">
        <v>31</v>
      </c>
      <c r="J9" s="28"/>
      <c r="K9" s="28"/>
      <c r="L9" s="28" t="s">
        <v>34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287</v>
      </c>
      <c r="D10" s="18" t="s">
        <v>28</v>
      </c>
      <c r="E10" s="20"/>
      <c r="F10" s="33">
        <v>46134.0</v>
      </c>
      <c r="G10" s="24">
        <v>75000.0</v>
      </c>
      <c r="H10" s="37"/>
      <c r="I10" s="28" t="s">
        <v>22</v>
      </c>
      <c r="J10" s="28" t="s">
        <v>23</v>
      </c>
      <c r="K10" s="28" t="s">
        <v>23</v>
      </c>
      <c r="L10" s="28" t="s">
        <v>34</v>
      </c>
      <c r="M10" s="28" t="s">
        <v>120</v>
      </c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289</v>
      </c>
      <c r="D11" s="18" t="s">
        <v>57</v>
      </c>
      <c r="E11" s="20"/>
      <c r="F11" s="33">
        <v>46134.0</v>
      </c>
      <c r="G11" s="24">
        <v>50000.0</v>
      </c>
      <c r="H11" s="37"/>
      <c r="I11" s="28" t="s">
        <v>22</v>
      </c>
      <c r="J11" s="28" t="s">
        <v>23</v>
      </c>
      <c r="K11" s="28" t="s">
        <v>23</v>
      </c>
      <c r="L11" s="28" t="s">
        <v>34</v>
      </c>
      <c r="M11" s="28" t="s">
        <v>120</v>
      </c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78</v>
      </c>
      <c r="D12" s="18" t="s">
        <v>20</v>
      </c>
      <c r="E12" s="20"/>
      <c r="F12" s="14" t="s">
        <v>291</v>
      </c>
      <c r="G12" s="24"/>
      <c r="H12" s="26">
        <v>100000.0</v>
      </c>
      <c r="I12" s="28" t="s">
        <v>31</v>
      </c>
      <c r="J12" s="28"/>
      <c r="K12" s="28"/>
      <c r="L12" s="28" t="s">
        <v>34</v>
      </c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264</v>
      </c>
      <c r="D13" s="18" t="s">
        <v>28</v>
      </c>
      <c r="E13" s="20" t="s">
        <v>292</v>
      </c>
      <c r="F13" s="33">
        <v>46134.0</v>
      </c>
      <c r="G13" s="24"/>
      <c r="H13" s="26">
        <v>130000.0</v>
      </c>
      <c r="I13" s="28" t="s">
        <v>22</v>
      </c>
      <c r="J13" s="28" t="s">
        <v>23</v>
      </c>
      <c r="K13" s="28" t="s">
        <v>23</v>
      </c>
      <c r="L13" s="28" t="s">
        <v>34</v>
      </c>
      <c r="M13" s="28" t="s">
        <v>120</v>
      </c>
      <c r="N13" s="31"/>
      <c r="O13" s="32"/>
      <c r="P13" s="32"/>
      <c r="Q13" s="1"/>
      <c r="R13" s="1"/>
    </row>
    <row r="14">
      <c r="A14" s="1"/>
      <c r="B14" s="38"/>
      <c r="C14" s="15" t="s">
        <v>231</v>
      </c>
      <c r="D14" s="18" t="s">
        <v>28</v>
      </c>
      <c r="E14" s="20"/>
      <c r="F14" s="33">
        <v>46134.0</v>
      </c>
      <c r="G14" s="24">
        <v>500000.0</v>
      </c>
      <c r="H14" s="37"/>
      <c r="I14" s="28" t="s">
        <v>22</v>
      </c>
      <c r="J14" s="28" t="s">
        <v>23</v>
      </c>
      <c r="K14" s="28" t="s">
        <v>23</v>
      </c>
      <c r="L14" s="28" t="s">
        <v>26</v>
      </c>
      <c r="M14" s="28" t="s">
        <v>27</v>
      </c>
      <c r="N14" s="31"/>
      <c r="O14" s="32"/>
      <c r="P14" s="32"/>
      <c r="Q14" s="1"/>
      <c r="R14" s="1"/>
    </row>
    <row r="15">
      <c r="A15" s="1"/>
      <c r="B15" s="38"/>
      <c r="C15" s="15" t="s">
        <v>293</v>
      </c>
      <c r="D15" s="18" t="s">
        <v>28</v>
      </c>
      <c r="E15" s="20"/>
      <c r="F15" s="33">
        <v>46141.0</v>
      </c>
      <c r="G15" s="24"/>
      <c r="H15" s="26">
        <v>100000.0</v>
      </c>
      <c r="I15" s="28" t="s">
        <v>31</v>
      </c>
      <c r="J15" s="28"/>
      <c r="K15" s="28"/>
      <c r="L15" s="28" t="s">
        <v>26</v>
      </c>
      <c r="M15" s="35"/>
      <c r="N15" s="31"/>
      <c r="O15" s="32"/>
      <c r="P15" s="32"/>
      <c r="Q15" s="1"/>
      <c r="R15" s="1"/>
    </row>
    <row r="16">
      <c r="A16" s="1"/>
      <c r="B16" s="38"/>
      <c r="C16" s="15" t="s">
        <v>298</v>
      </c>
      <c r="D16" s="18" t="s">
        <v>20</v>
      </c>
      <c r="E16" s="20"/>
      <c r="F16" s="14" t="s">
        <v>299</v>
      </c>
      <c r="G16" s="24"/>
      <c r="H16" s="26">
        <v>100000.0</v>
      </c>
      <c r="I16" s="28" t="s">
        <v>31</v>
      </c>
      <c r="J16" s="28"/>
      <c r="K16" s="28"/>
      <c r="L16" s="28" t="s">
        <v>26</v>
      </c>
      <c r="M16" s="35"/>
      <c r="N16" s="31"/>
      <c r="O16" s="32"/>
      <c r="P16" s="32"/>
      <c r="Q16" s="1"/>
      <c r="R16" s="1"/>
    </row>
    <row r="17">
      <c r="A17" s="1"/>
      <c r="B17" s="38"/>
      <c r="C17" s="15" t="s">
        <v>302</v>
      </c>
      <c r="D17" s="18" t="s">
        <v>28</v>
      </c>
      <c r="E17" s="20"/>
      <c r="F17" s="33">
        <v>46143.0</v>
      </c>
      <c r="G17" s="24"/>
      <c r="H17" s="26">
        <v>100000.0</v>
      </c>
      <c r="I17" s="28" t="s">
        <v>31</v>
      </c>
      <c r="J17" s="28"/>
      <c r="K17" s="28"/>
      <c r="L17" s="28" t="s">
        <v>26</v>
      </c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625000</v>
      </c>
      <c r="H19" s="43">
        <f t="shared" si="1"/>
        <v>1855000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625000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34</v>
      </c>
      <c r="P23" s="1"/>
      <c r="Q23" s="1"/>
      <c r="R23" s="1"/>
    </row>
    <row r="24">
      <c r="A24" s="1"/>
      <c r="B24" s="52">
        <v>2.0</v>
      </c>
      <c r="C24" s="53" t="s">
        <v>137</v>
      </c>
      <c r="D24" s="54">
        <v>-100000.0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26</v>
      </c>
      <c r="P24" s="1"/>
      <c r="Q24" s="1"/>
      <c r="R24" s="1"/>
    </row>
    <row r="25">
      <c r="A25" s="1"/>
      <c r="B25" s="47">
        <v>3.0</v>
      </c>
      <c r="C25" s="48" t="s">
        <v>102</v>
      </c>
      <c r="D25" s="58">
        <v>-25000.0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120</v>
      </c>
      <c r="P25" s="1"/>
      <c r="Q25" s="1"/>
      <c r="R25" s="1"/>
    </row>
    <row r="26">
      <c r="A26" s="1"/>
      <c r="B26" s="52">
        <v>4.0</v>
      </c>
      <c r="C26" s="53" t="s">
        <v>106</v>
      </c>
      <c r="D26" s="54">
        <v>-50000.0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27</v>
      </c>
      <c r="P26" s="1"/>
      <c r="Q26" s="1"/>
      <c r="R26" s="1"/>
    </row>
    <row r="27">
      <c r="A27" s="1"/>
      <c r="B27" s="47"/>
      <c r="C27" s="48" t="s">
        <v>314</v>
      </c>
      <c r="D27" s="58">
        <v>-98500.0</v>
      </c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53" t="s">
        <v>137</v>
      </c>
      <c r="D28" s="54">
        <v>-8500.0</v>
      </c>
      <c r="E28" s="50"/>
      <c r="F28" s="74">
        <f>D24+D25+D26+D28</f>
        <v>-183500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343000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DropDown="1" showErrorMessage="1" sqref="M4:M18 O25:O26">
      <formula1>"-,VERO,FADEL,ADIF ,FAHME,HANIF"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6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288</v>
      </c>
      <c r="D4" s="18" t="s">
        <v>108</v>
      </c>
      <c r="E4" s="20"/>
      <c r="F4" s="22">
        <v>46112.0</v>
      </c>
      <c r="G4" s="24"/>
      <c r="H4" s="26">
        <v>20000.0</v>
      </c>
      <c r="I4" s="28" t="s">
        <v>22</v>
      </c>
      <c r="J4" s="28"/>
      <c r="K4" s="28"/>
      <c r="L4" s="28" t="s">
        <v>26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294</v>
      </c>
      <c r="D5" s="18" t="s">
        <v>57</v>
      </c>
      <c r="E5" s="20"/>
      <c r="F5" s="22">
        <v>46135.0</v>
      </c>
      <c r="G5" s="24"/>
      <c r="H5" s="26">
        <v>50000.0</v>
      </c>
      <c r="I5" s="28" t="s">
        <v>22</v>
      </c>
      <c r="J5" s="28" t="s">
        <v>23</v>
      </c>
      <c r="K5" s="28" t="s">
        <v>23</v>
      </c>
      <c r="L5" s="28" t="s">
        <v>26</v>
      </c>
      <c r="M5" s="28" t="s">
        <v>38</v>
      </c>
      <c r="N5" s="31"/>
      <c r="O5" s="31"/>
      <c r="P5" s="32"/>
      <c r="Q5" s="1"/>
      <c r="R5" s="1"/>
    </row>
    <row r="6">
      <c r="A6" s="1"/>
      <c r="B6" s="14">
        <v>3.0</v>
      </c>
      <c r="C6" s="15" t="s">
        <v>297</v>
      </c>
      <c r="D6" s="18" t="s">
        <v>117</v>
      </c>
      <c r="E6" s="20"/>
      <c r="F6" s="33">
        <v>46135.0</v>
      </c>
      <c r="G6" s="34"/>
      <c r="H6" s="26">
        <v>100000.0</v>
      </c>
      <c r="I6" s="28" t="s">
        <v>22</v>
      </c>
      <c r="J6" s="28"/>
      <c r="K6" s="28"/>
      <c r="L6" s="28" t="s">
        <v>26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301</v>
      </c>
      <c r="D7" s="18" t="s">
        <v>28</v>
      </c>
      <c r="E7" s="20"/>
      <c r="F7" s="33">
        <v>46135.0</v>
      </c>
      <c r="G7" s="24">
        <v>0.0</v>
      </c>
      <c r="H7" s="26">
        <v>0.0</v>
      </c>
      <c r="I7" s="28" t="s">
        <v>22</v>
      </c>
      <c r="J7" s="28" t="s">
        <v>23</v>
      </c>
      <c r="K7" s="28" t="s">
        <v>23</v>
      </c>
      <c r="L7" s="28" t="s">
        <v>34</v>
      </c>
      <c r="M7" s="35"/>
      <c r="N7" s="31"/>
      <c r="O7" s="31"/>
      <c r="P7" s="32"/>
      <c r="Q7" s="1"/>
      <c r="R7" s="1"/>
    </row>
    <row r="8">
      <c r="A8" s="1"/>
      <c r="B8" s="14">
        <v>5.0</v>
      </c>
      <c r="C8" s="15" t="s">
        <v>303</v>
      </c>
      <c r="D8" s="18" t="s">
        <v>57</v>
      </c>
      <c r="E8" s="20"/>
      <c r="F8" s="33">
        <v>46135.0</v>
      </c>
      <c r="G8" s="24">
        <v>0.0</v>
      </c>
      <c r="H8" s="26">
        <v>0.0</v>
      </c>
      <c r="I8" s="28" t="s">
        <v>115</v>
      </c>
      <c r="J8" s="28" t="s">
        <v>23</v>
      </c>
      <c r="K8" s="28" t="s">
        <v>23</v>
      </c>
      <c r="L8" s="28" t="s">
        <v>34</v>
      </c>
      <c r="M8" s="28" t="s">
        <v>52</v>
      </c>
      <c r="N8" s="31"/>
      <c r="O8" s="32"/>
      <c r="P8" s="32"/>
      <c r="Q8" s="1"/>
      <c r="R8" s="1"/>
    </row>
    <row r="9">
      <c r="A9" s="1"/>
      <c r="B9" s="14">
        <v>6.0</v>
      </c>
      <c r="C9" s="15"/>
      <c r="D9" s="18"/>
      <c r="E9" s="20"/>
      <c r="F9" s="38"/>
      <c r="G9" s="24"/>
      <c r="H9" s="37"/>
      <c r="I9" s="28"/>
      <c r="J9" s="28"/>
      <c r="K9" s="28"/>
      <c r="L9" s="35"/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/>
      <c r="D10" s="18"/>
      <c r="E10" s="20"/>
      <c r="F10" s="38"/>
      <c r="G10" s="24"/>
      <c r="H10" s="37"/>
      <c r="I10" s="28"/>
      <c r="J10" s="28"/>
      <c r="K10" s="28"/>
      <c r="L10" s="35"/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/>
      <c r="D11" s="18"/>
      <c r="E11" s="20"/>
      <c r="F11" s="38"/>
      <c r="G11" s="24"/>
      <c r="H11" s="37"/>
      <c r="I11" s="28"/>
      <c r="J11" s="28"/>
      <c r="K11" s="28"/>
      <c r="L11" s="35"/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/>
      <c r="D12" s="18"/>
      <c r="E12" s="20"/>
      <c r="F12" s="38"/>
      <c r="G12" s="24"/>
      <c r="H12" s="37"/>
      <c r="I12" s="28"/>
      <c r="J12" s="28"/>
      <c r="K12" s="28"/>
      <c r="L12" s="35"/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0</v>
      </c>
      <c r="H19" s="43">
        <f t="shared" si="1"/>
        <v>170000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/>
      <c r="D24" s="54"/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/>
      <c r="D25" s="58"/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38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52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Edit,Packing"</formula1>
    </dataValidation>
    <dataValidation type="list" allowBlank="1" showDropDown="1" showErrorMessage="1" sqref="M4:M18 O25:O26">
      <formula1>"-,VERO,HANIF ,PENTIL,FAHME,ADIF"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28.63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6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290</v>
      </c>
      <c r="D4" s="18" t="s">
        <v>20</v>
      </c>
      <c r="E4" s="20"/>
      <c r="F4" s="14" t="s">
        <v>234</v>
      </c>
      <c r="G4" s="24"/>
      <c r="H4" s="26">
        <v>100000.0</v>
      </c>
      <c r="I4" s="28" t="s">
        <v>31</v>
      </c>
      <c r="J4" s="28"/>
      <c r="K4" s="28"/>
      <c r="L4" s="28" t="s">
        <v>34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296</v>
      </c>
      <c r="D5" s="18" t="s">
        <v>54</v>
      </c>
      <c r="E5" s="20"/>
      <c r="F5" s="14" t="s">
        <v>146</v>
      </c>
      <c r="G5" s="24"/>
      <c r="H5" s="26">
        <v>100000.0</v>
      </c>
      <c r="I5" s="28" t="s">
        <v>31</v>
      </c>
      <c r="J5" s="28"/>
      <c r="K5" s="28"/>
      <c r="L5" s="28" t="s">
        <v>34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300</v>
      </c>
      <c r="D6" s="18" t="s">
        <v>28</v>
      </c>
      <c r="E6" s="20"/>
      <c r="F6" s="33">
        <v>46137.0</v>
      </c>
      <c r="G6" s="34"/>
      <c r="H6" s="26">
        <v>100000.0</v>
      </c>
      <c r="I6" s="28" t="s">
        <v>31</v>
      </c>
      <c r="J6" s="28"/>
      <c r="K6" s="28"/>
      <c r="L6" s="28" t="s">
        <v>34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304</v>
      </c>
      <c r="D7" s="18" t="s">
        <v>28</v>
      </c>
      <c r="E7" s="20"/>
      <c r="F7" s="14" t="s">
        <v>281</v>
      </c>
      <c r="G7" s="24"/>
      <c r="H7" s="26">
        <v>100000.0</v>
      </c>
      <c r="I7" s="28" t="s">
        <v>31</v>
      </c>
      <c r="J7" s="28"/>
      <c r="K7" s="28"/>
      <c r="L7" s="28" t="s">
        <v>34</v>
      </c>
      <c r="M7" s="35"/>
      <c r="N7" s="31"/>
      <c r="O7" s="31"/>
      <c r="P7" s="32"/>
      <c r="Q7" s="1"/>
      <c r="R7" s="1"/>
    </row>
    <row r="8">
      <c r="A8" s="1"/>
      <c r="B8" s="14">
        <v>5.0</v>
      </c>
      <c r="C8" s="15" t="s">
        <v>245</v>
      </c>
      <c r="D8" s="18" t="s">
        <v>28</v>
      </c>
      <c r="E8" s="20"/>
      <c r="F8" s="33">
        <v>46136.0</v>
      </c>
      <c r="G8" s="24"/>
      <c r="H8" s="26">
        <v>425000.0</v>
      </c>
      <c r="I8" s="28" t="s">
        <v>22</v>
      </c>
      <c r="J8" s="28" t="s">
        <v>23</v>
      </c>
      <c r="K8" s="28" t="s">
        <v>115</v>
      </c>
      <c r="L8" s="28" t="s">
        <v>34</v>
      </c>
      <c r="M8" s="28" t="s">
        <v>52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305</v>
      </c>
      <c r="D9" s="18" t="s">
        <v>28</v>
      </c>
      <c r="E9" s="20"/>
      <c r="F9" s="33">
        <v>46136.0</v>
      </c>
      <c r="G9" s="24"/>
      <c r="H9" s="26">
        <v>100000.0</v>
      </c>
      <c r="I9" s="28" t="s">
        <v>22</v>
      </c>
      <c r="J9" s="28" t="s">
        <v>23</v>
      </c>
      <c r="K9" s="28" t="s">
        <v>23</v>
      </c>
      <c r="L9" s="28" t="s">
        <v>34</v>
      </c>
      <c r="M9" s="28" t="s">
        <v>52</v>
      </c>
      <c r="N9" s="31"/>
      <c r="O9" s="32"/>
      <c r="P9" s="32"/>
      <c r="Q9" s="1"/>
      <c r="R9" s="1"/>
    </row>
    <row r="10">
      <c r="A10" s="1"/>
      <c r="B10" s="14">
        <v>7.0</v>
      </c>
      <c r="C10" s="15" t="s">
        <v>307</v>
      </c>
      <c r="D10" s="18" t="s">
        <v>28</v>
      </c>
      <c r="E10" s="20"/>
      <c r="F10" s="33">
        <v>46138.0</v>
      </c>
      <c r="G10" s="24"/>
      <c r="H10" s="26">
        <v>100000.0</v>
      </c>
      <c r="I10" s="28" t="s">
        <v>31</v>
      </c>
      <c r="J10" s="28"/>
      <c r="K10" s="28"/>
      <c r="L10" s="28" t="s">
        <v>34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/>
      <c r="D11" s="18"/>
      <c r="E11" s="20"/>
      <c r="F11" s="38"/>
      <c r="G11" s="24"/>
      <c r="H11" s="37"/>
      <c r="I11" s="28"/>
      <c r="J11" s="28"/>
      <c r="K11" s="28"/>
      <c r="L11" s="35"/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/>
      <c r="D12" s="18"/>
      <c r="E12" s="20"/>
      <c r="F12" s="38"/>
      <c r="G12" s="24"/>
      <c r="H12" s="37"/>
      <c r="I12" s="28"/>
      <c r="J12" s="28"/>
      <c r="K12" s="28"/>
      <c r="L12" s="35"/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0</v>
      </c>
      <c r="H19" s="43">
        <f t="shared" si="1"/>
        <v>1025000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34</v>
      </c>
      <c r="P23" s="1"/>
      <c r="Q23" s="1"/>
      <c r="R23" s="1"/>
    </row>
    <row r="24">
      <c r="A24" s="1"/>
      <c r="B24" s="52">
        <v>2.0</v>
      </c>
      <c r="C24" s="53"/>
      <c r="D24" s="54"/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/>
      <c r="D25" s="58"/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52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52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M4:M18 O25:O26">
      <formula1>"-,VERO,FADEL,HANIF ,FAHME"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6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295</v>
      </c>
      <c r="D4" s="18" t="s">
        <v>45</v>
      </c>
      <c r="E4" s="20"/>
      <c r="F4" s="22">
        <v>46137.0</v>
      </c>
      <c r="G4" s="24"/>
      <c r="H4" s="26">
        <v>100000.0</v>
      </c>
      <c r="I4" s="28" t="s">
        <v>31</v>
      </c>
      <c r="J4" s="28"/>
      <c r="K4" s="28"/>
      <c r="L4" s="28" t="s">
        <v>26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306</v>
      </c>
      <c r="D5" s="18" t="s">
        <v>47</v>
      </c>
      <c r="E5" s="20"/>
      <c r="F5" s="22">
        <v>46137.0</v>
      </c>
      <c r="G5" s="24"/>
      <c r="H5" s="26">
        <v>100000.0</v>
      </c>
      <c r="I5" s="28" t="s">
        <v>31</v>
      </c>
      <c r="J5" s="28"/>
      <c r="K5" s="28"/>
      <c r="L5" s="28" t="s">
        <v>26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300</v>
      </c>
      <c r="D6" s="18" t="s">
        <v>28</v>
      </c>
      <c r="E6" s="20"/>
      <c r="F6" s="33">
        <v>46137.0</v>
      </c>
      <c r="G6" s="34"/>
      <c r="H6" s="26">
        <v>150000.0</v>
      </c>
      <c r="I6" s="28" t="s">
        <v>22</v>
      </c>
      <c r="J6" s="28" t="s">
        <v>23</v>
      </c>
      <c r="K6" s="28" t="s">
        <v>23</v>
      </c>
      <c r="L6" s="28" t="s">
        <v>26</v>
      </c>
      <c r="M6" s="28" t="s">
        <v>38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306</v>
      </c>
      <c r="D7" s="18" t="s">
        <v>47</v>
      </c>
      <c r="E7" s="20"/>
      <c r="F7" s="33">
        <v>46137.0</v>
      </c>
      <c r="G7" s="24"/>
      <c r="H7" s="26">
        <v>350000.0</v>
      </c>
      <c r="I7" s="28" t="s">
        <v>22</v>
      </c>
      <c r="J7" s="28" t="s">
        <v>23</v>
      </c>
      <c r="K7" s="28" t="s">
        <v>23</v>
      </c>
      <c r="L7" s="28" t="s">
        <v>26</v>
      </c>
      <c r="M7" s="28" t="s">
        <v>38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308</v>
      </c>
      <c r="D8" s="18" t="s">
        <v>75</v>
      </c>
      <c r="E8" s="20"/>
      <c r="F8" s="33">
        <v>46137.0</v>
      </c>
      <c r="G8" s="24"/>
      <c r="H8" s="26">
        <v>100000.0</v>
      </c>
      <c r="I8" s="28" t="s">
        <v>31</v>
      </c>
      <c r="J8" s="28"/>
      <c r="K8" s="28"/>
      <c r="L8" s="28" t="s">
        <v>26</v>
      </c>
      <c r="M8" s="35"/>
      <c r="N8" s="31"/>
      <c r="O8" s="32"/>
      <c r="P8" s="32"/>
      <c r="Q8" s="1"/>
      <c r="R8" s="1"/>
    </row>
    <row r="9">
      <c r="A9" s="1"/>
      <c r="B9" s="14">
        <v>6.0</v>
      </c>
      <c r="C9" s="15" t="s">
        <v>309</v>
      </c>
      <c r="D9" s="18" t="s">
        <v>20</v>
      </c>
      <c r="E9" s="20"/>
      <c r="F9" s="36">
        <v>46182.0</v>
      </c>
      <c r="G9" s="24"/>
      <c r="H9" s="26">
        <v>100000.0</v>
      </c>
      <c r="I9" s="28" t="s">
        <v>31</v>
      </c>
      <c r="J9" s="28"/>
      <c r="K9" s="28"/>
      <c r="L9" s="28" t="s">
        <v>26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310</v>
      </c>
      <c r="D10" s="18" t="s">
        <v>54</v>
      </c>
      <c r="E10" s="20"/>
      <c r="F10" s="33">
        <v>46140.0</v>
      </c>
      <c r="G10" s="24"/>
      <c r="H10" s="26">
        <v>100000.0</v>
      </c>
      <c r="I10" s="28" t="s">
        <v>31</v>
      </c>
      <c r="J10" s="28"/>
      <c r="K10" s="28"/>
      <c r="L10" s="28" t="s">
        <v>26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311</v>
      </c>
      <c r="D11" s="18" t="s">
        <v>28</v>
      </c>
      <c r="E11" s="20"/>
      <c r="F11" s="33">
        <v>46140.0</v>
      </c>
      <c r="G11" s="24"/>
      <c r="H11" s="26">
        <v>100000.0</v>
      </c>
      <c r="I11" s="28" t="s">
        <v>31</v>
      </c>
      <c r="J11" s="28"/>
      <c r="K11" s="28"/>
      <c r="L11" s="28" t="s">
        <v>26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312</v>
      </c>
      <c r="D12" s="18" t="s">
        <v>28</v>
      </c>
      <c r="E12" s="20"/>
      <c r="F12" s="33">
        <v>46142.0</v>
      </c>
      <c r="G12" s="24"/>
      <c r="H12" s="26">
        <v>100000.0</v>
      </c>
      <c r="I12" s="28" t="s">
        <v>31</v>
      </c>
      <c r="J12" s="28"/>
      <c r="K12" s="28"/>
      <c r="L12" s="28" t="s">
        <v>26</v>
      </c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295</v>
      </c>
      <c r="D13" s="18" t="s">
        <v>45</v>
      </c>
      <c r="E13" s="20"/>
      <c r="F13" s="33">
        <v>46137.0</v>
      </c>
      <c r="G13" s="24">
        <v>250000.0</v>
      </c>
      <c r="H13" s="37"/>
      <c r="I13" s="28" t="s">
        <v>22</v>
      </c>
      <c r="J13" s="28" t="s">
        <v>23</v>
      </c>
      <c r="K13" s="28" t="s">
        <v>24</v>
      </c>
      <c r="L13" s="28" t="s">
        <v>26</v>
      </c>
      <c r="M13" s="28" t="s">
        <v>38</v>
      </c>
      <c r="N13" s="31"/>
      <c r="O13" s="32"/>
      <c r="P13" s="32"/>
      <c r="Q13" s="1"/>
      <c r="R13" s="1"/>
    </row>
    <row r="14">
      <c r="A14" s="1"/>
      <c r="B14" s="38"/>
      <c r="C14" s="15" t="s">
        <v>313</v>
      </c>
      <c r="D14" s="18" t="s">
        <v>75</v>
      </c>
      <c r="E14" s="20"/>
      <c r="F14" s="33">
        <v>46137.0</v>
      </c>
      <c r="G14" s="24">
        <v>100000.0</v>
      </c>
      <c r="H14" s="37"/>
      <c r="I14" s="28" t="s">
        <v>22</v>
      </c>
      <c r="J14" s="28" t="s">
        <v>23</v>
      </c>
      <c r="K14" s="28" t="s">
        <v>23</v>
      </c>
      <c r="L14" s="28" t="s">
        <v>26</v>
      </c>
      <c r="M14" s="28" t="s">
        <v>27</v>
      </c>
      <c r="N14" s="31"/>
      <c r="O14" s="32"/>
      <c r="P14" s="32"/>
      <c r="Q14" s="1"/>
      <c r="R14" s="1"/>
    </row>
    <row r="15">
      <c r="A15" s="1"/>
      <c r="B15" s="38"/>
      <c r="C15" s="15" t="s">
        <v>315</v>
      </c>
      <c r="D15" s="18" t="s">
        <v>28</v>
      </c>
      <c r="E15" s="20"/>
      <c r="F15" s="33">
        <v>46137.0</v>
      </c>
      <c r="G15" s="24">
        <v>150000.0</v>
      </c>
      <c r="H15" s="37"/>
      <c r="I15" s="28" t="s">
        <v>22</v>
      </c>
      <c r="J15" s="28" t="s">
        <v>23</v>
      </c>
      <c r="K15" s="28" t="s">
        <v>23</v>
      </c>
      <c r="L15" s="28" t="s">
        <v>26</v>
      </c>
      <c r="M15" s="28" t="s">
        <v>27</v>
      </c>
      <c r="N15" s="31"/>
      <c r="O15" s="32"/>
      <c r="P15" s="32"/>
      <c r="Q15" s="1"/>
      <c r="R15" s="1"/>
    </row>
    <row r="16">
      <c r="A16" s="1"/>
      <c r="B16" s="38"/>
      <c r="C16" s="15" t="s">
        <v>316</v>
      </c>
      <c r="D16" s="18" t="s">
        <v>28</v>
      </c>
      <c r="E16" s="20"/>
      <c r="F16" s="33">
        <v>46139.0</v>
      </c>
      <c r="G16" s="24"/>
      <c r="H16" s="26">
        <v>100000.0</v>
      </c>
      <c r="I16" s="28" t="s">
        <v>31</v>
      </c>
      <c r="J16" s="28"/>
      <c r="K16" s="28"/>
      <c r="L16" s="28" t="s">
        <v>26</v>
      </c>
      <c r="M16" s="35"/>
      <c r="N16" s="31"/>
      <c r="O16" s="32"/>
      <c r="P16" s="32"/>
      <c r="Q16" s="1"/>
      <c r="R16" s="1"/>
    </row>
    <row r="17">
      <c r="A17" s="1"/>
      <c r="B17" s="38"/>
      <c r="C17" s="15" t="s">
        <v>194</v>
      </c>
      <c r="D17" s="18" t="s">
        <v>28</v>
      </c>
      <c r="E17" s="20"/>
      <c r="F17" s="33">
        <v>46137.0</v>
      </c>
      <c r="G17" s="24"/>
      <c r="H17" s="26">
        <v>600000.0</v>
      </c>
      <c r="I17" s="28" t="s">
        <v>22</v>
      </c>
      <c r="J17" s="28" t="s">
        <v>23</v>
      </c>
      <c r="K17" s="28" t="s">
        <v>23</v>
      </c>
      <c r="L17" s="28" t="s">
        <v>26</v>
      </c>
      <c r="M17" s="28" t="s">
        <v>27</v>
      </c>
      <c r="N17" s="31"/>
      <c r="O17" s="32"/>
      <c r="P17" s="32"/>
      <c r="Q17" s="1"/>
      <c r="R17" s="1"/>
    </row>
    <row r="18">
      <c r="A18" s="1"/>
      <c r="B18" s="38"/>
      <c r="C18" s="15" t="s">
        <v>317</v>
      </c>
      <c r="D18" s="18" t="s">
        <v>54</v>
      </c>
      <c r="E18" s="20"/>
      <c r="F18" s="33">
        <v>46138.0</v>
      </c>
      <c r="G18" s="24"/>
      <c r="H18" s="26">
        <v>100000.0</v>
      </c>
      <c r="I18" s="28" t="s">
        <v>31</v>
      </c>
      <c r="J18" s="28"/>
      <c r="K18" s="28"/>
      <c r="L18" s="28" t="s">
        <v>26</v>
      </c>
      <c r="M18" s="35"/>
      <c r="N18" s="31"/>
      <c r="O18" s="32"/>
      <c r="P18" s="32"/>
      <c r="Q18" s="1"/>
      <c r="R18" s="1"/>
    </row>
    <row r="19">
      <c r="A19" s="1"/>
      <c r="B19" s="38"/>
      <c r="C19" s="15"/>
      <c r="D19" s="18"/>
      <c r="E19" s="20"/>
      <c r="F19" s="38"/>
      <c r="G19" s="24"/>
      <c r="H19" s="37"/>
      <c r="I19" s="28"/>
      <c r="J19" s="28"/>
      <c r="K19" s="28"/>
      <c r="L19" s="35"/>
      <c r="M19" s="35"/>
      <c r="N19" s="31"/>
      <c r="O19" s="32"/>
      <c r="P19" s="32"/>
      <c r="Q19" s="1"/>
      <c r="R19" s="1"/>
    </row>
    <row r="20">
      <c r="A20" s="1"/>
      <c r="B20" s="38"/>
      <c r="C20" s="15"/>
      <c r="D20" s="18"/>
      <c r="E20" s="20"/>
      <c r="F20" s="38"/>
      <c r="G20" s="24"/>
      <c r="H20" s="37"/>
      <c r="I20" s="28"/>
      <c r="J20" s="28"/>
      <c r="K20" s="28"/>
      <c r="L20" s="35"/>
      <c r="M20" s="35"/>
      <c r="N20" s="31"/>
      <c r="O20" s="32"/>
      <c r="P20" s="32"/>
      <c r="Q20" s="1"/>
      <c r="R20" s="1"/>
    </row>
    <row r="21">
      <c r="A21" s="1"/>
      <c r="B21" s="38"/>
      <c r="C21" s="40"/>
      <c r="D21" s="18"/>
      <c r="E21" s="20"/>
      <c r="F21" s="38"/>
      <c r="G21" s="34"/>
      <c r="H21" s="37"/>
      <c r="I21" s="35"/>
      <c r="J21" s="35"/>
      <c r="K21" s="35"/>
      <c r="L21" s="35"/>
      <c r="M21" s="35"/>
      <c r="N21" s="41"/>
      <c r="O21" s="41"/>
      <c r="P21" s="41"/>
      <c r="Q21" s="1"/>
      <c r="R21" s="1"/>
    </row>
    <row r="22" ht="18.75" customHeight="1">
      <c r="A22" s="1"/>
      <c r="B22" s="1"/>
      <c r="C22" s="2"/>
      <c r="D22" s="2"/>
      <c r="E22" s="1"/>
      <c r="F22" s="1"/>
      <c r="G22" s="42">
        <f t="shared" ref="G22:H22" si="1">SUM(G4:G21)</f>
        <v>500000</v>
      </c>
      <c r="H22" s="43">
        <f t="shared" si="1"/>
        <v>2000000</v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ht="23.25" customHeight="1">
      <c r="A23" s="1"/>
      <c r="B23" s="1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46"/>
      <c r="O23" s="1"/>
      <c r="P23" s="1"/>
      <c r="Q23" s="1"/>
      <c r="R23" s="1"/>
    </row>
    <row r="24">
      <c r="A24" s="1"/>
      <c r="B24" s="1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>
      <c r="A25" s="1"/>
      <c r="B25" s="44" t="s">
        <v>0</v>
      </c>
      <c r="C25" s="45" t="s">
        <v>6</v>
      </c>
      <c r="D25" s="45" t="s">
        <v>82</v>
      </c>
      <c r="E25" s="46"/>
      <c r="F25" s="1"/>
      <c r="G25" s="1"/>
      <c r="H25" s="1"/>
      <c r="I25" s="1"/>
      <c r="J25" s="1"/>
      <c r="K25" s="1"/>
      <c r="L25" s="1"/>
      <c r="M25" s="1"/>
      <c r="N25" s="45" t="s">
        <v>84</v>
      </c>
      <c r="O25" s="45" t="s">
        <v>1</v>
      </c>
      <c r="P25" s="1"/>
      <c r="Q25" s="1"/>
      <c r="R25" s="1"/>
    </row>
    <row r="26">
      <c r="A26" s="1"/>
      <c r="B26" s="47">
        <v>1.0</v>
      </c>
      <c r="C26" s="48" t="s">
        <v>86</v>
      </c>
      <c r="D26" s="49">
        <f>SUM(G22)</f>
        <v>500000</v>
      </c>
      <c r="E26" s="50"/>
      <c r="F26" s="1"/>
      <c r="G26" s="1"/>
      <c r="H26" s="1"/>
      <c r="I26" s="1"/>
      <c r="J26" s="1"/>
      <c r="K26" s="1"/>
      <c r="L26" s="1"/>
      <c r="M26" s="1"/>
      <c r="N26" s="51" t="s">
        <v>88</v>
      </c>
      <c r="O26" s="29" t="s">
        <v>26</v>
      </c>
      <c r="P26" s="1"/>
      <c r="Q26" s="1"/>
      <c r="R26" s="1"/>
    </row>
    <row r="27">
      <c r="A27" s="1"/>
      <c r="B27" s="52">
        <v>2.0</v>
      </c>
      <c r="C27" s="53" t="s">
        <v>102</v>
      </c>
      <c r="D27" s="54">
        <v>-50000.0</v>
      </c>
      <c r="E27" s="55"/>
      <c r="F27" s="1"/>
      <c r="G27" s="1"/>
      <c r="H27" s="1"/>
      <c r="I27" s="1"/>
      <c r="J27" s="1"/>
      <c r="K27" s="1"/>
      <c r="L27" s="1"/>
      <c r="M27" s="1"/>
      <c r="N27" s="56" t="s">
        <v>94</v>
      </c>
      <c r="O27" s="57" t="s">
        <v>26</v>
      </c>
      <c r="P27" s="1"/>
      <c r="Q27" s="1"/>
      <c r="R27" s="1"/>
    </row>
    <row r="28">
      <c r="A28" s="1"/>
      <c r="B28" s="47">
        <v>3.0</v>
      </c>
      <c r="C28" s="48" t="s">
        <v>118</v>
      </c>
      <c r="D28" s="58">
        <v>-100000.0</v>
      </c>
      <c r="E28" s="55"/>
      <c r="F28" s="1"/>
      <c r="G28" s="1"/>
      <c r="H28" s="1"/>
      <c r="I28" s="1"/>
      <c r="J28" s="1"/>
      <c r="K28" s="1"/>
      <c r="L28" s="1"/>
      <c r="M28" s="1"/>
      <c r="N28" s="59" t="s">
        <v>98</v>
      </c>
      <c r="O28" s="31" t="s">
        <v>38</v>
      </c>
      <c r="P28" s="1"/>
      <c r="Q28" s="1"/>
      <c r="R28" s="1"/>
    </row>
    <row r="29">
      <c r="A29" s="1"/>
      <c r="B29" s="52">
        <v>4.0</v>
      </c>
      <c r="C29" s="53" t="s">
        <v>106</v>
      </c>
      <c r="D29" s="54">
        <v>-50000.0</v>
      </c>
      <c r="E29" s="55"/>
      <c r="F29" s="1"/>
      <c r="G29" s="1"/>
      <c r="H29" s="1"/>
      <c r="I29" s="1"/>
      <c r="J29" s="1"/>
      <c r="K29" s="1"/>
      <c r="L29" s="1"/>
      <c r="M29" s="1"/>
      <c r="N29" s="60" t="s">
        <v>100</v>
      </c>
      <c r="O29" s="57" t="s">
        <v>27</v>
      </c>
      <c r="P29" s="1"/>
      <c r="Q29" s="1"/>
      <c r="R29" s="1"/>
    </row>
    <row r="30">
      <c r="A30" s="1"/>
      <c r="B30" s="47"/>
      <c r="C30" s="48" t="s">
        <v>318</v>
      </c>
      <c r="D30" s="58">
        <v>-108000.0</v>
      </c>
      <c r="E30" s="50"/>
      <c r="F30" s="1"/>
      <c r="G30" s="1"/>
      <c r="H30" s="1"/>
      <c r="I30" s="1"/>
      <c r="J30" s="1"/>
      <c r="K30" s="1"/>
      <c r="L30" s="1"/>
      <c r="M30" s="1"/>
      <c r="N30" s="61"/>
      <c r="O30" s="1"/>
      <c r="P30" s="1"/>
      <c r="Q30" s="1"/>
      <c r="R30" s="1"/>
    </row>
    <row r="31">
      <c r="A31" s="1"/>
      <c r="B31" s="52"/>
      <c r="C31" s="63"/>
      <c r="D31" s="64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47"/>
      <c r="C32" s="62"/>
      <c r="D32" s="49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52"/>
      <c r="C33" s="63"/>
      <c r="D33" s="64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47"/>
      <c r="C34" s="62"/>
      <c r="D34" s="49"/>
      <c r="E34" s="5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52"/>
      <c r="C35" s="63"/>
      <c r="D35" s="64"/>
      <c r="E35" s="5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65"/>
      <c r="C36" s="66"/>
      <c r="D36" s="67"/>
      <c r="E36" s="5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68">
        <f>SUM(D26:D36)</f>
        <v>192000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2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2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2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21 O26:O27">
      <formula1>"-,JIJANG,AXEL,PENTIL,FAHME,INDAH"</formula1>
    </dataValidation>
    <dataValidation type="list" allowBlank="1" showErrorMessage="1" sqref="N4:N21">
      <formula1>"-,Pending,Progress,Uploaded"</formula1>
    </dataValidation>
    <dataValidation type="list" allowBlank="1" showErrorMessage="1" sqref="O4:O21">
      <formula1>"-,In Pikako,In Foxe"</formula1>
    </dataValidation>
    <dataValidation type="list" allowBlank="1" showDropDown="1" showErrorMessage="1" sqref="D4:D21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21">
      <formula1>"-,DP,Lunas"</formula1>
    </dataValidation>
    <dataValidation type="list" allowBlank="1" showDropDown="1" showErrorMessage="1" sqref="J4:K21">
      <formula1>"-,Pending,Uploaded"</formula1>
    </dataValidation>
    <dataValidation type="list" allowBlank="1" showDropDown="1" showErrorMessage="1" sqref="M4:M21 O28:O29">
      <formula1>"-,VERO,FADEL,PENTIL,FAHME,ADIF,HANIF"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6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320</v>
      </c>
      <c r="D4" s="18" t="s">
        <v>28</v>
      </c>
      <c r="E4" s="20"/>
      <c r="F4" s="22">
        <v>46145.0</v>
      </c>
      <c r="G4" s="24"/>
      <c r="H4" s="26">
        <v>100000.0</v>
      </c>
      <c r="I4" s="28" t="s">
        <v>31</v>
      </c>
      <c r="J4" s="28"/>
      <c r="K4" s="28"/>
      <c r="L4" s="28" t="s">
        <v>26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324</v>
      </c>
      <c r="D5" s="18" t="s">
        <v>28</v>
      </c>
      <c r="E5" s="69">
        <v>0.2</v>
      </c>
      <c r="F5" s="22">
        <v>46138.0</v>
      </c>
      <c r="G5" s="24">
        <v>620000.0</v>
      </c>
      <c r="H5" s="26"/>
      <c r="I5" s="28" t="s">
        <v>22</v>
      </c>
      <c r="J5" s="28" t="s">
        <v>23</v>
      </c>
      <c r="K5" s="28" t="s">
        <v>23</v>
      </c>
      <c r="L5" s="28" t="s">
        <v>26</v>
      </c>
      <c r="M5" s="28" t="s">
        <v>38</v>
      </c>
      <c r="N5" s="31"/>
      <c r="O5" s="31"/>
      <c r="P5" s="32"/>
      <c r="Q5" s="1"/>
      <c r="R5" s="1"/>
    </row>
    <row r="6">
      <c r="A6" s="1"/>
      <c r="B6" s="14">
        <v>3.0</v>
      </c>
      <c r="C6" s="15" t="s">
        <v>326</v>
      </c>
      <c r="D6" s="18" t="s">
        <v>28</v>
      </c>
      <c r="E6" s="20"/>
      <c r="F6" s="33">
        <v>46143.0</v>
      </c>
      <c r="G6" s="34"/>
      <c r="H6" s="26">
        <v>100000.0</v>
      </c>
      <c r="I6" s="28" t="s">
        <v>31</v>
      </c>
      <c r="J6" s="28"/>
      <c r="K6" s="28"/>
      <c r="L6" s="28" t="s">
        <v>26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331</v>
      </c>
      <c r="D7" s="18" t="s">
        <v>41</v>
      </c>
      <c r="E7" s="20"/>
      <c r="F7" s="33">
        <v>46138.0</v>
      </c>
      <c r="G7" s="24">
        <v>0.0</v>
      </c>
      <c r="H7" s="26">
        <v>0.0</v>
      </c>
      <c r="I7" s="28" t="s">
        <v>22</v>
      </c>
      <c r="J7" s="28" t="s">
        <v>23</v>
      </c>
      <c r="K7" s="28" t="s">
        <v>23</v>
      </c>
      <c r="L7" s="28" t="s">
        <v>26</v>
      </c>
      <c r="M7" s="28" t="s">
        <v>38</v>
      </c>
      <c r="N7" s="31"/>
      <c r="O7" s="31"/>
      <c r="P7" s="32"/>
      <c r="Q7" s="1"/>
      <c r="R7" s="1"/>
    </row>
    <row r="8">
      <c r="A8" s="1"/>
      <c r="B8" s="14">
        <v>5.0</v>
      </c>
      <c r="C8" s="15" t="s">
        <v>249</v>
      </c>
      <c r="D8" s="18" t="s">
        <v>20</v>
      </c>
      <c r="E8" s="20"/>
      <c r="F8" s="33">
        <v>46138.0</v>
      </c>
      <c r="G8" s="24"/>
      <c r="H8" s="26">
        <v>250000.0</v>
      </c>
      <c r="I8" s="28" t="s">
        <v>22</v>
      </c>
      <c r="J8" s="28" t="s">
        <v>23</v>
      </c>
      <c r="K8" s="28" t="s">
        <v>24</v>
      </c>
      <c r="L8" s="28" t="s">
        <v>26</v>
      </c>
      <c r="M8" s="28" t="s">
        <v>38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322</v>
      </c>
      <c r="D9" s="18" t="s">
        <v>28</v>
      </c>
      <c r="E9" s="20"/>
      <c r="F9" s="33">
        <v>46138.0</v>
      </c>
      <c r="G9" s="24"/>
      <c r="H9" s="26">
        <v>100000.0</v>
      </c>
      <c r="I9" s="28" t="s">
        <v>31</v>
      </c>
      <c r="J9" s="28"/>
      <c r="K9" s="28"/>
      <c r="L9" s="28" t="s">
        <v>26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336</v>
      </c>
      <c r="D10" s="18" t="s">
        <v>20</v>
      </c>
      <c r="E10" s="20"/>
      <c r="F10" s="33">
        <v>46138.0</v>
      </c>
      <c r="G10" s="24">
        <v>390000.0</v>
      </c>
      <c r="H10" s="37"/>
      <c r="I10" s="28" t="s">
        <v>22</v>
      </c>
      <c r="J10" s="28" t="s">
        <v>23</v>
      </c>
      <c r="K10" s="28" t="s">
        <v>24</v>
      </c>
      <c r="L10" s="28" t="s">
        <v>26</v>
      </c>
      <c r="M10" s="28" t="s">
        <v>38</v>
      </c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339</v>
      </c>
      <c r="D11" s="18" t="s">
        <v>20</v>
      </c>
      <c r="E11" s="20"/>
      <c r="F11" s="33">
        <v>46165.0</v>
      </c>
      <c r="G11" s="24"/>
      <c r="H11" s="26">
        <v>100000.0</v>
      </c>
      <c r="I11" s="28" t="s">
        <v>31</v>
      </c>
      <c r="J11" s="28"/>
      <c r="K11" s="28"/>
      <c r="L11" s="28" t="s">
        <v>26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164</v>
      </c>
      <c r="D12" s="18" t="s">
        <v>20</v>
      </c>
      <c r="E12" s="20"/>
      <c r="F12" s="33">
        <v>46138.0</v>
      </c>
      <c r="G12" s="24"/>
      <c r="H12" s="26">
        <v>250000.0</v>
      </c>
      <c r="I12" s="28" t="s">
        <v>22</v>
      </c>
      <c r="J12" s="28" t="s">
        <v>23</v>
      </c>
      <c r="K12" s="28" t="s">
        <v>24</v>
      </c>
      <c r="L12" s="28" t="s">
        <v>26</v>
      </c>
      <c r="M12" s="28" t="s">
        <v>38</v>
      </c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345</v>
      </c>
      <c r="D13" s="18" t="s">
        <v>28</v>
      </c>
      <c r="E13" s="20"/>
      <c r="F13" s="33">
        <v>46151.0</v>
      </c>
      <c r="G13" s="24"/>
      <c r="H13" s="26">
        <v>100000.0</v>
      </c>
      <c r="I13" s="28" t="s">
        <v>31</v>
      </c>
      <c r="J13" s="28"/>
      <c r="K13" s="28"/>
      <c r="L13" s="28" t="s">
        <v>26</v>
      </c>
      <c r="M13" s="35"/>
      <c r="N13" s="31"/>
      <c r="O13" s="32"/>
      <c r="P13" s="32"/>
      <c r="Q13" s="1"/>
      <c r="R13" s="1"/>
    </row>
    <row r="14">
      <c r="A14" s="1"/>
      <c r="B14" s="38"/>
      <c r="C14" s="15" t="s">
        <v>350</v>
      </c>
      <c r="D14" s="18" t="s">
        <v>54</v>
      </c>
      <c r="E14" s="20"/>
      <c r="F14" s="33">
        <v>46138.0</v>
      </c>
      <c r="G14" s="24"/>
      <c r="H14" s="26">
        <v>150000.0</v>
      </c>
      <c r="I14" s="28" t="s">
        <v>22</v>
      </c>
      <c r="J14" s="28"/>
      <c r="K14" s="28"/>
      <c r="L14" s="28" t="s">
        <v>34</v>
      </c>
      <c r="M14" s="35"/>
      <c r="N14" s="31"/>
      <c r="O14" s="32"/>
      <c r="P14" s="32"/>
      <c r="Q14" s="1"/>
      <c r="R14" s="1"/>
    </row>
    <row r="15">
      <c r="A15" s="1"/>
      <c r="B15" s="38"/>
      <c r="C15" s="15" t="s">
        <v>307</v>
      </c>
      <c r="D15" s="18" t="s">
        <v>28</v>
      </c>
      <c r="E15" s="20"/>
      <c r="F15" s="33">
        <v>46138.0</v>
      </c>
      <c r="G15" s="24"/>
      <c r="H15" s="26">
        <v>250000.0</v>
      </c>
      <c r="I15" s="28" t="s">
        <v>22</v>
      </c>
      <c r="J15" s="28" t="s">
        <v>23</v>
      </c>
      <c r="K15" s="28" t="s">
        <v>23</v>
      </c>
      <c r="L15" s="28" t="s">
        <v>34</v>
      </c>
      <c r="M15" s="28" t="s">
        <v>52</v>
      </c>
      <c r="N15" s="31"/>
      <c r="O15" s="32"/>
      <c r="P15" s="32"/>
      <c r="Q15" s="1"/>
      <c r="R15" s="1"/>
    </row>
    <row r="16">
      <c r="A16" s="1"/>
      <c r="B16" s="38"/>
      <c r="C16" s="15" t="s">
        <v>350</v>
      </c>
      <c r="D16" s="18" t="s">
        <v>41</v>
      </c>
      <c r="E16" s="20" t="s">
        <v>150</v>
      </c>
      <c r="F16" s="33">
        <v>46138.0</v>
      </c>
      <c r="G16" s="24">
        <v>50000.0</v>
      </c>
      <c r="H16" s="37"/>
      <c r="I16" s="28" t="s">
        <v>22</v>
      </c>
      <c r="J16" s="28" t="s">
        <v>23</v>
      </c>
      <c r="K16" s="28" t="s">
        <v>24</v>
      </c>
      <c r="L16" s="28" t="s">
        <v>34</v>
      </c>
      <c r="M16" s="28" t="s">
        <v>52</v>
      </c>
      <c r="N16" s="31"/>
      <c r="O16" s="32"/>
      <c r="P16" s="32"/>
      <c r="Q16" s="1"/>
      <c r="R16" s="1"/>
    </row>
    <row r="17">
      <c r="A17" s="1"/>
      <c r="B17" s="38"/>
      <c r="C17" s="15" t="s">
        <v>354</v>
      </c>
      <c r="D17" s="18" t="s">
        <v>45</v>
      </c>
      <c r="E17" s="20"/>
      <c r="F17" s="14" t="s">
        <v>281</v>
      </c>
      <c r="G17" s="24"/>
      <c r="H17" s="26">
        <v>100000.0</v>
      </c>
      <c r="I17" s="28" t="s">
        <v>31</v>
      </c>
      <c r="J17" s="28"/>
      <c r="K17" s="28"/>
      <c r="L17" s="28" t="s">
        <v>34</v>
      </c>
      <c r="M17" s="35"/>
      <c r="N17" s="31"/>
      <c r="O17" s="32"/>
      <c r="P17" s="32"/>
      <c r="Q17" s="1"/>
      <c r="R17" s="1"/>
    </row>
    <row r="18">
      <c r="A18" s="1"/>
      <c r="B18" s="38"/>
      <c r="C18" s="15" t="s">
        <v>355</v>
      </c>
      <c r="D18" s="18" t="s">
        <v>47</v>
      </c>
      <c r="E18" s="20"/>
      <c r="F18" s="33">
        <v>46140.0</v>
      </c>
      <c r="G18" s="34"/>
      <c r="H18" s="26">
        <v>100000.0</v>
      </c>
      <c r="I18" s="28" t="s">
        <v>31</v>
      </c>
      <c r="J18" s="35"/>
      <c r="K18" s="35"/>
      <c r="L18" s="28" t="s">
        <v>34</v>
      </c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1060000</v>
      </c>
      <c r="H19" s="43">
        <f t="shared" si="1"/>
        <v>1600000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1060000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 t="s">
        <v>137</v>
      </c>
      <c r="D24" s="54">
        <v>-150000.0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 t="s">
        <v>95</v>
      </c>
      <c r="D25" s="58">
        <v>-16000.0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38</v>
      </c>
      <c r="P25" s="1"/>
      <c r="Q25" s="1"/>
      <c r="R25" s="1"/>
    </row>
    <row r="26">
      <c r="A26" s="1"/>
      <c r="B26" s="52">
        <v>4.0</v>
      </c>
      <c r="C26" s="53" t="s">
        <v>96</v>
      </c>
      <c r="D26" s="54">
        <v>-24000.0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52</v>
      </c>
      <c r="P26" s="1"/>
      <c r="Q26" s="1"/>
      <c r="R26" s="1"/>
    </row>
    <row r="27">
      <c r="A27" s="1"/>
      <c r="B27" s="47"/>
      <c r="C27" s="48" t="s">
        <v>357</v>
      </c>
      <c r="D27" s="58">
        <v>-20000.0</v>
      </c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850000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ErrorMessage="1" sqref="N4:N18">
      <formula1>"-,Pending,Progress,Uploaded"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"-,VERO,FADEL,PENTIL,HANIF ,ADIF"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6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319</v>
      </c>
      <c r="D4" s="18" t="s">
        <v>41</v>
      </c>
      <c r="E4" s="20"/>
      <c r="F4" s="14" t="s">
        <v>285</v>
      </c>
      <c r="G4" s="24"/>
      <c r="H4" s="26">
        <v>100000.0</v>
      </c>
      <c r="I4" s="28" t="s">
        <v>31</v>
      </c>
      <c r="J4" s="28"/>
      <c r="K4" s="28"/>
      <c r="L4" s="28" t="s">
        <v>34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321</v>
      </c>
      <c r="D5" s="18" t="s">
        <v>54</v>
      </c>
      <c r="E5" s="20"/>
      <c r="F5" s="22">
        <v>46139.0</v>
      </c>
      <c r="G5" s="24"/>
      <c r="H5" s="26">
        <v>100000.0</v>
      </c>
      <c r="I5" s="28" t="s">
        <v>31</v>
      </c>
      <c r="J5" s="28"/>
      <c r="K5" s="28"/>
      <c r="L5" s="28" t="s">
        <v>34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322</v>
      </c>
      <c r="D6" s="18" t="s">
        <v>28</v>
      </c>
      <c r="E6" s="20"/>
      <c r="F6" s="33">
        <v>46139.0</v>
      </c>
      <c r="G6" s="24">
        <v>325000.0</v>
      </c>
      <c r="H6" s="26"/>
      <c r="I6" s="28" t="s">
        <v>22</v>
      </c>
      <c r="J6" s="28" t="s">
        <v>23</v>
      </c>
      <c r="K6" s="28" t="s">
        <v>23</v>
      </c>
      <c r="L6" s="28" t="s">
        <v>34</v>
      </c>
      <c r="M6" s="28" t="s">
        <v>120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164</v>
      </c>
      <c r="D7" s="18" t="s">
        <v>20</v>
      </c>
      <c r="E7" s="20"/>
      <c r="F7" s="33">
        <v>46138.0</v>
      </c>
      <c r="G7" s="24"/>
      <c r="H7" s="26">
        <v>20000.0</v>
      </c>
      <c r="I7" s="28" t="s">
        <v>22</v>
      </c>
      <c r="J7" s="28"/>
      <c r="K7" s="28"/>
      <c r="L7" s="28" t="s">
        <v>34</v>
      </c>
      <c r="M7" s="35"/>
      <c r="N7" s="31"/>
      <c r="O7" s="31"/>
      <c r="P7" s="32"/>
      <c r="Q7" s="1"/>
      <c r="R7" s="1"/>
    </row>
    <row r="8">
      <c r="A8" s="1"/>
      <c r="B8" s="14">
        <v>5.0</v>
      </c>
      <c r="C8" s="15" t="s">
        <v>321</v>
      </c>
      <c r="D8" s="18" t="s">
        <v>54</v>
      </c>
      <c r="E8" s="20"/>
      <c r="F8" s="33">
        <v>46139.0</v>
      </c>
      <c r="G8" s="24"/>
      <c r="H8" s="26">
        <v>200000.0</v>
      </c>
      <c r="I8" s="28" t="s">
        <v>22</v>
      </c>
      <c r="J8" s="28" t="s">
        <v>23</v>
      </c>
      <c r="K8" s="28" t="s">
        <v>23</v>
      </c>
      <c r="L8" s="28" t="s">
        <v>34</v>
      </c>
      <c r="M8" s="28" t="s">
        <v>120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325</v>
      </c>
      <c r="D9" s="18" t="s">
        <v>28</v>
      </c>
      <c r="E9" s="20"/>
      <c r="F9" s="33">
        <v>46139.0</v>
      </c>
      <c r="G9" s="24"/>
      <c r="H9" s="26">
        <v>100000.0</v>
      </c>
      <c r="I9" s="28" t="s">
        <v>31</v>
      </c>
      <c r="J9" s="28"/>
      <c r="K9" s="28"/>
      <c r="L9" s="28" t="s">
        <v>34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327</v>
      </c>
      <c r="D10" s="18" t="s">
        <v>41</v>
      </c>
      <c r="E10" s="20" t="s">
        <v>150</v>
      </c>
      <c r="F10" s="33">
        <v>46139.0</v>
      </c>
      <c r="G10" s="24"/>
      <c r="H10" s="26">
        <v>150000.0</v>
      </c>
      <c r="I10" s="28" t="s">
        <v>22</v>
      </c>
      <c r="J10" s="28" t="s">
        <v>23</v>
      </c>
      <c r="K10" s="28" t="s">
        <v>24</v>
      </c>
      <c r="L10" s="28" t="s">
        <v>26</v>
      </c>
      <c r="M10" s="28" t="s">
        <v>27</v>
      </c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330</v>
      </c>
      <c r="D11" s="18" t="s">
        <v>28</v>
      </c>
      <c r="E11" s="20"/>
      <c r="F11" s="33">
        <v>46139.0</v>
      </c>
      <c r="G11" s="24">
        <v>75000.0</v>
      </c>
      <c r="H11" s="26">
        <v>100000.0</v>
      </c>
      <c r="I11" s="28" t="s">
        <v>22</v>
      </c>
      <c r="J11" s="28" t="s">
        <v>23</v>
      </c>
      <c r="K11" s="28" t="s">
        <v>23</v>
      </c>
      <c r="L11" s="28" t="s">
        <v>26</v>
      </c>
      <c r="M11" s="28" t="s">
        <v>27</v>
      </c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332</v>
      </c>
      <c r="D12" s="18" t="s">
        <v>75</v>
      </c>
      <c r="E12" s="20"/>
      <c r="F12" s="33">
        <v>46139.0</v>
      </c>
      <c r="G12" s="24"/>
      <c r="H12" s="26">
        <v>100000.0</v>
      </c>
      <c r="I12" s="28" t="s">
        <v>31</v>
      </c>
      <c r="J12" s="28"/>
      <c r="K12" s="28"/>
      <c r="L12" s="28" t="s">
        <v>26</v>
      </c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325</v>
      </c>
      <c r="D13" s="18" t="s">
        <v>28</v>
      </c>
      <c r="E13" s="20"/>
      <c r="F13" s="33">
        <v>46139.0</v>
      </c>
      <c r="G13" s="24"/>
      <c r="H13" s="26">
        <v>100000.0</v>
      </c>
      <c r="I13" s="28" t="s">
        <v>22</v>
      </c>
      <c r="J13" s="28" t="s">
        <v>23</v>
      </c>
      <c r="K13" s="28" t="s">
        <v>24</v>
      </c>
      <c r="L13" s="28" t="s">
        <v>26</v>
      </c>
      <c r="M13" s="28" t="s">
        <v>27</v>
      </c>
      <c r="N13" s="31"/>
      <c r="O13" s="32"/>
      <c r="P13" s="32"/>
      <c r="Q13" s="1"/>
      <c r="R13" s="1"/>
    </row>
    <row r="14">
      <c r="A14" s="1"/>
      <c r="B14" s="38"/>
      <c r="C14" s="15" t="s">
        <v>334</v>
      </c>
      <c r="D14" s="18" t="s">
        <v>75</v>
      </c>
      <c r="E14" s="20"/>
      <c r="F14" s="33">
        <v>46139.0</v>
      </c>
      <c r="G14" s="24"/>
      <c r="H14" s="26">
        <v>100000.0</v>
      </c>
      <c r="I14" s="28" t="s">
        <v>22</v>
      </c>
      <c r="J14" s="28" t="s">
        <v>23</v>
      </c>
      <c r="K14" s="28" t="s">
        <v>23</v>
      </c>
      <c r="L14" s="28" t="s">
        <v>26</v>
      </c>
      <c r="M14" s="28" t="s">
        <v>27</v>
      </c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400000</v>
      </c>
      <c r="H19" s="43">
        <f t="shared" si="1"/>
        <v>1070000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400000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34</v>
      </c>
      <c r="P23" s="1"/>
      <c r="Q23" s="1"/>
      <c r="R23" s="1"/>
    </row>
    <row r="24">
      <c r="A24" s="1"/>
      <c r="B24" s="52">
        <v>2.0</v>
      </c>
      <c r="C24" s="53" t="s">
        <v>102</v>
      </c>
      <c r="D24" s="54">
        <v>-50000.0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26</v>
      </c>
      <c r="P24" s="1"/>
      <c r="Q24" s="1"/>
      <c r="R24" s="1"/>
    </row>
    <row r="25">
      <c r="A25" s="1"/>
      <c r="B25" s="47">
        <v>3.0</v>
      </c>
      <c r="C25" s="48" t="s">
        <v>118</v>
      </c>
      <c r="D25" s="58">
        <v>-75000.0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120</v>
      </c>
      <c r="P25" s="1"/>
      <c r="Q25" s="1"/>
      <c r="R25" s="1"/>
    </row>
    <row r="26">
      <c r="A26" s="1"/>
      <c r="B26" s="52">
        <v>4.0</v>
      </c>
      <c r="C26" s="53" t="s">
        <v>95</v>
      </c>
      <c r="D26" s="54">
        <v>-24000.0</v>
      </c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27</v>
      </c>
      <c r="P26" s="1"/>
      <c r="Q26" s="1"/>
      <c r="R26" s="1"/>
    </row>
    <row r="27">
      <c r="A27" s="1"/>
      <c r="B27" s="47"/>
      <c r="C27" s="48" t="s">
        <v>106</v>
      </c>
      <c r="D27" s="58">
        <v>-30000.0</v>
      </c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53" t="s">
        <v>356</v>
      </c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221000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M4:M18 O25:O26">
      <formula1>"-,VERO,FADEL,PENTIL,ADIF ,HANIF"</formula1>
    </dataValidation>
    <dataValidation type="list" allowBlank="1" showDropDown="1" showErrorMessage="1" sqref="L4:L18 O23:O24">
      <formula1>"-,JIJANG,ADDEL 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6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323</v>
      </c>
      <c r="D4" s="18" t="s">
        <v>47</v>
      </c>
      <c r="E4" s="20"/>
      <c r="F4" s="22">
        <v>46140.0</v>
      </c>
      <c r="G4" s="24"/>
      <c r="H4" s="26">
        <v>100000.0</v>
      </c>
      <c r="I4" s="28" t="s">
        <v>31</v>
      </c>
      <c r="J4" s="28"/>
      <c r="K4" s="28"/>
      <c r="L4" s="28" t="s">
        <v>34</v>
      </c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329</v>
      </c>
      <c r="D5" s="18" t="s">
        <v>45</v>
      </c>
      <c r="E5" s="20"/>
      <c r="F5" s="22">
        <v>46140.0</v>
      </c>
      <c r="G5" s="24"/>
      <c r="H5" s="26">
        <v>100000.0</v>
      </c>
      <c r="I5" s="28" t="s">
        <v>31</v>
      </c>
      <c r="J5" s="28"/>
      <c r="K5" s="28"/>
      <c r="L5" s="28" t="s">
        <v>34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195</v>
      </c>
      <c r="D6" s="18" t="s">
        <v>36</v>
      </c>
      <c r="E6" s="20"/>
      <c r="F6" s="33">
        <v>46125.0</v>
      </c>
      <c r="G6" s="34"/>
      <c r="H6" s="26">
        <v>20000.0</v>
      </c>
      <c r="I6" s="28" t="s">
        <v>31</v>
      </c>
      <c r="J6" s="28"/>
      <c r="K6" s="28"/>
      <c r="L6" s="28" t="s">
        <v>34</v>
      </c>
      <c r="M6" s="35"/>
      <c r="N6" s="31"/>
      <c r="O6" s="31"/>
      <c r="P6" s="32"/>
      <c r="Q6" s="1"/>
      <c r="R6" s="1"/>
    </row>
    <row r="7">
      <c r="A7" s="1"/>
      <c r="B7" s="14">
        <v>4.0</v>
      </c>
      <c r="C7" s="15" t="s">
        <v>333</v>
      </c>
      <c r="D7" s="18" t="s">
        <v>41</v>
      </c>
      <c r="E7" s="20"/>
      <c r="F7" s="33">
        <v>46140.0</v>
      </c>
      <c r="G7" s="24"/>
      <c r="H7" s="26">
        <v>125000.0</v>
      </c>
      <c r="I7" s="28" t="s">
        <v>31</v>
      </c>
      <c r="J7" s="28"/>
      <c r="K7" s="28"/>
      <c r="L7" s="28" t="s">
        <v>34</v>
      </c>
      <c r="M7" s="35"/>
      <c r="N7" s="31"/>
      <c r="O7" s="31"/>
      <c r="P7" s="32"/>
      <c r="Q7" s="1"/>
      <c r="R7" s="1"/>
    </row>
    <row r="8">
      <c r="A8" s="1"/>
      <c r="B8" s="14">
        <v>5.0</v>
      </c>
      <c r="C8" s="15" t="s">
        <v>323</v>
      </c>
      <c r="D8" s="18" t="s">
        <v>47</v>
      </c>
      <c r="E8" s="20" t="s">
        <v>335</v>
      </c>
      <c r="F8" s="33">
        <v>46140.0</v>
      </c>
      <c r="G8" s="24"/>
      <c r="H8" s="26">
        <v>370000.0</v>
      </c>
      <c r="I8" s="28" t="s">
        <v>22</v>
      </c>
      <c r="J8" s="28" t="s">
        <v>23</v>
      </c>
      <c r="K8" s="28" t="s">
        <v>23</v>
      </c>
      <c r="L8" s="28" t="s">
        <v>34</v>
      </c>
      <c r="M8" s="28" t="s">
        <v>52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333</v>
      </c>
      <c r="D9" s="18" t="s">
        <v>41</v>
      </c>
      <c r="E9" s="20"/>
      <c r="F9" s="33">
        <v>46140.0</v>
      </c>
      <c r="G9" s="24"/>
      <c r="H9" s="26">
        <v>125000.0</v>
      </c>
      <c r="I9" s="28" t="s">
        <v>22</v>
      </c>
      <c r="J9" s="28" t="s">
        <v>23</v>
      </c>
      <c r="K9" s="28" t="s">
        <v>24</v>
      </c>
      <c r="L9" s="28" t="s">
        <v>34</v>
      </c>
      <c r="M9" s="28" t="s">
        <v>52</v>
      </c>
      <c r="N9" s="31"/>
      <c r="O9" s="32"/>
      <c r="P9" s="32"/>
      <c r="Q9" s="1"/>
      <c r="R9" s="1"/>
    </row>
    <row r="10">
      <c r="A10" s="1"/>
      <c r="B10" s="14">
        <v>7.0</v>
      </c>
      <c r="C10" s="15" t="s">
        <v>338</v>
      </c>
      <c r="D10" s="18" t="s">
        <v>117</v>
      </c>
      <c r="E10" s="20"/>
      <c r="F10" s="33">
        <v>46142.0</v>
      </c>
      <c r="G10" s="24"/>
      <c r="H10" s="26">
        <v>210000.0</v>
      </c>
      <c r="I10" s="28" t="s">
        <v>31</v>
      </c>
      <c r="J10" s="28"/>
      <c r="K10" s="28"/>
      <c r="L10" s="28" t="s">
        <v>34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37</v>
      </c>
      <c r="D11" s="18" t="s">
        <v>41</v>
      </c>
      <c r="E11" s="20"/>
      <c r="F11" s="33">
        <v>46140.0</v>
      </c>
      <c r="G11" s="24"/>
      <c r="H11" s="26">
        <v>100000.0</v>
      </c>
      <c r="I11" s="28" t="s">
        <v>22</v>
      </c>
      <c r="J11" s="28" t="s">
        <v>23</v>
      </c>
      <c r="K11" s="28" t="s">
        <v>23</v>
      </c>
      <c r="L11" s="28" t="s">
        <v>26</v>
      </c>
      <c r="M11" s="28" t="s">
        <v>38</v>
      </c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342</v>
      </c>
      <c r="D12" s="18" t="s">
        <v>75</v>
      </c>
      <c r="E12" s="20"/>
      <c r="F12" s="33">
        <v>46142.0</v>
      </c>
      <c r="G12" s="24"/>
      <c r="H12" s="26">
        <v>100000.0</v>
      </c>
      <c r="I12" s="28" t="s">
        <v>31</v>
      </c>
      <c r="J12" s="28"/>
      <c r="K12" s="28"/>
      <c r="L12" s="28" t="s">
        <v>26</v>
      </c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343</v>
      </c>
      <c r="D13" s="18" t="s">
        <v>47</v>
      </c>
      <c r="E13" s="20"/>
      <c r="F13" s="33">
        <v>46140.0</v>
      </c>
      <c r="G13" s="24">
        <v>350000.0</v>
      </c>
      <c r="H13" s="37"/>
      <c r="I13" s="28" t="s">
        <v>22</v>
      </c>
      <c r="J13" s="28" t="s">
        <v>23</v>
      </c>
      <c r="K13" s="28" t="s">
        <v>24</v>
      </c>
      <c r="L13" s="28" t="s">
        <v>26</v>
      </c>
      <c r="M13" s="28" t="s">
        <v>38</v>
      </c>
      <c r="N13" s="31"/>
      <c r="O13" s="32"/>
      <c r="P13" s="32"/>
      <c r="Q13" s="1"/>
      <c r="R13" s="1"/>
    </row>
    <row r="14">
      <c r="A14" s="1"/>
      <c r="B14" s="38"/>
      <c r="C14" s="15" t="s">
        <v>347</v>
      </c>
      <c r="D14" s="18" t="s">
        <v>79</v>
      </c>
      <c r="E14" s="20"/>
      <c r="F14" s="33">
        <v>46165.0</v>
      </c>
      <c r="G14" s="24"/>
      <c r="H14" s="26">
        <v>100000.0</v>
      </c>
      <c r="I14" s="28" t="s">
        <v>31</v>
      </c>
      <c r="J14" s="28"/>
      <c r="K14" s="28"/>
      <c r="L14" s="28" t="s">
        <v>26</v>
      </c>
      <c r="M14" s="35"/>
      <c r="N14" s="31"/>
      <c r="O14" s="32"/>
      <c r="P14" s="32"/>
      <c r="Q14" s="1"/>
      <c r="R14" s="1"/>
    </row>
    <row r="15">
      <c r="A15" s="1"/>
      <c r="B15" s="38"/>
      <c r="C15" s="15" t="s">
        <v>349</v>
      </c>
      <c r="D15" s="18" t="s">
        <v>45</v>
      </c>
      <c r="E15" s="20"/>
      <c r="F15" s="33">
        <v>46140.0</v>
      </c>
      <c r="G15" s="24"/>
      <c r="H15" s="26">
        <v>250000.0</v>
      </c>
      <c r="I15" s="28" t="s">
        <v>22</v>
      </c>
      <c r="J15" s="28" t="s">
        <v>23</v>
      </c>
      <c r="K15" s="28" t="s">
        <v>24</v>
      </c>
      <c r="L15" s="28" t="s">
        <v>26</v>
      </c>
      <c r="M15" s="28" t="s">
        <v>38</v>
      </c>
      <c r="N15" s="31"/>
      <c r="O15" s="32"/>
      <c r="P15" s="32"/>
      <c r="Q15" s="1"/>
      <c r="R15" s="1"/>
    </row>
    <row r="16">
      <c r="A16" s="1"/>
      <c r="B16" s="38"/>
      <c r="C16" s="15" t="s">
        <v>352</v>
      </c>
      <c r="D16" s="18" t="s">
        <v>28</v>
      </c>
      <c r="E16" s="20"/>
      <c r="F16" s="33">
        <v>46140.0</v>
      </c>
      <c r="G16" s="24"/>
      <c r="H16" s="26">
        <v>75000.0</v>
      </c>
      <c r="I16" s="28" t="s">
        <v>22</v>
      </c>
      <c r="J16" s="28" t="s">
        <v>23</v>
      </c>
      <c r="K16" s="28" t="s">
        <v>23</v>
      </c>
      <c r="L16" s="28" t="s">
        <v>26</v>
      </c>
      <c r="M16" s="28" t="s">
        <v>38</v>
      </c>
      <c r="N16" s="31"/>
      <c r="O16" s="32"/>
      <c r="P16" s="32"/>
      <c r="Q16" s="1"/>
      <c r="R16" s="1"/>
    </row>
    <row r="17">
      <c r="A17" s="1"/>
      <c r="B17" s="38"/>
      <c r="C17" s="15" t="s">
        <v>18</v>
      </c>
      <c r="D17" s="18" t="s">
        <v>54</v>
      </c>
      <c r="E17" s="20"/>
      <c r="F17" s="14" t="s">
        <v>353</v>
      </c>
      <c r="G17" s="24"/>
      <c r="H17" s="26">
        <v>50000.0</v>
      </c>
      <c r="I17" s="28" t="s">
        <v>22</v>
      </c>
      <c r="J17" s="28" t="s">
        <v>23</v>
      </c>
      <c r="K17" s="28" t="s">
        <v>23</v>
      </c>
      <c r="L17" s="28" t="s">
        <v>26</v>
      </c>
      <c r="M17" s="28" t="s">
        <v>38</v>
      </c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350000</v>
      </c>
      <c r="H19" s="43">
        <f t="shared" si="1"/>
        <v>1725000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350000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34</v>
      </c>
      <c r="P23" s="1"/>
      <c r="Q23" s="1"/>
      <c r="R23" s="1"/>
    </row>
    <row r="24">
      <c r="A24" s="1"/>
      <c r="B24" s="52">
        <v>2.0</v>
      </c>
      <c r="C24" s="53"/>
      <c r="D24" s="54"/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26</v>
      </c>
      <c r="P24" s="1"/>
      <c r="Q24" s="1"/>
      <c r="R24" s="1"/>
    </row>
    <row r="25">
      <c r="A25" s="1"/>
      <c r="B25" s="47">
        <v>3.0</v>
      </c>
      <c r="C25" s="48"/>
      <c r="D25" s="58"/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52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38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350000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"-,JIJANG,ADDEL 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"-,VERO,FADEL,PENTIL,HANIF ,ADIF"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6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328</v>
      </c>
      <c r="D4" s="18" t="s">
        <v>75</v>
      </c>
      <c r="E4" s="20" t="s">
        <v>270</v>
      </c>
      <c r="F4" s="22">
        <v>46141.0</v>
      </c>
      <c r="G4" s="24"/>
      <c r="H4" s="26">
        <v>200000.0</v>
      </c>
      <c r="I4" s="28" t="s">
        <v>22</v>
      </c>
      <c r="J4" s="28" t="s">
        <v>23</v>
      </c>
      <c r="K4" s="28" t="s">
        <v>23</v>
      </c>
      <c r="L4" s="28" t="s">
        <v>26</v>
      </c>
      <c r="M4" s="28" t="s">
        <v>38</v>
      </c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337</v>
      </c>
      <c r="D5" s="18" t="s">
        <v>28</v>
      </c>
      <c r="E5" s="20" t="s">
        <v>270</v>
      </c>
      <c r="F5" s="22">
        <v>46141.0</v>
      </c>
      <c r="G5" s="24"/>
      <c r="H5" s="26">
        <v>1075000.0</v>
      </c>
      <c r="I5" s="28" t="s">
        <v>22</v>
      </c>
      <c r="J5" s="28" t="s">
        <v>23</v>
      </c>
      <c r="K5" s="28" t="s">
        <v>24</v>
      </c>
      <c r="L5" s="28" t="s">
        <v>26</v>
      </c>
      <c r="M5" s="28" t="s">
        <v>38</v>
      </c>
      <c r="N5" s="31"/>
      <c r="O5" s="31"/>
      <c r="P5" s="32"/>
      <c r="Q5" s="1"/>
      <c r="R5" s="1"/>
    </row>
    <row r="6">
      <c r="A6" s="1"/>
      <c r="B6" s="14">
        <v>3.0</v>
      </c>
      <c r="C6" s="15" t="s">
        <v>340</v>
      </c>
      <c r="D6" s="18" t="s">
        <v>41</v>
      </c>
      <c r="E6" s="20"/>
      <c r="F6" s="33">
        <v>46141.0</v>
      </c>
      <c r="G6" s="24">
        <v>150000.0</v>
      </c>
      <c r="H6" s="26"/>
      <c r="I6" s="28" t="s">
        <v>22</v>
      </c>
      <c r="J6" s="28" t="s">
        <v>23</v>
      </c>
      <c r="K6" s="28" t="s">
        <v>23</v>
      </c>
      <c r="L6" s="28" t="s">
        <v>26</v>
      </c>
      <c r="M6" s="28" t="s">
        <v>38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341</v>
      </c>
      <c r="D7" s="18" t="s">
        <v>75</v>
      </c>
      <c r="E7" s="20"/>
      <c r="F7" s="33">
        <v>46142.0</v>
      </c>
      <c r="G7" s="24"/>
      <c r="H7" s="26">
        <v>100000.0</v>
      </c>
      <c r="I7" s="28" t="s">
        <v>31</v>
      </c>
      <c r="J7" s="28"/>
      <c r="K7" s="28"/>
      <c r="L7" s="28" t="s">
        <v>26</v>
      </c>
      <c r="M7" s="35"/>
      <c r="N7" s="31"/>
      <c r="O7" s="31"/>
      <c r="P7" s="32"/>
      <c r="Q7" s="1"/>
      <c r="R7" s="1"/>
    </row>
    <row r="8">
      <c r="A8" s="1"/>
      <c r="B8" s="14">
        <v>5.0</v>
      </c>
      <c r="C8" s="15" t="s">
        <v>51</v>
      </c>
      <c r="D8" s="18" t="s">
        <v>75</v>
      </c>
      <c r="E8" s="20"/>
      <c r="F8" s="33">
        <v>46143.0</v>
      </c>
      <c r="G8" s="24"/>
      <c r="H8" s="26">
        <v>100000.0</v>
      </c>
      <c r="I8" s="28" t="s">
        <v>31</v>
      </c>
      <c r="J8" s="28"/>
      <c r="K8" s="28"/>
      <c r="L8" s="28" t="s">
        <v>26</v>
      </c>
      <c r="M8" s="35"/>
      <c r="N8" s="31"/>
      <c r="O8" s="32"/>
      <c r="P8" s="32"/>
      <c r="Q8" s="1"/>
      <c r="R8" s="1"/>
    </row>
    <row r="9">
      <c r="A9" s="1"/>
      <c r="B9" s="14">
        <v>6.0</v>
      </c>
      <c r="C9" s="15" t="s">
        <v>344</v>
      </c>
      <c r="D9" s="18" t="s">
        <v>28</v>
      </c>
      <c r="E9" s="20"/>
      <c r="F9" s="33">
        <v>46142.0</v>
      </c>
      <c r="G9" s="24"/>
      <c r="H9" s="26">
        <v>425000.0</v>
      </c>
      <c r="I9" s="28" t="s">
        <v>22</v>
      </c>
      <c r="J9" s="28"/>
      <c r="K9" s="28"/>
      <c r="L9" s="28" t="s">
        <v>26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346</v>
      </c>
      <c r="D10" s="18" t="s">
        <v>28</v>
      </c>
      <c r="E10" s="20"/>
      <c r="F10" s="33">
        <v>46152.0</v>
      </c>
      <c r="G10" s="24"/>
      <c r="H10" s="26">
        <v>100000.0</v>
      </c>
      <c r="I10" s="28" t="s">
        <v>31</v>
      </c>
      <c r="J10" s="28"/>
      <c r="K10" s="28"/>
      <c r="L10" s="28" t="s">
        <v>26</v>
      </c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348</v>
      </c>
      <c r="D11" s="18" t="s">
        <v>28</v>
      </c>
      <c r="E11" s="20"/>
      <c r="F11" s="33">
        <v>46141.0</v>
      </c>
      <c r="G11" s="24"/>
      <c r="H11" s="26">
        <v>100000.0</v>
      </c>
      <c r="I11" s="28" t="s">
        <v>22</v>
      </c>
      <c r="J11" s="28" t="s">
        <v>23</v>
      </c>
      <c r="K11" s="28" t="s">
        <v>23</v>
      </c>
      <c r="L11" s="28" t="s">
        <v>26</v>
      </c>
      <c r="M11" s="28" t="s">
        <v>38</v>
      </c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351</v>
      </c>
      <c r="D12" s="18" t="s">
        <v>13</v>
      </c>
      <c r="E12" s="20"/>
      <c r="F12" s="33">
        <v>46141.0</v>
      </c>
      <c r="G12" s="24"/>
      <c r="H12" s="26">
        <v>100000.0</v>
      </c>
      <c r="I12" s="28" t="s">
        <v>22</v>
      </c>
      <c r="J12" s="28" t="s">
        <v>23</v>
      </c>
      <c r="K12" s="28" t="s">
        <v>23</v>
      </c>
      <c r="L12" s="28" t="s">
        <v>26</v>
      </c>
      <c r="M12" s="28" t="s">
        <v>38</v>
      </c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150000</v>
      </c>
      <c r="H19" s="43">
        <f t="shared" si="1"/>
        <v>2200000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150000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26</v>
      </c>
      <c r="P23" s="1"/>
      <c r="Q23" s="1"/>
      <c r="R23" s="1"/>
    </row>
    <row r="24">
      <c r="A24" s="1"/>
      <c r="B24" s="52">
        <v>2.0</v>
      </c>
      <c r="C24" s="53" t="s">
        <v>137</v>
      </c>
      <c r="D24" s="54">
        <v>-50000.0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26</v>
      </c>
      <c r="P24" s="1"/>
      <c r="Q24" s="1"/>
      <c r="R24" s="1"/>
    </row>
    <row r="25">
      <c r="A25" s="1"/>
      <c r="B25" s="47">
        <v>3.0</v>
      </c>
      <c r="C25" s="48" t="s">
        <v>118</v>
      </c>
      <c r="D25" s="58">
        <v>-100000.0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38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38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"-,JIJANG,AXEL,PENTIL,FAHME,INDAH"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Edit,Photofox,All File"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"-,VERO,FADEL,PENTIL,FAHME,ADIF,HANIF"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46">
        <v>2.0</v>
      </c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 t="s">
        <v>341</v>
      </c>
      <c r="D4" s="18" t="s">
        <v>60</v>
      </c>
      <c r="E4" s="20"/>
      <c r="F4" s="22">
        <v>46142.0</v>
      </c>
      <c r="G4" s="24">
        <v>100000.0</v>
      </c>
      <c r="H4" s="26"/>
      <c r="I4" s="28" t="s">
        <v>22</v>
      </c>
      <c r="J4" s="28" t="s">
        <v>23</v>
      </c>
      <c r="K4" s="28" t="s">
        <v>23</v>
      </c>
      <c r="L4" s="28" t="s">
        <v>34</v>
      </c>
      <c r="M4" s="28" t="s">
        <v>52</v>
      </c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 t="s">
        <v>358</v>
      </c>
      <c r="D5" s="18" t="s">
        <v>20</v>
      </c>
      <c r="E5" s="20"/>
      <c r="F5" s="14" t="s">
        <v>234</v>
      </c>
      <c r="G5" s="24"/>
      <c r="H5" s="26">
        <v>100000.0</v>
      </c>
      <c r="I5" s="28" t="s">
        <v>31</v>
      </c>
      <c r="J5" s="28"/>
      <c r="K5" s="28"/>
      <c r="L5" s="28" t="s">
        <v>34</v>
      </c>
      <c r="M5" s="28"/>
      <c r="N5" s="31"/>
      <c r="O5" s="31"/>
      <c r="P5" s="32"/>
      <c r="Q5" s="1"/>
      <c r="R5" s="1"/>
    </row>
    <row r="6">
      <c r="A6" s="1"/>
      <c r="B6" s="14">
        <v>3.0</v>
      </c>
      <c r="C6" s="15" t="s">
        <v>359</v>
      </c>
      <c r="D6" s="18" t="s">
        <v>28</v>
      </c>
      <c r="E6" s="20" t="s">
        <v>270</v>
      </c>
      <c r="F6" s="33">
        <v>46142.0</v>
      </c>
      <c r="G6" s="24">
        <v>275000.0</v>
      </c>
      <c r="H6" s="26"/>
      <c r="I6" s="28" t="s">
        <v>22</v>
      </c>
      <c r="J6" s="28" t="s">
        <v>23</v>
      </c>
      <c r="K6" s="28" t="s">
        <v>23</v>
      </c>
      <c r="L6" s="28" t="s">
        <v>34</v>
      </c>
      <c r="M6" s="28" t="s">
        <v>52</v>
      </c>
      <c r="N6" s="31"/>
      <c r="O6" s="31"/>
      <c r="P6" s="32"/>
      <c r="Q6" s="1"/>
      <c r="R6" s="1"/>
    </row>
    <row r="7">
      <c r="A7" s="1"/>
      <c r="B7" s="14">
        <v>4.0</v>
      </c>
      <c r="C7" s="15" t="s">
        <v>360</v>
      </c>
      <c r="D7" s="18" t="s">
        <v>20</v>
      </c>
      <c r="E7" s="20"/>
      <c r="F7" s="14" t="s">
        <v>234</v>
      </c>
      <c r="G7" s="24"/>
      <c r="H7" s="26">
        <v>100000.0</v>
      </c>
      <c r="I7" s="28" t="s">
        <v>31</v>
      </c>
      <c r="J7" s="28"/>
      <c r="K7" s="28"/>
      <c r="L7" s="28" t="s">
        <v>34</v>
      </c>
      <c r="M7" s="35"/>
      <c r="N7" s="31"/>
      <c r="O7" s="31"/>
      <c r="P7" s="32"/>
      <c r="Q7" s="1"/>
      <c r="R7" s="1"/>
    </row>
    <row r="8">
      <c r="A8" s="1"/>
      <c r="B8" s="14">
        <v>5.0</v>
      </c>
      <c r="C8" s="15" t="s">
        <v>342</v>
      </c>
      <c r="D8" s="18" t="s">
        <v>60</v>
      </c>
      <c r="E8" s="20"/>
      <c r="F8" s="33">
        <v>46142.0</v>
      </c>
      <c r="G8" s="24">
        <v>125000.0</v>
      </c>
      <c r="H8" s="37"/>
      <c r="I8" s="28" t="s">
        <v>22</v>
      </c>
      <c r="J8" s="28" t="s">
        <v>23</v>
      </c>
      <c r="K8" s="28" t="s">
        <v>24</v>
      </c>
      <c r="L8" s="28" t="s">
        <v>34</v>
      </c>
      <c r="M8" s="28" t="s">
        <v>52</v>
      </c>
      <c r="N8" s="31"/>
      <c r="O8" s="32"/>
      <c r="P8" s="32"/>
      <c r="Q8" s="1"/>
      <c r="R8" s="1"/>
    </row>
    <row r="9">
      <c r="A9" s="1"/>
      <c r="B9" s="14">
        <v>6.0</v>
      </c>
      <c r="C9" s="15" t="s">
        <v>361</v>
      </c>
      <c r="D9" s="18" t="s">
        <v>28</v>
      </c>
      <c r="E9" s="20"/>
      <c r="F9" s="14" t="s">
        <v>281</v>
      </c>
      <c r="G9" s="24"/>
      <c r="H9" s="26">
        <v>100000.0</v>
      </c>
      <c r="I9" s="28" t="s">
        <v>31</v>
      </c>
      <c r="J9" s="28"/>
      <c r="K9" s="28"/>
      <c r="L9" s="28" t="s">
        <v>34</v>
      </c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 t="s">
        <v>344</v>
      </c>
      <c r="D10" s="18" t="s">
        <v>28</v>
      </c>
      <c r="E10" s="20"/>
      <c r="F10" s="33">
        <v>46142.0</v>
      </c>
      <c r="G10" s="24">
        <v>0.0</v>
      </c>
      <c r="H10" s="26">
        <v>0.0</v>
      </c>
      <c r="I10" s="28" t="s">
        <v>22</v>
      </c>
      <c r="J10" s="28" t="s">
        <v>23</v>
      </c>
      <c r="K10" s="28" t="s">
        <v>23</v>
      </c>
      <c r="L10" s="28" t="s">
        <v>34</v>
      </c>
      <c r="M10" s="28" t="s">
        <v>52</v>
      </c>
      <c r="N10" s="31"/>
      <c r="O10" s="32"/>
      <c r="P10" s="32"/>
      <c r="Q10" s="1"/>
      <c r="R10" s="1"/>
    </row>
    <row r="11">
      <c r="A11" s="1"/>
      <c r="B11" s="14">
        <v>8.0</v>
      </c>
      <c r="C11" s="15" t="s">
        <v>362</v>
      </c>
      <c r="D11" s="18" t="s">
        <v>20</v>
      </c>
      <c r="E11" s="20"/>
      <c r="F11" s="14" t="s">
        <v>363</v>
      </c>
      <c r="G11" s="24"/>
      <c r="H11" s="26">
        <v>100000.0</v>
      </c>
      <c r="I11" s="28" t="s">
        <v>31</v>
      </c>
      <c r="J11" s="28"/>
      <c r="K11" s="28"/>
      <c r="L11" s="28" t="s">
        <v>34</v>
      </c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 t="s">
        <v>338</v>
      </c>
      <c r="D12" s="18" t="s">
        <v>117</v>
      </c>
      <c r="E12" s="20"/>
      <c r="F12" s="33">
        <v>46142.0</v>
      </c>
      <c r="G12" s="24"/>
      <c r="H12" s="26">
        <v>515000.0</v>
      </c>
      <c r="I12" s="28" t="s">
        <v>22</v>
      </c>
      <c r="J12" s="28" t="s">
        <v>115</v>
      </c>
      <c r="K12" s="28" t="s">
        <v>115</v>
      </c>
      <c r="L12" s="28" t="s">
        <v>34</v>
      </c>
      <c r="M12" s="28" t="s">
        <v>120</v>
      </c>
      <c r="N12" s="31"/>
      <c r="O12" s="32"/>
      <c r="P12" s="32"/>
      <c r="Q12" s="1"/>
      <c r="R12" s="1"/>
    </row>
    <row r="13">
      <c r="A13" s="1"/>
      <c r="B13" s="14">
        <v>10.0</v>
      </c>
      <c r="C13" s="15" t="s">
        <v>312</v>
      </c>
      <c r="D13" s="18" t="s">
        <v>28</v>
      </c>
      <c r="E13" s="20"/>
      <c r="F13" s="33">
        <v>46142.0</v>
      </c>
      <c r="G13" s="24"/>
      <c r="H13" s="26">
        <v>250000.0</v>
      </c>
      <c r="I13" s="28" t="s">
        <v>22</v>
      </c>
      <c r="J13" s="28" t="s">
        <v>23</v>
      </c>
      <c r="K13" s="28" t="s">
        <v>24</v>
      </c>
      <c r="L13" s="28" t="s">
        <v>34</v>
      </c>
      <c r="M13" s="28" t="s">
        <v>120</v>
      </c>
      <c r="N13" s="31"/>
      <c r="O13" s="32"/>
      <c r="P13" s="32"/>
      <c r="Q13" s="1"/>
      <c r="R13" s="1"/>
    </row>
    <row r="14">
      <c r="A14" s="1"/>
      <c r="B14" s="38"/>
      <c r="C14" s="15" t="s">
        <v>364</v>
      </c>
      <c r="D14" s="18" t="s">
        <v>54</v>
      </c>
      <c r="E14" s="20"/>
      <c r="F14" s="14" t="s">
        <v>281</v>
      </c>
      <c r="G14" s="24"/>
      <c r="H14" s="26">
        <v>100000.0</v>
      </c>
      <c r="I14" s="28" t="s">
        <v>31</v>
      </c>
      <c r="J14" s="28"/>
      <c r="K14" s="28"/>
      <c r="L14" s="28" t="s">
        <v>34</v>
      </c>
      <c r="M14" s="35"/>
      <c r="N14" s="31"/>
      <c r="O14" s="32"/>
      <c r="P14" s="32"/>
      <c r="Q14" s="1"/>
      <c r="R14" s="1"/>
    </row>
    <row r="15">
      <c r="A15" s="1"/>
      <c r="B15" s="38"/>
      <c r="C15" s="15" t="s">
        <v>365</v>
      </c>
      <c r="D15" s="18" t="s">
        <v>108</v>
      </c>
      <c r="E15" s="20"/>
      <c r="F15" s="33">
        <v>46142.0</v>
      </c>
      <c r="G15" s="24"/>
      <c r="H15" s="26">
        <v>20000.0</v>
      </c>
      <c r="I15" s="28" t="s">
        <v>22</v>
      </c>
      <c r="J15" s="28"/>
      <c r="K15" s="28"/>
      <c r="L15" s="28" t="s">
        <v>34</v>
      </c>
      <c r="M15" s="35"/>
      <c r="N15" s="31"/>
      <c r="O15" s="32"/>
      <c r="P15" s="32"/>
      <c r="Q15" s="1"/>
      <c r="R15" s="1"/>
    </row>
    <row r="16">
      <c r="A16" s="1"/>
      <c r="B16" s="38"/>
      <c r="C16" s="15" t="s">
        <v>366</v>
      </c>
      <c r="D16" s="18" t="s">
        <v>28</v>
      </c>
      <c r="E16" s="20"/>
      <c r="F16" s="33">
        <v>46142.0</v>
      </c>
      <c r="G16" s="24"/>
      <c r="H16" s="26">
        <v>125000.0</v>
      </c>
      <c r="I16" s="28" t="s">
        <v>22</v>
      </c>
      <c r="J16" s="28" t="s">
        <v>23</v>
      </c>
      <c r="K16" s="28" t="s">
        <v>115</v>
      </c>
      <c r="L16" s="28" t="s">
        <v>34</v>
      </c>
      <c r="M16" s="28" t="s">
        <v>120</v>
      </c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40"/>
      <c r="D18" s="18"/>
      <c r="E18" s="20"/>
      <c r="F18" s="38"/>
      <c r="G18" s="34"/>
      <c r="H18" s="37"/>
      <c r="I18" s="35"/>
      <c r="J18" s="35"/>
      <c r="K18" s="35"/>
      <c r="L18" s="35"/>
      <c r="M18" s="35"/>
      <c r="N18" s="41"/>
      <c r="O18" s="41"/>
      <c r="P18" s="41"/>
      <c r="Q18" s="1"/>
      <c r="R18" s="1"/>
    </row>
    <row r="19" ht="18.75" customHeight="1">
      <c r="A19" s="1"/>
      <c r="B19" s="1"/>
      <c r="C19" s="2"/>
      <c r="D19" s="2"/>
      <c r="E19" s="1"/>
      <c r="F19" s="1"/>
      <c r="G19" s="42">
        <f t="shared" ref="G19:H19" si="1">SUM(G4:G18)</f>
        <v>500000</v>
      </c>
      <c r="H19" s="43">
        <f t="shared" si="1"/>
        <v>1410000</v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3.25" customHeight="1">
      <c r="A20" s="1"/>
      <c r="B20" s="1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"/>
      <c r="B21" s="1"/>
      <c r="C21" s="2"/>
      <c r="D21" s="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>
      <c r="A22" s="1"/>
      <c r="B22" s="44" t="s">
        <v>0</v>
      </c>
      <c r="C22" s="45" t="s">
        <v>6</v>
      </c>
      <c r="D22" s="45" t="s">
        <v>82</v>
      </c>
      <c r="E22" s="46"/>
      <c r="F22" s="1"/>
      <c r="G22" s="1"/>
      <c r="H22" s="1"/>
      <c r="I22" s="1"/>
      <c r="J22" s="1"/>
      <c r="K22" s="1"/>
      <c r="L22" s="1"/>
      <c r="M22" s="1"/>
      <c r="N22" s="45" t="s">
        <v>84</v>
      </c>
      <c r="O22" s="45" t="s">
        <v>1</v>
      </c>
      <c r="P22" s="1"/>
      <c r="Q22" s="1"/>
      <c r="R22" s="1"/>
    </row>
    <row r="23">
      <c r="A23" s="1"/>
      <c r="B23" s="47">
        <v>1.0</v>
      </c>
      <c r="C23" s="48" t="s">
        <v>86</v>
      </c>
      <c r="D23" s="49">
        <f>SUM(G19)</f>
        <v>500000</v>
      </c>
      <c r="E23" s="50"/>
      <c r="F23" s="1"/>
      <c r="G23" s="1"/>
      <c r="H23" s="1"/>
      <c r="I23" s="1"/>
      <c r="J23" s="1"/>
      <c r="K23" s="1"/>
      <c r="L23" s="1"/>
      <c r="M23" s="1"/>
      <c r="N23" s="51" t="s">
        <v>88</v>
      </c>
      <c r="O23" s="29" t="s">
        <v>34</v>
      </c>
      <c r="P23" s="1"/>
      <c r="Q23" s="1"/>
      <c r="R23" s="1"/>
    </row>
    <row r="24">
      <c r="A24" s="1"/>
      <c r="B24" s="52">
        <v>2.0</v>
      </c>
      <c r="C24" s="53" t="s">
        <v>106</v>
      </c>
      <c r="D24" s="54">
        <v>-20000.0</v>
      </c>
      <c r="E24" s="55"/>
      <c r="F24" s="1"/>
      <c r="G24" s="1"/>
      <c r="H24" s="1"/>
      <c r="I24" s="1"/>
      <c r="J24" s="1"/>
      <c r="K24" s="1"/>
      <c r="L24" s="1"/>
      <c r="M24" s="1"/>
      <c r="N24" s="56" t="s">
        <v>94</v>
      </c>
      <c r="O24" s="57" t="s">
        <v>34</v>
      </c>
      <c r="P24" s="1"/>
      <c r="Q24" s="1"/>
      <c r="R24" s="1"/>
    </row>
    <row r="25">
      <c r="A25" s="1"/>
      <c r="B25" s="47">
        <v>3.0</v>
      </c>
      <c r="C25" s="48" t="s">
        <v>102</v>
      </c>
      <c r="D25" s="58">
        <v>-30000.0</v>
      </c>
      <c r="E25" s="55"/>
      <c r="F25" s="1"/>
      <c r="G25" s="1"/>
      <c r="H25" s="1"/>
      <c r="I25" s="1"/>
      <c r="J25" s="1"/>
      <c r="K25" s="1"/>
      <c r="L25" s="1"/>
      <c r="M25" s="1"/>
      <c r="N25" s="59" t="s">
        <v>98</v>
      </c>
      <c r="O25" s="31" t="s">
        <v>52</v>
      </c>
      <c r="P25" s="1"/>
      <c r="Q25" s="1"/>
      <c r="R25" s="1"/>
    </row>
    <row r="26">
      <c r="A26" s="1"/>
      <c r="B26" s="52">
        <v>4.0</v>
      </c>
      <c r="C26" s="53"/>
      <c r="D26" s="54"/>
      <c r="E26" s="55"/>
      <c r="F26" s="1"/>
      <c r="G26" s="1"/>
      <c r="H26" s="1"/>
      <c r="I26" s="1"/>
      <c r="J26" s="1"/>
      <c r="K26" s="1"/>
      <c r="L26" s="1"/>
      <c r="M26" s="1"/>
      <c r="N26" s="60" t="s">
        <v>100</v>
      </c>
      <c r="O26" s="57" t="s">
        <v>120</v>
      </c>
      <c r="P26" s="1"/>
      <c r="Q26" s="1"/>
      <c r="R26" s="1"/>
    </row>
    <row r="27">
      <c r="A27" s="1"/>
      <c r="B27" s="47"/>
      <c r="C27" s="62"/>
      <c r="D27" s="49"/>
      <c r="E27" s="50"/>
      <c r="F27" s="1"/>
      <c r="G27" s="1"/>
      <c r="H27" s="1"/>
      <c r="I27" s="1"/>
      <c r="J27" s="1"/>
      <c r="K27" s="1"/>
      <c r="L27" s="1"/>
      <c r="M27" s="1"/>
      <c r="N27" s="61"/>
      <c r="O27" s="1"/>
      <c r="P27" s="1"/>
      <c r="Q27" s="1"/>
      <c r="R27" s="1"/>
    </row>
    <row r="28">
      <c r="A28" s="1"/>
      <c r="B28" s="52"/>
      <c r="C28" s="63"/>
      <c r="D28" s="64"/>
      <c r="E28" s="5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47"/>
      <c r="C29" s="62"/>
      <c r="D29" s="49"/>
      <c r="E29" s="5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52"/>
      <c r="C30" s="63"/>
      <c r="D30" s="64"/>
      <c r="E30" s="5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47"/>
      <c r="C31" s="62"/>
      <c r="D31" s="49"/>
      <c r="E31" s="5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52"/>
      <c r="C32" s="63"/>
      <c r="D32" s="64"/>
      <c r="E32" s="5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65"/>
      <c r="C33" s="66"/>
      <c r="D33" s="67"/>
      <c r="E33" s="5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2"/>
      <c r="D34" s="68">
        <f>SUM(D23:D33)</f>
        <v>450000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2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DropDown="1" showErrorMessage="1" sqref="L4:L18 O23:O24">
      <formula1>"-,JIJANG,AXEL,ADDEL ,FAHME,INDAH"</formula1>
    </dataValidation>
    <dataValidation type="list" allowBlank="1" showErrorMessage="1" sqref="N4:N18">
      <formula1>"-,Pending,Progress,Uploaded"</formula1>
    </dataValidation>
    <dataValidation type="list" allowBlank="1" showErrorMessage="1" sqref="O4:O18">
      <formula1>"-,In Pikako,In Foxe"</formula1>
    </dataValidation>
    <dataValidation type="list" allowBlank="1" showDropDown="1" showErrorMessage="1" sqref="D4:D18">
      <formula1>"-,Single,Couple A,Couple B,Group A,Group B,Group C,Large Group,Graduation,Graduation Premium,Family A,Family B,Maternity,Concept,Studio Rent,Pas Foto,Single,Add Person ,Add Edit,Photofox ,Packing"</formula1>
    </dataValidation>
    <dataValidation type="list" allowBlank="1" showDropDown="1" showErrorMessage="1" sqref="I4:I18">
      <formula1>"-,DP,Lunas"</formula1>
    </dataValidation>
    <dataValidation type="list" allowBlank="1" showDropDown="1" showErrorMessage="1" sqref="J4:K18">
      <formula1>"-,Pending,Uploaded"</formula1>
    </dataValidation>
    <dataValidation type="list" allowBlank="1" showDropDown="1" showErrorMessage="1" sqref="M4:M18 O25:O26">
      <formula1>"-,VERO,ADIF ,HANIF ,FAHME"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  <col customWidth="1" min="2" max="2" width="5.13"/>
    <col customWidth="1" min="3" max="3" width="19.88"/>
    <col customWidth="1" min="4" max="4" width="16.0"/>
    <col customWidth="1" min="5" max="5" width="6.0"/>
    <col customWidth="1" min="6" max="6" width="16.0"/>
    <col customWidth="1" min="7" max="8" width="14.88"/>
    <col customWidth="1" min="9" max="11" width="12.38"/>
    <col customWidth="1" min="12" max="13" width="13.0"/>
    <col customWidth="1" min="14" max="15" width="13.88"/>
    <col customWidth="1" min="16" max="16" width="16.63"/>
    <col customWidth="1" min="17" max="18" width="5.75"/>
  </cols>
  <sheetData>
    <row r="1" ht="39.0" customHeight="1">
      <c r="A1" s="1"/>
      <c r="B1" s="1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5" t="s">
        <v>6</v>
      </c>
      <c r="J2" s="7"/>
      <c r="K2" s="6"/>
      <c r="L2" s="4" t="s">
        <v>7</v>
      </c>
      <c r="M2" s="4" t="s">
        <v>8</v>
      </c>
      <c r="N2" s="8" t="s">
        <v>9</v>
      </c>
      <c r="O2" s="7"/>
      <c r="P2" s="6"/>
      <c r="Q2" s="3"/>
      <c r="R2" s="3"/>
    </row>
    <row r="3">
      <c r="A3" s="3"/>
      <c r="B3" s="9"/>
      <c r="C3" s="9"/>
      <c r="D3" s="9"/>
      <c r="E3" s="9"/>
      <c r="F3" s="9"/>
      <c r="G3" s="10" t="s">
        <v>10</v>
      </c>
      <c r="H3" s="11" t="s">
        <v>11</v>
      </c>
      <c r="I3" s="12" t="s">
        <v>12</v>
      </c>
      <c r="J3" s="12" t="s">
        <v>13</v>
      </c>
      <c r="K3" s="12" t="s">
        <v>14</v>
      </c>
      <c r="L3" s="9"/>
      <c r="M3" s="9"/>
      <c r="N3" s="13" t="s">
        <v>15</v>
      </c>
      <c r="O3" s="13" t="s">
        <v>16</v>
      </c>
      <c r="P3" s="13" t="s">
        <v>17</v>
      </c>
      <c r="Q3" s="3"/>
      <c r="R3" s="3"/>
    </row>
    <row r="4">
      <c r="A4" s="1"/>
      <c r="B4" s="14">
        <v>1.0</v>
      </c>
      <c r="C4" s="15"/>
      <c r="D4" s="18"/>
      <c r="E4" s="20"/>
      <c r="F4" s="22">
        <v>45231.0</v>
      </c>
      <c r="G4" s="24"/>
      <c r="H4" s="26"/>
      <c r="I4" s="28"/>
      <c r="J4" s="28"/>
      <c r="K4" s="28"/>
      <c r="L4" s="28"/>
      <c r="M4" s="28"/>
      <c r="N4" s="29"/>
      <c r="O4" s="29"/>
      <c r="P4" s="30">
        <v>45231.0</v>
      </c>
      <c r="Q4" s="1"/>
      <c r="R4" s="1"/>
    </row>
    <row r="5">
      <c r="A5" s="1"/>
      <c r="B5" s="14">
        <v>2.0</v>
      </c>
      <c r="C5" s="15"/>
      <c r="D5" s="18"/>
      <c r="E5" s="20"/>
      <c r="F5" s="22"/>
      <c r="G5" s="24"/>
      <c r="H5" s="26"/>
      <c r="I5" s="28"/>
      <c r="J5" s="28"/>
      <c r="K5" s="28"/>
      <c r="L5" s="28"/>
      <c r="M5" s="28"/>
      <c r="N5" s="31"/>
      <c r="O5" s="31"/>
      <c r="P5" s="32"/>
      <c r="Q5" s="1"/>
      <c r="R5" s="1"/>
    </row>
    <row r="6">
      <c r="A6" s="1"/>
      <c r="B6" s="14">
        <v>3.0</v>
      </c>
      <c r="C6" s="15"/>
      <c r="D6" s="18"/>
      <c r="E6" s="20"/>
      <c r="F6" s="38"/>
      <c r="G6" s="34"/>
      <c r="H6" s="26"/>
      <c r="I6" s="28"/>
      <c r="J6" s="28"/>
      <c r="K6" s="28"/>
      <c r="L6" s="35"/>
      <c r="M6" s="35"/>
      <c r="N6" s="31"/>
      <c r="O6" s="31"/>
      <c r="P6" s="32"/>
      <c r="Q6" s="1"/>
      <c r="R6" s="1"/>
    </row>
    <row r="7">
      <c r="A7" s="1"/>
      <c r="B7" s="14">
        <v>4.0</v>
      </c>
      <c r="C7" s="15"/>
      <c r="D7" s="18"/>
      <c r="E7" s="20"/>
      <c r="F7" s="38"/>
      <c r="G7" s="24"/>
      <c r="H7" s="37"/>
      <c r="I7" s="28"/>
      <c r="J7" s="28"/>
      <c r="K7" s="28"/>
      <c r="L7" s="35"/>
      <c r="M7" s="35"/>
      <c r="N7" s="31"/>
      <c r="O7" s="31"/>
      <c r="P7" s="32"/>
      <c r="Q7" s="1"/>
      <c r="R7" s="1"/>
    </row>
    <row r="8">
      <c r="A8" s="1"/>
      <c r="B8" s="14">
        <v>5.0</v>
      </c>
      <c r="C8" s="15"/>
      <c r="D8" s="18"/>
      <c r="E8" s="20"/>
      <c r="F8" s="38"/>
      <c r="G8" s="24"/>
      <c r="H8" s="37"/>
      <c r="I8" s="28"/>
      <c r="J8" s="28"/>
      <c r="K8" s="28"/>
      <c r="L8" s="35"/>
      <c r="M8" s="35"/>
      <c r="N8" s="31"/>
      <c r="O8" s="32"/>
      <c r="P8" s="32"/>
      <c r="Q8" s="1"/>
      <c r="R8" s="1"/>
    </row>
    <row r="9">
      <c r="A9" s="1"/>
      <c r="B9" s="14">
        <v>6.0</v>
      </c>
      <c r="C9" s="15"/>
      <c r="D9" s="18"/>
      <c r="E9" s="20"/>
      <c r="F9" s="38"/>
      <c r="G9" s="24"/>
      <c r="H9" s="37"/>
      <c r="I9" s="28"/>
      <c r="J9" s="28"/>
      <c r="K9" s="28"/>
      <c r="L9" s="35"/>
      <c r="M9" s="35"/>
      <c r="N9" s="31"/>
      <c r="O9" s="32"/>
      <c r="P9" s="32"/>
      <c r="Q9" s="1"/>
      <c r="R9" s="1"/>
    </row>
    <row r="10">
      <c r="A10" s="1"/>
      <c r="B10" s="14">
        <v>7.0</v>
      </c>
      <c r="C10" s="15"/>
      <c r="D10" s="18"/>
      <c r="E10" s="20"/>
      <c r="F10" s="38"/>
      <c r="G10" s="24"/>
      <c r="H10" s="37"/>
      <c r="I10" s="28"/>
      <c r="J10" s="28"/>
      <c r="K10" s="28"/>
      <c r="L10" s="35"/>
      <c r="M10" s="35"/>
      <c r="N10" s="31"/>
      <c r="O10" s="32"/>
      <c r="P10" s="32"/>
      <c r="Q10" s="1"/>
      <c r="R10" s="1"/>
    </row>
    <row r="11">
      <c r="A11" s="1"/>
      <c r="B11" s="14">
        <v>8.0</v>
      </c>
      <c r="C11" s="15"/>
      <c r="D11" s="18"/>
      <c r="E11" s="20"/>
      <c r="F11" s="38"/>
      <c r="G11" s="24"/>
      <c r="H11" s="37"/>
      <c r="I11" s="28"/>
      <c r="J11" s="28"/>
      <c r="K11" s="28"/>
      <c r="L11" s="35"/>
      <c r="M11" s="35"/>
      <c r="N11" s="31"/>
      <c r="O11" s="32"/>
      <c r="P11" s="32"/>
      <c r="Q11" s="1"/>
      <c r="R11" s="1"/>
    </row>
    <row r="12">
      <c r="A12" s="1"/>
      <c r="B12" s="14">
        <v>9.0</v>
      </c>
      <c r="C12" s="15"/>
      <c r="D12" s="18"/>
      <c r="E12" s="20"/>
      <c r="F12" s="38"/>
      <c r="G12" s="24"/>
      <c r="H12" s="37"/>
      <c r="I12" s="28"/>
      <c r="J12" s="28"/>
      <c r="K12" s="28"/>
      <c r="L12" s="35"/>
      <c r="M12" s="35"/>
      <c r="N12" s="31"/>
      <c r="O12" s="32"/>
      <c r="P12" s="32"/>
      <c r="Q12" s="1"/>
      <c r="R12" s="1"/>
    </row>
    <row r="13">
      <c r="A13" s="1"/>
      <c r="B13" s="14">
        <v>10.0</v>
      </c>
      <c r="C13" s="15"/>
      <c r="D13" s="18"/>
      <c r="E13" s="20"/>
      <c r="F13" s="38"/>
      <c r="G13" s="24"/>
      <c r="H13" s="37"/>
      <c r="I13" s="28"/>
      <c r="J13" s="28"/>
      <c r="K13" s="28"/>
      <c r="L13" s="35"/>
      <c r="M13" s="35"/>
      <c r="N13" s="31"/>
      <c r="O13" s="32"/>
      <c r="P13" s="32"/>
      <c r="Q13" s="1"/>
      <c r="R13" s="1"/>
    </row>
    <row r="14">
      <c r="A14" s="1"/>
      <c r="B14" s="38"/>
      <c r="C14" s="15"/>
      <c r="D14" s="18"/>
      <c r="E14" s="20"/>
      <c r="F14" s="38"/>
      <c r="G14" s="24"/>
      <c r="H14" s="37"/>
      <c r="I14" s="28"/>
      <c r="J14" s="28"/>
      <c r="K14" s="28"/>
      <c r="L14" s="35"/>
      <c r="M14" s="35"/>
      <c r="N14" s="31"/>
      <c r="O14" s="32"/>
      <c r="P14" s="32"/>
      <c r="Q14" s="1"/>
      <c r="R14" s="1"/>
    </row>
    <row r="15">
      <c r="A15" s="1"/>
      <c r="B15" s="38"/>
      <c r="C15" s="15"/>
      <c r="D15" s="18"/>
      <c r="E15" s="20"/>
      <c r="F15" s="38"/>
      <c r="G15" s="24"/>
      <c r="H15" s="37"/>
      <c r="I15" s="28"/>
      <c r="J15" s="28"/>
      <c r="K15" s="28"/>
      <c r="L15" s="35"/>
      <c r="M15" s="35"/>
      <c r="N15" s="31"/>
      <c r="O15" s="32"/>
      <c r="P15" s="32"/>
      <c r="Q15" s="1"/>
      <c r="R15" s="1"/>
    </row>
    <row r="16">
      <c r="A16" s="1"/>
      <c r="B16" s="38"/>
      <c r="C16" s="15"/>
      <c r="D16" s="18"/>
      <c r="E16" s="20"/>
      <c r="F16" s="38"/>
      <c r="G16" s="24"/>
      <c r="H16" s="37"/>
      <c r="I16" s="28"/>
      <c r="J16" s="28"/>
      <c r="K16" s="28"/>
      <c r="L16" s="35"/>
      <c r="M16" s="35"/>
      <c r="N16" s="31"/>
      <c r="O16" s="32"/>
      <c r="P16" s="32"/>
      <c r="Q16" s="1"/>
      <c r="R16" s="1"/>
    </row>
    <row r="17">
      <c r="A17" s="1"/>
      <c r="B17" s="38"/>
      <c r="C17" s="15"/>
      <c r="D17" s="18"/>
      <c r="E17" s="20"/>
      <c r="F17" s="38"/>
      <c r="G17" s="24"/>
      <c r="H17" s="37"/>
      <c r="I17" s="28"/>
      <c r="J17" s="28"/>
      <c r="K17" s="28"/>
      <c r="L17" s="35"/>
      <c r="M17" s="35"/>
      <c r="N17" s="31"/>
      <c r="O17" s="32"/>
      <c r="P17" s="32"/>
      <c r="Q17" s="1"/>
      <c r="R17" s="1"/>
    </row>
    <row r="18">
      <c r="A18" s="1"/>
      <c r="B18" s="38"/>
      <c r="C18" s="15"/>
      <c r="D18" s="18"/>
      <c r="E18" s="20"/>
      <c r="F18" s="38"/>
      <c r="G18" s="24"/>
      <c r="H18" s="37"/>
      <c r="I18" s="28"/>
      <c r="J18" s="28"/>
      <c r="K18" s="28"/>
      <c r="L18" s="35"/>
      <c r="M18" s="35"/>
      <c r="N18" s="31"/>
      <c r="O18" s="32"/>
      <c r="P18" s="32"/>
      <c r="Q18" s="1"/>
      <c r="R18" s="1"/>
    </row>
    <row r="19">
      <c r="A19" s="1"/>
      <c r="B19" s="38"/>
      <c r="C19" s="15"/>
      <c r="D19" s="18"/>
      <c r="E19" s="20"/>
      <c r="F19" s="38"/>
      <c r="G19" s="24"/>
      <c r="H19" s="37"/>
      <c r="I19" s="28"/>
      <c r="J19" s="28"/>
      <c r="K19" s="28"/>
      <c r="L19" s="35"/>
      <c r="M19" s="35"/>
      <c r="N19" s="31"/>
      <c r="O19" s="32"/>
      <c r="P19" s="32"/>
      <c r="Q19" s="1"/>
      <c r="R19" s="1"/>
    </row>
    <row r="20">
      <c r="A20" s="1"/>
      <c r="B20" s="38"/>
      <c r="C20" s="15"/>
      <c r="D20" s="18"/>
      <c r="E20" s="20"/>
      <c r="F20" s="38"/>
      <c r="G20" s="24"/>
      <c r="H20" s="37"/>
      <c r="I20" s="28"/>
      <c r="J20" s="28"/>
      <c r="K20" s="28"/>
      <c r="L20" s="35"/>
      <c r="M20" s="35"/>
      <c r="N20" s="31"/>
      <c r="O20" s="32"/>
      <c r="P20" s="32"/>
      <c r="Q20" s="1"/>
      <c r="R20" s="1"/>
    </row>
    <row r="21">
      <c r="A21" s="1"/>
      <c r="B21" s="38"/>
      <c r="C21" s="15"/>
      <c r="D21" s="18"/>
      <c r="E21" s="20"/>
      <c r="F21" s="38"/>
      <c r="G21" s="24"/>
      <c r="H21" s="37"/>
      <c r="I21" s="28"/>
      <c r="J21" s="28"/>
      <c r="K21" s="28"/>
      <c r="L21" s="35"/>
      <c r="M21" s="35"/>
      <c r="N21" s="31"/>
      <c r="O21" s="32"/>
      <c r="P21" s="32"/>
      <c r="Q21" s="1"/>
      <c r="R21" s="1"/>
    </row>
    <row r="22">
      <c r="A22" s="1"/>
      <c r="B22" s="38"/>
      <c r="C22" s="15"/>
      <c r="D22" s="18"/>
      <c r="E22" s="20"/>
      <c r="F22" s="38"/>
      <c r="G22" s="24"/>
      <c r="H22" s="37"/>
      <c r="I22" s="28"/>
      <c r="J22" s="28"/>
      <c r="K22" s="28"/>
      <c r="L22" s="35"/>
      <c r="M22" s="35"/>
      <c r="N22" s="31"/>
      <c r="O22" s="32"/>
      <c r="P22" s="32"/>
      <c r="Q22" s="1"/>
      <c r="R22" s="1"/>
    </row>
    <row r="23">
      <c r="A23" s="1"/>
      <c r="B23" s="38"/>
      <c r="C23" s="15"/>
      <c r="D23" s="18"/>
      <c r="E23" s="20"/>
      <c r="F23" s="38"/>
      <c r="G23" s="34"/>
      <c r="H23" s="26"/>
      <c r="I23" s="28"/>
      <c r="J23" s="28"/>
      <c r="K23" s="28"/>
      <c r="L23" s="35"/>
      <c r="M23" s="35"/>
      <c r="N23" s="31"/>
      <c r="O23" s="32"/>
      <c r="P23" s="32"/>
      <c r="Q23" s="1"/>
      <c r="R23" s="1"/>
    </row>
    <row r="24">
      <c r="A24" s="1"/>
      <c r="B24" s="38"/>
      <c r="C24" s="40"/>
      <c r="D24" s="18"/>
      <c r="E24" s="20"/>
      <c r="F24" s="38"/>
      <c r="G24" s="34"/>
      <c r="H24" s="37"/>
      <c r="I24" s="35"/>
      <c r="J24" s="28"/>
      <c r="K24" s="28"/>
      <c r="L24" s="35"/>
      <c r="M24" s="35"/>
      <c r="N24" s="31"/>
      <c r="O24" s="32"/>
      <c r="P24" s="32"/>
      <c r="Q24" s="1"/>
      <c r="R24" s="1"/>
    </row>
    <row r="25">
      <c r="A25" s="1"/>
      <c r="B25" s="38"/>
      <c r="C25" s="40"/>
      <c r="D25" s="18"/>
      <c r="E25" s="20"/>
      <c r="F25" s="38"/>
      <c r="G25" s="34"/>
      <c r="H25" s="37"/>
      <c r="I25" s="35"/>
      <c r="J25" s="35"/>
      <c r="K25" s="35"/>
      <c r="L25" s="35"/>
      <c r="M25" s="35"/>
      <c r="N25" s="32"/>
      <c r="O25" s="32"/>
      <c r="P25" s="32"/>
      <c r="Q25" s="1"/>
      <c r="R25" s="1"/>
    </row>
    <row r="26">
      <c r="A26" s="1"/>
      <c r="B26" s="38"/>
      <c r="C26" s="40"/>
      <c r="D26" s="18"/>
      <c r="E26" s="20"/>
      <c r="F26" s="38"/>
      <c r="G26" s="34"/>
      <c r="H26" s="37"/>
      <c r="I26" s="35"/>
      <c r="J26" s="35"/>
      <c r="K26" s="35"/>
      <c r="L26" s="35"/>
      <c r="M26" s="35"/>
      <c r="N26" s="32"/>
      <c r="O26" s="32"/>
      <c r="P26" s="32"/>
      <c r="Q26" s="1"/>
      <c r="R26" s="1"/>
    </row>
    <row r="27">
      <c r="A27" s="1"/>
      <c r="B27" s="38"/>
      <c r="C27" s="40"/>
      <c r="D27" s="18"/>
      <c r="E27" s="20"/>
      <c r="F27" s="38"/>
      <c r="G27" s="34"/>
      <c r="H27" s="37"/>
      <c r="I27" s="35"/>
      <c r="J27" s="35"/>
      <c r="K27" s="35"/>
      <c r="L27" s="35"/>
      <c r="M27" s="35"/>
      <c r="N27" s="32"/>
      <c r="O27" s="32"/>
      <c r="P27" s="32"/>
      <c r="Q27" s="1"/>
      <c r="R27" s="1"/>
    </row>
    <row r="28">
      <c r="A28" s="1"/>
      <c r="B28" s="38"/>
      <c r="C28" s="40"/>
      <c r="D28" s="18"/>
      <c r="E28" s="20"/>
      <c r="F28" s="38"/>
      <c r="G28" s="34"/>
      <c r="H28" s="37"/>
      <c r="I28" s="35"/>
      <c r="J28" s="35"/>
      <c r="K28" s="35"/>
      <c r="L28" s="35"/>
      <c r="M28" s="35"/>
      <c r="N28" s="32"/>
      <c r="O28" s="32"/>
      <c r="P28" s="32"/>
      <c r="Q28" s="1"/>
      <c r="R28" s="1"/>
    </row>
    <row r="29">
      <c r="A29" s="1"/>
      <c r="B29" s="38"/>
      <c r="C29" s="40"/>
      <c r="D29" s="18"/>
      <c r="E29" s="20"/>
      <c r="F29" s="38"/>
      <c r="G29" s="34"/>
      <c r="H29" s="37"/>
      <c r="I29" s="35"/>
      <c r="J29" s="35"/>
      <c r="K29" s="35"/>
      <c r="L29" s="35"/>
      <c r="M29" s="35"/>
      <c r="N29" s="32"/>
      <c r="O29" s="32"/>
      <c r="P29" s="32"/>
      <c r="Q29" s="1"/>
      <c r="R29" s="1"/>
    </row>
    <row r="30">
      <c r="A30" s="1"/>
      <c r="B30" s="38"/>
      <c r="C30" s="15"/>
      <c r="D30" s="18"/>
      <c r="E30" s="20"/>
      <c r="F30" s="38"/>
      <c r="G30" s="24"/>
      <c r="H30" s="37"/>
      <c r="I30" s="35"/>
      <c r="J30" s="35"/>
      <c r="K30" s="35"/>
      <c r="L30" s="35"/>
      <c r="M30" s="35"/>
      <c r="N30" s="32"/>
      <c r="O30" s="32"/>
      <c r="P30" s="32"/>
      <c r="Q30" s="1"/>
      <c r="R30" s="1"/>
    </row>
    <row r="31">
      <c r="A31" s="1"/>
      <c r="B31" s="38"/>
      <c r="C31" s="15"/>
      <c r="D31" s="18"/>
      <c r="E31" s="20"/>
      <c r="F31" s="38"/>
      <c r="G31" s="24"/>
      <c r="H31" s="37"/>
      <c r="I31" s="35"/>
      <c r="J31" s="35"/>
      <c r="K31" s="35"/>
      <c r="L31" s="35"/>
      <c r="M31" s="35"/>
      <c r="N31" s="32"/>
      <c r="O31" s="32"/>
      <c r="P31" s="32"/>
      <c r="Q31" s="1"/>
      <c r="R31" s="1"/>
    </row>
    <row r="32">
      <c r="A32" s="1"/>
      <c r="B32" s="38"/>
      <c r="C32" s="40"/>
      <c r="D32" s="18"/>
      <c r="E32" s="20"/>
      <c r="F32" s="38"/>
      <c r="G32" s="34"/>
      <c r="H32" s="37"/>
      <c r="I32" s="35"/>
      <c r="J32" s="35"/>
      <c r="K32" s="35"/>
      <c r="L32" s="35"/>
      <c r="M32" s="35"/>
      <c r="N32" s="32"/>
      <c r="O32" s="32"/>
      <c r="P32" s="32"/>
      <c r="Q32" s="1"/>
      <c r="R32" s="1"/>
    </row>
    <row r="33">
      <c r="A33" s="1"/>
      <c r="B33" s="38"/>
      <c r="C33" s="40"/>
      <c r="D33" s="18"/>
      <c r="E33" s="20"/>
      <c r="F33" s="38"/>
      <c r="G33" s="34"/>
      <c r="H33" s="37"/>
      <c r="I33" s="35"/>
      <c r="J33" s="35"/>
      <c r="K33" s="35"/>
      <c r="L33" s="35"/>
      <c r="M33" s="35"/>
      <c r="N33" s="32"/>
      <c r="O33" s="32"/>
      <c r="P33" s="32"/>
      <c r="Q33" s="1"/>
      <c r="R33" s="1"/>
    </row>
    <row r="34">
      <c r="A34" s="1"/>
      <c r="B34" s="38"/>
      <c r="C34" s="40"/>
      <c r="D34" s="18"/>
      <c r="E34" s="20"/>
      <c r="F34" s="38"/>
      <c r="G34" s="34"/>
      <c r="H34" s="37"/>
      <c r="I34" s="35"/>
      <c r="J34" s="35"/>
      <c r="K34" s="35"/>
      <c r="L34" s="35"/>
      <c r="M34" s="35"/>
      <c r="N34" s="41"/>
      <c r="O34" s="41"/>
      <c r="P34" s="41"/>
      <c r="Q34" s="1"/>
      <c r="R34" s="1"/>
    </row>
    <row r="35" ht="18.75" customHeight="1">
      <c r="A35" s="1"/>
      <c r="B35" s="1"/>
      <c r="C35" s="2"/>
      <c r="D35" s="2"/>
      <c r="E35" s="1"/>
      <c r="F35" s="1"/>
      <c r="G35" s="42">
        <f t="shared" ref="G35:H35" si="1">SUM(G4:G34)</f>
        <v>0</v>
      </c>
      <c r="H35" s="43">
        <f t="shared" si="1"/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3.25" customHeight="1">
      <c r="A36" s="1"/>
      <c r="B36" s="1"/>
      <c r="C36" s="2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44" t="s">
        <v>0</v>
      </c>
      <c r="C38" s="45" t="s">
        <v>6</v>
      </c>
      <c r="D38" s="45" t="s">
        <v>82</v>
      </c>
      <c r="E38" s="46"/>
      <c r="F38" s="1"/>
      <c r="G38" s="1"/>
      <c r="H38" s="1"/>
      <c r="I38" s="1"/>
      <c r="J38" s="1"/>
      <c r="K38" s="1"/>
      <c r="L38" s="1"/>
      <c r="M38" s="1"/>
      <c r="N38" s="45" t="s">
        <v>84</v>
      </c>
      <c r="O38" s="45" t="s">
        <v>1</v>
      </c>
      <c r="P38" s="1"/>
      <c r="Q38" s="1"/>
      <c r="R38" s="1"/>
    </row>
    <row r="39">
      <c r="A39" s="1"/>
      <c r="B39" s="47">
        <v>1.0</v>
      </c>
      <c r="C39" s="48" t="s">
        <v>86</v>
      </c>
      <c r="D39" s="49">
        <f>SUM(G35)</f>
        <v>0</v>
      </c>
      <c r="E39" s="50"/>
      <c r="F39" s="1"/>
      <c r="G39" s="1"/>
      <c r="H39" s="1"/>
      <c r="I39" s="1"/>
      <c r="J39" s="1"/>
      <c r="K39" s="1"/>
      <c r="L39" s="1"/>
      <c r="M39" s="1"/>
      <c r="N39" s="51" t="s">
        <v>88</v>
      </c>
      <c r="O39" s="29"/>
      <c r="P39" s="1"/>
      <c r="Q39" s="1"/>
      <c r="R39" s="1"/>
    </row>
    <row r="40">
      <c r="A40" s="1"/>
      <c r="B40" s="52">
        <v>2.0</v>
      </c>
      <c r="C40" s="53"/>
      <c r="D40" s="54"/>
      <c r="E40" s="55"/>
      <c r="F40" s="1"/>
      <c r="G40" s="1"/>
      <c r="H40" s="1"/>
      <c r="I40" s="1"/>
      <c r="J40" s="1"/>
      <c r="K40" s="1"/>
      <c r="L40" s="1"/>
      <c r="M40" s="1"/>
      <c r="N40" s="56" t="s">
        <v>94</v>
      </c>
      <c r="O40" s="57"/>
      <c r="P40" s="1"/>
      <c r="Q40" s="1"/>
      <c r="R40" s="1"/>
    </row>
    <row r="41">
      <c r="A41" s="1"/>
      <c r="B41" s="47">
        <v>3.0</v>
      </c>
      <c r="C41" s="48"/>
      <c r="D41" s="58"/>
      <c r="E41" s="55"/>
      <c r="F41" s="1"/>
      <c r="G41" s="1"/>
      <c r="H41" s="1"/>
      <c r="I41" s="1"/>
      <c r="J41" s="1"/>
      <c r="K41" s="1"/>
      <c r="L41" s="1"/>
      <c r="M41" s="1"/>
      <c r="N41" s="59" t="s">
        <v>98</v>
      </c>
      <c r="O41" s="31"/>
      <c r="P41" s="1"/>
      <c r="Q41" s="1"/>
      <c r="R41" s="1"/>
    </row>
    <row r="42">
      <c r="A42" s="1"/>
      <c r="B42" s="52">
        <v>4.0</v>
      </c>
      <c r="C42" s="53"/>
      <c r="D42" s="54"/>
      <c r="E42" s="55"/>
      <c r="F42" s="1"/>
      <c r="G42" s="1"/>
      <c r="H42" s="1"/>
      <c r="I42" s="1"/>
      <c r="J42" s="1"/>
      <c r="K42" s="1"/>
      <c r="L42" s="1"/>
      <c r="M42" s="1"/>
      <c r="N42" s="60" t="s">
        <v>100</v>
      </c>
      <c r="O42" s="57"/>
      <c r="P42" s="1"/>
      <c r="Q42" s="1"/>
      <c r="R42" s="1"/>
    </row>
    <row r="43">
      <c r="A43" s="1"/>
      <c r="B43" s="47"/>
      <c r="C43" s="62"/>
      <c r="D43" s="49"/>
      <c r="E43" s="50"/>
      <c r="F43" s="1"/>
      <c r="G43" s="1"/>
      <c r="H43" s="1"/>
      <c r="I43" s="1"/>
      <c r="J43" s="1"/>
      <c r="K43" s="1"/>
      <c r="L43" s="1"/>
      <c r="M43" s="1"/>
      <c r="N43" s="61"/>
      <c r="O43" s="1"/>
      <c r="P43" s="1"/>
      <c r="Q43" s="1"/>
      <c r="R43" s="1"/>
    </row>
    <row r="44">
      <c r="A44" s="1"/>
      <c r="B44" s="52"/>
      <c r="C44" s="63"/>
      <c r="D44" s="64"/>
      <c r="E44" s="5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>
      <c r="A45" s="1"/>
      <c r="B45" s="47"/>
      <c r="C45" s="62"/>
      <c r="D45" s="49"/>
      <c r="E45" s="5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>
      <c r="A46" s="1"/>
      <c r="B46" s="52"/>
      <c r="C46" s="63"/>
      <c r="D46" s="64"/>
      <c r="E46" s="5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>
      <c r="A47" s="1"/>
      <c r="B47" s="47"/>
      <c r="C47" s="62"/>
      <c r="D47" s="49"/>
      <c r="E47" s="5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>
      <c r="A48" s="1"/>
      <c r="B48" s="52"/>
      <c r="C48" s="63"/>
      <c r="D48" s="64"/>
      <c r="E48" s="5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>
      <c r="A49" s="1"/>
      <c r="B49" s="65"/>
      <c r="C49" s="66"/>
      <c r="D49" s="67"/>
      <c r="E49" s="5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>
      <c r="A50" s="1"/>
      <c r="B50" s="1"/>
      <c r="C50" s="2"/>
      <c r="D50" s="68">
        <f>SUM(D39:D49)</f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>
      <c r="A51" s="1"/>
      <c r="B51" s="1"/>
      <c r="C51" s="2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>
      <c r="A52" s="1"/>
      <c r="B52" s="1"/>
      <c r="C52" s="2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>
      <c r="A53" s="1"/>
      <c r="B53" s="1"/>
      <c r="C53" s="2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>
      <c r="A54" s="1"/>
      <c r="B54" s="1"/>
      <c r="C54" s="2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</sheetData>
  <mergeCells count="10">
    <mergeCell ref="L2:L3"/>
    <mergeCell ref="M2:M3"/>
    <mergeCell ref="N2:P2"/>
    <mergeCell ref="B2:B3"/>
    <mergeCell ref="C2:C3"/>
    <mergeCell ref="D2:D3"/>
    <mergeCell ref="E2:E3"/>
    <mergeCell ref="F2:F3"/>
    <mergeCell ref="G2:H2"/>
    <mergeCell ref="I2:K2"/>
  </mergeCells>
  <dataValidations>
    <dataValidation type="list" allowBlank="1" showErrorMessage="1" sqref="N4:N34">
      <formula1>"-,Pending,Progress,Uploaded"</formula1>
    </dataValidation>
    <dataValidation type="list" allowBlank="1" showDropDown="1" showErrorMessage="1" sqref="D4:D34">
      <formula1>"-,Single,Couple A,Couple B,Group A,Group B,Group C,Large Group,Graduation,Graduation Premium,Family A,Family B,Maternity,Concept,Studio Rent,Pas Foto,Single,Add Person ,Add Edit"</formula1>
    </dataValidation>
    <dataValidation type="list" allowBlank="1" showErrorMessage="1" sqref="O4:O34">
      <formula1>"-,In Pikako,In Foxe"</formula1>
    </dataValidation>
    <dataValidation type="list" allowBlank="1" showDropDown="1" showErrorMessage="1" sqref="M4:M34 O41:O42">
      <formula1>"-,VERO,FADEL,PENTIL,FAHME"</formula1>
    </dataValidation>
    <dataValidation type="list" allowBlank="1" showDropDown="1" showErrorMessage="1" sqref="L4:L34 O39:O40">
      <formula1>"-,JIJANG,AXEL,PENTIL,FAHME"</formula1>
    </dataValidation>
    <dataValidation type="list" allowBlank="1" showDropDown="1" showErrorMessage="1" sqref="I4:I34">
      <formula1>"-,DP,Lunas"</formula1>
    </dataValidation>
    <dataValidation type="list" allowBlank="1" showDropDown="1" showErrorMessage="1" sqref="J4:K34">
      <formula1>"-,Pending,Uploaded"</formula1>
    </dataValidation>
  </dataValidations>
  <drawing r:id="rId1"/>
</worksheet>
</file>