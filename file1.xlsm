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<sst xmlns="http://schemas.openxmlformats.org/spreadsheetml/2006/main" count="5130" uniqueCount="661">
  <si>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</si>
  <si>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</si>
  <si>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</si>
  <si>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</si>
  <si>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</si>
  <si>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</si>
  <si>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</si>
  <si>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</si>
  <si>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</si>
  <si>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</si>
  <si>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</si>
  <si>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</si>
  <si>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</si>
  <si>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</si>
  <si>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</si>
  <si>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</si>
  <si>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</si>
  <si>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</si>
  <si>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Feby Putri</t>
  </si>
  <si>
    <t>Atiesa dkk</t>
  </si>
  <si>
    <t>Graduation</t>
  </si>
  <si>
    <t>Large Group</t>
  </si>
  <si>
    <t>Denny Hardiansyah</t>
  </si>
  <si>
    <t>4 sept</t>
  </si>
  <si>
    <t>DP</t>
  </si>
  <si>
    <t>INDAH</t>
  </si>
  <si>
    <t>AMEL</t>
  </si>
  <si>
    <t>Hanif</t>
  </si>
  <si>
    <t>Davita</t>
  </si>
  <si>
    <t>Raka</t>
  </si>
  <si>
    <t>22 sept</t>
  </si>
  <si>
    <t>Ergi Mahandika</t>
  </si>
  <si>
    <t>Ardi</t>
  </si>
  <si>
    <t>9 sept</t>
  </si>
  <si>
    <t>rindi setynai</t>
  </si>
  <si>
    <t>Orin</t>
  </si>
  <si>
    <t>3 sept</t>
  </si>
  <si>
    <t>Lunas</t>
  </si>
  <si>
    <t>Uploaded</t>
  </si>
  <si>
    <t>Pending</t>
  </si>
  <si>
    <t>ADIF</t>
  </si>
  <si>
    <t>4 oktober</t>
  </si>
  <si>
    <t xml:space="preserve">Akira Aditya </t>
  </si>
  <si>
    <t>Fauzan</t>
  </si>
  <si>
    <t>Couple A</t>
  </si>
  <si>
    <t>4 okt</t>
  </si>
  <si>
    <t>Sela Artiana</t>
  </si>
  <si>
    <t>mila</t>
  </si>
  <si>
    <t>Refanie Karunia Bernardi</t>
  </si>
  <si>
    <t>Assa</t>
  </si>
  <si>
    <t>Marisa</t>
  </si>
  <si>
    <t>Photofox</t>
  </si>
  <si>
    <t xml:space="preserve"> Flower</t>
  </si>
  <si>
    <t>FAHME</t>
  </si>
  <si>
    <t>Stevy</t>
  </si>
  <si>
    <t>-</t>
  </si>
  <si>
    <t>Atika</t>
  </si>
  <si>
    <t xml:space="preserve">  Deri Dernata</t>
  </si>
  <si>
    <t>Family A</t>
  </si>
  <si>
    <t>Zhafira Rismalia</t>
  </si>
  <si>
    <t>6 sept</t>
  </si>
  <si>
    <t>8 sept</t>
  </si>
  <si>
    <t>Sulis Setianti</t>
  </si>
  <si>
    <t>Luqmanul Hakim</t>
  </si>
  <si>
    <t>Rangga</t>
  </si>
  <si>
    <t>Farah Mirza</t>
  </si>
  <si>
    <t>Sandi Mugiyono</t>
  </si>
  <si>
    <t xml:space="preserve"> Deo Putra</t>
  </si>
  <si>
    <t>8 Sept</t>
  </si>
  <si>
    <t>SAKA</t>
  </si>
  <si>
    <t>andin</t>
  </si>
  <si>
    <t>Single</t>
  </si>
  <si>
    <t>Dela setyaningrum</t>
  </si>
  <si>
    <t>7 sept</t>
  </si>
  <si>
    <t>Annisa</t>
  </si>
  <si>
    <t>2 SEPT</t>
  </si>
  <si>
    <t>Gibran</t>
  </si>
  <si>
    <t>Anto</t>
  </si>
  <si>
    <t>Futsal UIN Saizu</t>
  </si>
  <si>
    <t>Sita Hapsari</t>
  </si>
  <si>
    <t>Atiesa</t>
  </si>
  <si>
    <t>2 sept</t>
  </si>
  <si>
    <t>Jihan</t>
  </si>
  <si>
    <t>Farrel Daffa</t>
  </si>
  <si>
    <t>Ummu Haniah</t>
  </si>
  <si>
    <t>Wildan</t>
  </si>
  <si>
    <t>Hanifah</t>
  </si>
  <si>
    <t>Dhita</t>
  </si>
  <si>
    <t>5 sept</t>
  </si>
  <si>
    <t>Revalina Indriyani Putri</t>
  </si>
  <si>
    <t>Ananda Yasmin</t>
  </si>
  <si>
    <t>Dian Meinarni</t>
  </si>
  <si>
    <t>maria taffi</t>
  </si>
  <si>
    <t>Graduation Premium</t>
  </si>
  <si>
    <t>Aditiya Fauzi</t>
  </si>
  <si>
    <t>ADDEL</t>
  </si>
  <si>
    <t>Jager</t>
  </si>
  <si>
    <t>Haliza Phadmawati</t>
  </si>
  <si>
    <t>Ainun Nissa</t>
  </si>
  <si>
    <t>Ully</t>
  </si>
  <si>
    <t>Runi</t>
  </si>
  <si>
    <t>Studio Rent</t>
  </si>
  <si>
    <t>Septy Ikka</t>
  </si>
  <si>
    <t>ABROR</t>
  </si>
  <si>
    <t>VERO</t>
  </si>
  <si>
    <t>Athia</t>
  </si>
  <si>
    <t>rahma pramesti</t>
  </si>
  <si>
    <t>Novita</t>
  </si>
  <si>
    <t>Aisha</t>
  </si>
  <si>
    <t>Luceriza</t>
  </si>
  <si>
    <t>Madina Salsabila</t>
  </si>
  <si>
    <t>Fahmi Sabni Ramadhan</t>
  </si>
  <si>
    <t>Hilda Rahmawati</t>
  </si>
  <si>
    <t>Dinda</t>
  </si>
  <si>
    <t>Zae</t>
  </si>
  <si>
    <t>Lulu Angger</t>
  </si>
  <si>
    <t>KKN Kalikajar</t>
  </si>
  <si>
    <t>Lembata</t>
  </si>
  <si>
    <t>Sumberejo</t>
  </si>
  <si>
    <t>ELIA SEPTIA</t>
  </si>
  <si>
    <t>khusni mubarok</t>
  </si>
  <si>
    <t>Ikbar Rais</t>
  </si>
  <si>
    <t>EliaSeptia</t>
  </si>
  <si>
    <t>cut auriel</t>
  </si>
  <si>
    <t xml:space="preserve">ADIF </t>
  </si>
  <si>
    <t>Isty Fadielah</t>
  </si>
  <si>
    <t>Dymas Angga</t>
  </si>
  <si>
    <t>Flower</t>
  </si>
  <si>
    <t>Reynaldo</t>
  </si>
  <si>
    <t>3 okt</t>
  </si>
  <si>
    <t>Tiara Dwina Savitri</t>
  </si>
  <si>
    <t>Rahmat Desta</t>
  </si>
  <si>
    <t>Decky Sapta</t>
  </si>
  <si>
    <t>Sitti Aisyah ZS</t>
  </si>
  <si>
    <t>Mudzrikatun</t>
  </si>
  <si>
    <t>Muhammad Adam Hifar</t>
  </si>
  <si>
    <t>Ade Ayu S</t>
  </si>
  <si>
    <t>Sabina Rizky</t>
  </si>
  <si>
    <t>Farhan</t>
  </si>
  <si>
    <t>Ama</t>
  </si>
  <si>
    <t>Laela Nur Azzizah</t>
  </si>
  <si>
    <t>Ayume</t>
  </si>
  <si>
    <t>Puput Aditya</t>
  </si>
  <si>
    <t>Resti Dwi</t>
  </si>
  <si>
    <t>Zhafira Azfa</t>
  </si>
  <si>
    <t>Alan Nahdi</t>
  </si>
  <si>
    <t>Ramdhan</t>
  </si>
  <si>
    <t>Arini Nur F</t>
  </si>
  <si>
    <t>Fianto</t>
  </si>
  <si>
    <t>Tazkia</t>
  </si>
  <si>
    <t>Adnan</t>
  </si>
  <si>
    <t xml:space="preserve"> Muhamad Abdau </t>
  </si>
  <si>
    <t>Randuma</t>
  </si>
  <si>
    <t>wahyu puji prasetio</t>
  </si>
  <si>
    <t>Ata Qonita</t>
  </si>
  <si>
    <t>Hikmah</t>
  </si>
  <si>
    <t>Maulida Jundana</t>
  </si>
  <si>
    <t>Diarra Fathiya</t>
  </si>
  <si>
    <t>Nizar Ramadhan</t>
  </si>
  <si>
    <t>Ifah Kholidiyyah</t>
  </si>
  <si>
    <t>Muhamad Abdau Anzalal Furqon</t>
  </si>
  <si>
    <t>1 sept</t>
  </si>
  <si>
    <t>Refina</t>
  </si>
  <si>
    <t>Genta Gustian</t>
  </si>
  <si>
    <t>Fania Kamalia</t>
  </si>
  <si>
    <t>Renaldi</t>
  </si>
  <si>
    <t>Ahmad Mufid</t>
  </si>
  <si>
    <t>Abi</t>
  </si>
  <si>
    <t>Novan</t>
  </si>
  <si>
    <t>Wafik</t>
  </si>
  <si>
    <t>Zoelfan</t>
  </si>
  <si>
    <t>Niko</t>
  </si>
  <si>
    <t>Anjani</t>
  </si>
  <si>
    <t>13 sept</t>
  </si>
  <si>
    <t>Nominal</t>
  </si>
  <si>
    <t>Shift</t>
  </si>
  <si>
    <t>Qori Susi Allifah</t>
  </si>
  <si>
    <t>Eliza</t>
  </si>
  <si>
    <t>Pendapatan Tunai</t>
  </si>
  <si>
    <t>Asa Farzani</t>
  </si>
  <si>
    <t>Adinda Fahrina</t>
  </si>
  <si>
    <t>Jasmine Malaeka P</t>
  </si>
  <si>
    <t>Admin 1</t>
  </si>
  <si>
    <t>Hanifa</t>
  </si>
  <si>
    <t xml:space="preserve"> Nanda Putri Sabila</t>
  </si>
  <si>
    <t>Zahra Nur</t>
  </si>
  <si>
    <t>Fadel</t>
  </si>
  <si>
    <t xml:space="preserve"> Allez galan</t>
  </si>
  <si>
    <t>Admin 2</t>
  </si>
  <si>
    <t>Ria</t>
  </si>
  <si>
    <t>Hanifah nur S</t>
  </si>
  <si>
    <t>Dimas</t>
  </si>
  <si>
    <t>aisha</t>
  </si>
  <si>
    <t>Fotografer 1</t>
  </si>
  <si>
    <t>Jessica</t>
  </si>
  <si>
    <t>Fotografer 2</t>
  </si>
  <si>
    <t>Marcellia Eki Christine</t>
  </si>
  <si>
    <t xml:space="preserve"> Aya</t>
  </si>
  <si>
    <t>22 okt</t>
  </si>
  <si>
    <t>Prasetyo Budi Utomo</t>
  </si>
  <si>
    <t>KPI HARIAN | SKALA 1-5</t>
  </si>
  <si>
    <t xml:space="preserve"> Nayla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</si>
  <si>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</si>
  <si>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</si>
  <si>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</si>
  <si>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</si>
  <si>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</si>
  <si>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</si>
  <si>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</si>
  <si>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</si>
  <si>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</si>
  <si>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</si>
  <si>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indah, amel, addel</t>
  </si>
  <si>
    <t>fadel</t>
  </si>
  <si>
    <t>Adif, saka, Fahme, Abror</t>
  </si>
  <si>
    <t>Baterai AA &amp; Pengharum</t>
  </si>
  <si>
    <t>adif, saka, vero, fahme</t>
  </si>
  <si>
    <t>Sarapan wisuda Day 2</t>
  </si>
  <si>
    <t xml:space="preserve">makan malam wisuda </t>
  </si>
  <si>
    <t>Sewa baterai cinemon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</si>
  <si>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</si>
  <si>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</si>
  <si>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</si>
  <si>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</si>
  <si>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</si>
  <si>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</si>
  <si>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</si>
  <si>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</si>
  <si>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</si>
  <si>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</si>
  <si>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</si>
  <si>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</si>
  <si>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Alif Arhansyah</t>
  </si>
  <si>
    <t>Dinta</t>
  </si>
  <si>
    <t>Bintang</t>
  </si>
  <si>
    <t>Cahya Juwita</t>
  </si>
  <si>
    <t>Sasa</t>
  </si>
  <si>
    <t>Nadi Indra F</t>
  </si>
  <si>
    <t>Kim</t>
  </si>
  <si>
    <t>All Soft File</t>
  </si>
  <si>
    <t>Danta</t>
  </si>
  <si>
    <t>Kebagoran</t>
  </si>
  <si>
    <t>Uwi</t>
  </si>
  <si>
    <t>Fida</t>
  </si>
  <si>
    <t>5 Oktober</t>
  </si>
  <si>
    <t>zaila angreani</t>
  </si>
  <si>
    <t>Pas Foto</t>
  </si>
  <si>
    <t>Salsa Bella Aryana</t>
  </si>
  <si>
    <t>PSDA Bahagia</t>
  </si>
  <si>
    <t xml:space="preserve">revo </t>
  </si>
  <si>
    <t>Add cetak</t>
  </si>
  <si>
    <t>Kelas modeling id pwt</t>
  </si>
  <si>
    <t>All file</t>
  </si>
  <si>
    <t>31 agustus</t>
  </si>
  <si>
    <t>Lia</t>
  </si>
  <si>
    <t>Nanda Putri</t>
  </si>
  <si>
    <t>add cetak</t>
  </si>
  <si>
    <t>Rafa Ghiyas</t>
  </si>
  <si>
    <t>Zaila Anggraeni</t>
  </si>
  <si>
    <t>Alfin</t>
  </si>
  <si>
    <t>ots</t>
  </si>
  <si>
    <t>Regita</t>
  </si>
  <si>
    <t>Khairil</t>
  </si>
  <si>
    <t>5 Sept</t>
  </si>
  <si>
    <t>TBMM EKSTREMITAS</t>
  </si>
  <si>
    <t>Johan</t>
  </si>
  <si>
    <t>Revalina</t>
  </si>
  <si>
    <t>Tiara</t>
  </si>
  <si>
    <t>10R</t>
  </si>
  <si>
    <t>add time</t>
  </si>
  <si>
    <t>helmi</t>
  </si>
  <si>
    <t>Andin</t>
  </si>
  <si>
    <t>Nissa</t>
  </si>
  <si>
    <t xml:space="preserve"> laila</t>
  </si>
  <si>
    <t>Adioni</t>
  </si>
  <si>
    <t>Bulan</t>
  </si>
  <si>
    <t>Gita</t>
  </si>
  <si>
    <t>Akbar</t>
  </si>
  <si>
    <t>Lesty Meitika</t>
  </si>
  <si>
    <t>Atik</t>
  </si>
  <si>
    <t>Nidaul</t>
  </si>
  <si>
    <t>Yohann</t>
  </si>
  <si>
    <t>Muhamad Rizki</t>
  </si>
  <si>
    <t>Praba Dayu</t>
  </si>
  <si>
    <t xml:space="preserve"> mohamad tri guntoro</t>
  </si>
  <si>
    <t>Nadya</t>
  </si>
  <si>
    <t>Lauceriza</t>
  </si>
  <si>
    <t xml:space="preserve">ADDEL </t>
  </si>
  <si>
    <t>fahme</t>
  </si>
  <si>
    <t>Acha</t>
  </si>
  <si>
    <t>galon</t>
  </si>
  <si>
    <t>Maulida</t>
  </si>
  <si>
    <t>Baterai A2</t>
  </si>
  <si>
    <t>Sarapan wisuda day 1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</si>
  <si>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</si>
  <si>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</si>
  <si>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</si>
  <si>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</si>
  <si>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</si>
  <si>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</si>
  <si>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</si>
  <si>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</si>
  <si>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</si>
  <si>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</si>
  <si>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</si>
  <si>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</si>
  <si>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</si>
  <si>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</si>
  <si>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</si>
  <si>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</si>
  <si>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</si>
  <si>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</si>
  <si>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</si>
  <si>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</si>
  <si>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</si>
  <si>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</si>
  <si>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</si>
  <si>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</si>
  <si>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</si>
  <si>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</si>
  <si>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</si>
  <si>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</si>
  <si>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</si>
  <si>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</si>
  <si>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</si>
  <si>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</si>
  <si>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</si>
  <si>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</si>
  <si>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</si>
  <si>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</si>
  <si>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</si>
  <si>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</si>
  <si>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</si>
  <si>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</si>
  <si>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</si>
  <si>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</si>
  <si>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</si>
  <si>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</si>
  <si>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</si>
  <si>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</si>
  <si>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</si>
  <si>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</si>
  <si>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</si>
  <si>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</si>
  <si>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</si>
  <si>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</si>
  <si>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</si>
  <si>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</si>
  <si>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</si>
  <si>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</si>
  <si>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</si>
  <si>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</si>
  <si>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</si>
  <si>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</si>
  <si>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</si>
  <si>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</si>
  <si>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</si>
  <si>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</si>
  <si>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</si>
  <si>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</si>
  <si>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</si>
  <si>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</si>
  <si>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</si>
  <si>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</si>
  <si>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</si>
  <si>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</si>
  <si>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</si>
  <si>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</si>
  <si>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</si>
  <si>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</si>
  <si>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</si>
  <si>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</si>
  <si>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</si>
  <si>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</si>
  <si>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Cut Aureli</t>
  </si>
  <si>
    <t>Add Edit</t>
  </si>
  <si>
    <t>stevy</t>
  </si>
  <si>
    <t>Dima</t>
  </si>
  <si>
    <t>Add Cetak</t>
  </si>
  <si>
    <t>16R</t>
  </si>
  <si>
    <t>Icca Lestari (Kelas RPL Kep S1 UMP)</t>
  </si>
  <si>
    <t>rental baterai cinemon</t>
  </si>
  <si>
    <t>18 sept</t>
  </si>
  <si>
    <t>makan wisuda day 2</t>
  </si>
  <si>
    <t xml:space="preserve"> Mayzela</t>
  </si>
  <si>
    <t>adif, saka, fahme, vero</t>
  </si>
  <si>
    <t>Navan HES A</t>
  </si>
  <si>
    <t>14 sept</t>
  </si>
  <si>
    <t>Kanna</t>
  </si>
  <si>
    <t>12 sept</t>
  </si>
  <si>
    <t>Otto</t>
  </si>
  <si>
    <t>add edit</t>
  </si>
  <si>
    <t>Novi</t>
  </si>
  <si>
    <t>Bening</t>
  </si>
  <si>
    <t>11 sept</t>
  </si>
  <si>
    <t>Tamalia</t>
  </si>
  <si>
    <t>Syifa</t>
  </si>
  <si>
    <t>Arneta</t>
  </si>
  <si>
    <t>Naumi</t>
  </si>
  <si>
    <t>Della fitriana</t>
  </si>
  <si>
    <t>kelas 2b (faiza)</t>
  </si>
  <si>
    <t>Maylisa</t>
  </si>
  <si>
    <t>Berlian</t>
  </si>
  <si>
    <t>Tiffani Agil</t>
  </si>
  <si>
    <t>Ujiani</t>
  </si>
  <si>
    <t>lisha</t>
  </si>
  <si>
    <t>naumi</t>
  </si>
  <si>
    <t xml:space="preserve">Decky Septa </t>
  </si>
  <si>
    <t>Bela</t>
  </si>
  <si>
    <t>Shelly Ayu Safitri</t>
  </si>
  <si>
    <t>penthil</t>
  </si>
  <si>
    <t>10R,16R</t>
  </si>
  <si>
    <t>5R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</si>
  <si>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</si>
  <si>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</si>
  <si>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</si>
  <si>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</si>
  <si>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</si>
  <si>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</si>
  <si>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</si>
  <si>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</si>
  <si>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Syifa Zulfa</t>
  </si>
  <si>
    <t>Batik Adipati</t>
  </si>
  <si>
    <t>Nopen</t>
  </si>
  <si>
    <t>Syska</t>
  </si>
  <si>
    <t>N. A. Salsabila</t>
  </si>
  <si>
    <t>Maysila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</si>
  <si>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</si>
  <si>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</si>
  <si>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KKN Desa Mlaya</t>
  </si>
  <si>
    <t>Mila</t>
  </si>
  <si>
    <t>Zara (Kelas modeling)</t>
  </si>
  <si>
    <t>Nina Dwi Suryani</t>
  </si>
  <si>
    <t>Arum  (Kelas modeling)</t>
  </si>
  <si>
    <t>abay</t>
  </si>
  <si>
    <t>Bella  (Kelas modeling)</t>
  </si>
  <si>
    <t>Galih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</si>
  <si>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</si>
  <si>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</si>
  <si>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</si>
  <si>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</si>
  <si>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</si>
  <si>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</si>
  <si>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</si>
  <si>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</si>
  <si>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</si>
  <si>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</si>
  <si>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</si>
  <si>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</si>
  <si>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</si>
  <si>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</si>
  <si>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</si>
  <si>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</si>
  <si>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</si>
  <si>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</si>
  <si>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</si>
  <si>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</si>
  <si>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</si>
  <si>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</si>
  <si>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</si>
  <si>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</si>
  <si>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</si>
  <si>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</si>
  <si>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5R, 16R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</si>
  <si>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</si>
  <si>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</si>
  <si>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</si>
  <si>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</si>
  <si>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</si>
  <si>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</si>
  <si>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</si>
  <si>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</si>
  <si>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</si>
  <si>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</si>
  <si>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</si>
  <si>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</si>
  <si>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</si>
  <si>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</si>
  <si>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</si>
  <si>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</si>
  <si>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</si>
  <si>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</si>
  <si>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</si>
  <si>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</si>
  <si>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</si>
  <si>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</si>
  <si>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</si>
  <si>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</si>
  <si>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</si>
  <si>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</si>
  <si>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</si>
  <si>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</si>
  <si>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</si>
  <si>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</si>
  <si>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</si>
  <si>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</si>
  <si>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</si>
  <si>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</si>
  <si>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</si>
  <si>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</si>
  <si>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</si>
  <si>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Direct RO</t>
  </si>
  <si>
    <t>cetakan 14 sep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</si>
  <si>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</si>
  <si>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</si>
  <si>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</si>
  <si>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</si>
  <si>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</si>
  <si>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</si>
  <si>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</si>
  <si>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</si>
  <si>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</si>
  <si>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</si>
  <si>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</si>
  <si>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</si>
  <si>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</si>
  <si>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</si>
  <si>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</si>
  <si>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</si>
  <si>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</si>
  <si>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</si>
  <si>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</si>
  <si>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</si>
  <si>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</si>
  <si>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</si>
  <si>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</si>
  <si>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</si>
  <si>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</si>
  <si>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</si>
  <si>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</si>
  <si>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</si>
  <si>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</si>
  <si>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</si>
  <si>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</si>
  <si>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</si>
  <si>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</si>
  <si>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</si>
  <si>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Celestia</t>
  </si>
  <si>
    <t>Indah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</si>
  <si>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</si>
  <si>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</si>
  <si>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</si>
  <si>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</si>
  <si>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</si>
  <si>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</si>
  <si>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</si>
  <si>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</si>
  <si>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</si>
  <si>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</si>
  <si>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</si>
  <si>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</si>
  <si>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</si>
  <si>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</si>
  <si>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</si>
  <si>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</si>
  <si>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</si>
  <si>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</si>
  <si>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</si>
  <si>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</si>
  <si>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</si>
  <si>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</si>
  <si>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</si>
  <si>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</si>
  <si>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</si>
  <si>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</si>
  <si>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</si>
  <si>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</si>
  <si>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</si>
  <si>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</si>
  <si>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</si>
  <si>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Yunita</t>
  </si>
  <si>
    <t>Vania</t>
  </si>
  <si>
    <t>Indriyani</t>
  </si>
  <si>
    <t>kresna</t>
  </si>
  <si>
    <t>Binta</t>
  </si>
  <si>
    <t>Amalia Rosita</t>
  </si>
  <si>
    <t>Mein</t>
  </si>
  <si>
    <t>Rosma</t>
  </si>
  <si>
    <t>Elfa</t>
  </si>
  <si>
    <t>Dela</t>
  </si>
  <si>
    <t>Wasis</t>
  </si>
  <si>
    <t>Aghnia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</si>
  <si>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</si>
  <si>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</si>
  <si>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</si>
  <si>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</si>
  <si>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</si>
  <si>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</si>
  <si>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</si>
  <si>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</si>
  <si>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Fahme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</si>
  <si>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</si>
  <si>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</si>
  <si>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</si>
  <si>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</si>
  <si>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</si>
  <si>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</si>
  <si>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</si>
  <si>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</si>
  <si>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</si>
  <si>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</si>
  <si>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</si>
  <si>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</si>
  <si>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</si>
  <si>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</si>
  <si>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>10R, 16R</t>
  </si>
  <si>
    <t>5R, 10R, 16R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</si>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</sst>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2" fillId="0" fontId="1" numFmtId="165" xfId="0" applyAlignment="1" applyBorder="1" applyFont="1" applyNumberFormat="1">
      <alignment horizontal="center"/>
    </xf>
    <xf borderId="2" fillId="0" fontId="1" numFmtId="165" xfId="0" applyBorder="1" applyFont="1" applyNumberFormat="1"/>
    <xf borderId="6" fillId="0" fontId="5" numFmtId="165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1" fillId="0" fontId="1" numFmtId="0" xfId="0" applyAlignment="1" applyBorder="1" applyFont="1">
      <alignment horizontal="center" vertical="center"/>
    </xf>
    <xf borderId="6" fillId="0" fontId="1" numFmtId="0" xfId="0" applyBorder="1" applyFont="1"/>
    <xf borderId="1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2" fillId="0" fontId="5" numFmtId="165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6" fillId="0" fontId="1" numFmtId="165" xfId="0" applyAlignment="1" applyBorder="1" applyFont="1" applyNumberFormat="1">
      <alignment horizontal="right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vertical="bottom"/>
    </xf>
    <xf borderId="6" fillId="0" fontId="1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0" fillId="0" fontId="2" numFmtId="0" xfId="0" applyAlignment="1" applyFont="1">
      <alignment horizontal="center" readingOrder="0"/>
    </xf>
    <xf borderId="0" fillId="0" fontId="7" numFmtId="0" xfId="0" applyFont="1"/>
    <xf borderId="9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9" fillId="0" fontId="9" numFmtId="0" xfId="0" applyAlignment="1" applyBorder="1" applyFont="1">
      <alignment horizontal="center" readingOrder="0" vertical="center"/>
    </xf>
    <xf borderId="2" fillId="0" fontId="1" numFmtId="165" xfId="0" applyAlignment="1" applyBorder="1" applyFont="1" applyNumberFormat="1">
      <alignment readingOrder="0"/>
    </xf>
    <xf borderId="9" fillId="0" fontId="10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7" fillId="7" fontId="2" numFmtId="0" xfId="0" applyAlignment="1" applyBorder="1" applyFill="1" applyFont="1">
      <alignment horizontal="left" vertical="center"/>
    </xf>
    <xf borderId="5" fillId="6" fontId="1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6" fillId="0" fontId="2" numFmtId="0" xfId="0" applyAlignment="1" applyBorder="1" applyFont="1">
      <alignment horizontal="center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799778677"/>
        <c:axId val="256336262"/>
      </c:barChart>
      <c:catAx>
        <c:axId val="17997786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56336262"/>
      </c:catAx>
      <c:valAx>
        <c:axId val="25633626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9977867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71750439"/>
        <c:axId val="1742479167"/>
      </c:lineChart>
      <c:catAx>
        <c:axId val="271750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42479167"/>
      </c:catAx>
      <c:valAx>
        <c:axId val="174247916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7175043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22</v>
      </c>
      <c r="D4" s="17" t="s">
        <v>20</v>
      </c>
      <c r="E4" s="18"/>
      <c r="F4" s="20">
        <v>46273.0</v>
      </c>
      <c r="G4" s="22"/>
      <c r="H4" s="24">
        <v>100000.0</v>
      </c>
      <c r="I4" s="21" t="s">
        <v>24</v>
      </c>
      <c r="J4" s="16"/>
      <c r="K4" s="16"/>
      <c r="L4" s="21" t="s">
        <v>25</v>
      </c>
      <c r="M4" s="16"/>
      <c r="N4" s="26"/>
      <c r="O4" s="26"/>
      <c r="P4" s="28"/>
      <c r="Q4" s="1"/>
      <c r="R4" s="1"/>
    </row>
    <row r="5" ht="15.75" customHeight="1">
      <c r="A5" s="1"/>
      <c r="B5" s="16">
        <v>2.0</v>
      </c>
      <c r="C5" s="15" t="s">
        <v>27</v>
      </c>
      <c r="D5" s="17" t="s">
        <v>21</v>
      </c>
      <c r="E5" s="18"/>
      <c r="F5" s="20">
        <v>46269.0</v>
      </c>
      <c r="G5" s="22"/>
      <c r="H5" s="24">
        <v>100000.0</v>
      </c>
      <c r="I5" s="21" t="s">
        <v>24</v>
      </c>
      <c r="J5" s="21"/>
      <c r="K5" s="16"/>
      <c r="L5" s="21" t="s">
        <v>25</v>
      </c>
      <c r="M5" s="16"/>
      <c r="N5" s="30"/>
      <c r="O5" s="30"/>
      <c r="P5" s="30"/>
      <c r="Q5" s="1"/>
      <c r="R5" s="1"/>
    </row>
    <row r="6" ht="15.75" customHeight="1">
      <c r="A6" s="1"/>
      <c r="B6" s="16">
        <v>3.0</v>
      </c>
      <c r="C6" s="15" t="s">
        <v>31</v>
      </c>
      <c r="D6" s="17" t="s">
        <v>20</v>
      </c>
      <c r="E6" s="18"/>
      <c r="F6" s="25">
        <v>46273.0</v>
      </c>
      <c r="G6" s="32"/>
      <c r="H6" s="35">
        <v>100000.0</v>
      </c>
      <c r="I6" s="21" t="s">
        <v>24</v>
      </c>
      <c r="J6" s="16"/>
      <c r="K6" s="16"/>
      <c r="L6" s="21" t="s">
        <v>25</v>
      </c>
      <c r="M6" s="16"/>
      <c r="N6" s="30"/>
      <c r="O6" s="30"/>
      <c r="P6" s="30"/>
      <c r="Q6" s="1"/>
      <c r="R6" s="1"/>
    </row>
    <row r="7" ht="15.75" customHeight="1">
      <c r="A7" s="1"/>
      <c r="B7" s="16">
        <v>4.0</v>
      </c>
      <c r="C7" s="15" t="s">
        <v>43</v>
      </c>
      <c r="D7" s="17" t="s">
        <v>44</v>
      </c>
      <c r="E7" s="18"/>
      <c r="F7" s="25">
        <v>46268.0</v>
      </c>
      <c r="G7" s="32"/>
      <c r="H7" s="35">
        <v>100000.0</v>
      </c>
      <c r="I7" s="21" t="s">
        <v>24</v>
      </c>
      <c r="J7" s="16"/>
      <c r="K7" s="16"/>
      <c r="L7" s="21" t="s">
        <v>26</v>
      </c>
      <c r="M7" s="16"/>
      <c r="N7" s="30"/>
      <c r="O7" s="30"/>
      <c r="P7" s="30"/>
      <c r="Q7" s="1"/>
      <c r="R7" s="1"/>
    </row>
    <row r="8" ht="15.75" customHeight="1">
      <c r="A8" s="1"/>
      <c r="B8" s="16">
        <v>5.0</v>
      </c>
      <c r="C8" s="15" t="s">
        <v>46</v>
      </c>
      <c r="D8" s="17" t="s">
        <v>20</v>
      </c>
      <c r="E8" s="18"/>
      <c r="F8" s="25">
        <v>46273.0</v>
      </c>
      <c r="G8" s="22"/>
      <c r="H8" s="24">
        <v>100000.0</v>
      </c>
      <c r="I8" s="21" t="s">
        <v>24</v>
      </c>
      <c r="J8" s="16"/>
      <c r="K8" s="16"/>
      <c r="L8" s="21" t="s">
        <v>26</v>
      </c>
      <c r="M8" s="16"/>
      <c r="N8" s="30"/>
      <c r="O8" s="30"/>
      <c r="P8" s="30"/>
      <c r="Q8" s="1"/>
      <c r="R8" s="1"/>
    </row>
    <row r="9" ht="15.75" customHeight="1">
      <c r="A9" s="1"/>
      <c r="B9" s="16">
        <v>6.0</v>
      </c>
      <c r="C9" s="41" t="s">
        <v>49</v>
      </c>
      <c r="D9" s="17" t="s">
        <v>20</v>
      </c>
      <c r="E9" s="43"/>
      <c r="F9" s="25">
        <v>46266.0</v>
      </c>
      <c r="G9" s="44">
        <v>330000.0</v>
      </c>
      <c r="H9" s="45"/>
      <c r="I9" s="21" t="s">
        <v>37</v>
      </c>
      <c r="J9" s="21" t="s">
        <v>38</v>
      </c>
      <c r="K9" s="21" t="s">
        <v>39</v>
      </c>
      <c r="L9" s="21" t="s">
        <v>26</v>
      </c>
      <c r="M9" s="21" t="s">
        <v>53</v>
      </c>
      <c r="N9" s="30"/>
      <c r="O9" s="30"/>
      <c r="P9" s="30"/>
      <c r="Q9" s="1"/>
      <c r="R9" s="1"/>
    </row>
    <row r="10" ht="15.75" customHeight="1">
      <c r="A10" s="1"/>
      <c r="B10" s="16">
        <v>7.0</v>
      </c>
      <c r="C10" s="15" t="s">
        <v>54</v>
      </c>
      <c r="D10" s="17" t="s">
        <v>20</v>
      </c>
      <c r="E10" s="43"/>
      <c r="F10" s="25">
        <v>46274.0</v>
      </c>
      <c r="G10" s="32"/>
      <c r="H10" s="35">
        <v>100000.0</v>
      </c>
      <c r="I10" s="21" t="s">
        <v>24</v>
      </c>
      <c r="J10" s="16"/>
      <c r="K10" s="16"/>
      <c r="L10" s="21" t="s">
        <v>26</v>
      </c>
      <c r="M10" s="16"/>
      <c r="N10" s="30"/>
      <c r="O10" s="30"/>
      <c r="P10" s="30"/>
      <c r="Q10" s="1"/>
      <c r="R10" s="1"/>
    </row>
    <row r="11" ht="15.75" customHeight="1">
      <c r="A11" s="1"/>
      <c r="B11" s="16">
        <v>8.0</v>
      </c>
      <c r="C11" s="15" t="s">
        <v>59</v>
      </c>
      <c r="D11" s="17" t="s">
        <v>20</v>
      </c>
      <c r="E11" s="43"/>
      <c r="F11" s="25">
        <v>46273.0</v>
      </c>
      <c r="G11" s="22"/>
      <c r="H11" s="24">
        <v>100000.0</v>
      </c>
      <c r="I11" s="21" t="s">
        <v>24</v>
      </c>
      <c r="J11" s="16"/>
      <c r="K11" s="16"/>
      <c r="L11" s="21" t="s">
        <v>26</v>
      </c>
      <c r="M11" s="16"/>
      <c r="N11" s="30"/>
      <c r="O11" s="30"/>
      <c r="P11" s="30"/>
      <c r="Q11" s="1"/>
      <c r="R11" s="1"/>
    </row>
    <row r="12" ht="15.75" customHeight="1">
      <c r="A12" s="1"/>
      <c r="B12" s="16">
        <v>9.0</v>
      </c>
      <c r="C12" s="48" t="s">
        <v>65</v>
      </c>
      <c r="D12" s="17" t="s">
        <v>20</v>
      </c>
      <c r="E12" s="43"/>
      <c r="F12" s="42">
        <v>46266.0</v>
      </c>
      <c r="G12" s="44">
        <v>250000.0</v>
      </c>
      <c r="H12" s="50"/>
      <c r="I12" s="21" t="s">
        <v>37</v>
      </c>
      <c r="J12" s="21" t="s">
        <v>38</v>
      </c>
      <c r="K12" s="21" t="s">
        <v>38</v>
      </c>
      <c r="L12" s="21" t="s">
        <v>26</v>
      </c>
      <c r="M12" s="21" t="s">
        <v>69</v>
      </c>
      <c r="N12" s="30"/>
      <c r="O12" s="30"/>
      <c r="P12" s="30"/>
      <c r="Q12" s="1"/>
      <c r="R12" s="1"/>
    </row>
    <row r="13" ht="15.75" customHeight="1">
      <c r="A13" s="1"/>
      <c r="B13" s="16">
        <v>10.0</v>
      </c>
      <c r="C13" s="15" t="s">
        <v>74</v>
      </c>
      <c r="D13" s="17" t="s">
        <v>20</v>
      </c>
      <c r="E13" s="43"/>
      <c r="F13" s="42">
        <v>46274.0</v>
      </c>
      <c r="G13" s="22"/>
      <c r="H13" s="24">
        <v>100000.0</v>
      </c>
      <c r="I13" s="21" t="s">
        <v>24</v>
      </c>
      <c r="J13" s="16"/>
      <c r="K13" s="16"/>
      <c r="L13" s="21" t="s">
        <v>26</v>
      </c>
      <c r="M13" s="16"/>
      <c r="N13" s="30"/>
      <c r="O13" s="30"/>
      <c r="P13" s="30"/>
      <c r="Q13" s="1"/>
      <c r="R13" s="1"/>
    </row>
    <row r="14" ht="15.75" customHeight="1">
      <c r="A14" s="1"/>
      <c r="B14" s="16"/>
      <c r="C14" s="15" t="s">
        <v>77</v>
      </c>
      <c r="D14" s="17" t="s">
        <v>51</v>
      </c>
      <c r="E14" s="18"/>
      <c r="F14" s="42">
        <v>46269.0</v>
      </c>
      <c r="G14" s="32"/>
      <c r="H14" s="35">
        <v>100000.0</v>
      </c>
      <c r="I14" s="21" t="s">
        <v>24</v>
      </c>
      <c r="J14" s="16"/>
      <c r="K14" s="16"/>
      <c r="L14" s="21" t="s">
        <v>26</v>
      </c>
      <c r="M14" s="16"/>
      <c r="N14" s="30"/>
      <c r="O14" s="30"/>
      <c r="P14" s="30"/>
      <c r="Q14" s="1"/>
      <c r="R14" s="1"/>
    </row>
    <row r="15" ht="15.75" customHeight="1">
      <c r="A15" s="1"/>
      <c r="B15" s="16"/>
      <c r="C15" s="15" t="s">
        <v>82</v>
      </c>
      <c r="D15" s="17" t="s">
        <v>20</v>
      </c>
      <c r="E15" s="18"/>
      <c r="F15" s="42">
        <v>46266.0</v>
      </c>
      <c r="G15" s="32"/>
      <c r="H15" s="35">
        <v>320000.0</v>
      </c>
      <c r="I15" s="21" t="s">
        <v>37</v>
      </c>
      <c r="J15" s="16"/>
      <c r="K15" s="16"/>
      <c r="L15" s="16"/>
      <c r="M15" s="21" t="s">
        <v>69</v>
      </c>
      <c r="N15" s="30"/>
      <c r="O15" s="30"/>
      <c r="P15" s="30"/>
      <c r="Q15" s="1"/>
      <c r="R15" s="1"/>
    </row>
    <row r="16" ht="15.75" customHeight="1">
      <c r="A16" s="1"/>
      <c r="B16" s="16"/>
      <c r="C16" s="15" t="s">
        <v>86</v>
      </c>
      <c r="D16" s="17" t="s">
        <v>20</v>
      </c>
      <c r="E16" s="18"/>
      <c r="F16" s="42">
        <v>46266.0</v>
      </c>
      <c r="G16" s="44">
        <v>0.0</v>
      </c>
      <c r="H16" s="35">
        <v>0.0</v>
      </c>
      <c r="I16" s="21" t="s">
        <v>37</v>
      </c>
      <c r="J16" s="21" t="s">
        <v>38</v>
      </c>
      <c r="K16" s="21" t="s">
        <v>38</v>
      </c>
      <c r="L16" s="21" t="s">
        <v>26</v>
      </c>
      <c r="M16" s="21" t="s">
        <v>53</v>
      </c>
      <c r="N16" s="30"/>
      <c r="O16" s="30"/>
      <c r="P16" s="30"/>
      <c r="Q16" s="1"/>
      <c r="R16" s="1"/>
    </row>
    <row r="17" ht="15.75" customHeight="1">
      <c r="A17" s="1"/>
      <c r="B17" s="16"/>
      <c r="C17" s="56" t="s">
        <v>91</v>
      </c>
      <c r="D17" s="17" t="s">
        <v>93</v>
      </c>
      <c r="E17" s="18"/>
      <c r="F17" s="42">
        <v>46266.0</v>
      </c>
      <c r="G17" s="32"/>
      <c r="H17" s="35">
        <v>400000.0</v>
      </c>
      <c r="I17" s="21" t="s">
        <v>37</v>
      </c>
      <c r="J17" s="38" t="s">
        <v>38</v>
      </c>
      <c r="K17" s="38" t="s">
        <v>39</v>
      </c>
      <c r="L17" s="21" t="s">
        <v>95</v>
      </c>
      <c r="M17" s="21" t="s">
        <v>69</v>
      </c>
      <c r="N17" s="30"/>
      <c r="O17" s="30"/>
      <c r="P17" s="30"/>
      <c r="Q17" s="1"/>
      <c r="R17" s="1"/>
    </row>
    <row r="18" ht="15.75" customHeight="1">
      <c r="A18" s="1"/>
      <c r="B18" s="16"/>
      <c r="C18" s="58" t="s">
        <v>98</v>
      </c>
      <c r="D18" s="17" t="s">
        <v>20</v>
      </c>
      <c r="E18" s="18"/>
      <c r="F18" s="42">
        <v>46266.0</v>
      </c>
      <c r="G18" s="32"/>
      <c r="H18" s="35">
        <v>370000.0</v>
      </c>
      <c r="I18" s="21" t="s">
        <v>37</v>
      </c>
      <c r="J18" s="38" t="s">
        <v>38</v>
      </c>
      <c r="K18" s="38" t="s">
        <v>39</v>
      </c>
      <c r="L18" s="21" t="s">
        <v>95</v>
      </c>
      <c r="M18" s="21" t="s">
        <v>53</v>
      </c>
      <c r="N18" s="30"/>
      <c r="O18" s="30"/>
      <c r="P18" s="30"/>
      <c r="Q18" s="1"/>
      <c r="R18" s="1"/>
    </row>
    <row r="19" ht="15.75" customHeight="1">
      <c r="A19" s="1"/>
      <c r="B19" s="16"/>
      <c r="C19" s="15" t="s">
        <v>102</v>
      </c>
      <c r="D19" s="17" t="s">
        <v>20</v>
      </c>
      <c r="E19" s="18"/>
      <c r="F19" s="42">
        <v>46266.0</v>
      </c>
      <c r="G19" s="44">
        <v>290000.0</v>
      </c>
      <c r="H19" s="45"/>
      <c r="I19" s="21" t="s">
        <v>37</v>
      </c>
      <c r="J19" s="38" t="s">
        <v>38</v>
      </c>
      <c r="K19" s="38" t="s">
        <v>39</v>
      </c>
      <c r="L19" s="21" t="s">
        <v>95</v>
      </c>
      <c r="M19" s="21" t="s">
        <v>104</v>
      </c>
      <c r="N19" s="30"/>
      <c r="O19" s="30"/>
      <c r="P19" s="30"/>
      <c r="Q19" s="1"/>
      <c r="R19" s="1"/>
    </row>
    <row r="20" ht="15.75" customHeight="1">
      <c r="A20" s="1"/>
      <c r="B20" s="16"/>
      <c r="C20" s="15" t="s">
        <v>107</v>
      </c>
      <c r="D20" s="17" t="s">
        <v>20</v>
      </c>
      <c r="E20" s="18"/>
      <c r="F20" s="42">
        <v>46266.0</v>
      </c>
      <c r="G20" s="32"/>
      <c r="H20" s="35">
        <v>270000.0</v>
      </c>
      <c r="I20" s="21" t="s">
        <v>37</v>
      </c>
      <c r="J20" s="38" t="s">
        <v>38</v>
      </c>
      <c r="K20" s="38" t="s">
        <v>39</v>
      </c>
      <c r="L20" s="21" t="s">
        <v>95</v>
      </c>
      <c r="M20" s="21" t="s">
        <v>40</v>
      </c>
      <c r="N20" s="30"/>
      <c r="O20" s="30"/>
      <c r="P20" s="30"/>
      <c r="Q20" s="1"/>
      <c r="R20" s="1"/>
    </row>
    <row r="21" ht="15.75" customHeight="1">
      <c r="A21" s="1"/>
      <c r="B21" s="16"/>
      <c r="C21" s="15" t="s">
        <v>110</v>
      </c>
      <c r="D21" s="17" t="s">
        <v>20</v>
      </c>
      <c r="E21" s="18"/>
      <c r="F21" s="42">
        <v>46266.0</v>
      </c>
      <c r="G21" s="32"/>
      <c r="H21" s="35">
        <v>250000.0</v>
      </c>
      <c r="I21" s="21" t="s">
        <v>37</v>
      </c>
      <c r="J21" s="38" t="s">
        <v>38</v>
      </c>
      <c r="K21" s="38" t="s">
        <v>39</v>
      </c>
      <c r="L21" s="21" t="s">
        <v>95</v>
      </c>
      <c r="M21" s="21" t="s">
        <v>104</v>
      </c>
      <c r="N21" s="30"/>
      <c r="O21" s="30"/>
      <c r="P21" s="30"/>
      <c r="Q21" s="1"/>
      <c r="R21" s="1"/>
    </row>
    <row r="22" ht="15.75" customHeight="1">
      <c r="A22" s="1"/>
      <c r="B22" s="16"/>
      <c r="C22" s="15" t="s">
        <v>113</v>
      </c>
      <c r="D22" s="17" t="s">
        <v>20</v>
      </c>
      <c r="E22" s="18"/>
      <c r="F22" s="42">
        <v>46266.0</v>
      </c>
      <c r="G22" s="32"/>
      <c r="H22" s="35">
        <v>250000.0</v>
      </c>
      <c r="I22" s="21" t="s">
        <v>37</v>
      </c>
      <c r="J22" s="38" t="s">
        <v>38</v>
      </c>
      <c r="K22" s="38" t="s">
        <v>39</v>
      </c>
      <c r="L22" s="21" t="s">
        <v>95</v>
      </c>
      <c r="M22" s="21" t="s">
        <v>104</v>
      </c>
      <c r="N22" s="30"/>
      <c r="O22" s="30"/>
      <c r="P22" s="30"/>
      <c r="Q22" s="1"/>
      <c r="R22" s="1"/>
    </row>
    <row r="23" ht="15.75" customHeight="1">
      <c r="A23" s="1"/>
      <c r="B23" s="14"/>
      <c r="C23" s="29" t="s">
        <v>115</v>
      </c>
      <c r="D23" s="17" t="s">
        <v>20</v>
      </c>
      <c r="E23" s="16"/>
      <c r="F23" s="42">
        <v>46266.0</v>
      </c>
      <c r="G23" s="61"/>
      <c r="H23" s="36">
        <v>250000.0</v>
      </c>
      <c r="I23" s="21" t="s">
        <v>37</v>
      </c>
      <c r="J23" s="38" t="s">
        <v>38</v>
      </c>
      <c r="K23" s="38" t="s">
        <v>39</v>
      </c>
      <c r="L23" s="21" t="s">
        <v>95</v>
      </c>
      <c r="M23" s="38" t="s">
        <v>53</v>
      </c>
      <c r="N23" s="30"/>
      <c r="O23" s="30"/>
      <c r="P23" s="30"/>
      <c r="Q23" s="1"/>
      <c r="R23" s="1"/>
    </row>
    <row r="24" ht="15.75" customHeight="1">
      <c r="A24" s="1"/>
      <c r="B24" s="14"/>
      <c r="C24" s="29" t="s">
        <v>121</v>
      </c>
      <c r="D24" s="17" t="s">
        <v>20</v>
      </c>
      <c r="E24" s="16"/>
      <c r="F24" s="42">
        <v>46266.0</v>
      </c>
      <c r="G24" s="61"/>
      <c r="H24" s="36">
        <v>250000.0</v>
      </c>
      <c r="I24" s="21" t="s">
        <v>37</v>
      </c>
      <c r="J24" s="38" t="s">
        <v>38</v>
      </c>
      <c r="K24" s="38" t="s">
        <v>39</v>
      </c>
      <c r="L24" s="21" t="s">
        <v>95</v>
      </c>
      <c r="M24" s="38" t="s">
        <v>124</v>
      </c>
      <c r="N24" s="30"/>
      <c r="O24" s="30"/>
      <c r="P24" s="30"/>
      <c r="Q24" s="1"/>
      <c r="R24" s="1"/>
    </row>
    <row r="25" ht="15.75" customHeight="1">
      <c r="A25" s="1"/>
      <c r="B25" s="14"/>
      <c r="C25" s="29" t="s">
        <v>126</v>
      </c>
      <c r="D25" s="17" t="s">
        <v>20</v>
      </c>
      <c r="E25" s="16"/>
      <c r="F25" s="42">
        <v>46266.0</v>
      </c>
      <c r="G25" s="62">
        <v>20000.0</v>
      </c>
      <c r="H25" s="60"/>
      <c r="I25" s="21" t="s">
        <v>37</v>
      </c>
      <c r="J25" s="38" t="s">
        <v>38</v>
      </c>
      <c r="K25" s="38" t="s">
        <v>39</v>
      </c>
      <c r="L25" s="21" t="s">
        <v>95</v>
      </c>
      <c r="M25" s="38" t="s">
        <v>69</v>
      </c>
      <c r="N25" s="30"/>
      <c r="O25" s="30"/>
      <c r="P25" s="30"/>
      <c r="Q25" s="1"/>
      <c r="R25" s="1"/>
    </row>
    <row r="26" ht="15.75" customHeight="1">
      <c r="A26" s="1"/>
      <c r="B26" s="14"/>
      <c r="C26" s="29" t="s">
        <v>131</v>
      </c>
      <c r="D26" s="17" t="s">
        <v>20</v>
      </c>
      <c r="E26" s="16"/>
      <c r="F26" s="42">
        <v>46266.0</v>
      </c>
      <c r="G26" s="62">
        <v>250000.0</v>
      </c>
      <c r="H26" s="60"/>
      <c r="I26" s="21" t="s">
        <v>37</v>
      </c>
      <c r="J26" s="38" t="s">
        <v>38</v>
      </c>
      <c r="K26" s="38" t="s">
        <v>38</v>
      </c>
      <c r="L26" s="21" t="s">
        <v>95</v>
      </c>
      <c r="M26" s="38" t="s">
        <v>104</v>
      </c>
      <c r="N26" s="30"/>
      <c r="O26" s="30"/>
      <c r="P26" s="30"/>
      <c r="Q26" s="1"/>
      <c r="R26" s="1"/>
    </row>
    <row r="27" ht="15.75" customHeight="1">
      <c r="A27" s="1"/>
      <c r="B27" s="14"/>
      <c r="C27" s="29" t="s">
        <v>134</v>
      </c>
      <c r="D27" s="17" t="s">
        <v>20</v>
      </c>
      <c r="E27" s="16"/>
      <c r="F27" s="42">
        <v>46266.0</v>
      </c>
      <c r="G27" s="62">
        <v>80000.0</v>
      </c>
      <c r="H27" s="60"/>
      <c r="I27" s="21" t="s">
        <v>37</v>
      </c>
      <c r="J27" s="38" t="s">
        <v>38</v>
      </c>
      <c r="K27" s="38" t="s">
        <v>39</v>
      </c>
      <c r="L27" s="21" t="s">
        <v>95</v>
      </c>
      <c r="M27" s="38" t="s">
        <v>124</v>
      </c>
      <c r="N27" s="30"/>
      <c r="O27" s="30"/>
      <c r="P27" s="30"/>
      <c r="Q27" s="1"/>
      <c r="R27" s="1"/>
    </row>
    <row r="28" ht="15.75" customHeight="1">
      <c r="A28" s="1"/>
      <c r="B28" s="14"/>
      <c r="C28" s="29" t="s">
        <v>137</v>
      </c>
      <c r="D28" s="17" t="s">
        <v>20</v>
      </c>
      <c r="E28" s="16"/>
      <c r="F28" s="42">
        <v>46266.0</v>
      </c>
      <c r="G28" s="61"/>
      <c r="H28" s="36">
        <v>150000.0</v>
      </c>
      <c r="I28" s="21" t="s">
        <v>37</v>
      </c>
      <c r="J28" s="38" t="s">
        <v>38</v>
      </c>
      <c r="K28" s="38" t="s">
        <v>39</v>
      </c>
      <c r="L28" s="21" t="s">
        <v>95</v>
      </c>
      <c r="M28" s="38" t="s">
        <v>69</v>
      </c>
      <c r="N28" s="30"/>
      <c r="O28" s="30"/>
      <c r="P28" s="30"/>
      <c r="Q28" s="1"/>
      <c r="R28" s="1"/>
    </row>
    <row r="29" ht="15.75" customHeight="1">
      <c r="A29" s="1"/>
      <c r="B29" s="14"/>
      <c r="C29" s="29" t="s">
        <v>143</v>
      </c>
      <c r="D29" s="17" t="s">
        <v>20</v>
      </c>
      <c r="E29" s="16"/>
      <c r="F29" s="42">
        <v>46266.0</v>
      </c>
      <c r="G29" s="62">
        <v>250000.0</v>
      </c>
      <c r="H29" s="60"/>
      <c r="I29" s="21" t="s">
        <v>37</v>
      </c>
      <c r="J29" s="38" t="s">
        <v>38</v>
      </c>
      <c r="K29" s="38" t="s">
        <v>39</v>
      </c>
      <c r="L29" s="21" t="s">
        <v>95</v>
      </c>
      <c r="M29" s="38" t="s">
        <v>53</v>
      </c>
      <c r="N29" s="30"/>
      <c r="O29" s="30"/>
      <c r="P29" s="30"/>
      <c r="Q29" s="1"/>
      <c r="R29" s="1"/>
    </row>
    <row r="30" ht="15.75" customHeight="1">
      <c r="A30" s="1"/>
      <c r="B30" s="14"/>
      <c r="C30" s="29" t="s">
        <v>146</v>
      </c>
      <c r="D30" s="17" t="s">
        <v>71</v>
      </c>
      <c r="E30" s="16"/>
      <c r="F30" s="42">
        <v>46266.0</v>
      </c>
      <c r="G30" s="61"/>
      <c r="H30" s="36">
        <v>100000.0</v>
      </c>
      <c r="I30" s="21" t="s">
        <v>37</v>
      </c>
      <c r="J30" s="38" t="s">
        <v>38</v>
      </c>
      <c r="K30" s="38" t="s">
        <v>55</v>
      </c>
      <c r="L30" s="21" t="s">
        <v>26</v>
      </c>
      <c r="M30" s="38" t="s">
        <v>69</v>
      </c>
      <c r="N30" s="30"/>
      <c r="O30" s="30"/>
      <c r="P30" s="30"/>
      <c r="Q30" s="1"/>
      <c r="R30" s="1"/>
    </row>
    <row r="31" ht="15.75" customHeight="1">
      <c r="A31" s="1"/>
      <c r="B31" s="14"/>
      <c r="C31" s="29" t="s">
        <v>151</v>
      </c>
      <c r="D31" s="15" t="s">
        <v>20</v>
      </c>
      <c r="E31" s="16"/>
      <c r="F31" s="51">
        <v>46267.0</v>
      </c>
      <c r="G31" s="61"/>
      <c r="H31" s="36">
        <v>100000.0</v>
      </c>
      <c r="I31" s="38" t="s">
        <v>24</v>
      </c>
      <c r="J31" s="38" t="s">
        <v>38</v>
      </c>
      <c r="K31" s="38" t="s">
        <v>39</v>
      </c>
      <c r="L31" s="38" t="s">
        <v>26</v>
      </c>
      <c r="M31" s="38"/>
      <c r="N31" s="30"/>
      <c r="O31" s="30"/>
      <c r="P31" s="30"/>
      <c r="Q31" s="1"/>
      <c r="R31" s="1"/>
    </row>
    <row r="32" ht="15.75" customHeight="1">
      <c r="A32" s="1"/>
      <c r="B32" s="14"/>
      <c r="C32" s="29" t="s">
        <v>156</v>
      </c>
      <c r="D32" s="15" t="s">
        <v>20</v>
      </c>
      <c r="E32" s="16"/>
      <c r="F32" s="38" t="s">
        <v>61</v>
      </c>
      <c r="G32" s="61"/>
      <c r="H32" s="36">
        <v>100000.0</v>
      </c>
      <c r="I32" s="38" t="s">
        <v>24</v>
      </c>
      <c r="J32" s="38" t="s">
        <v>38</v>
      </c>
      <c r="K32" s="38" t="s">
        <v>39</v>
      </c>
      <c r="L32" s="38" t="s">
        <v>26</v>
      </c>
      <c r="M32" s="38"/>
      <c r="N32" s="30"/>
      <c r="O32" s="30"/>
      <c r="P32" s="30"/>
      <c r="Q32" s="1"/>
      <c r="R32" s="1"/>
    </row>
    <row r="33" ht="15.75" customHeight="1">
      <c r="A33" s="1"/>
      <c r="B33" s="14"/>
      <c r="C33" s="66" t="s">
        <v>159</v>
      </c>
      <c r="D33" s="15" t="s">
        <v>20</v>
      </c>
      <c r="E33" s="16"/>
      <c r="F33" s="38" t="s">
        <v>161</v>
      </c>
      <c r="G33" s="61"/>
      <c r="H33" s="36">
        <v>250000.0</v>
      </c>
      <c r="I33" s="38" t="s">
        <v>37</v>
      </c>
      <c r="J33" s="38" t="s">
        <v>38</v>
      </c>
      <c r="K33" s="38" t="s">
        <v>39</v>
      </c>
      <c r="L33" s="38" t="s">
        <v>26</v>
      </c>
      <c r="M33" s="38" t="s">
        <v>104</v>
      </c>
      <c r="N33" s="30"/>
      <c r="O33" s="30"/>
      <c r="P33" s="30"/>
      <c r="Q33" s="1"/>
      <c r="R33" s="1"/>
    </row>
    <row r="34" ht="15.75" customHeight="1">
      <c r="A34" s="1"/>
      <c r="B34" s="14"/>
      <c r="C34" s="66" t="s">
        <v>163</v>
      </c>
      <c r="D34" s="15" t="s">
        <v>20</v>
      </c>
      <c r="E34" s="16"/>
      <c r="F34" s="38" t="s">
        <v>161</v>
      </c>
      <c r="G34" s="61"/>
      <c r="H34" s="36">
        <v>250000.0</v>
      </c>
      <c r="I34" s="38" t="s">
        <v>37</v>
      </c>
      <c r="J34" s="38" t="s">
        <v>38</v>
      </c>
      <c r="K34" s="38" t="s">
        <v>39</v>
      </c>
      <c r="L34" s="38" t="s">
        <v>26</v>
      </c>
      <c r="M34" s="38" t="s">
        <v>53</v>
      </c>
      <c r="N34" s="30"/>
      <c r="O34" s="30"/>
      <c r="P34" s="30"/>
      <c r="Q34" s="1"/>
      <c r="R34" s="1"/>
    </row>
    <row r="35" ht="15.75" customHeight="1">
      <c r="A35" s="1"/>
      <c r="B35" s="14"/>
      <c r="C35" s="29" t="s">
        <v>165</v>
      </c>
      <c r="D35" s="15" t="s">
        <v>20</v>
      </c>
      <c r="E35" s="16"/>
      <c r="F35" s="38" t="s">
        <v>61</v>
      </c>
      <c r="G35" s="61"/>
      <c r="H35" s="36">
        <v>100000.0</v>
      </c>
      <c r="I35" s="38" t="s">
        <v>24</v>
      </c>
      <c r="J35" s="14"/>
      <c r="K35" s="14"/>
      <c r="L35" s="38" t="s">
        <v>26</v>
      </c>
      <c r="M35" s="38"/>
      <c r="N35" s="30"/>
      <c r="O35" s="30"/>
      <c r="P35" s="30"/>
      <c r="Q35" s="1"/>
      <c r="R35" s="1"/>
    </row>
    <row r="36" ht="15.75" customHeight="1">
      <c r="A36" s="1"/>
      <c r="B36" s="14"/>
      <c r="C36" s="29" t="s">
        <v>118</v>
      </c>
      <c r="D36" s="15" t="s">
        <v>21</v>
      </c>
      <c r="E36" s="16"/>
      <c r="F36" s="38" t="s">
        <v>23</v>
      </c>
      <c r="G36" s="61"/>
      <c r="H36" s="36">
        <v>100000.0</v>
      </c>
      <c r="I36" s="38" t="s">
        <v>24</v>
      </c>
      <c r="J36" s="14"/>
      <c r="K36" s="14"/>
      <c r="L36" s="38" t="s">
        <v>26</v>
      </c>
      <c r="M36" s="38" t="s">
        <v>53</v>
      </c>
      <c r="N36" s="30"/>
      <c r="O36" s="30"/>
      <c r="P36" s="30"/>
      <c r="Q36" s="1"/>
      <c r="R36" s="1"/>
    </row>
    <row r="37" ht="15.75" customHeight="1">
      <c r="A37" s="1"/>
      <c r="B37" s="14"/>
      <c r="C37" s="29" t="s">
        <v>169</v>
      </c>
      <c r="D37" s="15" t="s">
        <v>20</v>
      </c>
      <c r="E37" s="16"/>
      <c r="F37" s="38" t="s">
        <v>161</v>
      </c>
      <c r="G37" s="61"/>
      <c r="H37" s="36">
        <v>250000.0</v>
      </c>
      <c r="I37" s="38" t="s">
        <v>37</v>
      </c>
      <c r="J37" s="38" t="s">
        <v>38</v>
      </c>
      <c r="K37" s="38" t="s">
        <v>39</v>
      </c>
      <c r="L37" s="38" t="s">
        <v>26</v>
      </c>
      <c r="M37" s="38" t="s">
        <v>124</v>
      </c>
      <c r="N37" s="30"/>
      <c r="O37" s="30"/>
      <c r="P37" s="30"/>
      <c r="Q37" s="1"/>
      <c r="R37" s="1"/>
    </row>
    <row r="38" ht="15.75" customHeight="1">
      <c r="A38" s="1"/>
      <c r="B38" s="14"/>
      <c r="C38" s="29" t="s">
        <v>172</v>
      </c>
      <c r="D38" s="15" t="s">
        <v>20</v>
      </c>
      <c r="E38" s="16"/>
      <c r="F38" s="38" t="s">
        <v>173</v>
      </c>
      <c r="G38" s="61"/>
      <c r="H38" s="36">
        <v>100000.0</v>
      </c>
      <c r="I38" s="38" t="s">
        <v>24</v>
      </c>
      <c r="J38" s="14"/>
      <c r="K38" s="14"/>
      <c r="L38" s="38" t="s">
        <v>26</v>
      </c>
      <c r="M38" s="14"/>
      <c r="N38" s="30"/>
      <c r="O38" s="30"/>
      <c r="P38" s="30"/>
      <c r="Q38" s="1"/>
      <c r="R38" s="1"/>
    </row>
    <row r="39" ht="15.75" customHeight="1">
      <c r="A39" s="1"/>
      <c r="B39" s="14"/>
      <c r="C39" s="29" t="s">
        <v>177</v>
      </c>
      <c r="D39" s="15" t="s">
        <v>20</v>
      </c>
      <c r="E39" s="16"/>
      <c r="F39" s="38" t="s">
        <v>161</v>
      </c>
      <c r="G39" s="62">
        <v>310000.0</v>
      </c>
      <c r="H39" s="36"/>
      <c r="I39" s="38" t="s">
        <v>37</v>
      </c>
      <c r="J39" s="38" t="s">
        <v>38</v>
      </c>
      <c r="K39" s="38" t="s">
        <v>39</v>
      </c>
      <c r="L39" s="38" t="s">
        <v>26</v>
      </c>
      <c r="M39" s="38" t="s">
        <v>124</v>
      </c>
      <c r="N39" s="30"/>
      <c r="O39" s="30"/>
      <c r="P39" s="30"/>
      <c r="Q39" s="1"/>
      <c r="R39" s="1"/>
    </row>
    <row r="40" ht="15.75" customHeight="1">
      <c r="A40" s="1"/>
      <c r="B40" s="14"/>
      <c r="C40" s="29" t="s">
        <v>179</v>
      </c>
      <c r="D40" s="15" t="s">
        <v>20</v>
      </c>
      <c r="E40" s="16"/>
      <c r="F40" s="38" t="s">
        <v>33</v>
      </c>
      <c r="G40" s="61"/>
      <c r="H40" s="36">
        <v>350000.0</v>
      </c>
      <c r="I40" s="38" t="s">
        <v>37</v>
      </c>
      <c r="J40" s="14"/>
      <c r="K40" s="14"/>
      <c r="L40" s="38" t="s">
        <v>26</v>
      </c>
      <c r="M40" s="14"/>
      <c r="N40" s="30"/>
      <c r="O40" s="30"/>
      <c r="P40" s="30"/>
      <c r="Q40" s="1"/>
      <c r="R40" s="1"/>
    </row>
    <row r="41" ht="15.75" customHeight="1">
      <c r="A41" s="1"/>
      <c r="B41" s="14"/>
      <c r="C41" s="29" t="s">
        <v>181</v>
      </c>
      <c r="D41" s="15" t="s">
        <v>20</v>
      </c>
      <c r="E41" s="16"/>
      <c r="F41" s="51">
        <v>46273.0</v>
      </c>
      <c r="G41" s="61"/>
      <c r="H41" s="36">
        <v>100000.0</v>
      </c>
      <c r="I41" s="38" t="s">
        <v>24</v>
      </c>
      <c r="J41" s="14"/>
      <c r="K41" s="14"/>
      <c r="L41" s="38" t="s">
        <v>25</v>
      </c>
      <c r="M41" s="14"/>
      <c r="N41" s="30"/>
      <c r="O41" s="30"/>
      <c r="P41" s="30"/>
      <c r="Q41" s="1"/>
      <c r="R41" s="1"/>
    </row>
    <row r="42" ht="15.75" customHeight="1">
      <c r="A42" s="1"/>
      <c r="B42" s="14"/>
      <c r="C42" s="29" t="s">
        <v>185</v>
      </c>
      <c r="D42" s="15" t="s">
        <v>93</v>
      </c>
      <c r="E42" s="16"/>
      <c r="F42" s="51">
        <v>46273.0</v>
      </c>
      <c r="G42" s="61"/>
      <c r="H42" s="36">
        <v>300000.0</v>
      </c>
      <c r="I42" s="38" t="s">
        <v>24</v>
      </c>
      <c r="J42" s="14"/>
      <c r="K42" s="14"/>
      <c r="L42" s="38" t="s">
        <v>25</v>
      </c>
      <c r="M42" s="14"/>
      <c r="N42" s="30"/>
      <c r="O42" s="30"/>
      <c r="P42" s="30"/>
      <c r="Q42" s="1"/>
      <c r="R42" s="1"/>
    </row>
    <row r="43" ht="15.75" customHeight="1">
      <c r="A43" s="1"/>
      <c r="B43" s="14"/>
      <c r="C43" s="29" t="s">
        <v>189</v>
      </c>
      <c r="D43" s="15" t="s">
        <v>93</v>
      </c>
      <c r="E43" s="16"/>
      <c r="F43" s="51">
        <v>46273.0</v>
      </c>
      <c r="G43" s="61"/>
      <c r="H43" s="36">
        <v>100000.0</v>
      </c>
      <c r="I43" s="38" t="s">
        <v>24</v>
      </c>
      <c r="J43" s="14"/>
      <c r="K43" s="14"/>
      <c r="L43" s="38" t="s">
        <v>25</v>
      </c>
      <c r="M43" s="14"/>
      <c r="N43" s="30"/>
      <c r="O43" s="30"/>
      <c r="P43" s="30"/>
      <c r="Q43" s="1"/>
      <c r="R43" s="1"/>
    </row>
    <row r="44" ht="15.75" customHeight="1">
      <c r="A44" s="1"/>
      <c r="B44" s="14"/>
      <c r="C44" s="29" t="s">
        <v>191</v>
      </c>
      <c r="D44" s="15" t="s">
        <v>20</v>
      </c>
      <c r="E44" s="16"/>
      <c r="F44" s="51">
        <v>46273.0</v>
      </c>
      <c r="G44" s="61"/>
      <c r="H44" s="36">
        <v>100000.0</v>
      </c>
      <c r="I44" s="38" t="s">
        <v>24</v>
      </c>
      <c r="J44" s="14"/>
      <c r="K44" s="14"/>
      <c r="L44" s="38" t="s">
        <v>25</v>
      </c>
      <c r="M44" s="14"/>
      <c r="N44" s="30"/>
      <c r="O44" s="30"/>
      <c r="P44" s="30"/>
      <c r="Q44" s="1"/>
      <c r="R44" s="1"/>
    </row>
    <row r="45" ht="15.75" customHeight="1">
      <c r="A45" s="1"/>
      <c r="B45" s="14"/>
      <c r="C45" s="29" t="s">
        <v>196</v>
      </c>
      <c r="D45" s="15" t="s">
        <v>20</v>
      </c>
      <c r="E45" s="16"/>
      <c r="F45" s="51">
        <v>46274.0</v>
      </c>
      <c r="G45" s="61"/>
      <c r="H45" s="36">
        <v>100000.0</v>
      </c>
      <c r="I45" s="38" t="s">
        <v>24</v>
      </c>
      <c r="J45" s="14"/>
      <c r="K45" s="14"/>
      <c r="L45" s="38" t="s">
        <v>25</v>
      </c>
      <c r="M45" s="14"/>
      <c r="N45" s="30"/>
      <c r="O45" s="30"/>
      <c r="P45" s="30"/>
      <c r="Q45" s="1"/>
      <c r="R45" s="1"/>
    </row>
    <row r="46" ht="15.75" customHeight="1">
      <c r="A46" s="1"/>
      <c r="B46" s="14"/>
      <c r="C46" s="29" t="s">
        <v>199</v>
      </c>
      <c r="D46" s="15" t="s">
        <v>20</v>
      </c>
      <c r="E46" s="16"/>
      <c r="F46" s="51">
        <v>46273.0</v>
      </c>
      <c r="G46" s="61"/>
      <c r="H46" s="36">
        <v>100000.0</v>
      </c>
      <c r="I46" s="38" t="s">
        <v>24</v>
      </c>
      <c r="J46" s="14"/>
      <c r="K46" s="14"/>
      <c r="L46" s="38" t="s">
        <v>25</v>
      </c>
      <c r="M46" s="14"/>
      <c r="N46" s="30"/>
      <c r="O46" s="30"/>
      <c r="P46" s="30"/>
      <c r="Q46" s="1"/>
      <c r="R46" s="1"/>
    </row>
    <row r="47" ht="15.75" customHeight="1">
      <c r="A47" s="1"/>
      <c r="B47" s="14"/>
      <c r="C47" s="29" t="s">
        <v>201</v>
      </c>
      <c r="D47" s="15" t="s">
        <v>20</v>
      </c>
      <c r="E47" s="16"/>
      <c r="F47" s="38" t="s">
        <v>73</v>
      </c>
      <c r="G47" s="61"/>
      <c r="H47" s="36">
        <v>100000.0</v>
      </c>
      <c r="I47" s="38" t="s">
        <v>24</v>
      </c>
      <c r="J47" s="14"/>
      <c r="K47" s="14"/>
      <c r="L47" s="38" t="s">
        <v>26</v>
      </c>
      <c r="M47" s="14"/>
      <c r="N47" s="30"/>
      <c r="O47" s="30"/>
      <c r="P47" s="30"/>
      <c r="Q47" s="1"/>
      <c r="R47" s="1"/>
    </row>
    <row r="48" ht="15.75" customHeight="1">
      <c r="A48" s="1"/>
      <c r="B48" s="14"/>
      <c r="C48" s="29" t="s">
        <v>171</v>
      </c>
      <c r="D48" s="15" t="s">
        <v>20</v>
      </c>
      <c r="E48" s="16"/>
      <c r="F48" s="38" t="s">
        <v>81</v>
      </c>
      <c r="G48" s="61"/>
      <c r="H48" s="36">
        <v>100000.0</v>
      </c>
      <c r="I48" s="38" t="s">
        <v>24</v>
      </c>
      <c r="J48" s="14"/>
      <c r="K48" s="14"/>
      <c r="L48" s="38" t="s">
        <v>26</v>
      </c>
      <c r="M48" s="14"/>
      <c r="N48" s="30"/>
      <c r="O48" s="30"/>
      <c r="P48" s="30"/>
      <c r="Q48" s="1"/>
      <c r="R48" s="1"/>
    </row>
    <row r="49" ht="15.75" customHeight="1">
      <c r="A49" s="1"/>
      <c r="B49" s="14"/>
      <c r="C49" s="67"/>
      <c r="D49" s="91"/>
      <c r="E49" s="16"/>
      <c r="F49" s="14"/>
      <c r="G49" s="61"/>
      <c r="H49" s="60"/>
      <c r="I49" s="14"/>
      <c r="J49" s="14"/>
      <c r="K49" s="14"/>
      <c r="L49" s="14"/>
      <c r="M49" s="14"/>
      <c r="N49" s="30"/>
      <c r="O49" s="30"/>
      <c r="P49" s="30"/>
      <c r="Q49" s="1"/>
      <c r="R49" s="1"/>
    </row>
    <row r="50" ht="15.75" customHeight="1">
      <c r="A50" s="1"/>
      <c r="B50" s="14"/>
      <c r="C50" s="67"/>
      <c r="D50" s="91"/>
      <c r="E50" s="16"/>
      <c r="F50" s="14"/>
      <c r="G50" s="61"/>
      <c r="H50" s="60"/>
      <c r="I50" s="14"/>
      <c r="J50" s="14"/>
      <c r="K50" s="14"/>
      <c r="L50" s="14"/>
      <c r="M50" s="14"/>
      <c r="N50" s="30"/>
      <c r="O50" s="30"/>
      <c r="P50" s="30"/>
      <c r="Q50" s="1"/>
      <c r="R50" s="1"/>
    </row>
    <row r="51" ht="15.75" customHeight="1">
      <c r="A51" s="1"/>
      <c r="B51" s="14"/>
      <c r="C51" s="67"/>
      <c r="D51" s="91"/>
      <c r="E51" s="16"/>
      <c r="F51" s="14"/>
      <c r="G51" s="61"/>
      <c r="H51" s="60"/>
      <c r="I51" s="14"/>
      <c r="J51" s="14"/>
      <c r="K51" s="14"/>
      <c r="L51" s="14"/>
      <c r="M51" s="14"/>
      <c r="N51" s="30"/>
      <c r="O51" s="30"/>
      <c r="P51" s="30"/>
      <c r="Q51" s="1"/>
      <c r="R51" s="1"/>
    </row>
    <row r="52" ht="15.75" customHeight="1">
      <c r="A52" s="1"/>
      <c r="B52" s="14"/>
      <c r="C52" s="67"/>
      <c r="D52" s="91"/>
      <c r="E52" s="16"/>
      <c r="F52" s="14"/>
      <c r="G52" s="61"/>
      <c r="H52" s="60"/>
      <c r="I52" s="14"/>
      <c r="J52" s="14"/>
      <c r="K52" s="14"/>
      <c r="L52" s="14"/>
      <c r="M52" s="14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174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175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178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182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215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216</v>
      </c>
      <c r="M58" s="1"/>
      <c r="N58" s="82" t="s">
        <v>188</v>
      </c>
      <c r="O58" s="84" t="s">
        <v>26</v>
      </c>
      <c r="P58" s="1"/>
      <c r="Q58" s="1"/>
      <c r="R58" s="1"/>
    </row>
    <row r="59" ht="15.75" customHeight="1">
      <c r="A59" s="1"/>
      <c r="B59" s="72">
        <v>3.0</v>
      </c>
      <c r="C59" s="100"/>
      <c r="D59" s="101"/>
      <c r="E59" s="75"/>
      <c r="F59" s="1"/>
      <c r="G59" s="1"/>
      <c r="H59" s="1"/>
      <c r="I59" s="1"/>
      <c r="J59" s="1"/>
      <c r="K59" s="1"/>
      <c r="L59" s="1"/>
      <c r="M59" s="1"/>
      <c r="N59" s="85" t="s">
        <v>193</v>
      </c>
      <c r="O59" s="86" t="s">
        <v>69</v>
      </c>
      <c r="P59" s="1"/>
      <c r="Q59" s="1"/>
      <c r="R59" s="1"/>
    </row>
    <row r="60" ht="15.75" customHeight="1">
      <c r="A60" s="1"/>
      <c r="B60" s="78">
        <v>4.0</v>
      </c>
      <c r="C60" s="79" t="s">
        <v>186</v>
      </c>
      <c r="D60" s="80">
        <v>-26000.0</v>
      </c>
      <c r="E60" s="75"/>
      <c r="F60" s="102">
        <f>D58+D61</f>
        <v>-307000</v>
      </c>
      <c r="G60" s="1"/>
      <c r="H60" s="1"/>
      <c r="I60" s="1"/>
      <c r="J60" s="1"/>
      <c r="K60" s="1"/>
      <c r="L60" s="1"/>
      <c r="M60" s="1"/>
      <c r="N60" s="87" t="s">
        <v>195</v>
      </c>
      <c r="O60" s="84" t="s">
        <v>40</v>
      </c>
      <c r="P60" s="1"/>
      <c r="Q60" s="1"/>
      <c r="R60" s="1"/>
    </row>
    <row r="61" ht="15.75" customHeight="1">
      <c r="A61" s="1"/>
      <c r="B61" s="72">
        <v>5.0</v>
      </c>
      <c r="C61" s="100" t="s">
        <v>220</v>
      </c>
      <c r="D61" s="101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200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202</v>
      </c>
      <c r="M63" s="90" t="s">
        <v>203</v>
      </c>
      <c r="N63" s="90" t="s">
        <v>204</v>
      </c>
      <c r="O63" s="90" t="s">
        <v>205</v>
      </c>
      <c r="P63" s="90" t="s">
        <v>206</v>
      </c>
      <c r="Q63" s="1"/>
      <c r="R63" s="1"/>
      <c r="AC63" s="92" t="s">
        <v>207</v>
      </c>
      <c r="AD63" s="92" t="s">
        <v>208</v>
      </c>
      <c r="AE63" s="92" t="s">
        <v>209</v>
      </c>
      <c r="AF63" s="92" t="s">
        <v>210</v>
      </c>
      <c r="AG63" s="92" t="s">
        <v>211</v>
      </c>
    </row>
    <row r="64" ht="15.75" customHeight="1">
      <c r="A64" s="1"/>
      <c r="B64" s="78">
        <v>8.0</v>
      </c>
      <c r="C64" s="81"/>
      <c r="D64" s="83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1"/>
      <c r="D66" s="83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SAKA</v>
      </c>
    </row>
    <row r="67" ht="15.75" customHeight="1">
      <c r="A67" s="1"/>
      <c r="B67" s="105">
        <v>11.0</v>
      </c>
      <c r="C67" s="106"/>
      <c r="D67" s="107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ADIF</v>
      </c>
    </row>
    <row r="68" ht="15.75" customHeight="1">
      <c r="A68" s="1"/>
      <c r="B68" s="1"/>
      <c r="C68" s="2"/>
      <c r="D68" s="108">
        <f>SUM(D57:D67)</f>
        <v>1447000</v>
      </c>
      <c r="E68" s="1"/>
      <c r="F68" s="1"/>
      <c r="G68" s="1"/>
      <c r="H68" s="1"/>
      <c r="I68" s="1"/>
      <c r="J68" s="1"/>
      <c r="K68" s="93"/>
      <c r="L68" s="109"/>
      <c r="M68" s="109"/>
      <c r="N68" s="109"/>
      <c r="O68" s="109"/>
      <c r="P68" s="109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9"/>
      <c r="M69" s="109"/>
      <c r="N69" s="109"/>
      <c r="O69" s="109"/>
      <c r="P69" s="109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22.0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20</v>
      </c>
      <c r="E4" s="19"/>
      <c r="F4" s="25">
        <v>46274.0</v>
      </c>
      <c r="G4" s="23"/>
      <c r="H4" s="24">
        <v>100000.0</v>
      </c>
      <c r="I4" s="21" t="s">
        <v>24</v>
      </c>
      <c r="J4" s="16"/>
      <c r="K4" s="16"/>
      <c r="L4" s="21" t="s">
        <v>25</v>
      </c>
      <c r="M4" s="16"/>
      <c r="N4" s="26"/>
      <c r="O4" s="26"/>
      <c r="P4" s="28"/>
      <c r="Q4" s="1"/>
      <c r="R4" s="1"/>
    </row>
    <row r="5" ht="15.75" customHeight="1">
      <c r="A5" s="1"/>
      <c r="B5" s="14">
        <v>2.0</v>
      </c>
      <c r="C5" s="34" t="s">
        <v>34</v>
      </c>
      <c r="D5" s="17" t="s">
        <v>20</v>
      </c>
      <c r="E5" s="37"/>
      <c r="F5" s="21" t="s">
        <v>41</v>
      </c>
      <c r="G5" s="39"/>
      <c r="H5" s="40">
        <v>100000.0</v>
      </c>
      <c r="I5" s="21" t="s">
        <v>24</v>
      </c>
      <c r="J5" s="16"/>
      <c r="K5" s="16"/>
      <c r="L5" s="21" t="s">
        <v>26</v>
      </c>
      <c r="M5" s="16"/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48</v>
      </c>
      <c r="D6" s="17" t="s">
        <v>20</v>
      </c>
      <c r="E6" s="19"/>
      <c r="F6" s="42">
        <v>46273.0</v>
      </c>
      <c r="G6" s="23"/>
      <c r="H6" s="24">
        <v>100000.0</v>
      </c>
      <c r="I6" s="21" t="s">
        <v>24</v>
      </c>
      <c r="J6" s="16"/>
      <c r="K6" s="16"/>
      <c r="L6" s="21" t="s">
        <v>26</v>
      </c>
      <c r="M6" s="16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52</v>
      </c>
      <c r="D7" s="17" t="s">
        <v>21</v>
      </c>
      <c r="E7" s="37"/>
      <c r="F7" s="25">
        <v>46269.0</v>
      </c>
      <c r="G7" s="23"/>
      <c r="H7" s="24">
        <v>100000.0</v>
      </c>
      <c r="I7" s="21" t="s">
        <v>24</v>
      </c>
      <c r="J7" s="16"/>
      <c r="K7" s="16"/>
      <c r="L7" s="21" t="s">
        <v>26</v>
      </c>
      <c r="M7" s="16"/>
      <c r="N7" s="30"/>
      <c r="O7" s="30"/>
      <c r="P7" s="30"/>
      <c r="Q7" s="1"/>
      <c r="R7" s="1"/>
    </row>
    <row r="8" ht="15.75" customHeight="1">
      <c r="A8" s="1"/>
      <c r="B8" s="14">
        <v>5.0</v>
      </c>
      <c r="C8" s="41" t="s">
        <v>56</v>
      </c>
      <c r="D8" s="17" t="s">
        <v>58</v>
      </c>
      <c r="E8" s="19"/>
      <c r="F8" s="21" t="s">
        <v>60</v>
      </c>
      <c r="G8" s="39"/>
      <c r="H8" s="40">
        <v>100000.0</v>
      </c>
      <c r="I8" s="21" t="s">
        <v>24</v>
      </c>
      <c r="J8" s="16"/>
      <c r="K8" s="16"/>
      <c r="L8" s="21" t="s">
        <v>26</v>
      </c>
      <c r="M8" s="16"/>
      <c r="N8" s="30"/>
      <c r="O8" s="30"/>
      <c r="P8" s="30"/>
      <c r="Q8" s="1"/>
      <c r="R8" s="1"/>
    </row>
    <row r="9" ht="15.75" customHeight="1">
      <c r="A9" s="1"/>
      <c r="B9" s="14">
        <v>6.0</v>
      </c>
      <c r="C9" s="15" t="s">
        <v>63</v>
      </c>
      <c r="D9" s="17" t="s">
        <v>21</v>
      </c>
      <c r="E9" s="19"/>
      <c r="F9" s="21" t="s">
        <v>23</v>
      </c>
      <c r="G9" s="39"/>
      <c r="H9" s="40">
        <v>100000.0</v>
      </c>
      <c r="I9" s="21" t="s">
        <v>24</v>
      </c>
      <c r="J9" s="16"/>
      <c r="K9" s="16"/>
      <c r="L9" s="21" t="s">
        <v>26</v>
      </c>
      <c r="M9" s="16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5" t="s">
        <v>67</v>
      </c>
      <c r="D10" s="17" t="s">
        <v>20</v>
      </c>
      <c r="E10" s="19"/>
      <c r="F10" s="21" t="s">
        <v>68</v>
      </c>
      <c r="G10" s="23"/>
      <c r="H10" s="24">
        <v>100000.0</v>
      </c>
      <c r="I10" s="21" t="s">
        <v>24</v>
      </c>
      <c r="J10" s="16"/>
      <c r="K10" s="16"/>
      <c r="L10" s="21" t="s">
        <v>26</v>
      </c>
      <c r="M10" s="16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34" t="s">
        <v>72</v>
      </c>
      <c r="D11" s="17" t="s">
        <v>20</v>
      </c>
      <c r="E11" s="19"/>
      <c r="F11" s="21" t="s">
        <v>75</v>
      </c>
      <c r="G11" s="23"/>
      <c r="H11" s="24">
        <v>370000.0</v>
      </c>
      <c r="I11" s="21" t="s">
        <v>37</v>
      </c>
      <c r="J11" s="21" t="s">
        <v>38</v>
      </c>
      <c r="K11" s="21" t="s">
        <v>39</v>
      </c>
      <c r="L11" s="21" t="s">
        <v>26</v>
      </c>
      <c r="M11" s="21" t="s">
        <v>40</v>
      </c>
      <c r="N11" s="30"/>
      <c r="O11" s="30"/>
      <c r="P11" s="30"/>
      <c r="Q11" s="1"/>
      <c r="R11" s="1"/>
      <c r="S11" s="53"/>
    </row>
    <row r="12" ht="15.75" customHeight="1">
      <c r="A12" s="1"/>
      <c r="B12" s="14">
        <v>9.0</v>
      </c>
      <c r="C12" s="15" t="s">
        <v>79</v>
      </c>
      <c r="D12" s="17" t="s">
        <v>20</v>
      </c>
      <c r="E12" s="19"/>
      <c r="F12" s="21" t="s">
        <v>81</v>
      </c>
      <c r="G12" s="23"/>
      <c r="H12" s="24">
        <v>290000.0</v>
      </c>
      <c r="I12" s="21" t="s">
        <v>37</v>
      </c>
      <c r="J12" s="21" t="s">
        <v>38</v>
      </c>
      <c r="K12" s="21" t="s">
        <v>39</v>
      </c>
      <c r="L12" s="21" t="s">
        <v>26</v>
      </c>
      <c r="M12" s="21" t="s">
        <v>69</v>
      </c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34" t="s">
        <v>84</v>
      </c>
      <c r="D13" s="17" t="s">
        <v>20</v>
      </c>
      <c r="E13" s="19"/>
      <c r="F13" s="21" t="s">
        <v>81</v>
      </c>
      <c r="G13" s="23"/>
      <c r="H13" s="24">
        <v>280000.0</v>
      </c>
      <c r="I13" s="21" t="s">
        <v>37</v>
      </c>
      <c r="J13" s="21" t="s">
        <v>38</v>
      </c>
      <c r="K13" s="21" t="s">
        <v>39</v>
      </c>
      <c r="L13" s="21" t="s">
        <v>26</v>
      </c>
      <c r="M13" s="21" t="s">
        <v>53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55" t="s">
        <v>89</v>
      </c>
      <c r="D14" s="17" t="s">
        <v>20</v>
      </c>
      <c r="E14" s="19"/>
      <c r="F14" s="21" t="s">
        <v>81</v>
      </c>
      <c r="G14" s="57">
        <v>250000.0</v>
      </c>
      <c r="H14" s="50"/>
      <c r="I14" s="21" t="s">
        <v>37</v>
      </c>
      <c r="J14" s="21" t="s">
        <v>38</v>
      </c>
      <c r="K14" s="21" t="s">
        <v>39</v>
      </c>
      <c r="L14" s="21" t="s">
        <v>26</v>
      </c>
      <c r="M14" s="21" t="s">
        <v>40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15" t="s">
        <v>97</v>
      </c>
      <c r="D15" s="17" t="s">
        <v>20</v>
      </c>
      <c r="E15" s="19"/>
      <c r="F15" s="21" t="s">
        <v>81</v>
      </c>
      <c r="G15" s="57"/>
      <c r="H15" s="57">
        <v>410000.0</v>
      </c>
      <c r="I15" s="21" t="s">
        <v>37</v>
      </c>
      <c r="J15" s="21" t="s">
        <v>38</v>
      </c>
      <c r="K15" s="21" t="s">
        <v>39</v>
      </c>
      <c r="L15" s="21" t="s">
        <v>26</v>
      </c>
      <c r="M15" s="21" t="s">
        <v>53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15" t="s">
        <v>99</v>
      </c>
      <c r="D16" s="17" t="s">
        <v>93</v>
      </c>
      <c r="E16" s="19"/>
      <c r="F16" s="21" t="s">
        <v>81</v>
      </c>
      <c r="G16" s="23"/>
      <c r="H16" s="24">
        <v>440000.0</v>
      </c>
      <c r="I16" s="21" t="s">
        <v>37</v>
      </c>
      <c r="J16" s="21" t="s">
        <v>38</v>
      </c>
      <c r="K16" s="21" t="s">
        <v>39</v>
      </c>
      <c r="L16" s="21" t="s">
        <v>26</v>
      </c>
      <c r="M16" s="21" t="s">
        <v>103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15" t="s">
        <v>106</v>
      </c>
      <c r="D17" s="17" t="s">
        <v>20</v>
      </c>
      <c r="E17" s="19"/>
      <c r="F17" s="21" t="s">
        <v>81</v>
      </c>
      <c r="G17" s="57">
        <v>310000.0</v>
      </c>
      <c r="H17" s="50"/>
      <c r="I17" s="21" t="s">
        <v>37</v>
      </c>
      <c r="J17" s="21" t="s">
        <v>38</v>
      </c>
      <c r="K17" s="21" t="s">
        <v>39</v>
      </c>
      <c r="L17" s="21" t="s">
        <v>26</v>
      </c>
      <c r="M17" s="21" t="s">
        <v>69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15" t="s">
        <v>111</v>
      </c>
      <c r="D18" s="17" t="s">
        <v>20</v>
      </c>
      <c r="E18" s="19"/>
      <c r="F18" s="21" t="s">
        <v>81</v>
      </c>
      <c r="G18" s="57">
        <v>290000.0</v>
      </c>
      <c r="H18" s="50"/>
      <c r="I18" s="21" t="s">
        <v>37</v>
      </c>
      <c r="J18" s="21" t="s">
        <v>38</v>
      </c>
      <c r="K18" s="21" t="s">
        <v>39</v>
      </c>
      <c r="L18" s="21" t="s">
        <v>26</v>
      </c>
      <c r="M18" s="21" t="s">
        <v>40</v>
      </c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15" t="s">
        <v>112</v>
      </c>
      <c r="D19" s="17" t="s">
        <v>20</v>
      </c>
      <c r="E19" s="19"/>
      <c r="F19" s="21" t="s">
        <v>81</v>
      </c>
      <c r="G19" s="23"/>
      <c r="H19" s="24">
        <v>290000.0</v>
      </c>
      <c r="I19" s="21" t="s">
        <v>37</v>
      </c>
      <c r="J19" s="21" t="s">
        <v>38</v>
      </c>
      <c r="K19" s="21" t="s">
        <v>39</v>
      </c>
      <c r="L19" s="21" t="s">
        <v>26</v>
      </c>
      <c r="M19" s="21" t="s">
        <v>103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15" t="s">
        <v>114</v>
      </c>
      <c r="D20" s="17" t="s">
        <v>20</v>
      </c>
      <c r="E20" s="19"/>
      <c r="F20" s="21" t="s">
        <v>81</v>
      </c>
      <c r="G20" s="23"/>
      <c r="H20" s="24">
        <v>370000.0</v>
      </c>
      <c r="I20" s="21" t="s">
        <v>37</v>
      </c>
      <c r="J20" s="21" t="s">
        <v>38</v>
      </c>
      <c r="K20" s="21" t="s">
        <v>39</v>
      </c>
      <c r="L20" s="21" t="s">
        <v>26</v>
      </c>
      <c r="M20" s="21" t="s">
        <v>40</v>
      </c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56" t="s">
        <v>120</v>
      </c>
      <c r="D21" s="17" t="s">
        <v>20</v>
      </c>
      <c r="E21" s="19"/>
      <c r="F21" s="21" t="s">
        <v>81</v>
      </c>
      <c r="G21" s="57">
        <v>310000.0</v>
      </c>
      <c r="H21" s="50"/>
      <c r="I21" s="21" t="s">
        <v>37</v>
      </c>
      <c r="J21" s="21" t="s">
        <v>38</v>
      </c>
      <c r="K21" s="21" t="s">
        <v>39</v>
      </c>
      <c r="L21" s="21" t="s">
        <v>26</v>
      </c>
      <c r="M21" s="21" t="s">
        <v>53</v>
      </c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15" t="s">
        <v>125</v>
      </c>
      <c r="D22" s="17" t="s">
        <v>20</v>
      </c>
      <c r="E22" s="19"/>
      <c r="F22" s="21" t="s">
        <v>33</v>
      </c>
      <c r="G22" s="23"/>
      <c r="H22" s="24">
        <v>100000.0</v>
      </c>
      <c r="I22" s="21" t="s">
        <v>24</v>
      </c>
      <c r="J22" s="16"/>
      <c r="K22" s="16"/>
      <c r="L22" s="21" t="s">
        <v>26</v>
      </c>
      <c r="M22" s="16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15" t="s">
        <v>128</v>
      </c>
      <c r="D23" s="17" t="s">
        <v>20</v>
      </c>
      <c r="E23" s="19"/>
      <c r="F23" s="21" t="s">
        <v>129</v>
      </c>
      <c r="G23" s="23"/>
      <c r="H23" s="24">
        <v>100000.0</v>
      </c>
      <c r="I23" s="21" t="s">
        <v>24</v>
      </c>
      <c r="J23" s="16"/>
      <c r="K23" s="16"/>
      <c r="L23" s="21" t="s">
        <v>26</v>
      </c>
      <c r="M23" s="16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34" t="s">
        <v>133</v>
      </c>
      <c r="D24" s="17" t="s">
        <v>20</v>
      </c>
      <c r="E24" s="19"/>
      <c r="F24" s="21" t="s">
        <v>81</v>
      </c>
      <c r="G24" s="23"/>
      <c r="H24" s="24">
        <v>270000.0</v>
      </c>
      <c r="I24" s="21" t="s">
        <v>37</v>
      </c>
      <c r="J24" s="21" t="s">
        <v>38</v>
      </c>
      <c r="K24" s="21" t="s">
        <v>39</v>
      </c>
      <c r="L24" s="21" t="s">
        <v>26</v>
      </c>
      <c r="M24" s="21" t="s">
        <v>103</v>
      </c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15" t="s">
        <v>136</v>
      </c>
      <c r="D25" s="17" t="s">
        <v>20</v>
      </c>
      <c r="E25" s="19"/>
      <c r="F25" s="21" t="s">
        <v>81</v>
      </c>
      <c r="G25" s="57">
        <v>270000.0</v>
      </c>
      <c r="H25" s="50"/>
      <c r="I25" s="21" t="s">
        <v>37</v>
      </c>
      <c r="J25" s="21" t="s">
        <v>38</v>
      </c>
      <c r="K25" s="21" t="s">
        <v>39</v>
      </c>
      <c r="L25" s="21" t="s">
        <v>26</v>
      </c>
      <c r="M25" s="21" t="s">
        <v>40</v>
      </c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15" t="s">
        <v>140</v>
      </c>
      <c r="D26" s="17" t="s">
        <v>20</v>
      </c>
      <c r="E26" s="19"/>
      <c r="F26" s="21" t="s">
        <v>81</v>
      </c>
      <c r="G26" s="57">
        <v>250000.0</v>
      </c>
      <c r="H26" s="50"/>
      <c r="I26" s="21" t="s">
        <v>37</v>
      </c>
      <c r="J26" s="21" t="s">
        <v>38</v>
      </c>
      <c r="K26" s="21" t="s">
        <v>38</v>
      </c>
      <c r="L26" s="21" t="s">
        <v>26</v>
      </c>
      <c r="M26" s="21" t="s">
        <v>103</v>
      </c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15" t="s">
        <v>142</v>
      </c>
      <c r="D27" s="17" t="s">
        <v>20</v>
      </c>
      <c r="E27" s="19"/>
      <c r="F27" s="21" t="s">
        <v>81</v>
      </c>
      <c r="G27" s="57">
        <v>250000.0</v>
      </c>
      <c r="H27" s="50"/>
      <c r="I27" s="21" t="s">
        <v>37</v>
      </c>
      <c r="J27" s="21" t="s">
        <v>38</v>
      </c>
      <c r="K27" s="21" t="s">
        <v>39</v>
      </c>
      <c r="L27" s="21" t="s">
        <v>26</v>
      </c>
      <c r="M27" s="21" t="s">
        <v>53</v>
      </c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15" t="s">
        <v>145</v>
      </c>
      <c r="D28" s="17" t="s">
        <v>20</v>
      </c>
      <c r="E28" s="19"/>
      <c r="F28" s="21" t="s">
        <v>81</v>
      </c>
      <c r="G28" s="57">
        <v>250000.0</v>
      </c>
      <c r="H28" s="50"/>
      <c r="I28" s="21" t="s">
        <v>37</v>
      </c>
      <c r="J28" s="21" t="s">
        <v>38</v>
      </c>
      <c r="K28" s="21" t="s">
        <v>39</v>
      </c>
      <c r="L28" s="21" t="s">
        <v>26</v>
      </c>
      <c r="M28" s="21" t="s">
        <v>40</v>
      </c>
      <c r="N28" s="30"/>
      <c r="O28" s="30"/>
      <c r="P28" s="30"/>
      <c r="Q28" s="1"/>
      <c r="R28" s="1"/>
    </row>
    <row r="29" ht="15.75" customHeight="1">
      <c r="A29" s="1"/>
      <c r="B29" s="14">
        <v>26.0</v>
      </c>
      <c r="C29" s="15" t="s">
        <v>147</v>
      </c>
      <c r="D29" s="17" t="s">
        <v>20</v>
      </c>
      <c r="E29" s="19"/>
      <c r="F29" s="21" t="s">
        <v>81</v>
      </c>
      <c r="G29" s="57">
        <v>330000.0</v>
      </c>
      <c r="H29" s="50"/>
      <c r="I29" s="21" t="s">
        <v>37</v>
      </c>
      <c r="J29" s="21" t="s">
        <v>38</v>
      </c>
      <c r="K29" s="21" t="s">
        <v>39</v>
      </c>
      <c r="L29" s="21" t="s">
        <v>26</v>
      </c>
      <c r="M29" s="21" t="s">
        <v>103</v>
      </c>
      <c r="N29" s="30"/>
      <c r="O29" s="30"/>
      <c r="P29" s="30"/>
      <c r="Q29" s="1"/>
      <c r="R29" s="1"/>
    </row>
    <row r="30" ht="15.75" customHeight="1">
      <c r="A30" s="1"/>
      <c r="B30" s="14">
        <v>27.0</v>
      </c>
      <c r="C30" s="15" t="s">
        <v>150</v>
      </c>
      <c r="D30" s="17" t="s">
        <v>93</v>
      </c>
      <c r="E30" s="19"/>
      <c r="F30" s="21" t="s">
        <v>81</v>
      </c>
      <c r="G30" s="23"/>
      <c r="H30" s="24">
        <v>400000.0</v>
      </c>
      <c r="I30" s="21" t="s">
        <v>37</v>
      </c>
      <c r="J30" s="21" t="s">
        <v>38</v>
      </c>
      <c r="K30" s="21" t="s">
        <v>39</v>
      </c>
      <c r="L30" s="21" t="s">
        <v>26</v>
      </c>
      <c r="M30" s="21" t="s">
        <v>69</v>
      </c>
      <c r="N30" s="30"/>
      <c r="O30" s="30"/>
      <c r="P30" s="30"/>
      <c r="Q30" s="1"/>
      <c r="R30" s="1"/>
    </row>
    <row r="31" ht="15.75" customHeight="1">
      <c r="A31" s="1"/>
      <c r="B31" s="14">
        <v>28.0</v>
      </c>
      <c r="C31" s="15" t="s">
        <v>154</v>
      </c>
      <c r="D31" s="17" t="s">
        <v>20</v>
      </c>
      <c r="E31" s="19"/>
      <c r="F31" s="21" t="s">
        <v>81</v>
      </c>
      <c r="G31" s="57">
        <v>250000.0</v>
      </c>
      <c r="H31" s="50"/>
      <c r="I31" s="21" t="s">
        <v>37</v>
      </c>
      <c r="J31" s="21" t="s">
        <v>38</v>
      </c>
      <c r="K31" s="21" t="s">
        <v>39</v>
      </c>
      <c r="L31" s="21" t="s">
        <v>26</v>
      </c>
      <c r="M31" s="21" t="s">
        <v>40</v>
      </c>
      <c r="N31" s="30"/>
      <c r="O31" s="30"/>
      <c r="P31" s="30"/>
      <c r="Q31" s="1"/>
      <c r="R31" s="1"/>
    </row>
    <row r="32" ht="15.75" customHeight="1">
      <c r="A32" s="1"/>
      <c r="B32" s="14">
        <v>29.0</v>
      </c>
      <c r="C32" s="15" t="s">
        <v>155</v>
      </c>
      <c r="D32" s="17" t="s">
        <v>20</v>
      </c>
      <c r="E32" s="19"/>
      <c r="F32" s="21" t="s">
        <v>81</v>
      </c>
      <c r="G32" s="57">
        <v>250000.0</v>
      </c>
      <c r="H32" s="50"/>
      <c r="I32" s="21" t="s">
        <v>37</v>
      </c>
      <c r="J32" s="21" t="s">
        <v>38</v>
      </c>
      <c r="K32" s="21" t="s">
        <v>39</v>
      </c>
      <c r="L32" s="21" t="s">
        <v>26</v>
      </c>
      <c r="M32" s="21" t="s">
        <v>69</v>
      </c>
      <c r="N32" s="30"/>
      <c r="O32" s="30"/>
      <c r="P32" s="30"/>
      <c r="Q32" s="1"/>
      <c r="R32" s="1"/>
    </row>
    <row r="33" ht="15.75" customHeight="1">
      <c r="A33" s="1"/>
      <c r="B33" s="14">
        <v>30.0</v>
      </c>
      <c r="C33" s="15" t="s">
        <v>158</v>
      </c>
      <c r="D33" s="17" t="s">
        <v>20</v>
      </c>
      <c r="E33" s="19"/>
      <c r="F33" s="21" t="s">
        <v>81</v>
      </c>
      <c r="G33" s="57">
        <v>250000.0</v>
      </c>
      <c r="H33" s="50"/>
      <c r="I33" s="21" t="s">
        <v>37</v>
      </c>
      <c r="J33" s="21" t="s">
        <v>38</v>
      </c>
      <c r="K33" s="21" t="s">
        <v>39</v>
      </c>
      <c r="L33" s="21" t="s">
        <v>26</v>
      </c>
      <c r="M33" s="21" t="s">
        <v>103</v>
      </c>
      <c r="N33" s="30"/>
      <c r="O33" s="30"/>
      <c r="P33" s="30"/>
      <c r="Q33" s="1"/>
      <c r="R33" s="1"/>
    </row>
    <row r="34" ht="15.75" customHeight="1">
      <c r="A34" s="1"/>
      <c r="B34" s="14">
        <v>31.0</v>
      </c>
      <c r="C34" s="56" t="s">
        <v>160</v>
      </c>
      <c r="D34" s="17" t="s">
        <v>20</v>
      </c>
      <c r="E34" s="19"/>
      <c r="F34" s="21" t="s">
        <v>81</v>
      </c>
      <c r="G34" s="57">
        <v>270000.0</v>
      </c>
      <c r="H34" s="50"/>
      <c r="I34" s="21" t="s">
        <v>37</v>
      </c>
      <c r="J34" s="21" t="s">
        <v>38</v>
      </c>
      <c r="K34" s="21" t="s">
        <v>39</v>
      </c>
      <c r="L34" s="21" t="s">
        <v>95</v>
      </c>
      <c r="M34" s="21" t="s">
        <v>69</v>
      </c>
      <c r="N34" s="30"/>
      <c r="O34" s="30"/>
      <c r="P34" s="30"/>
      <c r="Q34" s="1"/>
      <c r="R34" s="1"/>
    </row>
    <row r="35" ht="15.75" customHeight="1">
      <c r="A35" s="1"/>
      <c r="B35" s="14">
        <v>32.0</v>
      </c>
      <c r="C35" s="15" t="s">
        <v>162</v>
      </c>
      <c r="D35" s="17" t="s">
        <v>20</v>
      </c>
      <c r="E35" s="19"/>
      <c r="F35" s="21" t="s">
        <v>81</v>
      </c>
      <c r="G35" s="57">
        <v>250000.0</v>
      </c>
      <c r="H35" s="50"/>
      <c r="I35" s="21" t="s">
        <v>37</v>
      </c>
      <c r="J35" s="21" t="s">
        <v>38</v>
      </c>
      <c r="K35" s="21" t="s">
        <v>39</v>
      </c>
      <c r="L35" s="21" t="s">
        <v>95</v>
      </c>
      <c r="M35" s="21" t="s">
        <v>40</v>
      </c>
      <c r="N35" s="30"/>
      <c r="O35" s="30"/>
      <c r="P35" s="30"/>
      <c r="Q35" s="1"/>
      <c r="R35" s="1"/>
    </row>
    <row r="36" ht="15.75" customHeight="1">
      <c r="A36" s="1"/>
      <c r="B36" s="14">
        <v>33.0</v>
      </c>
      <c r="C36" s="15" t="s">
        <v>164</v>
      </c>
      <c r="D36" s="17" t="s">
        <v>20</v>
      </c>
      <c r="E36" s="19"/>
      <c r="F36" s="21" t="s">
        <v>81</v>
      </c>
      <c r="G36" s="23"/>
      <c r="H36" s="24">
        <v>250000.0</v>
      </c>
      <c r="I36" s="21" t="s">
        <v>37</v>
      </c>
      <c r="J36" s="21" t="s">
        <v>38</v>
      </c>
      <c r="K36" s="21" t="s">
        <v>39</v>
      </c>
      <c r="L36" s="21" t="s">
        <v>95</v>
      </c>
      <c r="M36" s="21" t="s">
        <v>53</v>
      </c>
      <c r="N36" s="30"/>
      <c r="O36" s="30"/>
      <c r="P36" s="30"/>
      <c r="Q36" s="1"/>
      <c r="R36" s="1"/>
    </row>
    <row r="37" ht="15.75" customHeight="1">
      <c r="A37" s="1"/>
      <c r="B37" s="14">
        <v>34.0</v>
      </c>
      <c r="C37" s="15" t="s">
        <v>166</v>
      </c>
      <c r="D37" s="17" t="s">
        <v>20</v>
      </c>
      <c r="E37" s="19"/>
      <c r="F37" s="21" t="s">
        <v>81</v>
      </c>
      <c r="G37" s="57">
        <v>250000.0</v>
      </c>
      <c r="H37" s="50"/>
      <c r="I37" s="21" t="s">
        <v>37</v>
      </c>
      <c r="J37" s="21" t="s">
        <v>38</v>
      </c>
      <c r="K37" s="21" t="s">
        <v>39</v>
      </c>
      <c r="L37" s="21" t="s">
        <v>95</v>
      </c>
      <c r="M37" s="21" t="s">
        <v>103</v>
      </c>
      <c r="N37" s="30"/>
      <c r="O37" s="30"/>
      <c r="P37" s="30"/>
      <c r="Q37" s="1"/>
      <c r="R37" s="1"/>
    </row>
    <row r="38" ht="15.75" customHeight="1">
      <c r="A38" s="1"/>
      <c r="B38" s="14">
        <v>35.0</v>
      </c>
      <c r="C38" s="15" t="s">
        <v>167</v>
      </c>
      <c r="D38" s="17" t="s">
        <v>20</v>
      </c>
      <c r="E38" s="19"/>
      <c r="F38" s="21" t="s">
        <v>81</v>
      </c>
      <c r="G38" s="57">
        <v>290000.0</v>
      </c>
      <c r="H38" s="50"/>
      <c r="I38" s="21" t="s">
        <v>37</v>
      </c>
      <c r="J38" s="21" t="s">
        <v>38</v>
      </c>
      <c r="K38" s="21" t="s">
        <v>39</v>
      </c>
      <c r="L38" s="21" t="s">
        <v>95</v>
      </c>
      <c r="M38" s="21" t="s">
        <v>69</v>
      </c>
      <c r="N38" s="30"/>
      <c r="O38" s="30"/>
      <c r="P38" s="30"/>
      <c r="Q38" s="1"/>
      <c r="R38" s="1"/>
    </row>
    <row r="39" ht="15.75" customHeight="1">
      <c r="A39" s="1"/>
      <c r="B39" s="14">
        <v>36.0</v>
      </c>
      <c r="C39" s="15" t="s">
        <v>168</v>
      </c>
      <c r="D39" s="17" t="s">
        <v>20</v>
      </c>
      <c r="E39" s="19"/>
      <c r="F39" s="21" t="s">
        <v>81</v>
      </c>
      <c r="G39" s="57">
        <v>310000.0</v>
      </c>
      <c r="H39" s="50"/>
      <c r="I39" s="21" t="s">
        <v>37</v>
      </c>
      <c r="J39" s="21" t="s">
        <v>38</v>
      </c>
      <c r="K39" s="21" t="s">
        <v>39</v>
      </c>
      <c r="L39" s="21" t="s">
        <v>95</v>
      </c>
      <c r="M39" s="21" t="s">
        <v>40</v>
      </c>
      <c r="N39" s="30"/>
      <c r="O39" s="30"/>
      <c r="P39" s="30"/>
      <c r="Q39" s="1"/>
      <c r="R39" s="1"/>
    </row>
    <row r="40" ht="15.75" customHeight="1">
      <c r="A40" s="1"/>
      <c r="B40" s="14">
        <v>37.0</v>
      </c>
      <c r="C40" s="15" t="s">
        <v>170</v>
      </c>
      <c r="D40" s="17" t="s">
        <v>20</v>
      </c>
      <c r="E40" s="19"/>
      <c r="F40" s="21" t="s">
        <v>81</v>
      </c>
      <c r="G40" s="57">
        <v>250000.0</v>
      </c>
      <c r="H40" s="50"/>
      <c r="I40" s="21" t="s">
        <v>37</v>
      </c>
      <c r="J40" s="21" t="s">
        <v>38</v>
      </c>
      <c r="K40" s="21" t="s">
        <v>39</v>
      </c>
      <c r="L40" s="21" t="s">
        <v>95</v>
      </c>
      <c r="M40" s="21" t="s">
        <v>53</v>
      </c>
      <c r="N40" s="30"/>
      <c r="O40" s="30"/>
      <c r="P40" s="30"/>
      <c r="Q40" s="1"/>
      <c r="R40" s="1"/>
    </row>
    <row r="41" ht="15.75" customHeight="1">
      <c r="A41" s="1"/>
      <c r="B41" s="14">
        <v>38.0</v>
      </c>
      <c r="C41" s="15" t="s">
        <v>171</v>
      </c>
      <c r="D41" s="17" t="s">
        <v>20</v>
      </c>
      <c r="E41" s="19"/>
      <c r="F41" s="21" t="s">
        <v>81</v>
      </c>
      <c r="G41" s="23"/>
      <c r="H41" s="24">
        <v>250000.0</v>
      </c>
      <c r="I41" s="21" t="s">
        <v>37</v>
      </c>
      <c r="J41" s="21" t="s">
        <v>38</v>
      </c>
      <c r="K41" s="21" t="s">
        <v>39</v>
      </c>
      <c r="L41" s="21" t="s">
        <v>95</v>
      </c>
      <c r="M41" s="21" t="s">
        <v>69</v>
      </c>
      <c r="N41" s="30"/>
      <c r="O41" s="30"/>
      <c r="P41" s="30"/>
      <c r="Q41" s="1"/>
      <c r="R41" s="1"/>
    </row>
    <row r="42" ht="15.75" customHeight="1">
      <c r="A42" s="1"/>
      <c r="B42" s="14">
        <v>39.0</v>
      </c>
      <c r="C42" s="29" t="s">
        <v>176</v>
      </c>
      <c r="D42" s="15" t="s">
        <v>20</v>
      </c>
      <c r="E42" s="16"/>
      <c r="F42" s="51">
        <v>46273.0</v>
      </c>
      <c r="G42" s="46"/>
      <c r="H42" s="36">
        <v>100000.0</v>
      </c>
      <c r="I42" s="38" t="s">
        <v>24</v>
      </c>
      <c r="J42" s="14"/>
      <c r="K42" s="14"/>
      <c r="L42" s="38" t="s">
        <v>25</v>
      </c>
      <c r="M42" s="14"/>
      <c r="N42" s="30"/>
      <c r="O42" s="30"/>
      <c r="P42" s="30"/>
      <c r="Q42" s="1"/>
      <c r="R42" s="1"/>
    </row>
    <row r="43" ht="15.75" customHeight="1">
      <c r="A43" s="1"/>
      <c r="B43" s="14">
        <v>40.0</v>
      </c>
      <c r="C43" s="29" t="s">
        <v>180</v>
      </c>
      <c r="D43" s="15" t="s">
        <v>20</v>
      </c>
      <c r="E43" s="16"/>
      <c r="F43" s="51">
        <v>46274.0</v>
      </c>
      <c r="G43" s="46"/>
      <c r="H43" s="36">
        <v>100000.0</v>
      </c>
      <c r="I43" s="38" t="s">
        <v>24</v>
      </c>
      <c r="J43" s="14"/>
      <c r="K43" s="14"/>
      <c r="L43" s="38" t="s">
        <v>25</v>
      </c>
      <c r="M43" s="14"/>
      <c r="N43" s="30"/>
      <c r="O43" s="30"/>
      <c r="P43" s="30"/>
      <c r="Q43" s="1"/>
      <c r="R43" s="1"/>
    </row>
    <row r="44" ht="15.75" customHeight="1">
      <c r="A44" s="1"/>
      <c r="B44" s="14">
        <v>41.0</v>
      </c>
      <c r="C44" s="29" t="s">
        <v>183</v>
      </c>
      <c r="D44" s="15" t="s">
        <v>20</v>
      </c>
      <c r="E44" s="42"/>
      <c r="F44" s="51">
        <v>46298.0</v>
      </c>
      <c r="G44" s="46"/>
      <c r="H44" s="36">
        <v>100000.0</v>
      </c>
      <c r="I44" s="38" t="s">
        <v>24</v>
      </c>
      <c r="J44" s="14"/>
      <c r="K44" s="14"/>
      <c r="L44" s="38" t="s">
        <v>25</v>
      </c>
      <c r="M44" s="14"/>
      <c r="N44" s="30"/>
      <c r="O44" s="30"/>
      <c r="P44" s="30"/>
      <c r="Q44" s="1"/>
      <c r="R44" s="1"/>
    </row>
    <row r="45" ht="15.75" customHeight="1">
      <c r="A45" s="1"/>
      <c r="B45" s="14">
        <v>42.0</v>
      </c>
      <c r="C45" s="29" t="s">
        <v>184</v>
      </c>
      <c r="D45" s="15" t="s">
        <v>20</v>
      </c>
      <c r="E45" s="16"/>
      <c r="F45" s="38" t="s">
        <v>73</v>
      </c>
      <c r="G45" s="46"/>
      <c r="H45" s="36">
        <v>100000.0</v>
      </c>
      <c r="I45" s="38" t="s">
        <v>24</v>
      </c>
      <c r="J45" s="14"/>
      <c r="K45" s="14"/>
      <c r="L45" s="38" t="s">
        <v>26</v>
      </c>
      <c r="M45" s="14"/>
      <c r="N45" s="30"/>
      <c r="O45" s="30"/>
      <c r="P45" s="30"/>
      <c r="Q45" s="1"/>
      <c r="R45" s="1"/>
    </row>
    <row r="46" ht="15.75" customHeight="1">
      <c r="A46" s="1"/>
      <c r="B46" s="14">
        <v>43.0</v>
      </c>
      <c r="C46" s="29" t="s">
        <v>187</v>
      </c>
      <c r="D46" s="15" t="s">
        <v>20</v>
      </c>
      <c r="E46" s="16"/>
      <c r="F46" s="38" t="s">
        <v>45</v>
      </c>
      <c r="G46" s="46"/>
      <c r="H46" s="36">
        <v>100000.0</v>
      </c>
      <c r="I46" s="38" t="s">
        <v>24</v>
      </c>
      <c r="J46" s="14"/>
      <c r="K46" s="14"/>
      <c r="L46" s="38" t="s">
        <v>26</v>
      </c>
      <c r="M46" s="14"/>
      <c r="N46" s="30"/>
      <c r="O46" s="30"/>
      <c r="P46" s="30"/>
      <c r="Q46" s="1"/>
      <c r="R46" s="1"/>
    </row>
    <row r="47" ht="15.75" customHeight="1">
      <c r="A47" s="1"/>
      <c r="B47" s="14">
        <v>44.0</v>
      </c>
      <c r="C47" s="29" t="s">
        <v>190</v>
      </c>
      <c r="D47" s="15" t="s">
        <v>20</v>
      </c>
      <c r="E47" s="16"/>
      <c r="F47" s="38" t="s">
        <v>129</v>
      </c>
      <c r="G47" s="46"/>
      <c r="H47" s="36">
        <v>100000.0</v>
      </c>
      <c r="I47" s="38" t="s">
        <v>24</v>
      </c>
      <c r="J47" s="14"/>
      <c r="K47" s="14"/>
      <c r="L47" s="38" t="s">
        <v>26</v>
      </c>
      <c r="M47" s="14"/>
      <c r="N47" s="30"/>
      <c r="O47" s="30"/>
      <c r="P47" s="30"/>
      <c r="Q47" s="1"/>
      <c r="R47" s="1"/>
    </row>
    <row r="48" ht="15.75" customHeight="1">
      <c r="A48" s="1"/>
      <c r="B48" s="14">
        <v>45.0</v>
      </c>
      <c r="C48" s="29" t="s">
        <v>192</v>
      </c>
      <c r="D48" s="15" t="s">
        <v>20</v>
      </c>
      <c r="E48" s="16"/>
      <c r="F48" s="51">
        <v>46273.0</v>
      </c>
      <c r="G48" s="46"/>
      <c r="H48" s="36">
        <v>100000.0</v>
      </c>
      <c r="I48" s="38" t="s">
        <v>24</v>
      </c>
      <c r="J48" s="14"/>
      <c r="K48" s="14"/>
      <c r="L48" s="38" t="s">
        <v>25</v>
      </c>
      <c r="M48" s="14"/>
      <c r="N48" s="30"/>
      <c r="O48" s="30"/>
      <c r="P48" s="30"/>
      <c r="Q48" s="1"/>
      <c r="R48" s="1"/>
    </row>
    <row r="49" ht="15.75" customHeight="1">
      <c r="A49" s="1"/>
      <c r="B49" s="14">
        <v>46.0</v>
      </c>
      <c r="C49" s="29" t="s">
        <v>194</v>
      </c>
      <c r="D49" s="15" t="s">
        <v>21</v>
      </c>
      <c r="E49" s="16"/>
      <c r="F49" s="51">
        <v>46267.0</v>
      </c>
      <c r="G49" s="46"/>
      <c r="H49" s="36">
        <v>200000.0</v>
      </c>
      <c r="I49" s="38" t="s">
        <v>37</v>
      </c>
      <c r="J49" s="38" t="s">
        <v>38</v>
      </c>
      <c r="K49" s="38" t="s">
        <v>39</v>
      </c>
      <c r="L49" s="38" t="s">
        <v>26</v>
      </c>
      <c r="M49" s="38" t="s">
        <v>69</v>
      </c>
      <c r="N49" s="30"/>
      <c r="O49" s="30"/>
      <c r="P49" s="30"/>
      <c r="Q49" s="1"/>
      <c r="R49" s="1"/>
    </row>
    <row r="50" ht="15.75" customHeight="1">
      <c r="A50" s="1"/>
      <c r="B50" s="14">
        <v>47.0</v>
      </c>
      <c r="C50" s="29" t="s">
        <v>197</v>
      </c>
      <c r="D50" s="15" t="s">
        <v>20</v>
      </c>
      <c r="E50" s="16"/>
      <c r="F50" s="38" t="s">
        <v>198</v>
      </c>
      <c r="G50" s="46"/>
      <c r="H50" s="36">
        <v>100000.0</v>
      </c>
      <c r="I50" s="38" t="s">
        <v>24</v>
      </c>
      <c r="J50" s="14"/>
      <c r="K50" s="14"/>
      <c r="L50" s="38" t="s">
        <v>26</v>
      </c>
      <c r="M50" s="14"/>
      <c r="N50" s="30"/>
      <c r="O50" s="30"/>
      <c r="P50" s="30"/>
      <c r="Q50" s="1"/>
      <c r="R50" s="1"/>
    </row>
    <row r="51" ht="15.75" customHeight="1">
      <c r="A51" s="1"/>
      <c r="B51" s="14">
        <v>48.0</v>
      </c>
      <c r="C51" s="29" t="s">
        <v>157</v>
      </c>
      <c r="D51" s="15" t="s">
        <v>21</v>
      </c>
      <c r="E51" s="16"/>
      <c r="F51" s="38" t="s">
        <v>23</v>
      </c>
      <c r="G51" s="46"/>
      <c r="H51" s="36">
        <v>100000.0</v>
      </c>
      <c r="I51" s="38" t="s">
        <v>24</v>
      </c>
      <c r="J51" s="14"/>
      <c r="K51" s="14"/>
      <c r="L51" s="38" t="s">
        <v>26</v>
      </c>
      <c r="M51" s="14"/>
      <c r="N51" s="30"/>
      <c r="O51" s="30"/>
      <c r="P51" s="30"/>
      <c r="Q51" s="1"/>
      <c r="R51" s="1"/>
    </row>
    <row r="52" ht="15.75" customHeight="1">
      <c r="A52" s="1"/>
      <c r="B52" s="14">
        <v>49.0</v>
      </c>
      <c r="C52" s="67"/>
      <c r="D52" s="91"/>
      <c r="E52" s="16"/>
      <c r="F52" s="14"/>
      <c r="G52" s="46"/>
      <c r="H52" s="60"/>
      <c r="I52" s="14"/>
      <c r="J52" s="14"/>
      <c r="K52" s="14"/>
      <c r="L52" s="14"/>
      <c r="M52" s="14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174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175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178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182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214</v>
      </c>
      <c r="N58" s="82" t="s">
        <v>188</v>
      </c>
      <c r="O58" s="84" t="s">
        <v>26</v>
      </c>
      <c r="P58" s="1"/>
      <c r="Q58" s="1"/>
      <c r="R58" s="1"/>
    </row>
    <row r="59" ht="15.75" customHeight="1">
      <c r="A59" s="1"/>
      <c r="B59" s="72">
        <v>3.0</v>
      </c>
      <c r="C59" s="98" t="s">
        <v>217</v>
      </c>
      <c r="D59" s="9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5" t="s">
        <v>193</v>
      </c>
      <c r="O59" s="86" t="s">
        <v>40</v>
      </c>
      <c r="P59" s="1"/>
      <c r="Q59" s="1"/>
      <c r="R59" s="1"/>
    </row>
    <row r="60" ht="15.75" customHeight="1">
      <c r="A60" s="1"/>
      <c r="B60" s="78">
        <v>4.0</v>
      </c>
      <c r="C60" s="96" t="s">
        <v>218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195</v>
      </c>
      <c r="O60" s="84" t="s">
        <v>69</v>
      </c>
      <c r="P60" s="1"/>
      <c r="Q60" s="1"/>
      <c r="R60" s="1"/>
    </row>
    <row r="61" ht="15.75" customHeight="1">
      <c r="A61" s="1"/>
      <c r="B61" s="72">
        <v>5.0</v>
      </c>
      <c r="C61" s="98" t="s">
        <v>219</v>
      </c>
      <c r="D61" s="9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03"/>
      <c r="D62" s="104"/>
      <c r="E62" s="75"/>
      <c r="F62" s="102">
        <f>D59+D60+D61</f>
        <v>-433000</v>
      </c>
      <c r="G62" s="1"/>
      <c r="H62" s="1"/>
      <c r="I62" s="1"/>
      <c r="J62" s="1"/>
      <c r="K62" s="89" t="s">
        <v>200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2"/>
      <c r="G63" s="1"/>
      <c r="H63" s="1"/>
      <c r="I63" s="1"/>
      <c r="J63" s="1"/>
      <c r="K63" s="90" t="s">
        <v>1</v>
      </c>
      <c r="L63" s="90" t="s">
        <v>202</v>
      </c>
      <c r="M63" s="90" t="s">
        <v>203</v>
      </c>
      <c r="N63" s="90" t="s">
        <v>204</v>
      </c>
      <c r="O63" s="90" t="s">
        <v>205</v>
      </c>
      <c r="P63" s="90" t="s">
        <v>206</v>
      </c>
      <c r="Q63" s="1"/>
      <c r="R63" s="1"/>
      <c r="AC63" s="92" t="s">
        <v>207</v>
      </c>
      <c r="AD63" s="92" t="s">
        <v>208</v>
      </c>
      <c r="AE63" s="92" t="s">
        <v>209</v>
      </c>
      <c r="AF63" s="92" t="s">
        <v>210</v>
      </c>
      <c r="AG63" s="92" t="s">
        <v>211</v>
      </c>
    </row>
    <row r="64" ht="15.75" customHeight="1">
      <c r="A64" s="1"/>
      <c r="B64" s="78">
        <v>8.0</v>
      </c>
      <c r="C64" s="81"/>
      <c r="D64" s="83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1"/>
      <c r="D66" s="83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ADIF</v>
      </c>
    </row>
    <row r="67" ht="15.75" customHeight="1">
      <c r="A67" s="1"/>
      <c r="B67" s="105">
        <v>11.0</v>
      </c>
      <c r="C67" s="106"/>
      <c r="D67" s="107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SAKA</v>
      </c>
    </row>
    <row r="68" ht="15.75" customHeight="1">
      <c r="A68" s="1"/>
      <c r="B68" s="1"/>
      <c r="C68" s="2"/>
      <c r="D68" s="108">
        <f>SUM(D57:D67)</f>
        <v>4384000</v>
      </c>
      <c r="E68" s="1"/>
      <c r="F68" s="1"/>
      <c r="G68" s="1"/>
      <c r="H68" s="1"/>
      <c r="I68" s="1"/>
      <c r="J68" s="1"/>
      <c r="K68" s="93"/>
      <c r="L68" s="109"/>
      <c r="M68" s="109"/>
      <c r="N68" s="109"/>
      <c r="O68" s="109"/>
      <c r="P68" s="109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9"/>
      <c r="M69" s="109"/>
      <c r="N69" s="109"/>
      <c r="O69" s="109"/>
      <c r="P69" s="109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18.0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19</v>
      </c>
      <c r="D4" s="17" t="s">
        <v>21</v>
      </c>
      <c r="E4" s="19"/>
      <c r="F4" s="21" t="s">
        <v>23</v>
      </c>
      <c r="G4" s="23"/>
      <c r="H4" s="24">
        <v>100000.0</v>
      </c>
      <c r="I4" s="21" t="s">
        <v>24</v>
      </c>
      <c r="J4" s="27"/>
      <c r="K4" s="27"/>
      <c r="L4" s="21" t="s">
        <v>26</v>
      </c>
      <c r="M4" s="27"/>
      <c r="N4" s="26"/>
      <c r="O4" s="26"/>
      <c r="P4" s="28"/>
      <c r="Q4" s="1"/>
      <c r="R4" s="1"/>
    </row>
    <row r="5" ht="15.75" customHeight="1">
      <c r="A5" s="1"/>
      <c r="B5" s="14">
        <v>2.0</v>
      </c>
      <c r="C5" s="15" t="s">
        <v>29</v>
      </c>
      <c r="D5" s="17" t="s">
        <v>20</v>
      </c>
      <c r="E5" s="19"/>
      <c r="F5" s="21" t="s">
        <v>30</v>
      </c>
      <c r="G5" s="23"/>
      <c r="H5" s="24">
        <v>100000.0</v>
      </c>
      <c r="I5" s="21" t="s">
        <v>24</v>
      </c>
      <c r="J5" s="27"/>
      <c r="K5" s="27"/>
      <c r="L5" s="21" t="s">
        <v>26</v>
      </c>
      <c r="M5" s="27"/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32</v>
      </c>
      <c r="D6" s="17" t="s">
        <v>20</v>
      </c>
      <c r="E6" s="19"/>
      <c r="F6" s="21" t="s">
        <v>33</v>
      </c>
      <c r="G6" s="23"/>
      <c r="H6" s="24">
        <v>100000.0</v>
      </c>
      <c r="I6" s="21" t="s">
        <v>24</v>
      </c>
      <c r="J6" s="27"/>
      <c r="K6" s="27"/>
      <c r="L6" s="21" t="s">
        <v>26</v>
      </c>
      <c r="M6" s="27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35</v>
      </c>
      <c r="D7" s="17" t="s">
        <v>21</v>
      </c>
      <c r="E7" s="19"/>
      <c r="F7" s="21" t="s">
        <v>36</v>
      </c>
      <c r="G7" s="23"/>
      <c r="H7" s="24">
        <v>2400000.0</v>
      </c>
      <c r="I7" s="21" t="s">
        <v>37</v>
      </c>
      <c r="J7" s="21" t="s">
        <v>38</v>
      </c>
      <c r="K7" s="21" t="s">
        <v>39</v>
      </c>
      <c r="L7" s="21" t="s">
        <v>26</v>
      </c>
      <c r="M7" s="21" t="s">
        <v>40</v>
      </c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42</v>
      </c>
      <c r="D8" s="17" t="s">
        <v>20</v>
      </c>
      <c r="E8" s="37"/>
      <c r="F8" s="21" t="s">
        <v>45</v>
      </c>
      <c r="G8" s="39"/>
      <c r="H8" s="40">
        <v>100000.0</v>
      </c>
      <c r="I8" s="21" t="s">
        <v>24</v>
      </c>
      <c r="J8" s="16"/>
      <c r="K8" s="16"/>
      <c r="L8" s="21" t="s">
        <v>26</v>
      </c>
      <c r="M8" s="16"/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50</v>
      </c>
      <c r="D9" s="17" t="s">
        <v>51</v>
      </c>
      <c r="E9" s="16"/>
      <c r="F9" s="38" t="s">
        <v>36</v>
      </c>
      <c r="G9" s="46"/>
      <c r="H9" s="36">
        <v>200000.0</v>
      </c>
      <c r="I9" s="38" t="s">
        <v>37</v>
      </c>
      <c r="J9" s="38" t="s">
        <v>38</v>
      </c>
      <c r="K9" s="38" t="s">
        <v>55</v>
      </c>
      <c r="L9" s="21" t="s">
        <v>26</v>
      </c>
      <c r="M9" s="38" t="s">
        <v>40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57</v>
      </c>
      <c r="D10" s="15" t="s">
        <v>20</v>
      </c>
      <c r="E10" s="16"/>
      <c r="F10" s="38" t="s">
        <v>61</v>
      </c>
      <c r="G10" s="46"/>
      <c r="H10" s="36">
        <v>100000.0</v>
      </c>
      <c r="I10" s="38" t="s">
        <v>24</v>
      </c>
      <c r="J10" s="14"/>
      <c r="K10" s="14"/>
      <c r="L10" s="21" t="s">
        <v>26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64</v>
      </c>
      <c r="D11" s="15" t="s">
        <v>20</v>
      </c>
      <c r="E11" s="49"/>
      <c r="F11" s="38" t="s">
        <v>33</v>
      </c>
      <c r="G11" s="46"/>
      <c r="H11" s="36">
        <v>350000.0</v>
      </c>
      <c r="I11" s="38" t="s">
        <v>37</v>
      </c>
      <c r="J11" s="14"/>
      <c r="K11" s="14"/>
      <c r="L11" s="21" t="s">
        <v>26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52" t="s">
        <v>70</v>
      </c>
      <c r="D12" s="15" t="s">
        <v>71</v>
      </c>
      <c r="E12" s="16"/>
      <c r="F12" s="38" t="s">
        <v>73</v>
      </c>
      <c r="G12" s="46"/>
      <c r="H12" s="36">
        <v>100000.0</v>
      </c>
      <c r="I12" s="38" t="s">
        <v>24</v>
      </c>
      <c r="J12" s="14"/>
      <c r="K12" s="14"/>
      <c r="L12" s="38" t="s">
        <v>26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78</v>
      </c>
      <c r="D13" s="15" t="s">
        <v>21</v>
      </c>
      <c r="E13" s="16"/>
      <c r="F13" s="38" t="s">
        <v>23</v>
      </c>
      <c r="G13" s="46"/>
      <c r="H13" s="36">
        <v>100000.0</v>
      </c>
      <c r="I13" s="38" t="s">
        <v>24</v>
      </c>
      <c r="J13" s="14"/>
      <c r="K13" s="14"/>
      <c r="L13" s="38" t="s">
        <v>26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34" t="s">
        <v>83</v>
      </c>
      <c r="D14" s="15" t="s">
        <v>20</v>
      </c>
      <c r="E14" s="49"/>
      <c r="F14" s="38" t="s">
        <v>61</v>
      </c>
      <c r="G14" s="46"/>
      <c r="H14" s="36">
        <v>100000.0</v>
      </c>
      <c r="I14" s="38" t="s">
        <v>24</v>
      </c>
      <c r="J14" s="14"/>
      <c r="K14" s="14"/>
      <c r="L14" s="38" t="s">
        <v>26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87</v>
      </c>
      <c r="D15" s="15" t="s">
        <v>21</v>
      </c>
      <c r="E15" s="16"/>
      <c r="F15" s="38" t="s">
        <v>88</v>
      </c>
      <c r="G15" s="46"/>
      <c r="H15" s="36">
        <v>100000.0</v>
      </c>
      <c r="I15" s="38" t="s">
        <v>24</v>
      </c>
      <c r="J15" s="14"/>
      <c r="K15" s="14"/>
      <c r="L15" s="38" t="s">
        <v>26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92</v>
      </c>
      <c r="D16" s="15" t="s">
        <v>20</v>
      </c>
      <c r="E16" s="16"/>
      <c r="F16" s="38" t="s">
        <v>33</v>
      </c>
      <c r="G16" s="46"/>
      <c r="H16" s="36">
        <v>100000.0</v>
      </c>
      <c r="I16" s="38" t="s">
        <v>24</v>
      </c>
      <c r="J16" s="14"/>
      <c r="K16" s="14"/>
      <c r="L16" s="38" t="s">
        <v>26</v>
      </c>
      <c r="M16" s="14"/>
      <c r="N16" s="30"/>
      <c r="O16" s="30"/>
      <c r="P16" s="30"/>
      <c r="Q16" s="1"/>
      <c r="R16" s="1"/>
    </row>
    <row r="17" ht="15.75" customHeight="1">
      <c r="A17" s="1"/>
      <c r="B17" s="38">
        <v>14.0</v>
      </c>
      <c r="C17" s="29" t="s">
        <v>96</v>
      </c>
      <c r="D17" s="15" t="s">
        <v>21</v>
      </c>
      <c r="E17" s="16"/>
      <c r="F17" s="51">
        <v>46270.0</v>
      </c>
      <c r="G17" s="46"/>
      <c r="H17" s="36">
        <v>100000.0</v>
      </c>
      <c r="I17" s="38" t="s">
        <v>24</v>
      </c>
      <c r="J17" s="14"/>
      <c r="K17" s="14"/>
      <c r="L17" s="38" t="s">
        <v>25</v>
      </c>
      <c r="M17" s="14"/>
      <c r="N17" s="30"/>
      <c r="O17" s="30"/>
      <c r="P17" s="30"/>
      <c r="Q17" s="1"/>
      <c r="R17" s="1"/>
    </row>
    <row r="18" ht="15.75" customHeight="1">
      <c r="A18" s="1"/>
      <c r="B18" s="38">
        <v>15.0</v>
      </c>
      <c r="C18" s="29" t="s">
        <v>100</v>
      </c>
      <c r="D18" s="15" t="s">
        <v>101</v>
      </c>
      <c r="E18" s="16"/>
      <c r="F18" s="51">
        <v>46268.0</v>
      </c>
      <c r="G18" s="46"/>
      <c r="H18" s="36">
        <v>350000.0</v>
      </c>
      <c r="I18" s="38" t="s">
        <v>37</v>
      </c>
      <c r="J18" s="14"/>
      <c r="K18" s="14"/>
      <c r="L18" s="38" t="s">
        <v>25</v>
      </c>
      <c r="M18" s="14"/>
      <c r="N18" s="30"/>
      <c r="O18" s="30"/>
      <c r="P18" s="30"/>
      <c r="Q18" s="1"/>
      <c r="R18" s="1"/>
    </row>
    <row r="19" ht="15.75" customHeight="1">
      <c r="A19" s="1"/>
      <c r="B19" s="38">
        <v>16.0</v>
      </c>
      <c r="C19" s="29" t="s">
        <v>105</v>
      </c>
      <c r="D19" s="15" t="s">
        <v>93</v>
      </c>
      <c r="E19" s="16"/>
      <c r="F19" s="51">
        <v>46273.0</v>
      </c>
      <c r="G19" s="46"/>
      <c r="H19" s="36">
        <v>100000.0</v>
      </c>
      <c r="I19" s="38" t="s">
        <v>24</v>
      </c>
      <c r="J19" s="14"/>
      <c r="K19" s="14"/>
      <c r="L19" s="38" t="s">
        <v>25</v>
      </c>
      <c r="M19" s="14"/>
      <c r="N19" s="30"/>
      <c r="O19" s="30"/>
      <c r="P19" s="30"/>
      <c r="Q19" s="1"/>
      <c r="R19" s="1"/>
    </row>
    <row r="20" ht="15.75" customHeight="1">
      <c r="A20" s="1"/>
      <c r="B20" s="38">
        <v>17.0</v>
      </c>
      <c r="C20" s="29" t="s">
        <v>109</v>
      </c>
      <c r="D20" s="15" t="s">
        <v>21</v>
      </c>
      <c r="E20" s="16"/>
      <c r="F20" s="51">
        <v>46271.0</v>
      </c>
      <c r="G20" s="46"/>
      <c r="H20" s="36">
        <v>100000.0</v>
      </c>
      <c r="I20" s="38" t="s">
        <v>24</v>
      </c>
      <c r="J20" s="14"/>
      <c r="K20" s="14"/>
      <c r="L20" s="38" t="s">
        <v>25</v>
      </c>
      <c r="M20" s="14"/>
      <c r="N20" s="30"/>
      <c r="O20" s="30"/>
      <c r="P20" s="30"/>
      <c r="Q20" s="1"/>
      <c r="R20" s="1"/>
    </row>
    <row r="21" ht="15.75" customHeight="1">
      <c r="A21" s="1"/>
      <c r="B21" s="38">
        <v>18.0</v>
      </c>
      <c r="C21" s="29" t="s">
        <v>116</v>
      </c>
      <c r="D21" s="15" t="s">
        <v>21</v>
      </c>
      <c r="E21" s="16"/>
      <c r="F21" s="51">
        <v>46269.0</v>
      </c>
      <c r="G21" s="46"/>
      <c r="H21" s="36">
        <v>100000.0</v>
      </c>
      <c r="I21" s="38" t="s">
        <v>24</v>
      </c>
      <c r="J21" s="14"/>
      <c r="K21" s="14"/>
      <c r="L21" s="38" t="s">
        <v>25</v>
      </c>
      <c r="M21" s="14"/>
      <c r="N21" s="30"/>
      <c r="O21" s="30"/>
      <c r="P21" s="30"/>
      <c r="Q21" s="1"/>
      <c r="R21" s="1"/>
    </row>
    <row r="22" ht="15.75" customHeight="1">
      <c r="A22" s="1"/>
      <c r="B22" s="38">
        <v>19.0</v>
      </c>
      <c r="C22" s="29" t="s">
        <v>119</v>
      </c>
      <c r="D22" s="15" t="s">
        <v>51</v>
      </c>
      <c r="E22" s="16"/>
      <c r="F22" s="51">
        <v>46269.0</v>
      </c>
      <c r="G22" s="46"/>
      <c r="H22" s="36">
        <v>200000.0</v>
      </c>
      <c r="I22" s="38" t="s">
        <v>37</v>
      </c>
      <c r="J22" s="14"/>
      <c r="K22" s="14"/>
      <c r="L22" s="38" t="s">
        <v>25</v>
      </c>
      <c r="M22" s="14"/>
      <c r="N22" s="30"/>
      <c r="O22" s="30"/>
      <c r="P22" s="30"/>
      <c r="Q22" s="1"/>
      <c r="R22" s="1"/>
    </row>
    <row r="23" ht="15.75" customHeight="1">
      <c r="A23" s="1"/>
      <c r="B23" s="38">
        <v>20.0</v>
      </c>
      <c r="C23" s="29" t="s">
        <v>123</v>
      </c>
      <c r="D23" s="15" t="s">
        <v>20</v>
      </c>
      <c r="E23" s="16"/>
      <c r="F23" s="51">
        <v>46274.0</v>
      </c>
      <c r="G23" s="46"/>
      <c r="H23" s="36">
        <v>100000.0</v>
      </c>
      <c r="I23" s="38" t="s">
        <v>24</v>
      </c>
      <c r="J23" s="14"/>
      <c r="K23" s="14"/>
      <c r="L23" s="38" t="s">
        <v>25</v>
      </c>
      <c r="M23" s="14"/>
      <c r="N23" s="30"/>
      <c r="O23" s="30"/>
      <c r="P23" s="30"/>
      <c r="Q23" s="1"/>
      <c r="R23" s="1"/>
    </row>
    <row r="24" ht="15.75" customHeight="1">
      <c r="A24" s="1"/>
      <c r="B24" s="38">
        <v>21.0</v>
      </c>
      <c r="C24" s="29" t="s">
        <v>43</v>
      </c>
      <c r="D24" s="15" t="s">
        <v>44</v>
      </c>
      <c r="E24" s="16"/>
      <c r="F24" s="51">
        <v>46268.0</v>
      </c>
      <c r="G24" s="46"/>
      <c r="H24" s="36">
        <v>50000.0</v>
      </c>
      <c r="I24" s="38" t="s">
        <v>37</v>
      </c>
      <c r="J24" s="38" t="s">
        <v>38</v>
      </c>
      <c r="K24" s="38" t="s">
        <v>39</v>
      </c>
      <c r="L24" s="38" t="s">
        <v>25</v>
      </c>
      <c r="M24" s="38" t="s">
        <v>69</v>
      </c>
      <c r="N24" s="30"/>
      <c r="O24" s="30"/>
      <c r="P24" s="30"/>
      <c r="Q24" s="1"/>
      <c r="R24" s="1"/>
    </row>
    <row r="25" ht="15.75" customHeight="1">
      <c r="A25" s="1"/>
      <c r="B25" s="38">
        <v>22.0</v>
      </c>
      <c r="C25" s="29" t="s">
        <v>132</v>
      </c>
      <c r="D25" s="15" t="s">
        <v>20</v>
      </c>
      <c r="E25" s="16"/>
      <c r="F25" s="51">
        <v>46273.0</v>
      </c>
      <c r="G25" s="46"/>
      <c r="H25" s="36">
        <v>100000.0</v>
      </c>
      <c r="I25" s="38" t="s">
        <v>24</v>
      </c>
      <c r="J25" s="14"/>
      <c r="K25" s="14"/>
      <c r="L25" s="38" t="s">
        <v>25</v>
      </c>
      <c r="M25" s="14"/>
      <c r="N25" s="30"/>
      <c r="O25" s="30"/>
      <c r="P25" s="30"/>
      <c r="Q25" s="1"/>
      <c r="R25" s="1"/>
    </row>
    <row r="26" ht="15.75" customHeight="1">
      <c r="A26" s="1"/>
      <c r="B26" s="38">
        <v>23.0</v>
      </c>
      <c r="C26" s="29" t="s">
        <v>27</v>
      </c>
      <c r="D26" s="15" t="s">
        <v>20</v>
      </c>
      <c r="E26" s="16"/>
      <c r="F26" s="51">
        <v>46274.0</v>
      </c>
      <c r="G26" s="46"/>
      <c r="H26" s="36">
        <v>100000.0</v>
      </c>
      <c r="I26" s="38" t="s">
        <v>24</v>
      </c>
      <c r="J26" s="14"/>
      <c r="K26" s="14"/>
      <c r="L26" s="38" t="s">
        <v>25</v>
      </c>
      <c r="M26" s="14"/>
      <c r="N26" s="30"/>
      <c r="O26" s="30"/>
      <c r="P26" s="30"/>
      <c r="Q26" s="1"/>
      <c r="R26" s="1"/>
    </row>
    <row r="27" ht="15.75" customHeight="1">
      <c r="A27" s="1"/>
      <c r="B27" s="38">
        <v>24.0</v>
      </c>
      <c r="C27" s="29" t="s">
        <v>138</v>
      </c>
      <c r="D27" s="15" t="s">
        <v>21</v>
      </c>
      <c r="E27" s="16"/>
      <c r="F27" s="51">
        <v>46268.0</v>
      </c>
      <c r="G27" s="46"/>
      <c r="H27" s="36">
        <v>300000.0</v>
      </c>
      <c r="I27" s="38" t="s">
        <v>37</v>
      </c>
      <c r="J27" s="38" t="s">
        <v>38</v>
      </c>
      <c r="K27" s="38" t="s">
        <v>38</v>
      </c>
      <c r="L27" s="38" t="s">
        <v>25</v>
      </c>
      <c r="M27" s="38" t="s">
        <v>69</v>
      </c>
      <c r="N27" s="30"/>
      <c r="O27" s="30"/>
      <c r="P27" s="30"/>
      <c r="Q27" s="1"/>
      <c r="R27" s="1"/>
    </row>
    <row r="28" ht="15.75" customHeight="1">
      <c r="A28" s="1"/>
      <c r="B28" s="38">
        <v>25.0</v>
      </c>
      <c r="C28" s="29" t="s">
        <v>141</v>
      </c>
      <c r="D28" s="15" t="s">
        <v>51</v>
      </c>
      <c r="E28" s="16"/>
      <c r="F28" s="51">
        <v>46268.0</v>
      </c>
      <c r="G28" s="64">
        <v>100000.0</v>
      </c>
      <c r="H28" s="60"/>
      <c r="I28" s="38" t="s">
        <v>37</v>
      </c>
      <c r="J28" s="38" t="s">
        <v>38</v>
      </c>
      <c r="K28" s="38" t="s">
        <v>38</v>
      </c>
      <c r="L28" s="38" t="s">
        <v>25</v>
      </c>
      <c r="M28" s="38" t="s">
        <v>69</v>
      </c>
      <c r="N28" s="30"/>
      <c r="O28" s="30"/>
      <c r="P28" s="30"/>
      <c r="Q28" s="1"/>
      <c r="R28" s="1"/>
    </row>
    <row r="29" ht="15.75" customHeight="1">
      <c r="A29" s="1"/>
      <c r="B29" s="38">
        <v>26.0</v>
      </c>
      <c r="C29" s="29" t="s">
        <v>148</v>
      </c>
      <c r="D29" s="15" t="s">
        <v>20</v>
      </c>
      <c r="E29" s="16"/>
      <c r="F29" s="51">
        <v>46273.0</v>
      </c>
      <c r="G29" s="46"/>
      <c r="H29" s="36">
        <v>100000.0</v>
      </c>
      <c r="I29" s="38" t="s">
        <v>24</v>
      </c>
      <c r="J29" s="14"/>
      <c r="K29" s="14"/>
      <c r="L29" s="38" t="s">
        <v>25</v>
      </c>
      <c r="M29" s="14"/>
      <c r="N29" s="30"/>
      <c r="O29" s="30"/>
      <c r="P29" s="30"/>
      <c r="Q29" s="1"/>
      <c r="R29" s="1"/>
    </row>
    <row r="30" ht="15.75" customHeight="1">
      <c r="A30" s="1"/>
      <c r="B30" s="38">
        <v>27.0</v>
      </c>
      <c r="C30" s="29" t="s">
        <v>152</v>
      </c>
      <c r="D30" s="15" t="s">
        <v>21</v>
      </c>
      <c r="E30" s="16"/>
      <c r="F30" s="51">
        <v>46268.0</v>
      </c>
      <c r="G30" s="46"/>
      <c r="H30" s="36">
        <v>750000.0</v>
      </c>
      <c r="I30" s="38" t="s">
        <v>37</v>
      </c>
      <c r="J30" s="38" t="s">
        <v>38</v>
      </c>
      <c r="K30" s="38" t="s">
        <v>39</v>
      </c>
      <c r="L30" s="38" t="s">
        <v>25</v>
      </c>
      <c r="M30" s="38" t="s">
        <v>69</v>
      </c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174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175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178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182</v>
      </c>
      <c r="O35" s="77" t="s">
        <v>26</v>
      </c>
      <c r="P35" s="1"/>
      <c r="Q35" s="1"/>
      <c r="R35" s="1"/>
    </row>
    <row r="36" ht="15.75" customHeight="1">
      <c r="A36" s="1"/>
      <c r="B36" s="78">
        <v>2.0</v>
      </c>
      <c r="C36" s="81"/>
      <c r="D36" s="83"/>
      <c r="E36" s="75"/>
      <c r="F36" s="1"/>
      <c r="G36" s="1"/>
      <c r="H36" s="1"/>
      <c r="I36" s="1"/>
      <c r="J36" s="1"/>
      <c r="K36" s="1"/>
      <c r="L36" s="1"/>
      <c r="M36" s="1"/>
      <c r="N36" s="82" t="s">
        <v>188</v>
      </c>
      <c r="O36" s="84" t="s">
        <v>25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193</v>
      </c>
      <c r="O37" s="86" t="s">
        <v>40</v>
      </c>
      <c r="P37" s="1"/>
      <c r="Q37" s="1"/>
      <c r="R37" s="1"/>
    </row>
    <row r="38" ht="15.75" customHeight="1">
      <c r="A38" s="1"/>
      <c r="B38" s="78">
        <v>4.0</v>
      </c>
      <c r="C38" s="81"/>
      <c r="D38" s="83"/>
      <c r="E38" s="75"/>
      <c r="F38" s="1"/>
      <c r="G38" s="1"/>
      <c r="H38" s="1"/>
      <c r="I38" s="1"/>
      <c r="J38" s="1"/>
      <c r="K38" s="1"/>
      <c r="L38" s="1"/>
      <c r="M38" s="1"/>
      <c r="N38" s="87" t="s">
        <v>195</v>
      </c>
      <c r="O38" s="84" t="s">
        <v>69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1"/>
      <c r="D40" s="83"/>
      <c r="E40" s="75"/>
      <c r="F40" s="1"/>
      <c r="G40" s="1"/>
      <c r="H40" s="1"/>
      <c r="I40" s="1"/>
      <c r="J40" s="1"/>
      <c r="K40" s="89" t="s">
        <v>200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202</v>
      </c>
      <c r="M41" s="90" t="s">
        <v>203</v>
      </c>
      <c r="N41" s="90" t="s">
        <v>204</v>
      </c>
      <c r="O41" s="90" t="s">
        <v>205</v>
      </c>
      <c r="P41" s="90" t="s">
        <v>206</v>
      </c>
      <c r="Q41" s="1"/>
      <c r="R41" s="1"/>
      <c r="AC41" s="92" t="s">
        <v>207</v>
      </c>
      <c r="AD41" s="92" t="s">
        <v>208</v>
      </c>
      <c r="AE41" s="92" t="s">
        <v>209</v>
      </c>
      <c r="AF41" s="92" t="s">
        <v>210</v>
      </c>
      <c r="AG41" s="92" t="s">
        <v>211</v>
      </c>
    </row>
    <row r="42" ht="15.75" customHeight="1">
      <c r="A42" s="1"/>
      <c r="B42" s="78">
        <v>8.0</v>
      </c>
      <c r="C42" s="81"/>
      <c r="D42" s="83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2">
        <f t="shared" ref="AC42:AC47" si="3">IF(AG42="","",IF(COUNT(L42:P42)&lt;5,"",L42/5*20+M42/5*25+N42/5*25+O42/5*15+P42/5*15))</f>
        <v>92</v>
      </c>
      <c r="AD42" s="92" t="str">
        <f t="shared" ref="AD42:AD47" si="4">IF(AC42="","",IF(AC42&gt;=90,"Sangat Baik",IF(AC42&gt;=80,"Baik",IF(AC42&gt;=70,"Coaching","Underperform"))))</f>
        <v>Sangat Baik</v>
      </c>
      <c r="AE42" s="92" t="str">
        <f t="shared" ref="AE42:AE47" si="5">IF(AG42="","",IF(OR(AG42="INDAH",AG42="ADDEL",AG42="AMEL",AG42="PENTIL",AG42="JIJANG"),"Admin/CS","Fotografer"))</f>
        <v>Admin/CS</v>
      </c>
      <c r="AF42" s="92">
        <f t="shared" ref="AF42:AF47" si="6">IF(OR(AG42="",COUNT(L42:P42)&lt;5),"",1)</f>
        <v>1</v>
      </c>
      <c r="AG42" s="92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Admin/CS</v>
      </c>
      <c r="AF43" s="92">
        <f t="shared" si="6"/>
        <v>1</v>
      </c>
      <c r="AG43" s="92" t="str">
        <f t="shared" si="7"/>
        <v>INDAH</v>
      </c>
    </row>
    <row r="44" ht="15.75" customHeight="1">
      <c r="A44" s="1"/>
      <c r="B44" s="78">
        <v>10.0</v>
      </c>
      <c r="C44" s="81"/>
      <c r="D44" s="83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ADIF</v>
      </c>
    </row>
    <row r="45" ht="15.75" customHeight="1">
      <c r="A45" s="1"/>
      <c r="B45" s="105">
        <v>11.0</v>
      </c>
      <c r="C45" s="106"/>
      <c r="D45" s="107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2">
        <f t="shared" si="3"/>
        <v>88</v>
      </c>
      <c r="AD45" s="92" t="str">
        <f t="shared" si="4"/>
        <v>Baik</v>
      </c>
      <c r="AE45" s="92" t="str">
        <f t="shared" si="5"/>
        <v>Fotografer</v>
      </c>
      <c r="AF45" s="92">
        <f t="shared" si="6"/>
        <v>1</v>
      </c>
      <c r="AG45" s="92" t="str">
        <f t="shared" si="7"/>
        <v>SAKA</v>
      </c>
    </row>
    <row r="46" ht="15.75" customHeight="1">
      <c r="A46" s="1"/>
      <c r="B46" s="1"/>
      <c r="C46" s="2"/>
      <c r="D46" s="108">
        <f>SUM(D35:D45)</f>
        <v>100000</v>
      </c>
      <c r="E46" s="1"/>
      <c r="F46" s="1"/>
      <c r="G46" s="1"/>
      <c r="H46" s="1"/>
      <c r="I46" s="1"/>
      <c r="J46" s="1"/>
      <c r="K46" s="93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/>
      <c r="M52" s="114"/>
    </row>
    <row r="53" ht="15.75" customHeight="1">
      <c r="K53" s="113" t="str">
        <f t="shared" si="8"/>
        <v>INDAH</v>
      </c>
      <c r="L53" s="115">
        <v>8.0</v>
      </c>
      <c r="M53" s="115" t="s">
        <v>225</v>
      </c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5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28</v>
      </c>
      <c r="D4" s="29" t="s">
        <v>20</v>
      </c>
      <c r="E4" s="14"/>
      <c r="F4" s="31">
        <v>46312.0</v>
      </c>
      <c r="G4" s="33"/>
      <c r="H4" s="36">
        <v>100000.0</v>
      </c>
      <c r="I4" s="38" t="s">
        <v>24</v>
      </c>
      <c r="J4" s="14"/>
      <c r="K4" s="14"/>
      <c r="L4" s="38" t="s">
        <v>25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47</v>
      </c>
      <c r="D5" s="29" t="s">
        <v>21</v>
      </c>
      <c r="E5" s="14"/>
      <c r="F5" s="31">
        <v>46277.0</v>
      </c>
      <c r="G5" s="33"/>
      <c r="H5" s="36">
        <v>100000.0</v>
      </c>
      <c r="I5" s="38" t="s">
        <v>24</v>
      </c>
      <c r="J5" s="14"/>
      <c r="K5" s="14"/>
      <c r="L5" s="38" t="s">
        <v>25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18</v>
      </c>
      <c r="D6" s="29" t="s">
        <v>20</v>
      </c>
      <c r="E6" s="14"/>
      <c r="F6" s="47">
        <v>46274.0</v>
      </c>
      <c r="G6" s="33"/>
      <c r="H6" s="36">
        <v>250000.0</v>
      </c>
      <c r="I6" s="38" t="s">
        <v>37</v>
      </c>
      <c r="J6" s="14"/>
      <c r="K6" s="14"/>
      <c r="L6" s="38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62</v>
      </c>
      <c r="D7" s="29" t="s">
        <v>20</v>
      </c>
      <c r="E7" s="14"/>
      <c r="F7" s="47">
        <v>46274.0</v>
      </c>
      <c r="G7" s="33"/>
      <c r="H7" s="36">
        <v>100000.0</v>
      </c>
      <c r="I7" s="38" t="s">
        <v>24</v>
      </c>
      <c r="J7" s="14"/>
      <c r="K7" s="14"/>
      <c r="L7" s="38" t="s">
        <v>25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66</v>
      </c>
      <c r="D8" s="29" t="s">
        <v>20</v>
      </c>
      <c r="E8" s="14"/>
      <c r="F8" s="51">
        <v>46274.0</v>
      </c>
      <c r="G8" s="33"/>
      <c r="H8" s="36">
        <v>100000.0</v>
      </c>
      <c r="I8" s="38" t="s">
        <v>24</v>
      </c>
      <c r="J8" s="14"/>
      <c r="K8" s="14"/>
      <c r="L8" s="38" t="s">
        <v>25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76</v>
      </c>
      <c r="D9" s="29" t="s">
        <v>58</v>
      </c>
      <c r="E9" s="14"/>
      <c r="F9" s="51">
        <v>46270.0</v>
      </c>
      <c r="G9" s="33"/>
      <c r="H9" s="36">
        <v>100000.0</v>
      </c>
      <c r="I9" s="38" t="s">
        <v>24</v>
      </c>
      <c r="J9" s="14"/>
      <c r="K9" s="14"/>
      <c r="L9" s="38" t="s">
        <v>25</v>
      </c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80</v>
      </c>
      <c r="D10" s="29" t="s">
        <v>21</v>
      </c>
      <c r="E10" s="14"/>
      <c r="F10" s="51">
        <v>46269.0</v>
      </c>
      <c r="G10" s="33"/>
      <c r="H10" s="36">
        <v>125000.0</v>
      </c>
      <c r="I10" s="38" t="s">
        <v>37</v>
      </c>
      <c r="J10" s="38" t="s">
        <v>38</v>
      </c>
      <c r="K10" s="38" t="s">
        <v>38</v>
      </c>
      <c r="L10" s="38" t="s">
        <v>25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54" t="s">
        <v>85</v>
      </c>
      <c r="D11" s="29" t="s">
        <v>20</v>
      </c>
      <c r="E11" s="14"/>
      <c r="F11" s="47">
        <v>46270.0</v>
      </c>
      <c r="G11" s="33"/>
      <c r="H11" s="36">
        <v>100000.0</v>
      </c>
      <c r="I11" s="38" t="s">
        <v>24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90</v>
      </c>
      <c r="D12" s="29" t="s">
        <v>20</v>
      </c>
      <c r="E12" s="14"/>
      <c r="F12" s="51">
        <v>46273.0</v>
      </c>
      <c r="G12" s="33"/>
      <c r="H12" s="36">
        <v>100000.0</v>
      </c>
      <c r="I12" s="38" t="s">
        <v>24</v>
      </c>
      <c r="J12" s="14"/>
      <c r="K12" s="14"/>
      <c r="L12" s="38" t="s">
        <v>25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94</v>
      </c>
      <c r="D13" s="29" t="s">
        <v>20</v>
      </c>
      <c r="E13" s="14"/>
      <c r="F13" s="47">
        <v>46273.0</v>
      </c>
      <c r="G13" s="33"/>
      <c r="H13" s="36">
        <v>100000.0</v>
      </c>
      <c r="I13" s="38" t="s">
        <v>24</v>
      </c>
      <c r="J13" s="14"/>
      <c r="K13" s="14"/>
      <c r="L13" s="38" t="s">
        <v>25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78</v>
      </c>
      <c r="D14" s="29" t="s">
        <v>21</v>
      </c>
      <c r="E14" s="14"/>
      <c r="F14" s="47">
        <v>46269.0</v>
      </c>
      <c r="G14" s="59">
        <v>200000.0</v>
      </c>
      <c r="H14" s="60"/>
      <c r="I14" s="38" t="s">
        <v>37</v>
      </c>
      <c r="J14" s="38" t="s">
        <v>38</v>
      </c>
      <c r="K14" s="38" t="s">
        <v>38</v>
      </c>
      <c r="L14" s="38" t="s">
        <v>25</v>
      </c>
      <c r="M14" s="38" t="s">
        <v>40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108</v>
      </c>
      <c r="D15" s="29" t="s">
        <v>21</v>
      </c>
      <c r="E15" s="14"/>
      <c r="F15" s="47">
        <v>46272.0</v>
      </c>
      <c r="G15" s="33"/>
      <c r="H15" s="36">
        <v>100000.0</v>
      </c>
      <c r="I15" s="38" t="s">
        <v>24</v>
      </c>
      <c r="J15" s="14"/>
      <c r="K15" s="14"/>
      <c r="L15" s="38" t="s">
        <v>25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27</v>
      </c>
      <c r="D16" s="29" t="s">
        <v>21</v>
      </c>
      <c r="E16" s="14"/>
      <c r="F16" s="47">
        <v>46269.0</v>
      </c>
      <c r="G16" s="33"/>
      <c r="H16" s="36">
        <v>125000.0</v>
      </c>
      <c r="I16" s="38" t="s">
        <v>37</v>
      </c>
      <c r="J16" s="38" t="s">
        <v>38</v>
      </c>
      <c r="K16" s="38" t="s">
        <v>38</v>
      </c>
      <c r="L16" s="38" t="s">
        <v>25</v>
      </c>
      <c r="M16" s="38" t="s">
        <v>40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117</v>
      </c>
      <c r="D17" s="29" t="s">
        <v>21</v>
      </c>
      <c r="E17" s="14"/>
      <c r="F17" s="47">
        <v>46271.0</v>
      </c>
      <c r="G17" s="33"/>
      <c r="H17" s="36">
        <v>275000.0</v>
      </c>
      <c r="I17" s="38" t="s">
        <v>24</v>
      </c>
      <c r="J17" s="14"/>
      <c r="K17" s="14"/>
      <c r="L17" s="38" t="s">
        <v>25</v>
      </c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118</v>
      </c>
      <c r="D18" s="29" t="s">
        <v>21</v>
      </c>
      <c r="E18" s="14"/>
      <c r="F18" s="47">
        <v>46269.0</v>
      </c>
      <c r="G18" s="33"/>
      <c r="H18" s="36">
        <v>150000.0</v>
      </c>
      <c r="I18" s="38" t="s">
        <v>37</v>
      </c>
      <c r="J18" s="38" t="s">
        <v>38</v>
      </c>
      <c r="K18" s="38" t="s">
        <v>38</v>
      </c>
      <c r="L18" s="38" t="s">
        <v>25</v>
      </c>
      <c r="M18" s="38" t="s">
        <v>40</v>
      </c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122</v>
      </c>
      <c r="D19" s="29" t="s">
        <v>51</v>
      </c>
      <c r="E19" s="14"/>
      <c r="F19" s="47">
        <v>46269.0</v>
      </c>
      <c r="G19" s="59">
        <v>0.0</v>
      </c>
      <c r="H19" s="36">
        <v>0.0</v>
      </c>
      <c r="I19" s="38" t="s">
        <v>37</v>
      </c>
      <c r="J19" s="38" t="s">
        <v>38</v>
      </c>
      <c r="K19" s="38" t="s">
        <v>38</v>
      </c>
      <c r="L19" s="38" t="s">
        <v>25</v>
      </c>
      <c r="M19" s="38" t="s">
        <v>40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29" t="s">
        <v>127</v>
      </c>
      <c r="D20" s="29" t="s">
        <v>21</v>
      </c>
      <c r="E20" s="14"/>
      <c r="F20" s="47">
        <v>46269.0</v>
      </c>
      <c r="G20" s="59">
        <v>100000.0</v>
      </c>
      <c r="H20" s="60"/>
      <c r="I20" s="38" t="s">
        <v>37</v>
      </c>
      <c r="J20" s="38" t="s">
        <v>38</v>
      </c>
      <c r="K20" s="38" t="s">
        <v>39</v>
      </c>
      <c r="L20" s="38" t="s">
        <v>25</v>
      </c>
      <c r="M20" s="38" t="s">
        <v>40</v>
      </c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29" t="s">
        <v>130</v>
      </c>
      <c r="D21" s="29" t="s">
        <v>21</v>
      </c>
      <c r="E21" s="14"/>
      <c r="F21" s="47">
        <v>46270.0</v>
      </c>
      <c r="G21" s="33"/>
      <c r="H21" s="36">
        <v>425000.0</v>
      </c>
      <c r="I21" s="38" t="s">
        <v>37</v>
      </c>
      <c r="J21" s="14"/>
      <c r="K21" s="14"/>
      <c r="L21" s="38" t="s">
        <v>25</v>
      </c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29" t="s">
        <v>135</v>
      </c>
      <c r="D22" s="29" t="s">
        <v>20</v>
      </c>
      <c r="E22" s="14"/>
      <c r="F22" s="47">
        <v>46273.0</v>
      </c>
      <c r="G22" s="33"/>
      <c r="H22" s="36">
        <v>100000.0</v>
      </c>
      <c r="I22" s="38" t="s">
        <v>24</v>
      </c>
      <c r="J22" s="14"/>
      <c r="K22" s="14"/>
      <c r="L22" s="38" t="s">
        <v>25</v>
      </c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29" t="s">
        <v>139</v>
      </c>
      <c r="D23" s="29" t="s">
        <v>20</v>
      </c>
      <c r="E23" s="63"/>
      <c r="F23" s="47">
        <v>46274.0</v>
      </c>
      <c r="G23" s="33"/>
      <c r="H23" s="36">
        <v>100000.0</v>
      </c>
      <c r="I23" s="38" t="s">
        <v>24</v>
      </c>
      <c r="J23" s="63"/>
      <c r="K23" s="63"/>
      <c r="L23" s="38" t="s">
        <v>25</v>
      </c>
      <c r="M23" s="63"/>
      <c r="N23" s="30"/>
      <c r="O23" s="30"/>
      <c r="P23" s="30"/>
      <c r="Q23" s="1"/>
      <c r="R23" s="1"/>
    </row>
    <row r="24" ht="15.75" customHeight="1">
      <c r="A24" s="1"/>
      <c r="B24" s="14"/>
      <c r="C24" s="29" t="s">
        <v>144</v>
      </c>
      <c r="D24" s="29" t="s">
        <v>93</v>
      </c>
      <c r="E24" s="14"/>
      <c r="F24" s="51">
        <v>46274.0</v>
      </c>
      <c r="G24" s="46"/>
      <c r="H24" s="36">
        <v>100000.0</v>
      </c>
      <c r="I24" s="38" t="s">
        <v>24</v>
      </c>
      <c r="J24" s="14"/>
      <c r="K24" s="14"/>
      <c r="L24" s="38" t="s">
        <v>25</v>
      </c>
      <c r="M24" s="14"/>
      <c r="N24" s="30"/>
      <c r="O24" s="30"/>
      <c r="P24" s="30"/>
      <c r="Q24" s="1"/>
      <c r="R24" s="1"/>
    </row>
    <row r="25" ht="15.75" customHeight="1">
      <c r="A25" s="1"/>
      <c r="B25" s="14"/>
      <c r="C25" s="29" t="s">
        <v>149</v>
      </c>
      <c r="D25" s="29" t="s">
        <v>21</v>
      </c>
      <c r="E25" s="14"/>
      <c r="F25" s="51">
        <v>46269.0</v>
      </c>
      <c r="G25" s="46"/>
      <c r="H25" s="36">
        <v>150000.0</v>
      </c>
      <c r="I25" s="38" t="s">
        <v>37</v>
      </c>
      <c r="J25" s="38" t="s">
        <v>38</v>
      </c>
      <c r="K25" s="38" t="s">
        <v>39</v>
      </c>
      <c r="L25" s="38" t="s">
        <v>25</v>
      </c>
      <c r="M25" s="38" t="s">
        <v>40</v>
      </c>
      <c r="N25" s="30"/>
      <c r="O25" s="30"/>
      <c r="P25" s="30"/>
      <c r="Q25" s="1"/>
      <c r="R25" s="1"/>
    </row>
    <row r="26" ht="15.75" customHeight="1">
      <c r="A26" s="1"/>
      <c r="B26" s="14"/>
      <c r="C26" s="29" t="s">
        <v>153</v>
      </c>
      <c r="D26" s="29" t="s">
        <v>93</v>
      </c>
      <c r="E26" s="14"/>
      <c r="F26" s="51">
        <v>46274.0</v>
      </c>
      <c r="G26" s="46"/>
      <c r="H26" s="36">
        <v>100000.0</v>
      </c>
      <c r="I26" s="38" t="s">
        <v>24</v>
      </c>
      <c r="J26" s="14"/>
      <c r="K26" s="14"/>
      <c r="L26" s="38" t="s">
        <v>25</v>
      </c>
      <c r="M26" s="14"/>
      <c r="N26" s="30"/>
      <c r="O26" s="30"/>
      <c r="P26" s="30"/>
      <c r="Q26" s="1"/>
      <c r="R26" s="1"/>
    </row>
    <row r="27" ht="15.75" customHeight="1">
      <c r="A27" s="1"/>
      <c r="B27" s="14"/>
      <c r="C27" s="41" t="s">
        <v>157</v>
      </c>
      <c r="D27" s="29" t="s">
        <v>21</v>
      </c>
      <c r="E27" s="14"/>
      <c r="F27" s="51">
        <v>46269.0</v>
      </c>
      <c r="G27" s="64">
        <v>200000.0</v>
      </c>
      <c r="H27" s="60"/>
      <c r="I27" s="38" t="s">
        <v>37</v>
      </c>
      <c r="J27" s="38" t="s">
        <v>38</v>
      </c>
      <c r="K27" s="38" t="s">
        <v>39</v>
      </c>
      <c r="L27" s="38" t="s">
        <v>25</v>
      </c>
      <c r="M27" s="38" t="s">
        <v>40</v>
      </c>
      <c r="N27" s="30"/>
      <c r="O27" s="30"/>
      <c r="P27" s="30"/>
      <c r="Q27" s="1"/>
      <c r="R27" s="1"/>
    </row>
    <row r="28" ht="15.75" customHeight="1">
      <c r="A28" s="1"/>
      <c r="B28" s="14"/>
      <c r="C28" s="67"/>
      <c r="D28" s="67"/>
      <c r="E28" s="14"/>
      <c r="F28" s="14"/>
      <c r="G28" s="46"/>
      <c r="H28" s="60"/>
      <c r="I28" s="14"/>
      <c r="J28" s="14"/>
      <c r="K28" s="14"/>
      <c r="L28" s="14"/>
      <c r="M28" s="14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174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175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178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182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 t="s">
        <v>186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2" t="s">
        <v>188</v>
      </c>
      <c r="O34" s="84" t="s">
        <v>25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5" t="s">
        <v>193</v>
      </c>
      <c r="O35" s="86" t="s">
        <v>40</v>
      </c>
      <c r="P35" s="1"/>
      <c r="Q35" s="1"/>
      <c r="R35" s="1"/>
    </row>
    <row r="36" ht="15.75" customHeight="1">
      <c r="A36" s="1"/>
      <c r="B36" s="78">
        <v>4.0</v>
      </c>
      <c r="C36" s="81"/>
      <c r="D36" s="83"/>
      <c r="E36" s="75"/>
      <c r="F36" s="1"/>
      <c r="G36" s="1"/>
      <c r="H36" s="1"/>
      <c r="I36" s="1"/>
      <c r="J36" s="1"/>
      <c r="K36" s="1"/>
      <c r="L36" s="1"/>
      <c r="M36" s="1"/>
      <c r="N36" s="87" t="s">
        <v>195</v>
      </c>
      <c r="O36" s="84" t="s">
        <v>40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1"/>
      <c r="D38" s="83"/>
      <c r="E38" s="75"/>
      <c r="F38" s="1"/>
      <c r="G38" s="1"/>
      <c r="H38" s="1"/>
      <c r="I38" s="1"/>
      <c r="J38" s="1"/>
      <c r="K38" s="89" t="s">
        <v>200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202</v>
      </c>
      <c r="M39" s="90" t="s">
        <v>203</v>
      </c>
      <c r="N39" s="90" t="s">
        <v>204</v>
      </c>
      <c r="O39" s="90" t="s">
        <v>205</v>
      </c>
      <c r="P39" s="90" t="s">
        <v>206</v>
      </c>
      <c r="Q39" s="1"/>
      <c r="R39" s="1"/>
      <c r="AC39" s="92" t="s">
        <v>207</v>
      </c>
      <c r="AD39" s="92" t="s">
        <v>208</v>
      </c>
      <c r="AE39" s="92" t="s">
        <v>209</v>
      </c>
      <c r="AF39" s="92" t="s">
        <v>210</v>
      </c>
      <c r="AG39" s="92" t="s">
        <v>211</v>
      </c>
    </row>
    <row r="40" ht="15.75" customHeight="1">
      <c r="A40" s="1"/>
      <c r="B40" s="78">
        <v>8.0</v>
      </c>
      <c r="C40" s="81"/>
      <c r="D40" s="83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2">
        <f t="shared" ref="AC40:AC45" si="3">IF(AG40="","",IF(COUNT(L40:P40)&lt;5,"",L40/5*20+M40/5*25+N40/5*25+O40/5*15+P40/5*15))</f>
        <v>97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INDAH</v>
      </c>
    </row>
    <row r="42" ht="15.75" customHeight="1">
      <c r="A42" s="1"/>
      <c r="B42" s="78">
        <v>10.0</v>
      </c>
      <c r="C42" s="81"/>
      <c r="D42" s="83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05">
        <v>11.0</v>
      </c>
      <c r="C43" s="106"/>
      <c r="D43" s="107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8">
        <f>SUM(D33:D43)</f>
        <v>300000</v>
      </c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5">
        <v>15.0</v>
      </c>
      <c r="M50" s="114"/>
    </row>
    <row r="51" ht="15.75" customHeight="1">
      <c r="K51" s="113" t="str">
        <f t="shared" si="8"/>
        <v>INDAH</v>
      </c>
      <c r="L51" s="114"/>
      <c r="M51" s="114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29" t="s">
        <v>232</v>
      </c>
      <c r="D4" s="29" t="s">
        <v>93</v>
      </c>
      <c r="E4" s="63"/>
      <c r="F4" s="31">
        <v>46299.0</v>
      </c>
      <c r="G4" s="123"/>
      <c r="H4" s="36">
        <v>100000.0</v>
      </c>
      <c r="I4" s="38" t="s">
        <v>24</v>
      </c>
      <c r="J4" s="14"/>
      <c r="K4" s="14"/>
      <c r="L4" s="38" t="s">
        <v>25</v>
      </c>
      <c r="M4" s="14"/>
      <c r="N4" s="26"/>
      <c r="O4" s="26"/>
      <c r="P4" s="28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29" t="s">
        <v>96</v>
      </c>
      <c r="D5" s="29" t="s">
        <v>21</v>
      </c>
      <c r="E5" s="63"/>
      <c r="F5" s="31">
        <v>46270.0</v>
      </c>
      <c r="G5" s="123"/>
      <c r="H5" s="36">
        <v>75000.0</v>
      </c>
      <c r="I5" s="38" t="s">
        <v>37</v>
      </c>
      <c r="J5" s="38" t="s">
        <v>38</v>
      </c>
      <c r="K5" s="38" t="s">
        <v>38</v>
      </c>
      <c r="L5" s="38" t="s">
        <v>25</v>
      </c>
      <c r="M5" s="38" t="s">
        <v>69</v>
      </c>
      <c r="N5" s="30"/>
      <c r="O5" s="30"/>
      <c r="P5" s="30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29" t="s">
        <v>233</v>
      </c>
      <c r="D6" s="29" t="s">
        <v>20</v>
      </c>
      <c r="E6" s="63"/>
      <c r="F6" s="47">
        <v>46270.0</v>
      </c>
      <c r="G6" s="123"/>
      <c r="H6" s="36">
        <v>270000.0</v>
      </c>
      <c r="I6" s="38" t="s">
        <v>37</v>
      </c>
      <c r="J6" s="38" t="s">
        <v>38</v>
      </c>
      <c r="K6" s="38" t="s">
        <v>39</v>
      </c>
      <c r="L6" s="38" t="s">
        <v>25</v>
      </c>
      <c r="M6" s="38" t="s">
        <v>69</v>
      </c>
      <c r="N6" s="30"/>
      <c r="O6" s="30"/>
      <c r="P6" s="30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29" t="s">
        <v>234</v>
      </c>
      <c r="D7" s="29" t="s">
        <v>93</v>
      </c>
      <c r="E7" s="63"/>
      <c r="F7" s="47">
        <v>46273.0</v>
      </c>
      <c r="G7" s="123"/>
      <c r="H7" s="36">
        <v>100000.0</v>
      </c>
      <c r="I7" s="38" t="s">
        <v>24</v>
      </c>
      <c r="J7" s="14"/>
      <c r="K7" s="14"/>
      <c r="L7" s="38" t="s">
        <v>25</v>
      </c>
      <c r="M7" s="14"/>
      <c r="N7" s="30"/>
      <c r="O7" s="30"/>
      <c r="P7" s="30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29" t="s">
        <v>235</v>
      </c>
      <c r="D8" s="29" t="s">
        <v>20</v>
      </c>
      <c r="E8" s="124"/>
      <c r="F8" s="47">
        <v>46298.0</v>
      </c>
      <c r="G8" s="123"/>
      <c r="H8" s="36">
        <v>100000.0</v>
      </c>
      <c r="I8" s="38" t="s">
        <v>24</v>
      </c>
      <c r="J8" s="14"/>
      <c r="K8" s="14"/>
      <c r="L8" s="38" t="s">
        <v>25</v>
      </c>
      <c r="M8" s="14"/>
      <c r="N8" s="30"/>
      <c r="O8" s="30"/>
      <c r="P8" s="30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29" t="s">
        <v>236</v>
      </c>
      <c r="D9" s="29" t="s">
        <v>21</v>
      </c>
      <c r="E9" s="63"/>
      <c r="F9" s="47">
        <v>46270.0</v>
      </c>
      <c r="G9" s="125">
        <v>780000.0</v>
      </c>
      <c r="H9" s="36">
        <v>70000.0</v>
      </c>
      <c r="I9" s="38" t="s">
        <v>37</v>
      </c>
      <c r="J9" s="38" t="s">
        <v>38</v>
      </c>
      <c r="K9" s="38" t="s">
        <v>38</v>
      </c>
      <c r="L9" s="38" t="s">
        <v>25</v>
      </c>
      <c r="M9" s="38" t="s">
        <v>69</v>
      </c>
      <c r="N9" s="30"/>
      <c r="O9" s="30"/>
      <c r="P9" s="30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29" t="s">
        <v>238</v>
      </c>
      <c r="D10" s="29" t="s">
        <v>239</v>
      </c>
      <c r="E10" s="63"/>
      <c r="F10" s="47">
        <v>46270.0</v>
      </c>
      <c r="G10" s="125">
        <v>50000.0</v>
      </c>
      <c r="H10" s="60"/>
      <c r="I10" s="38" t="s">
        <v>37</v>
      </c>
      <c r="J10" s="38" t="s">
        <v>38</v>
      </c>
      <c r="K10" s="38" t="s">
        <v>38</v>
      </c>
      <c r="L10" s="38" t="s">
        <v>25</v>
      </c>
      <c r="M10" s="38" t="s">
        <v>69</v>
      </c>
      <c r="N10" s="30"/>
      <c r="O10" s="30"/>
      <c r="P10" s="30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85</v>
      </c>
      <c r="D11" s="29" t="s">
        <v>20</v>
      </c>
      <c r="E11" s="124"/>
      <c r="F11" s="127">
        <v>46270.0</v>
      </c>
      <c r="G11" s="125">
        <v>250000.0</v>
      </c>
      <c r="H11" s="60"/>
      <c r="I11" s="38" t="s">
        <v>37</v>
      </c>
      <c r="J11" s="38" t="s">
        <v>38</v>
      </c>
      <c r="K11" s="38" t="s">
        <v>38</v>
      </c>
      <c r="L11" s="38" t="s">
        <v>25</v>
      </c>
      <c r="M11" s="38" t="s">
        <v>69</v>
      </c>
      <c r="N11" s="30"/>
      <c r="O11" s="30"/>
      <c r="P11" s="30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29" t="s">
        <v>76</v>
      </c>
      <c r="D12" s="29" t="s">
        <v>58</v>
      </c>
      <c r="E12" s="124"/>
      <c r="F12" s="51">
        <v>46270.0</v>
      </c>
      <c r="G12" s="123"/>
      <c r="H12" s="36">
        <v>250000.0</v>
      </c>
      <c r="I12" s="38" t="s">
        <v>37</v>
      </c>
      <c r="J12" s="38" t="s">
        <v>38</v>
      </c>
      <c r="K12" s="38" t="s">
        <v>39</v>
      </c>
      <c r="L12" s="38" t="s">
        <v>26</v>
      </c>
      <c r="M12" s="38" t="s">
        <v>69</v>
      </c>
      <c r="N12" s="30"/>
      <c r="O12" s="30"/>
      <c r="P12" s="30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29" t="s">
        <v>243</v>
      </c>
      <c r="D13" s="29" t="s">
        <v>20</v>
      </c>
      <c r="E13" s="14"/>
      <c r="F13" s="38" t="s">
        <v>244</v>
      </c>
      <c r="G13" s="46"/>
      <c r="H13" s="36">
        <v>100000.0</v>
      </c>
      <c r="I13" s="38" t="s">
        <v>24</v>
      </c>
      <c r="J13" s="14"/>
      <c r="K13" s="14"/>
      <c r="L13" s="38" t="s">
        <v>26</v>
      </c>
      <c r="M13" s="14"/>
      <c r="N13" s="30"/>
      <c r="O13" s="30"/>
      <c r="P13" s="30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29" t="s">
        <v>248</v>
      </c>
      <c r="D14" s="29" t="s">
        <v>51</v>
      </c>
      <c r="E14" s="14"/>
      <c r="F14" s="51">
        <v>46270.0</v>
      </c>
      <c r="G14" s="46"/>
      <c r="H14" s="36">
        <v>100000.0</v>
      </c>
      <c r="I14" s="38" t="s">
        <v>24</v>
      </c>
      <c r="J14" s="14"/>
      <c r="K14" s="14"/>
      <c r="L14" s="38" t="s">
        <v>26</v>
      </c>
      <c r="M14" s="14"/>
      <c r="N14" s="30"/>
      <c r="O14" s="30"/>
      <c r="P14" s="30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29" t="s">
        <v>254</v>
      </c>
      <c r="D15" s="29" t="s">
        <v>21</v>
      </c>
      <c r="E15" s="14"/>
      <c r="F15" s="38" t="s">
        <v>88</v>
      </c>
      <c r="G15" s="46"/>
      <c r="H15" s="36">
        <v>200000.0</v>
      </c>
      <c r="I15" s="38" t="s">
        <v>37</v>
      </c>
      <c r="J15" s="38" t="s">
        <v>38</v>
      </c>
      <c r="K15" s="38" t="s">
        <v>39</v>
      </c>
      <c r="L15" s="38" t="s">
        <v>26</v>
      </c>
      <c r="M15" s="38" t="s">
        <v>69</v>
      </c>
      <c r="N15" s="30"/>
      <c r="O15" s="30"/>
      <c r="P15" s="30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29" t="s">
        <v>257</v>
      </c>
      <c r="D16" s="29" t="s">
        <v>21</v>
      </c>
      <c r="E16" s="14"/>
      <c r="F16" s="38" t="s">
        <v>60</v>
      </c>
      <c r="G16" s="46"/>
      <c r="H16" s="36">
        <v>100000.0</v>
      </c>
      <c r="I16" s="38" t="s">
        <v>24</v>
      </c>
      <c r="J16" s="14"/>
      <c r="K16" s="14"/>
      <c r="L16" s="38" t="s">
        <v>26</v>
      </c>
      <c r="M16" s="14"/>
      <c r="N16" s="30"/>
      <c r="O16" s="30"/>
      <c r="P16" s="30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29" t="s">
        <v>259</v>
      </c>
      <c r="D17" s="29" t="s">
        <v>246</v>
      </c>
      <c r="E17" s="38" t="s">
        <v>260</v>
      </c>
      <c r="F17" s="38" t="s">
        <v>88</v>
      </c>
      <c r="G17" s="64">
        <v>50000.0</v>
      </c>
      <c r="H17" s="60"/>
      <c r="I17" s="38" t="s">
        <v>37</v>
      </c>
      <c r="J17" s="38" t="s">
        <v>38</v>
      </c>
      <c r="K17" s="38" t="s">
        <v>38</v>
      </c>
      <c r="L17" s="38" t="s">
        <v>26</v>
      </c>
      <c r="M17" s="38" t="s">
        <v>69</v>
      </c>
      <c r="N17" s="30"/>
      <c r="O17" s="30"/>
      <c r="P17" s="30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29" t="s">
        <v>248</v>
      </c>
      <c r="D18" s="29" t="s">
        <v>21</v>
      </c>
      <c r="E18" s="14"/>
      <c r="F18" s="38" t="s">
        <v>263</v>
      </c>
      <c r="G18" s="64">
        <v>75000.0</v>
      </c>
      <c r="H18" s="60"/>
      <c r="I18" s="38" t="s">
        <v>37</v>
      </c>
      <c r="J18" s="38" t="s">
        <v>38</v>
      </c>
      <c r="K18" s="38" t="s">
        <v>38</v>
      </c>
      <c r="L18" s="38" t="s">
        <v>26</v>
      </c>
      <c r="M18" s="38" t="s">
        <v>69</v>
      </c>
      <c r="N18" s="30"/>
      <c r="O18" s="30"/>
      <c r="P18" s="30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8">
        <v>16.0</v>
      </c>
      <c r="C19" s="29" t="s">
        <v>87</v>
      </c>
      <c r="D19" s="29" t="s">
        <v>21</v>
      </c>
      <c r="E19" s="14"/>
      <c r="F19" s="38" t="s">
        <v>88</v>
      </c>
      <c r="G19" s="46"/>
      <c r="H19" s="36">
        <v>200000.0</v>
      </c>
      <c r="I19" s="38" t="s">
        <v>37</v>
      </c>
      <c r="J19" s="38" t="s">
        <v>38</v>
      </c>
      <c r="K19" s="38" t="s">
        <v>38</v>
      </c>
      <c r="L19" s="38" t="s">
        <v>26</v>
      </c>
      <c r="M19" s="38" t="s">
        <v>69</v>
      </c>
      <c r="N19" s="30"/>
      <c r="O19" s="30"/>
      <c r="P19" s="30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8">
        <v>17.0</v>
      </c>
      <c r="C20" s="29" t="s">
        <v>267</v>
      </c>
      <c r="D20" s="29" t="s">
        <v>21</v>
      </c>
      <c r="E20" s="38" t="s">
        <v>269</v>
      </c>
      <c r="F20" s="38" t="s">
        <v>88</v>
      </c>
      <c r="G20" s="46"/>
      <c r="H20" s="60"/>
      <c r="I20" s="38" t="s">
        <v>37</v>
      </c>
      <c r="J20" s="38" t="s">
        <v>38</v>
      </c>
      <c r="K20" s="38" t="s">
        <v>38</v>
      </c>
      <c r="L20" s="38" t="s">
        <v>26</v>
      </c>
      <c r="M20" s="38" t="s">
        <v>69</v>
      </c>
      <c r="N20" s="30"/>
      <c r="O20" s="30"/>
      <c r="P20" s="30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8">
        <v>18.0</v>
      </c>
      <c r="C21" s="29" t="s">
        <v>272</v>
      </c>
      <c r="D21" s="29" t="s">
        <v>20</v>
      </c>
      <c r="E21" s="47"/>
      <c r="F21" s="38" t="s">
        <v>33</v>
      </c>
      <c r="G21" s="46"/>
      <c r="H21" s="36">
        <v>100000.0</v>
      </c>
      <c r="I21" s="38" t="s">
        <v>24</v>
      </c>
      <c r="J21" s="14"/>
      <c r="K21" s="14"/>
      <c r="L21" s="38" t="s">
        <v>26</v>
      </c>
      <c r="M21" s="38" t="s">
        <v>69</v>
      </c>
      <c r="N21" s="30"/>
      <c r="O21" s="30"/>
      <c r="P21" s="30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8">
        <v>19.0</v>
      </c>
      <c r="C22" s="67"/>
      <c r="D22" s="67"/>
      <c r="E22" s="14"/>
      <c r="F22" s="132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8">
        <v>10.0</v>
      </c>
      <c r="C23" s="67"/>
      <c r="D23" s="67"/>
      <c r="E23" s="14"/>
      <c r="F23" s="132"/>
      <c r="G23" s="46"/>
      <c r="H23" s="60"/>
      <c r="I23" s="14"/>
      <c r="J23" s="14"/>
      <c r="K23" s="14"/>
      <c r="L23" s="14"/>
      <c r="M23" s="14"/>
      <c r="N23" s="65"/>
      <c r="O23" s="65"/>
      <c r="P23" s="65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174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175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178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182</v>
      </c>
      <c r="O28" s="77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288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2" t="s">
        <v>188</v>
      </c>
      <c r="O29" s="84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5" t="s">
        <v>193</v>
      </c>
      <c r="O30" s="86" t="s">
        <v>69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1"/>
      <c r="D31" s="83"/>
      <c r="E31" s="75"/>
      <c r="F31" s="1"/>
      <c r="G31" s="1"/>
      <c r="H31" s="1"/>
      <c r="I31" s="1"/>
      <c r="J31" s="1"/>
      <c r="K31" s="1"/>
      <c r="L31" s="1"/>
      <c r="M31" s="1"/>
      <c r="N31" s="87" t="s">
        <v>195</v>
      </c>
      <c r="O31" s="84" t="s">
        <v>69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1"/>
      <c r="D33" s="83"/>
      <c r="E33" s="75"/>
      <c r="F33" s="1"/>
      <c r="G33" s="1"/>
      <c r="H33" s="1"/>
      <c r="I33" s="1"/>
      <c r="J33" s="1"/>
      <c r="K33" s="89" t="s">
        <v>200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202</v>
      </c>
      <c r="M34" s="90" t="s">
        <v>203</v>
      </c>
      <c r="N34" s="90" t="s">
        <v>204</v>
      </c>
      <c r="O34" s="90" t="s">
        <v>205</v>
      </c>
      <c r="P34" s="90" t="s">
        <v>206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9" t="s">
        <v>207</v>
      </c>
      <c r="AD34" s="139" t="s">
        <v>208</v>
      </c>
      <c r="AE34" s="139" t="s">
        <v>209</v>
      </c>
      <c r="AF34" s="139" t="s">
        <v>210</v>
      </c>
      <c r="AG34" s="139" t="s">
        <v>211</v>
      </c>
    </row>
    <row r="35" ht="15.75" customHeight="1">
      <c r="A35" s="1"/>
      <c r="B35" s="78">
        <v>8.0</v>
      </c>
      <c r="C35" s="81"/>
      <c r="D35" s="83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9">
        <f t="shared" ref="AC35:AC40" si="3">IF(AG35="","",IF(COUNT(L35:P35)&lt;5,"",L35/5*20+M35/5*25+N35/5*25+O35/5*15+P35/5*15))</f>
        <v>100</v>
      </c>
      <c r="AD35" s="139" t="str">
        <f t="shared" ref="AD35:AD40" si="4">IF(AC35="","",IF(AC35&gt;=90,"Sangat Baik",IF(AC35&gt;=80,"Baik",IF(AC35&gt;=70,"Coaching","Underperform"))))</f>
        <v>Sangat Baik</v>
      </c>
      <c r="AE35" s="139" t="str">
        <f t="shared" ref="AE35:AE40" si="5">IF(AG35="","",IF(OR(AG35="INDAH",AG35="ADDEL",AG35="AMEL",AG35="PENTIL",AG35="JIJANG"),"Admin/CS","Fotografer"))</f>
        <v>Admin/CS</v>
      </c>
      <c r="AF35" s="139">
        <f t="shared" ref="AF35:AF40" si="6">IF(OR(AG35="",COUNT(L35:P35)&lt;5),"",1)</f>
        <v>1</v>
      </c>
      <c r="AG35" s="139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9">
        <f t="shared" si="3"/>
        <v>100</v>
      </c>
      <c r="AD36" s="139" t="str">
        <f t="shared" si="4"/>
        <v>Sangat Baik</v>
      </c>
      <c r="AE36" s="139" t="str">
        <f t="shared" si="5"/>
        <v>Admin/CS</v>
      </c>
      <c r="AF36" s="139">
        <f t="shared" si="6"/>
        <v>1</v>
      </c>
      <c r="AG36" s="139" t="str">
        <f t="shared" si="7"/>
        <v>AMEL</v>
      </c>
    </row>
    <row r="37" ht="15.75" customHeight="1">
      <c r="A37" s="1"/>
      <c r="B37" s="78">
        <v>10.0</v>
      </c>
      <c r="C37" s="81"/>
      <c r="D37" s="83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9">
        <f t="shared" si="3"/>
        <v>100</v>
      </c>
      <c r="AD37" s="139" t="str">
        <f t="shared" si="4"/>
        <v>Sangat Baik</v>
      </c>
      <c r="AE37" s="139" t="str">
        <f t="shared" si="5"/>
        <v>Fotografer</v>
      </c>
      <c r="AF37" s="139">
        <f t="shared" si="6"/>
        <v>1</v>
      </c>
      <c r="AG37" s="139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9">
        <f t="shared" si="3"/>
        <v>100</v>
      </c>
      <c r="AD38" s="139" t="str">
        <f t="shared" si="4"/>
        <v>Sangat Baik</v>
      </c>
      <c r="AE38" s="139" t="str">
        <f t="shared" si="5"/>
        <v>Fotografer</v>
      </c>
      <c r="AF38" s="139">
        <f t="shared" si="6"/>
        <v>1</v>
      </c>
      <c r="AG38" s="139" t="str">
        <f t="shared" si="7"/>
        <v>SAKA</v>
      </c>
    </row>
    <row r="39" ht="15.75" customHeight="1">
      <c r="A39" s="1"/>
      <c r="B39" s="1"/>
      <c r="C39" s="2"/>
      <c r="D39" s="108">
        <f>SUM(D28:D38)</f>
        <v>1155000</v>
      </c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9" t="str">
        <f t="shared" si="3"/>
        <v/>
      </c>
      <c r="AD39" s="139" t="str">
        <f t="shared" si="4"/>
        <v/>
      </c>
      <c r="AE39" s="139" t="str">
        <f t="shared" si="5"/>
        <v/>
      </c>
      <c r="AF39" s="139" t="str">
        <f t="shared" si="6"/>
        <v/>
      </c>
      <c r="AG39" s="13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9" t="str">
        <f t="shared" si="3"/>
        <v/>
      </c>
      <c r="AD40" s="139" t="str">
        <f t="shared" si="4"/>
        <v/>
      </c>
      <c r="AE40" s="139" t="str">
        <f t="shared" si="5"/>
        <v/>
      </c>
      <c r="AF40" s="139" t="str">
        <f t="shared" si="6"/>
        <v/>
      </c>
      <c r="AG40" s="13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5">
        <v>3.0</v>
      </c>
      <c r="M45" s="11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5">
        <v>4.0</v>
      </c>
      <c r="M46" s="11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237</v>
      </c>
      <c r="D4" s="17" t="s">
        <v>20</v>
      </c>
      <c r="E4" s="19"/>
      <c r="F4" s="21" t="s">
        <v>61</v>
      </c>
      <c r="G4" s="23"/>
      <c r="H4" s="24">
        <v>100000.0</v>
      </c>
      <c r="I4" s="21" t="s">
        <v>24</v>
      </c>
      <c r="J4" s="27"/>
      <c r="K4" s="27"/>
      <c r="L4" s="21" t="s">
        <v>26</v>
      </c>
      <c r="M4" s="27"/>
      <c r="N4" s="26"/>
      <c r="O4" s="26"/>
      <c r="P4" s="28"/>
      <c r="Q4" s="1"/>
      <c r="R4" s="1"/>
    </row>
    <row r="5" ht="15.75" customHeight="1">
      <c r="A5" s="1"/>
      <c r="B5" s="14">
        <v>2.0</v>
      </c>
      <c r="C5" s="15" t="s">
        <v>241</v>
      </c>
      <c r="D5" s="17" t="s">
        <v>21</v>
      </c>
      <c r="E5" s="19"/>
      <c r="F5" s="21" t="s">
        <v>60</v>
      </c>
      <c r="G5" s="23"/>
      <c r="H5" s="24">
        <v>100000.0</v>
      </c>
      <c r="I5" s="21" t="s">
        <v>24</v>
      </c>
      <c r="J5" s="27"/>
      <c r="K5" s="27"/>
      <c r="L5" s="21" t="s">
        <v>26</v>
      </c>
      <c r="M5" s="27"/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242</v>
      </c>
      <c r="D6" s="17" t="s">
        <v>21</v>
      </c>
      <c r="E6" s="19"/>
      <c r="F6" s="21" t="s">
        <v>73</v>
      </c>
      <c r="G6" s="23"/>
      <c r="H6" s="24">
        <v>100000.0</v>
      </c>
      <c r="I6" s="21" t="s">
        <v>24</v>
      </c>
      <c r="J6" s="16"/>
      <c r="K6" s="16"/>
      <c r="L6" s="21" t="s">
        <v>26</v>
      </c>
      <c r="M6" s="16"/>
      <c r="N6" s="30"/>
      <c r="O6" s="30"/>
      <c r="P6" s="30"/>
      <c r="Q6" s="1"/>
      <c r="R6" s="1"/>
    </row>
    <row r="7" ht="15.75" customHeight="1">
      <c r="A7" s="1"/>
      <c r="B7" s="14">
        <v>4.0</v>
      </c>
      <c r="C7" s="41" t="s">
        <v>247</v>
      </c>
      <c r="D7" s="17" t="s">
        <v>20</v>
      </c>
      <c r="E7" s="19"/>
      <c r="F7" s="21" t="s">
        <v>41</v>
      </c>
      <c r="G7" s="39"/>
      <c r="H7" s="40">
        <v>100000.0</v>
      </c>
      <c r="I7" s="21" t="s">
        <v>24</v>
      </c>
      <c r="J7" s="16"/>
      <c r="K7" s="16"/>
      <c r="L7" s="21" t="s">
        <v>26</v>
      </c>
      <c r="M7" s="16"/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251</v>
      </c>
      <c r="D8" s="17" t="s">
        <v>252</v>
      </c>
      <c r="E8" s="129">
        <v>2.0</v>
      </c>
      <c r="F8" s="42">
        <v>46271.0</v>
      </c>
      <c r="G8" s="57">
        <v>50000.0</v>
      </c>
      <c r="H8" s="24">
        <v>50000.0</v>
      </c>
      <c r="I8" s="21" t="s">
        <v>37</v>
      </c>
      <c r="J8" s="128" t="s">
        <v>38</v>
      </c>
      <c r="K8" s="128" t="s">
        <v>38</v>
      </c>
      <c r="L8" s="21" t="s">
        <v>26</v>
      </c>
      <c r="M8" s="128" t="s">
        <v>69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15" t="s">
        <v>258</v>
      </c>
      <c r="D9" s="17" t="s">
        <v>246</v>
      </c>
      <c r="E9" s="19"/>
      <c r="F9" s="21" t="s">
        <v>73</v>
      </c>
      <c r="G9" s="39"/>
      <c r="H9" s="40">
        <v>50000.0</v>
      </c>
      <c r="I9" s="21" t="s">
        <v>37</v>
      </c>
      <c r="J9" s="16"/>
      <c r="K9" s="16"/>
      <c r="L9" s="21" t="s">
        <v>26</v>
      </c>
      <c r="M9" s="16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5" t="s">
        <v>261</v>
      </c>
      <c r="D10" s="17" t="s">
        <v>20</v>
      </c>
      <c r="E10" s="18"/>
      <c r="F10" s="21" t="s">
        <v>61</v>
      </c>
      <c r="G10" s="39"/>
      <c r="H10" s="40">
        <v>100000.0</v>
      </c>
      <c r="I10" s="21" t="s">
        <v>24</v>
      </c>
      <c r="J10" s="16"/>
      <c r="K10" s="16"/>
      <c r="L10" s="21" t="s">
        <v>26</v>
      </c>
      <c r="M10" s="16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265</v>
      </c>
      <c r="D11" s="15" t="s">
        <v>20</v>
      </c>
      <c r="E11" s="16"/>
      <c r="F11" s="38" t="s">
        <v>60</v>
      </c>
      <c r="G11" s="46"/>
      <c r="H11" s="36">
        <v>100000.0</v>
      </c>
      <c r="I11" s="38" t="s">
        <v>24</v>
      </c>
      <c r="J11" s="14"/>
      <c r="K11" s="14"/>
      <c r="L11" s="21" t="s">
        <v>26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270</v>
      </c>
      <c r="D12" s="15" t="s">
        <v>20</v>
      </c>
      <c r="E12" s="16"/>
      <c r="F12" s="38" t="s">
        <v>129</v>
      </c>
      <c r="G12" s="46"/>
      <c r="H12" s="36">
        <v>100000.0</v>
      </c>
      <c r="I12" s="38" t="s">
        <v>24</v>
      </c>
      <c r="J12" s="14"/>
      <c r="K12" s="14"/>
      <c r="L12" s="38" t="s">
        <v>26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273</v>
      </c>
      <c r="D13" s="15" t="s">
        <v>20</v>
      </c>
      <c r="E13" s="16"/>
      <c r="F13" s="38" t="s">
        <v>198</v>
      </c>
      <c r="G13" s="46"/>
      <c r="H13" s="36">
        <v>100000.0</v>
      </c>
      <c r="I13" s="38" t="s">
        <v>24</v>
      </c>
      <c r="J13" s="14"/>
      <c r="K13" s="14"/>
      <c r="L13" s="38" t="s">
        <v>26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257</v>
      </c>
      <c r="D14" s="15" t="s">
        <v>21</v>
      </c>
      <c r="E14" s="16"/>
      <c r="F14" s="38" t="s">
        <v>60</v>
      </c>
      <c r="G14" s="46"/>
      <c r="H14" s="36">
        <v>525000.0</v>
      </c>
      <c r="I14" s="38" t="s">
        <v>37</v>
      </c>
      <c r="J14" s="38" t="s">
        <v>38</v>
      </c>
      <c r="K14" s="38" t="s">
        <v>38</v>
      </c>
      <c r="L14" s="38" t="s">
        <v>26</v>
      </c>
      <c r="M14" s="38" t="s">
        <v>69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278</v>
      </c>
      <c r="D15" s="15" t="s">
        <v>58</v>
      </c>
      <c r="E15" s="16"/>
      <c r="F15" s="38" t="s">
        <v>60</v>
      </c>
      <c r="G15" s="46"/>
      <c r="H15" s="36">
        <v>250000.0</v>
      </c>
      <c r="I15" s="38" t="s">
        <v>37</v>
      </c>
      <c r="J15" s="38" t="s">
        <v>38</v>
      </c>
      <c r="K15" s="38" t="s">
        <v>38</v>
      </c>
      <c r="L15" s="38" t="s">
        <v>26</v>
      </c>
      <c r="M15" s="38" t="s">
        <v>69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279</v>
      </c>
      <c r="D16" s="15" t="s">
        <v>58</v>
      </c>
      <c r="E16" s="16"/>
      <c r="F16" s="38" t="s">
        <v>60</v>
      </c>
      <c r="G16" s="46"/>
      <c r="H16" s="36">
        <v>200000.0</v>
      </c>
      <c r="I16" s="38" t="s">
        <v>37</v>
      </c>
      <c r="J16" s="38" t="s">
        <v>38</v>
      </c>
      <c r="K16" s="38" t="s">
        <v>38</v>
      </c>
      <c r="L16" s="38" t="s">
        <v>26</v>
      </c>
      <c r="M16" s="38" t="s">
        <v>40</v>
      </c>
      <c r="N16" s="30"/>
      <c r="O16" s="30"/>
      <c r="P16" s="30"/>
      <c r="Q16" s="1"/>
      <c r="R16" s="1"/>
    </row>
    <row r="17" ht="15.75" customHeight="1">
      <c r="A17" s="1"/>
      <c r="B17" s="38">
        <v>14.0</v>
      </c>
      <c r="C17" s="29" t="s">
        <v>241</v>
      </c>
      <c r="D17" s="15" t="s">
        <v>21</v>
      </c>
      <c r="E17" s="16"/>
      <c r="F17" s="38" t="s">
        <v>60</v>
      </c>
      <c r="G17" s="46"/>
      <c r="H17" s="36">
        <v>150000.0</v>
      </c>
      <c r="I17" s="38" t="s">
        <v>37</v>
      </c>
      <c r="J17" s="38" t="s">
        <v>38</v>
      </c>
      <c r="K17" s="38" t="s">
        <v>38</v>
      </c>
      <c r="L17" s="38" t="s">
        <v>26</v>
      </c>
      <c r="M17" s="38" t="s">
        <v>40</v>
      </c>
      <c r="N17" s="30"/>
      <c r="O17" s="30"/>
      <c r="P17" s="30"/>
      <c r="Q17" s="1"/>
      <c r="R17" s="1"/>
    </row>
    <row r="18" ht="15.75" customHeight="1">
      <c r="A18" s="1"/>
      <c r="B18" s="38">
        <v>15.0</v>
      </c>
      <c r="C18" s="29" t="s">
        <v>90</v>
      </c>
      <c r="D18" s="15" t="s">
        <v>20</v>
      </c>
      <c r="E18" s="16"/>
      <c r="F18" s="38" t="s">
        <v>61</v>
      </c>
      <c r="G18" s="46"/>
      <c r="H18" s="36">
        <v>250000.0</v>
      </c>
      <c r="I18" s="38" t="s">
        <v>37</v>
      </c>
      <c r="J18" s="38"/>
      <c r="K18" s="38"/>
      <c r="L18" s="38" t="s">
        <v>26</v>
      </c>
      <c r="M18" s="38"/>
      <c r="N18" s="30"/>
      <c r="O18" s="30"/>
      <c r="P18" s="30"/>
      <c r="Q18" s="1"/>
      <c r="R18" s="1"/>
    </row>
    <row r="19" ht="15.75" customHeight="1">
      <c r="A19" s="1"/>
      <c r="B19" s="38">
        <v>16.0</v>
      </c>
      <c r="C19" s="29" t="s">
        <v>281</v>
      </c>
      <c r="D19" s="15" t="s">
        <v>93</v>
      </c>
      <c r="E19" s="16"/>
      <c r="F19" s="38" t="s">
        <v>60</v>
      </c>
      <c r="G19" s="46"/>
      <c r="H19" s="36">
        <v>400000.0</v>
      </c>
      <c r="I19" s="38" t="s">
        <v>37</v>
      </c>
      <c r="J19" s="38" t="s">
        <v>38</v>
      </c>
      <c r="K19" s="38" t="s">
        <v>39</v>
      </c>
      <c r="L19" s="38" t="s">
        <v>26</v>
      </c>
      <c r="M19" s="38" t="s">
        <v>40</v>
      </c>
      <c r="N19" s="30"/>
      <c r="O19" s="30"/>
      <c r="P19" s="30"/>
      <c r="Q19" s="1"/>
      <c r="R19" s="1"/>
    </row>
    <row r="20" ht="15.75" customHeight="1">
      <c r="A20" s="1"/>
      <c r="B20" s="38">
        <v>17.0</v>
      </c>
      <c r="C20" s="29" t="s">
        <v>284</v>
      </c>
      <c r="D20" s="15" t="s">
        <v>20</v>
      </c>
      <c r="E20" s="16"/>
      <c r="F20" s="38" t="s">
        <v>61</v>
      </c>
      <c r="G20" s="46"/>
      <c r="H20" s="36">
        <v>100000.0</v>
      </c>
      <c r="I20" s="38" t="s">
        <v>24</v>
      </c>
      <c r="J20" s="38"/>
      <c r="K20" s="38"/>
      <c r="L20" s="38" t="s">
        <v>26</v>
      </c>
      <c r="M20" s="38"/>
      <c r="N20" s="30"/>
      <c r="O20" s="30"/>
      <c r="P20" s="30"/>
      <c r="Q20" s="1"/>
      <c r="R20" s="1"/>
    </row>
    <row r="21" ht="15.75" customHeight="1">
      <c r="A21" s="1"/>
      <c r="B21" s="38">
        <v>18.0</v>
      </c>
      <c r="C21" s="29" t="s">
        <v>277</v>
      </c>
      <c r="D21" s="15" t="s">
        <v>20</v>
      </c>
      <c r="E21" s="16"/>
      <c r="F21" s="38" t="s">
        <v>73</v>
      </c>
      <c r="G21" s="46"/>
      <c r="H21" s="36">
        <v>100000.0</v>
      </c>
      <c r="I21" s="38" t="s">
        <v>24</v>
      </c>
      <c r="J21" s="38"/>
      <c r="K21" s="38"/>
      <c r="L21" s="38" t="s">
        <v>26</v>
      </c>
      <c r="M21" s="38"/>
      <c r="N21" s="30"/>
      <c r="O21" s="30"/>
      <c r="P21" s="30"/>
      <c r="Q21" s="1"/>
      <c r="R21" s="1"/>
    </row>
    <row r="22" ht="15.75" customHeight="1">
      <c r="A22" s="1"/>
      <c r="B22" s="38">
        <v>19.0</v>
      </c>
      <c r="C22" s="29" t="s">
        <v>117</v>
      </c>
      <c r="D22" s="15" t="s">
        <v>21</v>
      </c>
      <c r="E22" s="16"/>
      <c r="F22" s="38" t="s">
        <v>60</v>
      </c>
      <c r="G22" s="46"/>
      <c r="H22" s="36">
        <v>350000.0</v>
      </c>
      <c r="I22" s="38" t="s">
        <v>37</v>
      </c>
      <c r="J22" s="38" t="s">
        <v>38</v>
      </c>
      <c r="K22" s="38" t="s">
        <v>39</v>
      </c>
      <c r="L22" s="38" t="s">
        <v>26</v>
      </c>
      <c r="M22" s="38" t="s">
        <v>40</v>
      </c>
      <c r="N22" s="30"/>
      <c r="O22" s="30"/>
      <c r="P22" s="30"/>
      <c r="Q22" s="1"/>
      <c r="R22" s="1"/>
    </row>
    <row r="23" ht="15.75" customHeight="1">
      <c r="A23" s="1"/>
      <c r="B23" s="38">
        <v>20.0</v>
      </c>
      <c r="C23" s="29" t="s">
        <v>286</v>
      </c>
      <c r="D23" s="15" t="s">
        <v>21</v>
      </c>
      <c r="E23" s="16"/>
      <c r="F23" s="38" t="s">
        <v>60</v>
      </c>
      <c r="G23" s="64">
        <v>125000.0</v>
      </c>
      <c r="H23" s="60"/>
      <c r="I23" s="38" t="s">
        <v>37</v>
      </c>
      <c r="J23" s="38" t="s">
        <v>38</v>
      </c>
      <c r="K23" s="38" t="s">
        <v>38</v>
      </c>
      <c r="L23" s="38" t="s">
        <v>26</v>
      </c>
      <c r="M23" s="38" t="s">
        <v>40</v>
      </c>
      <c r="N23" s="30"/>
      <c r="O23" s="30"/>
      <c r="P23" s="30"/>
      <c r="Q23" s="1"/>
      <c r="R23" s="1"/>
    </row>
    <row r="24" ht="15.75" customHeight="1">
      <c r="A24" s="1"/>
      <c r="B24" s="38">
        <v>21.0</v>
      </c>
      <c r="C24" s="67"/>
      <c r="D24" s="91"/>
      <c r="E24" s="16"/>
      <c r="F24" s="14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38">
        <v>22.0</v>
      </c>
      <c r="C25" s="67"/>
      <c r="D25" s="91"/>
      <c r="E25" s="16"/>
      <c r="F25" s="14"/>
      <c r="G25" s="46"/>
      <c r="H25" s="6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178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103"/>
      <c r="D31" s="104"/>
      <c r="E31" s="75"/>
      <c r="F31" s="1"/>
      <c r="G31" s="1"/>
      <c r="H31" s="1"/>
      <c r="I31" s="1"/>
      <c r="J31" s="1"/>
      <c r="K31" s="1"/>
      <c r="L31" s="1"/>
      <c r="M31" s="1"/>
      <c r="N31" s="82" t="s">
        <v>188</v>
      </c>
      <c r="O31" s="84" t="s">
        <v>26</v>
      </c>
      <c r="P31" s="1"/>
      <c r="Q31" s="1"/>
      <c r="R31" s="1"/>
    </row>
    <row r="32" ht="15.75" customHeight="1">
      <c r="A32" s="1"/>
      <c r="B32" s="72">
        <v>3.0</v>
      </c>
      <c r="C32" s="140"/>
      <c r="D32" s="141"/>
      <c r="E32" s="75"/>
      <c r="F32" s="1"/>
      <c r="G32" s="1"/>
      <c r="H32" s="1"/>
      <c r="I32" s="1"/>
      <c r="J32" s="1"/>
      <c r="K32" s="1"/>
      <c r="L32" s="1"/>
      <c r="M32" s="1"/>
      <c r="N32" s="85" t="s">
        <v>193</v>
      </c>
      <c r="O32" s="86" t="s">
        <v>69</v>
      </c>
      <c r="P32" s="1"/>
      <c r="Q32" s="1"/>
      <c r="R32" s="1"/>
    </row>
    <row r="33" ht="15.75" customHeight="1">
      <c r="A33" s="1"/>
      <c r="B33" s="78">
        <v>4.0</v>
      </c>
      <c r="C33" s="81"/>
      <c r="D33" s="83"/>
      <c r="E33" s="75"/>
      <c r="F33" s="1"/>
      <c r="G33" s="1"/>
      <c r="H33" s="1"/>
      <c r="I33" s="1"/>
      <c r="J33" s="1"/>
      <c r="K33" s="1"/>
      <c r="L33" s="1"/>
      <c r="M33" s="1"/>
      <c r="N33" s="87" t="s">
        <v>195</v>
      </c>
      <c r="O33" s="84" t="s">
        <v>40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1"/>
      <c r="D35" s="83"/>
      <c r="E35" s="75"/>
      <c r="F35" s="1"/>
      <c r="G35" s="1"/>
      <c r="H35" s="1"/>
      <c r="I35" s="1"/>
      <c r="J35" s="1"/>
      <c r="K35" s="89" t="s">
        <v>200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202</v>
      </c>
      <c r="M36" s="90" t="s">
        <v>203</v>
      </c>
      <c r="N36" s="90" t="s">
        <v>204</v>
      </c>
      <c r="O36" s="90" t="s">
        <v>205</v>
      </c>
      <c r="P36" s="90" t="s">
        <v>206</v>
      </c>
      <c r="Q36" s="1"/>
      <c r="R36" s="1"/>
      <c r="AC36" s="92" t="s">
        <v>207</v>
      </c>
      <c r="AD36" s="92" t="s">
        <v>208</v>
      </c>
      <c r="AE36" s="92" t="s">
        <v>209</v>
      </c>
      <c r="AF36" s="92" t="s">
        <v>210</v>
      </c>
      <c r="AG36" s="92" t="s">
        <v>211</v>
      </c>
    </row>
    <row r="37" ht="15.75" customHeight="1">
      <c r="A37" s="1"/>
      <c r="B37" s="78">
        <v>8.0</v>
      </c>
      <c r="C37" s="81"/>
      <c r="D37" s="83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1"/>
      <c r="D39" s="83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175000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>
        <v>10.0</v>
      </c>
      <c r="M47" s="114"/>
    </row>
    <row r="48" ht="15.75" customHeight="1">
      <c r="K48" s="113" t="str">
        <f t="shared" si="8"/>
        <v>AMEL</v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240</v>
      </c>
      <c r="D4" s="17" t="s">
        <v>20</v>
      </c>
      <c r="E4" s="19"/>
      <c r="F4" s="21" t="s">
        <v>61</v>
      </c>
      <c r="G4" s="23"/>
      <c r="H4" s="24">
        <v>250000.0</v>
      </c>
      <c r="I4" s="21" t="s">
        <v>37</v>
      </c>
      <c r="J4" s="27"/>
      <c r="K4" s="27"/>
      <c r="L4" s="21" t="s">
        <v>26</v>
      </c>
      <c r="M4" s="27"/>
      <c r="N4" s="26"/>
      <c r="O4" s="26"/>
      <c r="P4" s="28"/>
      <c r="Q4" s="1"/>
      <c r="R4" s="1"/>
    </row>
    <row r="5" ht="15.75" customHeight="1">
      <c r="A5" s="1"/>
      <c r="B5" s="14">
        <v>2.0</v>
      </c>
      <c r="C5" s="15" t="s">
        <v>245</v>
      </c>
      <c r="D5" s="17" t="s">
        <v>246</v>
      </c>
      <c r="E5" s="19"/>
      <c r="F5" s="21" t="s">
        <v>73</v>
      </c>
      <c r="G5" s="23"/>
      <c r="H5" s="24" t="s">
        <v>55</v>
      </c>
      <c r="I5" s="21" t="s">
        <v>37</v>
      </c>
      <c r="J5" s="128" t="s">
        <v>38</v>
      </c>
      <c r="K5" s="128" t="s">
        <v>39</v>
      </c>
      <c r="L5" s="21" t="s">
        <v>26</v>
      </c>
      <c r="M5" s="128" t="s">
        <v>40</v>
      </c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249</v>
      </c>
      <c r="D6" s="17" t="s">
        <v>250</v>
      </c>
      <c r="E6" s="43"/>
      <c r="F6" s="21" t="s">
        <v>253</v>
      </c>
      <c r="G6" s="39"/>
      <c r="H6" s="24">
        <v>25000.0</v>
      </c>
      <c r="I6" s="21" t="s">
        <v>37</v>
      </c>
      <c r="J6" s="21" t="s">
        <v>38</v>
      </c>
      <c r="K6" s="21" t="s">
        <v>38</v>
      </c>
      <c r="L6" s="21" t="s">
        <v>26</v>
      </c>
      <c r="M6" s="16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255</v>
      </c>
      <c r="D7" s="17" t="s">
        <v>20</v>
      </c>
      <c r="E7" s="129" t="s">
        <v>256</v>
      </c>
      <c r="F7" s="21" t="s">
        <v>73</v>
      </c>
      <c r="G7" s="57">
        <v>455000.0</v>
      </c>
      <c r="H7" s="50"/>
      <c r="I7" s="21" t="s">
        <v>37</v>
      </c>
      <c r="J7" s="128" t="s">
        <v>38</v>
      </c>
      <c r="K7" s="128" t="s">
        <v>39</v>
      </c>
      <c r="L7" s="21" t="s">
        <v>26</v>
      </c>
      <c r="M7" s="128" t="s">
        <v>40</v>
      </c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171</v>
      </c>
      <c r="D8" s="17" t="s">
        <v>20</v>
      </c>
      <c r="E8" s="19"/>
      <c r="F8" s="25">
        <v>46298.0</v>
      </c>
      <c r="G8" s="23"/>
      <c r="H8" s="24">
        <v>100000.0</v>
      </c>
      <c r="I8" s="38" t="s">
        <v>24</v>
      </c>
      <c r="J8" s="14"/>
      <c r="K8" s="14"/>
      <c r="L8" s="38" t="s">
        <v>25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15" t="s">
        <v>262</v>
      </c>
      <c r="D9" s="17" t="s">
        <v>20</v>
      </c>
      <c r="E9" s="19"/>
      <c r="F9" s="25">
        <v>46272.0</v>
      </c>
      <c r="G9" s="57">
        <v>250000.0</v>
      </c>
      <c r="H9" s="50"/>
      <c r="I9" s="38" t="s">
        <v>37</v>
      </c>
      <c r="J9" s="38" t="s">
        <v>38</v>
      </c>
      <c r="K9" s="38" t="s">
        <v>39</v>
      </c>
      <c r="L9" s="38" t="s">
        <v>25</v>
      </c>
      <c r="M9" s="38" t="s">
        <v>69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5" t="s">
        <v>264</v>
      </c>
      <c r="D10" s="17" t="s">
        <v>21</v>
      </c>
      <c r="E10" s="37"/>
      <c r="F10" s="25">
        <v>46276.0</v>
      </c>
      <c r="G10" s="23"/>
      <c r="H10" s="24">
        <v>100000.0</v>
      </c>
      <c r="I10" s="38" t="s">
        <v>24</v>
      </c>
      <c r="J10" s="14"/>
      <c r="K10" s="14"/>
      <c r="L10" s="38" t="s">
        <v>25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15" t="s">
        <v>266</v>
      </c>
      <c r="D11" s="17" t="s">
        <v>250</v>
      </c>
      <c r="E11" s="130" t="s">
        <v>268</v>
      </c>
      <c r="F11" s="25">
        <v>46267.0</v>
      </c>
      <c r="G11" s="23"/>
      <c r="H11" s="24">
        <v>75000.0</v>
      </c>
      <c r="I11" s="38" t="s">
        <v>37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15" t="s">
        <v>271</v>
      </c>
      <c r="D12" s="17" t="s">
        <v>71</v>
      </c>
      <c r="E12" s="19"/>
      <c r="F12" s="25">
        <v>46272.0</v>
      </c>
      <c r="G12" s="57">
        <v>0.0</v>
      </c>
      <c r="H12" s="24">
        <v>0.0</v>
      </c>
      <c r="I12" s="38" t="s">
        <v>37</v>
      </c>
      <c r="J12" s="38" t="s">
        <v>38</v>
      </c>
      <c r="K12" s="38" t="s">
        <v>39</v>
      </c>
      <c r="L12" s="38" t="s">
        <v>25</v>
      </c>
      <c r="M12" s="38" t="s">
        <v>69</v>
      </c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15" t="s">
        <v>108</v>
      </c>
      <c r="D13" s="17" t="s">
        <v>21</v>
      </c>
      <c r="E13" s="19"/>
      <c r="F13" s="25">
        <v>46272.0</v>
      </c>
      <c r="G13" s="23"/>
      <c r="H13" s="24">
        <v>125000.0</v>
      </c>
      <c r="I13" s="38" t="s">
        <v>37</v>
      </c>
      <c r="J13" s="38" t="s">
        <v>38</v>
      </c>
      <c r="K13" s="38" t="s">
        <v>38</v>
      </c>
      <c r="L13" s="38" t="s">
        <v>25</v>
      </c>
      <c r="M13" s="38" t="s">
        <v>69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15" t="s">
        <v>275</v>
      </c>
      <c r="D14" s="17" t="s">
        <v>20</v>
      </c>
      <c r="E14" s="19"/>
      <c r="F14" s="25">
        <v>46273.0</v>
      </c>
      <c r="G14" s="23"/>
      <c r="H14" s="24">
        <v>350000.0</v>
      </c>
      <c r="I14" s="38" t="s">
        <v>37</v>
      </c>
      <c r="J14" s="14"/>
      <c r="K14" s="14"/>
      <c r="L14" s="38" t="s">
        <v>25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15" t="s">
        <v>276</v>
      </c>
      <c r="D15" s="17" t="s">
        <v>20</v>
      </c>
      <c r="E15" s="19"/>
      <c r="F15" s="25">
        <v>46276.0</v>
      </c>
      <c r="G15" s="23"/>
      <c r="H15" s="24">
        <v>100000.0</v>
      </c>
      <c r="I15" s="38" t="s">
        <v>24</v>
      </c>
      <c r="J15" s="14"/>
      <c r="K15" s="14"/>
      <c r="L15" s="38" t="s">
        <v>25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15" t="s">
        <v>277</v>
      </c>
      <c r="D16" s="17" t="s">
        <v>20</v>
      </c>
      <c r="E16" s="19"/>
      <c r="F16" s="25">
        <v>46272.0</v>
      </c>
      <c r="G16" s="23"/>
      <c r="H16" s="24">
        <v>250000.0</v>
      </c>
      <c r="I16" s="38" t="s">
        <v>37</v>
      </c>
      <c r="J16" s="38" t="s">
        <v>38</v>
      </c>
      <c r="K16" s="38" t="s">
        <v>39</v>
      </c>
      <c r="L16" s="38" t="s">
        <v>25</v>
      </c>
      <c r="M16" s="38" t="s">
        <v>69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91"/>
      <c r="D17" s="133"/>
      <c r="E17" s="18"/>
      <c r="F17" s="134"/>
      <c r="G17" s="39"/>
      <c r="H17" s="135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4"/>
      <c r="G18" s="46"/>
      <c r="H18" s="60"/>
      <c r="I18" s="14"/>
      <c r="J18" s="14"/>
      <c r="K18" s="14"/>
      <c r="L18" s="14"/>
      <c r="M18" s="14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175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178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182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96" t="s">
        <v>290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2" t="s">
        <v>188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98" t="s">
        <v>292</v>
      </c>
      <c r="D25" s="9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5" t="s">
        <v>193</v>
      </c>
      <c r="O25" s="86" t="s">
        <v>40</v>
      </c>
      <c r="P25" s="1"/>
      <c r="Q25" s="1"/>
      <c r="R25" s="1"/>
    </row>
    <row r="26" ht="15.75" customHeight="1">
      <c r="A26" s="1"/>
      <c r="B26" s="78">
        <v>4.0</v>
      </c>
      <c r="C26" s="79" t="s">
        <v>293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195</v>
      </c>
      <c r="O26" s="84" t="s">
        <v>69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2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1"/>
      <c r="D28" s="83"/>
      <c r="E28" s="75"/>
      <c r="F28" s="1"/>
      <c r="G28" s="1"/>
      <c r="H28" s="1"/>
      <c r="I28" s="1"/>
      <c r="J28" s="1"/>
      <c r="K28" s="89" t="s">
        <v>200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202</v>
      </c>
      <c r="M29" s="90" t="s">
        <v>203</v>
      </c>
      <c r="N29" s="90" t="s">
        <v>204</v>
      </c>
      <c r="O29" s="90" t="s">
        <v>205</v>
      </c>
      <c r="P29" s="90" t="s">
        <v>206</v>
      </c>
      <c r="Q29" s="1"/>
      <c r="R29" s="1"/>
      <c r="AC29" s="92" t="s">
        <v>207</v>
      </c>
      <c r="AD29" s="92" t="s">
        <v>208</v>
      </c>
      <c r="AE29" s="92" t="s">
        <v>209</v>
      </c>
      <c r="AF29" s="92" t="s">
        <v>210</v>
      </c>
      <c r="AG29" s="92" t="s">
        <v>211</v>
      </c>
    </row>
    <row r="30" ht="15.75" customHeight="1">
      <c r="A30" s="1"/>
      <c r="B30" s="78">
        <v>8.0</v>
      </c>
      <c r="C30" s="81"/>
      <c r="D30" s="83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93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1"/>
      <c r="D32" s="83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8">
        <f>SUM(D23:D33)</f>
        <v>494000</v>
      </c>
      <c r="E34" s="1"/>
      <c r="F34" s="1"/>
      <c r="G34" s="1"/>
      <c r="H34" s="1"/>
      <c r="I34" s="1"/>
      <c r="J34" s="1"/>
      <c r="K34" s="93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/>
      <c r="M40" s="114"/>
    </row>
    <row r="41" ht="15.75" customHeight="1">
      <c r="K41" s="113" t="str">
        <f t="shared" si="8"/>
        <v>INDAH</v>
      </c>
      <c r="L41" s="115">
        <v>4.0</v>
      </c>
      <c r="M41" s="114"/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274</v>
      </c>
      <c r="D4" s="17" t="s">
        <v>93</v>
      </c>
      <c r="E4" s="18"/>
      <c r="F4" s="20">
        <v>46287.0</v>
      </c>
      <c r="G4" s="22"/>
      <c r="H4" s="131">
        <v>100000.0</v>
      </c>
      <c r="I4" s="21" t="s">
        <v>24</v>
      </c>
      <c r="J4" s="16"/>
      <c r="K4" s="16"/>
      <c r="L4" s="21" t="s">
        <v>25</v>
      </c>
      <c r="M4" s="16"/>
      <c r="N4" s="26"/>
      <c r="O4" s="26"/>
      <c r="P4" s="28"/>
      <c r="Q4" s="1"/>
      <c r="R4" s="1"/>
    </row>
    <row r="5" ht="15.75" customHeight="1">
      <c r="A5" s="1"/>
      <c r="B5" s="14">
        <v>2.0</v>
      </c>
      <c r="C5" s="15" t="s">
        <v>280</v>
      </c>
      <c r="D5" s="17" t="s">
        <v>20</v>
      </c>
      <c r="E5" s="18"/>
      <c r="F5" s="20">
        <v>46274.0</v>
      </c>
      <c r="G5" s="22"/>
      <c r="H5" s="131">
        <v>100000.0</v>
      </c>
      <c r="I5" s="21" t="s">
        <v>24</v>
      </c>
      <c r="J5" s="16"/>
      <c r="K5" s="16"/>
      <c r="L5" s="21" t="s">
        <v>25</v>
      </c>
      <c r="M5" s="16"/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280</v>
      </c>
      <c r="D6" s="17" t="s">
        <v>93</v>
      </c>
      <c r="E6" s="18"/>
      <c r="F6" s="25">
        <v>46274.0</v>
      </c>
      <c r="G6" s="22"/>
      <c r="H6" s="131">
        <v>400000.0</v>
      </c>
      <c r="I6" s="21" t="s">
        <v>37</v>
      </c>
      <c r="J6" s="16"/>
      <c r="K6" s="16"/>
      <c r="L6" s="21" t="s">
        <v>25</v>
      </c>
      <c r="M6" s="16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282</v>
      </c>
      <c r="D7" s="17" t="s">
        <v>20</v>
      </c>
      <c r="E7" s="18"/>
      <c r="F7" s="25">
        <v>46284.0</v>
      </c>
      <c r="G7" s="22"/>
      <c r="H7" s="131">
        <v>100000.0</v>
      </c>
      <c r="I7" s="21" t="s">
        <v>24</v>
      </c>
      <c r="J7" s="16"/>
      <c r="K7" s="16"/>
      <c r="L7" s="21" t="s">
        <v>25</v>
      </c>
      <c r="M7" s="16"/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283</v>
      </c>
      <c r="D8" s="17" t="s">
        <v>20</v>
      </c>
      <c r="E8" s="18"/>
      <c r="F8" s="21" t="s">
        <v>33</v>
      </c>
      <c r="G8" s="32"/>
      <c r="H8" s="136">
        <v>350000.0</v>
      </c>
      <c r="I8" s="21" t="s">
        <v>37</v>
      </c>
      <c r="J8" s="16"/>
      <c r="K8" s="16"/>
      <c r="L8" s="21" t="s">
        <v>26</v>
      </c>
      <c r="M8" s="16"/>
      <c r="N8" s="30"/>
      <c r="O8" s="30"/>
      <c r="P8" s="30"/>
      <c r="Q8" s="1"/>
      <c r="R8" s="1"/>
      <c r="S8" s="21"/>
    </row>
    <row r="9" ht="15.75" customHeight="1">
      <c r="A9" s="1"/>
      <c r="B9" s="14">
        <v>6.0</v>
      </c>
      <c r="C9" s="15" t="s">
        <v>31</v>
      </c>
      <c r="D9" s="17" t="s">
        <v>20</v>
      </c>
      <c r="E9" s="43"/>
      <c r="F9" s="21" t="s">
        <v>61</v>
      </c>
      <c r="G9" s="22"/>
      <c r="H9" s="131">
        <v>310000.0</v>
      </c>
      <c r="I9" s="21" t="s">
        <v>37</v>
      </c>
      <c r="J9" s="16"/>
      <c r="K9" s="16"/>
      <c r="L9" s="21" t="s">
        <v>26</v>
      </c>
      <c r="M9" s="21" t="s">
        <v>69</v>
      </c>
      <c r="N9" s="30"/>
      <c r="O9" s="30"/>
      <c r="P9" s="30"/>
      <c r="Q9" s="1"/>
      <c r="R9" s="1"/>
      <c r="S9" s="21"/>
    </row>
    <row r="10" ht="15.75" customHeight="1">
      <c r="A10" s="1"/>
      <c r="B10" s="14">
        <v>7.0</v>
      </c>
      <c r="C10" s="15" t="s">
        <v>285</v>
      </c>
      <c r="D10" s="17" t="s">
        <v>93</v>
      </c>
      <c r="E10" s="43"/>
      <c r="F10" s="21" t="s">
        <v>61</v>
      </c>
      <c r="G10" s="22"/>
      <c r="H10" s="131">
        <v>500000.0</v>
      </c>
      <c r="I10" s="16"/>
      <c r="J10" s="16"/>
      <c r="K10" s="16"/>
      <c r="L10" s="21" t="s">
        <v>287</v>
      </c>
      <c r="M10" s="21" t="s">
        <v>69</v>
      </c>
      <c r="N10" s="30"/>
      <c r="O10" s="30"/>
      <c r="P10" s="30"/>
      <c r="Q10" s="1"/>
      <c r="R10" s="1"/>
      <c r="S10" s="21"/>
      <c r="U10" s="21"/>
    </row>
    <row r="11" ht="15.75" customHeight="1">
      <c r="A11" s="1"/>
      <c r="B11" s="14">
        <v>8.0</v>
      </c>
      <c r="C11" s="15" t="s">
        <v>261</v>
      </c>
      <c r="D11" s="17" t="s">
        <v>20</v>
      </c>
      <c r="E11" s="18"/>
      <c r="F11" s="21" t="s">
        <v>61</v>
      </c>
      <c r="G11" s="22"/>
      <c r="H11" s="131">
        <v>310000.0</v>
      </c>
      <c r="I11" s="16"/>
      <c r="J11" s="16"/>
      <c r="K11" s="16"/>
      <c r="L11" s="21" t="s">
        <v>287</v>
      </c>
      <c r="M11" s="21" t="s">
        <v>53</v>
      </c>
      <c r="N11" s="30"/>
      <c r="O11" s="30"/>
      <c r="P11" s="30"/>
      <c r="Q11" s="1"/>
      <c r="R11" s="1"/>
      <c r="S11" s="21"/>
      <c r="U11" s="21"/>
    </row>
    <row r="12" ht="15.75" customHeight="1">
      <c r="A12" s="1"/>
      <c r="B12" s="14">
        <v>9.0</v>
      </c>
      <c r="C12" s="15" t="s">
        <v>289</v>
      </c>
      <c r="D12" s="17" t="s">
        <v>20</v>
      </c>
      <c r="E12" s="18"/>
      <c r="F12" s="21" t="s">
        <v>61</v>
      </c>
      <c r="G12" s="137">
        <v>250000.0</v>
      </c>
      <c r="H12" s="138"/>
      <c r="I12" s="16"/>
      <c r="J12" s="16"/>
      <c r="K12" s="16"/>
      <c r="L12" s="21" t="s">
        <v>287</v>
      </c>
      <c r="M12" s="21" t="s">
        <v>69</v>
      </c>
      <c r="N12" s="30"/>
      <c r="O12" s="30"/>
      <c r="P12" s="30"/>
      <c r="Q12" s="1"/>
      <c r="R12" s="1"/>
      <c r="S12" s="21"/>
      <c r="U12" s="21"/>
    </row>
    <row r="13" ht="15.75" customHeight="1">
      <c r="A13" s="1"/>
      <c r="B13" s="14">
        <v>10.0</v>
      </c>
      <c r="C13" s="34" t="s">
        <v>291</v>
      </c>
      <c r="D13" s="17" t="s">
        <v>20</v>
      </c>
      <c r="E13" s="18"/>
      <c r="F13" s="21" t="s">
        <v>61</v>
      </c>
      <c r="G13" s="137">
        <v>250000.0</v>
      </c>
      <c r="H13" s="131"/>
      <c r="I13" s="21"/>
      <c r="J13" s="21"/>
      <c r="K13" s="21"/>
      <c r="L13" s="21" t="s">
        <v>287</v>
      </c>
      <c r="M13" s="21" t="s">
        <v>69</v>
      </c>
      <c r="N13" s="30"/>
      <c r="O13" s="30"/>
      <c r="P13" s="30"/>
      <c r="Q13" s="1"/>
      <c r="R13" s="1"/>
      <c r="S13" s="21"/>
      <c r="U13" s="21"/>
    </row>
    <row r="14" ht="15.75" customHeight="1">
      <c r="A14" s="1"/>
      <c r="B14" s="14">
        <v>11.0</v>
      </c>
      <c r="C14" s="15" t="s">
        <v>108</v>
      </c>
      <c r="D14" s="17" t="s">
        <v>20</v>
      </c>
      <c r="E14" s="18"/>
      <c r="F14" s="21" t="s">
        <v>61</v>
      </c>
      <c r="G14" s="22"/>
      <c r="H14" s="131">
        <v>250000.0</v>
      </c>
      <c r="I14" s="16"/>
      <c r="J14" s="16"/>
      <c r="K14" s="16"/>
      <c r="L14" s="21" t="s">
        <v>287</v>
      </c>
      <c r="M14" s="21" t="s">
        <v>103</v>
      </c>
      <c r="N14" s="30"/>
      <c r="O14" s="30"/>
      <c r="P14" s="30"/>
      <c r="Q14" s="1"/>
      <c r="R14" s="1"/>
      <c r="U14" s="21"/>
    </row>
    <row r="15" ht="15.75" customHeight="1">
      <c r="A15" s="1"/>
      <c r="B15" s="14">
        <v>12.0</v>
      </c>
      <c r="C15" s="15" t="s">
        <v>294</v>
      </c>
      <c r="D15" s="17" t="s">
        <v>20</v>
      </c>
      <c r="E15" s="18"/>
      <c r="F15" s="21" t="s">
        <v>61</v>
      </c>
      <c r="G15" s="22"/>
      <c r="H15" s="131">
        <v>250000.0</v>
      </c>
      <c r="I15" s="16"/>
      <c r="J15" s="16"/>
      <c r="K15" s="16"/>
      <c r="L15" s="21" t="s">
        <v>287</v>
      </c>
      <c r="M15" s="21" t="s">
        <v>53</v>
      </c>
      <c r="N15" s="30"/>
      <c r="O15" s="30"/>
      <c r="P15" s="30"/>
      <c r="Q15" s="1"/>
      <c r="R15" s="1"/>
      <c r="U15" s="21"/>
    </row>
    <row r="16" ht="15.75" customHeight="1">
      <c r="A16" s="1"/>
      <c r="B16" s="14">
        <v>13.0</v>
      </c>
      <c r="C16" s="15" t="s">
        <v>295</v>
      </c>
      <c r="D16" s="17" t="s">
        <v>20</v>
      </c>
      <c r="E16" s="18"/>
      <c r="F16" s="21" t="s">
        <v>61</v>
      </c>
      <c r="G16" s="22"/>
      <c r="H16" s="131">
        <v>250000.0</v>
      </c>
      <c r="I16" s="16"/>
      <c r="J16" s="16"/>
      <c r="K16" s="16"/>
      <c r="L16" s="21" t="s">
        <v>287</v>
      </c>
      <c r="M16" s="21" t="s">
        <v>40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15" t="s">
        <v>296</v>
      </c>
      <c r="D17" s="17" t="s">
        <v>20</v>
      </c>
      <c r="E17" s="18"/>
      <c r="F17" s="21" t="s">
        <v>61</v>
      </c>
      <c r="G17" s="137">
        <v>290000.0</v>
      </c>
      <c r="H17" s="138"/>
      <c r="I17" s="16"/>
      <c r="J17" s="16"/>
      <c r="K17" s="16"/>
      <c r="L17" s="21" t="s">
        <v>287</v>
      </c>
      <c r="M17" s="21" t="s">
        <v>103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15" t="s">
        <v>185</v>
      </c>
      <c r="D18" s="17" t="s">
        <v>93</v>
      </c>
      <c r="E18" s="18"/>
      <c r="F18" s="21" t="s">
        <v>61</v>
      </c>
      <c r="G18" s="137">
        <v>220000.0</v>
      </c>
      <c r="H18" s="138"/>
      <c r="I18" s="16"/>
      <c r="J18" s="16"/>
      <c r="K18" s="16"/>
      <c r="L18" s="21" t="s">
        <v>287</v>
      </c>
      <c r="M18" s="21" t="s">
        <v>69</v>
      </c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15" t="s">
        <v>297</v>
      </c>
      <c r="D19" s="17" t="s">
        <v>20</v>
      </c>
      <c r="E19" s="18"/>
      <c r="F19" s="21" t="s">
        <v>61</v>
      </c>
      <c r="G19" s="137">
        <v>250000.0</v>
      </c>
      <c r="H19" s="138"/>
      <c r="I19" s="16"/>
      <c r="J19" s="16"/>
      <c r="K19" s="16"/>
      <c r="L19" s="21" t="s">
        <v>287</v>
      </c>
      <c r="M19" s="21" t="s">
        <v>103</v>
      </c>
      <c r="N19" s="30"/>
      <c r="O19" s="30"/>
      <c r="P19" s="30"/>
      <c r="Q19" s="1"/>
      <c r="R19" s="1"/>
    </row>
    <row r="20" ht="15.75" customHeight="1">
      <c r="A20" s="1"/>
      <c r="B20" s="38">
        <v>17.0</v>
      </c>
      <c r="C20" s="15" t="s">
        <v>298</v>
      </c>
      <c r="D20" s="17" t="s">
        <v>20</v>
      </c>
      <c r="E20" s="18"/>
      <c r="F20" s="21" t="s">
        <v>61</v>
      </c>
      <c r="G20" s="22"/>
      <c r="H20" s="131">
        <v>330000.0</v>
      </c>
      <c r="I20" s="16"/>
      <c r="J20" s="16"/>
      <c r="K20" s="16"/>
      <c r="L20" s="21" t="s">
        <v>287</v>
      </c>
      <c r="M20" s="21" t="s">
        <v>69</v>
      </c>
      <c r="N20" s="30"/>
      <c r="O20" s="30"/>
      <c r="P20" s="30"/>
      <c r="Q20" s="1"/>
      <c r="R20" s="1"/>
    </row>
    <row r="21" ht="15.75" customHeight="1">
      <c r="A21" s="1"/>
      <c r="B21" s="38">
        <v>18.0</v>
      </c>
      <c r="C21" s="15" t="s">
        <v>299</v>
      </c>
      <c r="D21" s="17" t="s">
        <v>20</v>
      </c>
      <c r="E21" s="18"/>
      <c r="F21" s="21" t="s">
        <v>61</v>
      </c>
      <c r="G21" s="22"/>
      <c r="H21" s="131">
        <v>350000.0</v>
      </c>
      <c r="I21" s="16"/>
      <c r="J21" s="16"/>
      <c r="K21" s="16"/>
      <c r="L21" s="21" t="s">
        <v>287</v>
      </c>
      <c r="M21" s="21" t="s">
        <v>103</v>
      </c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15" t="s">
        <v>300</v>
      </c>
      <c r="D22" s="17" t="s">
        <v>20</v>
      </c>
      <c r="E22" s="18"/>
      <c r="F22" s="21" t="s">
        <v>61</v>
      </c>
      <c r="G22" s="137">
        <v>250000.0</v>
      </c>
      <c r="H22" s="138"/>
      <c r="I22" s="16"/>
      <c r="J22" s="16"/>
      <c r="K22" s="16"/>
      <c r="L22" s="21" t="s">
        <v>287</v>
      </c>
      <c r="M22" s="21" t="s">
        <v>40</v>
      </c>
      <c r="N22" s="30"/>
      <c r="O22" s="30"/>
      <c r="P22" s="30"/>
      <c r="Q22" s="1"/>
      <c r="R22" s="1"/>
    </row>
    <row r="23" ht="15.75" customHeight="1">
      <c r="A23" s="1"/>
      <c r="B23" s="38">
        <v>20.0</v>
      </c>
      <c r="C23" s="15" t="s">
        <v>301</v>
      </c>
      <c r="D23" s="17" t="s">
        <v>20</v>
      </c>
      <c r="E23" s="18"/>
      <c r="F23" s="21" t="s">
        <v>61</v>
      </c>
      <c r="G23" s="137">
        <v>250000.0</v>
      </c>
      <c r="H23" s="138"/>
      <c r="I23" s="16"/>
      <c r="J23" s="16"/>
      <c r="K23" s="16"/>
      <c r="L23" s="21" t="s">
        <v>287</v>
      </c>
      <c r="M23" s="21" t="s">
        <v>69</v>
      </c>
      <c r="N23" s="30"/>
      <c r="O23" s="30"/>
      <c r="P23" s="30"/>
      <c r="Q23" s="1"/>
      <c r="R23" s="1"/>
    </row>
    <row r="24" ht="15.75" customHeight="1">
      <c r="A24" s="1"/>
      <c r="B24" s="38">
        <v>21.0</v>
      </c>
      <c r="C24" s="15" t="s">
        <v>302</v>
      </c>
      <c r="D24" s="17" t="s">
        <v>20</v>
      </c>
      <c r="E24" s="18"/>
      <c r="F24" s="21" t="s">
        <v>61</v>
      </c>
      <c r="G24" s="22"/>
      <c r="H24" s="131">
        <v>250000.0</v>
      </c>
      <c r="I24" s="16"/>
      <c r="J24" s="16"/>
      <c r="K24" s="16"/>
      <c r="L24" s="21" t="s">
        <v>287</v>
      </c>
      <c r="M24" s="21" t="s">
        <v>40</v>
      </c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15" t="s">
        <v>303</v>
      </c>
      <c r="D25" s="17" t="s">
        <v>20</v>
      </c>
      <c r="E25" s="18"/>
      <c r="F25" s="21" t="s">
        <v>61</v>
      </c>
      <c r="G25" s="137">
        <v>250000.0</v>
      </c>
      <c r="H25" s="138"/>
      <c r="I25" s="16"/>
      <c r="J25" s="16"/>
      <c r="K25" s="16"/>
      <c r="L25" s="21" t="s">
        <v>287</v>
      </c>
      <c r="M25" s="21" t="s">
        <v>69</v>
      </c>
      <c r="N25" s="30"/>
      <c r="O25" s="30"/>
      <c r="P25" s="30"/>
      <c r="Q25" s="1"/>
      <c r="R25" s="1"/>
    </row>
    <row r="26" ht="15.75" customHeight="1">
      <c r="A26" s="1"/>
      <c r="B26" s="38">
        <v>23.0</v>
      </c>
      <c r="C26" s="15" t="s">
        <v>304</v>
      </c>
      <c r="D26" s="17" t="s">
        <v>20</v>
      </c>
      <c r="E26" s="18"/>
      <c r="F26" s="21" t="s">
        <v>61</v>
      </c>
      <c r="G26" s="137"/>
      <c r="H26" s="131">
        <v>270000.0</v>
      </c>
      <c r="I26" s="16"/>
      <c r="J26" s="16"/>
      <c r="K26" s="16"/>
      <c r="L26" s="21" t="s">
        <v>287</v>
      </c>
      <c r="M26" s="21" t="s">
        <v>103</v>
      </c>
      <c r="N26" s="30"/>
      <c r="O26" s="30"/>
      <c r="P26" s="30"/>
      <c r="Q26" s="1"/>
      <c r="R26" s="1"/>
    </row>
    <row r="27" ht="15.75" customHeight="1">
      <c r="A27" s="1"/>
      <c r="B27" s="38">
        <v>24.0</v>
      </c>
      <c r="C27" s="15" t="s">
        <v>305</v>
      </c>
      <c r="D27" s="17" t="s">
        <v>20</v>
      </c>
      <c r="E27" s="18"/>
      <c r="F27" s="21" t="s">
        <v>61</v>
      </c>
      <c r="G27" s="137">
        <v>250000.0</v>
      </c>
      <c r="H27" s="138"/>
      <c r="I27" s="16"/>
      <c r="J27" s="16"/>
      <c r="K27" s="16"/>
      <c r="L27" s="21" t="s">
        <v>287</v>
      </c>
      <c r="M27" s="21" t="s">
        <v>53</v>
      </c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15" t="s">
        <v>306</v>
      </c>
      <c r="D28" s="17" t="s">
        <v>20</v>
      </c>
      <c r="E28" s="18"/>
      <c r="F28" s="21" t="s">
        <v>61</v>
      </c>
      <c r="G28" s="137"/>
      <c r="H28" s="137">
        <v>250000.0</v>
      </c>
      <c r="I28" s="16"/>
      <c r="J28" s="16"/>
      <c r="K28" s="16"/>
      <c r="L28" s="21" t="s">
        <v>287</v>
      </c>
      <c r="M28" s="21" t="s">
        <v>40</v>
      </c>
      <c r="N28" s="30"/>
      <c r="O28" s="30"/>
      <c r="P28" s="30"/>
      <c r="Q28" s="1"/>
      <c r="R28" s="1"/>
    </row>
    <row r="29" ht="15.75" customHeight="1">
      <c r="A29" s="1"/>
      <c r="B29" s="38">
        <v>26.0</v>
      </c>
      <c r="C29" s="15" t="s">
        <v>307</v>
      </c>
      <c r="D29" s="17" t="s">
        <v>20</v>
      </c>
      <c r="E29" s="18"/>
      <c r="F29" s="21" t="s">
        <v>61</v>
      </c>
      <c r="G29" s="137">
        <v>250000.0</v>
      </c>
      <c r="H29" s="138"/>
      <c r="I29" s="16"/>
      <c r="J29" s="16"/>
      <c r="K29" s="16"/>
      <c r="L29" s="21" t="s">
        <v>287</v>
      </c>
      <c r="M29" s="21" t="s">
        <v>69</v>
      </c>
      <c r="N29" s="30"/>
      <c r="O29" s="30"/>
      <c r="P29" s="30"/>
      <c r="Q29" s="1"/>
      <c r="R29" s="1"/>
    </row>
    <row r="30" ht="15.75" customHeight="1">
      <c r="A30" s="1"/>
      <c r="B30" s="38">
        <v>27.0</v>
      </c>
      <c r="C30" s="15" t="s">
        <v>308</v>
      </c>
      <c r="D30" s="17" t="s">
        <v>20</v>
      </c>
      <c r="E30" s="18"/>
      <c r="F30" s="21" t="s">
        <v>61</v>
      </c>
      <c r="G30" s="22"/>
      <c r="H30" s="131">
        <v>490000.0</v>
      </c>
      <c r="I30" s="16"/>
      <c r="J30" s="16"/>
      <c r="K30" s="16"/>
      <c r="L30" s="21" t="s">
        <v>287</v>
      </c>
      <c r="M30" s="21" t="s">
        <v>40</v>
      </c>
      <c r="N30" s="30"/>
      <c r="O30" s="30"/>
      <c r="P30" s="30"/>
      <c r="Q30" s="1"/>
      <c r="R30" s="1"/>
    </row>
    <row r="31" ht="15.75" customHeight="1">
      <c r="A31" s="1"/>
      <c r="B31" s="14">
        <v>28.0</v>
      </c>
      <c r="C31" s="15" t="s">
        <v>309</v>
      </c>
      <c r="D31" s="17" t="s">
        <v>20</v>
      </c>
      <c r="E31" s="18"/>
      <c r="F31" s="21" t="s">
        <v>61</v>
      </c>
      <c r="G31" s="22"/>
      <c r="H31" s="131">
        <v>250000.0</v>
      </c>
      <c r="I31" s="16"/>
      <c r="J31" s="16"/>
      <c r="K31" s="16"/>
      <c r="L31" s="21" t="s">
        <v>287</v>
      </c>
      <c r="M31" s="21" t="s">
        <v>53</v>
      </c>
      <c r="N31" s="30"/>
      <c r="O31" s="30"/>
      <c r="P31" s="30"/>
      <c r="Q31" s="1"/>
      <c r="R31" s="1"/>
    </row>
    <row r="32" ht="15.75" customHeight="1">
      <c r="A32" s="1"/>
      <c r="B32" s="38">
        <v>29.0</v>
      </c>
      <c r="C32" s="15" t="s">
        <v>310</v>
      </c>
      <c r="D32" s="17" t="s">
        <v>20</v>
      </c>
      <c r="E32" s="18"/>
      <c r="F32" s="21" t="s">
        <v>33</v>
      </c>
      <c r="G32" s="22"/>
      <c r="H32" s="131">
        <v>100000.0</v>
      </c>
      <c r="I32" s="21" t="s">
        <v>24</v>
      </c>
      <c r="J32" s="16"/>
      <c r="K32" s="16"/>
      <c r="L32" s="21" t="s">
        <v>26</v>
      </c>
      <c r="M32" s="16"/>
      <c r="N32" s="30"/>
      <c r="O32" s="30"/>
      <c r="P32" s="30"/>
      <c r="Q32" s="1"/>
      <c r="R32" s="1"/>
    </row>
    <row r="33" ht="15.75" customHeight="1">
      <c r="A33" s="1"/>
      <c r="B33" s="38">
        <v>30.0</v>
      </c>
      <c r="C33" s="15" t="s">
        <v>311</v>
      </c>
      <c r="D33" s="17" t="s">
        <v>21</v>
      </c>
      <c r="E33" s="18"/>
      <c r="F33" s="21" t="s">
        <v>312</v>
      </c>
      <c r="G33" s="22"/>
      <c r="H33" s="131">
        <v>100000.0</v>
      </c>
      <c r="I33" s="21" t="s">
        <v>24</v>
      </c>
      <c r="J33" s="16"/>
      <c r="K33" s="16"/>
      <c r="L33" s="21" t="s">
        <v>26</v>
      </c>
      <c r="M33" s="16"/>
      <c r="N33" s="30"/>
      <c r="O33" s="30"/>
      <c r="P33" s="30"/>
      <c r="Q33" s="1"/>
      <c r="R33" s="1"/>
    </row>
    <row r="34" ht="15.75" customHeight="1">
      <c r="A34" s="1"/>
      <c r="B34" s="14">
        <v>31.0</v>
      </c>
      <c r="C34" s="15" t="s">
        <v>313</v>
      </c>
      <c r="D34" s="17" t="s">
        <v>20</v>
      </c>
      <c r="E34" s="18"/>
      <c r="F34" s="21" t="s">
        <v>45</v>
      </c>
      <c r="G34" s="22"/>
      <c r="H34" s="131">
        <v>100000.0</v>
      </c>
      <c r="I34" s="21" t="s">
        <v>24</v>
      </c>
      <c r="J34" s="16"/>
      <c r="K34" s="16"/>
      <c r="L34" s="21" t="s">
        <v>26</v>
      </c>
      <c r="M34" s="16"/>
      <c r="N34" s="30"/>
      <c r="O34" s="30"/>
      <c r="P34" s="30"/>
      <c r="Q34" s="1"/>
      <c r="R34" s="1"/>
    </row>
    <row r="35" ht="15.75" customHeight="1">
      <c r="A35" s="1"/>
      <c r="B35" s="38">
        <v>32.0</v>
      </c>
      <c r="C35" s="15" t="s">
        <v>314</v>
      </c>
      <c r="D35" s="17" t="s">
        <v>21</v>
      </c>
      <c r="E35" s="18"/>
      <c r="F35" s="21" t="s">
        <v>61</v>
      </c>
      <c r="G35" s="22"/>
      <c r="H35" s="131">
        <v>175000.0</v>
      </c>
      <c r="I35" s="21" t="s">
        <v>37</v>
      </c>
      <c r="J35" s="21" t="s">
        <v>38</v>
      </c>
      <c r="K35" s="21" t="s">
        <v>39</v>
      </c>
      <c r="L35" s="21" t="s">
        <v>26</v>
      </c>
      <c r="M35" s="21" t="s">
        <v>40</v>
      </c>
      <c r="N35" s="30"/>
      <c r="O35" s="30"/>
      <c r="P35" s="30"/>
      <c r="Q35" s="1"/>
      <c r="R35" s="1"/>
    </row>
    <row r="36" ht="15.75" customHeight="1">
      <c r="A36" s="1"/>
      <c r="B36" s="38">
        <v>33.0</v>
      </c>
      <c r="C36" s="15" t="s">
        <v>315</v>
      </c>
      <c r="D36" s="17" t="s">
        <v>93</v>
      </c>
      <c r="E36" s="18"/>
      <c r="F36" s="21" t="s">
        <v>61</v>
      </c>
      <c r="G36" s="22"/>
      <c r="H36" s="131">
        <v>400000.0</v>
      </c>
      <c r="I36" s="21" t="s">
        <v>37</v>
      </c>
      <c r="J36" s="21" t="s">
        <v>38</v>
      </c>
      <c r="K36" s="21" t="s">
        <v>39</v>
      </c>
      <c r="L36" s="21" t="s">
        <v>26</v>
      </c>
      <c r="M36" s="21" t="s">
        <v>53</v>
      </c>
      <c r="N36" s="30"/>
      <c r="O36" s="30"/>
      <c r="P36" s="30"/>
      <c r="Q36" s="1"/>
      <c r="R36" s="1"/>
    </row>
    <row r="37" ht="15.75" customHeight="1">
      <c r="A37" s="1"/>
      <c r="B37" s="14">
        <v>34.0</v>
      </c>
      <c r="C37" s="15" t="s">
        <v>316</v>
      </c>
      <c r="D37" s="17" t="s">
        <v>20</v>
      </c>
      <c r="E37" s="18"/>
      <c r="F37" s="21" t="s">
        <v>33</v>
      </c>
      <c r="G37" s="22"/>
      <c r="H37" s="131">
        <v>100000.0</v>
      </c>
      <c r="I37" s="21" t="s">
        <v>24</v>
      </c>
      <c r="J37" s="21"/>
      <c r="K37" s="21"/>
      <c r="L37" s="21" t="s">
        <v>26</v>
      </c>
      <c r="M37" s="16"/>
      <c r="N37" s="30"/>
      <c r="O37" s="30"/>
      <c r="P37" s="30"/>
      <c r="Q37" s="1"/>
      <c r="R37" s="1"/>
    </row>
    <row r="38" ht="15.75" customHeight="1">
      <c r="A38" s="1"/>
      <c r="B38" s="38">
        <v>35.0</v>
      </c>
      <c r="C38" s="91"/>
      <c r="D38" s="133"/>
      <c r="E38" s="18"/>
      <c r="F38" s="142"/>
      <c r="G38" s="22"/>
      <c r="H38" s="138"/>
      <c r="I38" s="16"/>
      <c r="J38" s="16"/>
      <c r="K38" s="16"/>
      <c r="L38" s="16"/>
      <c r="M38" s="16"/>
      <c r="N38" s="30"/>
      <c r="O38" s="30"/>
      <c r="P38" s="30"/>
      <c r="Q38" s="1"/>
      <c r="R38" s="1"/>
    </row>
    <row r="39" ht="15.75" customHeight="1">
      <c r="A39" s="1"/>
      <c r="B39" s="38">
        <v>36.0</v>
      </c>
      <c r="C39" s="15" t="s">
        <v>317</v>
      </c>
      <c r="D39" s="17" t="s">
        <v>20</v>
      </c>
      <c r="E39" s="18"/>
      <c r="F39" s="42">
        <v>46273.0</v>
      </c>
      <c r="G39" s="22"/>
      <c r="H39" s="131">
        <v>270000.0</v>
      </c>
      <c r="I39" s="21" t="s">
        <v>37</v>
      </c>
      <c r="J39" s="21" t="s">
        <v>38</v>
      </c>
      <c r="K39" s="21" t="s">
        <v>39</v>
      </c>
      <c r="L39" s="21" t="s">
        <v>26</v>
      </c>
      <c r="M39" s="21" t="s">
        <v>40</v>
      </c>
      <c r="N39" s="30"/>
      <c r="O39" s="30"/>
      <c r="P39" s="30"/>
      <c r="Q39" s="1"/>
      <c r="R39" s="1"/>
    </row>
    <row r="40" ht="15.75" customHeight="1">
      <c r="A40" s="1"/>
      <c r="B40" s="14">
        <v>37.0</v>
      </c>
      <c r="C40" s="15" t="s">
        <v>318</v>
      </c>
      <c r="D40" s="17" t="s">
        <v>20</v>
      </c>
      <c r="E40" s="18"/>
      <c r="F40" s="21" t="s">
        <v>319</v>
      </c>
      <c r="G40" s="22"/>
      <c r="H40" s="131">
        <v>100000.0</v>
      </c>
      <c r="I40" s="21" t="s">
        <v>24</v>
      </c>
      <c r="J40" s="16"/>
      <c r="K40" s="16"/>
      <c r="L40" s="21" t="s">
        <v>26</v>
      </c>
      <c r="M40" s="16"/>
      <c r="N40" s="30"/>
      <c r="O40" s="30"/>
      <c r="P40" s="30"/>
      <c r="Q40" s="1"/>
      <c r="R40" s="1"/>
    </row>
    <row r="41" ht="15.75" customHeight="1">
      <c r="A41" s="1"/>
      <c r="B41" s="38">
        <v>38.0</v>
      </c>
      <c r="C41" s="15" t="s">
        <v>320</v>
      </c>
      <c r="D41" s="17" t="s">
        <v>20</v>
      </c>
      <c r="E41" s="18"/>
      <c r="F41" s="21" t="s">
        <v>41</v>
      </c>
      <c r="G41" s="22"/>
      <c r="H41" s="131">
        <v>100000.0</v>
      </c>
      <c r="I41" s="21" t="s">
        <v>24</v>
      </c>
      <c r="J41" s="16"/>
      <c r="K41" s="16"/>
      <c r="L41" s="21" t="s">
        <v>26</v>
      </c>
      <c r="M41" s="16"/>
      <c r="N41" s="30"/>
      <c r="O41" s="30"/>
      <c r="P41" s="30"/>
      <c r="Q41" s="1"/>
      <c r="R41" s="1"/>
    </row>
    <row r="42" ht="15.75" customHeight="1">
      <c r="A42" s="1"/>
      <c r="B42" s="38">
        <v>39.0</v>
      </c>
      <c r="C42" s="15" t="s">
        <v>321</v>
      </c>
      <c r="D42" s="17" t="s">
        <v>20</v>
      </c>
      <c r="E42" s="18"/>
      <c r="F42" s="42">
        <v>46273.0</v>
      </c>
      <c r="G42" s="137">
        <v>250000.0</v>
      </c>
      <c r="H42" s="138"/>
      <c r="I42" s="21" t="s">
        <v>37</v>
      </c>
      <c r="J42" s="21" t="s">
        <v>38</v>
      </c>
      <c r="K42" s="21" t="s">
        <v>39</v>
      </c>
      <c r="L42" s="21" t="s">
        <v>26</v>
      </c>
      <c r="M42" s="21" t="s">
        <v>40</v>
      </c>
      <c r="N42" s="30"/>
      <c r="O42" s="30"/>
      <c r="P42" s="30"/>
      <c r="Q42" s="1"/>
      <c r="R42" s="1"/>
    </row>
    <row r="43" ht="15.75" customHeight="1">
      <c r="A43" s="1"/>
      <c r="B43" s="14">
        <v>40.0</v>
      </c>
      <c r="C43" s="15" t="s">
        <v>322</v>
      </c>
      <c r="D43" s="17" t="s">
        <v>20</v>
      </c>
      <c r="E43" s="18"/>
      <c r="F43" s="21" t="s">
        <v>61</v>
      </c>
      <c r="G43" s="137">
        <v>250000.0</v>
      </c>
      <c r="H43" s="138"/>
      <c r="I43" s="21" t="s">
        <v>37</v>
      </c>
      <c r="J43" s="21" t="s">
        <v>38</v>
      </c>
      <c r="K43" s="21" t="s">
        <v>39</v>
      </c>
      <c r="L43" s="21" t="s">
        <v>26</v>
      </c>
      <c r="M43" s="21" t="s">
        <v>53</v>
      </c>
      <c r="N43" s="30"/>
      <c r="O43" s="30"/>
      <c r="P43" s="30"/>
      <c r="Q43" s="1"/>
      <c r="R43" s="1"/>
    </row>
    <row r="44" ht="15.75" customHeight="1">
      <c r="A44" s="1"/>
      <c r="B44" s="38">
        <v>41.0</v>
      </c>
      <c r="C44" s="15" t="s">
        <v>323</v>
      </c>
      <c r="D44" s="17" t="s">
        <v>20</v>
      </c>
      <c r="E44" s="18"/>
      <c r="F44" s="21" t="s">
        <v>61</v>
      </c>
      <c r="G44" s="22"/>
      <c r="H44" s="138"/>
      <c r="I44" s="21" t="s">
        <v>37</v>
      </c>
      <c r="J44" s="21" t="s">
        <v>38</v>
      </c>
      <c r="K44" s="21" t="s">
        <v>39</v>
      </c>
      <c r="L44" s="21" t="s">
        <v>26</v>
      </c>
      <c r="M44" s="21" t="s">
        <v>53</v>
      </c>
      <c r="N44" s="30"/>
      <c r="O44" s="30"/>
      <c r="P44" s="30"/>
      <c r="Q44" s="1"/>
      <c r="R44" s="1"/>
    </row>
    <row r="45" ht="15.75" customHeight="1">
      <c r="A45" s="1"/>
      <c r="B45" s="38">
        <v>42.0</v>
      </c>
      <c r="C45" s="15" t="s">
        <v>324</v>
      </c>
      <c r="D45" s="17" t="s">
        <v>20</v>
      </c>
      <c r="E45" s="18"/>
      <c r="F45" s="21" t="s">
        <v>41</v>
      </c>
      <c r="G45" s="22"/>
      <c r="H45" s="131">
        <v>100000.0</v>
      </c>
      <c r="I45" s="21" t="s">
        <v>24</v>
      </c>
      <c r="J45" s="16"/>
      <c r="K45" s="16"/>
      <c r="L45" s="21" t="s">
        <v>26</v>
      </c>
      <c r="M45" s="16"/>
      <c r="N45" s="30"/>
      <c r="O45" s="30"/>
      <c r="P45" s="30"/>
      <c r="Q45" s="1"/>
      <c r="R45" s="1"/>
    </row>
    <row r="46" ht="15.75" customHeight="1">
      <c r="A46" s="1"/>
      <c r="B46" s="14">
        <v>43.0</v>
      </c>
      <c r="C46" s="34" t="s">
        <v>325</v>
      </c>
      <c r="D46" s="17" t="s">
        <v>58</v>
      </c>
      <c r="E46" s="18"/>
      <c r="F46" s="42">
        <v>46284.0</v>
      </c>
      <c r="G46" s="22"/>
      <c r="H46" s="131">
        <v>100000.0</v>
      </c>
      <c r="I46" s="21" t="s">
        <v>24</v>
      </c>
      <c r="J46" s="16"/>
      <c r="K46" s="16"/>
      <c r="L46" s="21" t="s">
        <v>26</v>
      </c>
      <c r="M46" s="16"/>
      <c r="N46" s="30"/>
      <c r="O46" s="30"/>
      <c r="P46" s="30"/>
      <c r="Q46" s="1"/>
      <c r="R46" s="1"/>
    </row>
    <row r="47" ht="15.75" customHeight="1">
      <c r="A47" s="1"/>
      <c r="B47" s="38">
        <v>44.0</v>
      </c>
      <c r="C47" s="15" t="s">
        <v>326</v>
      </c>
      <c r="D47" s="17" t="s">
        <v>93</v>
      </c>
      <c r="E47" s="18"/>
      <c r="F47" s="21" t="s">
        <v>61</v>
      </c>
      <c r="G47" s="137">
        <v>400000.0</v>
      </c>
      <c r="H47" s="138"/>
      <c r="I47" s="21" t="s">
        <v>37</v>
      </c>
      <c r="J47" s="21" t="s">
        <v>38</v>
      </c>
      <c r="K47" s="21" t="s">
        <v>39</v>
      </c>
      <c r="L47" s="21" t="s">
        <v>26</v>
      </c>
      <c r="M47" s="21" t="s">
        <v>40</v>
      </c>
      <c r="N47" s="30"/>
      <c r="O47" s="30"/>
      <c r="P47" s="30"/>
      <c r="Q47" s="1"/>
      <c r="R47" s="1"/>
    </row>
    <row r="48" ht="15.75" customHeight="1">
      <c r="A48" s="1"/>
      <c r="B48" s="38">
        <v>45.0</v>
      </c>
      <c r="C48" s="143" t="s">
        <v>327</v>
      </c>
      <c r="D48" s="17" t="s">
        <v>20</v>
      </c>
      <c r="E48" s="18"/>
      <c r="F48" s="21" t="s">
        <v>61</v>
      </c>
      <c r="G48" s="137">
        <v>250000.0</v>
      </c>
      <c r="H48" s="138"/>
      <c r="I48" s="21" t="s">
        <v>37</v>
      </c>
      <c r="J48" s="21" t="s">
        <v>38</v>
      </c>
      <c r="K48" s="21" t="s">
        <v>39</v>
      </c>
      <c r="L48" s="21" t="s">
        <v>26</v>
      </c>
      <c r="M48" s="21" t="s">
        <v>69</v>
      </c>
      <c r="N48" s="30"/>
      <c r="O48" s="30"/>
      <c r="P48" s="30"/>
      <c r="Q48" s="1"/>
      <c r="R48" s="1"/>
    </row>
    <row r="49" ht="15.75" customHeight="1">
      <c r="A49" s="1"/>
      <c r="B49" s="14">
        <v>46.0</v>
      </c>
      <c r="C49" s="15" t="s">
        <v>328</v>
      </c>
      <c r="D49" s="17" t="s">
        <v>20</v>
      </c>
      <c r="E49" s="18"/>
      <c r="F49" s="21" t="s">
        <v>61</v>
      </c>
      <c r="G49" s="22"/>
      <c r="H49" s="131">
        <v>250000.0</v>
      </c>
      <c r="I49" s="21" t="s">
        <v>37</v>
      </c>
      <c r="J49" s="21" t="s">
        <v>38</v>
      </c>
      <c r="K49" s="21" t="s">
        <v>39</v>
      </c>
      <c r="L49" s="21" t="s">
        <v>26</v>
      </c>
      <c r="M49" s="21" t="s">
        <v>103</v>
      </c>
      <c r="N49" s="30"/>
      <c r="O49" s="30"/>
      <c r="P49" s="30"/>
      <c r="Q49" s="1"/>
      <c r="R49" s="1"/>
    </row>
    <row r="50" ht="15.75" customHeight="1">
      <c r="A50" s="1"/>
      <c r="B50" s="38">
        <v>47.0</v>
      </c>
      <c r="C50" s="15" t="s">
        <v>329</v>
      </c>
      <c r="D50" s="17" t="s">
        <v>20</v>
      </c>
      <c r="E50" s="18"/>
      <c r="F50" s="21" t="s">
        <v>61</v>
      </c>
      <c r="G50" s="22"/>
      <c r="H50" s="131">
        <v>250000.0</v>
      </c>
      <c r="I50" s="21" t="s">
        <v>37</v>
      </c>
      <c r="J50" s="21" t="s">
        <v>38</v>
      </c>
      <c r="K50" s="16"/>
      <c r="L50" s="21" t="s">
        <v>26</v>
      </c>
      <c r="M50" s="21" t="s">
        <v>103</v>
      </c>
      <c r="N50" s="30"/>
      <c r="O50" s="30"/>
      <c r="P50" s="30"/>
      <c r="Q50" s="1"/>
      <c r="R50" s="1"/>
    </row>
    <row r="51" ht="15.75" customHeight="1">
      <c r="A51" s="1"/>
      <c r="B51" s="38">
        <v>48.0</v>
      </c>
      <c r="C51" s="15" t="s">
        <v>330</v>
      </c>
      <c r="D51" s="17" t="s">
        <v>20</v>
      </c>
      <c r="E51" s="18"/>
      <c r="F51" s="21" t="s">
        <v>61</v>
      </c>
      <c r="G51" s="22"/>
      <c r="H51" s="131">
        <v>250000.0</v>
      </c>
      <c r="I51" s="21" t="s">
        <v>37</v>
      </c>
      <c r="J51" s="21" t="s">
        <v>38</v>
      </c>
      <c r="K51" s="21" t="s">
        <v>39</v>
      </c>
      <c r="L51" s="21" t="s">
        <v>26</v>
      </c>
      <c r="M51" s="21" t="s">
        <v>103</v>
      </c>
      <c r="N51" s="30"/>
      <c r="O51" s="30"/>
      <c r="P51" s="30"/>
      <c r="Q51" s="1"/>
      <c r="R51" s="1"/>
    </row>
    <row r="52" ht="15.75" customHeight="1">
      <c r="A52" s="1"/>
      <c r="B52" s="14">
        <v>49.0</v>
      </c>
      <c r="C52" s="15" t="s">
        <v>275</v>
      </c>
      <c r="D52" s="17" t="s">
        <v>20</v>
      </c>
      <c r="E52" s="18"/>
      <c r="F52" s="21" t="s">
        <v>61</v>
      </c>
      <c r="G52" s="137">
        <v>0.0</v>
      </c>
      <c r="H52" s="131">
        <v>0.0</v>
      </c>
      <c r="I52" s="21" t="s">
        <v>37</v>
      </c>
      <c r="J52" s="21" t="s">
        <v>38</v>
      </c>
      <c r="K52" s="21" t="s">
        <v>39</v>
      </c>
      <c r="L52" s="21" t="s">
        <v>26</v>
      </c>
      <c r="M52" s="21" t="s">
        <v>53</v>
      </c>
      <c r="N52" s="30"/>
      <c r="O52" s="30"/>
      <c r="P52" s="30"/>
      <c r="Q52" s="1"/>
      <c r="R52" s="1"/>
    </row>
    <row r="53" ht="15.75" customHeight="1">
      <c r="A53" s="1"/>
      <c r="B53" s="38">
        <v>50.0</v>
      </c>
      <c r="C53" s="15" t="s">
        <v>148</v>
      </c>
      <c r="D53" s="17" t="s">
        <v>20</v>
      </c>
      <c r="E53" s="18"/>
      <c r="F53" s="21" t="s">
        <v>61</v>
      </c>
      <c r="G53" s="44">
        <v>250000.0</v>
      </c>
      <c r="H53" s="144"/>
      <c r="I53" s="21" t="s">
        <v>37</v>
      </c>
      <c r="J53" s="21" t="s">
        <v>38</v>
      </c>
      <c r="K53" s="21" t="s">
        <v>39</v>
      </c>
      <c r="L53" s="21" t="s">
        <v>26</v>
      </c>
      <c r="M53" s="21" t="s">
        <v>69</v>
      </c>
      <c r="N53" s="30"/>
      <c r="O53" s="30"/>
      <c r="P53" s="30"/>
      <c r="Q53" s="1"/>
      <c r="R53" s="1"/>
    </row>
    <row r="54" ht="15.75" customHeight="1">
      <c r="A54" s="1"/>
      <c r="B54" s="38">
        <v>51.0</v>
      </c>
      <c r="C54" s="130" t="s">
        <v>331</v>
      </c>
      <c r="D54" s="15" t="s">
        <v>20</v>
      </c>
      <c r="E54" s="16"/>
      <c r="F54" s="38" t="s">
        <v>61</v>
      </c>
      <c r="G54" s="62">
        <v>250000.0</v>
      </c>
      <c r="H54" s="145"/>
      <c r="I54" s="38" t="s">
        <v>37</v>
      </c>
      <c r="J54" s="38" t="s">
        <v>38</v>
      </c>
      <c r="K54" s="38" t="s">
        <v>39</v>
      </c>
      <c r="L54" s="38" t="s">
        <v>26</v>
      </c>
      <c r="M54" s="38" t="s">
        <v>53</v>
      </c>
      <c r="N54" s="30"/>
      <c r="O54" s="30"/>
      <c r="P54" s="30"/>
      <c r="Q54" s="1"/>
      <c r="R54" s="1"/>
    </row>
    <row r="55" ht="15.75" customHeight="1">
      <c r="A55" s="1"/>
      <c r="B55" s="14">
        <v>52.0</v>
      </c>
      <c r="C55" s="34" t="s">
        <v>83</v>
      </c>
      <c r="D55" s="15" t="s">
        <v>20</v>
      </c>
      <c r="E55" s="16"/>
      <c r="F55" s="38" t="s">
        <v>61</v>
      </c>
      <c r="G55" s="61"/>
      <c r="H55" s="146">
        <v>330000.0</v>
      </c>
      <c r="I55" s="38" t="s">
        <v>37</v>
      </c>
      <c r="J55" s="38" t="s">
        <v>38</v>
      </c>
      <c r="K55" s="38" t="s">
        <v>39</v>
      </c>
      <c r="L55" s="38" t="s">
        <v>26</v>
      </c>
      <c r="M55" s="38" t="s">
        <v>103</v>
      </c>
      <c r="N55" s="30"/>
      <c r="O55" s="30"/>
      <c r="P55" s="30"/>
      <c r="Q55" s="1"/>
      <c r="R55" s="1"/>
    </row>
    <row r="56" ht="15.75" customHeight="1">
      <c r="A56" s="1"/>
      <c r="B56" s="38">
        <v>53.0</v>
      </c>
      <c r="C56" s="130" t="s">
        <v>332</v>
      </c>
      <c r="D56" s="15" t="s">
        <v>20</v>
      </c>
      <c r="E56" s="16"/>
      <c r="F56" s="38" t="s">
        <v>61</v>
      </c>
      <c r="G56" s="61"/>
      <c r="H56" s="146">
        <v>250000.0</v>
      </c>
      <c r="I56" s="38" t="s">
        <v>37</v>
      </c>
      <c r="J56" s="38" t="s">
        <v>38</v>
      </c>
      <c r="K56" s="38" t="s">
        <v>39</v>
      </c>
      <c r="L56" s="38" t="s">
        <v>26</v>
      </c>
      <c r="M56" s="38" t="s">
        <v>69</v>
      </c>
      <c r="N56" s="30"/>
      <c r="O56" s="30"/>
      <c r="P56" s="30"/>
      <c r="Q56" s="1"/>
      <c r="R56" s="1"/>
    </row>
    <row r="57" ht="15.75" customHeight="1">
      <c r="A57" s="1"/>
      <c r="B57" s="38">
        <v>54.0</v>
      </c>
      <c r="C57" s="34" t="s">
        <v>333</v>
      </c>
      <c r="D57" s="15" t="s">
        <v>20</v>
      </c>
      <c r="E57" s="16"/>
      <c r="F57" s="38" t="s">
        <v>61</v>
      </c>
      <c r="G57" s="61"/>
      <c r="H57" s="146">
        <v>330000.0</v>
      </c>
      <c r="I57" s="38" t="s">
        <v>37</v>
      </c>
      <c r="J57" s="38" t="s">
        <v>38</v>
      </c>
      <c r="K57" s="38" t="s">
        <v>39</v>
      </c>
      <c r="L57" s="38" t="s">
        <v>26</v>
      </c>
      <c r="M57" s="38" t="s">
        <v>103</v>
      </c>
      <c r="N57" s="30"/>
      <c r="O57" s="30"/>
      <c r="P57" s="30"/>
      <c r="Q57" s="1"/>
      <c r="R57" s="1"/>
    </row>
    <row r="58" ht="15.75" customHeight="1">
      <c r="A58" s="1"/>
      <c r="B58" s="14">
        <v>55.0</v>
      </c>
      <c r="C58" s="130" t="s">
        <v>234</v>
      </c>
      <c r="D58" s="15" t="s">
        <v>93</v>
      </c>
      <c r="E58" s="16"/>
      <c r="F58" s="38" t="s">
        <v>61</v>
      </c>
      <c r="G58" s="61"/>
      <c r="H58" s="146">
        <v>400000.0</v>
      </c>
      <c r="I58" s="38" t="s">
        <v>37</v>
      </c>
      <c r="J58" s="38" t="s">
        <v>38</v>
      </c>
      <c r="K58" s="38" t="s">
        <v>39</v>
      </c>
      <c r="L58" s="38" t="s">
        <v>26</v>
      </c>
      <c r="M58" s="38" t="s">
        <v>53</v>
      </c>
      <c r="N58" s="30"/>
      <c r="O58" s="30"/>
      <c r="P58" s="30"/>
      <c r="Q58" s="1"/>
      <c r="R58" s="1"/>
    </row>
    <row r="59" ht="15.75" customHeight="1">
      <c r="A59" s="1"/>
      <c r="B59" s="38">
        <v>56.0</v>
      </c>
      <c r="C59" s="130" t="s">
        <v>334</v>
      </c>
      <c r="D59" s="15" t="s">
        <v>20</v>
      </c>
      <c r="E59" s="16"/>
      <c r="F59" s="38" t="s">
        <v>61</v>
      </c>
      <c r="G59" s="61"/>
      <c r="H59" s="146">
        <v>280000.0</v>
      </c>
      <c r="I59" s="38" t="s">
        <v>37</v>
      </c>
      <c r="J59" s="38" t="s">
        <v>38</v>
      </c>
      <c r="K59" s="38" t="s">
        <v>39</v>
      </c>
      <c r="L59" s="38" t="s">
        <v>26</v>
      </c>
      <c r="M59" s="38" t="s">
        <v>40</v>
      </c>
      <c r="N59" s="30"/>
      <c r="O59" s="30"/>
      <c r="P59" s="30"/>
      <c r="Q59" s="1"/>
      <c r="R59" s="1"/>
    </row>
    <row r="60" ht="15.75" customHeight="1">
      <c r="A60" s="1"/>
      <c r="B60" s="38">
        <v>57.0</v>
      </c>
      <c r="C60" s="130" t="s">
        <v>165</v>
      </c>
      <c r="D60" s="15" t="s">
        <v>20</v>
      </c>
      <c r="E60" s="16"/>
      <c r="F60" s="38"/>
      <c r="G60" s="62">
        <v>390000.0</v>
      </c>
      <c r="H60" s="145"/>
      <c r="I60" s="38" t="s">
        <v>37</v>
      </c>
      <c r="J60" s="38" t="s">
        <v>38</v>
      </c>
      <c r="K60" s="38" t="s">
        <v>39</v>
      </c>
      <c r="L60" s="38" t="s">
        <v>26</v>
      </c>
      <c r="M60" s="38" t="s">
        <v>103</v>
      </c>
      <c r="N60" s="30"/>
      <c r="O60" s="30"/>
      <c r="P60" s="30"/>
      <c r="Q60" s="1"/>
      <c r="R60" s="1"/>
    </row>
    <row r="61" ht="15.75" customHeight="1">
      <c r="A61" s="1"/>
      <c r="B61" s="14">
        <v>58.0</v>
      </c>
      <c r="C61" s="130" t="s">
        <v>335</v>
      </c>
      <c r="D61" s="15" t="s">
        <v>20</v>
      </c>
      <c r="E61" s="16"/>
      <c r="F61" s="132"/>
      <c r="G61" s="64">
        <v>0.0</v>
      </c>
      <c r="H61" s="36">
        <v>0.0</v>
      </c>
      <c r="I61" s="38" t="s">
        <v>37</v>
      </c>
      <c r="J61" s="38" t="s">
        <v>38</v>
      </c>
      <c r="K61" s="38" t="s">
        <v>39</v>
      </c>
      <c r="L61" s="38" t="s">
        <v>26</v>
      </c>
      <c r="M61" s="38" t="s">
        <v>103</v>
      </c>
      <c r="N61" s="30"/>
      <c r="O61" s="30"/>
      <c r="P61" s="30"/>
      <c r="Q61" s="1"/>
      <c r="R61" s="1"/>
    </row>
    <row r="62" ht="15.75" customHeight="1">
      <c r="A62" s="1"/>
      <c r="B62" s="38">
        <v>59.0</v>
      </c>
      <c r="C62" s="130" t="s">
        <v>199</v>
      </c>
      <c r="D62" s="15" t="s">
        <v>20</v>
      </c>
      <c r="E62" s="16"/>
      <c r="F62" s="132"/>
      <c r="G62" s="64">
        <v>270000.0</v>
      </c>
      <c r="H62" s="60"/>
      <c r="I62" s="38" t="s">
        <v>37</v>
      </c>
      <c r="J62" s="38" t="s">
        <v>38</v>
      </c>
      <c r="K62" s="38" t="s">
        <v>39</v>
      </c>
      <c r="L62" s="38" t="s">
        <v>26</v>
      </c>
      <c r="M62" s="38" t="s">
        <v>69</v>
      </c>
      <c r="N62" s="30"/>
      <c r="O62" s="30"/>
      <c r="P62" s="30"/>
      <c r="Q62" s="1"/>
      <c r="R62" s="1"/>
    </row>
    <row r="63" ht="15.75" customHeight="1">
      <c r="A63" s="1"/>
      <c r="B63" s="38">
        <v>60.0</v>
      </c>
      <c r="C63" s="130" t="s">
        <v>191</v>
      </c>
      <c r="D63" s="15" t="s">
        <v>20</v>
      </c>
      <c r="E63" s="16"/>
      <c r="F63" s="38" t="s">
        <v>61</v>
      </c>
      <c r="G63" s="64">
        <v>270000.0</v>
      </c>
      <c r="H63" s="60"/>
      <c r="I63" s="38" t="s">
        <v>37</v>
      </c>
      <c r="J63" s="38" t="s">
        <v>38</v>
      </c>
      <c r="K63" s="38" t="s">
        <v>39</v>
      </c>
      <c r="L63" s="38" t="s">
        <v>26</v>
      </c>
      <c r="M63" s="38" t="s">
        <v>53</v>
      </c>
      <c r="N63" s="30"/>
      <c r="O63" s="30"/>
      <c r="P63" s="30"/>
      <c r="Q63" s="1"/>
      <c r="R63" s="1"/>
    </row>
    <row r="64" ht="15.75" customHeight="1">
      <c r="A64" s="1"/>
      <c r="B64" s="14">
        <v>61.0</v>
      </c>
      <c r="C64" s="130" t="s">
        <v>336</v>
      </c>
      <c r="D64" s="15" t="s">
        <v>20</v>
      </c>
      <c r="E64" s="16"/>
      <c r="F64" s="38" t="s">
        <v>33</v>
      </c>
      <c r="G64" s="46"/>
      <c r="H64" s="36">
        <v>100000.0</v>
      </c>
      <c r="I64" s="38" t="s">
        <v>24</v>
      </c>
      <c r="J64" s="38" t="s">
        <v>55</v>
      </c>
      <c r="K64" s="14"/>
      <c r="L64" s="38" t="s">
        <v>26</v>
      </c>
      <c r="M64" s="14"/>
      <c r="N64" s="65"/>
      <c r="O64" s="65"/>
      <c r="P64" s="65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174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175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178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182</v>
      </c>
      <c r="O69" s="77" t="s">
        <v>25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2" t="s">
        <v>188</v>
      </c>
      <c r="O70" s="84" t="s">
        <v>26</v>
      </c>
      <c r="P70" s="1"/>
      <c r="Q70" s="1"/>
      <c r="R70" s="1"/>
    </row>
    <row r="71" ht="15.75" customHeight="1">
      <c r="A71" s="1"/>
      <c r="B71" s="72">
        <v>3.0</v>
      </c>
      <c r="C71" s="98" t="s">
        <v>186</v>
      </c>
      <c r="D71" s="9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5" t="s">
        <v>193</v>
      </c>
      <c r="O71" s="86" t="s">
        <v>40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195</v>
      </c>
      <c r="O72" s="84" t="s">
        <v>69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1"/>
      <c r="D74" s="83"/>
      <c r="E74" s="75"/>
      <c r="F74" s="1"/>
      <c r="G74" s="1"/>
      <c r="H74" s="1"/>
      <c r="I74" s="1"/>
      <c r="J74" s="1"/>
      <c r="K74" s="89" t="s">
        <v>200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202</v>
      </c>
      <c r="M75" s="90" t="s">
        <v>203</v>
      </c>
      <c r="N75" s="90" t="s">
        <v>204</v>
      </c>
      <c r="O75" s="90" t="s">
        <v>205</v>
      </c>
      <c r="P75" s="90" t="s">
        <v>206</v>
      </c>
      <c r="Q75" s="1"/>
      <c r="R75" s="1"/>
      <c r="AC75" s="92" t="s">
        <v>207</v>
      </c>
      <c r="AD75" s="92" t="s">
        <v>208</v>
      </c>
      <c r="AE75" s="92" t="s">
        <v>209</v>
      </c>
      <c r="AF75" s="92" t="s">
        <v>210</v>
      </c>
      <c r="AG75" s="92" t="s">
        <v>211</v>
      </c>
    </row>
    <row r="76" ht="15.75" customHeight="1">
      <c r="A76" s="1"/>
      <c r="B76" s="78">
        <v>8.0</v>
      </c>
      <c r="C76" s="81"/>
      <c r="D76" s="83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2">
        <f t="shared" ref="AC76:AC81" si="3">IF(AG76="","",IF(COUNT(L76:P76)&lt;5,"",L76/5*20+M76/5*25+N76/5*25+O76/5*15+P76/5*15))</f>
        <v>100</v>
      </c>
      <c r="AD76" s="92" t="str">
        <f t="shared" ref="AD76:AD81" si="4">IF(AC76="","",IF(AC76&gt;=90,"Sangat Baik",IF(AC76&gt;=80,"Baik",IF(AC76&gt;=70,"Coaching","Underperform"))))</f>
        <v>Sangat Baik</v>
      </c>
      <c r="AE76" s="92" t="str">
        <f t="shared" ref="AE76:AE81" si="5">IF(AG76="","",IF(OR(AG76="INDAH",AG76="ADDEL",AG76="AMEL",AG76="PENTIL",AG76="JIJANG"),"Admin/CS","Fotografer"))</f>
        <v>Admin/CS</v>
      </c>
      <c r="AF76" s="92">
        <f t="shared" ref="AF76:AF81" si="6">IF(OR(AG76="",COUNT(L76:P76)&lt;5),"",1)</f>
        <v>1</v>
      </c>
      <c r="AG76" s="92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Admin/CS</v>
      </c>
      <c r="AF77" s="92">
        <f t="shared" si="6"/>
        <v>1</v>
      </c>
      <c r="AG77" s="92" t="str">
        <f t="shared" si="7"/>
        <v>AMEL</v>
      </c>
    </row>
    <row r="78" ht="15.75" customHeight="1">
      <c r="A78" s="1"/>
      <c r="B78" s="78">
        <v>10.0</v>
      </c>
      <c r="C78" s="81"/>
      <c r="D78" s="83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2">
        <f t="shared" si="3"/>
        <v>100</v>
      </c>
      <c r="AD78" s="92" t="str">
        <f t="shared" si="4"/>
        <v>Sangat Baik</v>
      </c>
      <c r="AE78" s="92" t="str">
        <f t="shared" si="5"/>
        <v>Fotografer</v>
      </c>
      <c r="AF78" s="92">
        <f t="shared" si="6"/>
        <v>1</v>
      </c>
      <c r="AG78" s="92" t="str">
        <f t="shared" si="7"/>
        <v>ADIF</v>
      </c>
    </row>
    <row r="79" ht="15.75" customHeight="1">
      <c r="A79" s="1"/>
      <c r="B79" s="105">
        <v>11.0</v>
      </c>
      <c r="C79" s="106"/>
      <c r="D79" s="107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2">
        <f t="shared" si="3"/>
        <v>100</v>
      </c>
      <c r="AD79" s="92" t="str">
        <f t="shared" si="4"/>
        <v>Sangat Baik</v>
      </c>
      <c r="AE79" s="92" t="str">
        <f t="shared" si="5"/>
        <v>Fotografer</v>
      </c>
      <c r="AF79" s="92">
        <f t="shared" si="6"/>
        <v>1</v>
      </c>
      <c r="AG79" s="92" t="str">
        <f t="shared" si="7"/>
        <v>SAKA</v>
      </c>
    </row>
    <row r="80" ht="15.75" customHeight="1">
      <c r="A80" s="1"/>
      <c r="B80" s="1"/>
      <c r="C80" s="2"/>
      <c r="D80" s="108">
        <f>SUM(D69:D79)</f>
        <v>4770000</v>
      </c>
      <c r="E80" s="1"/>
      <c r="F80" s="1"/>
      <c r="G80" s="1"/>
      <c r="H80" s="1"/>
      <c r="I80" s="1"/>
      <c r="J80" s="1"/>
      <c r="K80" s="93"/>
      <c r="L80" s="109"/>
      <c r="M80" s="109"/>
      <c r="N80" s="109"/>
      <c r="O80" s="109"/>
      <c r="P80" s="109"/>
      <c r="Q80" s="1"/>
      <c r="R80" s="1"/>
      <c r="AC80" s="92" t="str">
        <f t="shared" si="3"/>
        <v/>
      </c>
      <c r="AD80" s="92" t="str">
        <f t="shared" si="4"/>
        <v/>
      </c>
      <c r="AE80" s="92" t="str">
        <f t="shared" si="5"/>
        <v/>
      </c>
      <c r="AF80" s="92" t="str">
        <f t="shared" si="6"/>
        <v/>
      </c>
      <c r="AG80" s="92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9"/>
      <c r="M81" s="109"/>
      <c r="N81" s="109"/>
      <c r="O81" s="109"/>
      <c r="P81" s="109"/>
      <c r="Q81" s="1"/>
      <c r="R81" s="1"/>
      <c r="AC81" s="92" t="str">
        <f t="shared" si="3"/>
        <v/>
      </c>
      <c r="AD81" s="92" t="str">
        <f t="shared" si="4"/>
        <v/>
      </c>
      <c r="AE81" s="92" t="str">
        <f t="shared" si="5"/>
        <v/>
      </c>
      <c r="AF81" s="92" t="str">
        <f t="shared" si="6"/>
        <v/>
      </c>
      <c r="AG81" s="92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4"/>
      <c r="M86" s="114"/>
    </row>
    <row r="87" ht="15.75" customHeight="1">
      <c r="K87" s="113" t="str">
        <f t="shared" si="8"/>
        <v>AMEL</v>
      </c>
      <c r="L87" s="114"/>
      <c r="M87" s="114"/>
    </row>
    <row r="88" ht="15.75" customHeight="1"/>
    <row r="89" ht="19.5" customHeight="1">
      <c r="K89" s="116" t="s">
        <v>226</v>
      </c>
    </row>
    <row r="90" ht="19.5" customHeight="1">
      <c r="K90" s="117" t="s">
        <v>227</v>
      </c>
      <c r="M90" s="115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340</v>
      </c>
      <c r="D4" s="17" t="s">
        <v>21</v>
      </c>
      <c r="E4" s="18"/>
      <c r="F4" s="21" t="s">
        <v>312</v>
      </c>
      <c r="G4" s="22"/>
      <c r="H4" s="131">
        <v>100000.0</v>
      </c>
      <c r="I4" s="21" t="s">
        <v>24</v>
      </c>
      <c r="J4" s="16"/>
      <c r="K4" s="16"/>
      <c r="L4" s="21" t="s">
        <v>26</v>
      </c>
      <c r="M4" s="16"/>
      <c r="N4" s="26"/>
      <c r="O4" s="26"/>
      <c r="P4" s="28"/>
      <c r="Q4" s="1"/>
      <c r="R4" s="1"/>
    </row>
    <row r="5" ht="15.75" customHeight="1">
      <c r="A5" s="1"/>
      <c r="B5" s="14">
        <v>2.0</v>
      </c>
      <c r="C5" s="15" t="s">
        <v>316</v>
      </c>
      <c r="D5" s="17" t="s">
        <v>20</v>
      </c>
      <c r="E5" s="43"/>
      <c r="F5" s="21" t="s">
        <v>33</v>
      </c>
      <c r="G5" s="22"/>
      <c r="H5" s="131">
        <v>250000.0</v>
      </c>
      <c r="I5" s="21" t="s">
        <v>37</v>
      </c>
      <c r="J5" s="21" t="s">
        <v>38</v>
      </c>
      <c r="K5" s="21" t="s">
        <v>39</v>
      </c>
      <c r="L5" s="21" t="s">
        <v>26</v>
      </c>
      <c r="M5" s="21" t="s">
        <v>40</v>
      </c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144</v>
      </c>
      <c r="D6" s="17" t="s">
        <v>93</v>
      </c>
      <c r="E6" s="18"/>
      <c r="F6" s="21" t="s">
        <v>33</v>
      </c>
      <c r="G6" s="137">
        <v>400000.0</v>
      </c>
      <c r="H6" s="138"/>
      <c r="I6" s="16"/>
      <c r="J6" s="16"/>
      <c r="K6" s="16"/>
      <c r="L6" s="21" t="s">
        <v>287</v>
      </c>
      <c r="M6" s="21" t="s">
        <v>69</v>
      </c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341</v>
      </c>
      <c r="D7" s="17" t="s">
        <v>93</v>
      </c>
      <c r="E7" s="18"/>
      <c r="F7" s="21" t="s">
        <v>33</v>
      </c>
      <c r="G7" s="137">
        <v>440000.0</v>
      </c>
      <c r="H7" s="138"/>
      <c r="I7" s="16"/>
      <c r="J7" s="16"/>
      <c r="K7" s="16"/>
      <c r="L7" s="21" t="s">
        <v>287</v>
      </c>
      <c r="M7" s="21" t="s">
        <v>104</v>
      </c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342</v>
      </c>
      <c r="D8" s="17" t="s">
        <v>20</v>
      </c>
      <c r="E8" s="18"/>
      <c r="F8" s="21" t="s">
        <v>33</v>
      </c>
      <c r="G8" s="22"/>
      <c r="H8" s="131">
        <v>200000.0</v>
      </c>
      <c r="I8" s="16"/>
      <c r="J8" s="16"/>
      <c r="K8" s="16"/>
      <c r="L8" s="21" t="s">
        <v>287</v>
      </c>
      <c r="M8" s="21" t="s">
        <v>104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15" t="s">
        <v>343</v>
      </c>
      <c r="D9" s="17" t="s">
        <v>20</v>
      </c>
      <c r="E9" s="130" t="s">
        <v>260</v>
      </c>
      <c r="F9" s="21" t="s">
        <v>33</v>
      </c>
      <c r="G9" s="22"/>
      <c r="H9" s="131">
        <v>500000.0</v>
      </c>
      <c r="I9" s="16"/>
      <c r="J9" s="16"/>
      <c r="K9" s="16"/>
      <c r="L9" s="21" t="s">
        <v>287</v>
      </c>
      <c r="M9" s="21" t="s">
        <v>53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5" t="s">
        <v>344</v>
      </c>
      <c r="D10" s="17" t="s">
        <v>20</v>
      </c>
      <c r="E10" s="18"/>
      <c r="F10" s="21" t="s">
        <v>33</v>
      </c>
      <c r="G10" s="44">
        <v>250000.0</v>
      </c>
      <c r="H10" s="144"/>
      <c r="I10" s="16"/>
      <c r="J10" s="16"/>
      <c r="K10" s="16"/>
      <c r="L10" s="21" t="s">
        <v>287</v>
      </c>
      <c r="M10" s="21" t="s">
        <v>40</v>
      </c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15" t="s">
        <v>64</v>
      </c>
      <c r="D11" s="17" t="s">
        <v>20</v>
      </c>
      <c r="E11" s="18"/>
      <c r="F11" s="21" t="s">
        <v>33</v>
      </c>
      <c r="G11" s="44">
        <v>0.0</v>
      </c>
      <c r="H11" s="136">
        <v>0.0</v>
      </c>
      <c r="I11" s="16"/>
      <c r="J11" s="16"/>
      <c r="K11" s="16"/>
      <c r="L11" s="21" t="s">
        <v>287</v>
      </c>
      <c r="M11" s="21" t="s">
        <v>69</v>
      </c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15" t="s">
        <v>336</v>
      </c>
      <c r="D12" s="17" t="s">
        <v>20</v>
      </c>
      <c r="E12" s="18"/>
      <c r="F12" s="21" t="s">
        <v>33</v>
      </c>
      <c r="G12" s="44">
        <v>250000.0</v>
      </c>
      <c r="H12" s="144"/>
      <c r="I12" s="16"/>
      <c r="J12" s="16"/>
      <c r="K12" s="16"/>
      <c r="L12" s="21" t="s">
        <v>287</v>
      </c>
      <c r="M12" s="21" t="s">
        <v>104</v>
      </c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15" t="s">
        <v>345</v>
      </c>
      <c r="D13" s="17" t="s">
        <v>20</v>
      </c>
      <c r="E13" s="18"/>
      <c r="F13" s="21" t="s">
        <v>33</v>
      </c>
      <c r="G13" s="137">
        <v>290000.0</v>
      </c>
      <c r="H13" s="138"/>
      <c r="I13" s="16"/>
      <c r="J13" s="16"/>
      <c r="K13" s="16"/>
      <c r="L13" s="21" t="s">
        <v>287</v>
      </c>
      <c r="M13" s="21" t="s">
        <v>53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15" t="s">
        <v>346</v>
      </c>
      <c r="D14" s="17" t="s">
        <v>20</v>
      </c>
      <c r="E14" s="18"/>
      <c r="F14" s="21" t="s">
        <v>33</v>
      </c>
      <c r="G14" s="22"/>
      <c r="H14" s="131">
        <v>290000.0</v>
      </c>
      <c r="I14" s="16"/>
      <c r="J14" s="16"/>
      <c r="K14" s="16"/>
      <c r="L14" s="21" t="s">
        <v>287</v>
      </c>
      <c r="M14" s="21" t="s">
        <v>40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15" t="s">
        <v>347</v>
      </c>
      <c r="D15" s="17" t="s">
        <v>20</v>
      </c>
      <c r="E15" s="18"/>
      <c r="F15" s="21" t="s">
        <v>33</v>
      </c>
      <c r="G15" s="22"/>
      <c r="H15" s="131">
        <v>250000.0</v>
      </c>
      <c r="I15" s="16"/>
      <c r="J15" s="16"/>
      <c r="K15" s="16"/>
      <c r="L15" s="21" t="s">
        <v>287</v>
      </c>
      <c r="M15" s="21" t="s">
        <v>104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15" t="s">
        <v>62</v>
      </c>
      <c r="D16" s="17" t="s">
        <v>20</v>
      </c>
      <c r="E16" s="18"/>
      <c r="F16" s="21" t="s">
        <v>33</v>
      </c>
      <c r="G16" s="22"/>
      <c r="H16" s="131">
        <v>250000.0</v>
      </c>
      <c r="I16" s="16"/>
      <c r="J16" s="16"/>
      <c r="K16" s="16"/>
      <c r="L16" s="21" t="s">
        <v>287</v>
      </c>
      <c r="M16" s="21" t="s">
        <v>69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15" t="s">
        <v>348</v>
      </c>
      <c r="D17" s="17" t="s">
        <v>20</v>
      </c>
      <c r="E17" s="18"/>
      <c r="F17" s="21" t="s">
        <v>33</v>
      </c>
      <c r="G17" s="131">
        <v>250000.0</v>
      </c>
      <c r="H17" s="131"/>
      <c r="I17" s="16"/>
      <c r="J17" s="16"/>
      <c r="K17" s="16"/>
      <c r="L17" s="21" t="s">
        <v>287</v>
      </c>
      <c r="M17" s="21" t="s">
        <v>53</v>
      </c>
      <c r="N17" s="30"/>
      <c r="O17" s="30"/>
      <c r="P17" s="30"/>
      <c r="Q17" s="1"/>
      <c r="R17" s="1"/>
    </row>
    <row r="18" ht="15.75" customHeight="1">
      <c r="A18" s="1"/>
      <c r="B18" s="38">
        <v>15.0</v>
      </c>
      <c r="C18" s="15" t="s">
        <v>18</v>
      </c>
      <c r="D18" s="17" t="s">
        <v>20</v>
      </c>
      <c r="E18" s="18"/>
      <c r="F18" s="21" t="s">
        <v>33</v>
      </c>
      <c r="G18" s="137">
        <v>0.0</v>
      </c>
      <c r="H18" s="131">
        <v>0.0</v>
      </c>
      <c r="I18" s="16"/>
      <c r="J18" s="16"/>
      <c r="K18" s="16"/>
      <c r="L18" s="21" t="s">
        <v>287</v>
      </c>
      <c r="M18" s="21" t="s">
        <v>40</v>
      </c>
      <c r="N18" s="30"/>
      <c r="O18" s="30"/>
      <c r="P18" s="30"/>
      <c r="Q18" s="1"/>
      <c r="R18" s="1"/>
    </row>
    <row r="19" ht="15.75" customHeight="1">
      <c r="A19" s="1"/>
      <c r="B19" s="38">
        <v>16.0</v>
      </c>
      <c r="C19" s="15" t="s">
        <v>32</v>
      </c>
      <c r="D19" s="17" t="s">
        <v>20</v>
      </c>
      <c r="E19" s="18"/>
      <c r="F19" s="21" t="s">
        <v>33</v>
      </c>
      <c r="G19" s="137">
        <v>250000.0</v>
      </c>
      <c r="H19" s="138"/>
      <c r="I19" s="16"/>
      <c r="J19" s="16"/>
      <c r="K19" s="16"/>
      <c r="L19" s="21" t="s">
        <v>287</v>
      </c>
      <c r="M19" s="21" t="s">
        <v>53</v>
      </c>
      <c r="N19" s="30"/>
      <c r="O19" s="30"/>
      <c r="P19" s="30"/>
      <c r="Q19" s="1"/>
      <c r="R19" s="1"/>
    </row>
    <row r="20" ht="15.75" customHeight="1">
      <c r="A20" s="1"/>
      <c r="B20" s="38">
        <v>17.0</v>
      </c>
      <c r="C20" s="15" t="s">
        <v>27</v>
      </c>
      <c r="D20" s="17" t="s">
        <v>20</v>
      </c>
      <c r="E20" s="18"/>
      <c r="F20" s="21" t="s">
        <v>33</v>
      </c>
      <c r="G20" s="22"/>
      <c r="H20" s="131">
        <v>250000.0</v>
      </c>
      <c r="I20" s="16"/>
      <c r="J20" s="16"/>
      <c r="K20" s="16"/>
      <c r="L20" s="21" t="s">
        <v>287</v>
      </c>
      <c r="M20" s="21" t="s">
        <v>104</v>
      </c>
      <c r="N20" s="30"/>
      <c r="O20" s="30"/>
      <c r="P20" s="30"/>
      <c r="Q20" s="1"/>
      <c r="R20" s="1"/>
    </row>
    <row r="21" ht="15.75" customHeight="1">
      <c r="A21" s="1"/>
      <c r="B21" s="38">
        <v>18.0</v>
      </c>
      <c r="C21" s="15" t="s">
        <v>125</v>
      </c>
      <c r="D21" s="17" t="s">
        <v>20</v>
      </c>
      <c r="E21" s="18"/>
      <c r="F21" s="21" t="s">
        <v>33</v>
      </c>
      <c r="G21" s="22"/>
      <c r="H21" s="131">
        <v>250000.0</v>
      </c>
      <c r="I21" s="16"/>
      <c r="J21" s="16"/>
      <c r="K21" s="16"/>
      <c r="L21" s="21" t="s">
        <v>287</v>
      </c>
      <c r="M21" s="21" t="s">
        <v>40</v>
      </c>
      <c r="N21" s="30"/>
      <c r="O21" s="30"/>
      <c r="P21" s="30"/>
      <c r="Q21" s="1"/>
      <c r="R21" s="1"/>
    </row>
    <row r="22" ht="15.75" customHeight="1">
      <c r="A22" s="1"/>
      <c r="B22" s="38">
        <v>19.0</v>
      </c>
      <c r="C22" s="15" t="s">
        <v>349</v>
      </c>
      <c r="D22" s="17" t="s">
        <v>20</v>
      </c>
      <c r="E22" s="18"/>
      <c r="F22" s="21" t="s">
        <v>33</v>
      </c>
      <c r="G22" s="137">
        <v>0.0</v>
      </c>
      <c r="H22" s="131">
        <v>0.0</v>
      </c>
      <c r="I22" s="16"/>
      <c r="J22" s="16"/>
      <c r="K22" s="16"/>
      <c r="L22" s="21" t="s">
        <v>287</v>
      </c>
      <c r="M22" s="21" t="s">
        <v>69</v>
      </c>
      <c r="N22" s="30"/>
      <c r="O22" s="30"/>
      <c r="P22" s="30"/>
      <c r="Q22" s="1"/>
      <c r="R22" s="1"/>
    </row>
    <row r="23" ht="15.75" customHeight="1">
      <c r="A23" s="1"/>
      <c r="B23" s="38">
        <v>20.0</v>
      </c>
      <c r="C23" s="15" t="s">
        <v>350</v>
      </c>
      <c r="D23" s="17" t="s">
        <v>20</v>
      </c>
      <c r="E23" s="18"/>
      <c r="F23" s="21" t="s">
        <v>33</v>
      </c>
      <c r="G23" s="22"/>
      <c r="H23" s="131">
        <v>250000.0</v>
      </c>
      <c r="I23" s="16"/>
      <c r="J23" s="16"/>
      <c r="K23" s="16"/>
      <c r="L23" s="21" t="s">
        <v>287</v>
      </c>
      <c r="M23" s="21" t="s">
        <v>53</v>
      </c>
      <c r="N23" s="30"/>
      <c r="O23" s="30"/>
      <c r="P23" s="30"/>
      <c r="Q23" s="1"/>
      <c r="R23" s="1"/>
    </row>
    <row r="24" ht="15.75" customHeight="1">
      <c r="A24" s="1"/>
      <c r="B24" s="38">
        <v>21.0</v>
      </c>
      <c r="C24" s="15" t="s">
        <v>351</v>
      </c>
      <c r="D24" s="17" t="s">
        <v>20</v>
      </c>
      <c r="E24" s="18"/>
      <c r="F24" s="21" t="s">
        <v>33</v>
      </c>
      <c r="G24" s="137">
        <v>0.0</v>
      </c>
      <c r="H24" s="131">
        <v>0.0</v>
      </c>
      <c r="I24" s="16"/>
      <c r="J24" s="16"/>
      <c r="K24" s="16"/>
      <c r="L24" s="21" t="s">
        <v>287</v>
      </c>
      <c r="M24" s="21" t="s">
        <v>40</v>
      </c>
      <c r="N24" s="30"/>
      <c r="O24" s="30"/>
      <c r="P24" s="30"/>
      <c r="Q24" s="1"/>
      <c r="R24" s="1"/>
    </row>
    <row r="25" ht="15.75" customHeight="1">
      <c r="A25" s="1"/>
      <c r="B25" s="38">
        <v>22.0</v>
      </c>
      <c r="C25" s="15" t="s">
        <v>352</v>
      </c>
      <c r="D25" s="17" t="s">
        <v>20</v>
      </c>
      <c r="E25" s="18"/>
      <c r="F25" s="21" t="s">
        <v>33</v>
      </c>
      <c r="G25" s="137">
        <v>250000.0</v>
      </c>
      <c r="H25" s="138"/>
      <c r="I25" s="16"/>
      <c r="J25" s="16"/>
      <c r="K25" s="16"/>
      <c r="L25" s="21" t="s">
        <v>287</v>
      </c>
      <c r="M25" s="21" t="s">
        <v>103</v>
      </c>
      <c r="N25" s="30"/>
      <c r="O25" s="30"/>
      <c r="P25" s="30"/>
      <c r="Q25" s="1"/>
      <c r="R25" s="1"/>
    </row>
    <row r="26" ht="15.75" customHeight="1">
      <c r="A26" s="1"/>
      <c r="B26" s="38">
        <v>23.0</v>
      </c>
      <c r="C26" s="15" t="s">
        <v>353</v>
      </c>
      <c r="D26" s="17" t="s">
        <v>20</v>
      </c>
      <c r="E26" s="18"/>
      <c r="F26" s="21" t="s">
        <v>33</v>
      </c>
      <c r="G26" s="137">
        <v>250000.0</v>
      </c>
      <c r="H26" s="138"/>
      <c r="I26" s="16"/>
      <c r="J26" s="16"/>
      <c r="K26" s="16"/>
      <c r="L26" s="21" t="s">
        <v>287</v>
      </c>
      <c r="M26" s="21" t="s">
        <v>53</v>
      </c>
      <c r="N26" s="30"/>
      <c r="O26" s="30"/>
      <c r="P26" s="30"/>
      <c r="Q26" s="1"/>
      <c r="R26" s="1"/>
    </row>
    <row r="27" ht="15.75" customHeight="1">
      <c r="A27" s="1"/>
      <c r="B27" s="38">
        <v>24.0</v>
      </c>
      <c r="C27" s="15" t="s">
        <v>354</v>
      </c>
      <c r="D27" s="17" t="s">
        <v>20</v>
      </c>
      <c r="E27" s="18"/>
      <c r="F27" s="21" t="s">
        <v>33</v>
      </c>
      <c r="G27" s="137">
        <v>250000.0</v>
      </c>
      <c r="H27" s="138"/>
      <c r="I27" s="16"/>
      <c r="J27" s="16"/>
      <c r="K27" s="16"/>
      <c r="L27" s="21" t="s">
        <v>287</v>
      </c>
      <c r="M27" s="21" t="s">
        <v>69</v>
      </c>
      <c r="N27" s="30"/>
      <c r="O27" s="30"/>
      <c r="P27" s="30"/>
      <c r="Q27" s="1"/>
      <c r="R27" s="1"/>
    </row>
    <row r="28" ht="15.75" customHeight="1">
      <c r="A28" s="1"/>
      <c r="B28" s="38">
        <v>25.0</v>
      </c>
      <c r="C28" s="15" t="s">
        <v>355</v>
      </c>
      <c r="D28" s="17" t="s">
        <v>20</v>
      </c>
      <c r="E28" s="18"/>
      <c r="F28" s="21" t="s">
        <v>33</v>
      </c>
      <c r="G28" s="22"/>
      <c r="H28" s="131">
        <v>270000.0</v>
      </c>
      <c r="I28" s="16"/>
      <c r="J28" s="16"/>
      <c r="K28" s="16"/>
      <c r="L28" s="21" t="s">
        <v>287</v>
      </c>
      <c r="M28" s="21" t="s">
        <v>40</v>
      </c>
      <c r="N28" s="30"/>
      <c r="O28" s="30"/>
      <c r="P28" s="30"/>
      <c r="Q28" s="1"/>
      <c r="R28" s="1"/>
    </row>
    <row r="29" ht="15.75" customHeight="1">
      <c r="A29" s="1"/>
      <c r="B29" s="38">
        <v>26.0</v>
      </c>
      <c r="C29" s="15" t="s">
        <v>356</v>
      </c>
      <c r="D29" s="17" t="s">
        <v>20</v>
      </c>
      <c r="E29" s="18"/>
      <c r="F29" s="21" t="s">
        <v>33</v>
      </c>
      <c r="G29" s="137">
        <v>250000.0</v>
      </c>
      <c r="H29" s="138"/>
      <c r="I29" s="16"/>
      <c r="J29" s="16"/>
      <c r="K29" s="16"/>
      <c r="L29" s="21" t="s">
        <v>287</v>
      </c>
      <c r="M29" s="21" t="s">
        <v>69</v>
      </c>
      <c r="N29" s="30"/>
      <c r="O29" s="30"/>
      <c r="P29" s="30"/>
      <c r="Q29" s="1"/>
      <c r="R29" s="1"/>
    </row>
    <row r="30" ht="15.75" customHeight="1">
      <c r="A30" s="1"/>
      <c r="B30" s="38">
        <v>27.0</v>
      </c>
      <c r="C30" s="15" t="s">
        <v>180</v>
      </c>
      <c r="D30" s="133"/>
      <c r="E30" s="18"/>
      <c r="F30" s="21" t="s">
        <v>33</v>
      </c>
      <c r="G30" s="22"/>
      <c r="H30" s="131">
        <v>250000.0</v>
      </c>
      <c r="I30" s="16"/>
      <c r="J30" s="16"/>
      <c r="K30" s="16"/>
      <c r="L30" s="16"/>
      <c r="M30" s="21" t="s">
        <v>53</v>
      </c>
      <c r="N30" s="30"/>
      <c r="O30" s="30"/>
      <c r="P30" s="30"/>
      <c r="Q30" s="1"/>
      <c r="R30" s="1"/>
    </row>
    <row r="31" ht="15.75" customHeight="1">
      <c r="A31" s="1"/>
      <c r="B31" s="38">
        <v>28.0</v>
      </c>
      <c r="C31" s="15" t="s">
        <v>357</v>
      </c>
      <c r="D31" s="133"/>
      <c r="E31" s="18"/>
      <c r="F31" s="21" t="s">
        <v>33</v>
      </c>
      <c r="G31" s="22"/>
      <c r="H31" s="131">
        <v>250000.0</v>
      </c>
      <c r="I31" s="16"/>
      <c r="J31" s="16"/>
      <c r="K31" s="16"/>
      <c r="L31" s="16"/>
      <c r="M31" s="21" t="s">
        <v>69</v>
      </c>
      <c r="N31" s="30"/>
      <c r="O31" s="30"/>
      <c r="P31" s="30"/>
      <c r="Q31" s="1"/>
      <c r="R31" s="1"/>
    </row>
    <row r="32" ht="15.75" customHeight="1">
      <c r="A32" s="1"/>
      <c r="B32" s="38">
        <v>29.0</v>
      </c>
      <c r="C32" s="15" t="s">
        <v>358</v>
      </c>
      <c r="D32" s="133"/>
      <c r="E32" s="18"/>
      <c r="F32" s="21" t="s">
        <v>33</v>
      </c>
      <c r="G32" s="22"/>
      <c r="H32" s="138"/>
      <c r="I32" s="16"/>
      <c r="J32" s="16"/>
      <c r="K32" s="16"/>
      <c r="L32" s="16"/>
      <c r="M32" s="21" t="s">
        <v>53</v>
      </c>
      <c r="N32" s="30"/>
      <c r="O32" s="30"/>
      <c r="P32" s="30"/>
      <c r="Q32" s="1"/>
      <c r="R32" s="1"/>
    </row>
    <row r="33" ht="15.75" customHeight="1">
      <c r="A33" s="1"/>
      <c r="B33" s="38">
        <v>30.0</v>
      </c>
      <c r="C33" s="91"/>
      <c r="D33" s="133"/>
      <c r="E33" s="18"/>
      <c r="F33" s="21" t="s">
        <v>33</v>
      </c>
      <c r="G33" s="22"/>
      <c r="H33" s="138"/>
      <c r="I33" s="16"/>
      <c r="J33" s="16"/>
      <c r="K33" s="16"/>
      <c r="L33" s="16"/>
      <c r="M33" s="16"/>
      <c r="N33" s="30"/>
      <c r="O33" s="30"/>
      <c r="P33" s="30"/>
      <c r="Q33" s="1"/>
      <c r="R33" s="1"/>
    </row>
    <row r="34" ht="15.75" customHeight="1">
      <c r="A34" s="1"/>
      <c r="B34" s="38">
        <v>31.0</v>
      </c>
      <c r="C34" s="91"/>
      <c r="D34" s="133"/>
      <c r="E34" s="18"/>
      <c r="F34" s="21" t="s">
        <v>33</v>
      </c>
      <c r="G34" s="22"/>
      <c r="H34" s="138"/>
      <c r="I34" s="16"/>
      <c r="J34" s="16"/>
      <c r="K34" s="16"/>
      <c r="L34" s="16"/>
      <c r="M34" s="16"/>
      <c r="N34" s="30"/>
      <c r="O34" s="30"/>
      <c r="P34" s="30"/>
      <c r="Q34" s="1"/>
      <c r="R34" s="1"/>
    </row>
    <row r="35" ht="15.75" customHeight="1">
      <c r="A35" s="1"/>
      <c r="B35" s="38">
        <v>32.0</v>
      </c>
      <c r="C35" s="91"/>
      <c r="D35" s="133"/>
      <c r="E35" s="18"/>
      <c r="F35" s="16"/>
      <c r="G35" s="22"/>
      <c r="H35" s="138"/>
      <c r="I35" s="16"/>
      <c r="J35" s="16"/>
      <c r="K35" s="16"/>
      <c r="L35" s="16"/>
      <c r="M35" s="16"/>
      <c r="N35" s="30"/>
      <c r="O35" s="30"/>
      <c r="P35" s="30"/>
      <c r="Q35" s="1"/>
      <c r="R35" s="1"/>
    </row>
    <row r="36" ht="15.75" customHeight="1">
      <c r="A36" s="1"/>
      <c r="B36" s="38">
        <v>33.0</v>
      </c>
      <c r="C36" s="91"/>
      <c r="D36" s="133"/>
      <c r="E36" s="18"/>
      <c r="F36" s="16"/>
      <c r="G36" s="22"/>
      <c r="H36" s="138"/>
      <c r="I36" s="16"/>
      <c r="J36" s="16"/>
      <c r="K36" s="16"/>
      <c r="L36" s="16"/>
      <c r="M36" s="16"/>
      <c r="N36" s="30"/>
      <c r="O36" s="30"/>
      <c r="P36" s="30"/>
      <c r="Q36" s="1"/>
      <c r="R36" s="1"/>
    </row>
    <row r="37" ht="15.75" customHeight="1">
      <c r="A37" s="1"/>
      <c r="B37" s="38">
        <v>34.0</v>
      </c>
      <c r="C37" s="91"/>
      <c r="D37" s="133"/>
      <c r="E37" s="18"/>
      <c r="F37" s="16"/>
      <c r="G37" s="22"/>
      <c r="H37" s="138"/>
      <c r="I37" s="16"/>
      <c r="J37" s="16"/>
      <c r="K37" s="16"/>
      <c r="L37" s="16"/>
      <c r="M37" s="16"/>
      <c r="N37" s="30"/>
      <c r="O37" s="30"/>
      <c r="P37" s="30"/>
      <c r="Q37" s="1"/>
      <c r="R37" s="1"/>
    </row>
    <row r="38" ht="15.75" customHeight="1">
      <c r="A38" s="1"/>
      <c r="B38" s="38">
        <v>35.0</v>
      </c>
      <c r="C38" s="147" t="s">
        <v>359</v>
      </c>
      <c r="D38" s="17" t="s">
        <v>71</v>
      </c>
      <c r="E38" s="130">
        <v>5.0</v>
      </c>
      <c r="F38" s="25">
        <v>46278.0</v>
      </c>
      <c r="G38" s="22"/>
      <c r="H38" s="131">
        <v>500000.0</v>
      </c>
      <c r="I38" s="21" t="s">
        <v>37</v>
      </c>
      <c r="J38" s="16"/>
      <c r="K38" s="16"/>
      <c r="L38" s="21" t="s">
        <v>26</v>
      </c>
      <c r="M38" s="16"/>
      <c r="N38" s="30"/>
      <c r="O38" s="30"/>
      <c r="P38" s="30"/>
      <c r="Q38" s="1"/>
      <c r="R38" s="1"/>
    </row>
    <row r="39" ht="15.75" customHeight="1">
      <c r="A39" s="1"/>
      <c r="B39" s="38">
        <v>36.0</v>
      </c>
      <c r="C39" s="15" t="s">
        <v>360</v>
      </c>
      <c r="D39" s="17" t="s">
        <v>20</v>
      </c>
      <c r="E39" s="18"/>
      <c r="F39" s="21" t="s">
        <v>33</v>
      </c>
      <c r="G39" s="137">
        <v>350000.0</v>
      </c>
      <c r="H39" s="138"/>
      <c r="I39" s="21" t="s">
        <v>37</v>
      </c>
      <c r="J39" s="21" t="s">
        <v>38</v>
      </c>
      <c r="K39" s="21" t="s">
        <v>39</v>
      </c>
      <c r="L39" s="21" t="s">
        <v>26</v>
      </c>
      <c r="M39" s="21" t="s">
        <v>69</v>
      </c>
      <c r="N39" s="30"/>
      <c r="O39" s="30"/>
      <c r="P39" s="30"/>
      <c r="Q39" s="1"/>
      <c r="R39" s="1"/>
    </row>
    <row r="40" ht="15.75" customHeight="1">
      <c r="A40" s="1"/>
      <c r="B40" s="38">
        <v>37.0</v>
      </c>
      <c r="C40" s="15" t="s">
        <v>361</v>
      </c>
      <c r="D40" s="17" t="s">
        <v>20</v>
      </c>
      <c r="E40" s="18"/>
      <c r="F40" s="21" t="s">
        <v>33</v>
      </c>
      <c r="G40" s="22"/>
      <c r="H40" s="131">
        <v>100000.0</v>
      </c>
      <c r="I40" s="21" t="s">
        <v>24</v>
      </c>
      <c r="J40" s="16"/>
      <c r="K40" s="16"/>
      <c r="L40" s="21" t="s">
        <v>26</v>
      </c>
      <c r="M40" s="16"/>
      <c r="N40" s="30"/>
      <c r="O40" s="30"/>
      <c r="P40" s="30"/>
      <c r="Q40" s="1"/>
      <c r="R40" s="1"/>
    </row>
    <row r="41" ht="15.75" customHeight="1">
      <c r="A41" s="1"/>
      <c r="B41" s="38">
        <v>38.0</v>
      </c>
      <c r="C41" s="15" t="s">
        <v>362</v>
      </c>
      <c r="D41" s="17" t="s">
        <v>20</v>
      </c>
      <c r="E41" s="18"/>
      <c r="F41" s="21" t="s">
        <v>33</v>
      </c>
      <c r="G41" s="22"/>
      <c r="H41" s="131">
        <v>250000.0</v>
      </c>
      <c r="I41" s="21" t="s">
        <v>37</v>
      </c>
      <c r="J41" s="21" t="s">
        <v>38</v>
      </c>
      <c r="K41" s="21" t="s">
        <v>39</v>
      </c>
      <c r="L41" s="21" t="s">
        <v>26</v>
      </c>
      <c r="M41" s="21" t="s">
        <v>103</v>
      </c>
      <c r="N41" s="30"/>
      <c r="O41" s="30"/>
      <c r="P41" s="30"/>
      <c r="Q41" s="1"/>
      <c r="R41" s="1"/>
    </row>
    <row r="42" ht="15.75" customHeight="1">
      <c r="A42" s="1"/>
      <c r="B42" s="38">
        <v>39.0</v>
      </c>
      <c r="C42" s="15" t="s">
        <v>363</v>
      </c>
      <c r="D42" s="17" t="s">
        <v>20</v>
      </c>
      <c r="E42" s="18"/>
      <c r="F42" s="21" t="s">
        <v>33</v>
      </c>
      <c r="G42" s="137">
        <v>0.0</v>
      </c>
      <c r="H42" s="131">
        <v>0.0</v>
      </c>
      <c r="I42" s="21"/>
      <c r="J42" s="21" t="s">
        <v>38</v>
      </c>
      <c r="K42" s="21" t="s">
        <v>39</v>
      </c>
      <c r="L42" s="21" t="s">
        <v>26</v>
      </c>
      <c r="M42" s="21" t="s">
        <v>69</v>
      </c>
      <c r="N42" s="30"/>
      <c r="O42" s="30"/>
      <c r="P42" s="30"/>
      <c r="Q42" s="1"/>
      <c r="R42" s="1"/>
    </row>
    <row r="43" ht="15.75" customHeight="1">
      <c r="A43" s="1"/>
      <c r="B43" s="38">
        <v>40.0</v>
      </c>
      <c r="C43" s="15" t="s">
        <v>364</v>
      </c>
      <c r="D43" s="17" t="s">
        <v>20</v>
      </c>
      <c r="E43" s="18"/>
      <c r="F43" s="21" t="s">
        <v>45</v>
      </c>
      <c r="G43" s="22"/>
      <c r="H43" s="131">
        <v>100000.0</v>
      </c>
      <c r="I43" s="21" t="s">
        <v>24</v>
      </c>
      <c r="J43" s="16"/>
      <c r="K43" s="16"/>
      <c r="L43" s="21" t="s">
        <v>26</v>
      </c>
      <c r="M43" s="16"/>
      <c r="N43" s="30"/>
      <c r="O43" s="30"/>
      <c r="P43" s="30"/>
      <c r="Q43" s="1"/>
      <c r="R43" s="1"/>
    </row>
    <row r="44" ht="15.75" customHeight="1">
      <c r="A44" s="1"/>
      <c r="B44" s="38">
        <v>41.0</v>
      </c>
      <c r="C44" s="15" t="s">
        <v>365</v>
      </c>
      <c r="D44" s="17" t="s">
        <v>20</v>
      </c>
      <c r="E44" s="18"/>
      <c r="F44" s="21" t="s">
        <v>45</v>
      </c>
      <c r="G44" s="22"/>
      <c r="H44" s="131">
        <v>100000.0</v>
      </c>
      <c r="I44" s="21" t="s">
        <v>24</v>
      </c>
      <c r="J44" s="16"/>
      <c r="K44" s="16"/>
      <c r="L44" s="21" t="s">
        <v>26</v>
      </c>
      <c r="M44" s="16"/>
      <c r="N44" s="30"/>
      <c r="O44" s="30"/>
      <c r="P44" s="30"/>
      <c r="Q44" s="1"/>
      <c r="R44" s="1"/>
    </row>
    <row r="45" ht="15.75" customHeight="1">
      <c r="A45" s="1"/>
      <c r="B45" s="38">
        <v>42.0</v>
      </c>
      <c r="C45" s="15" t="s">
        <v>366</v>
      </c>
      <c r="D45" s="17" t="s">
        <v>20</v>
      </c>
      <c r="E45" s="18"/>
      <c r="F45" s="21" t="s">
        <v>33</v>
      </c>
      <c r="G45" s="22"/>
      <c r="H45" s="131">
        <v>250000.0</v>
      </c>
      <c r="I45" s="21" t="s">
        <v>37</v>
      </c>
      <c r="J45" s="21" t="s">
        <v>38</v>
      </c>
      <c r="K45" s="21" t="s">
        <v>39</v>
      </c>
      <c r="L45" s="21" t="s">
        <v>26</v>
      </c>
      <c r="M45" s="21" t="s">
        <v>40</v>
      </c>
      <c r="N45" s="30"/>
      <c r="O45" s="30"/>
      <c r="P45" s="30"/>
      <c r="Q45" s="1"/>
      <c r="R45" s="1"/>
    </row>
    <row r="46" ht="15.75" customHeight="1">
      <c r="A46" s="1"/>
      <c r="B46" s="38">
        <v>43.0</v>
      </c>
      <c r="C46" s="15" t="s">
        <v>280</v>
      </c>
      <c r="D46" s="17" t="s">
        <v>20</v>
      </c>
      <c r="E46" s="18"/>
      <c r="F46" s="21" t="s">
        <v>33</v>
      </c>
      <c r="G46" s="137">
        <v>430000.0</v>
      </c>
      <c r="H46" s="138"/>
      <c r="I46" s="21" t="s">
        <v>37</v>
      </c>
      <c r="J46" s="21" t="s">
        <v>38</v>
      </c>
      <c r="K46" s="21" t="s">
        <v>39</v>
      </c>
      <c r="L46" s="21" t="s">
        <v>26</v>
      </c>
      <c r="M46" s="21" t="s">
        <v>103</v>
      </c>
      <c r="N46" s="30"/>
      <c r="O46" s="30"/>
      <c r="P46" s="30"/>
      <c r="Q46" s="1"/>
      <c r="R46" s="1"/>
    </row>
    <row r="47" ht="15.75" customHeight="1">
      <c r="A47" s="1"/>
      <c r="B47" s="38">
        <v>44.0</v>
      </c>
      <c r="C47" s="15" t="s">
        <v>367</v>
      </c>
      <c r="D47" s="17" t="s">
        <v>20</v>
      </c>
      <c r="E47" s="130" t="s">
        <v>269</v>
      </c>
      <c r="F47" s="21" t="s">
        <v>33</v>
      </c>
      <c r="G47" s="22"/>
      <c r="H47" s="131">
        <v>400000.0</v>
      </c>
      <c r="I47" s="21" t="s">
        <v>37</v>
      </c>
      <c r="J47" s="21" t="s">
        <v>38</v>
      </c>
      <c r="K47" s="21" t="s">
        <v>39</v>
      </c>
      <c r="L47" s="21" t="s">
        <v>26</v>
      </c>
      <c r="M47" s="21" t="s">
        <v>40</v>
      </c>
      <c r="N47" s="30"/>
      <c r="O47" s="30"/>
      <c r="P47" s="30"/>
      <c r="Q47" s="1"/>
      <c r="R47" s="1"/>
    </row>
    <row r="48" ht="15.75" customHeight="1">
      <c r="A48" s="1"/>
      <c r="B48" s="38">
        <v>45.0</v>
      </c>
      <c r="C48" s="15" t="s">
        <v>74</v>
      </c>
      <c r="D48" s="17" t="s">
        <v>20</v>
      </c>
      <c r="E48" s="18"/>
      <c r="F48" s="21" t="s">
        <v>33</v>
      </c>
      <c r="G48" s="22"/>
      <c r="H48" s="131">
        <v>290000.0</v>
      </c>
      <c r="I48" s="21" t="s">
        <v>37</v>
      </c>
      <c r="J48" s="21" t="s">
        <v>38</v>
      </c>
      <c r="K48" s="21" t="s">
        <v>39</v>
      </c>
      <c r="L48" s="21" t="s">
        <v>26</v>
      </c>
      <c r="M48" s="21" t="s">
        <v>69</v>
      </c>
      <c r="N48" s="30"/>
      <c r="O48" s="30"/>
      <c r="P48" s="30"/>
      <c r="Q48" s="1"/>
      <c r="R48" s="1"/>
    </row>
    <row r="49" ht="15.75" customHeight="1">
      <c r="A49" s="1"/>
      <c r="B49" s="38">
        <v>46.0</v>
      </c>
      <c r="C49" s="15" t="s">
        <v>368</v>
      </c>
      <c r="D49" s="17" t="s">
        <v>20</v>
      </c>
      <c r="E49" s="18"/>
      <c r="F49" s="21" t="s">
        <v>33</v>
      </c>
      <c r="G49" s="22"/>
      <c r="H49" s="131">
        <v>100000.0</v>
      </c>
      <c r="I49" s="21" t="s">
        <v>24</v>
      </c>
      <c r="J49" s="16"/>
      <c r="K49" s="16"/>
      <c r="L49" s="21" t="s">
        <v>26</v>
      </c>
      <c r="M49" s="16"/>
      <c r="N49" s="30"/>
      <c r="O49" s="30"/>
      <c r="P49" s="30"/>
      <c r="Q49" s="1"/>
      <c r="R49" s="1"/>
    </row>
    <row r="50" ht="15.75" customHeight="1">
      <c r="A50" s="1"/>
      <c r="B50" s="38">
        <v>47.0</v>
      </c>
      <c r="C50" s="15" t="s">
        <v>369</v>
      </c>
      <c r="D50" s="17" t="s">
        <v>21</v>
      </c>
      <c r="E50" s="18"/>
      <c r="F50" s="21" t="s">
        <v>173</v>
      </c>
      <c r="G50" s="22"/>
      <c r="H50" s="131">
        <v>100000.0</v>
      </c>
      <c r="I50" s="21" t="s">
        <v>24</v>
      </c>
      <c r="J50" s="16"/>
      <c r="K50" s="16"/>
      <c r="L50" s="21" t="s">
        <v>26</v>
      </c>
      <c r="M50" s="16"/>
      <c r="N50" s="30"/>
      <c r="O50" s="30"/>
      <c r="P50" s="30"/>
      <c r="Q50" s="1"/>
      <c r="R50" s="1"/>
    </row>
    <row r="51" ht="15.75" customHeight="1">
      <c r="A51" s="1"/>
      <c r="B51" s="38">
        <v>48.0</v>
      </c>
      <c r="C51" s="15" t="s">
        <v>309</v>
      </c>
      <c r="D51" s="17" t="s">
        <v>250</v>
      </c>
      <c r="E51" s="18"/>
      <c r="F51" s="21" t="s">
        <v>33</v>
      </c>
      <c r="G51" s="22"/>
      <c r="H51" s="131">
        <v>25000.0</v>
      </c>
      <c r="I51" s="21" t="s">
        <v>37</v>
      </c>
      <c r="J51" s="16"/>
      <c r="K51" s="16"/>
      <c r="L51" s="21" t="s">
        <v>26</v>
      </c>
      <c r="M51" s="16"/>
      <c r="N51" s="30"/>
      <c r="O51" s="30"/>
      <c r="P51" s="30"/>
      <c r="Q51" s="1"/>
      <c r="R51" s="1"/>
    </row>
    <row r="52" ht="15.75" customHeight="1">
      <c r="A52" s="1"/>
      <c r="B52" s="38">
        <v>49.0</v>
      </c>
      <c r="C52" s="15" t="s">
        <v>370</v>
      </c>
      <c r="D52" s="17" t="s">
        <v>20</v>
      </c>
      <c r="E52" s="18"/>
      <c r="F52" s="42">
        <v>46274.0</v>
      </c>
      <c r="G52" s="22"/>
      <c r="H52" s="131">
        <v>250000.0</v>
      </c>
      <c r="I52" s="21" t="s">
        <v>37</v>
      </c>
      <c r="J52" s="21" t="s">
        <v>38</v>
      </c>
      <c r="K52" s="21" t="s">
        <v>39</v>
      </c>
      <c r="L52" s="21" t="s">
        <v>25</v>
      </c>
      <c r="M52" s="21" t="s">
        <v>40</v>
      </c>
      <c r="N52" s="30"/>
      <c r="O52" s="30"/>
      <c r="P52" s="30"/>
      <c r="Q52" s="1"/>
      <c r="R52" s="1"/>
    </row>
    <row r="53" ht="15.75" customHeight="1">
      <c r="A53" s="1"/>
      <c r="B53" s="38">
        <v>50.0</v>
      </c>
      <c r="C53" s="15" t="s">
        <v>371</v>
      </c>
      <c r="D53" s="17" t="s">
        <v>246</v>
      </c>
      <c r="E53" s="18"/>
      <c r="F53" s="21" t="s">
        <v>312</v>
      </c>
      <c r="G53" s="22"/>
      <c r="H53" s="131">
        <v>100000.0</v>
      </c>
      <c r="I53" s="21" t="s">
        <v>24</v>
      </c>
      <c r="J53" s="16"/>
      <c r="K53" s="16"/>
      <c r="L53" s="21" t="s">
        <v>26</v>
      </c>
      <c r="M53" s="16"/>
      <c r="N53" s="30"/>
      <c r="O53" s="30"/>
      <c r="P53" s="30"/>
      <c r="Q53" s="1"/>
      <c r="R53" s="1"/>
    </row>
    <row r="54" ht="15.75" customHeight="1">
      <c r="A54" s="1"/>
      <c r="B54" s="38">
        <v>51.0</v>
      </c>
      <c r="C54" s="15" t="s">
        <v>272</v>
      </c>
      <c r="D54" s="17" t="s">
        <v>20</v>
      </c>
      <c r="E54" s="18"/>
      <c r="F54" s="21" t="s">
        <v>33</v>
      </c>
      <c r="G54" s="22"/>
      <c r="H54" s="131">
        <v>250000.0</v>
      </c>
      <c r="I54" s="21" t="s">
        <v>37</v>
      </c>
      <c r="J54" s="21" t="s">
        <v>38</v>
      </c>
      <c r="K54" s="21" t="s">
        <v>39</v>
      </c>
      <c r="L54" s="21" t="s">
        <v>26</v>
      </c>
      <c r="M54" s="21" t="s">
        <v>69</v>
      </c>
      <c r="N54" s="30"/>
      <c r="O54" s="30"/>
      <c r="P54" s="30"/>
      <c r="Q54" s="1"/>
      <c r="R54" s="1"/>
    </row>
    <row r="55" ht="15.75" customHeight="1">
      <c r="A55" s="1"/>
      <c r="B55" s="38">
        <v>52.0</v>
      </c>
      <c r="C55" s="15" t="s">
        <v>372</v>
      </c>
      <c r="D55" s="17" t="s">
        <v>20</v>
      </c>
      <c r="E55" s="18"/>
      <c r="F55" s="21" t="s">
        <v>33</v>
      </c>
      <c r="G55" s="137">
        <v>0.0</v>
      </c>
      <c r="H55" s="131">
        <v>0.0</v>
      </c>
      <c r="I55" s="21" t="s">
        <v>37</v>
      </c>
      <c r="J55" s="21" t="s">
        <v>38</v>
      </c>
      <c r="K55" s="21" t="s">
        <v>55</v>
      </c>
      <c r="L55" s="21" t="s">
        <v>26</v>
      </c>
      <c r="M55" s="21" t="s">
        <v>40</v>
      </c>
      <c r="N55" s="30"/>
      <c r="O55" s="30"/>
      <c r="P55" s="30"/>
      <c r="Q55" s="1"/>
      <c r="R55" s="1"/>
    </row>
    <row r="56" ht="15.75" customHeight="1">
      <c r="A56" s="1"/>
      <c r="B56" s="38">
        <v>53.0</v>
      </c>
      <c r="C56" s="15" t="s">
        <v>373</v>
      </c>
      <c r="D56" s="17" t="s">
        <v>71</v>
      </c>
      <c r="E56" s="18"/>
      <c r="F56" s="21" t="s">
        <v>312</v>
      </c>
      <c r="G56" s="22"/>
      <c r="H56" s="131">
        <v>100000.0</v>
      </c>
      <c r="I56" s="21" t="s">
        <v>37</v>
      </c>
      <c r="J56" s="16"/>
      <c r="K56" s="16"/>
      <c r="L56" s="21" t="s">
        <v>26</v>
      </c>
      <c r="M56" s="16"/>
      <c r="N56" s="30"/>
      <c r="O56" s="30"/>
      <c r="P56" s="30"/>
      <c r="Q56" s="1"/>
      <c r="R56" s="1"/>
    </row>
    <row r="57" ht="15.75" customHeight="1">
      <c r="A57" s="1"/>
      <c r="B57" s="38">
        <v>54.0</v>
      </c>
      <c r="C57" s="91"/>
      <c r="D57" s="133"/>
      <c r="E57" s="18"/>
      <c r="F57" s="16"/>
      <c r="G57" s="22"/>
      <c r="H57" s="138"/>
      <c r="I57" s="16"/>
      <c r="J57" s="16"/>
      <c r="K57" s="16"/>
      <c r="L57" s="16"/>
      <c r="M57" s="16"/>
      <c r="N57" s="30"/>
      <c r="O57" s="30"/>
      <c r="P57" s="30"/>
      <c r="Q57" s="1"/>
      <c r="R57" s="1"/>
    </row>
    <row r="58" ht="15.75" customHeight="1">
      <c r="A58" s="1"/>
      <c r="B58" s="38">
        <v>55.0</v>
      </c>
      <c r="C58" s="91"/>
      <c r="D58" s="133"/>
      <c r="E58" s="18"/>
      <c r="F58" s="16"/>
      <c r="G58" s="22"/>
      <c r="H58" s="138"/>
      <c r="I58" s="16"/>
      <c r="J58" s="16"/>
      <c r="K58" s="16"/>
      <c r="L58" s="16"/>
      <c r="M58" s="16"/>
      <c r="N58" s="30"/>
      <c r="O58" s="30"/>
      <c r="P58" s="30"/>
      <c r="Q58" s="1"/>
      <c r="R58" s="1"/>
    </row>
    <row r="59" ht="15.75" customHeight="1">
      <c r="A59" s="1"/>
      <c r="B59" s="38">
        <v>56.0</v>
      </c>
      <c r="C59" s="91"/>
      <c r="D59" s="133"/>
      <c r="E59" s="18"/>
      <c r="F59" s="16"/>
      <c r="G59" s="22"/>
      <c r="H59" s="138"/>
      <c r="I59" s="16"/>
      <c r="J59" s="16"/>
      <c r="K59" s="16"/>
      <c r="L59" s="16"/>
      <c r="M59" s="16"/>
      <c r="N59" s="30"/>
      <c r="O59" s="30"/>
      <c r="P59" s="30"/>
      <c r="Q59" s="1"/>
      <c r="R59" s="1"/>
    </row>
    <row r="60" ht="15.75" customHeight="1">
      <c r="A60" s="1"/>
      <c r="B60" s="38">
        <v>57.0</v>
      </c>
      <c r="C60" s="91"/>
      <c r="D60" s="133"/>
      <c r="E60" s="18"/>
      <c r="F60" s="16"/>
      <c r="G60" s="22"/>
      <c r="H60" s="138"/>
      <c r="I60" s="16"/>
      <c r="J60" s="16"/>
      <c r="K60" s="16"/>
      <c r="L60" s="16"/>
      <c r="M60" s="16"/>
      <c r="N60" s="65"/>
      <c r="O60" s="65"/>
      <c r="P60" s="65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174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175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178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182</v>
      </c>
      <c r="O65" s="77" t="s">
        <v>25</v>
      </c>
      <c r="P65" s="1"/>
      <c r="Q65" s="1"/>
      <c r="R65" s="1"/>
    </row>
    <row r="66" ht="15.75" customHeight="1">
      <c r="A66" s="1"/>
      <c r="B66" s="78">
        <v>2.0</v>
      </c>
      <c r="C66" s="96" t="s">
        <v>381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2" t="s">
        <v>188</v>
      </c>
      <c r="O66" s="84" t="s">
        <v>26</v>
      </c>
      <c r="P66" s="1"/>
      <c r="Q66" s="1"/>
      <c r="R66" s="1"/>
    </row>
    <row r="67" ht="15.75" customHeight="1">
      <c r="A67" s="1"/>
      <c r="B67" s="72">
        <v>3.0</v>
      </c>
      <c r="C67" s="98" t="s">
        <v>383</v>
      </c>
      <c r="D67" s="99">
        <v>-125000.0</v>
      </c>
      <c r="E67" s="75"/>
      <c r="F67" s="1"/>
      <c r="G67" s="1"/>
      <c r="H67" s="1"/>
      <c r="I67" s="1"/>
      <c r="J67" s="1"/>
      <c r="K67" s="1"/>
      <c r="L67" s="95" t="s">
        <v>385</v>
      </c>
      <c r="M67" s="95"/>
      <c r="N67" s="85" t="s">
        <v>193</v>
      </c>
      <c r="O67" s="86" t="s">
        <v>40</v>
      </c>
      <c r="P67" s="1"/>
      <c r="Q67" s="1"/>
      <c r="R67" s="1"/>
    </row>
    <row r="68" ht="15.75" customHeight="1">
      <c r="A68" s="1"/>
      <c r="B68" s="78">
        <v>4.0</v>
      </c>
      <c r="C68" s="81"/>
      <c r="D68" s="83"/>
      <c r="E68" s="75"/>
      <c r="F68" s="1"/>
      <c r="G68" s="1"/>
      <c r="H68" s="1"/>
      <c r="I68" s="1"/>
      <c r="J68" s="1"/>
      <c r="K68" s="1"/>
      <c r="L68" s="1"/>
      <c r="M68" s="1"/>
      <c r="N68" s="87" t="s">
        <v>195</v>
      </c>
      <c r="O68" s="84" t="s">
        <v>69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1"/>
      <c r="D70" s="83"/>
      <c r="E70" s="75"/>
      <c r="F70" s="1"/>
      <c r="G70" s="1"/>
      <c r="H70" s="1"/>
      <c r="I70" s="1"/>
      <c r="J70" s="1"/>
      <c r="K70" s="89" t="s">
        <v>200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202</v>
      </c>
      <c r="M71" s="90" t="s">
        <v>203</v>
      </c>
      <c r="N71" s="90" t="s">
        <v>204</v>
      </c>
      <c r="O71" s="90" t="s">
        <v>205</v>
      </c>
      <c r="P71" s="90" t="s">
        <v>206</v>
      </c>
      <c r="Q71" s="1"/>
      <c r="R71" s="1"/>
      <c r="AC71" s="92" t="s">
        <v>207</v>
      </c>
      <c r="AD71" s="92" t="s">
        <v>208</v>
      </c>
      <c r="AE71" s="92" t="s">
        <v>209</v>
      </c>
      <c r="AF71" s="92" t="s">
        <v>210</v>
      </c>
      <c r="AG71" s="92" t="s">
        <v>211</v>
      </c>
    </row>
    <row r="72" ht="15.75" customHeight="1">
      <c r="A72" s="1"/>
      <c r="B72" s="78">
        <v>8.0</v>
      </c>
      <c r="C72" s="81"/>
      <c r="D72" s="83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2">
        <f t="shared" ref="AC72:AC77" si="3">IF(AG72="","",IF(COUNT(L72:P72)&lt;5,"",L72/5*20+M72/5*25+N72/5*25+O72/5*15+P72/5*15))</f>
        <v>100</v>
      </c>
      <c r="AD72" s="92" t="str">
        <f t="shared" ref="AD72:AD77" si="4">IF(AC72="","",IF(AC72&gt;=90,"Sangat Baik",IF(AC72&gt;=80,"Baik",IF(AC72&gt;=70,"Coaching","Underperform"))))</f>
        <v>Sangat Baik</v>
      </c>
      <c r="AE72" s="92" t="str">
        <f t="shared" ref="AE72:AE77" si="5">IF(AG72="","",IF(OR(AG72="INDAH",AG72="ADDEL",AG72="AMEL",AG72="PENTIL",AG72="JIJANG"),"Admin/CS","Fotografer"))</f>
        <v>Admin/CS</v>
      </c>
      <c r="AF72" s="92">
        <f t="shared" ref="AF72:AF77" si="6">IF(OR(AG72="",COUNT(L72:P72)&lt;5),"",1)</f>
        <v>1</v>
      </c>
      <c r="AG72" s="92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2">
        <f t="shared" si="3"/>
        <v>100</v>
      </c>
      <c r="AD73" s="92" t="str">
        <f t="shared" si="4"/>
        <v>Sangat Baik</v>
      </c>
      <c r="AE73" s="92" t="str">
        <f t="shared" si="5"/>
        <v>Admin/CS</v>
      </c>
      <c r="AF73" s="92">
        <f t="shared" si="6"/>
        <v>1</v>
      </c>
      <c r="AG73" s="92" t="str">
        <f t="shared" si="7"/>
        <v>AMEL</v>
      </c>
    </row>
    <row r="74" ht="15.75" customHeight="1">
      <c r="A74" s="1"/>
      <c r="B74" s="78">
        <v>10.0</v>
      </c>
      <c r="C74" s="81"/>
      <c r="D74" s="83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2">
        <f t="shared" si="3"/>
        <v>100</v>
      </c>
      <c r="AD74" s="92" t="str">
        <f t="shared" si="4"/>
        <v>Sangat Baik</v>
      </c>
      <c r="AE74" s="92" t="str">
        <f t="shared" si="5"/>
        <v>Fotografer</v>
      </c>
      <c r="AF74" s="92">
        <f t="shared" si="6"/>
        <v>1</v>
      </c>
      <c r="AG74" s="92" t="str">
        <f t="shared" si="7"/>
        <v>ADIF</v>
      </c>
    </row>
    <row r="75" ht="15.75" customHeight="1">
      <c r="A75" s="1"/>
      <c r="B75" s="105">
        <v>11.0</v>
      </c>
      <c r="C75" s="106"/>
      <c r="D75" s="107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Fotografer</v>
      </c>
      <c r="AF75" s="92">
        <f t="shared" si="6"/>
        <v>1</v>
      </c>
      <c r="AG75" s="92" t="str">
        <f t="shared" si="7"/>
        <v>SAKA</v>
      </c>
    </row>
    <row r="76" ht="15.75" customHeight="1">
      <c r="A76" s="1"/>
      <c r="B76" s="1"/>
      <c r="C76" s="2"/>
      <c r="D76" s="108">
        <f>SUM(D65:D75)</f>
        <v>3675000</v>
      </c>
      <c r="E76" s="1"/>
      <c r="F76" s="1"/>
      <c r="G76" s="1"/>
      <c r="H76" s="1"/>
      <c r="I76" s="1"/>
      <c r="J76" s="1"/>
      <c r="K76" s="93"/>
      <c r="L76" s="109"/>
      <c r="M76" s="109"/>
      <c r="N76" s="109"/>
      <c r="O76" s="109"/>
      <c r="P76" s="109"/>
      <c r="Q76" s="1"/>
      <c r="R76" s="1"/>
      <c r="AC76" s="92" t="str">
        <f t="shared" si="3"/>
        <v/>
      </c>
      <c r="AD76" s="92" t="str">
        <f t="shared" si="4"/>
        <v/>
      </c>
      <c r="AE76" s="92" t="str">
        <f t="shared" si="5"/>
        <v/>
      </c>
      <c r="AF76" s="92" t="str">
        <f t="shared" si="6"/>
        <v/>
      </c>
      <c r="AG76" s="92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9"/>
      <c r="M77" s="109"/>
      <c r="N77" s="109"/>
      <c r="O77" s="109"/>
      <c r="P77" s="109"/>
      <c r="Q77" s="1"/>
      <c r="R77" s="1"/>
      <c r="AC77" s="92" t="str">
        <f t="shared" si="3"/>
        <v/>
      </c>
      <c r="AD77" s="92" t="str">
        <f t="shared" si="4"/>
        <v/>
      </c>
      <c r="AE77" s="92" t="str">
        <f t="shared" si="5"/>
        <v/>
      </c>
      <c r="AF77" s="92" t="str">
        <f t="shared" si="6"/>
        <v/>
      </c>
      <c r="AG77" s="92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4"/>
      <c r="M82" s="114"/>
    </row>
    <row r="83" ht="15.75" customHeight="1">
      <c r="K83" s="113" t="str">
        <f t="shared" si="8"/>
        <v>AMEL</v>
      </c>
      <c r="L83" s="114"/>
      <c r="M83" s="114"/>
    </row>
    <row r="84" ht="15.75" customHeight="1"/>
    <row r="85" ht="19.5" customHeight="1">
      <c r="K85" s="116" t="s">
        <v>226</v>
      </c>
    </row>
    <row r="86" ht="19.5" customHeight="1">
      <c r="K86" s="117" t="s">
        <v>227</v>
      </c>
      <c r="M86" s="115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374</v>
      </c>
      <c r="D4" s="17" t="s">
        <v>375</v>
      </c>
      <c r="E4" s="129">
        <v>7.0</v>
      </c>
      <c r="F4" s="21" t="s">
        <v>33</v>
      </c>
      <c r="G4" s="23"/>
      <c r="H4" s="24">
        <v>70000.0</v>
      </c>
      <c r="I4" s="21" t="s">
        <v>37</v>
      </c>
      <c r="J4" s="128" t="s">
        <v>55</v>
      </c>
      <c r="K4" s="128" t="s">
        <v>38</v>
      </c>
      <c r="L4" s="21" t="s">
        <v>26</v>
      </c>
      <c r="M4" s="27"/>
      <c r="N4" s="26"/>
      <c r="O4" s="26"/>
      <c r="P4" s="28"/>
      <c r="Q4" s="1"/>
      <c r="R4" s="1"/>
    </row>
    <row r="5" ht="15.75" customHeight="1">
      <c r="A5" s="1"/>
      <c r="B5" s="14">
        <v>2.0</v>
      </c>
      <c r="C5" s="15" t="s">
        <v>376</v>
      </c>
      <c r="D5" s="17" t="s">
        <v>20</v>
      </c>
      <c r="E5" s="19"/>
      <c r="F5" s="21" t="s">
        <v>312</v>
      </c>
      <c r="G5" s="23"/>
      <c r="H5" s="24">
        <v>290000.0</v>
      </c>
      <c r="I5" s="21" t="s">
        <v>37</v>
      </c>
      <c r="J5" s="128" t="s">
        <v>38</v>
      </c>
      <c r="K5" s="128" t="s">
        <v>38</v>
      </c>
      <c r="L5" s="21" t="s">
        <v>26</v>
      </c>
      <c r="M5" s="128" t="s">
        <v>40</v>
      </c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377</v>
      </c>
      <c r="D6" s="17" t="s">
        <v>378</v>
      </c>
      <c r="E6" s="129" t="s">
        <v>379</v>
      </c>
      <c r="F6" s="21" t="s">
        <v>61</v>
      </c>
      <c r="G6" s="39"/>
      <c r="H6" s="24">
        <v>125000.0</v>
      </c>
      <c r="I6" s="21" t="s">
        <v>37</v>
      </c>
      <c r="J6" s="21" t="s">
        <v>55</v>
      </c>
      <c r="K6" s="21" t="s">
        <v>38</v>
      </c>
      <c r="L6" s="21" t="s">
        <v>26</v>
      </c>
      <c r="M6" s="16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380</v>
      </c>
      <c r="D7" s="17" t="s">
        <v>21</v>
      </c>
      <c r="E7" s="18"/>
      <c r="F7" s="21" t="s">
        <v>382</v>
      </c>
      <c r="G7" s="23"/>
      <c r="H7" s="24">
        <v>100000.0</v>
      </c>
      <c r="I7" s="21" t="s">
        <v>24</v>
      </c>
      <c r="J7" s="27"/>
      <c r="K7" s="27"/>
      <c r="L7" s="21" t="s">
        <v>26</v>
      </c>
      <c r="M7" s="27"/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384</v>
      </c>
      <c r="D8" s="17" t="s">
        <v>20</v>
      </c>
      <c r="E8" s="19"/>
      <c r="F8" s="21" t="s">
        <v>45</v>
      </c>
      <c r="G8" s="23"/>
      <c r="H8" s="24">
        <v>100000.0</v>
      </c>
      <c r="I8" s="21" t="s">
        <v>24</v>
      </c>
      <c r="J8" s="27"/>
      <c r="K8" s="27"/>
      <c r="L8" s="21" t="s">
        <v>26</v>
      </c>
      <c r="M8" s="27"/>
      <c r="N8" s="30"/>
      <c r="O8" s="30"/>
      <c r="P8" s="30"/>
      <c r="Q8" s="1"/>
      <c r="R8" s="1"/>
    </row>
    <row r="9" ht="15.75" customHeight="1">
      <c r="A9" s="1"/>
      <c r="B9" s="14">
        <v>6.0</v>
      </c>
      <c r="C9" s="15" t="s">
        <v>386</v>
      </c>
      <c r="D9" s="17" t="s">
        <v>21</v>
      </c>
      <c r="E9" s="19"/>
      <c r="F9" s="21" t="s">
        <v>387</v>
      </c>
      <c r="G9" s="23"/>
      <c r="H9" s="24">
        <v>100000.0</v>
      </c>
      <c r="I9" s="21" t="s">
        <v>24</v>
      </c>
      <c r="J9" s="27"/>
      <c r="K9" s="27"/>
      <c r="L9" s="21" t="s">
        <v>26</v>
      </c>
      <c r="M9" s="27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5" t="s">
        <v>388</v>
      </c>
      <c r="D10" s="17" t="s">
        <v>21</v>
      </c>
      <c r="E10" s="18"/>
      <c r="F10" s="21" t="s">
        <v>389</v>
      </c>
      <c r="G10" s="39"/>
      <c r="H10" s="40">
        <v>100000.0</v>
      </c>
      <c r="I10" s="21" t="s">
        <v>24</v>
      </c>
      <c r="J10" s="27"/>
      <c r="K10" s="27"/>
      <c r="L10" s="21" t="s">
        <v>26</v>
      </c>
      <c r="M10" s="27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15" t="s">
        <v>390</v>
      </c>
      <c r="D11" s="17" t="s">
        <v>246</v>
      </c>
      <c r="E11" s="129" t="s">
        <v>391</v>
      </c>
      <c r="F11" s="21" t="s">
        <v>312</v>
      </c>
      <c r="G11" s="39"/>
      <c r="H11" s="40">
        <v>60000.0</v>
      </c>
      <c r="I11" s="21" t="s">
        <v>37</v>
      </c>
      <c r="J11" s="128" t="s">
        <v>38</v>
      </c>
      <c r="K11" s="128" t="s">
        <v>39</v>
      </c>
      <c r="L11" s="21" t="s">
        <v>26</v>
      </c>
      <c r="M11" s="128" t="s">
        <v>40</v>
      </c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15" t="s">
        <v>393</v>
      </c>
      <c r="D12" s="17" t="s">
        <v>20</v>
      </c>
      <c r="E12" s="19"/>
      <c r="F12" s="21" t="s">
        <v>45</v>
      </c>
      <c r="G12" s="23"/>
      <c r="H12" s="24">
        <v>100000.0</v>
      </c>
      <c r="I12" s="21" t="s">
        <v>24</v>
      </c>
      <c r="J12" s="21"/>
      <c r="K12" s="21"/>
      <c r="L12" s="21" t="s">
        <v>25</v>
      </c>
      <c r="M12" s="21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15" t="s">
        <v>395</v>
      </c>
      <c r="D13" s="17" t="s">
        <v>246</v>
      </c>
      <c r="E13" s="18"/>
      <c r="F13" s="42">
        <v>46275.0</v>
      </c>
      <c r="G13" s="23"/>
      <c r="H13" s="24">
        <v>100000.0</v>
      </c>
      <c r="I13" s="21" t="s">
        <v>37</v>
      </c>
      <c r="J13" s="21" t="s">
        <v>38</v>
      </c>
      <c r="K13" s="21" t="s">
        <v>38</v>
      </c>
      <c r="L13" s="21" t="s">
        <v>25</v>
      </c>
      <c r="M13" s="21" t="s">
        <v>69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397</v>
      </c>
      <c r="D14" s="15" t="s">
        <v>93</v>
      </c>
      <c r="E14" s="16"/>
      <c r="F14" s="51">
        <v>46284.0</v>
      </c>
      <c r="G14" s="46"/>
      <c r="H14" s="36">
        <v>100000.0</v>
      </c>
      <c r="I14" s="38" t="s">
        <v>24</v>
      </c>
      <c r="J14" s="14"/>
      <c r="K14" s="14"/>
      <c r="L14" s="38" t="s">
        <v>25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400</v>
      </c>
      <c r="D15" s="15" t="s">
        <v>21</v>
      </c>
      <c r="E15" s="16"/>
      <c r="F15" s="51">
        <v>46279.0</v>
      </c>
      <c r="G15" s="46"/>
      <c r="H15" s="36">
        <v>100000.0</v>
      </c>
      <c r="I15" s="38" t="s">
        <v>24</v>
      </c>
      <c r="J15" s="14"/>
      <c r="K15" s="14"/>
      <c r="L15" s="38" t="s">
        <v>25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402</v>
      </c>
      <c r="D16" s="15" t="s">
        <v>21</v>
      </c>
      <c r="E16" s="16"/>
      <c r="F16" s="51">
        <v>46275.0</v>
      </c>
      <c r="G16" s="46"/>
      <c r="H16" s="36">
        <v>1125000.0</v>
      </c>
      <c r="I16" s="38" t="s">
        <v>37</v>
      </c>
      <c r="J16" s="38" t="s">
        <v>38</v>
      </c>
      <c r="K16" s="38" t="s">
        <v>39</v>
      </c>
      <c r="L16" s="38" t="s">
        <v>25</v>
      </c>
      <c r="M16" s="38" t="s">
        <v>69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404</v>
      </c>
      <c r="D17" s="15" t="s">
        <v>21</v>
      </c>
      <c r="E17" s="16"/>
      <c r="F17" s="51">
        <v>46275.0</v>
      </c>
      <c r="G17" s="64">
        <v>175000.0</v>
      </c>
      <c r="H17" s="60"/>
      <c r="I17" s="38" t="s">
        <v>37</v>
      </c>
      <c r="J17" s="38" t="s">
        <v>38</v>
      </c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340</v>
      </c>
      <c r="D18" s="15" t="s">
        <v>21</v>
      </c>
      <c r="E18" s="16"/>
      <c r="F18" s="51">
        <v>46275.0</v>
      </c>
      <c r="G18" s="46"/>
      <c r="H18" s="36">
        <v>100000.0</v>
      </c>
      <c r="I18" s="38" t="s">
        <v>37</v>
      </c>
      <c r="J18" s="38" t="s">
        <v>38</v>
      </c>
      <c r="K18" s="38" t="s">
        <v>38</v>
      </c>
      <c r="L18" s="38" t="s">
        <v>25</v>
      </c>
      <c r="M18" s="38" t="s">
        <v>40</v>
      </c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175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178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182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103"/>
      <c r="D24" s="104"/>
      <c r="E24" s="75"/>
      <c r="F24" s="1"/>
      <c r="G24" s="1"/>
      <c r="H24" s="1"/>
      <c r="I24" s="1"/>
      <c r="J24" s="1"/>
      <c r="K24" s="1"/>
      <c r="L24" s="1"/>
      <c r="M24" s="1"/>
      <c r="N24" s="82" t="s">
        <v>188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140"/>
      <c r="D25" s="141"/>
      <c r="E25" s="75"/>
      <c r="F25" s="1"/>
      <c r="G25" s="1"/>
      <c r="H25" s="1"/>
      <c r="I25" s="1"/>
      <c r="J25" s="1"/>
      <c r="K25" s="1"/>
      <c r="L25" s="1"/>
      <c r="M25" s="1"/>
      <c r="N25" s="85" t="s">
        <v>193</v>
      </c>
      <c r="O25" s="86" t="s">
        <v>40</v>
      </c>
      <c r="P25" s="1"/>
      <c r="Q25" s="1"/>
      <c r="R25" s="1"/>
    </row>
    <row r="26" ht="15.75" customHeight="1">
      <c r="A26" s="1"/>
      <c r="B26" s="78">
        <v>4.0</v>
      </c>
      <c r="C26" s="103"/>
      <c r="D26" s="104"/>
      <c r="E26" s="75"/>
      <c r="F26" s="1"/>
      <c r="G26" s="1"/>
      <c r="H26" s="1"/>
      <c r="I26" s="1"/>
      <c r="J26" s="1"/>
      <c r="K26" s="1"/>
      <c r="L26" s="1"/>
      <c r="M26" s="1"/>
      <c r="N26" s="87" t="s">
        <v>195</v>
      </c>
      <c r="O26" s="84" t="s">
        <v>69</v>
      </c>
      <c r="P26" s="1"/>
      <c r="Q26" s="1"/>
      <c r="R26" s="1"/>
    </row>
    <row r="27" ht="15.75" customHeight="1">
      <c r="A27" s="1"/>
      <c r="B27" s="72">
        <v>5.0</v>
      </c>
      <c r="C27" s="140"/>
      <c r="D27" s="141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1"/>
      <c r="D28" s="83"/>
      <c r="E28" s="75"/>
      <c r="F28" s="1"/>
      <c r="G28" s="1"/>
      <c r="H28" s="1"/>
      <c r="I28" s="1"/>
      <c r="J28" s="1"/>
      <c r="K28" s="89" t="s">
        <v>200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202</v>
      </c>
      <c r="M29" s="90" t="s">
        <v>203</v>
      </c>
      <c r="N29" s="90" t="s">
        <v>204</v>
      </c>
      <c r="O29" s="90" t="s">
        <v>205</v>
      </c>
      <c r="P29" s="90" t="s">
        <v>206</v>
      </c>
      <c r="Q29" s="1"/>
      <c r="R29" s="1"/>
      <c r="AC29" s="92" t="s">
        <v>207</v>
      </c>
      <c r="AD29" s="92" t="s">
        <v>208</v>
      </c>
      <c r="AE29" s="92" t="s">
        <v>209</v>
      </c>
      <c r="AF29" s="92" t="s">
        <v>210</v>
      </c>
      <c r="AG29" s="92" t="s">
        <v>211</v>
      </c>
    </row>
    <row r="30" ht="15.75" customHeight="1">
      <c r="A30" s="1"/>
      <c r="B30" s="78">
        <v>8.0</v>
      </c>
      <c r="C30" s="81"/>
      <c r="D30" s="83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1"/>
      <c r="D32" s="83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8">
        <f>SUM(D23:D33)</f>
        <v>175000</v>
      </c>
      <c r="E34" s="1"/>
      <c r="F34" s="1"/>
      <c r="G34" s="1"/>
      <c r="H34" s="1"/>
      <c r="I34" s="1"/>
      <c r="J34" s="1"/>
      <c r="K34" s="93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>
        <v>4.0</v>
      </c>
      <c r="M40" s="115" t="s">
        <v>411</v>
      </c>
    </row>
    <row r="41" ht="15.75" customHeight="1">
      <c r="K41" s="113" t="str">
        <f t="shared" si="8"/>
        <v>INDAH</v>
      </c>
      <c r="L41" s="115">
        <v>3.0</v>
      </c>
      <c r="M41" s="115" t="s">
        <v>412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392</v>
      </c>
      <c r="D4" s="17" t="s">
        <v>252</v>
      </c>
      <c r="E4" s="19"/>
      <c r="F4" s="21" t="s">
        <v>394</v>
      </c>
      <c r="G4" s="23"/>
      <c r="H4" s="24">
        <v>50000.0</v>
      </c>
      <c r="I4" s="21" t="s">
        <v>37</v>
      </c>
      <c r="J4" s="128" t="s">
        <v>38</v>
      </c>
      <c r="K4" s="128" t="s">
        <v>38</v>
      </c>
      <c r="L4" s="21" t="s">
        <v>26</v>
      </c>
      <c r="M4" s="21" t="s">
        <v>40</v>
      </c>
      <c r="N4" s="26"/>
      <c r="O4" s="26"/>
      <c r="P4" s="28"/>
      <c r="Q4" s="1"/>
      <c r="R4" s="1"/>
    </row>
    <row r="5" ht="15.75" customHeight="1">
      <c r="A5" s="1"/>
      <c r="B5" s="14">
        <v>2.0</v>
      </c>
      <c r="C5" s="15" t="s">
        <v>396</v>
      </c>
      <c r="D5" s="17" t="s">
        <v>58</v>
      </c>
      <c r="E5" s="19"/>
      <c r="F5" s="21" t="s">
        <v>173</v>
      </c>
      <c r="G5" s="23"/>
      <c r="H5" s="24">
        <v>100000.0</v>
      </c>
      <c r="I5" s="21" t="s">
        <v>24</v>
      </c>
      <c r="J5" s="27"/>
      <c r="K5" s="27"/>
      <c r="L5" s="21" t="s">
        <v>26</v>
      </c>
      <c r="M5" s="27"/>
      <c r="N5" s="30"/>
      <c r="O5" s="30"/>
      <c r="P5" s="30"/>
      <c r="Q5" s="1"/>
      <c r="R5" s="1"/>
    </row>
    <row r="6" ht="15.75" customHeight="1">
      <c r="A6" s="1"/>
      <c r="B6" s="14">
        <v>3.0</v>
      </c>
      <c r="C6" s="15" t="s">
        <v>398</v>
      </c>
      <c r="D6" s="17" t="s">
        <v>20</v>
      </c>
      <c r="E6" s="19"/>
      <c r="F6" s="21" t="s">
        <v>394</v>
      </c>
      <c r="G6" s="23"/>
      <c r="H6" s="24">
        <v>100000.0</v>
      </c>
      <c r="I6" s="21" t="s">
        <v>24</v>
      </c>
      <c r="J6" s="27"/>
      <c r="K6" s="27"/>
      <c r="L6" s="21" t="s">
        <v>26</v>
      </c>
      <c r="M6" s="27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77</v>
      </c>
      <c r="D7" s="17" t="s">
        <v>51</v>
      </c>
      <c r="E7" s="130" t="s">
        <v>256</v>
      </c>
      <c r="F7" s="21" t="s">
        <v>394</v>
      </c>
      <c r="G7" s="23"/>
      <c r="H7" s="24">
        <v>150000.0</v>
      </c>
      <c r="I7" s="21" t="s">
        <v>37</v>
      </c>
      <c r="J7" s="21" t="s">
        <v>38</v>
      </c>
      <c r="K7" s="21" t="s">
        <v>38</v>
      </c>
      <c r="L7" s="21" t="s">
        <v>26</v>
      </c>
      <c r="M7" s="21" t="s">
        <v>40</v>
      </c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399</v>
      </c>
      <c r="D8" s="17" t="s">
        <v>58</v>
      </c>
      <c r="E8" s="19"/>
      <c r="F8" s="21" t="s">
        <v>30</v>
      </c>
      <c r="G8" s="23"/>
      <c r="H8" s="24">
        <v>100000.0</v>
      </c>
      <c r="I8" s="21" t="s">
        <v>24</v>
      </c>
      <c r="J8" s="27"/>
      <c r="K8" s="27"/>
      <c r="L8" s="21" t="s">
        <v>26</v>
      </c>
      <c r="M8" s="27"/>
      <c r="N8" s="30"/>
      <c r="O8" s="30"/>
      <c r="P8" s="30"/>
      <c r="Q8" s="1"/>
      <c r="R8" s="1"/>
    </row>
    <row r="9" ht="15.75" customHeight="1">
      <c r="A9" s="1"/>
      <c r="B9" s="14">
        <v>6.0</v>
      </c>
      <c r="C9" s="15" t="s">
        <v>401</v>
      </c>
      <c r="D9" s="17" t="s">
        <v>21</v>
      </c>
      <c r="E9" s="19"/>
      <c r="F9" s="21" t="s">
        <v>389</v>
      </c>
      <c r="G9" s="23"/>
      <c r="H9" s="24">
        <v>100000.0</v>
      </c>
      <c r="I9" s="21" t="s">
        <v>24</v>
      </c>
      <c r="J9" s="27"/>
      <c r="K9" s="27"/>
      <c r="L9" s="21" t="s">
        <v>26</v>
      </c>
      <c r="M9" s="27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5" t="s">
        <v>403</v>
      </c>
      <c r="D10" s="17" t="s">
        <v>20</v>
      </c>
      <c r="E10" s="19"/>
      <c r="F10" s="21" t="s">
        <v>319</v>
      </c>
      <c r="G10" s="23"/>
      <c r="H10" s="24">
        <v>100000.0</v>
      </c>
      <c r="I10" s="21" t="s">
        <v>24</v>
      </c>
      <c r="J10" s="27"/>
      <c r="K10" s="27"/>
      <c r="L10" s="21" t="s">
        <v>26</v>
      </c>
      <c r="M10" s="27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15" t="s">
        <v>276</v>
      </c>
      <c r="D11" s="17" t="s">
        <v>58</v>
      </c>
      <c r="E11" s="129"/>
      <c r="F11" s="25">
        <v>46276.0</v>
      </c>
      <c r="G11" s="57">
        <v>350000.0</v>
      </c>
      <c r="H11" s="50"/>
      <c r="I11" s="21" t="s">
        <v>37</v>
      </c>
      <c r="J11" s="128" t="s">
        <v>38</v>
      </c>
      <c r="K11" s="128" t="s">
        <v>39</v>
      </c>
      <c r="L11" s="21" t="s">
        <v>26</v>
      </c>
      <c r="M11" s="128" t="s">
        <v>40</v>
      </c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15" t="s">
        <v>276</v>
      </c>
      <c r="D12" s="17" t="s">
        <v>58</v>
      </c>
      <c r="E12" s="129" t="s">
        <v>269</v>
      </c>
      <c r="F12" s="134"/>
      <c r="G12" s="23"/>
      <c r="H12" s="24">
        <v>100000.0</v>
      </c>
      <c r="I12" s="21" t="s">
        <v>37</v>
      </c>
      <c r="J12" s="27"/>
      <c r="K12" s="27"/>
      <c r="L12" s="21" t="s">
        <v>26</v>
      </c>
      <c r="M12" s="27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15" t="s">
        <v>405</v>
      </c>
      <c r="D13" s="17" t="s">
        <v>21</v>
      </c>
      <c r="E13" s="19"/>
      <c r="F13" s="134"/>
      <c r="G13" s="23"/>
      <c r="H13" s="24">
        <v>1125000.0</v>
      </c>
      <c r="I13" s="21" t="s">
        <v>37</v>
      </c>
      <c r="J13" s="21" t="s">
        <v>38</v>
      </c>
      <c r="K13" s="21" t="s">
        <v>38</v>
      </c>
      <c r="L13" s="21" t="s">
        <v>26</v>
      </c>
      <c r="M13" s="128" t="s">
        <v>40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15" t="s">
        <v>406</v>
      </c>
      <c r="D14" s="17" t="s">
        <v>20</v>
      </c>
      <c r="E14" s="19"/>
      <c r="F14" s="134"/>
      <c r="G14" s="39"/>
      <c r="H14" s="40">
        <v>250000.0</v>
      </c>
      <c r="I14" s="21" t="s">
        <v>37</v>
      </c>
      <c r="J14" s="128" t="s">
        <v>38</v>
      </c>
      <c r="K14" s="128" t="s">
        <v>38</v>
      </c>
      <c r="L14" s="21" t="s">
        <v>26</v>
      </c>
      <c r="M14" s="128" t="s">
        <v>40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34" t="s">
        <v>407</v>
      </c>
      <c r="D15" s="17" t="s">
        <v>250</v>
      </c>
      <c r="E15" s="19"/>
      <c r="F15" s="21" t="s">
        <v>61</v>
      </c>
      <c r="G15" s="23"/>
      <c r="H15" s="24">
        <v>125000.0</v>
      </c>
      <c r="I15" s="21" t="s">
        <v>37</v>
      </c>
      <c r="J15" s="21" t="s">
        <v>55</v>
      </c>
      <c r="K15" s="21" t="s">
        <v>38</v>
      </c>
      <c r="L15" s="21" t="s">
        <v>26</v>
      </c>
      <c r="M15" s="16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15" t="s">
        <v>408</v>
      </c>
      <c r="D16" s="17" t="s">
        <v>20</v>
      </c>
      <c r="E16" s="43"/>
      <c r="F16" s="21" t="s">
        <v>45</v>
      </c>
      <c r="G16" s="39"/>
      <c r="H16" s="40">
        <v>100000.0</v>
      </c>
      <c r="I16" s="21" t="s">
        <v>24</v>
      </c>
      <c r="J16" s="16"/>
      <c r="K16" s="16"/>
      <c r="L16" s="21" t="s">
        <v>26</v>
      </c>
      <c r="M16" s="16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15" t="s">
        <v>264</v>
      </c>
      <c r="D17" s="17" t="s">
        <v>21</v>
      </c>
      <c r="E17" s="19"/>
      <c r="F17" s="21" t="s">
        <v>394</v>
      </c>
      <c r="G17" s="57">
        <v>300000.0</v>
      </c>
      <c r="H17" s="24">
        <v>300000.0</v>
      </c>
      <c r="I17" s="21" t="s">
        <v>37</v>
      </c>
      <c r="J17" s="128" t="s">
        <v>38</v>
      </c>
      <c r="K17" s="128" t="s">
        <v>38</v>
      </c>
      <c r="L17" s="21" t="s">
        <v>26</v>
      </c>
      <c r="M17" s="128" t="s">
        <v>40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15" t="s">
        <v>409</v>
      </c>
      <c r="D18" s="17" t="s">
        <v>58</v>
      </c>
      <c r="E18" s="19"/>
      <c r="F18" s="21" t="s">
        <v>389</v>
      </c>
      <c r="G18" s="39"/>
      <c r="H18" s="40">
        <v>100000.0</v>
      </c>
      <c r="I18" s="21" t="s">
        <v>24</v>
      </c>
      <c r="J18" s="16"/>
      <c r="K18" s="16"/>
      <c r="L18" s="21" t="s">
        <v>26</v>
      </c>
      <c r="M18" s="16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91"/>
      <c r="D19" s="133"/>
      <c r="E19" s="19"/>
      <c r="F19" s="134"/>
      <c r="G19" s="23"/>
      <c r="H19" s="50"/>
      <c r="I19" s="16"/>
      <c r="J19" s="16"/>
      <c r="K19" s="16"/>
      <c r="L19" s="16"/>
      <c r="M19" s="16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91"/>
      <c r="D20" s="133"/>
      <c r="E20" s="19"/>
      <c r="F20" s="134"/>
      <c r="G20" s="23"/>
      <c r="H20" s="50"/>
      <c r="I20" s="16"/>
      <c r="J20" s="27"/>
      <c r="K20" s="27"/>
      <c r="L20" s="16"/>
      <c r="M20" s="27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91"/>
      <c r="D21" s="133"/>
      <c r="E21" s="19"/>
      <c r="F21" s="134"/>
      <c r="G21" s="23"/>
      <c r="H21" s="50"/>
      <c r="I21" s="16"/>
      <c r="J21" s="27"/>
      <c r="K21" s="27"/>
      <c r="L21" s="16"/>
      <c r="M21" s="27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4"/>
      <c r="G22" s="46"/>
      <c r="H22" s="60"/>
      <c r="I22" s="14"/>
      <c r="J22" s="14"/>
      <c r="K22" s="14"/>
      <c r="L22" s="14"/>
      <c r="M22" s="14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174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175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178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182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96" t="s">
        <v>410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2" t="s">
        <v>188</v>
      </c>
      <c r="O28" s="84" t="s">
        <v>26</v>
      </c>
      <c r="P28" s="1"/>
      <c r="Q28" s="1"/>
      <c r="R28" s="1"/>
    </row>
    <row r="29" ht="15.75" customHeight="1">
      <c r="A29" s="1"/>
      <c r="B29" s="72">
        <v>3.0</v>
      </c>
      <c r="C29" s="98" t="s">
        <v>290</v>
      </c>
      <c r="D29" s="9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193</v>
      </c>
      <c r="O29" s="86" t="s">
        <v>40</v>
      </c>
      <c r="P29" s="1"/>
      <c r="Q29" s="1"/>
      <c r="R29" s="1"/>
    </row>
    <row r="30" ht="15.75" customHeight="1">
      <c r="A30" s="1"/>
      <c r="B30" s="78">
        <v>4.0</v>
      </c>
      <c r="C30" s="81"/>
      <c r="D30" s="83"/>
      <c r="E30" s="75"/>
      <c r="F30" s="1"/>
      <c r="G30" s="1"/>
      <c r="H30" s="1"/>
      <c r="I30" s="1"/>
      <c r="J30" s="1"/>
      <c r="K30" s="1"/>
      <c r="L30" s="1"/>
      <c r="M30" s="1"/>
      <c r="N30" s="87" t="s">
        <v>195</v>
      </c>
      <c r="O30" s="84" t="s">
        <v>40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1"/>
      <c r="D32" s="83"/>
      <c r="E32" s="75"/>
      <c r="F32" s="1"/>
      <c r="G32" s="1"/>
      <c r="H32" s="1"/>
      <c r="I32" s="1"/>
      <c r="J32" s="1"/>
      <c r="K32" s="89" t="s">
        <v>200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202</v>
      </c>
      <c r="M33" s="90" t="s">
        <v>203</v>
      </c>
      <c r="N33" s="90" t="s">
        <v>204</v>
      </c>
      <c r="O33" s="90" t="s">
        <v>205</v>
      </c>
      <c r="P33" s="90" t="s">
        <v>206</v>
      </c>
      <c r="Q33" s="1"/>
      <c r="R33" s="1"/>
      <c r="AC33" s="92" t="s">
        <v>207</v>
      </c>
      <c r="AD33" s="92" t="s">
        <v>208</v>
      </c>
      <c r="AE33" s="92" t="s">
        <v>209</v>
      </c>
      <c r="AF33" s="92" t="s">
        <v>210</v>
      </c>
      <c r="AG33" s="92" t="s">
        <v>211</v>
      </c>
    </row>
    <row r="34" ht="15.75" customHeight="1">
      <c r="A34" s="1"/>
      <c r="B34" s="78">
        <v>8.0</v>
      </c>
      <c r="C34" s="81"/>
      <c r="D34" s="83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2">
        <f t="shared" ref="AC34:AC39" si="3">IF(AG34="","",IF(COUNT(L34:P34)&lt;5,"",L34/5*20+M34/5*25+N34/5*25+O34/5*15+P34/5*15))</f>
        <v>97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2">
        <f t="shared" si="3"/>
        <v>97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AMEL</v>
      </c>
    </row>
    <row r="36" ht="15.75" customHeight="1">
      <c r="A36" s="1"/>
      <c r="B36" s="78">
        <v>10.0</v>
      </c>
      <c r="C36" s="81"/>
      <c r="D36" s="83"/>
      <c r="E36" s="75"/>
      <c r="F36" s="1"/>
      <c r="G36" s="1"/>
      <c r="H36" s="1"/>
      <c r="I36" s="1"/>
      <c r="J36" s="1"/>
      <c r="K36" s="9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2">
        <f t="shared" si="3"/>
        <v>97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05">
        <v>11.0</v>
      </c>
      <c r="C37" s="106"/>
      <c r="D37" s="107"/>
      <c r="E37" s="75"/>
      <c r="F37" s="1"/>
      <c r="G37" s="1"/>
      <c r="H37" s="1"/>
      <c r="I37" s="1"/>
      <c r="J37" s="1"/>
      <c r="K37" s="93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8">
        <f>SUM(D27:D37)</f>
        <v>584000</v>
      </c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4"/>
      <c r="M44" s="114"/>
    </row>
    <row r="45" ht="15.75" customHeight="1">
      <c r="K45" s="113" t="str">
        <f t="shared" si="8"/>
        <v>AMEL</v>
      </c>
      <c r="L45" s="114"/>
      <c r="M45" s="114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30.0</v>
      </c>
    </row>
    <row r="49" ht="19.5" customHeight="1">
      <c r="K49" s="118" t="s">
        <v>228</v>
      </c>
      <c r="M49" s="150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4" t="s">
        <v>413</v>
      </c>
      <c r="D4" s="17" t="s">
        <v>21</v>
      </c>
      <c r="E4" s="19"/>
      <c r="F4" s="21" t="s">
        <v>173</v>
      </c>
      <c r="G4" s="23"/>
      <c r="H4" s="24">
        <v>100000.0</v>
      </c>
      <c r="I4" s="21" t="s">
        <v>24</v>
      </c>
      <c r="J4" s="16"/>
      <c r="K4" s="16"/>
      <c r="L4" s="21" t="s">
        <v>26</v>
      </c>
      <c r="M4" s="27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6" t="s">
        <v>414</v>
      </c>
      <c r="D5" s="17" t="s">
        <v>20</v>
      </c>
      <c r="E5" s="19"/>
      <c r="F5" s="21" t="s">
        <v>41</v>
      </c>
      <c r="G5" s="23"/>
      <c r="H5" s="24">
        <v>100000.0</v>
      </c>
      <c r="I5" s="21" t="s">
        <v>24</v>
      </c>
      <c r="J5" s="16"/>
      <c r="K5" s="16"/>
      <c r="L5" s="21" t="s">
        <v>26</v>
      </c>
      <c r="M5" s="27"/>
      <c r="N5" s="30"/>
      <c r="O5" s="30"/>
      <c r="P5" s="30"/>
      <c r="Q5" s="1"/>
      <c r="R5" s="1"/>
    </row>
    <row r="6" ht="15.75" customHeight="1">
      <c r="A6" s="1"/>
      <c r="B6" s="14">
        <v>3.0</v>
      </c>
      <c r="C6" s="34" t="s">
        <v>415</v>
      </c>
      <c r="D6" s="17" t="s">
        <v>21</v>
      </c>
      <c r="E6" s="19"/>
      <c r="F6" s="21" t="s">
        <v>416</v>
      </c>
      <c r="G6" s="23"/>
      <c r="H6" s="24">
        <v>100000.0</v>
      </c>
      <c r="I6" s="21" t="s">
        <v>24</v>
      </c>
      <c r="J6" s="16"/>
      <c r="K6" s="16"/>
      <c r="L6" s="151" t="s">
        <v>26</v>
      </c>
      <c r="M6" s="27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5" t="s">
        <v>278</v>
      </c>
      <c r="D7" s="17" t="s">
        <v>375</v>
      </c>
      <c r="E7" s="18"/>
      <c r="F7" s="21" t="s">
        <v>60</v>
      </c>
      <c r="G7" s="23"/>
      <c r="H7" s="24">
        <v>30000.0</v>
      </c>
      <c r="I7" s="21" t="s">
        <v>37</v>
      </c>
      <c r="J7" s="21" t="s">
        <v>38</v>
      </c>
      <c r="K7" s="21" t="s">
        <v>38</v>
      </c>
      <c r="L7" s="21" t="s">
        <v>26</v>
      </c>
      <c r="M7" s="27"/>
      <c r="N7" s="30"/>
      <c r="O7" s="30"/>
      <c r="P7" s="30"/>
      <c r="Q7" s="1"/>
      <c r="R7" s="1"/>
    </row>
    <row r="8" ht="15.75" customHeight="1">
      <c r="A8" s="1"/>
      <c r="B8" s="14">
        <v>5.0</v>
      </c>
      <c r="C8" s="15" t="s">
        <v>417</v>
      </c>
      <c r="D8" s="17" t="s">
        <v>20</v>
      </c>
      <c r="E8" s="19"/>
      <c r="F8" s="21" t="s">
        <v>129</v>
      </c>
      <c r="G8" s="23"/>
      <c r="H8" s="24">
        <v>100000.0</v>
      </c>
      <c r="I8" s="21" t="s">
        <v>24</v>
      </c>
      <c r="J8" s="16"/>
      <c r="K8" s="16"/>
      <c r="L8" s="21" t="s">
        <v>26</v>
      </c>
      <c r="M8" s="16"/>
      <c r="N8" s="30"/>
      <c r="O8" s="30"/>
      <c r="P8" s="30"/>
      <c r="Q8" s="1"/>
      <c r="R8" s="1"/>
    </row>
    <row r="9" ht="15.75" customHeight="1">
      <c r="A9" s="1"/>
      <c r="B9" s="14">
        <v>6.0</v>
      </c>
      <c r="C9" s="15" t="s">
        <v>418</v>
      </c>
      <c r="D9" s="17" t="s">
        <v>21</v>
      </c>
      <c r="E9" s="129" t="s">
        <v>260</v>
      </c>
      <c r="F9" s="21" t="s">
        <v>389</v>
      </c>
      <c r="G9" s="23"/>
      <c r="H9" s="24">
        <v>250000.0</v>
      </c>
      <c r="I9" s="21" t="s">
        <v>37</v>
      </c>
      <c r="J9" s="21" t="s">
        <v>38</v>
      </c>
      <c r="K9" s="21" t="s">
        <v>38</v>
      </c>
      <c r="L9" s="21" t="s">
        <v>26</v>
      </c>
      <c r="M9" s="21" t="s">
        <v>69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5" t="s">
        <v>419</v>
      </c>
      <c r="D10" s="17" t="s">
        <v>20</v>
      </c>
      <c r="E10" s="19"/>
      <c r="F10" s="21" t="s">
        <v>45</v>
      </c>
      <c r="G10" s="23"/>
      <c r="H10" s="24">
        <v>100000.0</v>
      </c>
      <c r="I10" s="21" t="s">
        <v>24</v>
      </c>
      <c r="J10" s="16"/>
      <c r="K10" s="16"/>
      <c r="L10" s="21" t="s">
        <v>26</v>
      </c>
      <c r="M10" s="16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15" t="s">
        <v>420</v>
      </c>
      <c r="D11" s="17" t="s">
        <v>20</v>
      </c>
      <c r="E11" s="19"/>
      <c r="F11" s="21" t="s">
        <v>198</v>
      </c>
      <c r="G11" s="39"/>
      <c r="H11" s="40">
        <v>100000.0</v>
      </c>
      <c r="I11" s="21" t="s">
        <v>24</v>
      </c>
      <c r="J11" s="16"/>
      <c r="K11" s="16"/>
      <c r="L11" s="21" t="s">
        <v>26</v>
      </c>
      <c r="M11" s="16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15" t="s">
        <v>422</v>
      </c>
      <c r="D12" s="17" t="s">
        <v>101</v>
      </c>
      <c r="E12" s="19"/>
      <c r="F12" s="21" t="s">
        <v>389</v>
      </c>
      <c r="G12" s="23"/>
      <c r="H12" s="24">
        <v>400000.0</v>
      </c>
      <c r="I12" s="21" t="s">
        <v>37</v>
      </c>
      <c r="J12" s="21" t="s">
        <v>55</v>
      </c>
      <c r="K12" s="21" t="s">
        <v>55</v>
      </c>
      <c r="L12" s="21" t="s">
        <v>26</v>
      </c>
      <c r="M12" s="27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15" t="s">
        <v>423</v>
      </c>
      <c r="D13" s="17" t="s">
        <v>21</v>
      </c>
      <c r="E13" s="19"/>
      <c r="F13" s="21" t="s">
        <v>173</v>
      </c>
      <c r="G13" s="23"/>
      <c r="H13" s="24">
        <v>100000.0</v>
      </c>
      <c r="I13" s="21" t="s">
        <v>24</v>
      </c>
      <c r="J13" s="16"/>
      <c r="K13" s="16"/>
      <c r="L13" s="21" t="s">
        <v>26</v>
      </c>
      <c r="M13" s="27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6" t="s">
        <v>409</v>
      </c>
      <c r="D14" s="17" t="s">
        <v>58</v>
      </c>
      <c r="E14" s="19"/>
      <c r="F14" s="21" t="s">
        <v>389</v>
      </c>
      <c r="G14" s="23"/>
      <c r="H14" s="24">
        <v>100000.0</v>
      </c>
      <c r="I14" s="21" t="s">
        <v>37</v>
      </c>
      <c r="J14" s="21" t="s">
        <v>38</v>
      </c>
      <c r="K14" s="21" t="s">
        <v>39</v>
      </c>
      <c r="L14" s="21" t="s">
        <v>26</v>
      </c>
      <c r="M14" s="128" t="s">
        <v>69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15" t="s">
        <v>425</v>
      </c>
      <c r="D15" s="17" t="s">
        <v>20</v>
      </c>
      <c r="E15" s="19"/>
      <c r="F15" s="21" t="s">
        <v>129</v>
      </c>
      <c r="G15" s="23"/>
      <c r="H15" s="24">
        <v>100000.0</v>
      </c>
      <c r="I15" s="21" t="s">
        <v>24</v>
      </c>
      <c r="J15" s="16"/>
      <c r="K15" s="16"/>
      <c r="L15" s="21" t="s">
        <v>26</v>
      </c>
      <c r="M15" s="27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15" t="s">
        <v>426</v>
      </c>
      <c r="D16" s="17" t="s">
        <v>21</v>
      </c>
      <c r="E16" s="19"/>
      <c r="F16" s="42">
        <v>46277.0</v>
      </c>
      <c r="G16" s="57">
        <v>125000.0</v>
      </c>
      <c r="H16" s="50"/>
      <c r="I16" s="21" t="s">
        <v>37</v>
      </c>
      <c r="J16" s="21" t="s">
        <v>38</v>
      </c>
      <c r="K16" s="21" t="s">
        <v>39</v>
      </c>
      <c r="L16" s="21" t="s">
        <v>25</v>
      </c>
      <c r="M16" s="21" t="s">
        <v>69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15" t="s">
        <v>388</v>
      </c>
      <c r="D17" s="17" t="s">
        <v>21</v>
      </c>
      <c r="E17" s="19"/>
      <c r="F17" s="25">
        <v>46277.0</v>
      </c>
      <c r="G17" s="57"/>
      <c r="H17" s="24">
        <v>75000.0</v>
      </c>
      <c r="I17" s="21" t="s">
        <v>37</v>
      </c>
      <c r="J17" s="21" t="s">
        <v>38</v>
      </c>
      <c r="K17" s="21" t="s">
        <v>38</v>
      </c>
      <c r="L17" s="21" t="s">
        <v>25</v>
      </c>
      <c r="M17" s="21" t="s">
        <v>69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15" t="s">
        <v>429</v>
      </c>
      <c r="D18" s="17" t="s">
        <v>21</v>
      </c>
      <c r="E18" s="19"/>
      <c r="F18" s="25">
        <v>46277.0</v>
      </c>
      <c r="G18" s="23"/>
      <c r="H18" s="24">
        <v>125000.0</v>
      </c>
      <c r="I18" s="21" t="s">
        <v>37</v>
      </c>
      <c r="J18" s="21" t="s">
        <v>38</v>
      </c>
      <c r="K18" s="21" t="s">
        <v>38</v>
      </c>
      <c r="L18" s="21" t="s">
        <v>25</v>
      </c>
      <c r="M18" s="21" t="s">
        <v>69</v>
      </c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15" t="s">
        <v>430</v>
      </c>
      <c r="D19" s="17" t="s">
        <v>21</v>
      </c>
      <c r="E19" s="19"/>
      <c r="F19" s="25">
        <v>46277.0</v>
      </c>
      <c r="G19" s="57">
        <v>625000.0</v>
      </c>
      <c r="H19" s="50"/>
      <c r="I19" s="21" t="s">
        <v>37</v>
      </c>
      <c r="J19" s="21" t="s">
        <v>38</v>
      </c>
      <c r="K19" s="21" t="s">
        <v>38</v>
      </c>
      <c r="L19" s="21" t="s">
        <v>25</v>
      </c>
      <c r="M19" s="21" t="s">
        <v>69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15" t="s">
        <v>432</v>
      </c>
      <c r="D20" s="17" t="s">
        <v>20</v>
      </c>
      <c r="E20" s="19"/>
      <c r="F20" s="42">
        <v>46298.0</v>
      </c>
      <c r="G20" s="23"/>
      <c r="H20" s="24">
        <v>100000.0</v>
      </c>
      <c r="I20" s="21" t="s">
        <v>24</v>
      </c>
      <c r="J20" s="16"/>
      <c r="K20" s="16"/>
      <c r="L20" s="21" t="s">
        <v>25</v>
      </c>
      <c r="M20" s="16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15" t="s">
        <v>434</v>
      </c>
      <c r="D21" s="17" t="s">
        <v>21</v>
      </c>
      <c r="E21" s="19"/>
      <c r="F21" s="42">
        <v>46278.0</v>
      </c>
      <c r="G21" s="23"/>
      <c r="H21" s="24">
        <v>270000.0</v>
      </c>
      <c r="I21" s="21" t="s">
        <v>24</v>
      </c>
      <c r="J21" s="16"/>
      <c r="K21" s="16"/>
      <c r="L21" s="21" t="s">
        <v>25</v>
      </c>
      <c r="M21" s="16"/>
      <c r="N21" s="30"/>
      <c r="O21" s="30"/>
      <c r="P21" s="30"/>
      <c r="Q21" s="1"/>
      <c r="R21" s="1"/>
    </row>
    <row r="22" ht="15.75" customHeight="1">
      <c r="A22" s="1"/>
      <c r="B22" s="14"/>
      <c r="C22" s="29" t="s">
        <v>436</v>
      </c>
      <c r="D22" s="15" t="s">
        <v>21</v>
      </c>
      <c r="E22" s="16"/>
      <c r="F22" s="51">
        <v>46278.0</v>
      </c>
      <c r="G22" s="46"/>
      <c r="H22" s="36">
        <v>100000.0</v>
      </c>
      <c r="I22" s="38" t="s">
        <v>24</v>
      </c>
      <c r="J22" s="14"/>
      <c r="K22" s="14"/>
      <c r="L22" s="38" t="s">
        <v>25</v>
      </c>
      <c r="M22" s="14"/>
      <c r="N22" s="30"/>
      <c r="O22" s="30"/>
      <c r="P22" s="30"/>
      <c r="Q22" s="1"/>
      <c r="R22" s="1"/>
    </row>
    <row r="23" ht="15.75" customHeight="1">
      <c r="A23" s="1"/>
      <c r="B23" s="14"/>
      <c r="C23" s="67"/>
      <c r="D23" s="91"/>
      <c r="E23" s="16"/>
      <c r="F23" s="14"/>
      <c r="G23" s="46"/>
      <c r="H23" s="60"/>
      <c r="I23" s="14"/>
      <c r="J23" s="14"/>
      <c r="K23" s="14"/>
      <c r="L23" s="14"/>
      <c r="M23" s="14"/>
      <c r="N23" s="65"/>
      <c r="O23" s="65"/>
      <c r="P23" s="65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174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175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178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182</v>
      </c>
      <c r="O28" s="77" t="s">
        <v>26</v>
      </c>
      <c r="P28" s="1"/>
      <c r="Q28" s="1"/>
      <c r="R28" s="1"/>
    </row>
    <row r="29" ht="15.75" customHeight="1">
      <c r="A29" s="1"/>
      <c r="B29" s="78">
        <v>2.0</v>
      </c>
      <c r="C29" s="96" t="s">
        <v>186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2" t="s">
        <v>188</v>
      </c>
      <c r="O29" s="84" t="s">
        <v>25</v>
      </c>
      <c r="P29" s="1"/>
      <c r="Q29" s="1"/>
      <c r="R29" s="1"/>
    </row>
    <row r="30" ht="15.75" customHeight="1">
      <c r="A30" s="1"/>
      <c r="B30" s="72">
        <v>3.0</v>
      </c>
      <c r="C30" s="140"/>
      <c r="D30" s="141"/>
      <c r="E30" s="75"/>
      <c r="F30" s="1"/>
      <c r="G30" s="1"/>
      <c r="H30" s="1"/>
      <c r="I30" s="1"/>
      <c r="J30" s="1"/>
      <c r="K30" s="1"/>
      <c r="L30" s="1"/>
      <c r="M30" s="1"/>
      <c r="N30" s="85" t="s">
        <v>193</v>
      </c>
      <c r="O30" s="86" t="s">
        <v>69</v>
      </c>
      <c r="P30" s="1"/>
      <c r="Q30" s="1"/>
      <c r="R30" s="1"/>
    </row>
    <row r="31" ht="15.75" customHeight="1">
      <c r="A31" s="1"/>
      <c r="B31" s="78">
        <v>4.0</v>
      </c>
      <c r="C31" s="81"/>
      <c r="D31" s="83"/>
      <c r="E31" s="75"/>
      <c r="F31" s="1"/>
      <c r="G31" s="1"/>
      <c r="H31" s="1"/>
      <c r="I31" s="1"/>
      <c r="J31" s="1"/>
      <c r="K31" s="1"/>
      <c r="L31" s="1"/>
      <c r="M31" s="1"/>
      <c r="N31" s="87" t="s">
        <v>195</v>
      </c>
      <c r="O31" s="84" t="s">
        <v>69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1"/>
      <c r="D33" s="83"/>
      <c r="E33" s="75"/>
      <c r="F33" s="1"/>
      <c r="G33" s="1"/>
      <c r="H33" s="1"/>
      <c r="I33" s="1"/>
      <c r="J33" s="1"/>
      <c r="K33" s="89" t="s">
        <v>200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202</v>
      </c>
      <c r="M34" s="90" t="s">
        <v>203</v>
      </c>
      <c r="N34" s="90" t="s">
        <v>204</v>
      </c>
      <c r="O34" s="90" t="s">
        <v>205</v>
      </c>
      <c r="P34" s="90" t="s">
        <v>206</v>
      </c>
      <c r="Q34" s="1"/>
      <c r="R34" s="1"/>
      <c r="AC34" s="92" t="s">
        <v>207</v>
      </c>
      <c r="AD34" s="92" t="s">
        <v>208</v>
      </c>
      <c r="AE34" s="92" t="s">
        <v>209</v>
      </c>
      <c r="AF34" s="92" t="s">
        <v>210</v>
      </c>
      <c r="AG34" s="92" t="s">
        <v>211</v>
      </c>
    </row>
    <row r="35" ht="15.75" customHeight="1">
      <c r="A35" s="1"/>
      <c r="B35" s="78">
        <v>8.0</v>
      </c>
      <c r="C35" s="81"/>
      <c r="D35" s="83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2">
        <f t="shared" ref="AC35:AC40" si="3">IF(AG35="","",IF(COUNT(L35:P35)&lt;5,"",L35/5*20+M35/5*25+N35/5*25+O35/5*15+P35/5*15))</f>
        <v>100</v>
      </c>
      <c r="AD35" s="92" t="str">
        <f t="shared" ref="AD35:AD40" si="4">IF(AC35="","",IF(AC35&gt;=90,"Sangat Baik",IF(AC35&gt;=80,"Baik",IF(AC35&gt;=70,"Coaching","Underperform"))))</f>
        <v>Sangat Baik</v>
      </c>
      <c r="AE35" s="92" t="str">
        <f t="shared" ref="AE35:AE40" si="5">IF(AG35="","",IF(OR(AG35="INDAH",AG35="ADDEL",AG35="AMEL",AG35="PENTIL",AG35="JIJANG"),"Admin/CS","Fotografer"))</f>
        <v>Admin/CS</v>
      </c>
      <c r="AF35" s="92">
        <f t="shared" ref="AF35:AF40" si="6">IF(OR(AG35="",COUNT(L35:P35)&lt;5),"",1)</f>
        <v>1</v>
      </c>
      <c r="AG35" s="92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Admin/CS</v>
      </c>
      <c r="AF36" s="92">
        <f t="shared" si="6"/>
        <v>1</v>
      </c>
      <c r="AG36" s="92" t="str">
        <f t="shared" si="7"/>
        <v>INDAH</v>
      </c>
    </row>
    <row r="37" ht="15.75" customHeight="1">
      <c r="A37" s="1"/>
      <c r="B37" s="78">
        <v>10.0</v>
      </c>
      <c r="C37" s="81"/>
      <c r="D37" s="83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SAKA</v>
      </c>
    </row>
    <row r="39" ht="15.75" customHeight="1">
      <c r="A39" s="1"/>
      <c r="B39" s="1"/>
      <c r="C39" s="2"/>
      <c r="D39" s="108">
        <f>SUM(D28:D38)</f>
        <v>700000</v>
      </c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5">
        <v>8.0</v>
      </c>
      <c r="M45" s="114"/>
    </row>
    <row r="46" ht="15.75" customHeight="1">
      <c r="K46" s="113" t="str">
        <f t="shared" si="8"/>
        <v>INDAH</v>
      </c>
      <c r="L46" s="115">
        <v>5.0</v>
      </c>
      <c r="M46" s="115" t="s">
        <v>412</v>
      </c>
    </row>
    <row r="47" ht="15.75" customHeight="1"/>
    <row r="48" ht="19.5" customHeight="1">
      <c r="K48" s="116" t="s">
        <v>226</v>
      </c>
    </row>
    <row r="49" ht="19.5" customHeight="1">
      <c r="K49" s="117" t="s">
        <v>227</v>
      </c>
      <c r="M49" s="115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421</v>
      </c>
      <c r="D4" s="17" t="s">
        <v>93</v>
      </c>
      <c r="E4" s="19"/>
      <c r="F4" s="25">
        <v>46298.0</v>
      </c>
      <c r="G4" s="23"/>
      <c r="H4" s="24">
        <v>100000.0</v>
      </c>
      <c r="I4" s="21" t="s">
        <v>24</v>
      </c>
      <c r="J4" s="16"/>
      <c r="K4" s="16"/>
      <c r="L4" s="21" t="s">
        <v>25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172</v>
      </c>
      <c r="D5" s="15" t="s">
        <v>20</v>
      </c>
      <c r="E5" s="16"/>
      <c r="F5" s="31">
        <v>46278.0</v>
      </c>
      <c r="G5" s="46"/>
      <c r="H5" s="36">
        <v>250000.0</v>
      </c>
      <c r="I5" s="38" t="s">
        <v>37</v>
      </c>
      <c r="J5" s="38" t="s">
        <v>38</v>
      </c>
      <c r="K5" s="38" t="s">
        <v>39</v>
      </c>
      <c r="L5" s="38" t="s">
        <v>25</v>
      </c>
      <c r="M5" s="38" t="s">
        <v>69</v>
      </c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424</v>
      </c>
      <c r="D6" s="15" t="s">
        <v>20</v>
      </c>
      <c r="E6" s="16"/>
      <c r="F6" s="51">
        <v>46301.0</v>
      </c>
      <c r="G6" s="46"/>
      <c r="H6" s="36">
        <v>100000.0</v>
      </c>
      <c r="I6" s="38" t="s">
        <v>24</v>
      </c>
      <c r="J6" s="14"/>
      <c r="K6" s="14"/>
      <c r="L6" s="38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427</v>
      </c>
      <c r="D7" s="15" t="s">
        <v>21</v>
      </c>
      <c r="E7" s="16"/>
      <c r="F7" s="51">
        <v>46278.0</v>
      </c>
      <c r="G7" s="46"/>
      <c r="H7" s="36">
        <v>100000.0</v>
      </c>
      <c r="I7" s="38" t="s">
        <v>24</v>
      </c>
      <c r="J7" s="14"/>
      <c r="K7" s="14"/>
      <c r="L7" s="38" t="s">
        <v>25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152" t="s">
        <v>428</v>
      </c>
      <c r="D8" s="15" t="s">
        <v>71</v>
      </c>
      <c r="E8" s="21">
        <v>5.0</v>
      </c>
      <c r="F8" s="51">
        <v>46278.0</v>
      </c>
      <c r="G8" s="64">
        <v>0.0</v>
      </c>
      <c r="H8" s="36">
        <v>0.0</v>
      </c>
      <c r="I8" s="38" t="s">
        <v>37</v>
      </c>
      <c r="J8" s="38" t="s">
        <v>38</v>
      </c>
      <c r="K8" s="38" t="s">
        <v>38</v>
      </c>
      <c r="L8" s="38" t="s">
        <v>25</v>
      </c>
      <c r="M8" s="38" t="s">
        <v>69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431</v>
      </c>
      <c r="D9" s="15" t="s">
        <v>252</v>
      </c>
      <c r="E9" s="16"/>
      <c r="F9" s="51">
        <v>46278.0</v>
      </c>
      <c r="G9" s="46"/>
      <c r="H9" s="36">
        <v>50000.0</v>
      </c>
      <c r="I9" s="38" t="s">
        <v>37</v>
      </c>
      <c r="J9" s="14"/>
      <c r="K9" s="14"/>
      <c r="L9" s="38" t="s">
        <v>25</v>
      </c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433</v>
      </c>
      <c r="D10" s="15" t="s">
        <v>252</v>
      </c>
      <c r="E10" s="16"/>
      <c r="F10" s="51">
        <v>46278.0</v>
      </c>
      <c r="G10" s="64">
        <v>50000.0</v>
      </c>
      <c r="H10" s="36"/>
      <c r="I10" s="38" t="s">
        <v>37</v>
      </c>
      <c r="J10" s="14"/>
      <c r="K10" s="14"/>
      <c r="L10" s="38" t="s">
        <v>25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435</v>
      </c>
      <c r="D11" s="15" t="s">
        <v>252</v>
      </c>
      <c r="E11" s="16"/>
      <c r="F11" s="51">
        <v>46278.0</v>
      </c>
      <c r="G11" s="46"/>
      <c r="H11" s="36">
        <v>50000.0</v>
      </c>
      <c r="I11" s="38" t="s">
        <v>37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431</v>
      </c>
      <c r="D12" s="15" t="s">
        <v>51</v>
      </c>
      <c r="E12" s="16"/>
      <c r="F12" s="51">
        <v>46278.0</v>
      </c>
      <c r="G12" s="46"/>
      <c r="H12" s="36">
        <v>200000.0</v>
      </c>
      <c r="I12" s="38" t="s">
        <v>37</v>
      </c>
      <c r="J12" s="38" t="s">
        <v>38</v>
      </c>
      <c r="K12" s="38" t="s">
        <v>38</v>
      </c>
      <c r="L12" s="38" t="s">
        <v>25</v>
      </c>
      <c r="M12" s="38" t="s">
        <v>69</v>
      </c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396</v>
      </c>
      <c r="D13" s="15" t="s">
        <v>58</v>
      </c>
      <c r="E13" s="16"/>
      <c r="F13" s="51">
        <v>46278.0</v>
      </c>
      <c r="G13" s="46"/>
      <c r="H13" s="36">
        <v>250000.0</v>
      </c>
      <c r="I13" s="38" t="s">
        <v>37</v>
      </c>
      <c r="J13" s="38" t="s">
        <v>38</v>
      </c>
      <c r="K13" s="38" t="s">
        <v>39</v>
      </c>
      <c r="L13" s="38" t="s">
        <v>25</v>
      </c>
      <c r="M13" s="38" t="s">
        <v>69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437</v>
      </c>
      <c r="D14" s="15" t="s">
        <v>21</v>
      </c>
      <c r="E14" s="16"/>
      <c r="F14" s="51">
        <v>46278.0</v>
      </c>
      <c r="G14" s="64">
        <v>530000.0</v>
      </c>
      <c r="H14" s="36"/>
      <c r="I14" s="38" t="s">
        <v>37</v>
      </c>
      <c r="J14" s="38" t="s">
        <v>38</v>
      </c>
      <c r="K14" s="38" t="s">
        <v>38</v>
      </c>
      <c r="L14" s="38" t="s">
        <v>25</v>
      </c>
      <c r="M14" s="38" t="s">
        <v>69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423</v>
      </c>
      <c r="D15" s="15" t="s">
        <v>21</v>
      </c>
      <c r="E15" s="16"/>
      <c r="F15" s="51">
        <v>46278.0</v>
      </c>
      <c r="G15" s="64">
        <v>75000.0</v>
      </c>
      <c r="H15" s="60"/>
      <c r="I15" s="38" t="s">
        <v>37</v>
      </c>
      <c r="J15" s="38" t="s">
        <v>38</v>
      </c>
      <c r="K15" s="38" t="s">
        <v>39</v>
      </c>
      <c r="L15" s="38" t="s">
        <v>25</v>
      </c>
      <c r="M15" s="38" t="s">
        <v>69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438</v>
      </c>
      <c r="D16" s="15" t="s">
        <v>252</v>
      </c>
      <c r="E16" s="16"/>
      <c r="F16" s="51">
        <v>46278.0</v>
      </c>
      <c r="G16" s="46"/>
      <c r="H16" s="36">
        <v>50000.0</v>
      </c>
      <c r="I16" s="38" t="s">
        <v>37</v>
      </c>
      <c r="J16" s="14"/>
      <c r="K16" s="14"/>
      <c r="L16" s="38" t="s">
        <v>25</v>
      </c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369</v>
      </c>
      <c r="D17" s="15" t="s">
        <v>21</v>
      </c>
      <c r="E17" s="16"/>
      <c r="F17" s="51">
        <v>46278.0</v>
      </c>
      <c r="G17" s="64">
        <v>175000.0</v>
      </c>
      <c r="H17" s="60"/>
      <c r="I17" s="38" t="s">
        <v>37</v>
      </c>
      <c r="J17" s="38" t="s">
        <v>38</v>
      </c>
      <c r="K17" s="38" t="s">
        <v>38</v>
      </c>
      <c r="L17" s="38" t="s">
        <v>25</v>
      </c>
      <c r="M17" s="38" t="s">
        <v>40</v>
      </c>
      <c r="N17" s="30"/>
      <c r="O17" s="30"/>
      <c r="P17" s="30"/>
      <c r="Q17" s="1"/>
      <c r="R17" s="1"/>
    </row>
    <row r="18" ht="15.75" customHeight="1">
      <c r="A18" s="1"/>
      <c r="B18" s="14"/>
      <c r="C18" s="29" t="s">
        <v>439</v>
      </c>
      <c r="D18" s="15" t="s">
        <v>21</v>
      </c>
      <c r="E18" s="16"/>
      <c r="F18" s="51">
        <v>46280.0</v>
      </c>
      <c r="G18" s="46"/>
      <c r="H18" s="36">
        <v>100000.0</v>
      </c>
      <c r="I18" s="38" t="s">
        <v>24</v>
      </c>
      <c r="J18" s="14"/>
      <c r="K18" s="14"/>
      <c r="L18" s="38" t="s">
        <v>25</v>
      </c>
      <c r="M18" s="14"/>
      <c r="N18" s="30"/>
      <c r="O18" s="30"/>
      <c r="P18" s="30"/>
      <c r="Q18" s="1"/>
      <c r="R18" s="1"/>
    </row>
    <row r="19" ht="15.75" customHeight="1">
      <c r="A19" s="1"/>
      <c r="B19" s="14"/>
      <c r="C19" s="29" t="s">
        <v>440</v>
      </c>
      <c r="D19" s="15" t="s">
        <v>21</v>
      </c>
      <c r="E19" s="16"/>
      <c r="F19" s="51">
        <v>46278.0</v>
      </c>
      <c r="G19" s="46"/>
      <c r="H19" s="36">
        <v>550000.0</v>
      </c>
      <c r="I19" s="38" t="s">
        <v>37</v>
      </c>
      <c r="J19" s="38" t="s">
        <v>38</v>
      </c>
      <c r="K19" s="38" t="s">
        <v>39</v>
      </c>
      <c r="L19" s="38" t="s">
        <v>25</v>
      </c>
      <c r="M19" s="38" t="s">
        <v>40</v>
      </c>
      <c r="N19" s="30"/>
      <c r="O19" s="30"/>
      <c r="P19" s="30"/>
      <c r="Q19" s="1"/>
      <c r="R19" s="1"/>
    </row>
    <row r="20" ht="15.75" customHeight="1">
      <c r="A20" s="1"/>
      <c r="B20" s="14"/>
      <c r="C20" s="29" t="s">
        <v>441</v>
      </c>
      <c r="D20" s="15" t="s">
        <v>21</v>
      </c>
      <c r="E20" s="16"/>
      <c r="F20" s="51">
        <v>46278.0</v>
      </c>
      <c r="G20" s="64">
        <v>175000.0</v>
      </c>
      <c r="H20" s="60"/>
      <c r="I20" s="38" t="s">
        <v>37</v>
      </c>
      <c r="J20" s="38" t="s">
        <v>38</v>
      </c>
      <c r="K20" s="38" t="s">
        <v>38</v>
      </c>
      <c r="L20" s="38" t="s">
        <v>25</v>
      </c>
      <c r="M20" s="38" t="s">
        <v>40</v>
      </c>
      <c r="N20" s="30"/>
      <c r="O20" s="30"/>
      <c r="P20" s="30"/>
      <c r="Q20" s="1"/>
      <c r="R20" s="1"/>
    </row>
    <row r="21" ht="15.75" customHeight="1">
      <c r="A21" s="1"/>
      <c r="B21" s="14"/>
      <c r="C21" s="29" t="s">
        <v>442</v>
      </c>
      <c r="D21" s="15" t="s">
        <v>21</v>
      </c>
      <c r="E21" s="16"/>
      <c r="F21" s="51">
        <v>46284.0</v>
      </c>
      <c r="G21" s="46"/>
      <c r="H21" s="36">
        <v>100000.0</v>
      </c>
      <c r="I21" s="38" t="s">
        <v>24</v>
      </c>
      <c r="J21" s="14"/>
      <c r="K21" s="14"/>
      <c r="L21" s="38" t="s">
        <v>25</v>
      </c>
      <c r="M21" s="14"/>
      <c r="N21" s="30"/>
      <c r="O21" s="30"/>
      <c r="P21" s="30"/>
      <c r="Q21" s="1"/>
      <c r="R21" s="1"/>
    </row>
    <row r="22" ht="15.75" customHeight="1">
      <c r="A22" s="1"/>
      <c r="B22" s="14"/>
      <c r="C22" s="29" t="s">
        <v>443</v>
      </c>
      <c r="D22" s="15" t="s">
        <v>21</v>
      </c>
      <c r="E22" s="16"/>
      <c r="F22" s="51">
        <v>46285.0</v>
      </c>
      <c r="G22" s="46"/>
      <c r="H22" s="36">
        <v>200000.0</v>
      </c>
      <c r="I22" s="38" t="s">
        <v>24</v>
      </c>
      <c r="J22" s="14"/>
      <c r="K22" s="14"/>
      <c r="L22" s="38" t="s">
        <v>25</v>
      </c>
      <c r="M22" s="14"/>
      <c r="N22" s="30"/>
      <c r="O22" s="30"/>
      <c r="P22" s="30"/>
      <c r="Q22" s="1"/>
      <c r="R22" s="1"/>
    </row>
    <row r="23" ht="15.75" customHeight="1">
      <c r="A23" s="1"/>
      <c r="B23" s="14"/>
      <c r="C23" s="29" t="s">
        <v>436</v>
      </c>
      <c r="D23" s="15" t="s">
        <v>21</v>
      </c>
      <c r="E23" s="16"/>
      <c r="F23" s="51">
        <v>46278.0</v>
      </c>
      <c r="G23" s="46"/>
      <c r="H23" s="36">
        <v>150000.0</v>
      </c>
      <c r="I23" s="38" t="s">
        <v>37</v>
      </c>
      <c r="J23" s="38" t="s">
        <v>38</v>
      </c>
      <c r="K23" s="38" t="s">
        <v>39</v>
      </c>
      <c r="L23" s="38" t="s">
        <v>25</v>
      </c>
      <c r="M23" s="38" t="s">
        <v>40</v>
      </c>
      <c r="N23" s="30"/>
      <c r="O23" s="30"/>
      <c r="P23" s="30"/>
      <c r="Q23" s="1"/>
      <c r="R23" s="1"/>
    </row>
    <row r="24" ht="15.75" customHeight="1">
      <c r="A24" s="1"/>
      <c r="B24" s="14"/>
      <c r="C24" s="29" t="s">
        <v>444</v>
      </c>
      <c r="D24" s="15" t="s">
        <v>21</v>
      </c>
      <c r="E24" s="16"/>
      <c r="F24" s="51">
        <v>46280.0</v>
      </c>
      <c r="G24" s="46"/>
      <c r="H24" s="36">
        <v>100000.0</v>
      </c>
      <c r="I24" s="38" t="s">
        <v>24</v>
      </c>
      <c r="J24" s="14"/>
      <c r="K24" s="14"/>
      <c r="L24" s="38" t="s">
        <v>25</v>
      </c>
      <c r="M24" s="14"/>
      <c r="N24" s="30"/>
      <c r="O24" s="30"/>
      <c r="P24" s="30"/>
      <c r="Q24" s="1"/>
      <c r="R24" s="1"/>
    </row>
    <row r="25" ht="15.75" customHeight="1">
      <c r="A25" s="1"/>
      <c r="B25" s="14"/>
      <c r="C25" s="29" t="s">
        <v>445</v>
      </c>
      <c r="D25" s="15" t="s">
        <v>21</v>
      </c>
      <c r="E25" s="16"/>
      <c r="F25" s="51">
        <v>46281.0</v>
      </c>
      <c r="G25" s="46"/>
      <c r="H25" s="36">
        <v>100000.0</v>
      </c>
      <c r="I25" s="38" t="s">
        <v>24</v>
      </c>
      <c r="J25" s="14"/>
      <c r="K25" s="14"/>
      <c r="L25" s="38" t="s">
        <v>25</v>
      </c>
      <c r="M25" s="14"/>
      <c r="N25" s="30"/>
      <c r="O25" s="30"/>
      <c r="P25" s="30"/>
      <c r="Q25" s="1"/>
      <c r="R25" s="1"/>
    </row>
    <row r="26" ht="15.75" customHeight="1">
      <c r="A26" s="1"/>
      <c r="B26" s="14"/>
      <c r="C26" s="29" t="s">
        <v>446</v>
      </c>
      <c r="D26" s="15" t="s">
        <v>21</v>
      </c>
      <c r="E26" s="16"/>
      <c r="F26" s="51">
        <v>46278.0</v>
      </c>
      <c r="G26" s="64">
        <v>250000.0</v>
      </c>
      <c r="H26" s="60"/>
      <c r="I26" s="38" t="s">
        <v>37</v>
      </c>
      <c r="J26" s="38" t="s">
        <v>38</v>
      </c>
      <c r="K26" s="38" t="s">
        <v>39</v>
      </c>
      <c r="L26" s="38" t="s">
        <v>25</v>
      </c>
      <c r="M26" s="38" t="s">
        <v>40</v>
      </c>
      <c r="N26" s="30"/>
      <c r="O26" s="30"/>
      <c r="P26" s="30"/>
      <c r="Q26" s="1"/>
      <c r="R26" s="1"/>
    </row>
    <row r="27" ht="15.75" customHeight="1">
      <c r="A27" s="1"/>
      <c r="B27" s="14"/>
      <c r="C27" s="67"/>
      <c r="D27" s="91"/>
      <c r="E27" s="16"/>
      <c r="F27" s="14"/>
      <c r="G27" s="46"/>
      <c r="H27" s="60"/>
      <c r="I27" s="14"/>
      <c r="J27" s="14"/>
      <c r="K27" s="14"/>
      <c r="L27" s="14"/>
      <c r="M27" s="14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174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175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178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182</v>
      </c>
      <c r="O32" s="77" t="s">
        <v>25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2" t="s">
        <v>188</v>
      </c>
      <c r="O33" s="84" t="s">
        <v>25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5" t="s">
        <v>193</v>
      </c>
      <c r="O34" s="86" t="s">
        <v>69</v>
      </c>
      <c r="P34" s="1"/>
      <c r="Q34" s="1"/>
      <c r="R34" s="1"/>
    </row>
    <row r="35" ht="15.75" customHeight="1">
      <c r="A35" s="1"/>
      <c r="B35" s="78">
        <v>4.0</v>
      </c>
      <c r="C35" s="81"/>
      <c r="D35" s="83"/>
      <c r="E35" s="75"/>
      <c r="F35" s="1"/>
      <c r="G35" s="1"/>
      <c r="H35" s="1"/>
      <c r="I35" s="1"/>
      <c r="J35" s="1"/>
      <c r="K35" s="1"/>
      <c r="L35" s="1"/>
      <c r="M35" s="1"/>
      <c r="N35" s="87" t="s">
        <v>195</v>
      </c>
      <c r="O35" s="84" t="s">
        <v>40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1"/>
      <c r="D37" s="83"/>
      <c r="E37" s="75"/>
      <c r="F37" s="1"/>
      <c r="G37" s="1"/>
      <c r="H37" s="1"/>
      <c r="I37" s="1"/>
      <c r="J37" s="1"/>
      <c r="K37" s="89" t="s">
        <v>200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202</v>
      </c>
      <c r="M38" s="90" t="s">
        <v>203</v>
      </c>
      <c r="N38" s="90" t="s">
        <v>204</v>
      </c>
      <c r="O38" s="90" t="s">
        <v>205</v>
      </c>
      <c r="P38" s="90" t="s">
        <v>206</v>
      </c>
      <c r="Q38" s="1"/>
      <c r="R38" s="1"/>
      <c r="AC38" s="92" t="s">
        <v>207</v>
      </c>
      <c r="AD38" s="92" t="s">
        <v>208</v>
      </c>
      <c r="AE38" s="92" t="s">
        <v>209</v>
      </c>
      <c r="AF38" s="92" t="s">
        <v>210</v>
      </c>
      <c r="AG38" s="92" t="s">
        <v>211</v>
      </c>
    </row>
    <row r="39" ht="15.75" customHeight="1">
      <c r="A39" s="1"/>
      <c r="B39" s="78">
        <v>8.0</v>
      </c>
      <c r="C39" s="81"/>
      <c r="D39" s="83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ref="AC39:AC44" si="3">IF(AG39="","",IF(COUNT(L39:P39)&lt;5,"",L39/5*20+M39/5*25+N39/5*25+O39/5*15+P39/5*15))</f>
        <v>100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8">
        <v>10.0</v>
      </c>
      <c r="C41" s="81"/>
      <c r="D41" s="83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"/>
      <c r="C43" s="2"/>
      <c r="D43" s="108">
        <f>SUM(D32:D42)</f>
        <v>1205000</v>
      </c>
      <c r="E43" s="1"/>
      <c r="F43" s="1"/>
      <c r="G43" s="1"/>
      <c r="H43" s="1"/>
      <c r="I43" s="1"/>
      <c r="J43" s="1"/>
      <c r="K43" s="93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5">
        <v>8.0</v>
      </c>
      <c r="M49" s="115" t="s">
        <v>463</v>
      </c>
    </row>
    <row r="50" ht="15.75" customHeight="1">
      <c r="K50" s="113" t="str">
        <f t="shared" si="8"/>
        <v>INDAH</v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5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447</v>
      </c>
      <c r="D4" s="15" t="s">
        <v>21</v>
      </c>
      <c r="E4" s="16"/>
      <c r="F4" s="38" t="s">
        <v>448</v>
      </c>
      <c r="G4" s="46"/>
      <c r="H4" s="36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449</v>
      </c>
      <c r="D5" s="15" t="s">
        <v>51</v>
      </c>
      <c r="E5" s="16"/>
      <c r="F5" s="38" t="s">
        <v>387</v>
      </c>
      <c r="G5" s="46"/>
      <c r="H5" s="36">
        <v>100000.0</v>
      </c>
      <c r="I5" s="38" t="s">
        <v>24</v>
      </c>
      <c r="J5" s="14"/>
      <c r="K5" s="14"/>
      <c r="L5" s="38" t="s">
        <v>26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450</v>
      </c>
      <c r="D6" s="15" t="s">
        <v>20</v>
      </c>
      <c r="E6" s="16"/>
      <c r="F6" s="38" t="s">
        <v>387</v>
      </c>
      <c r="G6" s="64">
        <v>350000.0</v>
      </c>
      <c r="H6" s="60"/>
      <c r="I6" s="38" t="s">
        <v>37</v>
      </c>
      <c r="J6" s="38" t="s">
        <v>38</v>
      </c>
      <c r="K6" s="38" t="s">
        <v>38</v>
      </c>
      <c r="L6" s="38" t="s">
        <v>26</v>
      </c>
      <c r="M6" s="38" t="s">
        <v>40</v>
      </c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451</v>
      </c>
      <c r="D7" s="15" t="s">
        <v>51</v>
      </c>
      <c r="E7" s="16"/>
      <c r="F7" s="38" t="s">
        <v>452</v>
      </c>
      <c r="G7" s="46"/>
      <c r="H7" s="36">
        <v>100000.0</v>
      </c>
      <c r="I7" s="38" t="s">
        <v>24</v>
      </c>
      <c r="J7" s="14"/>
      <c r="K7" s="14"/>
      <c r="L7" s="38" t="s">
        <v>26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449</v>
      </c>
      <c r="D8" s="15" t="s">
        <v>21</v>
      </c>
      <c r="E8" s="16"/>
      <c r="F8" s="38" t="s">
        <v>453</v>
      </c>
      <c r="G8" s="46"/>
      <c r="H8" s="36">
        <v>75000.0</v>
      </c>
      <c r="I8" s="38" t="s">
        <v>37</v>
      </c>
      <c r="J8" s="38" t="s">
        <v>38</v>
      </c>
      <c r="K8" s="38" t="s">
        <v>39</v>
      </c>
      <c r="L8" s="38" t="s">
        <v>26</v>
      </c>
      <c r="M8" s="38" t="s">
        <v>40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454</v>
      </c>
      <c r="D9" s="15" t="s">
        <v>246</v>
      </c>
      <c r="E9" s="21" t="s">
        <v>260</v>
      </c>
      <c r="F9" s="38" t="s">
        <v>387</v>
      </c>
      <c r="G9" s="46"/>
      <c r="H9" s="36">
        <v>50000.0</v>
      </c>
      <c r="I9" s="38" t="s">
        <v>37</v>
      </c>
      <c r="J9" s="38" t="s">
        <v>38</v>
      </c>
      <c r="K9" s="38" t="s">
        <v>38</v>
      </c>
      <c r="L9" s="38" t="s">
        <v>26</v>
      </c>
      <c r="M9" s="38" t="s">
        <v>40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6" t="s">
        <v>455</v>
      </c>
      <c r="D10" s="15" t="s">
        <v>246</v>
      </c>
      <c r="E10" s="16"/>
      <c r="F10" s="38" t="s">
        <v>387</v>
      </c>
      <c r="G10" s="64">
        <v>65000.0</v>
      </c>
      <c r="H10" s="60"/>
      <c r="I10" s="38" t="s">
        <v>37</v>
      </c>
      <c r="J10" s="38" t="s">
        <v>38</v>
      </c>
      <c r="K10" s="38" t="s">
        <v>38</v>
      </c>
      <c r="L10" s="38" t="s">
        <v>26</v>
      </c>
      <c r="M10" s="38" t="s">
        <v>40</v>
      </c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456</v>
      </c>
      <c r="D11" s="15" t="s">
        <v>457</v>
      </c>
      <c r="E11" s="16"/>
      <c r="F11" s="153"/>
      <c r="G11" s="46"/>
      <c r="H11" s="36">
        <v>20000.0</v>
      </c>
      <c r="I11" s="38" t="s">
        <v>37</v>
      </c>
      <c r="J11" s="14"/>
      <c r="K11" s="14"/>
      <c r="L11" s="38" t="s">
        <v>26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41" t="s">
        <v>458</v>
      </c>
      <c r="D12" s="15" t="s">
        <v>51</v>
      </c>
      <c r="E12" s="16"/>
      <c r="F12" s="38" t="s">
        <v>459</v>
      </c>
      <c r="G12" s="46"/>
      <c r="H12" s="36">
        <v>100000.0</v>
      </c>
      <c r="I12" s="38" t="s">
        <v>24</v>
      </c>
      <c r="J12" s="14"/>
      <c r="K12" s="14"/>
      <c r="L12" s="38" t="s">
        <v>26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460</v>
      </c>
      <c r="D13" s="15" t="s">
        <v>20</v>
      </c>
      <c r="E13" s="16"/>
      <c r="F13" s="38" t="s">
        <v>45</v>
      </c>
      <c r="G13" s="46"/>
      <c r="H13" s="36">
        <v>100000.0</v>
      </c>
      <c r="I13" s="38" t="s">
        <v>24</v>
      </c>
      <c r="J13" s="14"/>
      <c r="K13" s="14"/>
      <c r="L13" s="38" t="s">
        <v>26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461</v>
      </c>
      <c r="D14" s="15" t="s">
        <v>21</v>
      </c>
      <c r="E14" s="16"/>
      <c r="F14" s="47">
        <v>46279.0</v>
      </c>
      <c r="G14" s="64">
        <v>1050000.0</v>
      </c>
      <c r="H14" s="60"/>
      <c r="I14" s="38" t="s">
        <v>37</v>
      </c>
      <c r="J14" s="38" t="s">
        <v>38</v>
      </c>
      <c r="K14" s="38" t="s">
        <v>38</v>
      </c>
      <c r="L14" s="38" t="s">
        <v>25</v>
      </c>
      <c r="M14" s="38" t="s">
        <v>40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462</v>
      </c>
      <c r="D15" s="15" t="s">
        <v>21</v>
      </c>
      <c r="E15" s="16"/>
      <c r="F15" s="47">
        <v>46279.0</v>
      </c>
      <c r="G15" s="46"/>
      <c r="H15" s="36">
        <v>100000.0</v>
      </c>
      <c r="I15" s="38" t="s">
        <v>37</v>
      </c>
      <c r="J15" s="38" t="s">
        <v>38</v>
      </c>
      <c r="K15" s="38" t="s">
        <v>38</v>
      </c>
      <c r="L15" s="38" t="s">
        <v>25</v>
      </c>
      <c r="M15" s="38" t="s">
        <v>40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464</v>
      </c>
      <c r="D16" s="15" t="s">
        <v>44</v>
      </c>
      <c r="E16" s="16"/>
      <c r="F16" s="47">
        <v>46287.0</v>
      </c>
      <c r="G16" s="46"/>
      <c r="H16" s="36">
        <v>100000.0</v>
      </c>
      <c r="I16" s="38" t="s">
        <v>24</v>
      </c>
      <c r="J16" s="14"/>
      <c r="K16" s="14"/>
      <c r="L16" s="38" t="s">
        <v>25</v>
      </c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465</v>
      </c>
      <c r="D17" s="15" t="s">
        <v>21</v>
      </c>
      <c r="E17" s="16"/>
      <c r="F17" s="47">
        <v>46279.0</v>
      </c>
      <c r="G17" s="64">
        <v>825000.0</v>
      </c>
      <c r="H17" s="60"/>
      <c r="I17" s="38" t="s">
        <v>37</v>
      </c>
      <c r="J17" s="38" t="s">
        <v>38</v>
      </c>
      <c r="K17" s="38" t="s">
        <v>39</v>
      </c>
      <c r="L17" s="38" t="s">
        <v>25</v>
      </c>
      <c r="M17" s="38" t="s">
        <v>40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466</v>
      </c>
      <c r="D18" s="15" t="s">
        <v>246</v>
      </c>
      <c r="E18" s="21" t="s">
        <v>260</v>
      </c>
      <c r="F18" s="47">
        <v>46279.0</v>
      </c>
      <c r="G18" s="46"/>
      <c r="H18" s="36">
        <v>50000.0</v>
      </c>
      <c r="I18" s="38" t="s">
        <v>37</v>
      </c>
      <c r="J18" s="14"/>
      <c r="K18" s="14"/>
      <c r="L18" s="38" t="s">
        <v>25</v>
      </c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467</v>
      </c>
      <c r="D19" s="15" t="s">
        <v>71</v>
      </c>
      <c r="E19" s="21">
        <v>2.0</v>
      </c>
      <c r="F19" s="47">
        <v>46282.0</v>
      </c>
      <c r="G19" s="46"/>
      <c r="H19" s="36">
        <v>100000.0</v>
      </c>
      <c r="I19" s="38" t="s">
        <v>24</v>
      </c>
      <c r="J19" s="14"/>
      <c r="K19" s="14"/>
      <c r="L19" s="38" t="s">
        <v>25</v>
      </c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53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53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6">
        <v>19.0</v>
      </c>
      <c r="C22" s="91"/>
      <c r="D22" s="133"/>
      <c r="E22" s="19"/>
      <c r="F22" s="134"/>
      <c r="G22" s="23"/>
      <c r="H22" s="50"/>
      <c r="I22" s="16"/>
      <c r="J22" s="16"/>
      <c r="K22" s="16"/>
      <c r="L22" s="16"/>
      <c r="M22" s="16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154"/>
      <c r="D23" s="133"/>
      <c r="E23" s="19"/>
      <c r="F23" s="134"/>
      <c r="G23" s="23"/>
      <c r="H23" s="50"/>
      <c r="I23" s="16"/>
      <c r="J23" s="27"/>
      <c r="K23" s="27"/>
      <c r="L23" s="16"/>
      <c r="M23" s="14"/>
      <c r="N23" s="30"/>
      <c r="O23" s="30"/>
      <c r="P23" s="30"/>
      <c r="Q23" s="1"/>
      <c r="R23" s="1"/>
    </row>
    <row r="24" ht="15.75" customHeight="1">
      <c r="A24" s="1"/>
      <c r="B24" s="155">
        <v>21.0</v>
      </c>
      <c r="C24" s="67"/>
      <c r="D24" s="156"/>
      <c r="E24" s="16"/>
      <c r="F24" s="153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55">
        <v>22.0</v>
      </c>
      <c r="C25" s="67"/>
      <c r="D25" s="156"/>
      <c r="E25" s="16"/>
      <c r="F25" s="153"/>
      <c r="G25" s="46"/>
      <c r="H25" s="6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178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410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2" t="s">
        <v>188</v>
      </c>
      <c r="O31" s="84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193</v>
      </c>
      <c r="O32" s="86" t="s">
        <v>40</v>
      </c>
      <c r="P32" s="1"/>
      <c r="Q32" s="1"/>
      <c r="R32" s="1"/>
    </row>
    <row r="33" ht="15.75" customHeight="1">
      <c r="A33" s="1"/>
      <c r="B33" s="78">
        <v>4.0</v>
      </c>
      <c r="C33" s="81"/>
      <c r="D33" s="83"/>
      <c r="E33" s="75"/>
      <c r="F33" s="1"/>
      <c r="G33" s="1"/>
      <c r="H33" s="1"/>
      <c r="I33" s="1"/>
      <c r="J33" s="1"/>
      <c r="K33" s="1"/>
      <c r="L33" s="1"/>
      <c r="M33" s="1"/>
      <c r="N33" s="87" t="s">
        <v>195</v>
      </c>
      <c r="O33" s="84" t="s">
        <v>40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1"/>
      <c r="D35" s="83"/>
      <c r="E35" s="75"/>
      <c r="F35" s="1"/>
      <c r="G35" s="1"/>
      <c r="H35" s="1"/>
      <c r="I35" s="1"/>
      <c r="J35" s="1"/>
      <c r="K35" s="89" t="s">
        <v>200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202</v>
      </c>
      <c r="M36" s="90" t="s">
        <v>203</v>
      </c>
      <c r="N36" s="90" t="s">
        <v>204</v>
      </c>
      <c r="O36" s="90" t="s">
        <v>205</v>
      </c>
      <c r="P36" s="90" t="s">
        <v>206</v>
      </c>
      <c r="Q36" s="1"/>
      <c r="R36" s="1"/>
      <c r="AC36" s="92" t="s">
        <v>207</v>
      </c>
      <c r="AD36" s="92" t="s">
        <v>208</v>
      </c>
      <c r="AE36" s="92" t="s">
        <v>209</v>
      </c>
      <c r="AF36" s="92" t="s">
        <v>210</v>
      </c>
      <c r="AG36" s="92" t="s">
        <v>211</v>
      </c>
    </row>
    <row r="37" ht="15.75" customHeight="1">
      <c r="A37" s="1"/>
      <c r="B37" s="78">
        <v>8.0</v>
      </c>
      <c r="C37" s="81"/>
      <c r="D37" s="83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1"/>
      <c r="D39" s="83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ADIF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2">
        <f t="shared" si="3"/>
        <v>97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2240000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2.0</v>
      </c>
      <c r="M48" s="115" t="s">
        <v>379</v>
      </c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468</v>
      </c>
      <c r="D4" s="15" t="s">
        <v>21</v>
      </c>
      <c r="E4" s="16"/>
      <c r="F4" s="31">
        <v>46288.0</v>
      </c>
      <c r="G4" s="46"/>
      <c r="H4" s="36">
        <v>100000.0</v>
      </c>
      <c r="I4" s="38" t="s">
        <v>24</v>
      </c>
      <c r="J4" s="14"/>
      <c r="K4" s="14"/>
      <c r="L4" s="38" t="s">
        <v>25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469</v>
      </c>
      <c r="D5" s="15" t="s">
        <v>20</v>
      </c>
      <c r="E5" s="16"/>
      <c r="F5" s="51">
        <v>46312.0</v>
      </c>
      <c r="G5" s="46"/>
      <c r="H5" s="36">
        <v>100000.0</v>
      </c>
      <c r="I5" s="38" t="s">
        <v>24</v>
      </c>
      <c r="J5" s="14"/>
      <c r="K5" s="14"/>
      <c r="L5" s="38" t="s">
        <v>25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41" t="s">
        <v>470</v>
      </c>
      <c r="D6" s="15" t="s">
        <v>20</v>
      </c>
      <c r="E6" s="16"/>
      <c r="F6" s="47">
        <v>46287.0</v>
      </c>
      <c r="G6" s="46"/>
      <c r="H6" s="36">
        <v>100000.0</v>
      </c>
      <c r="I6" s="38" t="s">
        <v>24</v>
      </c>
      <c r="J6" s="14"/>
      <c r="K6" s="14"/>
      <c r="L6" s="38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471</v>
      </c>
      <c r="D7" s="15" t="s">
        <v>51</v>
      </c>
      <c r="E7" s="16"/>
      <c r="F7" s="47">
        <v>46280.0</v>
      </c>
      <c r="G7" s="46"/>
      <c r="H7" s="36">
        <v>100000.0</v>
      </c>
      <c r="I7" s="38" t="s">
        <v>24</v>
      </c>
      <c r="J7" s="14"/>
      <c r="K7" s="14"/>
      <c r="L7" s="38" t="s">
        <v>25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157" t="s">
        <v>472</v>
      </c>
      <c r="D8" s="15" t="s">
        <v>58</v>
      </c>
      <c r="E8" s="16"/>
      <c r="F8" s="47">
        <v>46280.0</v>
      </c>
      <c r="G8" s="46"/>
      <c r="H8" s="36">
        <v>100000.0</v>
      </c>
      <c r="I8" s="38" t="s">
        <v>24</v>
      </c>
      <c r="J8" s="14"/>
      <c r="K8" s="14"/>
      <c r="L8" s="38" t="s">
        <v>25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473</v>
      </c>
      <c r="D9" s="15" t="s">
        <v>20</v>
      </c>
      <c r="E9" s="16"/>
      <c r="F9" s="47">
        <v>46287.0</v>
      </c>
      <c r="G9" s="46"/>
      <c r="H9" s="36">
        <v>100000.0</v>
      </c>
      <c r="I9" s="38" t="s">
        <v>24</v>
      </c>
      <c r="J9" s="14"/>
      <c r="K9" s="14"/>
      <c r="L9" s="38" t="s">
        <v>25</v>
      </c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474</v>
      </c>
      <c r="D10" s="15" t="s">
        <v>93</v>
      </c>
      <c r="E10" s="16"/>
      <c r="F10" s="47">
        <v>46281.0</v>
      </c>
      <c r="G10" s="46"/>
      <c r="H10" s="36">
        <v>100000.0</v>
      </c>
      <c r="I10" s="38" t="s">
        <v>24</v>
      </c>
      <c r="J10" s="14"/>
      <c r="K10" s="14"/>
      <c r="L10" s="38" t="s">
        <v>25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475</v>
      </c>
      <c r="D11" s="15" t="s">
        <v>21</v>
      </c>
      <c r="E11" s="16"/>
      <c r="F11" s="51">
        <v>46281.0</v>
      </c>
      <c r="G11" s="46"/>
      <c r="H11" s="36">
        <v>100000.0</v>
      </c>
      <c r="I11" s="38" t="s">
        <v>24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41" t="s">
        <v>476</v>
      </c>
      <c r="D12" s="15" t="s">
        <v>20</v>
      </c>
      <c r="E12" s="16"/>
      <c r="F12" s="51">
        <v>46301.0</v>
      </c>
      <c r="G12" s="46"/>
      <c r="H12" s="36">
        <v>100000.0</v>
      </c>
      <c r="I12" s="38" t="s">
        <v>24</v>
      </c>
      <c r="J12" s="14"/>
      <c r="K12" s="14"/>
      <c r="L12" s="38" t="s">
        <v>25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477</v>
      </c>
      <c r="D13" s="15" t="s">
        <v>20</v>
      </c>
      <c r="E13" s="16"/>
      <c r="F13" s="51">
        <v>46280.0</v>
      </c>
      <c r="G13" s="46"/>
      <c r="H13" s="36">
        <v>100000.0</v>
      </c>
      <c r="I13" s="38" t="s">
        <v>24</v>
      </c>
      <c r="J13" s="14"/>
      <c r="K13" s="14"/>
      <c r="L13" s="38" t="s">
        <v>25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471</v>
      </c>
      <c r="D14" s="15" t="s">
        <v>51</v>
      </c>
      <c r="E14" s="16"/>
      <c r="F14" s="38" t="s">
        <v>448</v>
      </c>
      <c r="G14" s="46"/>
      <c r="H14" s="36">
        <v>100000.0</v>
      </c>
      <c r="I14" s="38" t="s">
        <v>37</v>
      </c>
      <c r="J14" s="38" t="s">
        <v>38</v>
      </c>
      <c r="K14" s="38" t="s">
        <v>55</v>
      </c>
      <c r="L14" s="38" t="s">
        <v>26</v>
      </c>
      <c r="M14" s="38" t="s">
        <v>69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472</v>
      </c>
      <c r="D15" s="15" t="s">
        <v>58</v>
      </c>
      <c r="E15" s="16"/>
      <c r="F15" s="38" t="s">
        <v>448</v>
      </c>
      <c r="G15" s="46"/>
      <c r="H15" s="36">
        <v>250000.0</v>
      </c>
      <c r="I15" s="38" t="s">
        <v>37</v>
      </c>
      <c r="J15" s="38" t="s">
        <v>38</v>
      </c>
      <c r="K15" s="38" t="s">
        <v>39</v>
      </c>
      <c r="L15" s="38" t="s">
        <v>26</v>
      </c>
      <c r="M15" s="38" t="s">
        <v>69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478</v>
      </c>
      <c r="D16" s="15" t="s">
        <v>21</v>
      </c>
      <c r="E16" s="16"/>
      <c r="F16" s="38" t="s">
        <v>382</v>
      </c>
      <c r="G16" s="46"/>
      <c r="H16" s="36">
        <v>100000.0</v>
      </c>
      <c r="I16" s="38" t="s">
        <v>24</v>
      </c>
      <c r="J16" s="14"/>
      <c r="K16" s="14"/>
      <c r="L16" s="38" t="s">
        <v>26</v>
      </c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479</v>
      </c>
      <c r="D17" s="15" t="s">
        <v>21</v>
      </c>
      <c r="E17" s="16"/>
      <c r="F17" s="38" t="s">
        <v>459</v>
      </c>
      <c r="G17" s="46"/>
      <c r="H17" s="36">
        <v>100000.0</v>
      </c>
      <c r="I17" s="38" t="s">
        <v>24</v>
      </c>
      <c r="J17" s="14"/>
      <c r="K17" s="14"/>
      <c r="L17" s="38" t="s">
        <v>26</v>
      </c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444</v>
      </c>
      <c r="D18" s="15" t="s">
        <v>21</v>
      </c>
      <c r="E18" s="16"/>
      <c r="F18" s="38" t="s">
        <v>448</v>
      </c>
      <c r="G18" s="46"/>
      <c r="H18" s="36">
        <v>525000.0</v>
      </c>
      <c r="I18" s="38" t="s">
        <v>37</v>
      </c>
      <c r="J18" s="38" t="s">
        <v>38</v>
      </c>
      <c r="K18" s="38" t="s">
        <v>38</v>
      </c>
      <c r="L18" s="38" t="s">
        <v>26</v>
      </c>
      <c r="M18" s="38" t="s">
        <v>69</v>
      </c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480</v>
      </c>
      <c r="D19" s="15" t="s">
        <v>21</v>
      </c>
      <c r="E19" s="16"/>
      <c r="F19" s="38" t="s">
        <v>448</v>
      </c>
      <c r="G19" s="64">
        <v>475000.0</v>
      </c>
      <c r="H19" s="60"/>
      <c r="I19" s="38" t="s">
        <v>37</v>
      </c>
      <c r="J19" s="38" t="s">
        <v>38</v>
      </c>
      <c r="K19" s="38" t="s">
        <v>38</v>
      </c>
      <c r="L19" s="38" t="s">
        <v>26</v>
      </c>
      <c r="M19" s="38" t="s">
        <v>69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29" t="s">
        <v>439</v>
      </c>
      <c r="D20" s="15" t="s">
        <v>21</v>
      </c>
      <c r="E20" s="16"/>
      <c r="F20" s="38" t="s">
        <v>448</v>
      </c>
      <c r="G20" s="46"/>
      <c r="H20" s="36">
        <v>150000.0</v>
      </c>
      <c r="I20" s="38" t="s">
        <v>37</v>
      </c>
      <c r="J20" s="38" t="s">
        <v>38</v>
      </c>
      <c r="K20" s="38" t="s">
        <v>39</v>
      </c>
      <c r="L20" s="38" t="s">
        <v>26</v>
      </c>
      <c r="M20" s="38" t="s">
        <v>69</v>
      </c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29" t="s">
        <v>481</v>
      </c>
      <c r="D21" s="15" t="s">
        <v>93</v>
      </c>
      <c r="E21" s="16"/>
      <c r="F21" s="38" t="s">
        <v>482</v>
      </c>
      <c r="G21" s="46"/>
      <c r="H21" s="36">
        <v>100000.0</v>
      </c>
      <c r="I21" s="38" t="s">
        <v>37</v>
      </c>
      <c r="J21" s="14"/>
      <c r="K21" s="14"/>
      <c r="L21" s="38" t="s">
        <v>26</v>
      </c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29" t="s">
        <v>483</v>
      </c>
      <c r="D22" s="15" t="s">
        <v>21</v>
      </c>
      <c r="E22" s="16"/>
      <c r="F22" s="38" t="s">
        <v>482</v>
      </c>
      <c r="G22" s="46"/>
      <c r="H22" s="36">
        <v>100000.0</v>
      </c>
      <c r="I22" s="38" t="s">
        <v>24</v>
      </c>
      <c r="J22" s="14"/>
      <c r="K22" s="14"/>
      <c r="L22" s="38" t="s">
        <v>26</v>
      </c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4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4"/>
      <c r="G24" s="46"/>
      <c r="H24" s="60"/>
      <c r="I24" s="14"/>
      <c r="J24" s="14"/>
      <c r="K24" s="14"/>
      <c r="L24" s="14"/>
      <c r="M24" s="14"/>
      <c r="N24" s="65"/>
      <c r="O24" s="65"/>
      <c r="P24" s="65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174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175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178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182</v>
      </c>
      <c r="O29" s="26" t="s">
        <v>25</v>
      </c>
      <c r="P29" s="1"/>
      <c r="Q29" s="1"/>
      <c r="R29" s="1"/>
    </row>
    <row r="30" ht="15.75" customHeight="1">
      <c r="A30" s="1"/>
      <c r="B30" s="78">
        <v>2.0</v>
      </c>
      <c r="C30" s="81"/>
      <c r="D30" s="83"/>
      <c r="E30" s="75"/>
      <c r="F30" s="1"/>
      <c r="G30" s="1"/>
      <c r="H30" s="1"/>
      <c r="I30" s="1"/>
      <c r="J30" s="1"/>
      <c r="K30" s="1"/>
      <c r="L30" s="1"/>
      <c r="M30" s="1"/>
      <c r="N30" s="82" t="s">
        <v>188</v>
      </c>
      <c r="O30" s="65" t="s">
        <v>26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5" t="s">
        <v>193</v>
      </c>
      <c r="O31" s="30" t="s">
        <v>40</v>
      </c>
      <c r="P31" s="1"/>
      <c r="Q31" s="1"/>
      <c r="R31" s="1"/>
    </row>
    <row r="32" ht="15.75" customHeight="1">
      <c r="A32" s="1"/>
      <c r="B32" s="78">
        <v>4.0</v>
      </c>
      <c r="C32" s="81"/>
      <c r="D32" s="83"/>
      <c r="E32" s="75"/>
      <c r="F32" s="1"/>
      <c r="G32" s="1"/>
      <c r="H32" s="1"/>
      <c r="I32" s="1"/>
      <c r="J32" s="1"/>
      <c r="K32" s="1"/>
      <c r="L32" s="1"/>
      <c r="M32" s="1"/>
      <c r="N32" s="87" t="s">
        <v>195</v>
      </c>
      <c r="O32" s="65" t="s">
        <v>69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1"/>
      <c r="D34" s="83"/>
      <c r="E34" s="75"/>
      <c r="F34" s="1"/>
      <c r="G34" s="1"/>
      <c r="H34" s="1"/>
      <c r="I34" s="1"/>
      <c r="J34" s="1"/>
      <c r="K34" s="89" t="s">
        <v>200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202</v>
      </c>
      <c r="M35" s="90" t="s">
        <v>203</v>
      </c>
      <c r="N35" s="90" t="s">
        <v>204</v>
      </c>
      <c r="O35" s="90" t="s">
        <v>205</v>
      </c>
      <c r="P35" s="90" t="s">
        <v>206</v>
      </c>
      <c r="Q35" s="1"/>
      <c r="R35" s="1"/>
      <c r="AC35" s="92" t="s">
        <v>207</v>
      </c>
      <c r="AD35" s="92" t="s">
        <v>208</v>
      </c>
      <c r="AE35" s="92" t="s">
        <v>209</v>
      </c>
      <c r="AF35" s="92" t="s">
        <v>210</v>
      </c>
      <c r="AG35" s="92" t="s">
        <v>211</v>
      </c>
    </row>
    <row r="36" ht="15.75" customHeight="1">
      <c r="A36" s="1"/>
      <c r="B36" s="78">
        <v>8.0</v>
      </c>
      <c r="C36" s="81"/>
      <c r="D36" s="83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ref="AC36:AC41" si="3">IF(AG36="","",IF(COUNT(L36:P36)&lt;5,"",L36/5*20+M36/5*25+N36/5*25+O36/5*15+P36/5*15))</f>
        <v>100</v>
      </c>
      <c r="AD36" s="92" t="str">
        <f t="shared" ref="AD36:AD41" si="4">IF(AC36="","",IF(AC36&gt;=90,"Sangat Baik",IF(AC36&gt;=80,"Baik",IF(AC36&gt;=70,"Coaching","Underperform"))))</f>
        <v>Sangat Baik</v>
      </c>
      <c r="AE36" s="92" t="str">
        <f t="shared" ref="AE36:AE41" si="5">IF(AG36="","",IF(OR(AG36="INDAH",AG36="ADDEL",AG36="AMEL",AG36="PENTIL",AG36="JIJANG"),"Admin/CS","Fotografer"))</f>
        <v>Admin/CS</v>
      </c>
      <c r="AF36" s="92">
        <f t="shared" ref="AF36:AF41" si="6">IF(OR(AG36="",COUNT(L36:P36)&lt;5),"",1)</f>
        <v>1</v>
      </c>
      <c r="AG36" s="92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Admin/CS</v>
      </c>
      <c r="AF37" s="92">
        <f t="shared" si="6"/>
        <v>1</v>
      </c>
      <c r="AG37" s="92" t="str">
        <f t="shared" si="7"/>
        <v>AMEL</v>
      </c>
    </row>
    <row r="38" ht="15.75" customHeight="1">
      <c r="A38" s="1"/>
      <c r="B38" s="78">
        <v>10.0</v>
      </c>
      <c r="C38" s="81"/>
      <c r="D38" s="83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ADIF</v>
      </c>
    </row>
    <row r="39" ht="15.75" customHeight="1">
      <c r="A39" s="1"/>
      <c r="B39" s="105">
        <v>11.0</v>
      </c>
      <c r="C39" s="106"/>
      <c r="D39" s="107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"/>
      <c r="C40" s="2"/>
      <c r="D40" s="108">
        <f>SUM(D29:D39)</f>
        <v>475000</v>
      </c>
      <c r="E40" s="1"/>
      <c r="F40" s="1"/>
      <c r="G40" s="1"/>
      <c r="H40" s="1"/>
      <c r="I40" s="1"/>
      <c r="J40" s="1"/>
      <c r="K40" s="93"/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501</v>
      </c>
    </row>
    <row r="46" ht="15.75" customHeight="1">
      <c r="K46" s="113" t="str">
        <f t="shared" ref="K46:K47" si="8">IF(O29="","",O29)</f>
        <v>INDAH</v>
      </c>
      <c r="L46" s="115">
        <v>9.0</v>
      </c>
      <c r="M46" s="114"/>
      <c r="N46" s="160">
        <v>30.0</v>
      </c>
    </row>
    <row r="47" ht="15.75" customHeight="1">
      <c r="K47" s="113" t="str">
        <f t="shared" si="8"/>
        <v>AMEL</v>
      </c>
      <c r="L47" s="115">
        <v>4.0</v>
      </c>
      <c r="M47" s="114"/>
      <c r="N47" s="160">
        <v>31.0</v>
      </c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5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484</v>
      </c>
      <c r="D4" s="15" t="s">
        <v>20</v>
      </c>
      <c r="E4" s="16"/>
      <c r="F4" s="51">
        <v>46287.0</v>
      </c>
      <c r="G4" s="46"/>
      <c r="H4" s="36">
        <v>100000.0</v>
      </c>
      <c r="I4" s="38" t="s">
        <v>24</v>
      </c>
      <c r="J4" s="14"/>
      <c r="K4" s="14"/>
      <c r="L4" s="38" t="s">
        <v>25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485</v>
      </c>
      <c r="D5" s="15" t="s">
        <v>21</v>
      </c>
      <c r="E5" s="16"/>
      <c r="F5" s="51">
        <v>46285.0</v>
      </c>
      <c r="G5" s="46"/>
      <c r="H5" s="36">
        <v>100000.0</v>
      </c>
      <c r="I5" s="38" t="s">
        <v>24</v>
      </c>
      <c r="J5" s="14"/>
      <c r="K5" s="14"/>
      <c r="L5" s="38" t="s">
        <v>25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486</v>
      </c>
      <c r="D6" s="15" t="s">
        <v>20</v>
      </c>
      <c r="E6" s="16"/>
      <c r="F6" s="51">
        <v>46298.0</v>
      </c>
      <c r="G6" s="46"/>
      <c r="H6" s="36">
        <v>100000.0</v>
      </c>
      <c r="I6" s="38" t="s">
        <v>24</v>
      </c>
      <c r="J6" s="14"/>
      <c r="K6" s="14"/>
      <c r="L6" s="38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487</v>
      </c>
      <c r="D7" s="15" t="s">
        <v>58</v>
      </c>
      <c r="E7" s="16"/>
      <c r="F7" s="51">
        <v>46292.0</v>
      </c>
      <c r="G7" s="46"/>
      <c r="H7" s="36">
        <v>100000.0</v>
      </c>
      <c r="I7" s="38" t="s">
        <v>24</v>
      </c>
      <c r="J7" s="14"/>
      <c r="K7" s="14"/>
      <c r="L7" s="38" t="s">
        <v>25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474</v>
      </c>
      <c r="D8" s="15" t="s">
        <v>93</v>
      </c>
      <c r="E8" s="16"/>
      <c r="F8" s="51">
        <v>46281.0</v>
      </c>
      <c r="G8" s="64">
        <v>300000.0</v>
      </c>
      <c r="H8" s="60"/>
      <c r="I8" s="38" t="s">
        <v>37</v>
      </c>
      <c r="J8" s="38" t="s">
        <v>38</v>
      </c>
      <c r="K8" s="38" t="s">
        <v>39</v>
      </c>
      <c r="L8" s="38" t="s">
        <v>25</v>
      </c>
      <c r="M8" s="38" t="s">
        <v>69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488</v>
      </c>
      <c r="D9" s="15" t="s">
        <v>21</v>
      </c>
      <c r="E9" s="16"/>
      <c r="F9" s="51">
        <v>46286.0</v>
      </c>
      <c r="G9" s="46"/>
      <c r="H9" s="36">
        <v>100000.0</v>
      </c>
      <c r="I9" s="38" t="s">
        <v>24</v>
      </c>
      <c r="J9" s="14"/>
      <c r="K9" s="14"/>
      <c r="L9" s="38" t="s">
        <v>25</v>
      </c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489</v>
      </c>
      <c r="D10" s="15" t="s">
        <v>71</v>
      </c>
      <c r="E10" s="16"/>
      <c r="F10" s="47">
        <v>46291.0</v>
      </c>
      <c r="G10" s="46"/>
      <c r="H10" s="36">
        <v>100000.0</v>
      </c>
      <c r="I10" s="38" t="s">
        <v>37</v>
      </c>
      <c r="J10" s="14"/>
      <c r="K10" s="14"/>
      <c r="L10" s="38" t="s">
        <v>25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490</v>
      </c>
      <c r="D11" s="15" t="s">
        <v>491</v>
      </c>
      <c r="E11" s="16"/>
      <c r="F11" s="47">
        <v>46258.0</v>
      </c>
      <c r="G11" s="46"/>
      <c r="H11" s="36">
        <v>20000.0</v>
      </c>
      <c r="I11" s="38" t="s">
        <v>37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492</v>
      </c>
      <c r="D12" s="15" t="s">
        <v>21</v>
      </c>
      <c r="E12" s="16"/>
      <c r="F12" s="47">
        <v>46284.0</v>
      </c>
      <c r="G12" s="46"/>
      <c r="H12" s="36">
        <v>100000.0</v>
      </c>
      <c r="I12" s="38" t="s">
        <v>24</v>
      </c>
      <c r="J12" s="14"/>
      <c r="K12" s="14"/>
      <c r="L12" s="38" t="s">
        <v>25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493</v>
      </c>
      <c r="D13" s="15" t="s">
        <v>20</v>
      </c>
      <c r="E13" s="16"/>
      <c r="F13" s="47">
        <v>46298.0</v>
      </c>
      <c r="G13" s="46"/>
      <c r="H13" s="36">
        <v>100000.0</v>
      </c>
      <c r="I13" s="38" t="s">
        <v>24</v>
      </c>
      <c r="J13" s="14"/>
      <c r="K13" s="14"/>
      <c r="L13" s="38" t="s">
        <v>25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494</v>
      </c>
      <c r="D14" s="15" t="s">
        <v>20</v>
      </c>
      <c r="E14" s="16"/>
      <c r="F14" s="47">
        <v>46287.0</v>
      </c>
      <c r="G14" s="46"/>
      <c r="H14" s="36">
        <v>100000.0</v>
      </c>
      <c r="I14" s="38" t="s">
        <v>24</v>
      </c>
      <c r="J14" s="14"/>
      <c r="K14" s="14"/>
      <c r="L14" s="38" t="s">
        <v>25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495</v>
      </c>
      <c r="D15" s="15" t="s">
        <v>491</v>
      </c>
      <c r="E15" s="16"/>
      <c r="F15" s="47">
        <v>46267.0</v>
      </c>
      <c r="G15" s="46"/>
      <c r="H15" s="36">
        <v>20000.0</v>
      </c>
      <c r="I15" s="38" t="s">
        <v>37</v>
      </c>
      <c r="J15" s="14"/>
      <c r="K15" s="14"/>
      <c r="L15" s="38" t="s">
        <v>25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496</v>
      </c>
      <c r="D16" s="15" t="s">
        <v>20</v>
      </c>
      <c r="E16" s="16"/>
      <c r="F16" s="47">
        <v>46298.0</v>
      </c>
      <c r="G16" s="46"/>
      <c r="H16" s="36">
        <v>100000.0</v>
      </c>
      <c r="I16" s="38" t="s">
        <v>24</v>
      </c>
      <c r="J16" s="14"/>
      <c r="K16" s="14"/>
      <c r="L16" s="38" t="s">
        <v>25</v>
      </c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497</v>
      </c>
      <c r="D17" s="15" t="s">
        <v>21</v>
      </c>
      <c r="E17" s="16"/>
      <c r="F17" s="47">
        <v>46281.0</v>
      </c>
      <c r="G17" s="64">
        <v>225000.0</v>
      </c>
      <c r="H17" s="60"/>
      <c r="I17" s="38" t="s">
        <v>37</v>
      </c>
      <c r="J17" s="38" t="s">
        <v>38</v>
      </c>
      <c r="K17" s="38" t="s">
        <v>38</v>
      </c>
      <c r="L17" s="38" t="s">
        <v>25</v>
      </c>
      <c r="M17" s="38" t="s">
        <v>40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498</v>
      </c>
      <c r="D18" s="15" t="s">
        <v>20</v>
      </c>
      <c r="E18" s="16"/>
      <c r="F18" s="51">
        <v>46299.0</v>
      </c>
      <c r="G18" s="46"/>
      <c r="H18" s="36">
        <v>100000.0</v>
      </c>
      <c r="I18" s="38" t="s">
        <v>24</v>
      </c>
      <c r="J18" s="14"/>
      <c r="K18" s="14"/>
      <c r="L18" s="38" t="s">
        <v>25</v>
      </c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479</v>
      </c>
      <c r="D19" s="15" t="s">
        <v>21</v>
      </c>
      <c r="E19" s="16"/>
      <c r="F19" s="51">
        <v>46281.0</v>
      </c>
      <c r="G19" s="46"/>
      <c r="H19" s="36">
        <v>75000.0</v>
      </c>
      <c r="I19" s="38" t="s">
        <v>37</v>
      </c>
      <c r="J19" s="38" t="s">
        <v>38</v>
      </c>
      <c r="K19" s="38" t="s">
        <v>38</v>
      </c>
      <c r="L19" s="38" t="s">
        <v>25</v>
      </c>
      <c r="M19" s="38" t="s">
        <v>40</v>
      </c>
      <c r="N19" s="30"/>
      <c r="O19" s="30"/>
      <c r="P19" s="30"/>
      <c r="Q19" s="1"/>
      <c r="R19" s="1"/>
    </row>
    <row r="20" ht="15.75" customHeight="1">
      <c r="A20" s="1"/>
      <c r="B20" s="14"/>
      <c r="C20" s="29" t="s">
        <v>499</v>
      </c>
      <c r="D20" s="15" t="s">
        <v>21</v>
      </c>
      <c r="E20" s="16"/>
      <c r="F20" s="51">
        <v>46285.0</v>
      </c>
      <c r="G20" s="46"/>
      <c r="H20" s="36">
        <v>100000.0</v>
      </c>
      <c r="I20" s="38" t="s">
        <v>24</v>
      </c>
      <c r="J20" s="14"/>
      <c r="K20" s="14"/>
      <c r="L20" s="38" t="s">
        <v>25</v>
      </c>
      <c r="M20" s="14"/>
      <c r="N20" s="30"/>
      <c r="O20" s="30"/>
      <c r="P20" s="30"/>
      <c r="Q20" s="1"/>
      <c r="R20" s="1"/>
    </row>
    <row r="21" ht="15.75" customHeight="1">
      <c r="A21" s="1"/>
      <c r="B21" s="14"/>
      <c r="C21" s="29" t="s">
        <v>458</v>
      </c>
      <c r="D21" s="15" t="s">
        <v>51</v>
      </c>
      <c r="E21" s="16"/>
      <c r="F21" s="51">
        <v>46281.0</v>
      </c>
      <c r="G21" s="64">
        <v>125000.0</v>
      </c>
      <c r="H21" s="60"/>
      <c r="I21" s="38" t="s">
        <v>37</v>
      </c>
      <c r="J21" s="38" t="s">
        <v>38</v>
      </c>
      <c r="K21" s="38" t="s">
        <v>38</v>
      </c>
      <c r="L21" s="38" t="s">
        <v>25</v>
      </c>
      <c r="M21" s="38" t="s">
        <v>40</v>
      </c>
      <c r="N21" s="30"/>
      <c r="O21" s="30"/>
      <c r="P21" s="30"/>
      <c r="Q21" s="1"/>
      <c r="R21" s="1"/>
    </row>
    <row r="22" ht="15.75" customHeight="1">
      <c r="A22" s="1"/>
      <c r="B22" s="14"/>
      <c r="C22" s="67"/>
      <c r="D22" s="91"/>
      <c r="E22" s="16"/>
      <c r="F22" s="14"/>
      <c r="G22" s="46"/>
      <c r="H22" s="60"/>
      <c r="I22" s="14"/>
      <c r="J22" s="14"/>
      <c r="K22" s="14"/>
      <c r="L22" s="14"/>
      <c r="M22" s="14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174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175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178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182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2" t="s">
        <v>188</v>
      </c>
      <c r="O28" s="84" t="s">
        <v>25</v>
      </c>
      <c r="P28" s="1"/>
      <c r="Q28" s="1"/>
      <c r="R28" s="1"/>
    </row>
    <row r="29" ht="15.75" customHeight="1">
      <c r="A29" s="1"/>
      <c r="B29" s="72">
        <v>3.0</v>
      </c>
      <c r="C29" s="100" t="s">
        <v>337</v>
      </c>
      <c r="D29" s="101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193</v>
      </c>
      <c r="O29" s="86" t="s">
        <v>69</v>
      </c>
      <c r="P29" s="1"/>
      <c r="Q29" s="1"/>
      <c r="R29" s="1"/>
    </row>
    <row r="30" ht="15.75" customHeight="1">
      <c r="A30" s="1"/>
      <c r="B30" s="78">
        <v>4.0</v>
      </c>
      <c r="C30" s="81"/>
      <c r="D30" s="83"/>
      <c r="E30" s="75"/>
      <c r="F30" s="1"/>
      <c r="G30" s="1"/>
      <c r="H30" s="1"/>
      <c r="I30" s="1"/>
      <c r="J30" s="1"/>
      <c r="K30" s="1"/>
      <c r="L30" s="1"/>
      <c r="M30" s="1"/>
      <c r="N30" s="87" t="s">
        <v>195</v>
      </c>
      <c r="O30" s="84" t="s">
        <v>40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1"/>
      <c r="D32" s="83"/>
      <c r="E32" s="75"/>
      <c r="F32" s="1"/>
      <c r="G32" s="1"/>
      <c r="H32" s="1"/>
      <c r="I32" s="1"/>
      <c r="J32" s="1"/>
      <c r="K32" s="89" t="s">
        <v>200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202</v>
      </c>
      <c r="M33" s="90" t="s">
        <v>203</v>
      </c>
      <c r="N33" s="90" t="s">
        <v>204</v>
      </c>
      <c r="O33" s="90" t="s">
        <v>205</v>
      </c>
      <c r="P33" s="90" t="s">
        <v>206</v>
      </c>
      <c r="Q33" s="1"/>
      <c r="R33" s="1"/>
      <c r="AC33" s="92" t="s">
        <v>207</v>
      </c>
      <c r="AD33" s="92" t="s">
        <v>208</v>
      </c>
      <c r="AE33" s="92" t="s">
        <v>209</v>
      </c>
      <c r="AF33" s="92" t="s">
        <v>210</v>
      </c>
      <c r="AG33" s="92" t="s">
        <v>211</v>
      </c>
    </row>
    <row r="34" ht="15.75" customHeight="1">
      <c r="A34" s="1"/>
      <c r="B34" s="78">
        <v>8.0</v>
      </c>
      <c r="C34" s="81"/>
      <c r="D34" s="83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94">
        <v>5.0</v>
      </c>
      <c r="M34" s="94">
        <v>5.0</v>
      </c>
      <c r="N34" s="94">
        <v>5.0</v>
      </c>
      <c r="O34" s="94">
        <v>5.0</v>
      </c>
      <c r="P34" s="94">
        <v>5.0</v>
      </c>
      <c r="Q34" s="1"/>
      <c r="R34" s="1"/>
      <c r="AC34" s="92">
        <f t="shared" ref="AC34:AC39" si="3">IF(AG34="","",IF(COUNT(L34:P34)&lt;5,"",L34/5*20+M34/5*25+N34/5*25+O34/5*15+P34/5*15))</f>
        <v>100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INDAH</v>
      </c>
    </row>
    <row r="36" ht="15.75" customHeight="1">
      <c r="A36" s="1"/>
      <c r="B36" s="78">
        <v>10.0</v>
      </c>
      <c r="C36" s="81"/>
      <c r="D36" s="83"/>
      <c r="E36" s="75"/>
      <c r="F36" s="1"/>
      <c r="G36" s="1"/>
      <c r="H36" s="1"/>
      <c r="I36" s="1"/>
      <c r="J36" s="1"/>
      <c r="K36" s="93" t="str">
        <f t="shared" si="2"/>
        <v>SAKA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05">
        <v>11.0</v>
      </c>
      <c r="C37" s="106"/>
      <c r="D37" s="107"/>
      <c r="E37" s="75"/>
      <c r="F37" s="1"/>
      <c r="G37" s="1"/>
      <c r="H37" s="1"/>
      <c r="I37" s="1"/>
      <c r="J37" s="1"/>
      <c r="K37" s="93" t="str">
        <f t="shared" si="2"/>
        <v>ADIF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8">
        <f>SUM(D27:D37)</f>
        <v>550000</v>
      </c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501</v>
      </c>
    </row>
    <row r="44" ht="15.75" customHeight="1">
      <c r="K44" s="161" t="s">
        <v>25</v>
      </c>
      <c r="L44" s="115">
        <v>13.0</v>
      </c>
      <c r="M44" s="115" t="s">
        <v>502</v>
      </c>
      <c r="N44" s="160">
        <v>53.0</v>
      </c>
    </row>
    <row r="45" ht="15.75" customHeight="1">
      <c r="K45" s="161" t="s">
        <v>25</v>
      </c>
      <c r="L45" s="114"/>
      <c r="M45" s="114"/>
      <c r="N45" s="162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503</v>
      </c>
      <c r="D4" s="15" t="s">
        <v>21</v>
      </c>
      <c r="E4" s="16"/>
      <c r="F4" s="38" t="s">
        <v>382</v>
      </c>
      <c r="G4" s="46"/>
      <c r="H4" s="36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504</v>
      </c>
      <c r="D5" s="15" t="s">
        <v>20</v>
      </c>
      <c r="E5" s="16"/>
      <c r="F5" s="38" t="s">
        <v>30</v>
      </c>
      <c r="G5" s="46"/>
      <c r="H5" s="36">
        <v>100000.0</v>
      </c>
      <c r="I5" s="38" t="s">
        <v>24</v>
      </c>
      <c r="J5" s="14"/>
      <c r="K5" s="14"/>
      <c r="L5" s="38" t="s">
        <v>26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505</v>
      </c>
      <c r="D6" s="15" t="s">
        <v>20</v>
      </c>
      <c r="E6" s="16"/>
      <c r="F6" s="38" t="s">
        <v>506</v>
      </c>
      <c r="G6" s="46"/>
      <c r="H6" s="36">
        <v>100000.0</v>
      </c>
      <c r="I6" s="38" t="s">
        <v>24</v>
      </c>
      <c r="J6" s="14"/>
      <c r="K6" s="14"/>
      <c r="L6" s="38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63" t="s">
        <v>507</v>
      </c>
      <c r="D7" s="15" t="s">
        <v>21</v>
      </c>
      <c r="E7" s="16"/>
      <c r="F7" s="38" t="s">
        <v>508</v>
      </c>
      <c r="G7" s="46"/>
      <c r="H7" s="36">
        <v>100000.0</v>
      </c>
      <c r="I7" s="38" t="s">
        <v>24</v>
      </c>
      <c r="J7" s="14"/>
      <c r="K7" s="14"/>
      <c r="L7" s="38" t="s">
        <v>26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509</v>
      </c>
      <c r="D8" s="15" t="s">
        <v>71</v>
      </c>
      <c r="E8" s="16"/>
      <c r="F8" s="38" t="s">
        <v>510</v>
      </c>
      <c r="G8" s="46"/>
      <c r="H8" s="36">
        <v>275000.0</v>
      </c>
      <c r="I8" s="38" t="s">
        <v>37</v>
      </c>
      <c r="J8" s="38" t="s">
        <v>38</v>
      </c>
      <c r="K8" s="38" t="s">
        <v>38</v>
      </c>
      <c r="L8" s="38" t="s">
        <v>26</v>
      </c>
      <c r="M8" s="38" t="s">
        <v>69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511</v>
      </c>
      <c r="D9" s="15" t="s">
        <v>71</v>
      </c>
      <c r="E9" s="16"/>
      <c r="F9" s="38" t="s">
        <v>510</v>
      </c>
      <c r="G9" s="46"/>
      <c r="H9" s="36">
        <v>100000.0</v>
      </c>
      <c r="I9" s="38" t="s">
        <v>37</v>
      </c>
      <c r="J9" s="14"/>
      <c r="K9" s="14"/>
      <c r="L9" s="38" t="s">
        <v>26</v>
      </c>
      <c r="M9" s="38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512</v>
      </c>
      <c r="D10" s="15" t="s">
        <v>20</v>
      </c>
      <c r="E10" s="16"/>
      <c r="F10" s="38" t="s">
        <v>45</v>
      </c>
      <c r="G10" s="46"/>
      <c r="H10" s="36">
        <v>100000.0</v>
      </c>
      <c r="I10" s="38" t="s">
        <v>24</v>
      </c>
      <c r="J10" s="14"/>
      <c r="K10" s="14"/>
      <c r="L10" s="38" t="s">
        <v>26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513</v>
      </c>
      <c r="D11" s="15" t="s">
        <v>21</v>
      </c>
      <c r="E11" s="16"/>
      <c r="F11" s="38" t="s">
        <v>514</v>
      </c>
      <c r="G11" s="60"/>
      <c r="H11" s="36">
        <v>100000.0</v>
      </c>
      <c r="I11" s="38" t="s">
        <v>24</v>
      </c>
      <c r="J11" s="14"/>
      <c r="K11" s="14"/>
      <c r="L11" s="38" t="s">
        <v>26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515</v>
      </c>
      <c r="D12" s="15" t="s">
        <v>20</v>
      </c>
      <c r="E12" s="16"/>
      <c r="F12" s="38" t="s">
        <v>129</v>
      </c>
      <c r="G12" s="46"/>
      <c r="H12" s="36">
        <v>100000.0</v>
      </c>
      <c r="I12" s="38" t="s">
        <v>24</v>
      </c>
      <c r="J12" s="14"/>
      <c r="K12" s="14"/>
      <c r="L12" s="38" t="s">
        <v>26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516</v>
      </c>
      <c r="D13" s="15" t="s">
        <v>21</v>
      </c>
      <c r="E13" s="16"/>
      <c r="F13" s="38" t="s">
        <v>382</v>
      </c>
      <c r="G13" s="46"/>
      <c r="H13" s="36">
        <v>100000.0</v>
      </c>
      <c r="I13" s="38" t="s">
        <v>24</v>
      </c>
      <c r="J13" s="14"/>
      <c r="K13" s="14"/>
      <c r="L13" s="38" t="s">
        <v>26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34" t="s">
        <v>517</v>
      </c>
      <c r="D14" s="15" t="s">
        <v>51</v>
      </c>
      <c r="E14" s="16"/>
      <c r="F14" s="38" t="s">
        <v>382</v>
      </c>
      <c r="G14" s="46"/>
      <c r="H14" s="36">
        <v>100000.0</v>
      </c>
      <c r="I14" s="38" t="s">
        <v>24</v>
      </c>
      <c r="J14" s="14"/>
      <c r="K14" s="14"/>
      <c r="L14" s="38" t="s">
        <v>26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518</v>
      </c>
      <c r="D15" s="15" t="s">
        <v>58</v>
      </c>
      <c r="E15" s="16"/>
      <c r="F15" s="38" t="s">
        <v>519</v>
      </c>
      <c r="G15" s="46"/>
      <c r="H15" s="36">
        <v>100000.0</v>
      </c>
      <c r="I15" s="38" t="s">
        <v>24</v>
      </c>
      <c r="J15" s="14"/>
      <c r="K15" s="14"/>
      <c r="L15" s="38" t="s">
        <v>26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520</v>
      </c>
      <c r="D16" s="15" t="s">
        <v>21</v>
      </c>
      <c r="E16" s="16"/>
      <c r="F16" s="38" t="s">
        <v>510</v>
      </c>
      <c r="G16" s="46"/>
      <c r="H16" s="36">
        <v>150000.0</v>
      </c>
      <c r="I16" s="38" t="s">
        <v>37</v>
      </c>
      <c r="J16" s="38" t="s">
        <v>38</v>
      </c>
      <c r="K16" s="38" t="s">
        <v>38</v>
      </c>
      <c r="L16" s="38" t="s">
        <v>26</v>
      </c>
      <c r="M16" s="38" t="s">
        <v>40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521</v>
      </c>
      <c r="D17" s="15" t="s">
        <v>21</v>
      </c>
      <c r="E17" s="16"/>
      <c r="F17" s="38" t="s">
        <v>522</v>
      </c>
      <c r="G17" s="46"/>
      <c r="H17" s="36">
        <v>100000.0</v>
      </c>
      <c r="I17" s="38" t="s">
        <v>24</v>
      </c>
      <c r="J17" s="14"/>
      <c r="K17" s="14"/>
      <c r="L17" s="38" t="s">
        <v>26</v>
      </c>
      <c r="M17" s="14"/>
      <c r="N17" s="30"/>
      <c r="O17" s="30"/>
      <c r="P17" s="30"/>
      <c r="Q17" s="1"/>
      <c r="R17" s="1"/>
    </row>
    <row r="18" ht="15.75" customHeight="1">
      <c r="A18" s="1"/>
      <c r="B18" s="14">
        <v>16.0</v>
      </c>
      <c r="C18" s="29" t="s">
        <v>511</v>
      </c>
      <c r="D18" s="15" t="s">
        <v>71</v>
      </c>
      <c r="E18" s="16"/>
      <c r="F18" s="38" t="s">
        <v>510</v>
      </c>
      <c r="G18" s="64"/>
      <c r="H18" s="36">
        <v>50000.0</v>
      </c>
      <c r="I18" s="38" t="s">
        <v>37</v>
      </c>
      <c r="J18" s="38" t="s">
        <v>38</v>
      </c>
      <c r="K18" s="14"/>
      <c r="L18" s="38" t="s">
        <v>26</v>
      </c>
      <c r="M18" s="38" t="s">
        <v>40</v>
      </c>
      <c r="N18" s="30"/>
      <c r="O18" s="30"/>
      <c r="P18" s="30"/>
      <c r="Q18" s="1"/>
      <c r="R18" s="1"/>
    </row>
    <row r="19" ht="15.75" customHeight="1">
      <c r="A19" s="1"/>
      <c r="B19" s="14">
        <v>17.0</v>
      </c>
      <c r="C19" s="67"/>
      <c r="D19" s="91"/>
      <c r="E19" s="16"/>
      <c r="F19" s="14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18.0</v>
      </c>
      <c r="C20" s="67"/>
      <c r="D20" s="91"/>
      <c r="E20" s="16"/>
      <c r="F20" s="14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19.0</v>
      </c>
      <c r="C21" s="67"/>
      <c r="D21" s="91"/>
      <c r="E21" s="16"/>
      <c r="F21" s="14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20.0</v>
      </c>
      <c r="C22" s="67"/>
      <c r="D22" s="91"/>
      <c r="E22" s="16"/>
      <c r="F22" s="14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21.0</v>
      </c>
      <c r="C23" s="67"/>
      <c r="D23" s="91"/>
      <c r="E23" s="16"/>
      <c r="F23" s="14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22.0</v>
      </c>
      <c r="C24" s="67"/>
      <c r="D24" s="91"/>
      <c r="E24" s="16"/>
      <c r="F24" s="14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23.0</v>
      </c>
      <c r="C25" s="67"/>
      <c r="D25" s="91"/>
      <c r="E25" s="16"/>
      <c r="F25" s="14"/>
      <c r="G25" s="46"/>
      <c r="H25" s="6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178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1"/>
      <c r="D31" s="83"/>
      <c r="E31" s="75"/>
      <c r="F31" s="1"/>
      <c r="G31" s="1"/>
      <c r="H31" s="1"/>
      <c r="I31" s="1"/>
      <c r="J31" s="1"/>
      <c r="K31" s="1"/>
      <c r="L31" s="1"/>
      <c r="M31" s="1"/>
      <c r="N31" s="82" t="s">
        <v>188</v>
      </c>
      <c r="O31" s="65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193</v>
      </c>
      <c r="O32" s="30" t="s">
        <v>69</v>
      </c>
      <c r="P32" s="1"/>
      <c r="Q32" s="1"/>
      <c r="R32" s="1"/>
    </row>
    <row r="33" ht="15.75" customHeight="1">
      <c r="A33" s="1"/>
      <c r="B33" s="78">
        <v>4.0</v>
      </c>
      <c r="C33" s="81"/>
      <c r="D33" s="83"/>
      <c r="E33" s="75"/>
      <c r="F33" s="1"/>
      <c r="G33" s="1"/>
      <c r="H33" s="1"/>
      <c r="I33" s="1"/>
      <c r="J33" s="1"/>
      <c r="K33" s="1"/>
      <c r="L33" s="1"/>
      <c r="M33" s="1"/>
      <c r="N33" s="87" t="s">
        <v>195</v>
      </c>
      <c r="O33" s="65" t="s">
        <v>40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2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1"/>
      <c r="D35" s="83"/>
      <c r="E35" s="75"/>
      <c r="F35" s="102"/>
      <c r="G35" s="1"/>
      <c r="H35" s="1"/>
      <c r="I35" s="1"/>
      <c r="J35" s="1"/>
      <c r="K35" s="89" t="s">
        <v>200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202</v>
      </c>
      <c r="M36" s="90" t="s">
        <v>203</v>
      </c>
      <c r="N36" s="90" t="s">
        <v>204</v>
      </c>
      <c r="O36" s="90" t="s">
        <v>205</v>
      </c>
      <c r="P36" s="90" t="s">
        <v>206</v>
      </c>
      <c r="Q36" s="1"/>
      <c r="R36" s="1"/>
      <c r="AC36" s="92" t="s">
        <v>207</v>
      </c>
      <c r="AD36" s="92" t="s">
        <v>208</v>
      </c>
      <c r="AE36" s="92" t="s">
        <v>209</v>
      </c>
      <c r="AF36" s="92" t="s">
        <v>210</v>
      </c>
      <c r="AG36" s="92" t="s">
        <v>211</v>
      </c>
    </row>
    <row r="37" ht="15.75" customHeight="1">
      <c r="A37" s="1"/>
      <c r="B37" s="78">
        <v>8.0</v>
      </c>
      <c r="C37" s="81"/>
      <c r="D37" s="83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1"/>
      <c r="D39" s="83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501</v>
      </c>
    </row>
    <row r="47" ht="15.75" customHeight="1">
      <c r="K47" s="113" t="str">
        <f t="shared" ref="K47:K48" si="8">IF(O30="","",O30)</f>
        <v>AMEL</v>
      </c>
      <c r="L47" s="115">
        <v>11.0</v>
      </c>
      <c r="M47" s="114"/>
      <c r="N47" s="160">
        <v>55.0</v>
      </c>
    </row>
    <row r="48" ht="15.75" customHeight="1">
      <c r="K48" s="113" t="str">
        <f t="shared" si="8"/>
        <v>AMEL</v>
      </c>
      <c r="L48" s="114"/>
      <c r="M48" s="114"/>
      <c r="N48" s="162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523</v>
      </c>
      <c r="D4" s="15" t="s">
        <v>58</v>
      </c>
      <c r="E4" s="16"/>
      <c r="F4" s="38" t="s">
        <v>416</v>
      </c>
      <c r="G4" s="46"/>
      <c r="H4" s="36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524</v>
      </c>
      <c r="D5" s="15" t="s">
        <v>21</v>
      </c>
      <c r="E5" s="16"/>
      <c r="F5" s="38" t="s">
        <v>525</v>
      </c>
      <c r="G5" s="46"/>
      <c r="H5" s="36">
        <v>100000.0</v>
      </c>
      <c r="I5" s="38" t="s">
        <v>24</v>
      </c>
      <c r="J5" s="14"/>
      <c r="K5" s="14"/>
      <c r="L5" s="38" t="s">
        <v>26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526</v>
      </c>
      <c r="D6" s="15" t="s">
        <v>21</v>
      </c>
      <c r="E6" s="16"/>
      <c r="F6" s="38" t="s">
        <v>527</v>
      </c>
      <c r="G6" s="46"/>
      <c r="H6" s="36">
        <v>100000.0</v>
      </c>
      <c r="I6" s="38" t="s">
        <v>24</v>
      </c>
      <c r="J6" s="14"/>
      <c r="K6" s="14"/>
      <c r="L6" s="38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528</v>
      </c>
      <c r="D7" s="15" t="s">
        <v>20</v>
      </c>
      <c r="E7" s="16"/>
      <c r="F7" s="38" t="s">
        <v>129</v>
      </c>
      <c r="G7" s="46"/>
      <c r="H7" s="36">
        <v>100000.0</v>
      </c>
      <c r="I7" s="38" t="s">
        <v>24</v>
      </c>
      <c r="J7" s="14"/>
      <c r="K7" s="14"/>
      <c r="L7" s="38" t="s">
        <v>26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6" t="s">
        <v>380</v>
      </c>
      <c r="D8" s="15" t="s">
        <v>21</v>
      </c>
      <c r="E8" s="16"/>
      <c r="F8" s="38" t="s">
        <v>382</v>
      </c>
      <c r="G8" s="46"/>
      <c r="H8" s="36">
        <v>750000.0</v>
      </c>
      <c r="I8" s="38" t="s">
        <v>37</v>
      </c>
      <c r="J8" s="38" t="s">
        <v>38</v>
      </c>
      <c r="K8" s="38" t="s">
        <v>39</v>
      </c>
      <c r="L8" s="38" t="s">
        <v>26</v>
      </c>
      <c r="M8" s="38" t="s">
        <v>69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503</v>
      </c>
      <c r="D9" s="15" t="s">
        <v>21</v>
      </c>
      <c r="E9" s="16"/>
      <c r="F9" s="51">
        <v>46283.0</v>
      </c>
      <c r="G9" s="46"/>
      <c r="H9" s="36">
        <v>125000.0</v>
      </c>
      <c r="I9" s="38" t="s">
        <v>37</v>
      </c>
      <c r="J9" s="38" t="s">
        <v>38</v>
      </c>
      <c r="K9" s="38" t="s">
        <v>38</v>
      </c>
      <c r="L9" s="38" t="s">
        <v>25</v>
      </c>
      <c r="M9" s="38" t="s">
        <v>69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529</v>
      </c>
      <c r="D10" s="15" t="s">
        <v>21</v>
      </c>
      <c r="E10" s="16"/>
      <c r="F10" s="47">
        <v>46285.0</v>
      </c>
      <c r="G10" s="46"/>
      <c r="H10" s="36">
        <v>100000.0</v>
      </c>
      <c r="I10" s="38" t="s">
        <v>24</v>
      </c>
      <c r="J10" s="14"/>
      <c r="K10" s="14"/>
      <c r="L10" s="38" t="s">
        <v>25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530</v>
      </c>
      <c r="D11" s="15" t="s">
        <v>51</v>
      </c>
      <c r="E11" s="16"/>
      <c r="F11" s="47">
        <v>46283.0</v>
      </c>
      <c r="G11" s="46"/>
      <c r="H11" s="36">
        <v>100000.0</v>
      </c>
      <c r="I11" s="38" t="s">
        <v>37</v>
      </c>
      <c r="J11" s="38" t="s">
        <v>38</v>
      </c>
      <c r="K11" s="38" t="s">
        <v>38</v>
      </c>
      <c r="L11" s="38" t="s">
        <v>25</v>
      </c>
      <c r="M11" s="38" t="s">
        <v>69</v>
      </c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531</v>
      </c>
      <c r="D12" s="15" t="s">
        <v>20</v>
      </c>
      <c r="E12" s="16"/>
      <c r="F12" s="47">
        <v>46284.0</v>
      </c>
      <c r="G12" s="46"/>
      <c r="H12" s="36">
        <v>100000.0</v>
      </c>
      <c r="I12" s="38" t="s">
        <v>24</v>
      </c>
      <c r="J12" s="14"/>
      <c r="K12" s="14"/>
      <c r="L12" s="38" t="s">
        <v>25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532</v>
      </c>
      <c r="D13" s="15" t="s">
        <v>21</v>
      </c>
      <c r="E13" s="16"/>
      <c r="F13" s="47">
        <v>46283.0</v>
      </c>
      <c r="G13" s="46"/>
      <c r="H13" s="36">
        <v>100000.0</v>
      </c>
      <c r="I13" s="38" t="s">
        <v>24</v>
      </c>
      <c r="J13" s="14"/>
      <c r="K13" s="14"/>
      <c r="L13" s="38" t="s">
        <v>25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533</v>
      </c>
      <c r="D14" s="15" t="s">
        <v>20</v>
      </c>
      <c r="E14" s="16"/>
      <c r="F14" s="47">
        <v>46287.0</v>
      </c>
      <c r="G14" s="46"/>
      <c r="H14" s="36">
        <v>100000.0</v>
      </c>
      <c r="I14" s="38" t="s">
        <v>24</v>
      </c>
      <c r="J14" s="14"/>
      <c r="K14" s="14"/>
      <c r="L14" s="38" t="s">
        <v>25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534</v>
      </c>
      <c r="D15" s="15" t="s">
        <v>21</v>
      </c>
      <c r="E15" s="16"/>
      <c r="F15" s="47">
        <v>46283.0</v>
      </c>
      <c r="G15" s="64">
        <v>100000.0</v>
      </c>
      <c r="H15" s="60"/>
      <c r="I15" s="38" t="s">
        <v>37</v>
      </c>
      <c r="J15" s="38" t="s">
        <v>38</v>
      </c>
      <c r="K15" s="38" t="s">
        <v>39</v>
      </c>
      <c r="L15" s="38" t="s">
        <v>25</v>
      </c>
      <c r="M15" s="38" t="s">
        <v>69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535</v>
      </c>
      <c r="D16" s="15" t="s">
        <v>21</v>
      </c>
      <c r="E16" s="16"/>
      <c r="F16" s="47">
        <v>46283.0</v>
      </c>
      <c r="G16" s="46"/>
      <c r="H16" s="36">
        <v>175000.0</v>
      </c>
      <c r="I16" s="38" t="s">
        <v>37</v>
      </c>
      <c r="J16" s="38" t="s">
        <v>38</v>
      </c>
      <c r="K16" s="38" t="s">
        <v>39</v>
      </c>
      <c r="L16" s="38" t="s">
        <v>25</v>
      </c>
      <c r="M16" s="38" t="s">
        <v>69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532</v>
      </c>
      <c r="D17" s="15" t="s">
        <v>21</v>
      </c>
      <c r="E17" s="16"/>
      <c r="F17" s="47">
        <v>46283.0</v>
      </c>
      <c r="G17" s="46"/>
      <c r="H17" s="36">
        <v>75000.0</v>
      </c>
      <c r="I17" s="38" t="s">
        <v>37</v>
      </c>
      <c r="J17" s="38" t="s">
        <v>38</v>
      </c>
      <c r="K17" s="38" t="s">
        <v>39</v>
      </c>
      <c r="L17" s="38" t="s">
        <v>25</v>
      </c>
      <c r="M17" s="38" t="s">
        <v>69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536</v>
      </c>
      <c r="D18" s="15" t="s">
        <v>21</v>
      </c>
      <c r="E18" s="16"/>
      <c r="F18" s="47">
        <v>46284.0</v>
      </c>
      <c r="G18" s="46"/>
      <c r="H18" s="36">
        <v>100000.0</v>
      </c>
      <c r="I18" s="38" t="s">
        <v>24</v>
      </c>
      <c r="J18" s="14"/>
      <c r="K18" s="14"/>
      <c r="L18" s="38" t="s">
        <v>25</v>
      </c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445</v>
      </c>
      <c r="D19" s="15" t="s">
        <v>21</v>
      </c>
      <c r="E19" s="16"/>
      <c r="F19" s="47">
        <v>46283.0</v>
      </c>
      <c r="G19" s="64">
        <v>150000.0</v>
      </c>
      <c r="H19" s="60"/>
      <c r="I19" s="38" t="s">
        <v>37</v>
      </c>
      <c r="J19" s="38" t="s">
        <v>38</v>
      </c>
      <c r="K19" s="38" t="s">
        <v>39</v>
      </c>
      <c r="L19" s="38" t="s">
        <v>25</v>
      </c>
      <c r="M19" s="38" t="s">
        <v>69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29" t="s">
        <v>478</v>
      </c>
      <c r="D20" s="15" t="s">
        <v>21</v>
      </c>
      <c r="E20" s="16"/>
      <c r="F20" s="47">
        <v>46283.0</v>
      </c>
      <c r="G20" s="64">
        <v>150000.0</v>
      </c>
      <c r="H20" s="60"/>
      <c r="I20" s="38" t="s">
        <v>37</v>
      </c>
      <c r="J20" s="38" t="s">
        <v>38</v>
      </c>
      <c r="K20" s="38" t="s">
        <v>39</v>
      </c>
      <c r="L20" s="38" t="s">
        <v>25</v>
      </c>
      <c r="M20" s="38" t="s">
        <v>69</v>
      </c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53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53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29"/>
      <c r="D23" s="15"/>
      <c r="E23" s="16"/>
      <c r="F23" s="38"/>
      <c r="G23" s="46"/>
      <c r="H23" s="36"/>
      <c r="I23" s="38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29"/>
      <c r="D24" s="15"/>
      <c r="E24" s="16"/>
      <c r="F24" s="38"/>
      <c r="G24" s="64"/>
      <c r="H24" s="60"/>
      <c r="I24" s="38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29"/>
      <c r="D25" s="15"/>
      <c r="E25" s="16"/>
      <c r="F25" s="38"/>
      <c r="G25" s="46"/>
      <c r="H25" s="36"/>
      <c r="I25" s="38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178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538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2" t="s">
        <v>188</v>
      </c>
      <c r="O31" s="84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193</v>
      </c>
      <c r="O32" s="86" t="s">
        <v>69</v>
      </c>
      <c r="P32" s="1"/>
      <c r="Q32" s="1"/>
      <c r="R32" s="1"/>
    </row>
    <row r="33" ht="15.75" customHeight="1">
      <c r="A33" s="1"/>
      <c r="B33" s="78">
        <v>4.0</v>
      </c>
      <c r="C33" s="81"/>
      <c r="D33" s="83"/>
      <c r="E33" s="75"/>
      <c r="F33" s="1"/>
      <c r="G33" s="1"/>
      <c r="H33" s="1"/>
      <c r="I33" s="1"/>
      <c r="J33" s="1"/>
      <c r="K33" s="1"/>
      <c r="L33" s="1"/>
      <c r="M33" s="1"/>
      <c r="N33" s="87" t="s">
        <v>195</v>
      </c>
      <c r="O33" s="84" t="s">
        <v>69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1"/>
      <c r="D35" s="83"/>
      <c r="E35" s="75"/>
      <c r="F35" s="1"/>
      <c r="G35" s="1"/>
      <c r="H35" s="1"/>
      <c r="I35" s="1"/>
      <c r="J35" s="1"/>
      <c r="K35" s="89" t="s">
        <v>200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202</v>
      </c>
      <c r="M36" s="90" t="s">
        <v>203</v>
      </c>
      <c r="N36" s="90" t="s">
        <v>204</v>
      </c>
      <c r="O36" s="90" t="s">
        <v>205</v>
      </c>
      <c r="P36" s="90" t="s">
        <v>206</v>
      </c>
      <c r="Q36" s="1"/>
      <c r="R36" s="1"/>
      <c r="AC36" s="92" t="s">
        <v>207</v>
      </c>
      <c r="AD36" s="92" t="s">
        <v>208</v>
      </c>
      <c r="AE36" s="92" t="s">
        <v>209</v>
      </c>
      <c r="AF36" s="92" t="s">
        <v>210</v>
      </c>
      <c r="AG36" s="92" t="s">
        <v>211</v>
      </c>
    </row>
    <row r="37" ht="15.75" customHeight="1">
      <c r="A37" s="1"/>
      <c r="B37" s="78">
        <v>8.0</v>
      </c>
      <c r="C37" s="81"/>
      <c r="D37" s="83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4.0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93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1"/>
      <c r="D39" s="83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4.0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93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SAKA</v>
      </c>
    </row>
    <row r="41" ht="15.75" customHeight="1">
      <c r="A41" s="1"/>
      <c r="B41" s="1"/>
      <c r="C41" s="2"/>
      <c r="D41" s="108">
        <f>SUM(D30:D40)</f>
        <v>150000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5.0</v>
      </c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537</v>
      </c>
      <c r="D4" s="15" t="s">
        <v>21</v>
      </c>
      <c r="E4" s="16"/>
      <c r="F4" s="51">
        <v>46287.0</v>
      </c>
      <c r="G4" s="46"/>
      <c r="H4" s="36">
        <v>100000.0</v>
      </c>
      <c r="I4" s="38" t="s">
        <v>24</v>
      </c>
      <c r="J4" s="14"/>
      <c r="K4" s="14"/>
      <c r="L4" s="38" t="s">
        <v>25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492</v>
      </c>
      <c r="D5" s="15" t="s">
        <v>21</v>
      </c>
      <c r="E5" s="16"/>
      <c r="F5" s="51">
        <v>46284.0</v>
      </c>
      <c r="G5" s="64">
        <v>75000.0</v>
      </c>
      <c r="H5" s="60"/>
      <c r="I5" s="38" t="s">
        <v>37</v>
      </c>
      <c r="J5" s="38" t="s">
        <v>38</v>
      </c>
      <c r="K5" s="38" t="s">
        <v>38</v>
      </c>
      <c r="L5" s="38" t="s">
        <v>25</v>
      </c>
      <c r="M5" s="38" t="s">
        <v>40</v>
      </c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539</v>
      </c>
      <c r="D6" s="15" t="s">
        <v>540</v>
      </c>
      <c r="E6" s="16"/>
      <c r="F6" s="51">
        <v>46284.0</v>
      </c>
      <c r="G6" s="46"/>
      <c r="H6" s="36">
        <v>100000.0</v>
      </c>
      <c r="I6" s="38" t="s">
        <v>24</v>
      </c>
      <c r="J6" s="14"/>
      <c r="K6" s="14"/>
      <c r="L6" s="38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541</v>
      </c>
      <c r="D7" s="15" t="s">
        <v>58</v>
      </c>
      <c r="E7" s="16"/>
      <c r="F7" s="51">
        <v>46284.0</v>
      </c>
      <c r="G7" s="64">
        <v>250000.0</v>
      </c>
      <c r="H7" s="60"/>
      <c r="I7" s="38" t="s">
        <v>37</v>
      </c>
      <c r="J7" s="38" t="s">
        <v>38</v>
      </c>
      <c r="K7" s="38" t="s">
        <v>39</v>
      </c>
      <c r="L7" s="38" t="s">
        <v>25</v>
      </c>
      <c r="M7" s="38" t="s">
        <v>40</v>
      </c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340</v>
      </c>
      <c r="D8" s="15" t="s">
        <v>20</v>
      </c>
      <c r="E8" s="16"/>
      <c r="F8" s="51">
        <v>46284.0</v>
      </c>
      <c r="G8" s="64">
        <v>410000.0</v>
      </c>
      <c r="H8" s="60"/>
      <c r="I8" s="38" t="s">
        <v>37</v>
      </c>
      <c r="J8" s="38" t="s">
        <v>38</v>
      </c>
      <c r="K8" s="38" t="s">
        <v>39</v>
      </c>
      <c r="L8" s="38" t="s">
        <v>25</v>
      </c>
      <c r="M8" s="38" t="s">
        <v>40</v>
      </c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542</v>
      </c>
      <c r="D9" s="15" t="s">
        <v>20</v>
      </c>
      <c r="E9" s="16"/>
      <c r="F9" s="47">
        <v>46284.0</v>
      </c>
      <c r="G9" s="46"/>
      <c r="H9" s="36">
        <v>400000.0</v>
      </c>
      <c r="I9" s="38" t="s">
        <v>37</v>
      </c>
      <c r="J9" s="38" t="s">
        <v>38</v>
      </c>
      <c r="K9" s="38" t="s">
        <v>39</v>
      </c>
      <c r="L9" s="38" t="s">
        <v>25</v>
      </c>
      <c r="M9" s="38" t="s">
        <v>69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543</v>
      </c>
      <c r="D10" s="15" t="s">
        <v>20</v>
      </c>
      <c r="E10" s="16"/>
      <c r="F10" s="47">
        <v>46284.0</v>
      </c>
      <c r="G10" s="46"/>
      <c r="H10" s="36">
        <v>250000.0</v>
      </c>
      <c r="I10" s="38" t="s">
        <v>37</v>
      </c>
      <c r="J10" s="38" t="s">
        <v>38</v>
      </c>
      <c r="K10" s="38" t="s">
        <v>39</v>
      </c>
      <c r="L10" s="38" t="s">
        <v>25</v>
      </c>
      <c r="M10" s="38" t="s">
        <v>69</v>
      </c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544</v>
      </c>
      <c r="D11" s="15" t="s">
        <v>51</v>
      </c>
      <c r="E11" s="16"/>
      <c r="F11" s="47">
        <v>46285.0</v>
      </c>
      <c r="G11" s="46"/>
      <c r="H11" s="36">
        <v>100000.0</v>
      </c>
      <c r="I11" s="38" t="s">
        <v>24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545</v>
      </c>
      <c r="D12" s="15" t="s">
        <v>20</v>
      </c>
      <c r="E12" s="16"/>
      <c r="F12" s="47">
        <v>46284.0</v>
      </c>
      <c r="G12" s="46"/>
      <c r="H12" s="36">
        <v>270000.0</v>
      </c>
      <c r="I12" s="38" t="s">
        <v>37</v>
      </c>
      <c r="J12" s="38" t="s">
        <v>38</v>
      </c>
      <c r="K12" s="38" t="s">
        <v>39</v>
      </c>
      <c r="L12" s="38" t="s">
        <v>25</v>
      </c>
      <c r="M12" s="38" t="s">
        <v>69</v>
      </c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397</v>
      </c>
      <c r="D13" s="15" t="s">
        <v>93</v>
      </c>
      <c r="E13" s="16"/>
      <c r="F13" s="51">
        <v>46284.0</v>
      </c>
      <c r="G13" s="64">
        <v>400000.0</v>
      </c>
      <c r="H13" s="60"/>
      <c r="I13" s="38" t="s">
        <v>37</v>
      </c>
      <c r="J13" s="38" t="s">
        <v>38</v>
      </c>
      <c r="K13" s="38" t="s">
        <v>39</v>
      </c>
      <c r="L13" s="38" t="s">
        <v>25</v>
      </c>
      <c r="M13" s="38" t="s">
        <v>40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546</v>
      </c>
      <c r="D14" s="15" t="s">
        <v>44</v>
      </c>
      <c r="E14" s="16"/>
      <c r="F14" s="51">
        <v>46288.0</v>
      </c>
      <c r="G14" s="46"/>
      <c r="H14" s="36">
        <v>100000.0</v>
      </c>
      <c r="I14" s="38" t="s">
        <v>24</v>
      </c>
      <c r="J14" s="14"/>
      <c r="K14" s="14"/>
      <c r="L14" s="38" t="s">
        <v>25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547</v>
      </c>
      <c r="D15" s="15" t="s">
        <v>20</v>
      </c>
      <c r="E15" s="16"/>
      <c r="F15" s="38" t="s">
        <v>527</v>
      </c>
      <c r="G15" s="36">
        <v>250000.0</v>
      </c>
      <c r="H15" s="60"/>
      <c r="I15" s="38" t="s">
        <v>37</v>
      </c>
      <c r="J15" s="38" t="s">
        <v>38</v>
      </c>
      <c r="K15" s="38" t="s">
        <v>39</v>
      </c>
      <c r="L15" s="38" t="s">
        <v>26</v>
      </c>
      <c r="M15" s="38" t="s">
        <v>69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531</v>
      </c>
      <c r="D16" s="15" t="s">
        <v>20</v>
      </c>
      <c r="E16" s="16"/>
      <c r="F16" s="38" t="s">
        <v>527</v>
      </c>
      <c r="G16" s="36">
        <v>250000.0</v>
      </c>
      <c r="H16" s="60"/>
      <c r="I16" s="38" t="s">
        <v>37</v>
      </c>
      <c r="J16" s="38" t="s">
        <v>38</v>
      </c>
      <c r="K16" s="38" t="s">
        <v>39</v>
      </c>
      <c r="L16" s="38" t="s">
        <v>26</v>
      </c>
      <c r="M16" s="38" t="s">
        <v>40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310</v>
      </c>
      <c r="D17" s="15" t="s">
        <v>20</v>
      </c>
      <c r="E17" s="16"/>
      <c r="F17" s="38" t="s">
        <v>527</v>
      </c>
      <c r="G17" s="36">
        <v>250000.0</v>
      </c>
      <c r="H17" s="60"/>
      <c r="I17" s="38" t="s">
        <v>37</v>
      </c>
      <c r="J17" s="38" t="s">
        <v>38</v>
      </c>
      <c r="K17" s="38" t="s">
        <v>39</v>
      </c>
      <c r="L17" s="38" t="s">
        <v>26</v>
      </c>
      <c r="M17" s="38" t="s">
        <v>69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548</v>
      </c>
      <c r="D18" s="15" t="s">
        <v>20</v>
      </c>
      <c r="E18" s="16"/>
      <c r="F18" s="38" t="s">
        <v>129</v>
      </c>
      <c r="G18" s="59"/>
      <c r="H18" s="36">
        <v>100000.0</v>
      </c>
      <c r="I18" s="38" t="s">
        <v>24</v>
      </c>
      <c r="J18" s="38"/>
      <c r="K18" s="38"/>
      <c r="L18" s="38" t="s">
        <v>26</v>
      </c>
      <c r="M18" s="38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442</v>
      </c>
      <c r="D19" s="15" t="s">
        <v>21</v>
      </c>
      <c r="E19" s="16"/>
      <c r="F19" s="38" t="s">
        <v>527</v>
      </c>
      <c r="G19" s="59">
        <v>150000.0</v>
      </c>
      <c r="H19" s="60"/>
      <c r="I19" s="38" t="s">
        <v>37</v>
      </c>
      <c r="J19" s="38" t="s">
        <v>38</v>
      </c>
      <c r="K19" s="38" t="s">
        <v>38</v>
      </c>
      <c r="L19" s="38" t="s">
        <v>26</v>
      </c>
      <c r="M19" s="38" t="s">
        <v>40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29" t="s">
        <v>526</v>
      </c>
      <c r="D20" s="15" t="s">
        <v>21</v>
      </c>
      <c r="E20" s="16"/>
      <c r="F20" s="38" t="s">
        <v>527</v>
      </c>
      <c r="G20" s="59"/>
      <c r="H20" s="36">
        <v>375000.0</v>
      </c>
      <c r="I20" s="38" t="s">
        <v>37</v>
      </c>
      <c r="J20" s="38" t="s">
        <v>38</v>
      </c>
      <c r="K20" s="38" t="s">
        <v>38</v>
      </c>
      <c r="L20" s="38" t="s">
        <v>26</v>
      </c>
      <c r="M20" s="38" t="s">
        <v>69</v>
      </c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29" t="s">
        <v>536</v>
      </c>
      <c r="D21" s="15" t="s">
        <v>21</v>
      </c>
      <c r="E21" s="16"/>
      <c r="F21" s="38" t="s">
        <v>527</v>
      </c>
      <c r="G21" s="59">
        <v>375000.0</v>
      </c>
      <c r="H21" s="36">
        <v>170000.0</v>
      </c>
      <c r="I21" s="38" t="s">
        <v>37</v>
      </c>
      <c r="J21" s="38" t="s">
        <v>38</v>
      </c>
      <c r="K21" s="38" t="s">
        <v>39</v>
      </c>
      <c r="L21" s="38" t="s">
        <v>26</v>
      </c>
      <c r="M21" s="38" t="s">
        <v>69</v>
      </c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29" t="s">
        <v>549</v>
      </c>
      <c r="D22" s="15" t="s">
        <v>540</v>
      </c>
      <c r="E22" s="16"/>
      <c r="F22" s="38" t="s">
        <v>527</v>
      </c>
      <c r="G22" s="59"/>
      <c r="H22" s="36">
        <v>430000.0</v>
      </c>
      <c r="I22" s="38" t="s">
        <v>37</v>
      </c>
      <c r="J22" s="38" t="s">
        <v>38</v>
      </c>
      <c r="K22" s="38" t="s">
        <v>39</v>
      </c>
      <c r="L22" s="38" t="s">
        <v>26</v>
      </c>
      <c r="M22" s="38" t="s">
        <v>69</v>
      </c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41"/>
      <c r="D23" s="15"/>
      <c r="E23" s="16"/>
      <c r="F23" s="38"/>
      <c r="G23" s="36"/>
      <c r="H23" s="60"/>
      <c r="I23" s="38"/>
      <c r="J23" s="38"/>
      <c r="K23" s="38"/>
      <c r="L23" s="38"/>
      <c r="M23" s="38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29"/>
      <c r="D24" s="15"/>
      <c r="E24" s="16"/>
      <c r="F24" s="38"/>
      <c r="G24" s="36"/>
      <c r="H24" s="60"/>
      <c r="I24" s="38"/>
      <c r="J24" s="38"/>
      <c r="K24" s="38"/>
      <c r="L24" s="38"/>
      <c r="M24" s="38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29"/>
      <c r="D25" s="15"/>
      <c r="E25" s="16"/>
      <c r="F25" s="38"/>
      <c r="G25" s="36"/>
      <c r="H25" s="60"/>
      <c r="I25" s="38"/>
      <c r="J25" s="38"/>
      <c r="K25" s="38"/>
      <c r="L25" s="38"/>
      <c r="M25" s="38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67"/>
      <c r="D26" s="91"/>
      <c r="E26" s="16"/>
      <c r="F26" s="132"/>
      <c r="G26" s="60"/>
      <c r="H26" s="60"/>
      <c r="I26" s="14"/>
      <c r="J26" s="14"/>
      <c r="K26" s="14"/>
      <c r="L26" s="14"/>
      <c r="M26" s="14"/>
      <c r="N26" s="65"/>
      <c r="O26" s="65"/>
      <c r="P26" s="65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174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175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178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182</v>
      </c>
      <c r="O31" s="77" t="s">
        <v>25</v>
      </c>
      <c r="P31" s="1"/>
      <c r="Q31" s="1"/>
      <c r="R31" s="1"/>
    </row>
    <row r="32" ht="15.75" customHeight="1">
      <c r="A32" s="1"/>
      <c r="B32" s="78">
        <v>2.0</v>
      </c>
      <c r="C32" s="79" t="s">
        <v>550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551</v>
      </c>
      <c r="N32" s="82" t="s">
        <v>188</v>
      </c>
      <c r="O32" s="84" t="s">
        <v>26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552</v>
      </c>
      <c r="N33" s="85" t="s">
        <v>193</v>
      </c>
      <c r="O33" s="86" t="s">
        <v>40</v>
      </c>
      <c r="P33" s="1"/>
      <c r="Q33" s="1"/>
      <c r="R33" s="1"/>
    </row>
    <row r="34" ht="15.75" customHeight="1">
      <c r="A34" s="1"/>
      <c r="B34" s="78">
        <v>4.0</v>
      </c>
      <c r="C34" s="81"/>
      <c r="D34" s="83"/>
      <c r="E34" s="75"/>
      <c r="F34" s="1"/>
      <c r="G34" s="1"/>
      <c r="H34" s="1"/>
      <c r="I34" s="1"/>
      <c r="J34" s="1"/>
      <c r="K34" s="1"/>
      <c r="L34" s="1"/>
      <c r="M34" s="1"/>
      <c r="N34" s="87" t="s">
        <v>195</v>
      </c>
      <c r="O34" s="84" t="s">
        <v>69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1"/>
      <c r="D36" s="83"/>
      <c r="E36" s="75"/>
      <c r="F36" s="1"/>
      <c r="G36" s="1"/>
      <c r="H36" s="1"/>
      <c r="I36" s="1"/>
      <c r="J36" s="1"/>
      <c r="K36" s="89" t="s">
        <v>200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202</v>
      </c>
      <c r="M37" s="90" t="s">
        <v>203</v>
      </c>
      <c r="N37" s="90" t="s">
        <v>204</v>
      </c>
      <c r="O37" s="90" t="s">
        <v>205</v>
      </c>
      <c r="P37" s="90" t="s">
        <v>206</v>
      </c>
      <c r="Q37" s="1"/>
      <c r="R37" s="1"/>
      <c r="AC37" s="92" t="s">
        <v>207</v>
      </c>
      <c r="AD37" s="92" t="s">
        <v>208</v>
      </c>
      <c r="AE37" s="92" t="s">
        <v>209</v>
      </c>
      <c r="AF37" s="92" t="s">
        <v>210</v>
      </c>
      <c r="AG37" s="92" t="s">
        <v>211</v>
      </c>
    </row>
    <row r="38" ht="15.75" customHeight="1">
      <c r="A38" s="1"/>
      <c r="B38" s="78">
        <v>8.0</v>
      </c>
      <c r="C38" s="81"/>
      <c r="D38" s="83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ref="AC38:AC43" si="3">IF(AG38="","",IF(COUNT(L38:P38)&lt;5,"",L38/5*20+M38/5*25+N38/5*25+O38/5*15+P38/5*15))</f>
        <v>100</v>
      </c>
      <c r="AD38" s="92" t="str">
        <f t="shared" ref="AD38:AD43" si="4">IF(AC38="","",IF(AC38&gt;=90,"Sangat Baik",IF(AC38&gt;=80,"Baik",IF(AC38&gt;=70,"Coaching","Underperform"))))</f>
        <v>Sangat Baik</v>
      </c>
      <c r="AE38" s="92" t="str">
        <f t="shared" ref="AE38:AE43" si="5">IF(AG38="","",IF(OR(AG38="INDAH",AG38="ADDEL",AG38="AMEL",AG38="PENTIL",AG38="JIJANG"),"Admin/CS","Fotografer"))</f>
        <v>Admin/CS</v>
      </c>
      <c r="AF38" s="92">
        <f t="shared" ref="AF38:AF43" si="6">IF(OR(AG38="",COUNT(L38:P38)&lt;5),"",1)</f>
        <v>1</v>
      </c>
      <c r="AG38" s="92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Admin/CS</v>
      </c>
      <c r="AF39" s="92">
        <f t="shared" si="6"/>
        <v>1</v>
      </c>
      <c r="AG39" s="92" t="str">
        <f t="shared" si="7"/>
        <v>AMEL</v>
      </c>
    </row>
    <row r="40" ht="15.75" customHeight="1">
      <c r="A40" s="1"/>
      <c r="B40" s="78">
        <v>10.0</v>
      </c>
      <c r="C40" s="81"/>
      <c r="D40" s="8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05">
        <v>11.0</v>
      </c>
      <c r="C41" s="106"/>
      <c r="D41" s="107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"/>
      <c r="C42" s="2"/>
      <c r="D42" s="108">
        <f>SUM(D31:D41)</f>
        <v>2390000</v>
      </c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5">
        <v>4.0</v>
      </c>
      <c r="M48" s="115" t="s">
        <v>412</v>
      </c>
    </row>
    <row r="49" ht="15.75" customHeight="1">
      <c r="K49" s="113" t="str">
        <f t="shared" si="8"/>
        <v>AMEL</v>
      </c>
      <c r="L49" s="115">
        <v>1.0</v>
      </c>
      <c r="M49" s="114"/>
    </row>
    <row r="50" ht="15.75" customHeight="1"/>
    <row r="51" ht="19.5" customHeight="1">
      <c r="K51" s="116" t="s">
        <v>226</v>
      </c>
    </row>
    <row r="52" ht="19.5" customHeight="1">
      <c r="K52" s="117" t="s">
        <v>227</v>
      </c>
      <c r="M52" s="115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553</v>
      </c>
      <c r="D4" s="15" t="s">
        <v>20</v>
      </c>
      <c r="E4" s="16"/>
      <c r="F4" s="31">
        <v>46317.0</v>
      </c>
      <c r="G4" s="46"/>
      <c r="H4" s="36">
        <v>100000.0</v>
      </c>
      <c r="I4" s="38" t="s">
        <v>24</v>
      </c>
      <c r="J4" s="14"/>
      <c r="K4" s="14"/>
      <c r="L4" s="14" t="s">
        <v>25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554</v>
      </c>
      <c r="D5" s="15" t="s">
        <v>71</v>
      </c>
      <c r="E5" s="16"/>
      <c r="F5" s="31">
        <v>46285.0</v>
      </c>
      <c r="G5" s="46"/>
      <c r="H5" s="36">
        <v>100000.0</v>
      </c>
      <c r="I5" s="38" t="s">
        <v>37</v>
      </c>
      <c r="J5" s="14"/>
      <c r="K5" s="14"/>
      <c r="L5" s="38" t="s">
        <v>25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555</v>
      </c>
      <c r="D6" s="15" t="s">
        <v>20</v>
      </c>
      <c r="E6" s="16"/>
      <c r="F6" s="51">
        <v>46291.0</v>
      </c>
      <c r="G6" s="46"/>
      <c r="H6" s="36">
        <v>100000.0</v>
      </c>
      <c r="I6" s="38" t="s">
        <v>24</v>
      </c>
      <c r="J6" s="14"/>
      <c r="K6" s="14"/>
      <c r="L6" s="38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556</v>
      </c>
      <c r="D7" s="15" t="s">
        <v>21</v>
      </c>
      <c r="E7" s="16"/>
      <c r="F7" s="51">
        <v>46285.0</v>
      </c>
      <c r="G7" s="64">
        <v>725000.0</v>
      </c>
      <c r="H7" s="60"/>
      <c r="I7" s="38" t="s">
        <v>37</v>
      </c>
      <c r="J7" s="38" t="s">
        <v>38</v>
      </c>
      <c r="K7" s="38" t="s">
        <v>38</v>
      </c>
      <c r="L7" s="38" t="s">
        <v>25</v>
      </c>
      <c r="M7" s="38" t="s">
        <v>69</v>
      </c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557</v>
      </c>
      <c r="D8" s="15" t="s">
        <v>491</v>
      </c>
      <c r="E8" s="16"/>
      <c r="F8" s="51">
        <v>46267.0</v>
      </c>
      <c r="G8" s="46"/>
      <c r="H8" s="36">
        <v>20000.0</v>
      </c>
      <c r="I8" s="38" t="s">
        <v>37</v>
      </c>
      <c r="J8" s="14"/>
      <c r="K8" s="14"/>
      <c r="L8" s="38" t="s">
        <v>25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543</v>
      </c>
      <c r="D9" s="15" t="s">
        <v>375</v>
      </c>
      <c r="E9" s="16"/>
      <c r="F9" s="51">
        <v>46285.0</v>
      </c>
      <c r="G9" s="46"/>
      <c r="H9" s="36">
        <v>80000.0</v>
      </c>
      <c r="I9" s="38" t="s">
        <v>37</v>
      </c>
      <c r="J9" s="14"/>
      <c r="K9" s="14"/>
      <c r="L9" s="38" t="s">
        <v>25</v>
      </c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558</v>
      </c>
      <c r="D10" s="15" t="s">
        <v>246</v>
      </c>
      <c r="E10" s="16"/>
      <c r="F10" s="51">
        <v>46285.0</v>
      </c>
      <c r="G10" s="46"/>
      <c r="H10" s="36">
        <v>100000.0</v>
      </c>
      <c r="I10" s="38" t="s">
        <v>37</v>
      </c>
      <c r="J10" s="38" t="s">
        <v>38</v>
      </c>
      <c r="K10" s="38" t="s">
        <v>38</v>
      </c>
      <c r="L10" s="38" t="s">
        <v>25</v>
      </c>
      <c r="M10" s="38" t="s">
        <v>69</v>
      </c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559</v>
      </c>
      <c r="D11" s="15" t="s">
        <v>101</v>
      </c>
      <c r="E11" s="16"/>
      <c r="F11" s="51">
        <v>46285.0</v>
      </c>
      <c r="G11" s="46"/>
      <c r="H11" s="36">
        <v>250000.0</v>
      </c>
      <c r="I11" s="38" t="s">
        <v>37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560</v>
      </c>
      <c r="D12" s="15" t="s">
        <v>20</v>
      </c>
      <c r="E12" s="16"/>
      <c r="F12" s="51">
        <v>46287.0</v>
      </c>
      <c r="G12" s="46"/>
      <c r="H12" s="36">
        <v>100000.0</v>
      </c>
      <c r="I12" s="38" t="s">
        <v>24</v>
      </c>
      <c r="J12" s="14"/>
      <c r="K12" s="14"/>
      <c r="L12" s="38" t="s">
        <v>25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561</v>
      </c>
      <c r="D13" s="15" t="s">
        <v>21</v>
      </c>
      <c r="E13" s="16"/>
      <c r="F13" s="38" t="s">
        <v>30</v>
      </c>
      <c r="G13" s="46"/>
      <c r="H13" s="36">
        <v>100000.0</v>
      </c>
      <c r="I13" s="38" t="s">
        <v>37</v>
      </c>
      <c r="J13" s="14"/>
      <c r="K13" s="14"/>
      <c r="L13" s="38" t="s">
        <v>26</v>
      </c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562</v>
      </c>
      <c r="D14" s="15" t="s">
        <v>246</v>
      </c>
      <c r="E14" s="16"/>
      <c r="F14" s="51">
        <v>46285.0</v>
      </c>
      <c r="G14" s="64">
        <v>100000.0</v>
      </c>
      <c r="H14" s="60"/>
      <c r="I14" s="38" t="s">
        <v>37</v>
      </c>
      <c r="J14" s="38" t="s">
        <v>38</v>
      </c>
      <c r="K14" s="38" t="s">
        <v>39</v>
      </c>
      <c r="L14" s="38" t="s">
        <v>26</v>
      </c>
      <c r="M14" s="38" t="s">
        <v>40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563</v>
      </c>
      <c r="D15" s="15" t="s">
        <v>20</v>
      </c>
      <c r="E15" s="16"/>
      <c r="F15" s="38" t="s">
        <v>30</v>
      </c>
      <c r="G15" s="46"/>
      <c r="H15" s="36">
        <v>100000.0</v>
      </c>
      <c r="I15" s="38" t="s">
        <v>37</v>
      </c>
      <c r="J15" s="14"/>
      <c r="K15" s="14"/>
      <c r="L15" s="38" t="s">
        <v>26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564</v>
      </c>
      <c r="D16" s="15" t="s">
        <v>20</v>
      </c>
      <c r="E16" s="16"/>
      <c r="F16" s="38" t="s">
        <v>30</v>
      </c>
      <c r="G16" s="46"/>
      <c r="H16" s="36">
        <v>100000.0</v>
      </c>
      <c r="I16" s="38" t="s">
        <v>24</v>
      </c>
      <c r="J16" s="14"/>
      <c r="K16" s="14"/>
      <c r="L16" s="38" t="s">
        <v>26</v>
      </c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554</v>
      </c>
      <c r="D17" s="15" t="s">
        <v>71</v>
      </c>
      <c r="E17" s="16"/>
      <c r="F17" s="38" t="s">
        <v>416</v>
      </c>
      <c r="G17" s="46"/>
      <c r="H17" s="36">
        <v>50000.0</v>
      </c>
      <c r="I17" s="38" t="s">
        <v>37</v>
      </c>
      <c r="J17" s="38" t="s">
        <v>38</v>
      </c>
      <c r="K17" s="38" t="s">
        <v>39</v>
      </c>
      <c r="L17" s="38" t="s">
        <v>26</v>
      </c>
      <c r="M17" s="38" t="s">
        <v>40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34" t="s">
        <v>485</v>
      </c>
      <c r="D18" s="15" t="s">
        <v>21</v>
      </c>
      <c r="E18" s="16"/>
      <c r="F18" s="38" t="s">
        <v>416</v>
      </c>
      <c r="G18" s="46"/>
      <c r="H18" s="36">
        <v>150000.0</v>
      </c>
      <c r="I18" s="38" t="s">
        <v>37</v>
      </c>
      <c r="J18" s="38" t="s">
        <v>38</v>
      </c>
      <c r="K18" s="38" t="s">
        <v>38</v>
      </c>
      <c r="L18" s="38" t="s">
        <v>26</v>
      </c>
      <c r="M18" s="38" t="s">
        <v>40</v>
      </c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415</v>
      </c>
      <c r="D19" s="15" t="s">
        <v>21</v>
      </c>
      <c r="E19" s="16"/>
      <c r="F19" s="38" t="s">
        <v>416</v>
      </c>
      <c r="G19" s="46"/>
      <c r="H19" s="36">
        <v>100000.0</v>
      </c>
      <c r="I19" s="38" t="s">
        <v>37</v>
      </c>
      <c r="J19" s="38" t="s">
        <v>38</v>
      </c>
      <c r="K19" s="38" t="s">
        <v>38</v>
      </c>
      <c r="L19" s="38" t="s">
        <v>26</v>
      </c>
      <c r="M19" s="38" t="s">
        <v>40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29" t="s">
        <v>565</v>
      </c>
      <c r="D20" s="15" t="s">
        <v>21</v>
      </c>
      <c r="E20" s="16"/>
      <c r="F20" s="38" t="s">
        <v>30</v>
      </c>
      <c r="G20" s="46"/>
      <c r="H20" s="36">
        <v>100000.0</v>
      </c>
      <c r="I20" s="38" t="s">
        <v>24</v>
      </c>
      <c r="J20" s="14"/>
      <c r="K20" s="14"/>
      <c r="L20" s="38" t="s">
        <v>26</v>
      </c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29" t="s">
        <v>32</v>
      </c>
      <c r="D21" s="15" t="s">
        <v>44</v>
      </c>
      <c r="E21" s="16"/>
      <c r="F21" s="38" t="s">
        <v>416</v>
      </c>
      <c r="G21" s="46"/>
      <c r="H21" s="36">
        <v>50000.0</v>
      </c>
      <c r="I21" s="38" t="s">
        <v>37</v>
      </c>
      <c r="J21" s="38" t="s">
        <v>38</v>
      </c>
      <c r="K21" s="38" t="s">
        <v>38</v>
      </c>
      <c r="L21" s="38" t="s">
        <v>26</v>
      </c>
      <c r="M21" s="38" t="s">
        <v>40</v>
      </c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29" t="s">
        <v>566</v>
      </c>
      <c r="D22" s="15" t="s">
        <v>20</v>
      </c>
      <c r="E22" s="16"/>
      <c r="F22" s="38" t="s">
        <v>45</v>
      </c>
      <c r="G22" s="46"/>
      <c r="H22" s="36">
        <v>100000.0</v>
      </c>
      <c r="I22" s="38" t="s">
        <v>37</v>
      </c>
      <c r="J22" s="14"/>
      <c r="K22" s="14"/>
      <c r="L22" s="38" t="s">
        <v>26</v>
      </c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29" t="s">
        <v>523</v>
      </c>
      <c r="D23" s="15" t="s">
        <v>58</v>
      </c>
      <c r="E23" s="16"/>
      <c r="F23" s="38" t="s">
        <v>416</v>
      </c>
      <c r="G23" s="46"/>
      <c r="H23" s="36">
        <v>100000.0</v>
      </c>
      <c r="I23" s="38" t="s">
        <v>37</v>
      </c>
      <c r="J23" s="38" t="s">
        <v>38</v>
      </c>
      <c r="K23" s="38" t="s">
        <v>39</v>
      </c>
      <c r="L23" s="38" t="s">
        <v>26</v>
      </c>
      <c r="M23" s="38" t="s">
        <v>40</v>
      </c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29" t="s">
        <v>499</v>
      </c>
      <c r="D24" s="15" t="s">
        <v>21</v>
      </c>
      <c r="E24" s="16"/>
      <c r="F24" s="38" t="s">
        <v>416</v>
      </c>
      <c r="G24" s="46"/>
      <c r="H24" s="36">
        <v>125000.0</v>
      </c>
      <c r="I24" s="38" t="s">
        <v>37</v>
      </c>
      <c r="J24" s="38" t="s">
        <v>38</v>
      </c>
      <c r="K24" s="38" t="s">
        <v>55</v>
      </c>
      <c r="L24" s="38" t="s">
        <v>26</v>
      </c>
      <c r="M24" s="38" t="s">
        <v>40</v>
      </c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4"/>
      <c r="G25" s="46"/>
      <c r="H25" s="60"/>
      <c r="I25" s="14"/>
      <c r="J25" s="14"/>
      <c r="K25" s="14"/>
      <c r="L25" s="14"/>
      <c r="M25" s="14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67"/>
      <c r="D26" s="91"/>
      <c r="E26" s="16"/>
      <c r="F26" s="14"/>
      <c r="G26" s="46"/>
      <c r="H26" s="60"/>
      <c r="I26" s="14"/>
      <c r="J26" s="14"/>
      <c r="K26" s="14"/>
      <c r="L26" s="14"/>
      <c r="M26" s="14"/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67"/>
      <c r="D27" s="91"/>
      <c r="E27" s="16"/>
      <c r="F27" s="14"/>
      <c r="G27" s="46"/>
      <c r="H27" s="60"/>
      <c r="I27" s="14"/>
      <c r="J27" s="14"/>
      <c r="K27" s="14"/>
      <c r="L27" s="14"/>
      <c r="M27" s="14"/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67"/>
      <c r="D28" s="91"/>
      <c r="E28" s="16"/>
      <c r="F28" s="14"/>
      <c r="G28" s="46"/>
      <c r="H28" s="60"/>
      <c r="I28" s="14"/>
      <c r="J28" s="14"/>
      <c r="K28" s="14"/>
      <c r="L28" s="14"/>
      <c r="M28" s="14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174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175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178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182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 t="s">
        <v>410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2" t="s">
        <v>188</v>
      </c>
      <c r="O34" s="84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5" t="s">
        <v>193</v>
      </c>
      <c r="O35" s="86" t="s">
        <v>69</v>
      </c>
      <c r="P35" s="1"/>
      <c r="Q35" s="1"/>
      <c r="R35" s="1"/>
    </row>
    <row r="36" ht="15.75" customHeight="1">
      <c r="A36" s="1"/>
      <c r="B36" s="78">
        <v>4.0</v>
      </c>
      <c r="C36" s="81"/>
      <c r="D36" s="83"/>
      <c r="E36" s="75"/>
      <c r="F36" s="1"/>
      <c r="G36" s="1"/>
      <c r="H36" s="1"/>
      <c r="I36" s="1"/>
      <c r="J36" s="1"/>
      <c r="K36" s="1"/>
      <c r="L36" s="1"/>
      <c r="M36" s="1"/>
      <c r="N36" s="87" t="s">
        <v>195</v>
      </c>
      <c r="O36" s="84" t="s">
        <v>40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1"/>
      <c r="D38" s="83"/>
      <c r="E38" s="75"/>
      <c r="F38" s="1"/>
      <c r="G38" s="1"/>
      <c r="H38" s="1"/>
      <c r="I38" s="1"/>
      <c r="J38" s="1"/>
      <c r="K38" s="89" t="s">
        <v>200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202</v>
      </c>
      <c r="M39" s="90" t="s">
        <v>203</v>
      </c>
      <c r="N39" s="90" t="s">
        <v>204</v>
      </c>
      <c r="O39" s="90" t="s">
        <v>205</v>
      </c>
      <c r="P39" s="90" t="s">
        <v>206</v>
      </c>
      <c r="Q39" s="1"/>
      <c r="R39" s="1"/>
      <c r="AC39" s="92" t="s">
        <v>207</v>
      </c>
      <c r="AD39" s="92" t="s">
        <v>208</v>
      </c>
      <c r="AE39" s="92" t="s">
        <v>209</v>
      </c>
      <c r="AF39" s="92" t="s">
        <v>210</v>
      </c>
      <c r="AG39" s="92" t="s">
        <v>211</v>
      </c>
    </row>
    <row r="40" ht="15.75" customHeight="1">
      <c r="A40" s="1"/>
      <c r="B40" s="78">
        <v>8.0</v>
      </c>
      <c r="C40" s="81"/>
      <c r="D40" s="83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ref="AC40:AC45" si="3">IF(AG40="","",IF(COUNT(L40:P40)&lt;5,"",L40/5*20+M40/5*25+N40/5*25+O40/5*15+P40/5*15))</f>
        <v>100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AMEL</v>
      </c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>Admin/CS</v>
      </c>
      <c r="AF41" s="92" t="str">
        <f t="shared" si="6"/>
        <v/>
      </c>
      <c r="AG41" s="92" t="str">
        <f t="shared" si="7"/>
        <v>AMEL</v>
      </c>
    </row>
    <row r="42" ht="15.75" customHeight="1">
      <c r="A42" s="1"/>
      <c r="B42" s="78">
        <v>10.0</v>
      </c>
      <c r="C42" s="81"/>
      <c r="D42" s="83"/>
      <c r="E42" s="75"/>
      <c r="F42" s="1"/>
      <c r="G42" s="1"/>
      <c r="H42" s="1"/>
      <c r="I42" s="1"/>
      <c r="J42" s="1"/>
      <c r="K42" s="93" t="str">
        <f t="shared" si="2"/>
        <v>SAKA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05">
        <v>11.0</v>
      </c>
      <c r="C43" s="106"/>
      <c r="D43" s="107"/>
      <c r="E43" s="75"/>
      <c r="F43" s="1"/>
      <c r="G43" s="1"/>
      <c r="H43" s="1"/>
      <c r="I43" s="1"/>
      <c r="J43" s="1"/>
      <c r="K43" s="93" t="str">
        <f t="shared" si="2"/>
        <v>ADIF</v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>Fotografer</v>
      </c>
      <c r="AF43" s="92" t="str">
        <f t="shared" si="6"/>
        <v/>
      </c>
      <c r="AG43" s="92" t="str">
        <f t="shared" si="7"/>
        <v>ADIF</v>
      </c>
    </row>
    <row r="44" ht="15.75" customHeight="1">
      <c r="A44" s="1"/>
      <c r="B44" s="1"/>
      <c r="C44" s="2"/>
      <c r="D44" s="108">
        <f>SUM(D33:D43)</f>
        <v>725000</v>
      </c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501</v>
      </c>
    </row>
    <row r="50" ht="15.75" customHeight="1">
      <c r="K50" s="113" t="str">
        <f t="shared" ref="K50:K51" si="8">IF(O33="","",O33)</f>
        <v>INDAH</v>
      </c>
      <c r="L50" s="115">
        <v>5.0</v>
      </c>
      <c r="M50" s="115" t="s">
        <v>412</v>
      </c>
      <c r="N50" s="160">
        <v>22.0</v>
      </c>
    </row>
    <row r="51" ht="15.75" customHeight="1">
      <c r="K51" s="113" t="str">
        <f t="shared" si="8"/>
        <v>AMEL</v>
      </c>
      <c r="L51" s="115">
        <v>2.0</v>
      </c>
      <c r="M51" s="114"/>
      <c r="N51" s="162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567</v>
      </c>
      <c r="D4" s="15" t="s">
        <v>20</v>
      </c>
      <c r="E4" s="16"/>
      <c r="F4" s="38" t="s">
        <v>30</v>
      </c>
      <c r="G4" s="46"/>
      <c r="H4" s="36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568</v>
      </c>
      <c r="D5" s="15" t="s">
        <v>20</v>
      </c>
      <c r="E5" s="16"/>
      <c r="F5" s="38" t="s">
        <v>30</v>
      </c>
      <c r="G5" s="46"/>
      <c r="H5" s="36">
        <v>100000.0</v>
      </c>
      <c r="I5" s="38" t="s">
        <v>24</v>
      </c>
      <c r="J5" s="14"/>
      <c r="K5" s="14"/>
      <c r="L5" s="38" t="s">
        <v>26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569</v>
      </c>
      <c r="D6" s="15" t="s">
        <v>250</v>
      </c>
      <c r="E6" s="16"/>
      <c r="F6" s="38" t="s">
        <v>33</v>
      </c>
      <c r="G6" s="46"/>
      <c r="H6" s="36">
        <v>50000.0</v>
      </c>
      <c r="I6" s="38" t="s">
        <v>37</v>
      </c>
      <c r="J6" s="14"/>
      <c r="K6" s="14"/>
      <c r="L6" s="38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488</v>
      </c>
      <c r="D7" s="15" t="s">
        <v>21</v>
      </c>
      <c r="E7" s="16"/>
      <c r="F7" s="51">
        <v>46286.0</v>
      </c>
      <c r="G7" s="64">
        <v>175000.0</v>
      </c>
      <c r="H7" s="60"/>
      <c r="I7" s="38" t="s">
        <v>37</v>
      </c>
      <c r="J7" s="38" t="s">
        <v>38</v>
      </c>
      <c r="K7" s="38" t="s">
        <v>39</v>
      </c>
      <c r="L7" s="38" t="s">
        <v>25</v>
      </c>
      <c r="M7" s="38" t="s">
        <v>40</v>
      </c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573</v>
      </c>
      <c r="D8" s="15" t="s">
        <v>44</v>
      </c>
      <c r="E8" s="16"/>
      <c r="F8" s="51">
        <v>46300.0</v>
      </c>
      <c r="G8" s="46"/>
      <c r="H8" s="36">
        <v>100000.0</v>
      </c>
      <c r="I8" s="38" t="s">
        <v>24</v>
      </c>
      <c r="J8" s="14"/>
      <c r="K8" s="14"/>
      <c r="L8" s="38" t="s">
        <v>25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576</v>
      </c>
      <c r="D9" s="15" t="s">
        <v>21</v>
      </c>
      <c r="E9" s="16"/>
      <c r="F9" s="51">
        <v>46290.0</v>
      </c>
      <c r="G9" s="46"/>
      <c r="H9" s="36">
        <v>100000.0</v>
      </c>
      <c r="I9" s="38" t="s">
        <v>24</v>
      </c>
      <c r="J9" s="14"/>
      <c r="K9" s="14"/>
      <c r="L9" s="38" t="s">
        <v>25</v>
      </c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577</v>
      </c>
      <c r="D10" s="15" t="s">
        <v>20</v>
      </c>
      <c r="E10" s="16"/>
      <c r="F10" s="47">
        <v>46286.0</v>
      </c>
      <c r="G10" s="64">
        <v>290000.0</v>
      </c>
      <c r="H10" s="60"/>
      <c r="I10" s="38" t="s">
        <v>37</v>
      </c>
      <c r="J10" s="38" t="s">
        <v>38</v>
      </c>
      <c r="K10" s="38" t="s">
        <v>39</v>
      </c>
      <c r="L10" s="38" t="s">
        <v>25</v>
      </c>
      <c r="M10" s="38" t="s">
        <v>40</v>
      </c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581</v>
      </c>
      <c r="D11" s="15" t="s">
        <v>21</v>
      </c>
      <c r="E11" s="21" t="s">
        <v>260</v>
      </c>
      <c r="F11" s="51">
        <v>46286.0</v>
      </c>
      <c r="G11" s="64">
        <v>25000.0</v>
      </c>
      <c r="H11" s="36">
        <v>150000.0</v>
      </c>
      <c r="I11" s="38" t="s">
        <v>37</v>
      </c>
      <c r="J11" s="38" t="s">
        <v>38</v>
      </c>
      <c r="K11" s="38" t="s">
        <v>38</v>
      </c>
      <c r="L11" s="38" t="s">
        <v>25</v>
      </c>
      <c r="M11" s="38" t="s">
        <v>40</v>
      </c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32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32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32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4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4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4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4"/>
      <c r="G18" s="46"/>
      <c r="H18" s="60"/>
      <c r="I18" s="14"/>
      <c r="J18" s="14"/>
      <c r="K18" s="14"/>
      <c r="L18" s="14"/>
      <c r="M18" s="14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175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178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182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79" t="s">
        <v>590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2" t="s">
        <v>188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5" t="s">
        <v>193</v>
      </c>
      <c r="O25" s="86" t="s">
        <v>69</v>
      </c>
      <c r="P25" s="1"/>
      <c r="Q25" s="1"/>
      <c r="R25" s="1"/>
    </row>
    <row r="26" ht="15.75" customHeight="1">
      <c r="A26" s="1"/>
      <c r="B26" s="78">
        <v>4.0</v>
      </c>
      <c r="C26" s="81"/>
      <c r="D26" s="83"/>
      <c r="E26" s="75"/>
      <c r="F26" s="1"/>
      <c r="G26" s="1"/>
      <c r="H26" s="1"/>
      <c r="I26" s="1"/>
      <c r="J26" s="1"/>
      <c r="K26" s="1"/>
      <c r="L26" s="1"/>
      <c r="M26" s="1"/>
      <c r="N26" s="87" t="s">
        <v>195</v>
      </c>
      <c r="O26" s="84" t="s">
        <v>40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1"/>
      <c r="D28" s="83"/>
      <c r="E28" s="75"/>
      <c r="F28" s="1"/>
      <c r="G28" s="1"/>
      <c r="H28" s="1"/>
      <c r="I28" s="1"/>
      <c r="J28" s="1"/>
      <c r="K28" s="89" t="s">
        <v>200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202</v>
      </c>
      <c r="M29" s="90" t="s">
        <v>203</v>
      </c>
      <c r="N29" s="90" t="s">
        <v>204</v>
      </c>
      <c r="O29" s="90" t="s">
        <v>205</v>
      </c>
      <c r="P29" s="90" t="s">
        <v>206</v>
      </c>
      <c r="Q29" s="1"/>
      <c r="R29" s="1"/>
      <c r="AC29" s="92" t="s">
        <v>207</v>
      </c>
      <c r="AD29" s="92" t="s">
        <v>208</v>
      </c>
      <c r="AE29" s="92" t="s">
        <v>209</v>
      </c>
      <c r="AF29" s="92" t="s">
        <v>210</v>
      </c>
      <c r="AG29" s="92" t="s">
        <v>211</v>
      </c>
    </row>
    <row r="30" ht="15.75" customHeight="1">
      <c r="A30" s="1"/>
      <c r="B30" s="78">
        <v>8.0</v>
      </c>
      <c r="C30" s="81"/>
      <c r="D30" s="83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109"/>
      <c r="M31" s="109"/>
      <c r="N31" s="109"/>
      <c r="O31" s="109"/>
      <c r="P31" s="109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>Admin/CS</v>
      </c>
      <c r="AF31" s="92" t="str">
        <f t="shared" si="6"/>
        <v/>
      </c>
      <c r="AG31" s="92" t="str">
        <f t="shared" si="7"/>
        <v>INDAH</v>
      </c>
    </row>
    <row r="32" ht="15.75" customHeight="1">
      <c r="A32" s="1"/>
      <c r="B32" s="78">
        <v>10.0</v>
      </c>
      <c r="C32" s="81"/>
      <c r="D32" s="83"/>
      <c r="E32" s="75"/>
      <c r="F32" s="1"/>
      <c r="G32" s="1"/>
      <c r="H32" s="1"/>
      <c r="I32" s="1"/>
      <c r="J32" s="1"/>
      <c r="K32" s="93" t="str">
        <f t="shared" si="2"/>
        <v>SAKA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3" t="str">
        <f t="shared" si="2"/>
        <v>ADIF</v>
      </c>
      <c r="L33" s="109"/>
      <c r="M33" s="109"/>
      <c r="N33" s="109"/>
      <c r="O33" s="109"/>
      <c r="P33" s="109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>Fotografer</v>
      </c>
      <c r="AF33" s="92" t="str">
        <f t="shared" si="6"/>
        <v/>
      </c>
      <c r="AG33" s="92" t="str">
        <f t="shared" si="7"/>
        <v>ADIF</v>
      </c>
    </row>
    <row r="34" ht="15.75" customHeight="1">
      <c r="A34" s="1"/>
      <c r="B34" s="1"/>
      <c r="C34" s="2"/>
      <c r="D34" s="108">
        <f>SUM(D23:D33)</f>
        <v>470000</v>
      </c>
      <c r="E34" s="1"/>
      <c r="F34" s="1"/>
      <c r="G34" s="1"/>
      <c r="H34" s="1"/>
      <c r="I34" s="1"/>
      <c r="J34" s="1"/>
      <c r="K34" s="93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501</v>
      </c>
    </row>
    <row r="40" ht="15.75" customHeight="1">
      <c r="K40" s="113" t="str">
        <f t="shared" ref="K40:K41" si="8">IF(O23="","",O23)</f>
        <v>AMEL</v>
      </c>
      <c r="L40" s="115">
        <v>3.0</v>
      </c>
      <c r="M40" s="115" t="s">
        <v>411</v>
      </c>
      <c r="N40" s="160">
        <v>15.0</v>
      </c>
    </row>
    <row r="41" ht="15.75" customHeight="1">
      <c r="K41" s="113" t="str">
        <f t="shared" si="8"/>
        <v>INDAH</v>
      </c>
      <c r="L41" s="115">
        <v>3.0</v>
      </c>
      <c r="M41" s="114"/>
      <c r="N41" s="160">
        <v>9.0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38.0</v>
      </c>
    </row>
    <row r="45" ht="19.5" customHeight="1">
      <c r="K45" s="118" t="s">
        <v>228</v>
      </c>
      <c r="M45" s="166">
        <f>COUNTIF($I$4:$I$21,"DP")</f>
        <v>4</v>
      </c>
    </row>
    <row r="46" ht="19.5" customHeight="1">
      <c r="K46" s="118" t="s">
        <v>229</v>
      </c>
      <c r="M46" s="119">
        <f>COUNTIFS($I$4:$I$21,"&lt;&gt;DP",$I$4:$I$21,"&lt;&gt;")</f>
        <v>4</v>
      </c>
    </row>
    <row r="47" ht="19.5" customHeight="1">
      <c r="K47" s="120" t="s">
        <v>230</v>
      </c>
      <c r="M47" s="119">
        <f>M45+M46</f>
        <v>8</v>
      </c>
    </row>
    <row r="48" ht="19.5" customHeight="1">
      <c r="K48" s="117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563</v>
      </c>
      <c r="D4" s="15" t="s">
        <v>20</v>
      </c>
      <c r="E4" s="16"/>
      <c r="F4" s="31">
        <v>46287.0</v>
      </c>
      <c r="G4" s="46"/>
      <c r="H4" s="36">
        <v>330000.0</v>
      </c>
      <c r="I4" s="38" t="s">
        <v>37</v>
      </c>
      <c r="J4" s="38" t="s">
        <v>38</v>
      </c>
      <c r="K4" s="38" t="s">
        <v>39</v>
      </c>
      <c r="L4" s="38" t="s">
        <v>25</v>
      </c>
      <c r="M4" s="38" t="s">
        <v>69</v>
      </c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570</v>
      </c>
      <c r="D5" s="15" t="s">
        <v>21</v>
      </c>
      <c r="E5" s="16"/>
      <c r="F5" s="31">
        <v>46287.0</v>
      </c>
      <c r="G5" s="46"/>
      <c r="H5" s="36">
        <v>100000.0</v>
      </c>
      <c r="I5" s="38" t="s">
        <v>24</v>
      </c>
      <c r="J5" s="14"/>
      <c r="K5" s="14"/>
      <c r="L5" s="38" t="s">
        <v>25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29" t="s">
        <v>571</v>
      </c>
      <c r="D6" s="15" t="s">
        <v>21</v>
      </c>
      <c r="E6" s="16"/>
      <c r="F6" s="51">
        <v>46287.0</v>
      </c>
      <c r="G6" s="46"/>
      <c r="H6" s="36">
        <v>125000.0</v>
      </c>
      <c r="I6" s="38" t="s">
        <v>37</v>
      </c>
      <c r="J6" s="38" t="s">
        <v>38</v>
      </c>
      <c r="K6" s="38" t="s">
        <v>38</v>
      </c>
      <c r="L6" s="38" t="s">
        <v>25</v>
      </c>
      <c r="M6" s="38" t="s">
        <v>69</v>
      </c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572</v>
      </c>
      <c r="D7" s="15" t="s">
        <v>20</v>
      </c>
      <c r="E7" s="16"/>
      <c r="F7" s="51">
        <v>46299.0</v>
      </c>
      <c r="G7" s="46"/>
      <c r="H7" s="36">
        <v>100000.0</v>
      </c>
      <c r="I7" s="38" t="s">
        <v>24</v>
      </c>
      <c r="J7" s="14"/>
      <c r="K7" s="14"/>
      <c r="L7" s="38" t="s">
        <v>25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574</v>
      </c>
      <c r="D8" s="15" t="s">
        <v>21</v>
      </c>
      <c r="E8" s="16"/>
      <c r="F8" s="51">
        <v>46290.0</v>
      </c>
      <c r="G8" s="46"/>
      <c r="H8" s="36">
        <v>100000.0</v>
      </c>
      <c r="I8" s="38" t="s">
        <v>24</v>
      </c>
      <c r="J8" s="14"/>
      <c r="K8" s="14"/>
      <c r="L8" s="38" t="s">
        <v>25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575</v>
      </c>
      <c r="D9" s="15" t="s">
        <v>20</v>
      </c>
      <c r="E9" s="16"/>
      <c r="F9" s="51">
        <v>46287.0</v>
      </c>
      <c r="G9" s="46"/>
      <c r="H9" s="36">
        <v>250000.0</v>
      </c>
      <c r="I9" s="38" t="s">
        <v>37</v>
      </c>
      <c r="J9" s="38" t="s">
        <v>38</v>
      </c>
      <c r="K9" s="38" t="s">
        <v>39</v>
      </c>
      <c r="L9" s="38" t="s">
        <v>25</v>
      </c>
      <c r="M9" s="38" t="s">
        <v>69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336</v>
      </c>
      <c r="D10" s="15" t="s">
        <v>20</v>
      </c>
      <c r="E10" s="16"/>
      <c r="F10" s="51">
        <v>46287.0</v>
      </c>
      <c r="G10" s="64">
        <v>310000.0</v>
      </c>
      <c r="H10" s="60"/>
      <c r="I10" s="38" t="s">
        <v>37</v>
      </c>
      <c r="J10" s="38" t="s">
        <v>38</v>
      </c>
      <c r="K10" s="38" t="s">
        <v>39</v>
      </c>
      <c r="L10" s="38" t="s">
        <v>25</v>
      </c>
      <c r="M10" s="38" t="s">
        <v>40</v>
      </c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578</v>
      </c>
      <c r="D11" s="15" t="s">
        <v>44</v>
      </c>
      <c r="E11" s="16"/>
      <c r="F11" s="51">
        <v>46292.0</v>
      </c>
      <c r="G11" s="46"/>
      <c r="H11" s="36">
        <v>100000.0</v>
      </c>
      <c r="I11" s="38" t="s">
        <v>24</v>
      </c>
      <c r="J11" s="14"/>
      <c r="K11" s="14"/>
      <c r="L11" s="38" t="s">
        <v>25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579</v>
      </c>
      <c r="D12" s="15" t="s">
        <v>20</v>
      </c>
      <c r="E12" s="16"/>
      <c r="F12" s="51">
        <v>46287.0</v>
      </c>
      <c r="G12" s="46"/>
      <c r="H12" s="36">
        <v>270000.0</v>
      </c>
      <c r="I12" s="38" t="s">
        <v>37</v>
      </c>
      <c r="J12" s="38" t="s">
        <v>38</v>
      </c>
      <c r="K12" s="38" t="s">
        <v>39</v>
      </c>
      <c r="L12" s="38" t="s">
        <v>25</v>
      </c>
      <c r="M12" s="38" t="s">
        <v>69</v>
      </c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580</v>
      </c>
      <c r="D13" s="15" t="s">
        <v>20</v>
      </c>
      <c r="E13" s="16"/>
      <c r="F13" s="51">
        <v>46287.0</v>
      </c>
      <c r="G13" s="64">
        <v>250000.0</v>
      </c>
      <c r="H13" s="60"/>
      <c r="I13" s="38" t="s">
        <v>37</v>
      </c>
      <c r="J13" s="38" t="s">
        <v>38</v>
      </c>
      <c r="K13" s="38" t="s">
        <v>39</v>
      </c>
      <c r="L13" s="38" t="s">
        <v>25</v>
      </c>
      <c r="M13" s="38" t="s">
        <v>40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29" t="s">
        <v>582</v>
      </c>
      <c r="D14" s="15" t="s">
        <v>20</v>
      </c>
      <c r="E14" s="16"/>
      <c r="F14" s="51">
        <v>46287.0</v>
      </c>
      <c r="G14" s="46"/>
      <c r="H14" s="36">
        <v>100000.0</v>
      </c>
      <c r="I14" s="38" t="s">
        <v>24</v>
      </c>
      <c r="J14" s="14"/>
      <c r="K14" s="14"/>
      <c r="L14" s="38" t="s">
        <v>25</v>
      </c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504</v>
      </c>
      <c r="D15" s="15" t="s">
        <v>20</v>
      </c>
      <c r="E15" s="16"/>
      <c r="F15" s="51">
        <v>46287.0</v>
      </c>
      <c r="G15" s="64">
        <v>310000.0</v>
      </c>
      <c r="H15" s="60"/>
      <c r="I15" s="38" t="s">
        <v>37</v>
      </c>
      <c r="J15" s="38" t="s">
        <v>38</v>
      </c>
      <c r="K15" s="38" t="s">
        <v>39</v>
      </c>
      <c r="L15" s="38" t="s">
        <v>25</v>
      </c>
      <c r="M15" s="38" t="s">
        <v>40</v>
      </c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583</v>
      </c>
      <c r="D16" s="15" t="s">
        <v>93</v>
      </c>
      <c r="E16" s="16"/>
      <c r="F16" s="51">
        <v>46287.0</v>
      </c>
      <c r="G16" s="64">
        <v>540000.0</v>
      </c>
      <c r="H16" s="60"/>
      <c r="I16" s="38" t="s">
        <v>37</v>
      </c>
      <c r="J16" s="38" t="s">
        <v>38</v>
      </c>
      <c r="K16" s="38" t="s">
        <v>39</v>
      </c>
      <c r="L16" s="38" t="s">
        <v>25</v>
      </c>
      <c r="M16" s="38" t="s">
        <v>69</v>
      </c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29" t="s">
        <v>584</v>
      </c>
      <c r="D17" s="15" t="s">
        <v>20</v>
      </c>
      <c r="E17" s="16"/>
      <c r="F17" s="51">
        <v>46287.0</v>
      </c>
      <c r="G17" s="46"/>
      <c r="H17" s="36">
        <v>290000.0</v>
      </c>
      <c r="I17" s="38" t="s">
        <v>37</v>
      </c>
      <c r="J17" s="38" t="s">
        <v>38</v>
      </c>
      <c r="K17" s="38" t="s">
        <v>39</v>
      </c>
      <c r="L17" s="38" t="s">
        <v>25</v>
      </c>
      <c r="M17" s="38" t="s">
        <v>69</v>
      </c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29" t="s">
        <v>585</v>
      </c>
      <c r="D18" s="15" t="s">
        <v>20</v>
      </c>
      <c r="E18" s="16"/>
      <c r="F18" s="51">
        <v>46287.0</v>
      </c>
      <c r="G18" s="64">
        <v>250000.0</v>
      </c>
      <c r="H18" s="60"/>
      <c r="I18" s="38" t="s">
        <v>37</v>
      </c>
      <c r="J18" s="38" t="s">
        <v>38</v>
      </c>
      <c r="K18" s="38" t="s">
        <v>39</v>
      </c>
      <c r="L18" s="38" t="s">
        <v>25</v>
      </c>
      <c r="M18" s="38" t="s">
        <v>40</v>
      </c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29" t="s">
        <v>586</v>
      </c>
      <c r="D19" s="15" t="s">
        <v>20</v>
      </c>
      <c r="E19" s="16"/>
      <c r="F19" s="38" t="s">
        <v>30</v>
      </c>
      <c r="G19" s="46"/>
      <c r="H19" s="36">
        <v>250000.0</v>
      </c>
      <c r="I19" s="38" t="s">
        <v>37</v>
      </c>
      <c r="J19" s="38" t="s">
        <v>38</v>
      </c>
      <c r="K19" s="38" t="s">
        <v>39</v>
      </c>
      <c r="L19" s="38" t="s">
        <v>26</v>
      </c>
      <c r="M19" s="38" t="s">
        <v>69</v>
      </c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29" t="s">
        <v>29</v>
      </c>
      <c r="D20" s="15" t="s">
        <v>20</v>
      </c>
      <c r="E20" s="16"/>
      <c r="F20" s="38" t="s">
        <v>30</v>
      </c>
      <c r="G20" s="46"/>
      <c r="H20" s="36">
        <v>270000.0</v>
      </c>
      <c r="I20" s="38" t="s">
        <v>37</v>
      </c>
      <c r="J20" s="38" t="s">
        <v>38</v>
      </c>
      <c r="K20" s="38" t="s">
        <v>39</v>
      </c>
      <c r="L20" s="38" t="s">
        <v>26</v>
      </c>
      <c r="M20" s="38" t="s">
        <v>40</v>
      </c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29" t="s">
        <v>567</v>
      </c>
      <c r="D21" s="15" t="s">
        <v>20</v>
      </c>
      <c r="E21" s="16"/>
      <c r="F21" s="38" t="s">
        <v>30</v>
      </c>
      <c r="G21" s="64">
        <v>270000.0</v>
      </c>
      <c r="H21" s="60"/>
      <c r="I21" s="38" t="s">
        <v>37</v>
      </c>
      <c r="J21" s="38" t="s">
        <v>38</v>
      </c>
      <c r="K21" s="38" t="s">
        <v>39</v>
      </c>
      <c r="L21" s="38" t="s">
        <v>26</v>
      </c>
      <c r="M21" s="38" t="s">
        <v>69</v>
      </c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41" t="s">
        <v>568</v>
      </c>
      <c r="D22" s="15" t="s">
        <v>20</v>
      </c>
      <c r="E22" s="16"/>
      <c r="F22" s="38" t="s">
        <v>30</v>
      </c>
      <c r="G22" s="64">
        <v>290000.0</v>
      </c>
      <c r="H22" s="60"/>
      <c r="I22" s="38" t="s">
        <v>37</v>
      </c>
      <c r="J22" s="38" t="s">
        <v>38</v>
      </c>
      <c r="K22" s="38" t="s">
        <v>39</v>
      </c>
      <c r="L22" s="38" t="s">
        <v>26</v>
      </c>
      <c r="M22" s="38" t="s">
        <v>40</v>
      </c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29" t="s">
        <v>464</v>
      </c>
      <c r="D23" s="15" t="s">
        <v>44</v>
      </c>
      <c r="E23" s="16"/>
      <c r="F23" s="38" t="s">
        <v>30</v>
      </c>
      <c r="G23" s="46"/>
      <c r="H23" s="36">
        <v>50000.0</v>
      </c>
      <c r="I23" s="38" t="s">
        <v>37</v>
      </c>
      <c r="J23" s="38" t="s">
        <v>38</v>
      </c>
      <c r="K23" s="38" t="s">
        <v>39</v>
      </c>
      <c r="L23" s="38" t="s">
        <v>26</v>
      </c>
      <c r="M23" s="38" t="s">
        <v>69</v>
      </c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41" t="s">
        <v>537</v>
      </c>
      <c r="D24" s="15" t="s">
        <v>21</v>
      </c>
      <c r="E24" s="16"/>
      <c r="F24" s="38" t="s">
        <v>30</v>
      </c>
      <c r="G24" s="46"/>
      <c r="H24" s="36">
        <v>275000.0</v>
      </c>
      <c r="I24" s="38" t="s">
        <v>37</v>
      </c>
      <c r="J24" s="38" t="s">
        <v>38</v>
      </c>
      <c r="K24" s="38" t="s">
        <v>39</v>
      </c>
      <c r="L24" s="38" t="s">
        <v>26</v>
      </c>
      <c r="M24" s="38" t="s">
        <v>69</v>
      </c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164" t="s">
        <v>587</v>
      </c>
      <c r="D25" s="15" t="s">
        <v>246</v>
      </c>
      <c r="E25" s="16"/>
      <c r="F25" s="38" t="s">
        <v>514</v>
      </c>
      <c r="G25" s="46"/>
      <c r="H25" s="36">
        <v>100000.0</v>
      </c>
      <c r="I25" s="38" t="s">
        <v>37</v>
      </c>
      <c r="J25" s="14"/>
      <c r="K25" s="14"/>
      <c r="L25" s="38" t="s">
        <v>26</v>
      </c>
      <c r="M25" s="14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164" t="s">
        <v>588</v>
      </c>
      <c r="D26" s="15" t="s">
        <v>20</v>
      </c>
      <c r="E26" s="16"/>
      <c r="F26" s="38" t="s">
        <v>30</v>
      </c>
      <c r="G26" s="64">
        <v>270000.0</v>
      </c>
      <c r="H26" s="60"/>
      <c r="I26" s="38" t="s">
        <v>37</v>
      </c>
      <c r="J26" s="38" t="s">
        <v>38</v>
      </c>
      <c r="K26" s="38" t="s">
        <v>39</v>
      </c>
      <c r="L26" s="38" t="s">
        <v>26</v>
      </c>
      <c r="M26" s="38" t="s">
        <v>40</v>
      </c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29" t="s">
        <v>565</v>
      </c>
      <c r="D27" s="15" t="s">
        <v>21</v>
      </c>
      <c r="E27" s="16"/>
      <c r="F27" s="38" t="s">
        <v>30</v>
      </c>
      <c r="G27" s="46"/>
      <c r="H27" s="36">
        <v>500000.0</v>
      </c>
      <c r="I27" s="38" t="s">
        <v>37</v>
      </c>
      <c r="J27" s="38" t="s">
        <v>38</v>
      </c>
      <c r="K27" s="38" t="s">
        <v>39</v>
      </c>
      <c r="L27" s="38" t="s">
        <v>26</v>
      </c>
      <c r="M27" s="38" t="s">
        <v>69</v>
      </c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29" t="s">
        <v>274</v>
      </c>
      <c r="D28" s="15" t="s">
        <v>93</v>
      </c>
      <c r="E28" s="16"/>
      <c r="F28" s="38" t="s">
        <v>30</v>
      </c>
      <c r="G28" s="46"/>
      <c r="H28" s="36">
        <v>420000.0</v>
      </c>
      <c r="I28" s="38" t="s">
        <v>37</v>
      </c>
      <c r="J28" s="38" t="s">
        <v>38</v>
      </c>
      <c r="K28" s="38" t="s">
        <v>39</v>
      </c>
      <c r="L28" s="38" t="s">
        <v>26</v>
      </c>
      <c r="M28" s="38" t="s">
        <v>40</v>
      </c>
      <c r="N28" s="30"/>
      <c r="O28" s="30"/>
      <c r="P28" s="30"/>
      <c r="Q28" s="1"/>
      <c r="R28" s="1"/>
    </row>
    <row r="29" ht="15.75" customHeight="1">
      <c r="A29" s="1"/>
      <c r="B29" s="14">
        <v>26.0</v>
      </c>
      <c r="C29" s="29" t="s">
        <v>570</v>
      </c>
      <c r="D29" s="15" t="s">
        <v>21</v>
      </c>
      <c r="E29" s="16"/>
      <c r="F29" s="38" t="s">
        <v>30</v>
      </c>
      <c r="G29" s="46"/>
      <c r="H29" s="36">
        <v>150000.0</v>
      </c>
      <c r="I29" s="38" t="s">
        <v>37</v>
      </c>
      <c r="J29" s="38" t="s">
        <v>38</v>
      </c>
      <c r="K29" s="38" t="s">
        <v>39</v>
      </c>
      <c r="L29" s="38" t="s">
        <v>26</v>
      </c>
      <c r="M29" s="38" t="s">
        <v>40</v>
      </c>
      <c r="N29" s="30"/>
      <c r="O29" s="30"/>
      <c r="P29" s="30"/>
      <c r="Q29" s="1"/>
      <c r="R29" s="1"/>
    </row>
    <row r="30" ht="15.75" customHeight="1">
      <c r="A30" s="1"/>
      <c r="B30" s="14">
        <v>27.0</v>
      </c>
      <c r="C30" s="41" t="s">
        <v>589</v>
      </c>
      <c r="D30" s="15" t="s">
        <v>58</v>
      </c>
      <c r="E30" s="16"/>
      <c r="F30" s="38" t="s">
        <v>30</v>
      </c>
      <c r="G30" s="36">
        <v>350000.0</v>
      </c>
      <c r="H30" s="36"/>
      <c r="I30" s="38" t="s">
        <v>37</v>
      </c>
      <c r="J30" s="38" t="s">
        <v>38</v>
      </c>
      <c r="K30" s="38" t="s">
        <v>39</v>
      </c>
      <c r="L30" s="38" t="s">
        <v>26</v>
      </c>
      <c r="M30" s="38" t="s">
        <v>40</v>
      </c>
      <c r="N30" s="30"/>
      <c r="O30" s="30"/>
      <c r="P30" s="30"/>
      <c r="Q30" s="1"/>
      <c r="R30" s="1"/>
    </row>
    <row r="31" ht="15.75" customHeight="1">
      <c r="A31" s="1"/>
      <c r="B31" s="14">
        <v>28.0</v>
      </c>
      <c r="C31" s="67"/>
      <c r="D31" s="91"/>
      <c r="E31" s="16"/>
      <c r="F31" s="14"/>
      <c r="G31" s="46"/>
      <c r="H31" s="60"/>
      <c r="I31" s="14"/>
      <c r="J31" s="14"/>
      <c r="K31" s="14"/>
      <c r="L31" s="14"/>
      <c r="M31" s="14"/>
      <c r="N31" s="30"/>
      <c r="O31" s="30"/>
      <c r="P31" s="30"/>
      <c r="Q31" s="1"/>
      <c r="R31" s="1"/>
    </row>
    <row r="32" ht="15.75" customHeight="1">
      <c r="A32" s="1"/>
      <c r="B32" s="14">
        <v>29.0</v>
      </c>
      <c r="C32" s="67"/>
      <c r="D32" s="91"/>
      <c r="E32" s="16"/>
      <c r="F32" s="14"/>
      <c r="G32" s="46"/>
      <c r="H32" s="60"/>
      <c r="I32" s="14"/>
      <c r="J32" s="14"/>
      <c r="K32" s="14"/>
      <c r="L32" s="14"/>
      <c r="M32" s="14"/>
      <c r="N32" s="30"/>
      <c r="O32" s="30"/>
      <c r="P32" s="30"/>
      <c r="Q32" s="1"/>
      <c r="R32" s="1"/>
    </row>
    <row r="33" ht="15.75" customHeight="1">
      <c r="A33" s="1"/>
      <c r="B33" s="14">
        <v>30.0</v>
      </c>
      <c r="C33" s="67"/>
      <c r="D33" s="91"/>
      <c r="E33" s="16"/>
      <c r="F33" s="14"/>
      <c r="G33" s="46"/>
      <c r="H33" s="60"/>
      <c r="I33" s="14"/>
      <c r="J33" s="14"/>
      <c r="K33" s="14"/>
      <c r="L33" s="14"/>
      <c r="M33" s="14"/>
      <c r="N33" s="65"/>
      <c r="O33" s="65"/>
      <c r="P33" s="65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8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174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175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178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182</v>
      </c>
      <c r="O38" s="77" t="s">
        <v>25</v>
      </c>
      <c r="P38" s="1"/>
      <c r="Q38" s="1"/>
      <c r="R38" s="1"/>
    </row>
    <row r="39" ht="15.75" customHeight="1">
      <c r="A39" s="1"/>
      <c r="B39" s="78">
        <v>2.0</v>
      </c>
      <c r="C39" s="79" t="s">
        <v>410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2" t="s">
        <v>188</v>
      </c>
      <c r="O39" s="84" t="s">
        <v>26</v>
      </c>
      <c r="P39" s="1"/>
      <c r="Q39" s="1"/>
      <c r="R39" s="1"/>
    </row>
    <row r="40" ht="15.75" customHeight="1">
      <c r="A40" s="1"/>
      <c r="B40" s="72">
        <v>3.0</v>
      </c>
      <c r="C40" s="100" t="s">
        <v>591</v>
      </c>
      <c r="D40" s="101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592</v>
      </c>
      <c r="N40" s="85" t="s">
        <v>193</v>
      </c>
      <c r="O40" s="165" t="s">
        <v>69</v>
      </c>
      <c r="P40" s="1"/>
      <c r="Q40" s="1"/>
      <c r="R40" s="1"/>
    </row>
    <row r="41" ht="15.75" customHeight="1">
      <c r="A41" s="1"/>
      <c r="B41" s="78">
        <v>4.0</v>
      </c>
      <c r="C41" s="79" t="s">
        <v>593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195</v>
      </c>
      <c r="O41" s="84" t="s">
        <v>40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1"/>
      <c r="D43" s="83"/>
      <c r="E43" s="75"/>
      <c r="F43" s="1"/>
      <c r="G43" s="1"/>
      <c r="H43" s="1"/>
      <c r="I43" s="1"/>
      <c r="J43" s="1"/>
      <c r="K43" s="89" t="s">
        <v>200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202</v>
      </c>
      <c r="M44" s="90" t="s">
        <v>203</v>
      </c>
      <c r="N44" s="90" t="s">
        <v>204</v>
      </c>
      <c r="O44" s="90" t="s">
        <v>205</v>
      </c>
      <c r="P44" s="90" t="s">
        <v>206</v>
      </c>
      <c r="Q44" s="1"/>
      <c r="R44" s="1"/>
      <c r="AC44" s="92" t="s">
        <v>207</v>
      </c>
      <c r="AD44" s="92" t="s">
        <v>208</v>
      </c>
      <c r="AE44" s="92" t="s">
        <v>209</v>
      </c>
      <c r="AF44" s="92" t="s">
        <v>210</v>
      </c>
      <c r="AG44" s="92" t="s">
        <v>211</v>
      </c>
    </row>
    <row r="45" ht="15.75" customHeight="1">
      <c r="A45" s="1"/>
      <c r="B45" s="78">
        <v>8.0</v>
      </c>
      <c r="C45" s="81"/>
      <c r="D45" s="83"/>
      <c r="E45" s="75"/>
      <c r="F45" s="1"/>
      <c r="G45" s="1"/>
      <c r="H45" s="1"/>
      <c r="I45" s="1"/>
      <c r="J45" s="1"/>
      <c r="K45" s="93" t="str">
        <f t="shared" ref="K45:K48" si="2">IF(O38="","",O38)</f>
        <v>INDAH</v>
      </c>
      <c r="L45" s="94"/>
      <c r="M45" s="109"/>
      <c r="N45" s="109"/>
      <c r="O45" s="109"/>
      <c r="P45" s="109"/>
      <c r="Q45" s="1"/>
      <c r="R45" s="1"/>
      <c r="AC45" s="92" t="str">
        <f t="shared" ref="AC45:AC50" si="3">IF(AG45="","",IF(COUNT(L45:P45)&lt;5,"",L45/5*20+M45/5*25+N45/5*25+O45/5*15+P45/5*15))</f>
        <v/>
      </c>
      <c r="AD45" s="92" t="str">
        <f t="shared" ref="AD45:AD50" si="4">IF(AC45="","",IF(AC45&gt;=90,"Sangat Baik",IF(AC45&gt;=80,"Baik",IF(AC45&gt;=70,"Coaching","Underperform"))))</f>
        <v/>
      </c>
      <c r="AE45" s="92" t="str">
        <f t="shared" ref="AE45:AE50" si="5">IF(AG45="","",IF(OR(AG45="INDAH",AG45="ADDEL",AG45="AMEL",AG45="PENTIL",AG45="JIJANG"),"Admin/CS","Fotografer"))</f>
        <v>Admin/CS</v>
      </c>
      <c r="AF45" s="92" t="str">
        <f t="shared" ref="AF45:AF50" si="6">IF(OR(AG45="",COUNT(L45:P45)&lt;5),"",1)</f>
        <v/>
      </c>
      <c r="AG45" s="92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3" t="str">
        <f t="shared" si="2"/>
        <v>AMEL</v>
      </c>
      <c r="L46" s="94">
        <v>5.0</v>
      </c>
      <c r="M46" s="94">
        <v>5.0</v>
      </c>
      <c r="N46" s="94">
        <v>4.0</v>
      </c>
      <c r="O46" s="94">
        <v>5.0</v>
      </c>
      <c r="P46" s="94">
        <v>4.0</v>
      </c>
      <c r="Q46" s="1"/>
      <c r="R46" s="1"/>
      <c r="AC46" s="92">
        <f t="shared" si="3"/>
        <v>92</v>
      </c>
      <c r="AD46" s="92" t="str">
        <f t="shared" si="4"/>
        <v>Sangat Baik</v>
      </c>
      <c r="AE46" s="92" t="str">
        <f t="shared" si="5"/>
        <v>Admin/CS</v>
      </c>
      <c r="AF46" s="92">
        <f t="shared" si="6"/>
        <v>1</v>
      </c>
      <c r="AG46" s="92" t="str">
        <f t="shared" si="7"/>
        <v>AMEL</v>
      </c>
    </row>
    <row r="47" ht="15.75" customHeight="1">
      <c r="A47" s="1"/>
      <c r="B47" s="78">
        <v>10.0</v>
      </c>
      <c r="C47" s="81"/>
      <c r="D47" s="83"/>
      <c r="E47" s="75"/>
      <c r="F47" s="1"/>
      <c r="G47" s="1"/>
      <c r="H47" s="1"/>
      <c r="I47" s="1"/>
      <c r="J47" s="1"/>
      <c r="K47" s="93" t="str">
        <f t="shared" si="2"/>
        <v>SAKA</v>
      </c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>Fotografer</v>
      </c>
      <c r="AF47" s="92" t="str">
        <f t="shared" si="6"/>
        <v/>
      </c>
      <c r="AG47" s="92" t="str">
        <f t="shared" si="7"/>
        <v>SAKA</v>
      </c>
    </row>
    <row r="48" ht="15.75" customHeight="1">
      <c r="A48" s="1"/>
      <c r="B48" s="105">
        <v>11.0</v>
      </c>
      <c r="C48" s="106"/>
      <c r="D48" s="107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4.0</v>
      </c>
      <c r="O48" s="94">
        <v>5.0</v>
      </c>
      <c r="P48" s="94">
        <v>4.0</v>
      </c>
      <c r="Q48" s="1"/>
      <c r="R48" s="1"/>
      <c r="AC48" s="92">
        <f t="shared" si="3"/>
        <v>92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"/>
      <c r="C49" s="2"/>
      <c r="D49" s="108">
        <f>SUM(D38:D48)</f>
        <v>2726000</v>
      </c>
      <c r="E49" s="1"/>
      <c r="F49" s="1"/>
      <c r="G49" s="1"/>
      <c r="H49" s="1"/>
      <c r="I49" s="1"/>
      <c r="J49" s="1"/>
      <c r="K49" s="93"/>
      <c r="L49" s="109"/>
      <c r="M49" s="109"/>
      <c r="N49" s="109"/>
      <c r="O49" s="109"/>
      <c r="P49" s="109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3"/>
      <c r="L50" s="109"/>
      <c r="M50" s="109"/>
      <c r="N50" s="109"/>
      <c r="O50" s="109"/>
      <c r="P50" s="109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8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59" t="s">
        <v>501</v>
      </c>
    </row>
    <row r="55" ht="15.75" customHeight="1">
      <c r="K55" s="113" t="str">
        <f t="shared" ref="K55:K56" si="8">IF(O38="","",O38)</f>
        <v>INDAH</v>
      </c>
      <c r="L55" s="115">
        <v>5.0</v>
      </c>
      <c r="M55" s="114"/>
      <c r="N55" s="160">
        <v>2.0</v>
      </c>
    </row>
    <row r="56" ht="15.75" customHeight="1">
      <c r="K56" s="113" t="str">
        <f t="shared" si="8"/>
        <v>AMEL</v>
      </c>
      <c r="L56" s="115">
        <v>1.0</v>
      </c>
      <c r="M56" s="114"/>
      <c r="N56" s="162"/>
    </row>
    <row r="57" ht="15.75" customHeight="1"/>
    <row r="58" ht="19.5" customHeight="1">
      <c r="K58" s="116" t="s">
        <v>226</v>
      </c>
    </row>
    <row r="59" ht="19.5" customHeight="1">
      <c r="K59" s="117" t="s">
        <v>227</v>
      </c>
      <c r="M59" s="115">
        <v>34.0</v>
      </c>
    </row>
    <row r="60" ht="19.5" customHeight="1">
      <c r="K60" s="118" t="s">
        <v>228</v>
      </c>
      <c r="M60" s="119">
        <f>COUNTIF($I$4:$I$36,"DP")</f>
        <v>5</v>
      </c>
    </row>
    <row r="61" ht="19.5" customHeight="1">
      <c r="K61" s="118" t="s">
        <v>229</v>
      </c>
      <c r="M61" s="119">
        <f>COUNTIFS($I$4:$I$36,"&lt;&gt;DP",$I$4:$I$36,"&lt;&gt;")</f>
        <v>22</v>
      </c>
    </row>
    <row r="62" ht="19.5" customHeight="1">
      <c r="K62" s="120" t="s">
        <v>230</v>
      </c>
      <c r="M62" s="119">
        <f>M60+M61</f>
        <v>27</v>
      </c>
    </row>
    <row r="63" ht="19.5" customHeight="1">
      <c r="K63" s="117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9" t="s">
        <v>594</v>
      </c>
      <c r="D4" s="15" t="s">
        <v>21</v>
      </c>
      <c r="E4" s="16"/>
      <c r="F4" s="38" t="s">
        <v>595</v>
      </c>
      <c r="G4" s="46"/>
      <c r="H4" s="36">
        <v>100000.0</v>
      </c>
      <c r="I4" s="38" t="s">
        <v>24</v>
      </c>
      <c r="J4" s="14"/>
      <c r="K4" s="14"/>
      <c r="L4" s="38" t="s">
        <v>26</v>
      </c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29" t="s">
        <v>596</v>
      </c>
      <c r="D5" s="15" t="s">
        <v>21</v>
      </c>
      <c r="E5" s="16"/>
      <c r="F5" s="38" t="s">
        <v>595</v>
      </c>
      <c r="G5" s="46"/>
      <c r="H5" s="36">
        <v>100000.0</v>
      </c>
      <c r="I5" s="38" t="s">
        <v>24</v>
      </c>
      <c r="J5" s="14"/>
      <c r="K5" s="14"/>
      <c r="L5" s="38" t="s">
        <v>26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163" t="s">
        <v>597</v>
      </c>
      <c r="D6" s="15" t="s">
        <v>246</v>
      </c>
      <c r="E6" s="16"/>
      <c r="F6" s="38" t="s">
        <v>519</v>
      </c>
      <c r="G6" s="46"/>
      <c r="H6" s="36">
        <v>100000.0</v>
      </c>
      <c r="I6" s="38" t="s">
        <v>37</v>
      </c>
      <c r="J6" s="14"/>
      <c r="K6" s="14"/>
      <c r="L6" s="38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29" t="s">
        <v>598</v>
      </c>
      <c r="D7" s="15" t="s">
        <v>21</v>
      </c>
      <c r="E7" s="16"/>
      <c r="F7" s="38" t="s">
        <v>595</v>
      </c>
      <c r="G7" s="46"/>
      <c r="H7" s="36">
        <v>100000.0</v>
      </c>
      <c r="I7" s="38" t="s">
        <v>24</v>
      </c>
      <c r="J7" s="14"/>
      <c r="K7" s="14"/>
      <c r="L7" s="38" t="s">
        <v>26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29" t="s">
        <v>599</v>
      </c>
      <c r="D8" s="15" t="s">
        <v>20</v>
      </c>
      <c r="E8" s="16"/>
      <c r="F8" s="38" t="s">
        <v>600</v>
      </c>
      <c r="G8" s="46"/>
      <c r="H8" s="36">
        <v>100000.0</v>
      </c>
      <c r="I8" s="38" t="s">
        <v>24</v>
      </c>
      <c r="J8" s="14"/>
      <c r="K8" s="14"/>
      <c r="L8" s="38" t="s">
        <v>26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29" t="s">
        <v>601</v>
      </c>
      <c r="D9" s="15" t="s">
        <v>20</v>
      </c>
      <c r="E9" s="16"/>
      <c r="F9" s="38" t="s">
        <v>45</v>
      </c>
      <c r="G9" s="46"/>
      <c r="H9" s="36">
        <v>100000.0</v>
      </c>
      <c r="I9" s="38" t="s">
        <v>24</v>
      </c>
      <c r="J9" s="14"/>
      <c r="K9" s="14"/>
      <c r="L9" s="38" t="s">
        <v>26</v>
      </c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29" t="s">
        <v>602</v>
      </c>
      <c r="D10" s="15" t="s">
        <v>20</v>
      </c>
      <c r="E10" s="16"/>
      <c r="F10" s="51">
        <v>46299.0</v>
      </c>
      <c r="G10" s="46"/>
      <c r="H10" s="36">
        <v>100000.0</v>
      </c>
      <c r="I10" s="38" t="s">
        <v>24</v>
      </c>
      <c r="J10" s="14"/>
      <c r="K10" s="14"/>
      <c r="L10" s="38" t="s">
        <v>25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29" t="s">
        <v>524</v>
      </c>
      <c r="D11" s="15" t="s">
        <v>21</v>
      </c>
      <c r="E11" s="16"/>
      <c r="F11" s="51">
        <v>46288.0</v>
      </c>
      <c r="G11" s="46"/>
      <c r="H11" s="36">
        <v>300000.0</v>
      </c>
      <c r="I11" s="38" t="s">
        <v>37</v>
      </c>
      <c r="J11" s="38" t="s">
        <v>38</v>
      </c>
      <c r="K11" s="38" t="s">
        <v>39</v>
      </c>
      <c r="L11" s="38" t="s">
        <v>25</v>
      </c>
      <c r="M11" s="38" t="s">
        <v>69</v>
      </c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29" t="s">
        <v>603</v>
      </c>
      <c r="D12" s="15" t="s">
        <v>58</v>
      </c>
      <c r="E12" s="16"/>
      <c r="F12" s="51">
        <v>46290.0</v>
      </c>
      <c r="G12" s="46"/>
      <c r="H12" s="36">
        <v>100000.0</v>
      </c>
      <c r="I12" s="38" t="s">
        <v>24</v>
      </c>
      <c r="J12" s="14"/>
      <c r="K12" s="14"/>
      <c r="L12" s="38" t="s">
        <v>25</v>
      </c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29" t="s">
        <v>468</v>
      </c>
      <c r="D13" s="15" t="s">
        <v>21</v>
      </c>
      <c r="E13" s="16"/>
      <c r="F13" s="51">
        <v>46288.0</v>
      </c>
      <c r="G13" s="46"/>
      <c r="H13" s="36">
        <v>800000.0</v>
      </c>
      <c r="I13" s="38" t="s">
        <v>37</v>
      </c>
      <c r="J13" s="38" t="s">
        <v>38</v>
      </c>
      <c r="K13" s="38" t="s">
        <v>39</v>
      </c>
      <c r="L13" s="38" t="s">
        <v>25</v>
      </c>
      <c r="M13" s="38" t="s">
        <v>69</v>
      </c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41" t="s">
        <v>604</v>
      </c>
      <c r="D14" s="15" t="s">
        <v>44</v>
      </c>
      <c r="E14" s="16"/>
      <c r="F14" s="51">
        <v>46288.0</v>
      </c>
      <c r="G14" s="46"/>
      <c r="H14" s="36">
        <v>50000.0</v>
      </c>
      <c r="I14" s="38" t="s">
        <v>37</v>
      </c>
      <c r="J14" s="38" t="s">
        <v>38</v>
      </c>
      <c r="K14" s="38" t="s">
        <v>39</v>
      </c>
      <c r="L14" s="38" t="s">
        <v>25</v>
      </c>
      <c r="M14" s="38" t="s">
        <v>69</v>
      </c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29" t="s">
        <v>267</v>
      </c>
      <c r="D15" s="15" t="s">
        <v>21</v>
      </c>
      <c r="E15" s="16"/>
      <c r="F15" s="51">
        <v>46288.0</v>
      </c>
      <c r="G15" s="46"/>
      <c r="H15" s="36">
        <v>100000.0</v>
      </c>
      <c r="I15" s="38" t="s">
        <v>24</v>
      </c>
      <c r="J15" s="14"/>
      <c r="K15" s="14"/>
      <c r="L15" s="38" t="s">
        <v>25</v>
      </c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29" t="s">
        <v>267</v>
      </c>
      <c r="D16" s="91"/>
      <c r="E16" s="16"/>
      <c r="F16" s="14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4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4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4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53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4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4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4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4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4"/>
      <c r="G25" s="46"/>
      <c r="H25" s="60"/>
      <c r="I25" s="14"/>
      <c r="J25" s="14"/>
      <c r="K25" s="14"/>
      <c r="L25" s="14"/>
      <c r="M25" s="14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67"/>
      <c r="D26" s="91"/>
      <c r="E26" s="16"/>
      <c r="F26" s="14"/>
      <c r="G26" s="46"/>
      <c r="H26" s="60"/>
      <c r="I26" s="14"/>
      <c r="J26" s="14"/>
      <c r="K26" s="14"/>
      <c r="L26" s="14"/>
      <c r="M26" s="14"/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67"/>
      <c r="D27" s="91"/>
      <c r="E27" s="16"/>
      <c r="F27" s="14"/>
      <c r="G27" s="46"/>
      <c r="H27" s="60"/>
      <c r="I27" s="14"/>
      <c r="J27" s="14"/>
      <c r="K27" s="14"/>
      <c r="L27" s="14"/>
      <c r="M27" s="14"/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67"/>
      <c r="D28" s="91"/>
      <c r="E28" s="16"/>
      <c r="F28" s="14"/>
      <c r="G28" s="46"/>
      <c r="H28" s="60"/>
      <c r="I28" s="14"/>
      <c r="J28" s="14"/>
      <c r="K28" s="14"/>
      <c r="L28" s="14"/>
      <c r="M28" s="14"/>
      <c r="N28" s="30"/>
      <c r="O28" s="30"/>
      <c r="P28" s="30"/>
      <c r="Q28" s="1"/>
      <c r="R28" s="1"/>
    </row>
    <row r="29" ht="15.75" customHeight="1">
      <c r="A29" s="1"/>
      <c r="B29" s="14">
        <v>26.0</v>
      </c>
      <c r="C29" s="67"/>
      <c r="D29" s="91"/>
      <c r="E29" s="16"/>
      <c r="F29" s="14"/>
      <c r="G29" s="46"/>
      <c r="H29" s="60"/>
      <c r="I29" s="14"/>
      <c r="J29" s="14"/>
      <c r="K29" s="14"/>
      <c r="L29" s="14"/>
      <c r="M29" s="14"/>
      <c r="N29" s="30"/>
      <c r="O29" s="30"/>
      <c r="P29" s="30"/>
      <c r="Q29" s="1"/>
      <c r="R29" s="1"/>
    </row>
    <row r="30" ht="15.75" customHeight="1">
      <c r="A30" s="1"/>
      <c r="B30" s="14">
        <v>27.0</v>
      </c>
      <c r="C30" s="67"/>
      <c r="D30" s="91"/>
      <c r="E30" s="16"/>
      <c r="F30" s="14"/>
      <c r="G30" s="46"/>
      <c r="H30" s="60"/>
      <c r="I30" s="14"/>
      <c r="J30" s="14"/>
      <c r="K30" s="14"/>
      <c r="L30" s="14"/>
      <c r="M30" s="14"/>
      <c r="N30" s="30"/>
      <c r="O30" s="30"/>
      <c r="P30" s="30"/>
      <c r="Q30" s="1"/>
      <c r="R30" s="1"/>
    </row>
    <row r="31" ht="15.75" customHeight="1">
      <c r="A31" s="1"/>
      <c r="B31" s="14">
        <v>28.0</v>
      </c>
      <c r="C31" s="67"/>
      <c r="D31" s="91"/>
      <c r="E31" s="16"/>
      <c r="F31" s="153"/>
      <c r="G31" s="46"/>
      <c r="H31" s="60"/>
      <c r="I31" s="14"/>
      <c r="J31" s="14"/>
      <c r="K31" s="14"/>
      <c r="L31" s="14"/>
      <c r="M31" s="14"/>
      <c r="N31" s="30"/>
      <c r="O31" s="30"/>
      <c r="P31" s="30"/>
      <c r="Q31" s="1"/>
      <c r="R31" s="1"/>
    </row>
    <row r="32" ht="15.75" customHeight="1">
      <c r="A32" s="1"/>
      <c r="B32" s="14">
        <v>29.0</v>
      </c>
      <c r="C32" s="67"/>
      <c r="D32" s="91"/>
      <c r="E32" s="16"/>
      <c r="F32" s="153"/>
      <c r="G32" s="46"/>
      <c r="H32" s="60"/>
      <c r="I32" s="14"/>
      <c r="J32" s="14"/>
      <c r="K32" s="14"/>
      <c r="L32" s="14"/>
      <c r="M32" s="14"/>
      <c r="N32" s="30"/>
      <c r="O32" s="30"/>
      <c r="P32" s="30"/>
      <c r="Q32" s="1"/>
      <c r="R32" s="1"/>
    </row>
    <row r="33" ht="15.75" customHeight="1">
      <c r="A33" s="1"/>
      <c r="B33" s="14">
        <v>30.0</v>
      </c>
      <c r="C33" s="67"/>
      <c r="D33" s="91"/>
      <c r="E33" s="16"/>
      <c r="F33" s="14"/>
      <c r="G33" s="46"/>
      <c r="H33" s="60"/>
      <c r="I33" s="14"/>
      <c r="J33" s="14"/>
      <c r="K33" s="14"/>
      <c r="L33" s="14"/>
      <c r="M33" s="14"/>
      <c r="N33" s="30"/>
      <c r="O33" s="30"/>
      <c r="P33" s="30"/>
      <c r="Q33" s="1"/>
      <c r="R33" s="1"/>
    </row>
    <row r="34" ht="15.75" customHeight="1">
      <c r="A34" s="1"/>
      <c r="B34" s="14">
        <v>31.0</v>
      </c>
      <c r="C34" s="67"/>
      <c r="D34" s="91"/>
      <c r="E34" s="16"/>
      <c r="F34" s="14"/>
      <c r="G34" s="46"/>
      <c r="H34" s="60"/>
      <c r="I34" s="14"/>
      <c r="J34" s="14"/>
      <c r="K34" s="14"/>
      <c r="L34" s="14"/>
      <c r="M34" s="14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174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175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182</v>
      </c>
      <c r="O39" s="77" t="s">
        <v>26</v>
      </c>
      <c r="P39" s="1"/>
      <c r="Q39" s="1"/>
      <c r="R39" s="1"/>
    </row>
    <row r="40" ht="15.75" customHeight="1">
      <c r="A40" s="1"/>
      <c r="B40" s="78">
        <v>2.0</v>
      </c>
      <c r="C40" s="81"/>
      <c r="D40" s="83"/>
      <c r="E40" s="75"/>
      <c r="F40" s="1"/>
      <c r="G40" s="1"/>
      <c r="H40" s="1"/>
      <c r="I40" s="1"/>
      <c r="J40" s="1"/>
      <c r="K40" s="1"/>
      <c r="L40" s="1"/>
      <c r="M40" s="1"/>
      <c r="N40" s="82" t="s">
        <v>188</v>
      </c>
      <c r="O40" s="84" t="s">
        <v>25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193</v>
      </c>
      <c r="O41" s="86" t="s">
        <v>40</v>
      </c>
      <c r="P41" s="1"/>
      <c r="Q41" s="1"/>
      <c r="R41" s="1"/>
    </row>
    <row r="42" ht="15.75" customHeight="1">
      <c r="A42" s="1"/>
      <c r="B42" s="78">
        <v>4.0</v>
      </c>
      <c r="C42" s="81"/>
      <c r="D42" s="83"/>
      <c r="E42" s="75"/>
      <c r="F42" s="1"/>
      <c r="G42" s="1"/>
      <c r="H42" s="1"/>
      <c r="I42" s="1"/>
      <c r="J42" s="1"/>
      <c r="K42" s="1"/>
      <c r="L42" s="1"/>
      <c r="M42" s="1"/>
      <c r="N42" s="87" t="s">
        <v>195</v>
      </c>
      <c r="O42" s="84" t="s">
        <v>69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1"/>
      <c r="D44" s="83"/>
      <c r="E44" s="75"/>
      <c r="F44" s="1"/>
      <c r="G44" s="1"/>
      <c r="H44" s="1"/>
      <c r="I44" s="1"/>
      <c r="J44" s="1"/>
      <c r="K44" s="89" t="s">
        <v>200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202</v>
      </c>
      <c r="M45" s="90" t="s">
        <v>203</v>
      </c>
      <c r="N45" s="90" t="s">
        <v>204</v>
      </c>
      <c r="O45" s="90" t="s">
        <v>205</v>
      </c>
      <c r="P45" s="90" t="s">
        <v>206</v>
      </c>
      <c r="Q45" s="1"/>
      <c r="R45" s="1"/>
      <c r="AC45" s="92" t="s">
        <v>207</v>
      </c>
      <c r="AD45" s="92" t="s">
        <v>208</v>
      </c>
      <c r="AE45" s="92" t="s">
        <v>209</v>
      </c>
      <c r="AF45" s="92" t="s">
        <v>210</v>
      </c>
      <c r="AG45" s="92" t="s">
        <v>211</v>
      </c>
    </row>
    <row r="46" ht="15.75" customHeight="1">
      <c r="A46" s="1"/>
      <c r="B46" s="78">
        <v>8.0</v>
      </c>
      <c r="C46" s="81"/>
      <c r="D46" s="83"/>
      <c r="E46" s="75"/>
      <c r="F46" s="1"/>
      <c r="G46" s="1"/>
      <c r="H46" s="1"/>
      <c r="I46" s="1"/>
      <c r="J46" s="1"/>
      <c r="K46" s="93" t="str">
        <f t="shared" ref="K46:K49" si="2">IF(O39="","",O39)</f>
        <v>AMEL</v>
      </c>
      <c r="L46" s="94">
        <v>5.0</v>
      </c>
      <c r="M46" s="94">
        <v>5.0</v>
      </c>
      <c r="N46" s="94">
        <v>5.0</v>
      </c>
      <c r="O46" s="94">
        <v>5.0</v>
      </c>
      <c r="P46" s="94">
        <v>5.0</v>
      </c>
      <c r="Q46" s="1"/>
      <c r="R46" s="1"/>
      <c r="AC46" s="92">
        <f t="shared" ref="AC46:AC51" si="3">IF(AG46="","",IF(COUNT(L46:P46)&lt;5,"",L46/5*20+M46/5*25+N46/5*25+O46/5*15+P46/5*15))</f>
        <v>100</v>
      </c>
      <c r="AD46" s="92" t="str">
        <f t="shared" ref="AD46:AD51" si="4">IF(AC46="","",IF(AC46&gt;=90,"Sangat Baik",IF(AC46&gt;=80,"Baik",IF(AC46&gt;=70,"Coaching","Underperform"))))</f>
        <v>Sangat Baik</v>
      </c>
      <c r="AE46" s="92" t="str">
        <f t="shared" ref="AE46:AE51" si="5">IF(AG46="","",IF(OR(AG46="INDAH",AG46="ADDEL",AG46="AMEL",AG46="PENTIL",AG46="JIJANG"),"Admin/CS","Fotografer"))</f>
        <v>Admin/CS</v>
      </c>
      <c r="AF46" s="92">
        <f t="shared" ref="AF46:AF51" si="6">IF(OR(AG46="",COUNT(L46:P46)&lt;5),"",1)</f>
        <v>1</v>
      </c>
      <c r="AG46" s="92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>INDAH</v>
      </c>
      <c r="L47" s="94">
        <v>5.0</v>
      </c>
      <c r="M47" s="94">
        <v>5.0</v>
      </c>
      <c r="N47" s="94">
        <v>5.0</v>
      </c>
      <c r="O47" s="94">
        <v>5.0</v>
      </c>
      <c r="P47" s="94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Admin/CS</v>
      </c>
      <c r="AF47" s="92">
        <f t="shared" si="6"/>
        <v>1</v>
      </c>
      <c r="AG47" s="92" t="str">
        <f t="shared" si="7"/>
        <v>INDAH</v>
      </c>
    </row>
    <row r="48" ht="15.75" customHeight="1">
      <c r="A48" s="1"/>
      <c r="B48" s="78">
        <v>10.0</v>
      </c>
      <c r="C48" s="81"/>
      <c r="D48" s="83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5.0</v>
      </c>
      <c r="O48" s="94">
        <v>5.0</v>
      </c>
      <c r="P48" s="94">
        <v>5.0</v>
      </c>
      <c r="Q48" s="1"/>
      <c r="R48" s="1"/>
      <c r="AC48" s="92">
        <f t="shared" si="3"/>
        <v>100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05">
        <v>11.0</v>
      </c>
      <c r="C49" s="106"/>
      <c r="D49" s="107"/>
      <c r="E49" s="75"/>
      <c r="F49" s="1"/>
      <c r="G49" s="1"/>
      <c r="H49" s="1"/>
      <c r="I49" s="1"/>
      <c r="J49" s="1"/>
      <c r="K49" s="93" t="str">
        <f t="shared" si="2"/>
        <v>SAKA</v>
      </c>
      <c r="L49" s="94">
        <v>5.0</v>
      </c>
      <c r="M49" s="94">
        <v>5.0</v>
      </c>
      <c r="N49" s="94">
        <v>5.0</v>
      </c>
      <c r="O49" s="94">
        <v>5.0</v>
      </c>
      <c r="P49" s="94">
        <v>5.0</v>
      </c>
      <c r="Q49" s="1"/>
      <c r="R49" s="1"/>
      <c r="AC49" s="92">
        <f t="shared" si="3"/>
        <v>100</v>
      </c>
      <c r="AD49" s="92" t="str">
        <f t="shared" si="4"/>
        <v>Sangat Baik</v>
      </c>
      <c r="AE49" s="92" t="str">
        <f t="shared" si="5"/>
        <v>Fotografer</v>
      </c>
      <c r="AF49" s="92">
        <f t="shared" si="6"/>
        <v>1</v>
      </c>
      <c r="AG49" s="92" t="str">
        <f t="shared" si="7"/>
        <v>SAKA</v>
      </c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93"/>
      <c r="L50" s="109"/>
      <c r="M50" s="109"/>
      <c r="N50" s="109"/>
      <c r="O50" s="109"/>
      <c r="P50" s="109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9"/>
      <c r="M51" s="109"/>
      <c r="N51" s="109"/>
      <c r="O51" s="109"/>
      <c r="P51" s="109"/>
      <c r="Q51" s="1"/>
      <c r="R51" s="1"/>
      <c r="AC51" s="92" t="str">
        <f t="shared" si="3"/>
        <v/>
      </c>
      <c r="AD51" s="92" t="str">
        <f t="shared" si="4"/>
        <v/>
      </c>
      <c r="AE51" s="92" t="str">
        <f t="shared" si="5"/>
        <v/>
      </c>
      <c r="AF51" s="92" t="str">
        <f t="shared" si="6"/>
        <v/>
      </c>
      <c r="AG51" s="92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8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59" t="s">
        <v>501</v>
      </c>
    </row>
    <row r="56" ht="15.75" customHeight="1">
      <c r="K56" s="113" t="str">
        <f t="shared" ref="K56:K57" si="8">IF(O39="","",O39)</f>
        <v>AMEL</v>
      </c>
      <c r="L56" s="115">
        <v>6.0</v>
      </c>
      <c r="M56" s="115" t="s">
        <v>605</v>
      </c>
      <c r="N56" s="160"/>
    </row>
    <row r="57" ht="15.75" customHeight="1">
      <c r="K57" s="113" t="str">
        <f t="shared" si="8"/>
        <v>INDAH</v>
      </c>
      <c r="L57" s="115">
        <v>3.0</v>
      </c>
      <c r="M57" s="115" t="s">
        <v>606</v>
      </c>
      <c r="N57" s="160">
        <v>20.0</v>
      </c>
    </row>
    <row r="58" ht="15.75" customHeight="1"/>
    <row r="59" ht="19.5" customHeight="1">
      <c r="K59" s="116" t="s">
        <v>226</v>
      </c>
    </row>
    <row r="60" ht="19.5" customHeight="1">
      <c r="K60" s="117" t="s">
        <v>227</v>
      </c>
      <c r="M60" s="114"/>
    </row>
    <row r="61" ht="19.5" customHeight="1">
      <c r="K61" s="118" t="s">
        <v>228</v>
      </c>
      <c r="M61" s="119">
        <f>COUNTIF($I$4:$I$37,"DP")</f>
        <v>8</v>
      </c>
    </row>
    <row r="62" ht="19.5" customHeight="1">
      <c r="K62" s="118" t="s">
        <v>229</v>
      </c>
      <c r="M62" s="119">
        <f>COUNTIFS($I$4:$I$37,"&lt;&gt;DP",$I$4:$I$37,"&lt;&gt;")</f>
        <v>4</v>
      </c>
    </row>
    <row r="63" ht="19.5" customHeight="1">
      <c r="K63" s="120" t="s">
        <v>230</v>
      </c>
      <c r="M63" s="119">
        <f>M61+M62</f>
        <v>12</v>
      </c>
    </row>
    <row r="64" ht="19.5" customHeight="1">
      <c r="K64" s="117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4"/>
      <c r="G4" s="46"/>
      <c r="H4" s="60"/>
      <c r="I4" s="14"/>
      <c r="J4" s="14"/>
      <c r="K4" s="14"/>
      <c r="L4" s="14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4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4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4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4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32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32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32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32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32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32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32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32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53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53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32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53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53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53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53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53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53"/>
      <c r="G25" s="46"/>
      <c r="H25" s="60"/>
      <c r="I25" s="14"/>
      <c r="J25" s="14"/>
      <c r="K25" s="14"/>
      <c r="L25" s="14"/>
      <c r="M25" s="14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167"/>
      <c r="D26" s="91"/>
      <c r="E26" s="16"/>
      <c r="F26" s="153"/>
      <c r="G26" s="46"/>
      <c r="H26" s="60"/>
      <c r="I26" s="14"/>
      <c r="J26" s="14"/>
      <c r="K26" s="14"/>
      <c r="L26" s="14"/>
      <c r="M26" s="14"/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67"/>
      <c r="D27" s="91"/>
      <c r="E27" s="16"/>
      <c r="F27" s="153"/>
      <c r="G27" s="46"/>
      <c r="H27" s="60"/>
      <c r="I27" s="14"/>
      <c r="J27" s="14"/>
      <c r="K27" s="14"/>
      <c r="L27" s="14"/>
      <c r="M27" s="14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0</v>
      </c>
      <c r="H28" s="69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174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175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178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182</v>
      </c>
      <c r="O32" s="26"/>
      <c r="P32" s="1"/>
      <c r="Q32" s="1"/>
      <c r="R32" s="1"/>
    </row>
    <row r="33" ht="15.75" customHeight="1">
      <c r="A33" s="1"/>
      <c r="B33" s="78">
        <v>2.0</v>
      </c>
      <c r="C33" s="81"/>
      <c r="D33" s="83"/>
      <c r="E33" s="75"/>
      <c r="F33" s="1"/>
      <c r="G33" s="1"/>
      <c r="H33" s="1"/>
      <c r="I33" s="1"/>
      <c r="J33" s="1"/>
      <c r="K33" s="1"/>
      <c r="L33" s="1"/>
      <c r="M33" s="1"/>
      <c r="N33" s="82" t="s">
        <v>188</v>
      </c>
      <c r="O33" s="65"/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5" t="s">
        <v>193</v>
      </c>
      <c r="O34" s="30"/>
      <c r="P34" s="1"/>
      <c r="Q34" s="1"/>
      <c r="R34" s="1"/>
    </row>
    <row r="35" ht="15.75" customHeight="1">
      <c r="A35" s="1"/>
      <c r="B35" s="78">
        <v>4.0</v>
      </c>
      <c r="C35" s="81"/>
      <c r="D35" s="83"/>
      <c r="E35" s="75"/>
      <c r="F35" s="1"/>
      <c r="G35" s="1"/>
      <c r="H35" s="1"/>
      <c r="I35" s="1"/>
      <c r="J35" s="1"/>
      <c r="K35" s="1"/>
      <c r="L35" s="1"/>
      <c r="M35" s="1"/>
      <c r="N35" s="87" t="s">
        <v>195</v>
      </c>
      <c r="O35" s="65"/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1"/>
      <c r="D37" s="83"/>
      <c r="E37" s="75"/>
      <c r="F37" s="1"/>
      <c r="G37" s="1"/>
      <c r="H37" s="1"/>
      <c r="I37" s="1"/>
      <c r="J37" s="1"/>
      <c r="K37" s="89" t="s">
        <v>200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202</v>
      </c>
      <c r="M38" s="90" t="s">
        <v>203</v>
      </c>
      <c r="N38" s="90" t="s">
        <v>204</v>
      </c>
      <c r="O38" s="90" t="s">
        <v>205</v>
      </c>
      <c r="P38" s="90" t="s">
        <v>206</v>
      </c>
      <c r="Q38" s="1"/>
      <c r="R38" s="1"/>
      <c r="AC38" s="92" t="s">
        <v>207</v>
      </c>
      <c r="AD38" s="92" t="s">
        <v>208</v>
      </c>
      <c r="AE38" s="92" t="s">
        <v>209</v>
      </c>
      <c r="AF38" s="92" t="s">
        <v>210</v>
      </c>
      <c r="AG38" s="92" t="s">
        <v>211</v>
      </c>
    </row>
    <row r="39" ht="15.75" customHeight="1">
      <c r="A39" s="1"/>
      <c r="B39" s="78">
        <v>8.0</v>
      </c>
      <c r="C39" s="81"/>
      <c r="D39" s="83"/>
      <c r="E39" s="75"/>
      <c r="F39" s="1"/>
      <c r="G39" s="1"/>
      <c r="H39" s="1"/>
      <c r="I39" s="1"/>
      <c r="J39" s="1"/>
      <c r="K39" s="93" t="str">
        <f t="shared" ref="K39:K42" si="2">IF(O32="","",O32)</f>
        <v/>
      </c>
      <c r="L39" s="109"/>
      <c r="M39" s="109"/>
      <c r="N39" s="109"/>
      <c r="O39" s="109"/>
      <c r="P39" s="109"/>
      <c r="Q39" s="1"/>
      <c r="R39" s="1"/>
      <c r="AC39" s="92" t="str">
        <f t="shared" ref="AC39:AC44" si="3">IF(AG39="","",IF(COUNT(L39:P39)&lt;5,"",L39/5*20+M39/5*25+N39/5*25+O39/5*15+P39/5*15))</f>
        <v/>
      </c>
      <c r="AD39" s="92" t="str">
        <f t="shared" ref="AD39:AD44" si="4">IF(AC39="","",IF(AC39&gt;=90,"Sangat Baik",IF(AC39&gt;=80,"Baik",IF(AC39&gt;=70,"Coaching","Underperform"))))</f>
        <v/>
      </c>
      <c r="AE39" s="92" t="str">
        <f t="shared" ref="AE39:AE44" si="5">IF(AG39="","",IF(OR(AG39="INDAH",AG39="ADDEL",AG39="AMEL",AG39="PENTIL",AG39="JIJANG"),"Admin/CS","Fotografer"))</f>
        <v/>
      </c>
      <c r="AF39" s="92" t="str">
        <f t="shared" ref="AF39:AF44" si="6">IF(OR(AG39="",COUNT(L39:P39)&lt;5),"",1)</f>
        <v/>
      </c>
      <c r="AG39" s="92" t="str">
        <f t="shared" ref="AG39:AG44" si="7">IFERROR(K39,"")</f>
        <v/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/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78">
        <v>10.0</v>
      </c>
      <c r="C41" s="81"/>
      <c r="D41" s="83"/>
      <c r="E41" s="75"/>
      <c r="F41" s="1"/>
      <c r="G41" s="1"/>
      <c r="H41" s="1"/>
      <c r="I41" s="1"/>
      <c r="J41" s="1"/>
      <c r="K41" s="93" t="str">
        <f t="shared" si="2"/>
        <v/>
      </c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05">
        <v>11.0</v>
      </c>
      <c r="C42" s="106"/>
      <c r="D42" s="107"/>
      <c r="E42" s="75"/>
      <c r="F42" s="1"/>
      <c r="G42" s="1"/>
      <c r="H42" s="1"/>
      <c r="I42" s="1"/>
      <c r="J42" s="1"/>
      <c r="K42" s="93" t="str">
        <f t="shared" si="2"/>
        <v/>
      </c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108">
        <f>SUM(D32:D42)</f>
        <v>0</v>
      </c>
      <c r="E43" s="1"/>
      <c r="F43" s="1"/>
      <c r="G43" s="1"/>
      <c r="H43" s="1"/>
      <c r="I43" s="1"/>
      <c r="J43" s="1"/>
      <c r="K43" s="93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/>
      </c>
      <c r="L49" s="114"/>
      <c r="M49" s="114"/>
    </row>
    <row r="50" ht="15.75" customHeight="1">
      <c r="K50" s="113" t="str">
        <f t="shared" si="8"/>
        <v/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4"/>
    </row>
    <row r="54" ht="19.5" customHeight="1">
      <c r="K54" s="118" t="s">
        <v>228</v>
      </c>
      <c r="M54" s="119">
        <f>COUNTIF($I$4:$I$30,"DP")</f>
        <v>0</v>
      </c>
    </row>
    <row r="55" ht="19.5" customHeight="1">
      <c r="K55" s="118" t="s">
        <v>229</v>
      </c>
      <c r="M55" s="119">
        <f>COUNTIFS($I$4:$I$30,"&lt;&gt;DP",$I$4:$I$30,"&lt;&gt;")</f>
        <v>0</v>
      </c>
    </row>
    <row r="56" ht="19.5" customHeight="1">
      <c r="K56" s="120" t="s">
        <v>230</v>
      </c>
      <c r="M56" s="119">
        <f>M54+M55</f>
        <v>0</v>
      </c>
    </row>
    <row r="57" ht="19.5" customHeight="1">
      <c r="K57" s="117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68"/>
      <c r="G4" s="46"/>
      <c r="H4" s="60"/>
      <c r="I4" s="14"/>
      <c r="J4" s="14"/>
      <c r="K4" s="14"/>
      <c r="L4" s="14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4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4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4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4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53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4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4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4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4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4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53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4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4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4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4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53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4"/>
      <c r="G21" s="46"/>
      <c r="H21" s="60"/>
      <c r="I21" s="14"/>
      <c r="J21" s="14"/>
      <c r="K21" s="14"/>
      <c r="L21" s="14"/>
      <c r="M21" s="14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174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175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178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182</v>
      </c>
      <c r="O26" s="26"/>
      <c r="P26" s="1"/>
      <c r="Q26" s="1"/>
      <c r="R26" s="1"/>
    </row>
    <row r="27" ht="15.75" customHeight="1">
      <c r="A27" s="1"/>
      <c r="B27" s="78">
        <v>2.0</v>
      </c>
      <c r="C27" s="81" t="s">
        <v>186</v>
      </c>
      <c r="D27" s="83"/>
      <c r="E27" s="75"/>
      <c r="F27" s="1"/>
      <c r="G27" s="1"/>
      <c r="H27" s="1"/>
      <c r="I27" s="1"/>
      <c r="J27" s="1"/>
      <c r="K27" s="1"/>
      <c r="L27" s="1"/>
      <c r="M27" s="1"/>
      <c r="N27" s="82" t="s">
        <v>188</v>
      </c>
      <c r="O27" s="65"/>
      <c r="P27" s="1"/>
      <c r="Q27" s="1"/>
      <c r="R27" s="1"/>
    </row>
    <row r="28" ht="15.75" customHeight="1">
      <c r="A28" s="1"/>
      <c r="B28" s="72">
        <v>3.0</v>
      </c>
      <c r="C28" s="73" t="s">
        <v>607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193</v>
      </c>
      <c r="O28" s="30"/>
      <c r="P28" s="1"/>
      <c r="Q28" s="1"/>
      <c r="R28" s="1"/>
    </row>
    <row r="29" ht="15.75" customHeight="1">
      <c r="A29" s="1"/>
      <c r="B29" s="78">
        <v>4.0</v>
      </c>
      <c r="C29" s="81"/>
      <c r="D29" s="83"/>
      <c r="E29" s="75"/>
      <c r="F29" s="1"/>
      <c r="G29" s="1"/>
      <c r="H29" s="1"/>
      <c r="I29" s="1"/>
      <c r="J29" s="1"/>
      <c r="K29" s="1"/>
      <c r="L29" s="1"/>
      <c r="M29" s="1"/>
      <c r="N29" s="87" t="s">
        <v>195</v>
      </c>
      <c r="O29" s="65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1"/>
      <c r="D31" s="83"/>
      <c r="E31" s="75"/>
      <c r="F31" s="1"/>
      <c r="G31" s="1"/>
      <c r="H31" s="1"/>
      <c r="I31" s="1"/>
      <c r="J31" s="1"/>
      <c r="K31" s="89" t="s">
        <v>200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202</v>
      </c>
      <c r="M32" s="90" t="s">
        <v>203</v>
      </c>
      <c r="N32" s="90" t="s">
        <v>204</v>
      </c>
      <c r="O32" s="90" t="s">
        <v>205</v>
      </c>
      <c r="P32" s="90" t="s">
        <v>206</v>
      </c>
      <c r="Q32" s="1"/>
      <c r="R32" s="1"/>
      <c r="AC32" s="92" t="s">
        <v>207</v>
      </c>
      <c r="AD32" s="92" t="s">
        <v>208</v>
      </c>
      <c r="AE32" s="92" t="s">
        <v>209</v>
      </c>
      <c r="AF32" s="92" t="s">
        <v>210</v>
      </c>
      <c r="AG32" s="92" t="s">
        <v>211</v>
      </c>
    </row>
    <row r="33" ht="15.75" customHeight="1">
      <c r="A33" s="1"/>
      <c r="B33" s="78">
        <v>8.0</v>
      </c>
      <c r="C33" s="81"/>
      <c r="D33" s="83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8">
        <v>10.0</v>
      </c>
      <c r="C35" s="81"/>
      <c r="D35" s="83"/>
      <c r="E35" s="75"/>
      <c r="F35" s="1"/>
      <c r="G35" s="1"/>
      <c r="H35" s="1"/>
      <c r="I35" s="1"/>
      <c r="J35" s="1"/>
      <c r="K35" s="93" t="str">
        <f t="shared" si="2"/>
        <v/>
      </c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5">
        <v>11.0</v>
      </c>
      <c r="C36" s="106"/>
      <c r="D36" s="107"/>
      <c r="E36" s="75"/>
      <c r="F36" s="1"/>
      <c r="G36" s="1"/>
      <c r="H36" s="1"/>
      <c r="I36" s="1"/>
      <c r="J36" s="1"/>
      <c r="K36" s="93" t="str">
        <f t="shared" si="2"/>
        <v/>
      </c>
      <c r="L36" s="109"/>
      <c r="M36" s="109"/>
      <c r="N36" s="109"/>
      <c r="O36" s="109"/>
      <c r="P36" s="109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3"/>
      <c r="L37" s="109"/>
      <c r="M37" s="109"/>
      <c r="N37" s="109"/>
      <c r="O37" s="109"/>
      <c r="P37" s="109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4"/>
      <c r="G4" s="46"/>
      <c r="H4" s="60"/>
      <c r="I4" s="14"/>
      <c r="J4" s="14"/>
      <c r="K4" s="14"/>
      <c r="L4" s="14"/>
      <c r="M4" s="14"/>
      <c r="N4" s="26"/>
      <c r="O4" s="26"/>
      <c r="P4" s="26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4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4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4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4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4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53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92"/>
      <c r="D11" s="91"/>
      <c r="E11" s="16"/>
      <c r="F11" s="14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4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53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53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53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32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32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32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32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32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32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32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32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32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4"/>
      <c r="G25" s="46"/>
      <c r="H25" s="6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178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26"/>
      <c r="P30" s="1"/>
      <c r="Q30" s="1"/>
      <c r="R30" s="1"/>
    </row>
    <row r="31" ht="15.75" customHeight="1">
      <c r="A31" s="1"/>
      <c r="B31" s="78">
        <v>2.0</v>
      </c>
      <c r="C31" s="81"/>
      <c r="D31" s="83"/>
      <c r="E31" s="75"/>
      <c r="F31" s="1"/>
      <c r="G31" s="1"/>
      <c r="H31" s="1"/>
      <c r="I31" s="1"/>
      <c r="J31" s="1"/>
      <c r="K31" s="1"/>
      <c r="L31" s="1"/>
      <c r="M31" s="1"/>
      <c r="N31" s="82" t="s">
        <v>188</v>
      </c>
      <c r="O31" s="65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193</v>
      </c>
      <c r="O32" s="30"/>
      <c r="P32" s="1"/>
      <c r="Q32" s="1"/>
      <c r="R32" s="1"/>
    </row>
    <row r="33" ht="15.75" customHeight="1">
      <c r="A33" s="1"/>
      <c r="B33" s="78">
        <v>4.0</v>
      </c>
      <c r="C33" s="81"/>
      <c r="D33" s="83"/>
      <c r="E33" s="75"/>
      <c r="F33" s="1"/>
      <c r="G33" s="1"/>
      <c r="H33" s="1"/>
      <c r="I33" s="1"/>
      <c r="J33" s="1"/>
      <c r="K33" s="1"/>
      <c r="L33" s="1"/>
      <c r="M33" s="1"/>
      <c r="N33" s="87" t="s">
        <v>195</v>
      </c>
      <c r="O33" s="65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1"/>
      <c r="D35" s="83"/>
      <c r="E35" s="75"/>
      <c r="F35" s="1"/>
      <c r="G35" s="1"/>
      <c r="H35" s="1"/>
      <c r="I35" s="1"/>
      <c r="J35" s="1"/>
      <c r="K35" s="89" t="s">
        <v>200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202</v>
      </c>
      <c r="M36" s="90" t="s">
        <v>203</v>
      </c>
      <c r="N36" s="90" t="s">
        <v>204</v>
      </c>
      <c r="O36" s="90" t="s">
        <v>205</v>
      </c>
      <c r="P36" s="90" t="s">
        <v>206</v>
      </c>
      <c r="Q36" s="1"/>
      <c r="R36" s="1"/>
      <c r="AC36" s="92" t="s">
        <v>207</v>
      </c>
      <c r="AD36" s="92" t="s">
        <v>208</v>
      </c>
      <c r="AE36" s="92" t="s">
        <v>209</v>
      </c>
      <c r="AF36" s="92" t="s">
        <v>210</v>
      </c>
      <c r="AG36" s="92" t="s">
        <v>211</v>
      </c>
    </row>
    <row r="37" ht="15.75" customHeight="1">
      <c r="A37" s="1"/>
      <c r="B37" s="78">
        <v>8.0</v>
      </c>
      <c r="C37" s="81"/>
      <c r="D37" s="83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/>
      </c>
      <c r="AF37" s="92" t="str">
        <f t="shared" ref="AF37:AF42" si="6">IF(OR(AG37="",COUNT(L37:P37)&lt;5),"",1)</f>
        <v/>
      </c>
      <c r="AG37" s="92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78">
        <v>10.0</v>
      </c>
      <c r="C39" s="81"/>
      <c r="D39" s="83"/>
      <c r="E39" s="75"/>
      <c r="F39" s="1"/>
      <c r="G39" s="1"/>
      <c r="H39" s="1"/>
      <c r="I39" s="1"/>
      <c r="J39" s="1"/>
      <c r="K39" s="93" t="str">
        <f t="shared" si="2"/>
        <v/>
      </c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3" t="str">
        <f t="shared" si="2"/>
        <v/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68"/>
      <c r="G4" s="46"/>
      <c r="H4" s="60"/>
      <c r="I4" s="14"/>
      <c r="J4" s="14"/>
      <c r="K4" s="14"/>
      <c r="L4" s="14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68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53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32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32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68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32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53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53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32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32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32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32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32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53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32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32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4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4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4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4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4"/>
      <c r="G25" s="46"/>
      <c r="H25" s="60"/>
      <c r="I25" s="14"/>
      <c r="J25" s="14"/>
      <c r="K25" s="14"/>
      <c r="L25" s="14"/>
      <c r="M25" s="14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67"/>
      <c r="D26" s="91"/>
      <c r="E26" s="16"/>
      <c r="F26" s="14"/>
      <c r="G26" s="46"/>
      <c r="H26" s="60"/>
      <c r="I26" s="14"/>
      <c r="J26" s="14"/>
      <c r="K26" s="14"/>
      <c r="L26" s="14"/>
      <c r="M26" s="14"/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67"/>
      <c r="D27" s="91"/>
      <c r="E27" s="16"/>
      <c r="F27" s="14"/>
      <c r="G27" s="46"/>
      <c r="H27" s="60"/>
      <c r="I27" s="14"/>
      <c r="J27" s="14"/>
      <c r="K27" s="14"/>
      <c r="L27" s="14"/>
      <c r="M27" s="14"/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67"/>
      <c r="D28" s="91"/>
      <c r="E28" s="16"/>
      <c r="F28" s="14"/>
      <c r="G28" s="46"/>
      <c r="H28" s="60"/>
      <c r="I28" s="14"/>
      <c r="J28" s="14"/>
      <c r="K28" s="14"/>
      <c r="L28" s="14"/>
      <c r="M28" s="14"/>
      <c r="N28" s="30"/>
      <c r="O28" s="30"/>
      <c r="P28" s="30"/>
      <c r="Q28" s="1"/>
      <c r="R28" s="1"/>
    </row>
    <row r="29" ht="15.75" customHeight="1">
      <c r="A29" s="1"/>
      <c r="B29" s="14">
        <v>25.0</v>
      </c>
      <c r="C29" s="67"/>
      <c r="D29" s="91"/>
      <c r="E29" s="16"/>
      <c r="F29" s="14"/>
      <c r="G29" s="46"/>
      <c r="H29" s="60"/>
      <c r="I29" s="14"/>
      <c r="J29" s="14"/>
      <c r="K29" s="14"/>
      <c r="L29" s="14"/>
      <c r="M29" s="14"/>
      <c r="N29" s="30"/>
      <c r="O29" s="30"/>
      <c r="P29" s="30"/>
      <c r="Q29" s="1"/>
      <c r="R29" s="1"/>
    </row>
    <row r="30" ht="15.75" customHeight="1">
      <c r="A30" s="1"/>
      <c r="B30" s="14">
        <v>25.0</v>
      </c>
      <c r="C30" s="67"/>
      <c r="D30" s="91"/>
      <c r="E30" s="16"/>
      <c r="F30" s="14"/>
      <c r="G30" s="46"/>
      <c r="H30" s="60"/>
      <c r="I30" s="14"/>
      <c r="J30" s="14"/>
      <c r="K30" s="14"/>
      <c r="L30" s="14"/>
      <c r="M30" s="14"/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174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175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178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182</v>
      </c>
      <c r="O35" s="26"/>
      <c r="P35" s="1"/>
      <c r="Q35" s="1"/>
      <c r="R35" s="1"/>
    </row>
    <row r="36" ht="15.75" customHeight="1">
      <c r="A36" s="1"/>
      <c r="B36" s="78">
        <v>2.0</v>
      </c>
      <c r="C36" s="81"/>
      <c r="D36" s="83"/>
      <c r="E36" s="75"/>
      <c r="F36" s="1"/>
      <c r="G36" s="1"/>
      <c r="H36" s="1"/>
      <c r="I36" s="1"/>
      <c r="J36" s="1"/>
      <c r="K36" s="1"/>
      <c r="L36" s="1"/>
      <c r="M36" s="1"/>
      <c r="N36" s="82" t="s">
        <v>188</v>
      </c>
      <c r="O36" s="65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193</v>
      </c>
      <c r="O37" s="30"/>
      <c r="P37" s="1"/>
      <c r="Q37" s="1"/>
      <c r="R37" s="1"/>
    </row>
    <row r="38" ht="15.75" customHeight="1">
      <c r="A38" s="1"/>
      <c r="B38" s="78">
        <v>4.0</v>
      </c>
      <c r="C38" s="81"/>
      <c r="D38" s="83"/>
      <c r="E38" s="75"/>
      <c r="F38" s="1"/>
      <c r="G38" s="1"/>
      <c r="H38" s="1"/>
      <c r="I38" s="1"/>
      <c r="J38" s="1"/>
      <c r="K38" s="1"/>
      <c r="L38" s="1"/>
      <c r="M38" s="1"/>
      <c r="N38" s="87" t="s">
        <v>195</v>
      </c>
      <c r="O38" s="65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1"/>
      <c r="D40" s="83"/>
      <c r="E40" s="75"/>
      <c r="F40" s="1"/>
      <c r="G40" s="1"/>
      <c r="H40" s="1"/>
      <c r="I40" s="1"/>
      <c r="J40" s="1"/>
      <c r="K40" s="89" t="s">
        <v>200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202</v>
      </c>
      <c r="M41" s="90" t="s">
        <v>203</v>
      </c>
      <c r="N41" s="90" t="s">
        <v>204</v>
      </c>
      <c r="O41" s="90" t="s">
        <v>205</v>
      </c>
      <c r="P41" s="90" t="s">
        <v>206</v>
      </c>
      <c r="Q41" s="1"/>
      <c r="R41" s="1"/>
      <c r="AC41" s="92" t="s">
        <v>207</v>
      </c>
      <c r="AD41" s="92" t="s">
        <v>208</v>
      </c>
      <c r="AE41" s="92" t="s">
        <v>209</v>
      </c>
      <c r="AF41" s="92" t="s">
        <v>210</v>
      </c>
      <c r="AG41" s="92" t="s">
        <v>211</v>
      </c>
    </row>
    <row r="42" ht="15.75" customHeight="1">
      <c r="A42" s="1"/>
      <c r="B42" s="78">
        <v>8.0</v>
      </c>
      <c r="C42" s="81"/>
      <c r="D42" s="83"/>
      <c r="E42" s="75"/>
      <c r="F42" s="1"/>
      <c r="G42" s="1"/>
      <c r="H42" s="1"/>
      <c r="I42" s="1"/>
      <c r="J42" s="1"/>
      <c r="K42" s="93" t="str">
        <f t="shared" ref="K42:K45" si="2">IF(O35="","",O35)</f>
        <v/>
      </c>
      <c r="L42" s="109"/>
      <c r="M42" s="109"/>
      <c r="N42" s="109"/>
      <c r="O42" s="109"/>
      <c r="P42" s="109"/>
      <c r="Q42" s="1"/>
      <c r="R42" s="1"/>
      <c r="AC42" s="92" t="str">
        <f t="shared" ref="AC42:AC47" si="3">IF(AG42="","",IF(COUNT(L42:P42)&lt;5,"",L42/5*20+M42/5*25+N42/5*25+O42/5*15+P42/5*15))</f>
        <v/>
      </c>
      <c r="AD42" s="92" t="str">
        <f t="shared" ref="AD42:AD47" si="4">IF(AC42="","",IF(AC42&gt;=90,"Sangat Baik",IF(AC42&gt;=80,"Baik",IF(AC42&gt;=70,"Coaching","Underperform"))))</f>
        <v/>
      </c>
      <c r="AE42" s="92" t="str">
        <f t="shared" ref="AE42:AE47" si="5">IF(AG42="","",IF(OR(AG42="INDAH",AG42="ADDEL",AG42="AMEL",AG42="PENTIL",AG42="JIJANG"),"Admin/CS","Fotografer"))</f>
        <v/>
      </c>
      <c r="AF42" s="92" t="str">
        <f t="shared" ref="AF42:AF47" si="6">IF(OR(AG42="",COUNT(L42:P42)&lt;5),"",1)</f>
        <v/>
      </c>
      <c r="AG42" s="92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/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78">
        <v>10.0</v>
      </c>
      <c r="C44" s="81"/>
      <c r="D44" s="83"/>
      <c r="E44" s="75"/>
      <c r="F44" s="1"/>
      <c r="G44" s="1"/>
      <c r="H44" s="1"/>
      <c r="I44" s="1"/>
      <c r="J44" s="1"/>
      <c r="K44" s="93" t="str">
        <f t="shared" si="2"/>
        <v/>
      </c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05">
        <v>11.0</v>
      </c>
      <c r="C45" s="106"/>
      <c r="D45" s="107"/>
      <c r="E45" s="75"/>
      <c r="F45" s="1"/>
      <c r="G45" s="1"/>
      <c r="H45" s="1"/>
      <c r="I45" s="1"/>
      <c r="J45" s="1"/>
      <c r="K45" s="93" t="str">
        <f t="shared" si="2"/>
        <v/>
      </c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108">
        <f>SUM(D35:D45)</f>
        <v>0</v>
      </c>
      <c r="E46" s="1"/>
      <c r="F46" s="1"/>
      <c r="G46" s="1"/>
      <c r="H46" s="1"/>
      <c r="I46" s="1"/>
      <c r="J46" s="1"/>
      <c r="K46" s="93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4"/>
      <c r="M52" s="114"/>
    </row>
    <row r="53" ht="15.75" customHeight="1">
      <c r="K53" s="113" t="str">
        <f t="shared" si="8"/>
        <v/>
      </c>
      <c r="L53" s="114"/>
      <c r="M53" s="114"/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4"/>
    </row>
    <row r="57" ht="19.5" customHeight="1">
      <c r="K57" s="118" t="s">
        <v>228</v>
      </c>
      <c r="M57" s="119">
        <f>COUNTIF($I$4:$I$33,"DP")</f>
        <v>0</v>
      </c>
    </row>
    <row r="58" ht="19.5" customHeight="1">
      <c r="K58" s="118" t="s">
        <v>229</v>
      </c>
      <c r="M58" s="119">
        <f>COUNTIFS($I$4:$I$33,"&lt;&gt;DP",$I$4:$I$33,"&lt;&gt;")</f>
        <v>0</v>
      </c>
    </row>
    <row r="59" ht="19.5" customHeight="1">
      <c r="K59" s="120" t="s">
        <v>230</v>
      </c>
      <c r="M59" s="119">
        <f>M57+M58</f>
        <v>0</v>
      </c>
    </row>
    <row r="60" ht="19.5" customHeight="1">
      <c r="K60" s="117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68"/>
      <c r="G4" s="46"/>
      <c r="H4" s="60"/>
      <c r="I4" s="14"/>
      <c r="J4" s="14"/>
      <c r="K4" s="14"/>
      <c r="L4" s="14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68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53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53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53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53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53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53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53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32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32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32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32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4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32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32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169"/>
      <c r="D20" s="91"/>
      <c r="E20" s="16"/>
      <c r="F20" s="132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169"/>
      <c r="D21" s="91"/>
      <c r="E21" s="16"/>
      <c r="F21" s="132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32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32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32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32"/>
      <c r="G25" s="46"/>
      <c r="H25" s="60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178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26"/>
      <c r="P30" s="1"/>
      <c r="Q30" s="1"/>
      <c r="R30" s="1"/>
    </row>
    <row r="31" ht="15.75" customHeight="1">
      <c r="A31" s="1"/>
      <c r="B31" s="78">
        <v>2.0</v>
      </c>
      <c r="C31" s="81"/>
      <c r="D31" s="83"/>
      <c r="E31" s="75"/>
      <c r="F31" s="1"/>
      <c r="G31" s="1"/>
      <c r="H31" s="1"/>
      <c r="I31" s="1"/>
      <c r="J31" s="1"/>
      <c r="K31" s="1"/>
      <c r="L31" s="1"/>
      <c r="M31" s="1"/>
      <c r="N31" s="82" t="s">
        <v>188</v>
      </c>
      <c r="O31" s="65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193</v>
      </c>
      <c r="O32" s="30"/>
      <c r="P32" s="1"/>
      <c r="Q32" s="1"/>
      <c r="R32" s="1"/>
    </row>
    <row r="33" ht="15.75" customHeight="1">
      <c r="A33" s="1"/>
      <c r="B33" s="78">
        <v>4.0</v>
      </c>
      <c r="C33" s="81"/>
      <c r="D33" s="83"/>
      <c r="E33" s="75"/>
      <c r="F33" s="1"/>
      <c r="G33" s="1"/>
      <c r="H33" s="1"/>
      <c r="I33" s="1"/>
      <c r="J33" s="1"/>
      <c r="K33" s="1"/>
      <c r="L33" s="1"/>
      <c r="M33" s="1"/>
      <c r="N33" s="87" t="s">
        <v>195</v>
      </c>
      <c r="O33" s="65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1"/>
      <c r="D35" s="83"/>
      <c r="E35" s="75"/>
      <c r="F35" s="102"/>
      <c r="G35" s="1"/>
      <c r="H35" s="1"/>
      <c r="I35" s="1"/>
      <c r="J35" s="1"/>
      <c r="K35" s="89" t="s">
        <v>200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202</v>
      </c>
      <c r="M36" s="90" t="s">
        <v>203</v>
      </c>
      <c r="N36" s="90" t="s">
        <v>204</v>
      </c>
      <c r="O36" s="90" t="s">
        <v>205</v>
      </c>
      <c r="P36" s="90" t="s">
        <v>206</v>
      </c>
      <c r="Q36" s="1"/>
      <c r="R36" s="1"/>
      <c r="AC36" s="92" t="s">
        <v>207</v>
      </c>
      <c r="AD36" s="92" t="s">
        <v>208</v>
      </c>
      <c r="AE36" s="92" t="s">
        <v>209</v>
      </c>
      <c r="AF36" s="92" t="s">
        <v>210</v>
      </c>
      <c r="AG36" s="92" t="s">
        <v>211</v>
      </c>
    </row>
    <row r="37" ht="15.75" customHeight="1">
      <c r="A37" s="1"/>
      <c r="B37" s="78">
        <v>8.0</v>
      </c>
      <c r="C37" s="81"/>
      <c r="D37" s="83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/>
      </c>
      <c r="AF37" s="92" t="str">
        <f t="shared" ref="AF37:AF42" si="6">IF(OR(AG37="",COUNT(L37:P37)&lt;5),"",1)</f>
        <v/>
      </c>
      <c r="AG37" s="92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78">
        <v>10.0</v>
      </c>
      <c r="C39" s="81"/>
      <c r="D39" s="83"/>
      <c r="E39" s="75"/>
      <c r="F39" s="1"/>
      <c r="G39" s="1"/>
      <c r="H39" s="1"/>
      <c r="I39" s="1"/>
      <c r="J39" s="1"/>
      <c r="K39" s="93" t="str">
        <f t="shared" si="2"/>
        <v/>
      </c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3" t="str">
        <f t="shared" si="2"/>
        <v/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4"/>
      <c r="G4" s="46"/>
      <c r="H4" s="60"/>
      <c r="I4" s="14"/>
      <c r="J4" s="14"/>
      <c r="K4" s="14"/>
      <c r="L4" s="14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4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4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4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4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32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4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4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32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0.0</v>
      </c>
      <c r="C13" s="67"/>
      <c r="D13" s="91"/>
      <c r="E13" s="16"/>
      <c r="F13" s="14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4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4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4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32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32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32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32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32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32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32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32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32"/>
      <c r="G25" s="46"/>
      <c r="H25" s="60"/>
      <c r="I25" s="14"/>
      <c r="J25" s="14"/>
      <c r="K25" s="14"/>
      <c r="L25" s="14"/>
      <c r="M25" s="14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67"/>
      <c r="D26" s="91"/>
      <c r="E26" s="16"/>
      <c r="F26" s="14"/>
      <c r="G26" s="46"/>
      <c r="H26" s="60"/>
      <c r="I26" s="14"/>
      <c r="J26" s="14"/>
      <c r="K26" s="14"/>
      <c r="L26" s="14"/>
      <c r="M26" s="14"/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67"/>
      <c r="D27" s="91"/>
      <c r="E27" s="16"/>
      <c r="F27" s="132"/>
      <c r="G27" s="46"/>
      <c r="H27" s="60"/>
      <c r="I27" s="14"/>
      <c r="J27" s="14"/>
      <c r="K27" s="14"/>
      <c r="L27" s="14"/>
      <c r="M27" s="14"/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67"/>
      <c r="D28" s="91"/>
      <c r="E28" s="16"/>
      <c r="F28" s="132"/>
      <c r="G28" s="46"/>
      <c r="H28" s="60"/>
      <c r="I28" s="14"/>
      <c r="J28" s="14"/>
      <c r="K28" s="14"/>
      <c r="L28" s="14"/>
      <c r="M28" s="14"/>
      <c r="N28" s="30"/>
      <c r="O28" s="30"/>
      <c r="P28" s="30"/>
      <c r="Q28" s="1"/>
      <c r="R28" s="1"/>
    </row>
    <row r="29" ht="15.75" customHeight="1">
      <c r="A29" s="1"/>
      <c r="B29" s="14">
        <v>26.0</v>
      </c>
      <c r="C29" s="67"/>
      <c r="D29" s="91"/>
      <c r="E29" s="16"/>
      <c r="F29" s="132"/>
      <c r="G29" s="46"/>
      <c r="H29" s="60"/>
      <c r="I29" s="14"/>
      <c r="J29" s="14"/>
      <c r="K29" s="14"/>
      <c r="L29" s="14"/>
      <c r="M29" s="14"/>
      <c r="N29" s="65"/>
      <c r="O29" s="65"/>
      <c r="P29" s="65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174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175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178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182</v>
      </c>
      <c r="O34" s="26"/>
      <c r="P34" s="1"/>
      <c r="Q34" s="1"/>
      <c r="R34" s="1"/>
    </row>
    <row r="35" ht="15.75" customHeight="1">
      <c r="A35" s="1"/>
      <c r="B35" s="78">
        <v>2.0</v>
      </c>
      <c r="C35" s="81"/>
      <c r="D35" s="83"/>
      <c r="E35" s="75"/>
      <c r="F35" s="1"/>
      <c r="G35" s="1"/>
      <c r="H35" s="1"/>
      <c r="I35" s="1"/>
      <c r="J35" s="1"/>
      <c r="K35" s="1"/>
      <c r="L35" s="1"/>
      <c r="M35" s="1"/>
      <c r="N35" s="82" t="s">
        <v>188</v>
      </c>
      <c r="O35" s="65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5" t="s">
        <v>193</v>
      </c>
      <c r="O36" s="30"/>
      <c r="P36" s="1"/>
      <c r="Q36" s="1"/>
      <c r="R36" s="1"/>
    </row>
    <row r="37" ht="15.75" customHeight="1">
      <c r="A37" s="1"/>
      <c r="B37" s="78">
        <v>4.0</v>
      </c>
      <c r="C37" s="81"/>
      <c r="D37" s="83"/>
      <c r="E37" s="75"/>
      <c r="F37" s="1"/>
      <c r="G37" s="1"/>
      <c r="H37" s="1"/>
      <c r="I37" s="1"/>
      <c r="J37" s="1"/>
      <c r="K37" s="1"/>
      <c r="L37" s="1"/>
      <c r="M37" s="1"/>
      <c r="N37" s="87" t="s">
        <v>195</v>
      </c>
      <c r="O37" s="65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1"/>
      <c r="D39" s="83"/>
      <c r="E39" s="75"/>
      <c r="F39" s="1"/>
      <c r="G39" s="1"/>
      <c r="H39" s="1"/>
      <c r="I39" s="1"/>
      <c r="J39" s="1"/>
      <c r="K39" s="89" t="s">
        <v>200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202</v>
      </c>
      <c r="M40" s="90" t="s">
        <v>203</v>
      </c>
      <c r="N40" s="90" t="s">
        <v>204</v>
      </c>
      <c r="O40" s="90" t="s">
        <v>205</v>
      </c>
      <c r="P40" s="90" t="s">
        <v>206</v>
      </c>
      <c r="Q40" s="1"/>
      <c r="R40" s="1"/>
      <c r="AC40" s="92" t="s">
        <v>207</v>
      </c>
      <c r="AD40" s="92" t="s">
        <v>208</v>
      </c>
      <c r="AE40" s="92" t="s">
        <v>209</v>
      </c>
      <c r="AF40" s="92" t="s">
        <v>210</v>
      </c>
      <c r="AG40" s="92" t="s">
        <v>211</v>
      </c>
    </row>
    <row r="41" ht="15.75" customHeight="1">
      <c r="A41" s="1"/>
      <c r="B41" s="78">
        <v>8.0</v>
      </c>
      <c r="C41" s="81"/>
      <c r="D41" s="83"/>
      <c r="E41" s="75"/>
      <c r="F41" s="1"/>
      <c r="G41" s="1"/>
      <c r="H41" s="1"/>
      <c r="I41" s="1"/>
      <c r="J41" s="1"/>
      <c r="K41" s="93" t="str">
        <f t="shared" ref="K41:K44" si="2">IF(O34="","",O34)</f>
        <v/>
      </c>
      <c r="L41" s="109"/>
      <c r="M41" s="109"/>
      <c r="N41" s="109"/>
      <c r="O41" s="109"/>
      <c r="P41" s="109"/>
      <c r="Q41" s="1"/>
      <c r="R41" s="1"/>
      <c r="AC41" s="92" t="str">
        <f t="shared" ref="AC41:AC46" si="3">IF(AG41="","",IF(COUNT(L41:P41)&lt;5,"",L41/5*20+M41/5*25+N41/5*25+O41/5*15+P41/5*15))</f>
        <v/>
      </c>
      <c r="AD41" s="92" t="str">
        <f t="shared" ref="AD41:AD46" si="4">IF(AC41="","",IF(AC41&gt;=90,"Sangat Baik",IF(AC41&gt;=80,"Baik",IF(AC41&gt;=70,"Coaching","Underperform"))))</f>
        <v/>
      </c>
      <c r="AE41" s="92" t="str">
        <f t="shared" ref="AE41:AE46" si="5">IF(AG41="","",IF(OR(AG41="INDAH",AG41="ADDEL",AG41="AMEL",AG41="PENTIL",AG41="JIJANG"),"Admin/CS","Fotografer"))</f>
        <v/>
      </c>
      <c r="AF41" s="92" t="str">
        <f t="shared" ref="AF41:AF46" si="6">IF(OR(AG41="",COUNT(L41:P41)&lt;5),"",1)</f>
        <v/>
      </c>
      <c r="AG41" s="92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/>
      </c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78">
        <v>10.0</v>
      </c>
      <c r="C43" s="81"/>
      <c r="D43" s="83"/>
      <c r="E43" s="75"/>
      <c r="F43" s="1"/>
      <c r="G43" s="1"/>
      <c r="H43" s="1"/>
      <c r="I43" s="1"/>
      <c r="J43" s="1"/>
      <c r="K43" s="93" t="str">
        <f t="shared" si="2"/>
        <v/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05">
        <v>11.0</v>
      </c>
      <c r="C44" s="106"/>
      <c r="D44" s="107"/>
      <c r="E44" s="75"/>
      <c r="F44" s="1"/>
      <c r="G44" s="1"/>
      <c r="H44" s="1"/>
      <c r="I44" s="1"/>
      <c r="J44" s="1"/>
      <c r="K44" s="93" t="str">
        <f t="shared" si="2"/>
        <v/>
      </c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108">
        <f>SUM(D34:D44)</f>
        <v>0</v>
      </c>
      <c r="E45" s="1"/>
      <c r="F45" s="1"/>
      <c r="G45" s="1"/>
      <c r="H45" s="1"/>
      <c r="I45" s="1"/>
      <c r="J45" s="1"/>
      <c r="K45" s="93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4"/>
      <c r="M51" s="114"/>
    </row>
    <row r="52" ht="15.75" customHeight="1">
      <c r="K52" s="113" t="str">
        <f t="shared" si="8"/>
        <v/>
      </c>
      <c r="L52" s="114"/>
      <c r="M52" s="114"/>
    </row>
    <row r="53" ht="15.75" customHeight="1"/>
    <row r="54" ht="19.5" customHeight="1">
      <c r="K54" s="116" t="s">
        <v>226</v>
      </c>
    </row>
    <row r="55" ht="19.5" customHeight="1">
      <c r="K55" s="117" t="s">
        <v>227</v>
      </c>
      <c r="M55" s="114"/>
    </row>
    <row r="56" ht="19.5" customHeight="1">
      <c r="K56" s="118" t="s">
        <v>228</v>
      </c>
      <c r="M56" s="119">
        <f>COUNTIF($I$4:$I$32,"DP")</f>
        <v>0</v>
      </c>
    </row>
    <row r="57" ht="19.5" customHeight="1">
      <c r="K57" s="118" t="s">
        <v>229</v>
      </c>
      <c r="M57" s="119">
        <f>COUNTIFS($I$4:$I$32,"&lt;&gt;DP",$I$4:$I$32,"&lt;&gt;")</f>
        <v>0</v>
      </c>
    </row>
    <row r="58" ht="19.5" customHeight="1">
      <c r="K58" s="120" t="s">
        <v>230</v>
      </c>
      <c r="M58" s="119">
        <f>M56+M57</f>
        <v>0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1"/>
      <c r="D4" s="133"/>
      <c r="E4" s="19"/>
      <c r="F4" s="142"/>
      <c r="G4" s="23"/>
      <c r="H4" s="50"/>
      <c r="I4" s="16"/>
      <c r="J4" s="27"/>
      <c r="K4" s="27"/>
      <c r="L4" s="16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68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32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4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32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167"/>
      <c r="D9" s="91"/>
      <c r="E9" s="16"/>
      <c r="F9" s="132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32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32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32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32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32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4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32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4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53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4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/>
      <c r="C20" s="67"/>
      <c r="D20" s="91"/>
      <c r="E20" s="16"/>
      <c r="F20" s="14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/>
      <c r="C21" s="67"/>
      <c r="D21" s="91"/>
      <c r="E21" s="16"/>
      <c r="F21" s="14"/>
      <c r="G21" s="46"/>
      <c r="H21" s="60"/>
      <c r="I21" s="14"/>
      <c r="J21" s="14"/>
      <c r="K21" s="14"/>
      <c r="L21" s="14"/>
      <c r="M21" s="14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174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175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178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182</v>
      </c>
      <c r="O26" s="26"/>
      <c r="P26" s="1"/>
      <c r="Q26" s="1"/>
      <c r="R26" s="1"/>
    </row>
    <row r="27" ht="15.75" customHeight="1">
      <c r="A27" s="1"/>
      <c r="B27" s="78">
        <v>2.0</v>
      </c>
      <c r="C27" s="81"/>
      <c r="D27" s="83"/>
      <c r="E27" s="75"/>
      <c r="F27" s="1"/>
      <c r="G27" s="1"/>
      <c r="H27" s="1"/>
      <c r="I27" s="1"/>
      <c r="J27" s="1"/>
      <c r="K27" s="1"/>
      <c r="L27" s="1"/>
      <c r="M27" s="1"/>
      <c r="N27" s="82" t="s">
        <v>188</v>
      </c>
      <c r="O27" s="65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193</v>
      </c>
      <c r="O28" s="30"/>
      <c r="P28" s="1"/>
      <c r="Q28" s="1"/>
      <c r="R28" s="1"/>
    </row>
    <row r="29" ht="15.75" customHeight="1">
      <c r="A29" s="1"/>
      <c r="B29" s="78">
        <v>4.0</v>
      </c>
      <c r="C29" s="81"/>
      <c r="D29" s="83"/>
      <c r="E29" s="75"/>
      <c r="F29" s="1"/>
      <c r="G29" s="1"/>
      <c r="H29" s="1"/>
      <c r="I29" s="1"/>
      <c r="J29" s="1"/>
      <c r="K29" s="1"/>
      <c r="L29" s="1"/>
      <c r="M29" s="1"/>
      <c r="N29" s="87" t="s">
        <v>195</v>
      </c>
      <c r="O29" s="65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1"/>
      <c r="D31" s="83"/>
      <c r="E31" s="75"/>
      <c r="F31" s="1"/>
      <c r="G31" s="1"/>
      <c r="H31" s="1"/>
      <c r="I31" s="1"/>
      <c r="J31" s="1"/>
      <c r="K31" s="89" t="s">
        <v>200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202</v>
      </c>
      <c r="M32" s="90" t="s">
        <v>203</v>
      </c>
      <c r="N32" s="90" t="s">
        <v>204</v>
      </c>
      <c r="O32" s="90" t="s">
        <v>205</v>
      </c>
      <c r="P32" s="90" t="s">
        <v>206</v>
      </c>
      <c r="Q32" s="1"/>
      <c r="R32" s="1"/>
      <c r="AC32" s="92" t="s">
        <v>207</v>
      </c>
      <c r="AD32" s="92" t="s">
        <v>208</v>
      </c>
      <c r="AE32" s="92" t="s">
        <v>209</v>
      </c>
      <c r="AF32" s="92" t="s">
        <v>210</v>
      </c>
      <c r="AG32" s="92" t="s">
        <v>211</v>
      </c>
    </row>
    <row r="33" ht="15.75" customHeight="1">
      <c r="A33" s="1"/>
      <c r="B33" s="78">
        <v>8.0</v>
      </c>
      <c r="C33" s="81"/>
      <c r="D33" s="83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8">
        <v>10.0</v>
      </c>
      <c r="C35" s="81"/>
      <c r="D35" s="83"/>
      <c r="E35" s="75"/>
      <c r="F35" s="1"/>
      <c r="G35" s="1"/>
      <c r="H35" s="1"/>
      <c r="I35" s="1"/>
      <c r="J35" s="1"/>
      <c r="K35" s="93" t="str">
        <f t="shared" si="2"/>
        <v/>
      </c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5">
        <v>11.0</v>
      </c>
      <c r="C36" s="106"/>
      <c r="D36" s="107"/>
      <c r="E36" s="75"/>
      <c r="F36" s="1"/>
      <c r="G36" s="1"/>
      <c r="H36" s="1"/>
      <c r="I36" s="1"/>
      <c r="J36" s="1"/>
      <c r="K36" s="93" t="str">
        <f t="shared" si="2"/>
        <v/>
      </c>
      <c r="L36" s="109"/>
      <c r="M36" s="109"/>
      <c r="N36" s="109"/>
      <c r="O36" s="109"/>
      <c r="P36" s="109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3"/>
      <c r="L37" s="109"/>
      <c r="M37" s="109"/>
      <c r="N37" s="109"/>
      <c r="O37" s="109"/>
      <c r="P37" s="109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32"/>
      <c r="G4" s="46"/>
      <c r="H4" s="60"/>
      <c r="I4" s="14"/>
      <c r="J4" s="14"/>
      <c r="K4" s="14"/>
      <c r="L4" s="14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53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32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4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53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53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53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53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53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53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>
        <v>11.0</v>
      </c>
      <c r="C14" s="67"/>
      <c r="D14" s="91"/>
      <c r="E14" s="16"/>
      <c r="F14" s="153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>
        <v>12.0</v>
      </c>
      <c r="C15" s="67"/>
      <c r="D15" s="91"/>
      <c r="E15" s="16"/>
      <c r="F15" s="153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>
        <v>13.0</v>
      </c>
      <c r="C16" s="67"/>
      <c r="D16" s="91"/>
      <c r="E16" s="16"/>
      <c r="F16" s="153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>
        <v>14.0</v>
      </c>
      <c r="C17" s="67"/>
      <c r="D17" s="91"/>
      <c r="E17" s="16"/>
      <c r="F17" s="14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>
        <v>15.0</v>
      </c>
      <c r="C18" s="67"/>
      <c r="D18" s="91"/>
      <c r="E18" s="16"/>
      <c r="F18" s="14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>
        <v>16.0</v>
      </c>
      <c r="C19" s="67"/>
      <c r="D19" s="91"/>
      <c r="E19" s="16"/>
      <c r="F19" s="14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>
        <v>17.0</v>
      </c>
      <c r="C20" s="67"/>
      <c r="D20" s="91"/>
      <c r="E20" s="16"/>
      <c r="F20" s="153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>
        <v>18.0</v>
      </c>
      <c r="C21" s="67"/>
      <c r="D21" s="91"/>
      <c r="E21" s="16"/>
      <c r="F21" s="153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67"/>
      <c r="D22" s="91"/>
      <c r="E22" s="16"/>
      <c r="F22" s="153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>
        <v>20.0</v>
      </c>
      <c r="C23" s="67"/>
      <c r="D23" s="91"/>
      <c r="E23" s="16"/>
      <c r="F23" s="153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>
        <v>21.0</v>
      </c>
      <c r="C24" s="67"/>
      <c r="D24" s="91"/>
      <c r="E24" s="16"/>
      <c r="F24" s="153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>
        <v>22.0</v>
      </c>
      <c r="C25" s="67"/>
      <c r="D25" s="91"/>
      <c r="E25" s="16"/>
      <c r="F25" s="153"/>
      <c r="G25" s="46"/>
      <c r="H25" s="60"/>
      <c r="I25" s="14"/>
      <c r="J25" s="14"/>
      <c r="K25" s="14"/>
      <c r="L25" s="14"/>
      <c r="M25" s="14"/>
      <c r="N25" s="30"/>
      <c r="O25" s="30"/>
      <c r="P25" s="30"/>
      <c r="Q25" s="1"/>
      <c r="R25" s="1"/>
    </row>
    <row r="26" ht="15.75" customHeight="1">
      <c r="A26" s="1"/>
      <c r="B26" s="14">
        <v>23.0</v>
      </c>
      <c r="C26" s="67"/>
      <c r="D26" s="91"/>
      <c r="E26" s="16"/>
      <c r="F26" s="153"/>
      <c r="G26" s="46"/>
      <c r="H26" s="60"/>
      <c r="I26" s="14"/>
      <c r="J26" s="14"/>
      <c r="K26" s="14"/>
      <c r="L26" s="14"/>
      <c r="M26" s="14"/>
      <c r="N26" s="30"/>
      <c r="O26" s="30"/>
      <c r="P26" s="30"/>
      <c r="Q26" s="1"/>
      <c r="R26" s="1"/>
    </row>
    <row r="27" ht="15.75" customHeight="1">
      <c r="A27" s="1"/>
      <c r="B27" s="14">
        <v>24.0</v>
      </c>
      <c r="C27" s="67"/>
      <c r="D27" s="91"/>
      <c r="E27" s="16"/>
      <c r="F27" s="153"/>
      <c r="G27" s="46"/>
      <c r="H27" s="60"/>
      <c r="I27" s="14"/>
      <c r="J27" s="14"/>
      <c r="K27" s="14"/>
      <c r="L27" s="14"/>
      <c r="M27" s="14"/>
      <c r="N27" s="30"/>
      <c r="O27" s="30"/>
      <c r="P27" s="30"/>
      <c r="Q27" s="1"/>
      <c r="R27" s="1"/>
    </row>
    <row r="28" ht="15.75" customHeight="1">
      <c r="A28" s="1"/>
      <c r="B28" s="14">
        <v>25.0</v>
      </c>
      <c r="C28" s="67"/>
      <c r="D28" s="91"/>
      <c r="E28" s="16"/>
      <c r="F28" s="153"/>
      <c r="G28" s="46"/>
      <c r="H28" s="60"/>
      <c r="I28" s="14"/>
      <c r="J28" s="14"/>
      <c r="K28" s="14"/>
      <c r="L28" s="14"/>
      <c r="M28" s="14"/>
      <c r="N28" s="30"/>
      <c r="O28" s="30"/>
      <c r="P28" s="30"/>
      <c r="Q28" s="1"/>
      <c r="R28" s="1"/>
    </row>
    <row r="29" ht="15.75" customHeight="1">
      <c r="A29" s="1"/>
      <c r="B29" s="14">
        <v>26.0</v>
      </c>
      <c r="C29" s="67"/>
      <c r="D29" s="91"/>
      <c r="E29" s="16"/>
      <c r="F29" s="153"/>
      <c r="G29" s="46"/>
      <c r="H29" s="60"/>
      <c r="I29" s="14"/>
      <c r="J29" s="14"/>
      <c r="K29" s="14"/>
      <c r="L29" s="14"/>
      <c r="M29" s="14"/>
      <c r="N29" s="30"/>
      <c r="O29" s="30"/>
      <c r="P29" s="30"/>
      <c r="Q29" s="1"/>
      <c r="R29" s="1"/>
    </row>
    <row r="30" ht="15.75" customHeight="1">
      <c r="A30" s="1"/>
      <c r="B30" s="14">
        <v>27.0</v>
      </c>
      <c r="C30" s="67"/>
      <c r="D30" s="91"/>
      <c r="E30" s="16"/>
      <c r="F30" s="153"/>
      <c r="G30" s="46"/>
      <c r="H30" s="60"/>
      <c r="I30" s="14"/>
      <c r="J30" s="14"/>
      <c r="K30" s="14"/>
      <c r="L30" s="14"/>
      <c r="M30" s="14"/>
      <c r="N30" s="30"/>
      <c r="O30" s="30"/>
      <c r="P30" s="30"/>
      <c r="Q30" s="1"/>
      <c r="R30" s="1"/>
    </row>
    <row r="31" ht="15.75" customHeight="1">
      <c r="A31" s="1"/>
      <c r="B31" s="14">
        <v>28.0</v>
      </c>
      <c r="C31" s="67"/>
      <c r="D31" s="91"/>
      <c r="E31" s="16"/>
      <c r="F31" s="153"/>
      <c r="G31" s="46"/>
      <c r="H31" s="60"/>
      <c r="I31" s="14"/>
      <c r="J31" s="14"/>
      <c r="K31" s="14"/>
      <c r="L31" s="14"/>
      <c r="M31" s="14"/>
      <c r="N31" s="30"/>
      <c r="O31" s="30"/>
      <c r="P31" s="30"/>
      <c r="Q31" s="1"/>
      <c r="R31" s="1"/>
    </row>
    <row r="32" ht="15.75" customHeight="1">
      <c r="A32" s="1"/>
      <c r="B32" s="14">
        <v>29.0</v>
      </c>
      <c r="C32" s="67"/>
      <c r="D32" s="91"/>
      <c r="E32" s="16"/>
      <c r="F32" s="153"/>
      <c r="G32" s="46"/>
      <c r="H32" s="60"/>
      <c r="I32" s="14"/>
      <c r="J32" s="14"/>
      <c r="K32" s="14"/>
      <c r="L32" s="14"/>
      <c r="M32" s="14"/>
      <c r="N32" s="30"/>
      <c r="O32" s="30"/>
      <c r="P32" s="30"/>
      <c r="Q32" s="1"/>
      <c r="R32" s="1"/>
    </row>
    <row r="33" ht="15.75" customHeight="1">
      <c r="A33" s="1"/>
      <c r="B33" s="14">
        <v>30.0</v>
      </c>
      <c r="C33" s="67"/>
      <c r="D33" s="91"/>
      <c r="E33" s="16"/>
      <c r="F33" s="153"/>
      <c r="G33" s="46"/>
      <c r="H33" s="60"/>
      <c r="I33" s="14"/>
      <c r="J33" s="14"/>
      <c r="K33" s="14"/>
      <c r="L33" s="14"/>
      <c r="M33" s="14"/>
      <c r="N33" s="30"/>
      <c r="O33" s="30"/>
      <c r="P33" s="30"/>
      <c r="Q33" s="1"/>
      <c r="R33" s="1"/>
    </row>
    <row r="34" ht="15.75" customHeight="1">
      <c r="A34" s="1"/>
      <c r="B34" s="14">
        <v>31.0</v>
      </c>
      <c r="C34" s="67"/>
      <c r="D34" s="91"/>
      <c r="E34" s="16"/>
      <c r="F34" s="153"/>
      <c r="G34" s="46"/>
      <c r="H34" s="60"/>
      <c r="I34" s="14"/>
      <c r="J34" s="14"/>
      <c r="K34" s="14"/>
      <c r="L34" s="14"/>
      <c r="M34" s="14"/>
      <c r="N34" s="30"/>
      <c r="O34" s="30"/>
      <c r="P34" s="30"/>
      <c r="Q34" s="1"/>
      <c r="R34" s="1"/>
    </row>
    <row r="35" ht="15.75" customHeight="1">
      <c r="A35" s="1"/>
      <c r="B35" s="14">
        <v>32.0</v>
      </c>
      <c r="C35" s="67"/>
      <c r="D35" s="91"/>
      <c r="E35" s="16"/>
      <c r="F35" s="153"/>
      <c r="G35" s="46"/>
      <c r="H35" s="60"/>
      <c r="I35" s="14"/>
      <c r="J35" s="14"/>
      <c r="K35" s="14"/>
      <c r="L35" s="14"/>
      <c r="M35" s="14"/>
      <c r="N35" s="30"/>
      <c r="O35" s="30"/>
      <c r="P35" s="30"/>
      <c r="Q35" s="1"/>
      <c r="R35" s="1"/>
    </row>
    <row r="36" ht="15.75" customHeight="1">
      <c r="A36" s="1"/>
      <c r="B36" s="14">
        <v>33.0</v>
      </c>
      <c r="C36" s="67"/>
      <c r="D36" s="91"/>
      <c r="E36" s="16"/>
      <c r="F36" s="153"/>
      <c r="G36" s="46"/>
      <c r="H36" s="60"/>
      <c r="I36" s="14"/>
      <c r="J36" s="14"/>
      <c r="K36" s="14"/>
      <c r="L36" s="14"/>
      <c r="M36" s="14"/>
      <c r="N36" s="30"/>
      <c r="O36" s="30"/>
      <c r="P36" s="30"/>
      <c r="Q36" s="1"/>
      <c r="R36" s="1"/>
    </row>
    <row r="37" ht="15.75" customHeight="1">
      <c r="A37" s="1"/>
      <c r="B37" s="14">
        <v>34.0</v>
      </c>
      <c r="C37" s="67"/>
      <c r="D37" s="91"/>
      <c r="E37" s="16"/>
      <c r="F37" s="14"/>
      <c r="G37" s="46"/>
      <c r="H37" s="60"/>
      <c r="I37" s="14"/>
      <c r="J37" s="14"/>
      <c r="K37" s="14"/>
      <c r="L37" s="14"/>
      <c r="M37" s="14"/>
      <c r="N37" s="30"/>
      <c r="O37" s="30"/>
      <c r="P37" s="30"/>
      <c r="Q37" s="1"/>
      <c r="R37" s="1"/>
    </row>
    <row r="38" ht="15.75" customHeight="1">
      <c r="A38" s="1"/>
      <c r="B38" s="14">
        <v>35.0</v>
      </c>
      <c r="C38" s="67"/>
      <c r="D38" s="91"/>
      <c r="E38" s="16"/>
      <c r="F38" s="153"/>
      <c r="G38" s="46"/>
      <c r="H38" s="60"/>
      <c r="I38" s="14"/>
      <c r="J38" s="14"/>
      <c r="K38" s="14"/>
      <c r="L38" s="14"/>
      <c r="M38" s="14"/>
      <c r="N38" s="30"/>
      <c r="O38" s="30"/>
      <c r="P38" s="30"/>
      <c r="Q38" s="1"/>
      <c r="R38" s="1"/>
    </row>
    <row r="39" ht="15.75" customHeight="1">
      <c r="A39" s="1"/>
      <c r="B39" s="14">
        <v>36.0</v>
      </c>
      <c r="C39" s="67"/>
      <c r="D39" s="91"/>
      <c r="E39" s="16"/>
      <c r="F39" s="153"/>
      <c r="G39" s="46"/>
      <c r="H39" s="60"/>
      <c r="I39" s="14"/>
      <c r="J39" s="14"/>
      <c r="K39" s="14"/>
      <c r="L39" s="14"/>
      <c r="M39" s="14"/>
      <c r="N39" s="30"/>
      <c r="O39" s="30"/>
      <c r="P39" s="30"/>
      <c r="Q39" s="1"/>
      <c r="R39" s="1"/>
    </row>
    <row r="40" ht="15.75" customHeight="1">
      <c r="A40" s="1"/>
      <c r="B40" s="14">
        <v>37.0</v>
      </c>
      <c r="C40" s="67"/>
      <c r="D40" s="91"/>
      <c r="E40" s="16"/>
      <c r="F40" s="153"/>
      <c r="G40" s="46"/>
      <c r="H40" s="60"/>
      <c r="I40" s="14"/>
      <c r="J40" s="14"/>
      <c r="K40" s="14"/>
      <c r="L40" s="14"/>
      <c r="M40" s="14"/>
      <c r="N40" s="30"/>
      <c r="O40" s="30"/>
      <c r="P40" s="30"/>
      <c r="Q40" s="1"/>
      <c r="R40" s="1"/>
    </row>
    <row r="41" ht="15.75" customHeight="1">
      <c r="A41" s="1"/>
      <c r="B41" s="14">
        <v>38.0</v>
      </c>
      <c r="C41" s="67"/>
      <c r="D41" s="91"/>
      <c r="E41" s="16"/>
      <c r="F41" s="153"/>
      <c r="G41" s="46"/>
      <c r="H41" s="60"/>
      <c r="I41" s="14"/>
      <c r="J41" s="14"/>
      <c r="K41" s="14"/>
      <c r="L41" s="14"/>
      <c r="M41" s="14"/>
      <c r="N41" s="30"/>
      <c r="O41" s="30"/>
      <c r="P41" s="30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174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175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178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182</v>
      </c>
      <c r="O47" s="26"/>
      <c r="P47" s="1"/>
      <c r="Q47" s="1"/>
      <c r="R47" s="1"/>
    </row>
    <row r="48" ht="15.75" customHeight="1">
      <c r="A48" s="1"/>
      <c r="B48" s="78">
        <v>2.0</v>
      </c>
      <c r="C48" s="81"/>
      <c r="D48" s="83"/>
      <c r="E48" s="75"/>
      <c r="F48" s="1"/>
      <c r="G48" s="102"/>
      <c r="H48" s="1"/>
      <c r="I48" s="1"/>
      <c r="J48" s="1"/>
      <c r="K48" s="1"/>
      <c r="L48" s="1"/>
      <c r="M48" s="1"/>
      <c r="N48" s="82" t="s">
        <v>188</v>
      </c>
      <c r="O48" s="65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2"/>
      <c r="H49" s="1"/>
      <c r="I49" s="1"/>
      <c r="J49" s="1"/>
      <c r="K49" s="1"/>
      <c r="L49" s="1"/>
      <c r="M49" s="1"/>
      <c r="N49" s="85" t="s">
        <v>193</v>
      </c>
      <c r="O49" s="30"/>
      <c r="P49" s="1"/>
      <c r="Q49" s="1"/>
      <c r="R49" s="1"/>
    </row>
    <row r="50" ht="15.75" customHeight="1">
      <c r="A50" s="1"/>
      <c r="B50" s="78">
        <v>4.0</v>
      </c>
      <c r="C50" s="81"/>
      <c r="D50" s="83"/>
      <c r="E50" s="75"/>
      <c r="F50" s="1"/>
      <c r="G50" s="1"/>
      <c r="H50" s="1"/>
      <c r="I50" s="1"/>
      <c r="J50" s="1"/>
      <c r="K50" s="1"/>
      <c r="L50" s="1"/>
      <c r="M50" s="1"/>
      <c r="N50" s="87" t="s">
        <v>195</v>
      </c>
      <c r="O50" s="65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1"/>
      <c r="D52" s="83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1"/>
      <c r="D54" s="83"/>
      <c r="E54" s="75"/>
      <c r="F54" s="1"/>
      <c r="G54" s="1"/>
      <c r="H54" s="1"/>
      <c r="I54" s="1"/>
      <c r="J54" s="1"/>
      <c r="K54" s="89" t="s">
        <v>200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202</v>
      </c>
      <c r="M55" s="90" t="s">
        <v>203</v>
      </c>
      <c r="N55" s="90" t="s">
        <v>204</v>
      </c>
      <c r="O55" s="90" t="s">
        <v>205</v>
      </c>
      <c r="P55" s="90" t="s">
        <v>206</v>
      </c>
      <c r="Q55" s="1"/>
      <c r="R55" s="1"/>
      <c r="AC55" s="92" t="s">
        <v>207</v>
      </c>
      <c r="AD55" s="92" t="s">
        <v>208</v>
      </c>
      <c r="AE55" s="92" t="s">
        <v>209</v>
      </c>
      <c r="AF55" s="92" t="s">
        <v>210</v>
      </c>
      <c r="AG55" s="92" t="s">
        <v>211</v>
      </c>
    </row>
    <row r="56" ht="15.75" customHeight="1">
      <c r="A56" s="1"/>
      <c r="B56" s="78">
        <v>10.0</v>
      </c>
      <c r="C56" s="81"/>
      <c r="D56" s="83"/>
      <c r="E56" s="75"/>
      <c r="F56" s="1"/>
      <c r="G56" s="1"/>
      <c r="H56" s="1"/>
      <c r="I56" s="1"/>
      <c r="J56" s="1"/>
      <c r="K56" s="93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92" t="str">
        <f t="shared" ref="AC56:AC61" si="3">IF(AG56="","",IF(COUNT(L56:P56)&lt;5,"",L56/5*20+M56/5*25+N56/5*25+O56/5*15+P56/5*15))</f>
        <v/>
      </c>
      <c r="AD56" s="92" t="str">
        <f t="shared" ref="AD56:AD61" si="4">IF(AC56="","",IF(AC56&gt;=90,"Sangat Baik",IF(AC56&gt;=80,"Baik",IF(AC56&gt;=70,"Coaching","Underperform"))))</f>
        <v/>
      </c>
      <c r="AE56" s="92" t="str">
        <f t="shared" ref="AE56:AE61" si="5">IF(AG56="","",IF(OR(AG56="INDAH",AG56="ADDEL",AG56="AMEL",AG56="PENTIL",AG56="JIJANG"),"Admin/CS","Fotografer"))</f>
        <v/>
      </c>
      <c r="AF56" s="92" t="str">
        <f t="shared" ref="AF56:AF61" si="6">IF(OR(AG56="",COUNT(L56:P56)&lt;5),"",1)</f>
        <v/>
      </c>
      <c r="AG56" s="92" t="str">
        <f t="shared" ref="AG56:AG61" si="7">IFERROR(K56,"")</f>
        <v/>
      </c>
    </row>
    <row r="57" ht="15.75" customHeight="1">
      <c r="A57" s="1"/>
      <c r="B57" s="105">
        <v>11.0</v>
      </c>
      <c r="C57" s="106"/>
      <c r="D57" s="107"/>
      <c r="E57" s="75"/>
      <c r="F57" s="1"/>
      <c r="G57" s="1"/>
      <c r="H57" s="1"/>
      <c r="I57" s="1"/>
      <c r="J57" s="1"/>
      <c r="K57" s="93" t="str">
        <f t="shared" si="2"/>
        <v/>
      </c>
      <c r="L57" s="109"/>
      <c r="M57" s="109"/>
      <c r="N57" s="109"/>
      <c r="O57" s="109"/>
      <c r="P57" s="109"/>
      <c r="Q57" s="1"/>
      <c r="R57" s="1"/>
      <c r="AC57" s="92" t="str">
        <f t="shared" si="3"/>
        <v/>
      </c>
      <c r="AD57" s="92" t="str">
        <f t="shared" si="4"/>
        <v/>
      </c>
      <c r="AE57" s="92" t="str">
        <f t="shared" si="5"/>
        <v/>
      </c>
      <c r="AF57" s="92" t="str">
        <f t="shared" si="6"/>
        <v/>
      </c>
      <c r="AG57" s="92" t="str">
        <f t="shared" si="7"/>
        <v/>
      </c>
    </row>
    <row r="58" ht="15.75" customHeight="1">
      <c r="A58" s="1"/>
      <c r="B58" s="1"/>
      <c r="C58" s="2"/>
      <c r="D58" s="108">
        <f>SUM(D47:D57)</f>
        <v>0</v>
      </c>
      <c r="E58" s="1"/>
      <c r="F58" s="1"/>
      <c r="G58" s="1"/>
      <c r="H58" s="1"/>
      <c r="I58" s="1"/>
      <c r="J58" s="1"/>
      <c r="K58" s="93" t="str">
        <f t="shared" si="2"/>
        <v/>
      </c>
      <c r="L58" s="109"/>
      <c r="M58" s="109"/>
      <c r="N58" s="109"/>
      <c r="O58" s="109"/>
      <c r="P58" s="109"/>
      <c r="Q58" s="1"/>
      <c r="R58" s="1"/>
      <c r="AC58" s="92" t="str">
        <f t="shared" si="3"/>
        <v/>
      </c>
      <c r="AD58" s="92" t="str">
        <f t="shared" si="4"/>
        <v/>
      </c>
      <c r="AE58" s="92" t="str">
        <f t="shared" si="5"/>
        <v/>
      </c>
      <c r="AF58" s="92" t="str">
        <f t="shared" si="6"/>
        <v/>
      </c>
      <c r="AG58" s="92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/>
      </c>
      <c r="L59" s="109"/>
      <c r="M59" s="109"/>
      <c r="N59" s="109"/>
      <c r="O59" s="109"/>
      <c r="P59" s="109"/>
      <c r="Q59" s="1"/>
      <c r="R59" s="1"/>
      <c r="AC59" s="92" t="str">
        <f t="shared" si="3"/>
        <v/>
      </c>
      <c r="AD59" s="92" t="str">
        <f t="shared" si="4"/>
        <v/>
      </c>
      <c r="AE59" s="92" t="str">
        <f t="shared" si="5"/>
        <v/>
      </c>
      <c r="AF59" s="92" t="str">
        <f t="shared" si="6"/>
        <v/>
      </c>
      <c r="AG59" s="92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9"/>
      <c r="M60" s="109"/>
      <c r="N60" s="109"/>
      <c r="O60" s="109"/>
      <c r="P60" s="109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9"/>
      <c r="M61" s="109"/>
      <c r="N61" s="109"/>
      <c r="O61" s="109"/>
      <c r="P61" s="109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0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4"/>
      <c r="M66" s="114"/>
    </row>
    <row r="67" ht="15.75" customHeight="1">
      <c r="K67" s="113" t="str">
        <f t="shared" si="8"/>
        <v/>
      </c>
      <c r="L67" s="114"/>
      <c r="M67" s="114"/>
    </row>
    <row r="68" ht="15.75" customHeight="1"/>
    <row r="69" ht="19.5" customHeight="1">
      <c r="K69" s="116" t="s">
        <v>226</v>
      </c>
    </row>
    <row r="70" ht="19.5" customHeight="1">
      <c r="K70" s="117" t="s">
        <v>227</v>
      </c>
      <c r="M70" s="114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2" t="s">
        <v>608</v>
      </c>
      <c r="E77" s="172" t="s">
        <v>609</v>
      </c>
      <c r="I77" s="172" t="s">
        <v>610</v>
      </c>
      <c r="M77" s="172" t="s">
        <v>611</v>
      </c>
    </row>
    <row r="78" ht="15.75" customHeight="1">
      <c r="A78" s="173">
        <f>IFERROR(SUMIFS($D$84:$D$96,$C$84:$C$96,"&gt;0")/COUNTIFS($C$84:$C$96,"&gt;0"),0)</f>
        <v>98.74891775</v>
      </c>
      <c r="E78" s="173">
        <f>IFERROR(SUMIFS($D$84:$D$96,$B$84:$B$96,"Admin/CS",$C$84:$C$96,"&gt;0")/COUNTIFS($B$84:$B$96,"Admin/CS",$C$84:$C$96,"&gt;0"),0)</f>
        <v>98.54220779</v>
      </c>
      <c r="I78" s="173">
        <f>IFERROR(SUMIFS($D$84:$D$96,$B$84:$B$96,"Fotografer",$C$84:$C$96,"&gt;0")/COUNTIFS($B$84:$B$96,"Fotografer",$C$84:$C$96,"&gt;0"),0)</f>
        <v>98.95562771</v>
      </c>
      <c r="M78" s="173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4" t="s">
        <v>1</v>
      </c>
      <c r="B83" s="174" t="s">
        <v>612</v>
      </c>
      <c r="C83" s="174" t="s">
        <v>613</v>
      </c>
      <c r="D83" s="174" t="s">
        <v>614</v>
      </c>
      <c r="E83" s="174" t="s">
        <v>615</v>
      </c>
      <c r="F83" s="174" t="s">
        <v>616</v>
      </c>
      <c r="G83" s="174" t="s">
        <v>617</v>
      </c>
    </row>
    <row r="84" ht="15.75" customHeight="1">
      <c r="A84" s="175" t="str">
        <f>IF($A$106="","",$A$106)</f>
        <v>INDAH</v>
      </c>
      <c r="B84" s="175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21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99.85714286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5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5" t="str">
        <f>IF($A$107="","",$A$107)</f>
        <v>ADDEL</v>
      </c>
      <c r="B85" s="175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5" t="str">
        <f t="shared" si="9"/>
        <v/>
      </c>
      <c r="G85" s="182"/>
    </row>
    <row r="86" ht="15.75" customHeight="1">
      <c r="A86" s="175" t="str">
        <f>IF($A$108="","",$A$108)</f>
        <v>AMEL</v>
      </c>
      <c r="B86" s="175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22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97.22727273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5" t="str">
        <f t="shared" si="9"/>
        <v>Sangat Baik</v>
      </c>
      <c r="G86" s="182"/>
    </row>
    <row r="87" ht="15.75" customHeight="1">
      <c r="A87" s="175" t="str">
        <f>IF($A$109="","",$A$109)</f>
        <v>PENTIL</v>
      </c>
      <c r="B87" s="175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5" t="str">
        <f t="shared" si="9"/>
        <v/>
      </c>
      <c r="G87" s="182"/>
    </row>
    <row r="88" ht="15.75" customHeight="1">
      <c r="A88" s="175" t="str">
        <f>IF($A$110="","",$A$110)</f>
        <v>JIJANG</v>
      </c>
      <c r="B88" s="175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5" t="str">
        <f t="shared" si="9"/>
        <v/>
      </c>
      <c r="G88" s="182"/>
    </row>
    <row r="89" ht="15.75" customHeight="1">
      <c r="A89" s="175" t="str">
        <f>IF($A$111="","",$A$111)</f>
        <v>HANIF</v>
      </c>
      <c r="B89" s="175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5" t="str">
        <f t="shared" si="9"/>
        <v/>
      </c>
      <c r="G89" s="182"/>
    </row>
    <row r="90" ht="15.75" customHeight="1">
      <c r="A90" s="175" t="str">
        <f>IF($A$112="","",$A$112)</f>
        <v>FAHME</v>
      </c>
      <c r="B90" s="175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5" t="str">
        <f t="shared" si="9"/>
        <v/>
      </c>
      <c r="G90" s="182"/>
    </row>
    <row r="91" ht="15.75" customHeight="1">
      <c r="A91" s="175" t="str">
        <f>IF($A$113="","",$A$113)</f>
        <v>ADIF</v>
      </c>
      <c r="B91" s="175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21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99.04761905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5" t="str">
        <f t="shared" si="9"/>
        <v>Sangat Baik</v>
      </c>
      <c r="G91" s="182"/>
    </row>
    <row r="92" ht="15.75" customHeight="1">
      <c r="A92" s="175" t="str">
        <f>IF($A$114="","",$A$114)</f>
        <v>ABROR</v>
      </c>
      <c r="B92" s="175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5" t="str">
        <f t="shared" si="9"/>
        <v/>
      </c>
      <c r="G92" s="182"/>
    </row>
    <row r="93" ht="15.75" customHeight="1">
      <c r="A93" s="175" t="str">
        <f>IF($A$115="","",$A$115)</f>
        <v>FADEL</v>
      </c>
      <c r="B93" s="175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5" t="str">
        <f t="shared" si="9"/>
        <v/>
      </c>
      <c r="G93" s="182"/>
    </row>
    <row r="94" ht="15.75" customHeight="1">
      <c r="A94" s="175" t="str">
        <f>IF($A$116="","",$A$116)</f>
        <v>SAKA</v>
      </c>
      <c r="B94" s="175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22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98.86363636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5" t="str">
        <f t="shared" si="9"/>
        <v>Sangat Baik</v>
      </c>
      <c r="G94" s="182"/>
    </row>
    <row r="95" ht="15.75" customHeight="1">
      <c r="A95" s="175" t="str">
        <f>IF($A$117="","",$A$117)</f>
        <v/>
      </c>
      <c r="B95" s="175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5" t="str">
        <f t="shared" si="9"/>
        <v/>
      </c>
      <c r="G95" s="182"/>
    </row>
    <row r="96" ht="15.75" customHeight="1">
      <c r="A96" s="175" t="str">
        <f>IF($A$118="","",$A$118)</f>
        <v/>
      </c>
      <c r="B96" s="175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5" t="str">
        <f t="shared" si="9"/>
        <v/>
      </c>
      <c r="G96" s="182"/>
    </row>
    <row r="97" ht="15.75" customHeight="1"/>
    <row r="98" ht="15.75" customHeight="1">
      <c r="A98" s="185" t="s">
        <v>632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633</v>
      </c>
      <c r="B105" s="187" t="s">
        <v>634</v>
      </c>
      <c r="D105" s="170" t="s">
        <v>635</v>
      </c>
    </row>
    <row r="106" ht="15.75" customHeight="1">
      <c r="A106" s="183" t="s">
        <v>25</v>
      </c>
      <c r="B106" s="183" t="s">
        <v>628</v>
      </c>
      <c r="D106" s="188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189</v>
      </c>
    </row>
    <row r="107" ht="15.75" customHeight="1">
      <c r="A107" s="183" t="s">
        <v>95</v>
      </c>
      <c r="B107" s="183" t="s">
        <v>628</v>
      </c>
      <c r="D107" s="188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26</v>
      </c>
      <c r="B108" s="183" t="s">
        <v>628</v>
      </c>
      <c r="D108" s="188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873</v>
      </c>
    </row>
    <row r="109" ht="15.75" customHeight="1">
      <c r="A109" s="183" t="s">
        <v>636</v>
      </c>
      <c r="B109" s="183" t="s">
        <v>628</v>
      </c>
      <c r="D109" s="188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222</v>
      </c>
    </row>
    <row r="110" ht="15.75" customHeight="1">
      <c r="A110" s="183" t="s">
        <v>637</v>
      </c>
      <c r="B110" s="183" t="s">
        <v>628</v>
      </c>
      <c r="D110" s="188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275</v>
      </c>
    </row>
    <row r="111" ht="15.75" customHeight="1">
      <c r="A111" s="183" t="s">
        <v>629</v>
      </c>
      <c r="B111" s="183" t="s">
        <v>638</v>
      </c>
      <c r="D111" s="188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497</v>
      </c>
    </row>
    <row r="112" ht="15.75" customHeight="1">
      <c r="A112" s="183" t="s">
        <v>53</v>
      </c>
      <c r="B112" s="183" t="s">
        <v>638</v>
      </c>
      <c r="D112" s="188" t="s">
        <v>231</v>
      </c>
      <c r="E112" s="121">
        <f>IFERROR(E109/E108,0)</f>
        <v>0.2542955326</v>
      </c>
    </row>
    <row r="113" ht="15.75" customHeight="1">
      <c r="A113" s="183" t="s">
        <v>40</v>
      </c>
      <c r="B113" s="183" t="s">
        <v>638</v>
      </c>
    </row>
    <row r="114" ht="15.75" customHeight="1">
      <c r="A114" s="183" t="s">
        <v>103</v>
      </c>
      <c r="B114" s="183" t="s">
        <v>638</v>
      </c>
    </row>
    <row r="115" ht="15.75" customHeight="1">
      <c r="A115" s="183" t="s">
        <v>639</v>
      </c>
      <c r="B115" s="183" t="s">
        <v>638</v>
      </c>
    </row>
    <row r="116" ht="15.75" customHeight="1">
      <c r="A116" s="183" t="s">
        <v>69</v>
      </c>
      <c r="B116" s="183" t="s">
        <v>638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7"/>
      <c r="D4" s="91"/>
      <c r="E4" s="16"/>
      <c r="F4" s="168"/>
      <c r="G4" s="46"/>
      <c r="H4" s="60"/>
      <c r="I4" s="14"/>
      <c r="J4" s="14"/>
      <c r="K4" s="14"/>
      <c r="L4" s="14"/>
      <c r="M4" s="14"/>
      <c r="N4" s="26"/>
      <c r="O4" s="26"/>
      <c r="P4" s="28"/>
      <c r="Q4" s="1"/>
      <c r="R4" s="1"/>
    </row>
    <row r="5" ht="15.75" customHeight="1">
      <c r="A5" s="1"/>
      <c r="B5" s="14">
        <v>2.0</v>
      </c>
      <c r="C5" s="67"/>
      <c r="D5" s="91"/>
      <c r="E5" s="16"/>
      <c r="F5" s="168"/>
      <c r="G5" s="46"/>
      <c r="H5" s="60"/>
      <c r="I5" s="14"/>
      <c r="J5" s="14"/>
      <c r="K5" s="14"/>
      <c r="L5" s="14"/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67"/>
      <c r="D6" s="91"/>
      <c r="E6" s="16"/>
      <c r="F6" s="14"/>
      <c r="G6" s="46"/>
      <c r="H6" s="60"/>
      <c r="I6" s="14"/>
      <c r="J6" s="14"/>
      <c r="K6" s="14"/>
      <c r="L6" s="14"/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67"/>
      <c r="D7" s="91"/>
      <c r="E7" s="16"/>
      <c r="F7" s="14"/>
      <c r="G7" s="46"/>
      <c r="H7" s="60"/>
      <c r="I7" s="14"/>
      <c r="J7" s="14"/>
      <c r="K7" s="14"/>
      <c r="L7" s="14"/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67"/>
      <c r="D8" s="91"/>
      <c r="E8" s="16"/>
      <c r="F8" s="14"/>
      <c r="G8" s="46"/>
      <c r="H8" s="60"/>
      <c r="I8" s="14"/>
      <c r="J8" s="14"/>
      <c r="K8" s="14"/>
      <c r="L8" s="14"/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67"/>
      <c r="D9" s="91"/>
      <c r="E9" s="16"/>
      <c r="F9" s="14"/>
      <c r="G9" s="46"/>
      <c r="H9" s="60"/>
      <c r="I9" s="14"/>
      <c r="J9" s="14"/>
      <c r="K9" s="14"/>
      <c r="L9" s="14"/>
      <c r="M9" s="14"/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67"/>
      <c r="D10" s="91"/>
      <c r="E10" s="16"/>
      <c r="F10" s="14"/>
      <c r="G10" s="46"/>
      <c r="H10" s="60"/>
      <c r="I10" s="14"/>
      <c r="J10" s="14"/>
      <c r="K10" s="14"/>
      <c r="L10" s="14"/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67"/>
      <c r="D11" s="91"/>
      <c r="E11" s="16"/>
      <c r="F11" s="14"/>
      <c r="G11" s="46"/>
      <c r="H11" s="60"/>
      <c r="I11" s="14"/>
      <c r="J11" s="14"/>
      <c r="K11" s="14"/>
      <c r="L11" s="14"/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67"/>
      <c r="D12" s="91"/>
      <c r="E12" s="16"/>
      <c r="F12" s="14"/>
      <c r="G12" s="46"/>
      <c r="H12" s="60"/>
      <c r="I12" s="14"/>
      <c r="J12" s="14"/>
      <c r="K12" s="14"/>
      <c r="L12" s="14"/>
      <c r="M12" s="14"/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67"/>
      <c r="D13" s="91"/>
      <c r="E13" s="16"/>
      <c r="F13" s="14"/>
      <c r="G13" s="46"/>
      <c r="H13" s="60"/>
      <c r="I13" s="14"/>
      <c r="J13" s="14"/>
      <c r="K13" s="14"/>
      <c r="L13" s="14"/>
      <c r="M13" s="14"/>
      <c r="N13" s="30"/>
      <c r="O13" s="30"/>
      <c r="P13" s="30"/>
      <c r="Q13" s="1"/>
      <c r="R13" s="1"/>
    </row>
    <row r="14" ht="15.75" customHeight="1">
      <c r="A14" s="1"/>
      <c r="B14" s="14"/>
      <c r="C14" s="67"/>
      <c r="D14" s="91"/>
      <c r="E14" s="16"/>
      <c r="F14" s="14"/>
      <c r="G14" s="46"/>
      <c r="H14" s="60"/>
      <c r="I14" s="14"/>
      <c r="J14" s="14"/>
      <c r="K14" s="14"/>
      <c r="L14" s="14"/>
      <c r="M14" s="14"/>
      <c r="N14" s="30"/>
      <c r="O14" s="30"/>
      <c r="P14" s="30"/>
      <c r="Q14" s="1"/>
      <c r="R14" s="1"/>
    </row>
    <row r="15" ht="15.75" customHeight="1">
      <c r="A15" s="1"/>
      <c r="B15" s="14"/>
      <c r="C15" s="67"/>
      <c r="D15" s="91"/>
      <c r="E15" s="16"/>
      <c r="F15" s="14"/>
      <c r="G15" s="46"/>
      <c r="H15" s="60"/>
      <c r="I15" s="14"/>
      <c r="J15" s="14"/>
      <c r="K15" s="14"/>
      <c r="L15" s="14"/>
      <c r="M15" s="14"/>
      <c r="N15" s="30"/>
      <c r="O15" s="30"/>
      <c r="P15" s="30"/>
      <c r="Q15" s="1"/>
      <c r="R15" s="1"/>
    </row>
    <row r="16" ht="15.75" customHeight="1">
      <c r="A16" s="1"/>
      <c r="B16" s="14"/>
      <c r="C16" s="67"/>
      <c r="D16" s="91"/>
      <c r="E16" s="16"/>
      <c r="F16" s="14"/>
      <c r="G16" s="46"/>
      <c r="H16" s="60"/>
      <c r="I16" s="14"/>
      <c r="J16" s="14"/>
      <c r="K16" s="14"/>
      <c r="L16" s="14"/>
      <c r="M16" s="14"/>
      <c r="N16" s="30"/>
      <c r="O16" s="30"/>
      <c r="P16" s="30"/>
      <c r="Q16" s="1"/>
      <c r="R16" s="1"/>
    </row>
    <row r="17" ht="15.75" customHeight="1">
      <c r="A17" s="1"/>
      <c r="B17" s="14"/>
      <c r="C17" s="67"/>
      <c r="D17" s="91"/>
      <c r="E17" s="16"/>
      <c r="F17" s="14"/>
      <c r="G17" s="46"/>
      <c r="H17" s="60"/>
      <c r="I17" s="14"/>
      <c r="J17" s="14"/>
      <c r="K17" s="14"/>
      <c r="L17" s="14"/>
      <c r="M17" s="14"/>
      <c r="N17" s="30"/>
      <c r="O17" s="30"/>
      <c r="P17" s="30"/>
      <c r="Q17" s="1"/>
      <c r="R17" s="1"/>
    </row>
    <row r="18" ht="15.75" customHeight="1">
      <c r="A18" s="1"/>
      <c r="B18" s="14"/>
      <c r="C18" s="67"/>
      <c r="D18" s="91"/>
      <c r="E18" s="16"/>
      <c r="F18" s="14"/>
      <c r="G18" s="46"/>
      <c r="H18" s="60"/>
      <c r="I18" s="14"/>
      <c r="J18" s="14"/>
      <c r="K18" s="14"/>
      <c r="L18" s="14"/>
      <c r="M18" s="14"/>
      <c r="N18" s="30"/>
      <c r="O18" s="30"/>
      <c r="P18" s="30"/>
      <c r="Q18" s="1"/>
      <c r="R18" s="1"/>
    </row>
    <row r="19" ht="15.75" customHeight="1">
      <c r="A19" s="1"/>
      <c r="B19" s="14"/>
      <c r="C19" s="67"/>
      <c r="D19" s="91"/>
      <c r="E19" s="16"/>
      <c r="F19" s="14"/>
      <c r="G19" s="46"/>
      <c r="H19" s="60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4"/>
      <c r="C20" s="67"/>
      <c r="D20" s="91"/>
      <c r="E20" s="16"/>
      <c r="F20" s="14"/>
      <c r="G20" s="46"/>
      <c r="H20" s="60"/>
      <c r="I20" s="14"/>
      <c r="J20" s="14"/>
      <c r="K20" s="14"/>
      <c r="L20" s="14"/>
      <c r="M20" s="14"/>
      <c r="N20" s="30"/>
      <c r="O20" s="30"/>
      <c r="P20" s="30"/>
      <c r="Q20" s="1"/>
      <c r="R20" s="1"/>
    </row>
    <row r="21" ht="15.75" customHeight="1">
      <c r="A21" s="1"/>
      <c r="B21" s="14"/>
      <c r="C21" s="67"/>
      <c r="D21" s="91"/>
      <c r="E21" s="16"/>
      <c r="F21" s="14"/>
      <c r="G21" s="46"/>
      <c r="H21" s="60"/>
      <c r="I21" s="14"/>
      <c r="J21" s="14"/>
      <c r="K21" s="14"/>
      <c r="L21" s="14"/>
      <c r="M21" s="14"/>
      <c r="N21" s="30"/>
      <c r="O21" s="30"/>
      <c r="P21" s="30"/>
      <c r="Q21" s="1"/>
      <c r="R21" s="1"/>
    </row>
    <row r="22" ht="15.75" customHeight="1">
      <c r="A22" s="1"/>
      <c r="B22" s="14"/>
      <c r="C22" s="67"/>
      <c r="D22" s="91"/>
      <c r="E22" s="16"/>
      <c r="F22" s="14"/>
      <c r="G22" s="46"/>
      <c r="H22" s="60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4"/>
      <c r="C23" s="67"/>
      <c r="D23" s="91"/>
      <c r="E23" s="16"/>
      <c r="F23" s="14"/>
      <c r="G23" s="46"/>
      <c r="H23" s="60"/>
      <c r="I23" s="14"/>
      <c r="J23" s="14"/>
      <c r="K23" s="14"/>
      <c r="L23" s="14"/>
      <c r="M23" s="14"/>
      <c r="N23" s="30"/>
      <c r="O23" s="30"/>
      <c r="P23" s="30"/>
      <c r="Q23" s="1"/>
      <c r="R23" s="1"/>
    </row>
    <row r="24" ht="15.75" customHeight="1">
      <c r="A24" s="1"/>
      <c r="B24" s="14"/>
      <c r="C24" s="67"/>
      <c r="D24" s="91"/>
      <c r="E24" s="16"/>
      <c r="F24" s="14"/>
      <c r="G24" s="46"/>
      <c r="H24" s="60"/>
      <c r="I24" s="14"/>
      <c r="J24" s="14"/>
      <c r="K24" s="14"/>
      <c r="L24" s="14"/>
      <c r="M24" s="14"/>
      <c r="N24" s="30"/>
      <c r="O24" s="30"/>
      <c r="P24" s="30"/>
      <c r="Q24" s="1"/>
      <c r="R24" s="1"/>
    </row>
    <row r="25" ht="15.75" customHeight="1">
      <c r="A25" s="1"/>
      <c r="B25" s="14"/>
      <c r="C25" s="67"/>
      <c r="D25" s="91"/>
      <c r="E25" s="16"/>
      <c r="F25" s="14"/>
      <c r="G25" s="46"/>
      <c r="H25" s="60"/>
      <c r="I25" s="14"/>
      <c r="J25" s="14"/>
      <c r="K25" s="14"/>
      <c r="L25" s="14"/>
      <c r="M25" s="14"/>
      <c r="N25" s="30"/>
      <c r="O25" s="30"/>
      <c r="P25" s="30"/>
      <c r="Q25" s="1"/>
      <c r="R25" s="1"/>
    </row>
    <row r="26" ht="15.75" customHeight="1">
      <c r="A26" s="1"/>
      <c r="B26" s="14"/>
      <c r="C26" s="67"/>
      <c r="D26" s="91"/>
      <c r="E26" s="16"/>
      <c r="F26" s="14"/>
      <c r="G26" s="46"/>
      <c r="H26" s="60"/>
      <c r="I26" s="14"/>
      <c r="J26" s="14"/>
      <c r="K26" s="14"/>
      <c r="L26" s="14"/>
      <c r="M26" s="14"/>
      <c r="N26" s="30"/>
      <c r="O26" s="30"/>
      <c r="P26" s="30"/>
      <c r="Q26" s="1"/>
      <c r="R26" s="1"/>
    </row>
    <row r="27" ht="15.75" customHeight="1">
      <c r="A27" s="1"/>
      <c r="B27" s="14"/>
      <c r="C27" s="67"/>
      <c r="D27" s="91"/>
      <c r="E27" s="16"/>
      <c r="F27" s="14"/>
      <c r="G27" s="46"/>
      <c r="H27" s="60"/>
      <c r="I27" s="14"/>
      <c r="J27" s="14"/>
      <c r="K27" s="14"/>
      <c r="L27" s="14"/>
      <c r="M27" s="14"/>
      <c r="N27" s="30"/>
      <c r="O27" s="30"/>
      <c r="P27" s="30"/>
      <c r="Q27" s="1"/>
      <c r="R27" s="1"/>
    </row>
    <row r="28" ht="15.75" customHeight="1">
      <c r="A28" s="1"/>
      <c r="B28" s="14"/>
      <c r="C28" s="67"/>
      <c r="D28" s="91"/>
      <c r="E28" s="16"/>
      <c r="F28" s="14"/>
      <c r="G28" s="46"/>
      <c r="H28" s="60"/>
      <c r="I28" s="14"/>
      <c r="J28" s="14"/>
      <c r="K28" s="14"/>
      <c r="L28" s="14"/>
      <c r="M28" s="14"/>
      <c r="N28" s="30"/>
      <c r="O28" s="30"/>
      <c r="P28" s="30"/>
      <c r="Q28" s="1"/>
      <c r="R28" s="1"/>
    </row>
    <row r="29" ht="15.75" customHeight="1">
      <c r="A29" s="1"/>
      <c r="B29" s="14"/>
      <c r="C29" s="67"/>
      <c r="D29" s="91"/>
      <c r="E29" s="16"/>
      <c r="F29" s="14"/>
      <c r="G29" s="46"/>
      <c r="H29" s="60"/>
      <c r="I29" s="14"/>
      <c r="J29" s="14"/>
      <c r="K29" s="14"/>
      <c r="L29" s="14"/>
      <c r="M29" s="14"/>
      <c r="N29" s="30"/>
      <c r="O29" s="30"/>
      <c r="P29" s="30"/>
      <c r="Q29" s="1"/>
      <c r="R29" s="1"/>
    </row>
    <row r="30" ht="15.75" customHeight="1">
      <c r="A30" s="1"/>
      <c r="B30" s="14"/>
      <c r="C30" s="67"/>
      <c r="D30" s="91"/>
      <c r="E30" s="16"/>
      <c r="F30" s="14"/>
      <c r="G30" s="46"/>
      <c r="H30" s="60"/>
      <c r="I30" s="14"/>
      <c r="J30" s="14"/>
      <c r="K30" s="14"/>
      <c r="L30" s="14"/>
      <c r="M30" s="14"/>
      <c r="N30" s="30"/>
      <c r="O30" s="30"/>
      <c r="P30" s="30"/>
      <c r="Q30" s="1"/>
      <c r="R30" s="1"/>
    </row>
    <row r="31" ht="15.75" customHeight="1">
      <c r="A31" s="1"/>
      <c r="B31" s="14"/>
      <c r="C31" s="67"/>
      <c r="D31" s="91"/>
      <c r="E31" s="16"/>
      <c r="F31" s="14"/>
      <c r="G31" s="46"/>
      <c r="H31" s="60"/>
      <c r="I31" s="14"/>
      <c r="J31" s="14"/>
      <c r="K31" s="14"/>
      <c r="L31" s="14"/>
      <c r="M31" s="14"/>
      <c r="N31" s="30"/>
      <c r="O31" s="30"/>
      <c r="P31" s="30"/>
      <c r="Q31" s="1"/>
      <c r="R31" s="1"/>
    </row>
    <row r="32" ht="15.75" customHeight="1">
      <c r="A32" s="1"/>
      <c r="B32" s="14"/>
      <c r="C32" s="67"/>
      <c r="D32" s="91"/>
      <c r="E32" s="16"/>
      <c r="F32" s="14"/>
      <c r="G32" s="46"/>
      <c r="H32" s="60"/>
      <c r="I32" s="14"/>
      <c r="J32" s="14"/>
      <c r="K32" s="14"/>
      <c r="L32" s="14"/>
      <c r="M32" s="14"/>
      <c r="N32" s="30"/>
      <c r="O32" s="30"/>
      <c r="P32" s="30"/>
      <c r="Q32" s="1"/>
      <c r="R32" s="1"/>
    </row>
    <row r="33" ht="15.75" customHeight="1">
      <c r="A33" s="1"/>
      <c r="B33" s="14"/>
      <c r="C33" s="67"/>
      <c r="D33" s="91"/>
      <c r="E33" s="16"/>
      <c r="F33" s="14"/>
      <c r="G33" s="46"/>
      <c r="H33" s="60"/>
      <c r="I33" s="14"/>
      <c r="J33" s="14"/>
      <c r="K33" s="14"/>
      <c r="L33" s="14"/>
      <c r="M33" s="14"/>
      <c r="N33" s="30"/>
      <c r="O33" s="30"/>
      <c r="P33" s="30"/>
      <c r="Q33" s="1"/>
      <c r="R33" s="1"/>
    </row>
    <row r="34" ht="15.75" customHeight="1">
      <c r="A34" s="1"/>
      <c r="B34" s="14"/>
      <c r="C34" s="67"/>
      <c r="D34" s="91"/>
      <c r="E34" s="16"/>
      <c r="F34" s="14"/>
      <c r="G34" s="46"/>
      <c r="H34" s="60"/>
      <c r="I34" s="14"/>
      <c r="J34" s="14"/>
      <c r="K34" s="14"/>
      <c r="L34" s="14"/>
      <c r="M34" s="14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174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175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182</v>
      </c>
      <c r="O39" s="26"/>
      <c r="P39" s="1"/>
      <c r="Q39" s="1"/>
      <c r="R39" s="1"/>
    </row>
    <row r="40" ht="15.75" customHeight="1">
      <c r="A40" s="1"/>
      <c r="B40" s="78">
        <v>2.0</v>
      </c>
      <c r="C40" s="81"/>
      <c r="D40" s="83"/>
      <c r="E40" s="75"/>
      <c r="F40" s="1"/>
      <c r="G40" s="1"/>
      <c r="H40" s="1"/>
      <c r="I40" s="1"/>
      <c r="J40" s="1"/>
      <c r="K40" s="1"/>
      <c r="L40" s="1"/>
      <c r="M40" s="1"/>
      <c r="N40" s="82" t="s">
        <v>188</v>
      </c>
      <c r="O40" s="65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193</v>
      </c>
      <c r="O41" s="30"/>
      <c r="P41" s="1"/>
      <c r="Q41" s="1"/>
      <c r="R41" s="1"/>
    </row>
    <row r="42" ht="15.75" customHeight="1">
      <c r="A42" s="1"/>
      <c r="B42" s="78">
        <v>4.0</v>
      </c>
      <c r="C42" s="81"/>
      <c r="D42" s="83"/>
      <c r="E42" s="75"/>
      <c r="F42" s="1"/>
      <c r="G42" s="1"/>
      <c r="H42" s="1"/>
      <c r="I42" s="1"/>
      <c r="J42" s="1"/>
      <c r="K42" s="1"/>
      <c r="L42" s="1"/>
      <c r="M42" s="1"/>
      <c r="N42" s="87" t="s">
        <v>195</v>
      </c>
      <c r="O42" s="65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1"/>
      <c r="D44" s="83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1"/>
      <c r="D46" s="83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1"/>
      <c r="D48" s="83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6" t="s">
        <v>618</v>
      </c>
      <c r="AU1" s="92" t="s">
        <v>619</v>
      </c>
    </row>
    <row r="2">
      <c r="A2" s="177" t="s">
        <v>620</v>
      </c>
      <c r="AU2" s="92">
        <v>1.0</v>
      </c>
    </row>
    <row r="3">
      <c r="AU3" s="92">
        <v>2.0</v>
      </c>
    </row>
    <row r="4">
      <c r="A4" s="178" t="s">
        <v>621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622</v>
      </c>
      <c r="CB4" s="92" t="s">
        <v>623</v>
      </c>
    </row>
    <row r="5">
      <c r="A5" s="179" t="s">
        <v>624</v>
      </c>
      <c r="B5" s="179" t="s">
        <v>2</v>
      </c>
      <c r="C5" s="179" t="s">
        <v>625</v>
      </c>
      <c r="D5" s="179" t="s">
        <v>626</v>
      </c>
      <c r="E5" s="179" t="s">
        <v>627</v>
      </c>
      <c r="X5" s="92" t="s">
        <v>21</v>
      </c>
      <c r="Y5" s="92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141</v>
      </c>
      <c r="Z5" s="92">
        <f t="shared" ref="Z5:Z17" si="1">Y5+(18-ROW())/100000</f>
        <v>141.00013</v>
      </c>
      <c r="AA5" s="92" t="s">
        <v>25</v>
      </c>
      <c r="AB5" s="92" t="s">
        <v>628</v>
      </c>
      <c r="AC5" s="92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23</v>
      </c>
      <c r="AD5" s="92">
        <f t="shared" ref="AD5:AD15" si="2">AC5+(16-ROW())/100000</f>
        <v>23.00011</v>
      </c>
      <c r="AE5" s="92" t="s">
        <v>25</v>
      </c>
      <c r="AF5" s="92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202</v>
      </c>
      <c r="AG5" s="92">
        <f t="shared" ref="AG5:AG9" si="3">AF5+(10-ROW())/100000</f>
        <v>202.00005</v>
      </c>
      <c r="AH5" s="92" t="s">
        <v>629</v>
      </c>
      <c r="AI5" s="92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2">
        <f t="shared" ref="AJ5:AJ10" si="4">AI5+(11-ROW())/100000</f>
        <v>0.00006</v>
      </c>
      <c r="AK5" s="92" t="s">
        <v>25</v>
      </c>
      <c r="AL5" s="92" t="s">
        <v>628</v>
      </c>
      <c r="AM5" s="92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21</v>
      </c>
      <c r="AN5" s="92">
        <f t="shared" ref="AN5:AN15" si="5">IF(AM5=0,"",AO5/5*20+AP5/5*25+AQ5/5*25+AR5/5*15+AS5/5*15)</f>
        <v>99.85714286</v>
      </c>
      <c r="AO5" s="92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2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2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2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4.952380952</v>
      </c>
      <c r="AS5" s="92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2">
        <v>4.0</v>
      </c>
      <c r="AV5" s="92">
        <f>IF(COUNTIFS('1'!$AG$64:$AG$69,$AK5,'1'!$AF$64:$AF$69,1)=0,"",SUMIFS('1'!$AC$64:$AC$69,'1'!$AG$64:$AG$69,$AK5,'1'!$AF$64:$AF$69,1)/COUNTIFS('1'!$AG$64:$AG$69,$AK5,'1'!$AF$64:$AF$69,1))</f>
        <v>100</v>
      </c>
      <c r="AW5" s="92">
        <f>IF(COUNTIFS('2'!$AG$64:$AG$69,$AK5,'2'!$AF$64:$AF$69,1)=0,"",SUMIFS('2'!$AC$64:$AC$69,'2'!$AG$64:$AG$69,$AK5,'2'!$AF$64:$AF$69,1)/COUNTIFS('2'!$AG$64:$AG$69,$AK5,'2'!$AF$64:$AF$69,1))</f>
        <v>100</v>
      </c>
      <c r="AX5" s="92">
        <f>IF(COUNTIFS('3'!$AG$42:$AG$47,$AK5,'3'!$AF$42:$AF$47,1)=0,"",SUMIFS('3'!$AC$42:$AC$47,'3'!$AG$42:$AG$47,$AK5,'3'!$AF$42:$AF$47,1)/COUNTIFS('3'!$AG$42:$AG$47,$AK5,'3'!$AF$42:$AF$47,1))</f>
        <v>100</v>
      </c>
      <c r="AY5" s="92">
        <f>IF(COUNTIFS('4'!$AG$40:$AG$45,$AK5,'4'!$AF$40:$AF$45,1)=0,"",SUMIFS('4'!$AC$40:$AC$45,'4'!$AG$40:$AG$45,$AK5,'4'!$AF$40:$AF$45,1)/COUNTIFS('4'!$AG$40:$AG$45,$AK5,'4'!$AF$40:$AF$45,1))</f>
        <v>98.5</v>
      </c>
      <c r="AZ5" s="92">
        <f>IF(COUNTIFS('5'!$AG$35:$AG$40,$AK5,'5'!$AF$35:$AF$40,1)=0,"",SUMIFS('5'!$AC$35:$AC$40,'5'!$AG$35:$AG$40,$AK5,'5'!$AF$35:$AF$40,1)/COUNTIFS('5'!$AG$35:$AG$40,$AK5,'5'!$AF$35:$AF$40,1))</f>
        <v>100</v>
      </c>
      <c r="BA5" s="92" t="str">
        <f>IF(COUNTIFS('6'!$AG$37:$AG$42,$AK5,'6'!$AF$37:$AF$42,1)=0,"",SUMIFS('6'!$AC$37:$AC$42,'6'!$AG$37:$AG$42,$AK5,'6'!$AF$37:$AF$42,1)/COUNTIFS('6'!$AG$37:$AG$42,$AK5,'6'!$AF$37:$AF$42,1))</f>
        <v/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>
        <f>IF(COUNTIFS('8'!$AG$76:$AG$81,$AK5,'8'!$AF$76:$AF$81,1)=0,"",SUMIFS('8'!$AC$76:$AC$81,'8'!$AG$76:$AG$81,$AK5,'8'!$AF$76:$AF$81,1)/COUNTIFS('8'!$AG$76:$AG$81,$AK5,'8'!$AF$76:$AF$81,1))</f>
        <v>100</v>
      </c>
      <c r="BD5" s="92">
        <f>IF(COUNTIFS('9'!$AG$72:$AG$77,$AK5,'9'!$AF$72:$AF$77,1)=0,"",SUMIFS('9'!$AC$72:$AC$77,'9'!$AG$72:$AG$77,$AK5,'9'!$AF$72:$AF$77,1)/COUNTIFS('9'!$AG$72:$AG$77,$AK5,'9'!$AF$72:$AF$77,1))</f>
        <v>100</v>
      </c>
      <c r="BE5" s="92">
        <f>IF(COUNTIFS('10'!$AG$30:$AG$35,$AK5,'10'!$AF$30:$AF$35,1)=0,"",SUMIFS('10'!$AC$30:$AC$35,'10'!$AG$30:$AG$35,$AK5,'10'!$AF$30:$AF$35,1)/COUNTIFS('10'!$AG$30:$AG$35,$AK5,'10'!$AF$30:$AF$35,1))</f>
        <v>100</v>
      </c>
      <c r="BF5" s="92" t="str">
        <f>IF(COUNTIFS('11'!$AG$34:$AG$39,$AK5,'11'!$AF$34:$AF$39,1)=0,"",SUMIFS('11'!$AC$34:$AC$39,'11'!$AG$34:$AG$39,$AK5,'11'!$AF$34:$AF$39,1)/COUNTIFS('11'!$AG$34:$AG$39,$AK5,'11'!$AF$34:$AF$39,1))</f>
        <v/>
      </c>
      <c r="BG5" s="92">
        <f>IF(COUNTIFS('12'!$AG$35:$AG$40,$AK5,'12'!$AF$35:$AF$40,1)=0,"",SUMIFS('12'!$AC$35:$AC$40,'12'!$AG$35:$AG$40,$AK5,'12'!$AF$35:$AF$40,1)/COUNTIFS('12'!$AG$35:$AG$40,$AK5,'12'!$AF$35:$AF$40,1))</f>
        <v>100</v>
      </c>
      <c r="BH5" s="92">
        <f>IF(COUNTIFS('13'!$AG$39:$AG$44,$AK5,'13'!$AF$39:$AF$44,1)=0,"",SUMIFS('13'!$AC$39:$AC$44,'13'!$AG$39:$AG$44,$AK5,'13'!$AF$39:$AF$44,1)/COUNTIFS('13'!$AG$39:$AG$44,$AK5,'13'!$AF$39:$AF$44,1))</f>
        <v>100</v>
      </c>
      <c r="BI5" s="92">
        <f>IF(COUNTIFS('14'!$AG$37:$AG$42,$AK5,'14'!$AF$37:$AF$42,1)=0,"",SUMIFS('14'!$AC$37:$AC$42,'14'!$AG$37:$AG$42,$AK5,'14'!$AF$37:$AF$42,1)/COUNTIFS('14'!$AG$37:$AG$42,$AK5,'14'!$AF$37:$AF$42,1))</f>
        <v>100</v>
      </c>
      <c r="BJ5" s="92">
        <f>IF(COUNTIFS('15'!$AG$36:$AG$41,$AK5,'15'!$AF$36:$AF$41,1)=0,"",SUMIFS('15'!$AC$36:$AC$41,'15'!$AG$36:$AG$41,$AK5,'15'!$AF$36:$AF$41,1)/COUNTIFS('15'!$AG$36:$AG$41,$AK5,'15'!$AF$36:$AF$41,1))</f>
        <v>100</v>
      </c>
      <c r="BK5" s="92">
        <f>IF(COUNTIFS('16'!$AG$34:$AG$39,$AK5,'16'!$AF$34:$AF$39,1)=0,"",SUMIFS('16'!$AC$34:$AC$39,'16'!$AG$34:$AG$39,$AK5,'16'!$AF$34:$AF$39,1)/COUNTIFS('16'!$AG$34:$AG$39,$AK5,'16'!$AF$34:$AF$39,1))</f>
        <v>100</v>
      </c>
      <c r="BL5" s="92" t="str">
        <f>IF(COUNTIFS('17'!$AG$37:$AG$42,$AK5,'17'!$AF$37:$AF$42,1)=0,"",SUMIFS('17'!$AC$37:$AC$42,'17'!$AG$37:$AG$42,$AK5,'17'!$AF$37:$AF$42,1)/COUNTIFS('17'!$AG$37:$AG$42,$AK5,'17'!$AF$37:$AF$42,1))</f>
        <v/>
      </c>
      <c r="BM5" s="92">
        <f>IF(COUNTIFS('18'!$AG$37:$AG$42,$AK5,'18'!$AF$37:$AF$42,1)=0,"",SUMIFS('18'!$AC$37:$AC$42,'18'!$AG$37:$AG$42,$AK5,'18'!$AF$37:$AF$42,1)/COUNTIFS('18'!$AG$37:$AG$42,$AK5,'18'!$AF$37:$AF$42,1))</f>
        <v>100</v>
      </c>
      <c r="BN5" s="92">
        <f>IF(COUNTIFS('19'!$AG$38:$AG$43,$AK5,'19'!$AF$38:$AF$43,1)=0,"",SUMIFS('19'!$AC$38:$AC$43,'19'!$AG$38:$AG$43,$AK5,'19'!$AF$38:$AF$43,1)/COUNTIFS('19'!$AG$38:$AG$43,$AK5,'19'!$AF$38:$AF$43,1))</f>
        <v>100</v>
      </c>
      <c r="BO5" s="92">
        <f>IF(COUNTIFS('20'!$AG$40:$AG$45,$AK5,'20'!$AF$40:$AF$45,1)=0,"",SUMIFS('20'!$AC$40:$AC$45,'20'!$AG$40:$AG$45,$AK5,'20'!$AF$40:$AF$45,1)/COUNTIFS('20'!$AG$40:$AG$45,$AK5,'20'!$AF$40:$AF$45,1))</f>
        <v>100</v>
      </c>
      <c r="BP5" s="92" t="str">
        <f>IF(COUNTIFS('21'!$AG$30:$AG$35,$AK5,'21'!$AF$30:$AF$35,1)=0,"",SUMIFS('21'!$AC$30:$AC$35,'21'!$AG$30:$AG$35,$AK5,'21'!$AF$30:$AF$35,1)/COUNTIFS('21'!$AG$30:$AG$35,$AK5,'21'!$AF$30:$AF$35,1))</f>
        <v/>
      </c>
      <c r="BQ5" s="92" t="str">
        <f>IF(COUNTIFS('22'!$AG$45:$AG$50,$AK5,'22'!$AF$45:$AF$50,1)=0,"",SUMIFS('22'!$AC$45:$AC$50,'22'!$AG$45:$AG$50,$AK5,'22'!$AF$45:$AF$50,1)/COUNTIFS('22'!$AG$45:$AG$50,$AK5,'22'!$AF$45:$AF$50,1))</f>
        <v/>
      </c>
      <c r="BR5" s="92">
        <f>IF(COUNTIFS('23'!$AG$46:$AG$51,$AK5,'23'!$AF$46:$AF$51,1)=0,"",SUMIFS('23'!$AC$46:$AC$51,'23'!$AG$46:$AG$51,$AK5,'23'!$AF$46:$AF$51,1)/COUNTIFS('23'!$AG$46:$AG$51,$AK5,'23'!$AF$46:$AF$51,1))</f>
        <v>100</v>
      </c>
      <c r="BS5" s="92" t="str">
        <f>IF(COUNTIFS('24'!$AG$39:$AG$44,$AK5,'24'!$AF$39:$AF$44,1)=0,"",SUMIFS('24'!$AC$39:$AC$44,'24'!$AG$39:$AG$44,$AK5,'24'!$AF$39:$AF$44,1)/COUNTIFS('24'!$AG$39:$AG$44,$AK5,'24'!$AF$39:$AF$44,1))</f>
        <v/>
      </c>
      <c r="BT5" s="92" t="str">
        <f>IF(COUNTIFS('25'!$AG$33:$AG$38,$AK5,'25'!$AF$33:$AF$38,1)=0,"",SUMIFS('25'!$AC$33:$AC$38,'25'!$AG$33:$AG$38,$AK5,'25'!$AF$33:$AF$38,1)/COUNTIFS('25'!$AG$33:$AG$38,$AK5,'25'!$AF$33:$AF$38,1))</f>
        <v/>
      </c>
      <c r="BU5" s="92" t="str">
        <f>IF(COUNTIFS('26'!$AG$37:$AG$42,$AK5,'26'!$AF$37:$AF$42,1)=0,"",SUMIFS('26'!$AC$37:$AC$42,'26'!$AG$37:$AG$42,$AK5,'26'!$AF$37:$AF$42,1)/COUNTIFS('26'!$AG$37:$AG$42,$AK5,'26'!$AF$37:$AF$42,1))</f>
        <v/>
      </c>
      <c r="BV5" s="92" t="str">
        <f>IF(COUNTIFS('27'!$AG$42:$AG$47,$AK5,'27'!$AF$42:$AF$47,1)=0,"",SUMIFS('27'!$AC$42:$AC$47,'27'!$AG$42:$AG$47,$AK5,'27'!$AF$42:$AF$47,1)/COUNTIFS('27'!$AG$42:$AG$47,$AK5,'27'!$AF$42:$AF$47,1))</f>
        <v/>
      </c>
      <c r="BW5" s="92" t="str">
        <f>IF(COUNTIFS('28'!$AG$37:$AG$42,$AK5,'28'!$AF$37:$AF$42,1)=0,"",SUMIFS('28'!$AC$37:$AC$42,'28'!$AG$37:$AG$42,$AK5,'28'!$AF$37:$AF$42,1)/COUNTIFS('28'!$AG$37:$AG$42,$AK5,'28'!$AF$37:$AF$42,1))</f>
        <v/>
      </c>
      <c r="BX5" s="92" t="str">
        <f>IF(COUNTIFS('29'!$AG$41:$AG$46,$AK5,'29'!$AF$41:$AF$46,1)=0,"",SUMIFS('29'!$AC$41:$AC$46,'29'!$AG$41:$AG$46,$AK5,'29'!$AF$41:$AF$46,1)/COUNTIFS('29'!$AG$41:$AG$46,$AK5,'29'!$AF$41:$AF$46,1))</f>
        <v/>
      </c>
      <c r="BY5" s="92" t="str">
        <f>IF(COUNTIFS('30'!$AG$33:$AG$38,$AK5,'30'!$AF$33:$AF$38,1)=0,"",SUMIFS('30'!$AC$33:$AC$38,'30'!$AG$33:$AG$38,$AK5,'30'!$AF$33:$AF$38,1)/COUNTIFS('30'!$AG$33:$AG$38,$AK5,'30'!$AF$33:$AF$38,1))</f>
        <v/>
      </c>
      <c r="BZ5" s="92" t="str">
        <f>IF(COUNTIFS('31'!$AG$56:$AG$61,$AK5,'31'!$AF$56:$AF$61,1)=0,"",SUMIFS('31'!$AC$56:$AC$61,'31'!$AG$56:$AG$61,$AK5,'31'!$AF$56:$AF$61,1)/COUNTIFS('31'!$AG$56:$AG$61,$AK5,'31'!$AF$56:$AF$61,1))</f>
        <v/>
      </c>
      <c r="CA5" s="92" t="s">
        <v>630</v>
      </c>
      <c r="CB5" s="92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276</v>
      </c>
      <c r="D6" s="184">
        <f t="shared" ref="D6:D18" si="9">IF(C6="","",C6/$C$19)</f>
        <v>0.5267175573</v>
      </c>
      <c r="E6" s="184">
        <f t="shared" ref="E6:E18" si="10">IF(D6="","",SUM($D$6:D6))</f>
        <v>0.5267175573</v>
      </c>
      <c r="X6" s="92" t="s">
        <v>20</v>
      </c>
      <c r="Y6" s="92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276</v>
      </c>
      <c r="Z6" s="92">
        <f t="shared" si="1"/>
        <v>276.00012</v>
      </c>
      <c r="AA6" s="92" t="s">
        <v>95</v>
      </c>
      <c r="AB6" s="92" t="s">
        <v>628</v>
      </c>
      <c r="AC6" s="92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2">
        <f t="shared" si="2"/>
        <v>0.0001</v>
      </c>
      <c r="AE6" s="92" t="s">
        <v>95</v>
      </c>
      <c r="AF6" s="92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2">
        <f t="shared" si="3"/>
        <v>21.00004</v>
      </c>
      <c r="AH6" s="92" t="s">
        <v>53</v>
      </c>
      <c r="AI6" s="92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2">
        <f t="shared" si="4"/>
        <v>32.00005</v>
      </c>
      <c r="AK6" s="92" t="s">
        <v>95</v>
      </c>
      <c r="AL6" s="92" t="s">
        <v>628</v>
      </c>
      <c r="AM6" s="92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2" t="str">
        <f t="shared" si="5"/>
        <v/>
      </c>
      <c r="AO6" s="92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2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2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2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2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2">
        <v>5.0</v>
      </c>
      <c r="AV6" s="92" t="str">
        <f>IF(COUNTIFS('1'!$AG$64:$AG$69,$AK6,'1'!$AF$64:$AF$69,1)=0,"",SUMIFS('1'!$AC$64:$AC$69,'1'!$AG$64:$AG$69,$AK6,'1'!$AF$64:$AF$69,1)/COUNTIFS('1'!$AG$64:$AG$69,$AK6,'1'!$AF$64:$AF$69,1))</f>
        <v/>
      </c>
      <c r="AW6" s="92" t="str">
        <f>IF(COUNTIFS('2'!$AG$64:$AG$69,$AK6,'2'!$AF$64:$AF$69,1)=0,"",SUMIFS('2'!$AC$64:$AC$69,'2'!$AG$64:$AG$69,$AK6,'2'!$AF$64:$AF$69,1)/COUNTIFS('2'!$AG$64:$AG$69,$AK6,'2'!$AF$64:$AF$69,1))</f>
        <v/>
      </c>
      <c r="AX6" s="92" t="str">
        <f>IF(COUNTIFS('3'!$AG$42:$AG$47,$AK6,'3'!$AF$42:$AF$47,1)=0,"",SUMIFS('3'!$AC$42:$AC$47,'3'!$AG$42:$AG$47,$AK6,'3'!$AF$42:$AF$47,1)/COUNTIFS('3'!$AG$42:$AG$47,$AK6,'3'!$AF$42:$AF$47,1))</f>
        <v/>
      </c>
      <c r="AY6" s="92" t="str">
        <f>IF(COUNTIFS('4'!$AG$40:$AG$45,$AK6,'4'!$AF$40:$AF$45,1)=0,"",SUMIFS('4'!$AC$40:$AC$45,'4'!$AG$40:$AG$45,$AK6,'4'!$AF$40:$AF$45,1)/COUNTIFS('4'!$AG$40:$AG$45,$AK6,'4'!$AF$40:$AF$45,1))</f>
        <v/>
      </c>
      <c r="AZ6" s="92" t="str">
        <f>IF(COUNTIFS('5'!$AG$35:$AG$40,$AK6,'5'!$AF$35:$AF$40,1)=0,"",SUMIFS('5'!$AC$35:$AC$40,'5'!$AG$35:$AG$40,$AK6,'5'!$AF$35:$AF$40,1)/COUNTIFS('5'!$AG$35:$AG$40,$AK6,'5'!$AF$35:$AF$40,1))</f>
        <v/>
      </c>
      <c r="BA6" s="92" t="str">
        <f>IF(COUNTIFS('6'!$AG$37:$AG$42,$AK6,'6'!$AF$37:$AF$42,1)=0,"",SUMIFS('6'!$AC$37:$AC$42,'6'!$AG$37:$AG$42,$AK6,'6'!$AF$37:$AF$42,1)/COUNTIFS('6'!$AG$37:$AG$42,$AK6,'6'!$AF$37:$AF$42,1))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IF(COUNTIFS('8'!$AG$76:$AG$81,$AK6,'8'!$AF$76:$AF$81,1)=0,"",SUMIFS('8'!$AC$76:$AC$81,'8'!$AG$76:$AG$81,$AK6,'8'!$AF$76:$AF$81,1)/COUNTIFS('8'!$AG$76:$AG$81,$AK6,'8'!$AF$76:$AF$81,1))</f>
        <v/>
      </c>
      <c r="BD6" s="92" t="str">
        <f>IF(COUNTIFS('9'!$AG$72:$AG$77,$AK6,'9'!$AF$72:$AF$77,1)=0,"",SUMIFS('9'!$AC$72:$AC$77,'9'!$AG$72:$AG$77,$AK6,'9'!$AF$72:$AF$77,1)/COUNTIFS('9'!$AG$72:$AG$77,$AK6,'9'!$AF$72:$AF$77,1))</f>
        <v/>
      </c>
      <c r="BE6" s="92" t="str">
        <f>IF(COUNTIFS('10'!$AG$30:$AG$35,$AK6,'10'!$AF$30:$AF$35,1)=0,"",SUMIFS('10'!$AC$30:$AC$35,'10'!$AG$30:$AG$35,$AK6,'10'!$AF$30:$AF$35,1)/COUNTIFS('10'!$AG$30:$AG$35,$AK6,'10'!$AF$30:$AF$35,1))</f>
        <v/>
      </c>
      <c r="BF6" s="92" t="str">
        <f>IF(COUNTIFS('11'!$AG$34:$AG$39,$AK6,'11'!$AF$34:$AF$39,1)=0,"",SUMIFS('11'!$AC$34:$AC$39,'11'!$AG$34:$AG$39,$AK6,'11'!$AF$34:$AF$39,1)/COUNTIFS('11'!$AG$34:$AG$39,$AK6,'11'!$AF$34:$AF$39,1))</f>
        <v/>
      </c>
      <c r="BG6" s="92" t="str">
        <f>IF(COUNTIFS('12'!$AG$35:$AG$40,$AK6,'12'!$AF$35:$AF$40,1)=0,"",SUMIFS('12'!$AC$35:$AC$40,'12'!$AG$35:$AG$40,$AK6,'12'!$AF$35:$AF$40,1)/COUNTIFS('12'!$AG$35:$AG$40,$AK6,'12'!$AF$35:$AF$40,1))</f>
        <v/>
      </c>
      <c r="BH6" s="92" t="str">
        <f>IF(COUNTIFS('13'!$AG$39:$AG$44,$AK6,'13'!$AF$39:$AF$44,1)=0,"",SUMIFS('13'!$AC$39:$AC$44,'13'!$AG$39:$AG$44,$AK6,'13'!$AF$39:$AF$44,1)/COUNTIFS('13'!$AG$39:$AG$44,$AK6,'13'!$AF$39:$AF$44,1))</f>
        <v/>
      </c>
      <c r="BI6" s="92" t="str">
        <f>IF(COUNTIFS('14'!$AG$37:$AG$42,$AK6,'14'!$AF$37:$AF$42,1)=0,"",SUMIFS('14'!$AC$37:$AC$42,'14'!$AG$37:$AG$42,$AK6,'14'!$AF$37:$AF$42,1)/COUNTIFS('14'!$AG$37:$AG$42,$AK6,'14'!$AF$37:$AF$42,1))</f>
        <v/>
      </c>
      <c r="BJ6" s="92" t="str">
        <f>IF(COUNTIFS('15'!$AG$36:$AG$41,$AK6,'15'!$AF$36:$AF$41,1)=0,"",SUMIFS('15'!$AC$36:$AC$41,'15'!$AG$36:$AG$41,$AK6,'15'!$AF$36:$AF$41,1)/COUNTIFS('15'!$AG$36:$AG$41,$AK6,'15'!$AF$36:$AF$41,1))</f>
        <v/>
      </c>
      <c r="BK6" s="92" t="str">
        <f>IF(COUNTIFS('16'!$AG$34:$AG$39,$AK6,'16'!$AF$34:$AF$39,1)=0,"",SUMIFS('16'!$AC$34:$AC$39,'16'!$AG$34:$AG$39,$AK6,'16'!$AF$34:$AF$39,1)/COUNTIFS('16'!$AG$34:$AG$39,$AK6,'16'!$AF$34:$AF$39,1))</f>
        <v/>
      </c>
      <c r="BL6" s="92" t="str">
        <f>IF(COUNTIFS('17'!$AG$37:$AG$42,$AK6,'17'!$AF$37:$AF$42,1)=0,"",SUMIFS('17'!$AC$37:$AC$42,'17'!$AG$37:$AG$42,$AK6,'17'!$AF$37:$AF$42,1)/COUNTIFS('17'!$AG$37:$AG$42,$AK6,'17'!$AF$37:$AF$42,1))</f>
        <v/>
      </c>
      <c r="BM6" s="92" t="str">
        <f>IF(COUNTIFS('18'!$AG$37:$AG$42,$AK6,'18'!$AF$37:$AF$42,1)=0,"",SUMIFS('18'!$AC$37:$AC$42,'18'!$AG$37:$AG$42,$AK6,'18'!$AF$37:$AF$42,1)/COUNTIFS('18'!$AG$37:$AG$42,$AK6,'18'!$AF$37:$AF$42,1))</f>
        <v/>
      </c>
      <c r="BN6" s="92" t="str">
        <f>IF(COUNTIFS('19'!$AG$38:$AG$43,$AK6,'19'!$AF$38:$AF$43,1)=0,"",SUMIFS('19'!$AC$38:$AC$43,'19'!$AG$38:$AG$43,$AK6,'19'!$AF$38:$AF$43,1)/COUNTIFS('19'!$AG$38:$AG$43,$AK6,'19'!$AF$38:$AF$43,1))</f>
        <v/>
      </c>
      <c r="BO6" s="92" t="str">
        <f>IF(COUNTIFS('20'!$AG$40:$AG$45,$AK6,'20'!$AF$40:$AF$45,1)=0,"",SUMIFS('20'!$AC$40:$AC$45,'20'!$AG$40:$AG$45,$AK6,'20'!$AF$40:$AF$45,1)/COUNTIFS('20'!$AG$40:$AG$45,$AK6,'20'!$AF$40:$AF$45,1))</f>
        <v/>
      </c>
      <c r="BP6" s="92" t="str">
        <f>IF(COUNTIFS('21'!$AG$30:$AG$35,$AK6,'21'!$AF$30:$AF$35,1)=0,"",SUMIFS('21'!$AC$30:$AC$35,'21'!$AG$30:$AG$35,$AK6,'21'!$AF$30:$AF$35,1)/COUNTIFS('21'!$AG$30:$AG$35,$AK6,'21'!$AF$30:$AF$35,1))</f>
        <v/>
      </c>
      <c r="BQ6" s="92" t="str">
        <f>IF(COUNTIFS('22'!$AG$45:$AG$50,$AK6,'22'!$AF$45:$AF$50,1)=0,"",SUMIFS('22'!$AC$45:$AC$50,'22'!$AG$45:$AG$50,$AK6,'22'!$AF$45:$AF$50,1)/COUNTIFS('22'!$AG$45:$AG$50,$AK6,'22'!$AF$45:$AF$50,1))</f>
        <v/>
      </c>
      <c r="BR6" s="92" t="str">
        <f>IF(COUNTIFS('23'!$AG$46:$AG$51,$AK6,'23'!$AF$46:$AF$51,1)=0,"",SUMIFS('23'!$AC$46:$AC$51,'23'!$AG$46:$AG$51,$AK6,'23'!$AF$46:$AF$51,1)/COUNTIFS('23'!$AG$46:$AG$51,$AK6,'23'!$AF$46:$AF$51,1))</f>
        <v/>
      </c>
      <c r="BS6" s="92" t="str">
        <f>IF(COUNTIFS('24'!$AG$39:$AG$44,$AK6,'24'!$AF$39:$AF$44,1)=0,"",SUMIFS('24'!$AC$39:$AC$44,'24'!$AG$39:$AG$44,$AK6,'24'!$AF$39:$AF$44,1)/COUNTIFS('24'!$AG$39:$AG$44,$AK6,'24'!$AF$39:$AF$44,1))</f>
        <v/>
      </c>
      <c r="BT6" s="92" t="str">
        <f>IF(COUNTIFS('25'!$AG$33:$AG$38,$AK6,'25'!$AF$33:$AF$38,1)=0,"",SUMIFS('25'!$AC$33:$AC$38,'25'!$AG$33:$AG$38,$AK6,'25'!$AF$33:$AF$38,1)/COUNTIFS('25'!$AG$33:$AG$38,$AK6,'25'!$AF$33:$AF$38,1))</f>
        <v/>
      </c>
      <c r="BU6" s="92" t="str">
        <f>IF(COUNTIFS('26'!$AG$37:$AG$42,$AK6,'26'!$AF$37:$AF$42,1)=0,"",SUMIFS('26'!$AC$37:$AC$42,'26'!$AG$37:$AG$42,$AK6,'26'!$AF$37:$AF$42,1)/COUNTIFS('26'!$AG$37:$AG$42,$AK6,'26'!$AF$37:$AF$42,1))</f>
        <v/>
      </c>
      <c r="BV6" s="92" t="str">
        <f>IF(COUNTIFS('27'!$AG$42:$AG$47,$AK6,'27'!$AF$42:$AF$47,1)=0,"",SUMIFS('27'!$AC$42:$AC$47,'27'!$AG$42:$AG$47,$AK6,'27'!$AF$42:$AF$47,1)/COUNTIFS('27'!$AG$42:$AG$47,$AK6,'27'!$AF$42:$AF$47,1))</f>
        <v/>
      </c>
      <c r="BW6" s="92" t="str">
        <f>IF(COUNTIFS('28'!$AG$37:$AG$42,$AK6,'28'!$AF$37:$AF$42,1)=0,"",SUMIFS('28'!$AC$37:$AC$42,'28'!$AG$37:$AG$42,$AK6,'28'!$AF$37:$AF$42,1)/COUNTIFS('28'!$AG$37:$AG$42,$AK6,'28'!$AF$37:$AF$42,1))</f>
        <v/>
      </c>
      <c r="BX6" s="92" t="str">
        <f>IF(COUNTIFS('29'!$AG$41:$AG$46,$AK6,'29'!$AF$41:$AF$46,1)=0,"",SUMIFS('29'!$AC$41:$AC$46,'29'!$AG$41:$AG$46,$AK6,'29'!$AF$41:$AF$46,1)/COUNTIFS('29'!$AG$41:$AG$46,$AK6,'29'!$AF$41:$AF$46,1))</f>
        <v/>
      </c>
      <c r="BY6" s="92" t="str">
        <f>IF(COUNTIFS('30'!$AG$33:$AG$38,$AK6,'30'!$AF$33:$AF$38,1)=0,"",SUMIFS('30'!$AC$33:$AC$38,'30'!$AG$33:$AG$38,$AK6,'30'!$AF$33:$AF$38,1)/COUNTIFS('30'!$AG$33:$AG$38,$AK6,'30'!$AF$33:$AF$38,1))</f>
        <v/>
      </c>
      <c r="BZ6" s="92" t="str">
        <f>IF(COUNTIFS('31'!$AG$56:$AG$61,$AK6,'31'!$AF$56:$AF$61,1)=0,"",SUMIFS('31'!$AC$56:$AC$61,'31'!$AG$56:$AG$61,$AK6,'31'!$AF$56:$AF$61,1)/COUNTIFS('31'!$AG$56:$AG$61,$AK6,'31'!$AF$56:$AF$61,1))</f>
        <v/>
      </c>
      <c r="CA6" s="92" t="s">
        <v>631</v>
      </c>
      <c r="CB6" s="92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141</v>
      </c>
      <c r="D7" s="184">
        <f t="shared" si="9"/>
        <v>0.2690839695</v>
      </c>
      <c r="E7" s="184">
        <f t="shared" si="10"/>
        <v>0.7958015267</v>
      </c>
      <c r="X7" s="92" t="s">
        <v>71</v>
      </c>
      <c r="Y7" s="92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2">
        <f t="shared" si="1"/>
        <v>13.00011</v>
      </c>
      <c r="AA7" s="92" t="s">
        <v>26</v>
      </c>
      <c r="AB7" s="92" t="s">
        <v>628</v>
      </c>
      <c r="AC7" s="92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23</v>
      </c>
      <c r="AD7" s="92">
        <f t="shared" si="2"/>
        <v>23.00009</v>
      </c>
      <c r="AE7" s="92" t="s">
        <v>26</v>
      </c>
      <c r="AF7" s="92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273</v>
      </c>
      <c r="AG7" s="92">
        <f t="shared" si="3"/>
        <v>273.00003</v>
      </c>
      <c r="AH7" s="92" t="s">
        <v>40</v>
      </c>
      <c r="AI7" s="92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92">
        <f t="shared" si="4"/>
        <v>99.00004</v>
      </c>
      <c r="AK7" s="92" t="s">
        <v>26</v>
      </c>
      <c r="AL7" s="92" t="s">
        <v>628</v>
      </c>
      <c r="AM7" s="92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22</v>
      </c>
      <c r="AN7" s="92">
        <f t="shared" si="5"/>
        <v>97.22727273</v>
      </c>
      <c r="AO7" s="92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4.909090909</v>
      </c>
      <c r="AP7" s="92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4.954545455</v>
      </c>
      <c r="AQ7" s="92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4.863636364</v>
      </c>
      <c r="AR7" s="92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2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</v>
      </c>
      <c r="AV7" s="92">
        <f>IF(COUNTIFS('1'!$AG$64:$AG$69,$AK7,'1'!$AF$64:$AF$69,1)=0,"",SUMIFS('1'!$AC$64:$AC$69,'1'!$AG$64:$AG$69,$AK7,'1'!$AF$64:$AF$69,1)/COUNTIFS('1'!$AG$64:$AG$69,$AK7,'1'!$AF$64:$AF$69,1))</f>
        <v>100</v>
      </c>
      <c r="AW7" s="92">
        <f>IF(COUNTIFS('2'!$AG$64:$AG$69,$AK7,'2'!$AF$64:$AF$69,1)=0,"",SUMIFS('2'!$AC$64:$AC$69,'2'!$AG$64:$AG$69,$AK7,'2'!$AF$64:$AF$69,1)/COUNTIFS('2'!$AG$64:$AG$69,$AK7,'2'!$AF$64:$AF$69,1))</f>
        <v>100</v>
      </c>
      <c r="AX7" s="92">
        <f>IF(COUNTIFS('3'!$AG$42:$AG$47,$AK7,'3'!$AF$42:$AF$47,1)=0,"",SUMIFS('3'!$AC$42:$AC$47,'3'!$AG$42:$AG$47,$AK7,'3'!$AF$42:$AF$47,1)/COUNTIFS('3'!$AG$42:$AG$47,$AK7,'3'!$AF$42:$AF$47,1))</f>
        <v>92</v>
      </c>
      <c r="AY7" s="92" t="str">
        <f>IF(COUNTIFS('4'!$AG$40:$AG$45,$AK7,'4'!$AF$40:$AF$45,1)=0,"",SUMIFS('4'!$AC$40:$AC$45,'4'!$AG$40:$AG$45,$AK7,'4'!$AF$40:$AF$45,1)/COUNTIFS('4'!$AG$40:$AG$45,$AK7,'4'!$AF$40:$AF$45,1))</f>
        <v/>
      </c>
      <c r="AZ7" s="92">
        <f>IF(COUNTIFS('5'!$AG$35:$AG$40,$AK7,'5'!$AF$35:$AF$40,1)=0,"",SUMIFS('5'!$AC$35:$AC$40,'5'!$AG$35:$AG$40,$AK7,'5'!$AF$35:$AF$40,1)/COUNTIFS('5'!$AG$35:$AG$40,$AK7,'5'!$AF$35:$AF$40,1))</f>
        <v>100</v>
      </c>
      <c r="BA7" s="92">
        <f>IF(COUNTIFS('6'!$AG$37:$AG$42,$AK7,'6'!$AF$37:$AF$42,1)=0,"",SUMIFS('6'!$AC$37:$AC$42,'6'!$AG$37:$AG$42,$AK7,'6'!$AF$37:$AF$42,1)/COUNTIFS('6'!$AG$37:$AG$42,$AK7,'6'!$AF$37:$AF$42,1))</f>
        <v>100</v>
      </c>
      <c r="BB7" s="92">
        <f>IF(COUNTIFS('7'!$AG$30:$AG$35,$AK7,'7'!$AF$30:$AF$35,1)=0,"",SUMIFS('7'!$AC$30:$AC$35,'7'!$AG$30:$AG$35,$AK7,'7'!$AF$30:$AF$35,1)/COUNTIFS('7'!$AG$30:$AG$35,$AK7,'7'!$AF$30:$AF$35,1))</f>
        <v>93</v>
      </c>
      <c r="BC7" s="92">
        <f>IF(COUNTIFS('8'!$AG$76:$AG$81,$AK7,'8'!$AF$76:$AF$81,1)=0,"",SUMIFS('8'!$AC$76:$AC$81,'8'!$AG$76:$AG$81,$AK7,'8'!$AF$76:$AF$81,1)/COUNTIFS('8'!$AG$76:$AG$81,$AK7,'8'!$AF$76:$AF$81,1))</f>
        <v>100</v>
      </c>
      <c r="BD7" s="92">
        <f>IF(COUNTIFS('9'!$AG$72:$AG$77,$AK7,'9'!$AF$72:$AF$77,1)=0,"",SUMIFS('9'!$AC$72:$AC$77,'9'!$AG$72:$AG$77,$AK7,'9'!$AF$72:$AF$77,1)/COUNTIFS('9'!$AG$72:$AG$77,$AK7,'9'!$AF$72:$AF$77,1))</f>
        <v>100</v>
      </c>
      <c r="BE7" s="92">
        <f>IF(COUNTIFS('10'!$AG$30:$AG$35,$AK7,'10'!$AF$30:$AF$35,1)=0,"",SUMIFS('10'!$AC$30:$AC$35,'10'!$AG$30:$AG$35,$AK7,'10'!$AF$30:$AF$35,1)/COUNTIFS('10'!$AG$30:$AG$35,$AK7,'10'!$AF$30:$AF$35,1))</f>
        <v>97</v>
      </c>
      <c r="BF7" s="92">
        <f>IF(COUNTIFS('11'!$AG$34:$AG$39,$AK7,'11'!$AF$34:$AF$39,1)=0,"",SUMIFS('11'!$AC$34:$AC$39,'11'!$AG$34:$AG$39,$AK7,'11'!$AF$34:$AF$39,1)/COUNTIFS('11'!$AG$34:$AG$39,$AK7,'11'!$AF$34:$AF$39,1))</f>
        <v>97</v>
      </c>
      <c r="BG7" s="92">
        <f>IF(COUNTIFS('12'!$AG$35:$AG$40,$AK7,'12'!$AF$35:$AF$40,1)=0,"",SUMIFS('12'!$AC$35:$AC$40,'12'!$AG$35:$AG$40,$AK7,'12'!$AF$35:$AF$40,1)/COUNTIFS('12'!$AG$35:$AG$40,$AK7,'12'!$AF$35:$AF$40,1))</f>
        <v>100</v>
      </c>
      <c r="BH7" s="92" t="str">
        <f>IF(COUNTIFS('13'!$AG$39:$AG$44,$AK7,'13'!$AF$39:$AF$44,1)=0,"",SUMIFS('13'!$AC$39:$AC$44,'13'!$AG$39:$AG$44,$AK7,'13'!$AF$39:$AF$44,1)/COUNTIFS('13'!$AG$39:$AG$44,$AK7,'13'!$AF$39:$AF$44,1))</f>
        <v/>
      </c>
      <c r="BI7" s="92">
        <f>IF(COUNTIFS('14'!$AG$37:$AG$42,$AK7,'14'!$AF$37:$AF$42,1)=0,"",SUMIFS('14'!$AC$37:$AC$42,'14'!$AG$37:$AG$42,$AK7,'14'!$AF$37:$AF$42,1)/COUNTIFS('14'!$AG$37:$AG$42,$AK7,'14'!$AF$37:$AF$42,1))</f>
        <v>92</v>
      </c>
      <c r="BJ7" s="92">
        <f>IF(COUNTIFS('15'!$AG$36:$AG$41,$AK7,'15'!$AF$36:$AF$41,1)=0,"",SUMIFS('15'!$AC$36:$AC$41,'15'!$AG$36:$AG$41,$AK7,'15'!$AF$36:$AF$41,1)/COUNTIFS('15'!$AG$36:$AG$41,$AK7,'15'!$AF$36:$AF$41,1))</f>
        <v>97</v>
      </c>
      <c r="BK7" s="92" t="str">
        <f>IF(COUNTIFS('16'!$AG$34:$AG$39,$AK7,'16'!$AF$34:$AF$39,1)=0,"",SUMIFS('16'!$AC$34:$AC$39,'16'!$AG$34:$AG$39,$AK7,'16'!$AF$34:$AF$39,1)/COUNTIFS('16'!$AG$34:$AG$39,$AK7,'16'!$AF$34:$AF$39,1))</f>
        <v/>
      </c>
      <c r="BL7" s="92">
        <f>IF(COUNTIFS('17'!$AG$37:$AG$42,$AK7,'17'!$AF$37:$AF$42,1)=0,"",SUMIFS('17'!$AC$37:$AC$42,'17'!$AG$37:$AG$42,$AK7,'17'!$AF$37:$AF$42,1)/COUNTIFS('17'!$AG$37:$AG$42,$AK7,'17'!$AF$37:$AF$42,1))</f>
        <v>96</v>
      </c>
      <c r="BM7" s="92">
        <f>IF(COUNTIFS('18'!$AG$37:$AG$42,$AK7,'18'!$AF$37:$AF$42,1)=0,"",SUMIFS('18'!$AC$37:$AC$42,'18'!$AG$37:$AG$42,$AK7,'18'!$AF$37:$AF$42,1)/COUNTIFS('18'!$AG$37:$AG$42,$AK7,'18'!$AF$37:$AF$42,1))</f>
        <v>93</v>
      </c>
      <c r="BN7" s="92">
        <f>IF(COUNTIFS('19'!$AG$38:$AG$43,$AK7,'19'!$AF$38:$AF$43,1)=0,"",SUMIFS('19'!$AC$38:$AC$43,'19'!$AG$38:$AG$43,$AK7,'19'!$AF$38:$AF$43,1)/COUNTIFS('19'!$AG$38:$AG$43,$AK7,'19'!$AF$38:$AF$43,1))</f>
        <v>100</v>
      </c>
      <c r="BO7" s="92" t="str">
        <f>IF(COUNTIFS('20'!$AG$40:$AG$45,$AK7,'20'!$AF$40:$AF$45,1)=0,"",SUMIFS('20'!$AC$40:$AC$45,'20'!$AG$40:$AG$45,$AK7,'20'!$AF$40:$AF$45,1)/COUNTIFS('20'!$AG$40:$AG$45,$AK7,'20'!$AF$40:$AF$45,1))</f>
        <v/>
      </c>
      <c r="BP7" s="92">
        <f>IF(COUNTIFS('21'!$AG$30:$AG$35,$AK7,'21'!$AF$30:$AF$35,1)=0,"",SUMIFS('21'!$AC$30:$AC$35,'21'!$AG$30:$AG$35,$AK7,'21'!$AF$30:$AF$35,1)/COUNTIFS('21'!$AG$30:$AG$35,$AK7,'21'!$AF$30:$AF$35,1))</f>
        <v>97</v>
      </c>
      <c r="BQ7" s="92">
        <f>IF(COUNTIFS('22'!$AG$45:$AG$50,$AK7,'22'!$AF$45:$AF$50,1)=0,"",SUMIFS('22'!$AC$45:$AC$50,'22'!$AG$45:$AG$50,$AK7,'22'!$AF$45:$AF$50,1)/COUNTIFS('22'!$AG$45:$AG$50,$AK7,'22'!$AF$45:$AF$50,1))</f>
        <v>92</v>
      </c>
      <c r="BR7" s="92">
        <f>IF(COUNTIFS('23'!$AG$46:$AG$51,$AK7,'23'!$AF$46:$AF$51,1)=0,"",SUMIFS('23'!$AC$46:$AC$51,'23'!$AG$46:$AG$51,$AK7,'23'!$AF$46:$AF$51,1)/COUNTIFS('23'!$AG$46:$AG$51,$AK7,'23'!$AF$46:$AF$51,1))</f>
        <v>100</v>
      </c>
      <c r="BS7" s="92" t="str">
        <f>IF(COUNTIFS('24'!$AG$39:$AG$44,$AK7,'24'!$AF$39:$AF$44,1)=0,"",SUMIFS('24'!$AC$39:$AC$44,'24'!$AG$39:$AG$44,$AK7,'24'!$AF$39:$AF$44,1)/COUNTIFS('24'!$AG$39:$AG$44,$AK7,'24'!$AF$39:$AF$44,1))</f>
        <v/>
      </c>
      <c r="BT7" s="92" t="str">
        <f>IF(COUNTIFS('25'!$AG$33:$AG$38,$AK7,'25'!$AF$33:$AF$38,1)=0,"",SUMIFS('25'!$AC$33:$AC$38,'25'!$AG$33:$AG$38,$AK7,'25'!$AF$33:$AF$38,1)/COUNTIFS('25'!$AG$33:$AG$38,$AK7,'25'!$AF$33:$AF$38,1))</f>
        <v/>
      </c>
      <c r="BU7" s="92" t="str">
        <f>IF(COUNTIFS('26'!$AG$37:$AG$42,$AK7,'26'!$AF$37:$AF$42,1)=0,"",SUMIFS('26'!$AC$37:$AC$42,'26'!$AG$37:$AG$42,$AK7,'26'!$AF$37:$AF$42,1)/COUNTIFS('26'!$AG$37:$AG$42,$AK7,'26'!$AF$37:$AF$42,1))</f>
        <v/>
      </c>
      <c r="BV7" s="92" t="str">
        <f>IF(COUNTIFS('27'!$AG$42:$AG$47,$AK7,'27'!$AF$42:$AF$47,1)=0,"",SUMIFS('27'!$AC$42:$AC$47,'27'!$AG$42:$AG$47,$AK7,'27'!$AF$42:$AF$47,1)/COUNTIFS('27'!$AG$42:$AG$47,$AK7,'27'!$AF$42:$AF$47,1))</f>
        <v/>
      </c>
      <c r="BW7" s="92" t="str">
        <f>IF(COUNTIFS('28'!$AG$37:$AG$42,$AK7,'28'!$AF$37:$AF$42,1)=0,"",SUMIFS('28'!$AC$37:$AC$42,'28'!$AG$37:$AG$42,$AK7,'28'!$AF$37:$AF$42,1)/COUNTIFS('28'!$AG$37:$AG$42,$AK7,'28'!$AF$37:$AF$42,1))</f>
        <v/>
      </c>
      <c r="BX7" s="92" t="str">
        <f>IF(COUNTIFS('29'!$AG$41:$AG$46,$AK7,'29'!$AF$41:$AF$46,1)=0,"",SUMIFS('29'!$AC$41:$AC$46,'29'!$AG$41:$AG$46,$AK7,'29'!$AF$41:$AF$46,1)/COUNTIFS('29'!$AG$41:$AG$46,$AK7,'29'!$AF$41:$AF$46,1))</f>
        <v/>
      </c>
      <c r="BY7" s="92" t="str">
        <f>IF(COUNTIFS('30'!$AG$33:$AG$38,$AK7,'30'!$AF$33:$AF$38,1)=0,"",SUMIFS('30'!$AC$33:$AC$38,'30'!$AG$33:$AG$38,$AK7,'30'!$AF$33:$AF$38,1)/COUNTIFS('30'!$AG$33:$AG$38,$AK7,'30'!$AF$33:$AF$38,1))</f>
        <v/>
      </c>
      <c r="BZ7" s="92" t="str">
        <f>IF(COUNTIFS('31'!$AG$56:$AG$61,$AK7,'31'!$AF$56:$AF$61,1)=0,"",SUMIFS('31'!$AC$56:$AC$61,'31'!$AG$56:$AG$61,$AK7,'31'!$AF$56:$AF$61,1)/COUNTIFS('31'!$AG$56:$AG$61,$AK7,'31'!$AF$56:$AF$61,1))</f>
        <v/>
      </c>
      <c r="CA7" s="92" t="s">
        <v>640</v>
      </c>
      <c r="CB7" s="92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0.0534351145</v>
      </c>
      <c r="E8" s="184">
        <f t="shared" si="10"/>
        <v>0.8492366412</v>
      </c>
      <c r="X8" s="92" t="s">
        <v>44</v>
      </c>
      <c r="Y8" s="92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9</v>
      </c>
      <c r="Z8" s="92">
        <f t="shared" si="1"/>
        <v>9.0001</v>
      </c>
      <c r="AA8" s="92" t="s">
        <v>636</v>
      </c>
      <c r="AB8" s="92" t="s">
        <v>628</v>
      </c>
      <c r="AC8" s="92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2">
        <f t="shared" si="2"/>
        <v>0.00008</v>
      </c>
      <c r="AE8" s="92" t="s">
        <v>636</v>
      </c>
      <c r="AF8" s="92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2">
        <f t="shared" si="3"/>
        <v>0.00002</v>
      </c>
      <c r="AH8" s="92" t="s">
        <v>103</v>
      </c>
      <c r="AI8" s="92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2">
        <f t="shared" si="4"/>
        <v>22.00003</v>
      </c>
      <c r="AK8" s="92" t="s">
        <v>636</v>
      </c>
      <c r="AL8" s="92" t="s">
        <v>628</v>
      </c>
      <c r="AM8" s="92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2" t="str">
        <f t="shared" si="5"/>
        <v/>
      </c>
      <c r="AO8" s="92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2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2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2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2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2" t="str">
        <f>IF(COUNTIFS('1'!$AG$64:$AG$69,$AK8,'1'!$AF$64:$AF$69,1)=0,"",SUMIFS('1'!$AC$64:$AC$69,'1'!$AG$64:$AG$69,$AK8,'1'!$AF$64:$AF$69,1)/COUNTIFS('1'!$AG$64:$AG$69,$AK8,'1'!$AF$64:$AF$69,1))</f>
        <v/>
      </c>
      <c r="AW8" s="92" t="str">
        <f>IF(COUNTIFS('2'!$AG$64:$AG$69,$AK8,'2'!$AF$64:$AF$69,1)=0,"",SUMIFS('2'!$AC$64:$AC$69,'2'!$AG$64:$AG$69,$AK8,'2'!$AF$64:$AF$69,1)/COUNTIFS('2'!$AG$64:$AG$69,$AK8,'2'!$AF$64:$AF$69,1))</f>
        <v/>
      </c>
      <c r="AX8" s="92" t="str">
        <f>IF(COUNTIFS('3'!$AG$42:$AG$47,$AK8,'3'!$AF$42:$AF$47,1)=0,"",SUMIFS('3'!$AC$42:$AC$47,'3'!$AG$42:$AG$47,$AK8,'3'!$AF$42:$AF$47,1)/COUNTIFS('3'!$AG$42:$AG$47,$AK8,'3'!$AF$42:$AF$47,1))</f>
        <v/>
      </c>
      <c r="AY8" s="92" t="str">
        <f>IF(COUNTIFS('4'!$AG$40:$AG$45,$AK8,'4'!$AF$40:$AF$45,1)=0,"",SUMIFS('4'!$AC$40:$AC$45,'4'!$AG$40:$AG$45,$AK8,'4'!$AF$40:$AF$45,1)/COUNTIFS('4'!$AG$40:$AG$45,$AK8,'4'!$AF$40:$AF$45,1))</f>
        <v/>
      </c>
      <c r="AZ8" s="92" t="str">
        <f>IF(COUNTIFS('5'!$AG$35:$AG$40,$AK8,'5'!$AF$35:$AF$40,1)=0,"",SUMIFS('5'!$AC$35:$AC$40,'5'!$AG$35:$AG$40,$AK8,'5'!$AF$35:$AF$40,1)/COUNTIFS('5'!$AG$35:$AG$40,$AK8,'5'!$AF$35:$AF$40,1))</f>
        <v/>
      </c>
      <c r="BA8" s="92" t="str">
        <f>IF(COUNTIFS('6'!$AG$37:$AG$42,$AK8,'6'!$AF$37:$AF$42,1)=0,"",SUMIFS('6'!$AC$37:$AC$42,'6'!$AG$37:$AG$42,$AK8,'6'!$AF$37:$AF$42,1)/COUNTIFS('6'!$AG$37:$AG$42,$AK8,'6'!$AF$37:$AF$42,1))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IF(COUNTIFS('8'!$AG$76:$AG$81,$AK8,'8'!$AF$76:$AF$81,1)=0,"",SUMIFS('8'!$AC$76:$AC$81,'8'!$AG$76:$AG$81,$AK8,'8'!$AF$76:$AF$81,1)/COUNTIFS('8'!$AG$76:$AG$81,$AK8,'8'!$AF$76:$AF$81,1))</f>
        <v/>
      </c>
      <c r="BD8" s="92" t="str">
        <f>IF(COUNTIFS('9'!$AG$72:$AG$77,$AK8,'9'!$AF$72:$AF$77,1)=0,"",SUMIFS('9'!$AC$72:$AC$77,'9'!$AG$72:$AG$77,$AK8,'9'!$AF$72:$AF$77,1)/COUNTIFS('9'!$AG$72:$AG$77,$AK8,'9'!$AF$72:$AF$77,1))</f>
        <v/>
      </c>
      <c r="BE8" s="92" t="str">
        <f>IF(COUNTIFS('10'!$AG$30:$AG$35,$AK8,'10'!$AF$30:$AF$35,1)=0,"",SUMIFS('10'!$AC$30:$AC$35,'10'!$AG$30:$AG$35,$AK8,'10'!$AF$30:$AF$35,1)/COUNTIFS('10'!$AG$30:$AG$35,$AK8,'10'!$AF$30:$AF$35,1))</f>
        <v/>
      </c>
      <c r="BF8" s="92" t="str">
        <f>IF(COUNTIFS('11'!$AG$34:$AG$39,$AK8,'11'!$AF$34:$AF$39,1)=0,"",SUMIFS('11'!$AC$34:$AC$39,'11'!$AG$34:$AG$39,$AK8,'11'!$AF$34:$AF$39,1)/COUNTIFS('11'!$AG$34:$AG$39,$AK8,'11'!$AF$34:$AF$39,1))</f>
        <v/>
      </c>
      <c r="BG8" s="92" t="str">
        <f>IF(COUNTIFS('12'!$AG$35:$AG$40,$AK8,'12'!$AF$35:$AF$40,1)=0,"",SUMIFS('12'!$AC$35:$AC$40,'12'!$AG$35:$AG$40,$AK8,'12'!$AF$35:$AF$40,1)/COUNTIFS('12'!$AG$35:$AG$40,$AK8,'12'!$AF$35:$AF$40,1))</f>
        <v/>
      </c>
      <c r="BH8" s="92" t="str">
        <f>IF(COUNTIFS('13'!$AG$39:$AG$44,$AK8,'13'!$AF$39:$AF$44,1)=0,"",SUMIFS('13'!$AC$39:$AC$44,'13'!$AG$39:$AG$44,$AK8,'13'!$AF$39:$AF$44,1)/COUNTIFS('13'!$AG$39:$AG$44,$AK8,'13'!$AF$39:$AF$44,1))</f>
        <v/>
      </c>
      <c r="BI8" s="92" t="str">
        <f>IF(COUNTIFS('14'!$AG$37:$AG$42,$AK8,'14'!$AF$37:$AF$42,1)=0,"",SUMIFS('14'!$AC$37:$AC$42,'14'!$AG$37:$AG$42,$AK8,'14'!$AF$37:$AF$42,1)/COUNTIFS('14'!$AG$37:$AG$42,$AK8,'14'!$AF$37:$AF$42,1))</f>
        <v/>
      </c>
      <c r="BJ8" s="92" t="str">
        <f>IF(COUNTIFS('15'!$AG$36:$AG$41,$AK8,'15'!$AF$36:$AF$41,1)=0,"",SUMIFS('15'!$AC$36:$AC$41,'15'!$AG$36:$AG$41,$AK8,'15'!$AF$36:$AF$41,1)/COUNTIFS('15'!$AG$36:$AG$41,$AK8,'15'!$AF$36:$AF$41,1))</f>
        <v/>
      </c>
      <c r="BK8" s="92" t="str">
        <f>IF(COUNTIFS('16'!$AG$34:$AG$39,$AK8,'16'!$AF$34:$AF$39,1)=0,"",SUMIFS('16'!$AC$34:$AC$39,'16'!$AG$34:$AG$39,$AK8,'16'!$AF$34:$AF$39,1)/COUNTIFS('16'!$AG$34:$AG$39,$AK8,'16'!$AF$34:$AF$39,1))</f>
        <v/>
      </c>
      <c r="BL8" s="92" t="str">
        <f>IF(COUNTIFS('17'!$AG$37:$AG$42,$AK8,'17'!$AF$37:$AF$42,1)=0,"",SUMIFS('17'!$AC$37:$AC$42,'17'!$AG$37:$AG$42,$AK8,'17'!$AF$37:$AF$42,1)/COUNTIFS('17'!$AG$37:$AG$42,$AK8,'17'!$AF$37:$AF$42,1))</f>
        <v/>
      </c>
      <c r="BM8" s="92" t="str">
        <f>IF(COUNTIFS('18'!$AG$37:$AG$42,$AK8,'18'!$AF$37:$AF$42,1)=0,"",SUMIFS('18'!$AC$37:$AC$42,'18'!$AG$37:$AG$42,$AK8,'18'!$AF$37:$AF$42,1)/COUNTIFS('18'!$AG$37:$AG$42,$AK8,'18'!$AF$37:$AF$42,1))</f>
        <v/>
      </c>
      <c r="BN8" s="92" t="str">
        <f>IF(COUNTIFS('19'!$AG$38:$AG$43,$AK8,'19'!$AF$38:$AF$43,1)=0,"",SUMIFS('19'!$AC$38:$AC$43,'19'!$AG$38:$AG$43,$AK8,'19'!$AF$38:$AF$43,1)/COUNTIFS('19'!$AG$38:$AG$43,$AK8,'19'!$AF$38:$AF$43,1))</f>
        <v/>
      </c>
      <c r="BO8" s="92" t="str">
        <f>IF(COUNTIFS('20'!$AG$40:$AG$45,$AK8,'20'!$AF$40:$AF$45,1)=0,"",SUMIFS('20'!$AC$40:$AC$45,'20'!$AG$40:$AG$45,$AK8,'20'!$AF$40:$AF$45,1)/COUNTIFS('20'!$AG$40:$AG$45,$AK8,'20'!$AF$40:$AF$45,1))</f>
        <v/>
      </c>
      <c r="BP8" s="92" t="str">
        <f>IF(COUNTIFS('21'!$AG$30:$AG$35,$AK8,'21'!$AF$30:$AF$35,1)=0,"",SUMIFS('21'!$AC$30:$AC$35,'21'!$AG$30:$AG$35,$AK8,'21'!$AF$30:$AF$35,1)/COUNTIFS('21'!$AG$30:$AG$35,$AK8,'21'!$AF$30:$AF$35,1))</f>
        <v/>
      </c>
      <c r="BQ8" s="92" t="str">
        <f>IF(COUNTIFS('22'!$AG$45:$AG$50,$AK8,'22'!$AF$45:$AF$50,1)=0,"",SUMIFS('22'!$AC$45:$AC$50,'22'!$AG$45:$AG$50,$AK8,'22'!$AF$45:$AF$50,1)/COUNTIFS('22'!$AG$45:$AG$50,$AK8,'22'!$AF$45:$AF$50,1))</f>
        <v/>
      </c>
      <c r="BR8" s="92" t="str">
        <f>IF(COUNTIFS('23'!$AG$46:$AG$51,$AK8,'23'!$AF$46:$AF$51,1)=0,"",SUMIFS('23'!$AC$46:$AC$51,'23'!$AG$46:$AG$51,$AK8,'23'!$AF$46:$AF$51,1)/COUNTIFS('23'!$AG$46:$AG$51,$AK8,'23'!$AF$46:$AF$51,1))</f>
        <v/>
      </c>
      <c r="BS8" s="92" t="str">
        <f>IF(COUNTIFS('24'!$AG$39:$AG$44,$AK8,'24'!$AF$39:$AF$44,1)=0,"",SUMIFS('24'!$AC$39:$AC$44,'24'!$AG$39:$AG$44,$AK8,'24'!$AF$39:$AF$44,1)/COUNTIFS('24'!$AG$39:$AG$44,$AK8,'24'!$AF$39:$AF$44,1))</f>
        <v/>
      </c>
      <c r="BT8" s="92" t="str">
        <f>IF(COUNTIFS('25'!$AG$33:$AG$38,$AK8,'25'!$AF$33:$AF$38,1)=0,"",SUMIFS('25'!$AC$33:$AC$38,'25'!$AG$33:$AG$38,$AK8,'25'!$AF$33:$AF$38,1)/COUNTIFS('25'!$AG$33:$AG$38,$AK8,'25'!$AF$33:$AF$38,1))</f>
        <v/>
      </c>
      <c r="BU8" s="92" t="str">
        <f>IF(COUNTIFS('26'!$AG$37:$AG$42,$AK8,'26'!$AF$37:$AF$42,1)=0,"",SUMIFS('26'!$AC$37:$AC$42,'26'!$AG$37:$AG$42,$AK8,'26'!$AF$37:$AF$42,1)/COUNTIFS('26'!$AG$37:$AG$42,$AK8,'26'!$AF$37:$AF$42,1))</f>
        <v/>
      </c>
      <c r="BV8" s="92" t="str">
        <f>IF(COUNTIFS('27'!$AG$42:$AG$47,$AK8,'27'!$AF$42:$AF$47,1)=0,"",SUMIFS('27'!$AC$42:$AC$47,'27'!$AG$42:$AG$47,$AK8,'27'!$AF$42:$AF$47,1)/COUNTIFS('27'!$AG$42:$AG$47,$AK8,'27'!$AF$42:$AF$47,1))</f>
        <v/>
      </c>
      <c r="BW8" s="92" t="str">
        <f>IF(COUNTIFS('28'!$AG$37:$AG$42,$AK8,'28'!$AF$37:$AF$42,1)=0,"",SUMIFS('28'!$AC$37:$AC$42,'28'!$AG$37:$AG$42,$AK8,'28'!$AF$37:$AF$42,1)/COUNTIFS('28'!$AG$37:$AG$42,$AK8,'28'!$AF$37:$AF$42,1))</f>
        <v/>
      </c>
      <c r="BX8" s="92" t="str">
        <f>IF(COUNTIFS('29'!$AG$41:$AG$46,$AK8,'29'!$AF$41:$AF$46,1)=0,"",SUMIFS('29'!$AC$41:$AC$46,'29'!$AG$41:$AG$46,$AK8,'29'!$AF$41:$AF$46,1)/COUNTIFS('29'!$AG$41:$AG$46,$AK8,'29'!$AF$41:$AF$46,1))</f>
        <v/>
      </c>
      <c r="BY8" s="92" t="str">
        <f>IF(COUNTIFS('30'!$AG$33:$AG$38,$AK8,'30'!$AF$33:$AF$38,1)=0,"",SUMIFS('30'!$AC$33:$AC$38,'30'!$AG$33:$AG$38,$AK8,'30'!$AF$33:$AF$38,1)/COUNTIFS('30'!$AG$33:$AG$38,$AK8,'30'!$AF$33:$AF$38,1))</f>
        <v/>
      </c>
      <c r="BZ8" s="92" t="str">
        <f>IF(COUNTIFS('31'!$AG$56:$AG$61,$AK8,'31'!$AF$56:$AF$61,1)=0,"",SUMIFS('31'!$AC$56:$AC$61,'31'!$AG$56:$AG$61,$AK8,'31'!$AF$56:$AF$61,1)/COUNTIFS('31'!$AG$56:$AG$61,$AK8,'31'!$AF$56:$AF$61,1))</f>
        <v/>
      </c>
      <c r="CA8" s="92" t="s">
        <v>641</v>
      </c>
      <c r="CB8" s="92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22</v>
      </c>
      <c r="D9" s="184">
        <f t="shared" si="9"/>
        <v>0.04198473282</v>
      </c>
      <c r="E9" s="184">
        <f t="shared" si="10"/>
        <v>0.891221374</v>
      </c>
      <c r="X9" s="92" t="s">
        <v>246</v>
      </c>
      <c r="Y9" s="92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13</v>
      </c>
      <c r="Z9" s="92">
        <f t="shared" si="1"/>
        <v>13.00009</v>
      </c>
      <c r="AA9" s="92" t="s">
        <v>637</v>
      </c>
      <c r="AB9" s="92" t="s">
        <v>628</v>
      </c>
      <c r="AC9" s="92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2">
        <f t="shared" si="2"/>
        <v>0.00007</v>
      </c>
      <c r="AE9" s="92" t="s">
        <v>637</v>
      </c>
      <c r="AF9" s="92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2">
        <f t="shared" si="3"/>
        <v>0.00001</v>
      </c>
      <c r="AH9" s="92" t="s">
        <v>639</v>
      </c>
      <c r="AI9" s="92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2">
        <f t="shared" si="4"/>
        <v>0.00002</v>
      </c>
      <c r="AK9" s="92" t="s">
        <v>637</v>
      </c>
      <c r="AL9" s="92" t="s">
        <v>628</v>
      </c>
      <c r="AM9" s="92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2" t="str">
        <f t="shared" si="5"/>
        <v/>
      </c>
      <c r="AO9" s="92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2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2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2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2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2" t="str">
        <f>IF(COUNTIFS('1'!$AG$64:$AG$69,$AK9,'1'!$AF$64:$AF$69,1)=0,"",SUMIFS('1'!$AC$64:$AC$69,'1'!$AG$64:$AG$69,$AK9,'1'!$AF$64:$AF$69,1)/COUNTIFS('1'!$AG$64:$AG$69,$AK9,'1'!$AF$64:$AF$69,1))</f>
        <v/>
      </c>
      <c r="AW9" s="92" t="str">
        <f>IF(COUNTIFS('2'!$AG$64:$AG$69,$AK9,'2'!$AF$64:$AF$69,1)=0,"",SUMIFS('2'!$AC$64:$AC$69,'2'!$AG$64:$AG$69,$AK9,'2'!$AF$64:$AF$69,1)/COUNTIFS('2'!$AG$64:$AG$69,$AK9,'2'!$AF$64:$AF$69,1))</f>
        <v/>
      </c>
      <c r="AX9" s="92" t="str">
        <f>IF(COUNTIFS('3'!$AG$42:$AG$47,$AK9,'3'!$AF$42:$AF$47,1)=0,"",SUMIFS('3'!$AC$42:$AC$47,'3'!$AG$42:$AG$47,$AK9,'3'!$AF$42:$AF$47,1)/COUNTIFS('3'!$AG$42:$AG$47,$AK9,'3'!$AF$42:$AF$47,1))</f>
        <v/>
      </c>
      <c r="AY9" s="92" t="str">
        <f>IF(COUNTIFS('4'!$AG$40:$AG$45,$AK9,'4'!$AF$40:$AF$45,1)=0,"",SUMIFS('4'!$AC$40:$AC$45,'4'!$AG$40:$AG$45,$AK9,'4'!$AF$40:$AF$45,1)/COUNTIFS('4'!$AG$40:$AG$45,$AK9,'4'!$AF$40:$AF$45,1))</f>
        <v/>
      </c>
      <c r="AZ9" s="92" t="str">
        <f>IF(COUNTIFS('5'!$AG$35:$AG$40,$AK9,'5'!$AF$35:$AF$40,1)=0,"",SUMIFS('5'!$AC$35:$AC$40,'5'!$AG$35:$AG$40,$AK9,'5'!$AF$35:$AF$40,1)/COUNTIFS('5'!$AG$35:$AG$40,$AK9,'5'!$AF$35:$AF$40,1))</f>
        <v/>
      </c>
      <c r="BA9" s="92" t="str">
        <f>IF(COUNTIFS('6'!$AG$37:$AG$42,$AK9,'6'!$AF$37:$AF$42,1)=0,"",SUMIFS('6'!$AC$37:$AC$42,'6'!$AG$37:$AG$42,$AK9,'6'!$AF$37:$AF$42,1)/COUNTIFS('6'!$AG$37:$AG$42,$AK9,'6'!$AF$37:$AF$42,1))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IF(COUNTIFS('8'!$AG$76:$AG$81,$AK9,'8'!$AF$76:$AF$81,1)=0,"",SUMIFS('8'!$AC$76:$AC$81,'8'!$AG$76:$AG$81,$AK9,'8'!$AF$76:$AF$81,1)/COUNTIFS('8'!$AG$76:$AG$81,$AK9,'8'!$AF$76:$AF$81,1))</f>
        <v/>
      </c>
      <c r="BD9" s="92" t="str">
        <f>IF(COUNTIFS('9'!$AG$72:$AG$77,$AK9,'9'!$AF$72:$AF$77,1)=0,"",SUMIFS('9'!$AC$72:$AC$77,'9'!$AG$72:$AG$77,$AK9,'9'!$AF$72:$AF$77,1)/COUNTIFS('9'!$AG$72:$AG$77,$AK9,'9'!$AF$72:$AF$77,1))</f>
        <v/>
      </c>
      <c r="BE9" s="92" t="str">
        <f>IF(COUNTIFS('10'!$AG$30:$AG$35,$AK9,'10'!$AF$30:$AF$35,1)=0,"",SUMIFS('10'!$AC$30:$AC$35,'10'!$AG$30:$AG$35,$AK9,'10'!$AF$30:$AF$35,1)/COUNTIFS('10'!$AG$30:$AG$35,$AK9,'10'!$AF$30:$AF$35,1))</f>
        <v/>
      </c>
      <c r="BF9" s="92" t="str">
        <f>IF(COUNTIFS('11'!$AG$34:$AG$39,$AK9,'11'!$AF$34:$AF$39,1)=0,"",SUMIFS('11'!$AC$34:$AC$39,'11'!$AG$34:$AG$39,$AK9,'11'!$AF$34:$AF$39,1)/COUNTIFS('11'!$AG$34:$AG$39,$AK9,'11'!$AF$34:$AF$39,1))</f>
        <v/>
      </c>
      <c r="BG9" s="92" t="str">
        <f>IF(COUNTIFS('12'!$AG$35:$AG$40,$AK9,'12'!$AF$35:$AF$40,1)=0,"",SUMIFS('12'!$AC$35:$AC$40,'12'!$AG$35:$AG$40,$AK9,'12'!$AF$35:$AF$40,1)/COUNTIFS('12'!$AG$35:$AG$40,$AK9,'12'!$AF$35:$AF$40,1))</f>
        <v/>
      </c>
      <c r="BH9" s="92" t="str">
        <f>IF(COUNTIFS('13'!$AG$39:$AG$44,$AK9,'13'!$AF$39:$AF$44,1)=0,"",SUMIFS('13'!$AC$39:$AC$44,'13'!$AG$39:$AG$44,$AK9,'13'!$AF$39:$AF$44,1)/COUNTIFS('13'!$AG$39:$AG$44,$AK9,'13'!$AF$39:$AF$44,1))</f>
        <v/>
      </c>
      <c r="BI9" s="92" t="str">
        <f>IF(COUNTIFS('14'!$AG$37:$AG$42,$AK9,'14'!$AF$37:$AF$42,1)=0,"",SUMIFS('14'!$AC$37:$AC$42,'14'!$AG$37:$AG$42,$AK9,'14'!$AF$37:$AF$42,1)/COUNTIFS('14'!$AG$37:$AG$42,$AK9,'14'!$AF$37:$AF$42,1))</f>
        <v/>
      </c>
      <c r="BJ9" s="92" t="str">
        <f>IF(COUNTIFS('15'!$AG$36:$AG$41,$AK9,'15'!$AF$36:$AF$41,1)=0,"",SUMIFS('15'!$AC$36:$AC$41,'15'!$AG$36:$AG$41,$AK9,'15'!$AF$36:$AF$41,1)/COUNTIFS('15'!$AG$36:$AG$41,$AK9,'15'!$AF$36:$AF$41,1))</f>
        <v/>
      </c>
      <c r="BK9" s="92" t="str">
        <f>IF(COUNTIFS('16'!$AG$34:$AG$39,$AK9,'16'!$AF$34:$AF$39,1)=0,"",SUMIFS('16'!$AC$34:$AC$39,'16'!$AG$34:$AG$39,$AK9,'16'!$AF$34:$AF$39,1)/COUNTIFS('16'!$AG$34:$AG$39,$AK9,'16'!$AF$34:$AF$39,1))</f>
        <v/>
      </c>
      <c r="BL9" s="92" t="str">
        <f>IF(COUNTIFS('17'!$AG$37:$AG$42,$AK9,'17'!$AF$37:$AF$42,1)=0,"",SUMIFS('17'!$AC$37:$AC$42,'17'!$AG$37:$AG$42,$AK9,'17'!$AF$37:$AF$42,1)/COUNTIFS('17'!$AG$37:$AG$42,$AK9,'17'!$AF$37:$AF$42,1))</f>
        <v/>
      </c>
      <c r="BM9" s="92" t="str">
        <f>IF(COUNTIFS('18'!$AG$37:$AG$42,$AK9,'18'!$AF$37:$AF$42,1)=0,"",SUMIFS('18'!$AC$37:$AC$42,'18'!$AG$37:$AG$42,$AK9,'18'!$AF$37:$AF$42,1)/COUNTIFS('18'!$AG$37:$AG$42,$AK9,'18'!$AF$37:$AF$42,1))</f>
        <v/>
      </c>
      <c r="BN9" s="92" t="str">
        <f>IF(COUNTIFS('19'!$AG$38:$AG$43,$AK9,'19'!$AF$38:$AF$43,1)=0,"",SUMIFS('19'!$AC$38:$AC$43,'19'!$AG$38:$AG$43,$AK9,'19'!$AF$38:$AF$43,1)/COUNTIFS('19'!$AG$38:$AG$43,$AK9,'19'!$AF$38:$AF$43,1))</f>
        <v/>
      </c>
      <c r="BO9" s="92" t="str">
        <f>IF(COUNTIFS('20'!$AG$40:$AG$45,$AK9,'20'!$AF$40:$AF$45,1)=0,"",SUMIFS('20'!$AC$40:$AC$45,'20'!$AG$40:$AG$45,$AK9,'20'!$AF$40:$AF$45,1)/COUNTIFS('20'!$AG$40:$AG$45,$AK9,'20'!$AF$40:$AF$45,1))</f>
        <v/>
      </c>
      <c r="BP9" s="92" t="str">
        <f>IF(COUNTIFS('21'!$AG$30:$AG$35,$AK9,'21'!$AF$30:$AF$35,1)=0,"",SUMIFS('21'!$AC$30:$AC$35,'21'!$AG$30:$AG$35,$AK9,'21'!$AF$30:$AF$35,1)/COUNTIFS('21'!$AG$30:$AG$35,$AK9,'21'!$AF$30:$AF$35,1))</f>
        <v/>
      </c>
      <c r="BQ9" s="92" t="str">
        <f>IF(COUNTIFS('22'!$AG$45:$AG$50,$AK9,'22'!$AF$45:$AF$50,1)=0,"",SUMIFS('22'!$AC$45:$AC$50,'22'!$AG$45:$AG$50,$AK9,'22'!$AF$45:$AF$50,1)/COUNTIFS('22'!$AG$45:$AG$50,$AK9,'22'!$AF$45:$AF$50,1))</f>
        <v/>
      </c>
      <c r="BR9" s="92" t="str">
        <f>IF(COUNTIFS('23'!$AG$46:$AG$51,$AK9,'23'!$AF$46:$AF$51,1)=0,"",SUMIFS('23'!$AC$46:$AC$51,'23'!$AG$46:$AG$51,$AK9,'23'!$AF$46:$AF$51,1)/COUNTIFS('23'!$AG$46:$AG$51,$AK9,'23'!$AF$46:$AF$51,1))</f>
        <v/>
      </c>
      <c r="BS9" s="92" t="str">
        <f>IF(COUNTIFS('24'!$AG$39:$AG$44,$AK9,'24'!$AF$39:$AF$44,1)=0,"",SUMIFS('24'!$AC$39:$AC$44,'24'!$AG$39:$AG$44,$AK9,'24'!$AF$39:$AF$44,1)/COUNTIFS('24'!$AG$39:$AG$44,$AK9,'24'!$AF$39:$AF$44,1))</f>
        <v/>
      </c>
      <c r="BT9" s="92" t="str">
        <f>IF(COUNTIFS('25'!$AG$33:$AG$38,$AK9,'25'!$AF$33:$AF$38,1)=0,"",SUMIFS('25'!$AC$33:$AC$38,'25'!$AG$33:$AG$38,$AK9,'25'!$AF$33:$AF$38,1)/COUNTIFS('25'!$AG$33:$AG$38,$AK9,'25'!$AF$33:$AF$38,1))</f>
        <v/>
      </c>
      <c r="BU9" s="92" t="str">
        <f>IF(COUNTIFS('26'!$AG$37:$AG$42,$AK9,'26'!$AF$37:$AF$42,1)=0,"",SUMIFS('26'!$AC$37:$AC$42,'26'!$AG$37:$AG$42,$AK9,'26'!$AF$37:$AF$42,1)/COUNTIFS('26'!$AG$37:$AG$42,$AK9,'26'!$AF$37:$AF$42,1))</f>
        <v/>
      </c>
      <c r="BV9" s="92" t="str">
        <f>IF(COUNTIFS('27'!$AG$42:$AG$47,$AK9,'27'!$AF$42:$AF$47,1)=0,"",SUMIFS('27'!$AC$42:$AC$47,'27'!$AG$42:$AG$47,$AK9,'27'!$AF$42:$AF$47,1)/COUNTIFS('27'!$AG$42:$AG$47,$AK9,'27'!$AF$42:$AF$47,1))</f>
        <v/>
      </c>
      <c r="BW9" s="92" t="str">
        <f>IF(COUNTIFS('28'!$AG$37:$AG$42,$AK9,'28'!$AF$37:$AF$42,1)=0,"",SUMIFS('28'!$AC$37:$AC$42,'28'!$AG$37:$AG$42,$AK9,'28'!$AF$37:$AF$42,1)/COUNTIFS('28'!$AG$37:$AG$42,$AK9,'28'!$AF$37:$AF$42,1))</f>
        <v/>
      </c>
      <c r="BX9" s="92" t="str">
        <f>IF(COUNTIFS('29'!$AG$41:$AG$46,$AK9,'29'!$AF$41:$AF$46,1)=0,"",SUMIFS('29'!$AC$41:$AC$46,'29'!$AG$41:$AG$46,$AK9,'29'!$AF$41:$AF$46,1)/COUNTIFS('29'!$AG$41:$AG$46,$AK9,'29'!$AF$41:$AF$46,1))</f>
        <v/>
      </c>
      <c r="BY9" s="92" t="str">
        <f>IF(COUNTIFS('30'!$AG$33:$AG$38,$AK9,'30'!$AF$33:$AF$38,1)=0,"",SUMIFS('30'!$AC$33:$AC$38,'30'!$AG$33:$AG$38,$AK9,'30'!$AF$33:$AF$38,1)/COUNTIFS('30'!$AG$33:$AG$38,$AK9,'30'!$AF$33:$AF$38,1))</f>
        <v/>
      </c>
      <c r="BZ9" s="92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0.03244274809</v>
      </c>
      <c r="E10" s="184">
        <f t="shared" si="10"/>
        <v>0.9236641221</v>
      </c>
      <c r="X10" s="92" t="s">
        <v>51</v>
      </c>
      <c r="Y10" s="92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2">
        <f t="shared" si="1"/>
        <v>17.00008</v>
      </c>
      <c r="AA10" s="92" t="s">
        <v>629</v>
      </c>
      <c r="AB10" s="92" t="s">
        <v>638</v>
      </c>
      <c r="AC10" s="92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2">
        <f t="shared" si="2"/>
        <v>0.00006</v>
      </c>
      <c r="AH10" s="92" t="s">
        <v>69</v>
      </c>
      <c r="AI10" s="92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114</v>
      </c>
      <c r="AJ10" s="92">
        <f t="shared" si="4"/>
        <v>114.00001</v>
      </c>
      <c r="AK10" s="92" t="s">
        <v>629</v>
      </c>
      <c r="AL10" s="92" t="s">
        <v>638</v>
      </c>
      <c r="AM10" s="92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2" t="str">
        <f t="shared" si="5"/>
        <v/>
      </c>
      <c r="AO10" s="92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2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2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2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2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2" t="str">
        <f>IF(COUNTIFS('1'!$AG$64:$AG$69,$AK10,'1'!$AF$64:$AF$69,1)=0,"",SUMIFS('1'!$AC$64:$AC$69,'1'!$AG$64:$AG$69,$AK10,'1'!$AF$64:$AF$69,1)/COUNTIFS('1'!$AG$64:$AG$69,$AK10,'1'!$AF$64:$AF$69,1))</f>
        <v/>
      </c>
      <c r="AW10" s="92" t="str">
        <f>IF(COUNTIFS('2'!$AG$64:$AG$69,$AK10,'2'!$AF$64:$AF$69,1)=0,"",SUMIFS('2'!$AC$64:$AC$69,'2'!$AG$64:$AG$69,$AK10,'2'!$AF$64:$AF$69,1)/COUNTIFS('2'!$AG$64:$AG$69,$AK10,'2'!$AF$64:$AF$69,1))</f>
        <v/>
      </c>
      <c r="AX10" s="92" t="str">
        <f>IF(COUNTIFS('3'!$AG$42:$AG$47,$AK10,'3'!$AF$42:$AF$47,1)=0,"",SUMIFS('3'!$AC$42:$AC$47,'3'!$AG$42:$AG$47,$AK10,'3'!$AF$42:$AF$47,1)/COUNTIFS('3'!$AG$42:$AG$47,$AK10,'3'!$AF$42:$AF$47,1))</f>
        <v/>
      </c>
      <c r="AY10" s="92" t="str">
        <f>IF(COUNTIFS('4'!$AG$40:$AG$45,$AK10,'4'!$AF$40:$AF$45,1)=0,"",SUMIFS('4'!$AC$40:$AC$45,'4'!$AG$40:$AG$45,$AK10,'4'!$AF$40:$AF$45,1)/COUNTIFS('4'!$AG$40:$AG$45,$AK10,'4'!$AF$40:$AF$45,1))</f>
        <v/>
      </c>
      <c r="AZ10" s="92" t="str">
        <f>IF(COUNTIFS('5'!$AG$35:$AG$40,$AK10,'5'!$AF$35:$AF$40,1)=0,"",SUMIFS('5'!$AC$35:$AC$40,'5'!$AG$35:$AG$40,$AK10,'5'!$AF$35:$AF$40,1)/COUNTIFS('5'!$AG$35:$AG$40,$AK10,'5'!$AF$35:$AF$40,1))</f>
        <v/>
      </c>
      <c r="BA10" s="92" t="str">
        <f>IF(COUNTIFS('6'!$AG$37:$AG$42,$AK10,'6'!$AF$37:$AF$42,1)=0,"",SUMIFS('6'!$AC$37:$AC$42,'6'!$AG$37:$AG$42,$AK10,'6'!$AF$37:$AF$42,1)/COUNTIFS('6'!$AG$37:$AG$42,$AK10,'6'!$AF$37:$AF$42,1))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IF(COUNTIFS('8'!$AG$76:$AG$81,$AK10,'8'!$AF$76:$AF$81,1)=0,"",SUMIFS('8'!$AC$76:$AC$81,'8'!$AG$76:$AG$81,$AK10,'8'!$AF$76:$AF$81,1)/COUNTIFS('8'!$AG$76:$AG$81,$AK10,'8'!$AF$76:$AF$81,1))</f>
        <v/>
      </c>
      <c r="BD10" s="92" t="str">
        <f>IF(COUNTIFS('9'!$AG$72:$AG$77,$AK10,'9'!$AF$72:$AF$77,1)=0,"",SUMIFS('9'!$AC$72:$AC$77,'9'!$AG$72:$AG$77,$AK10,'9'!$AF$72:$AF$77,1)/COUNTIFS('9'!$AG$72:$AG$77,$AK10,'9'!$AF$72:$AF$77,1))</f>
        <v/>
      </c>
      <c r="BE10" s="92" t="str">
        <f>IF(COUNTIFS('10'!$AG$30:$AG$35,$AK10,'10'!$AF$30:$AF$35,1)=0,"",SUMIFS('10'!$AC$30:$AC$35,'10'!$AG$30:$AG$35,$AK10,'10'!$AF$30:$AF$35,1)/COUNTIFS('10'!$AG$30:$AG$35,$AK10,'10'!$AF$30:$AF$35,1))</f>
        <v/>
      </c>
      <c r="BF10" s="92" t="str">
        <f>IF(COUNTIFS('11'!$AG$34:$AG$39,$AK10,'11'!$AF$34:$AF$39,1)=0,"",SUMIFS('11'!$AC$34:$AC$39,'11'!$AG$34:$AG$39,$AK10,'11'!$AF$34:$AF$39,1)/COUNTIFS('11'!$AG$34:$AG$39,$AK10,'11'!$AF$34:$AF$39,1))</f>
        <v/>
      </c>
      <c r="BG10" s="92" t="str">
        <f>IF(COUNTIFS('12'!$AG$35:$AG$40,$AK10,'12'!$AF$35:$AF$40,1)=0,"",SUMIFS('12'!$AC$35:$AC$40,'12'!$AG$35:$AG$40,$AK10,'12'!$AF$35:$AF$40,1)/COUNTIFS('12'!$AG$35:$AG$40,$AK10,'12'!$AF$35:$AF$40,1))</f>
        <v/>
      </c>
      <c r="BH10" s="92" t="str">
        <f>IF(COUNTIFS('13'!$AG$39:$AG$44,$AK10,'13'!$AF$39:$AF$44,1)=0,"",SUMIFS('13'!$AC$39:$AC$44,'13'!$AG$39:$AG$44,$AK10,'13'!$AF$39:$AF$44,1)/COUNTIFS('13'!$AG$39:$AG$44,$AK10,'13'!$AF$39:$AF$44,1))</f>
        <v/>
      </c>
      <c r="BI10" s="92" t="str">
        <f>IF(COUNTIFS('14'!$AG$37:$AG$42,$AK10,'14'!$AF$37:$AF$42,1)=0,"",SUMIFS('14'!$AC$37:$AC$42,'14'!$AG$37:$AG$42,$AK10,'14'!$AF$37:$AF$42,1)/COUNTIFS('14'!$AG$37:$AG$42,$AK10,'14'!$AF$37:$AF$42,1))</f>
        <v/>
      </c>
      <c r="BJ10" s="92" t="str">
        <f>IF(COUNTIFS('15'!$AG$36:$AG$41,$AK10,'15'!$AF$36:$AF$41,1)=0,"",SUMIFS('15'!$AC$36:$AC$41,'15'!$AG$36:$AG$41,$AK10,'15'!$AF$36:$AF$41,1)/COUNTIFS('15'!$AG$36:$AG$41,$AK10,'15'!$AF$36:$AF$41,1))</f>
        <v/>
      </c>
      <c r="BK10" s="92" t="str">
        <f>IF(COUNTIFS('16'!$AG$34:$AG$39,$AK10,'16'!$AF$34:$AF$39,1)=0,"",SUMIFS('16'!$AC$34:$AC$39,'16'!$AG$34:$AG$39,$AK10,'16'!$AF$34:$AF$39,1)/COUNTIFS('16'!$AG$34:$AG$39,$AK10,'16'!$AF$34:$AF$39,1))</f>
        <v/>
      </c>
      <c r="BL10" s="92" t="str">
        <f>IF(COUNTIFS('17'!$AG$37:$AG$42,$AK10,'17'!$AF$37:$AF$42,1)=0,"",SUMIFS('17'!$AC$37:$AC$42,'17'!$AG$37:$AG$42,$AK10,'17'!$AF$37:$AF$42,1)/COUNTIFS('17'!$AG$37:$AG$42,$AK10,'17'!$AF$37:$AF$42,1))</f>
        <v/>
      </c>
      <c r="BM10" s="92" t="str">
        <f>IF(COUNTIFS('18'!$AG$37:$AG$42,$AK10,'18'!$AF$37:$AF$42,1)=0,"",SUMIFS('18'!$AC$37:$AC$42,'18'!$AG$37:$AG$42,$AK10,'18'!$AF$37:$AF$42,1)/COUNTIFS('18'!$AG$37:$AG$42,$AK10,'18'!$AF$37:$AF$42,1))</f>
        <v/>
      </c>
      <c r="BN10" s="92" t="str">
        <f>IF(COUNTIFS('19'!$AG$38:$AG$43,$AK10,'19'!$AF$38:$AF$43,1)=0,"",SUMIFS('19'!$AC$38:$AC$43,'19'!$AG$38:$AG$43,$AK10,'19'!$AF$38:$AF$43,1)/COUNTIFS('19'!$AG$38:$AG$43,$AK10,'19'!$AF$38:$AF$43,1))</f>
        <v/>
      </c>
      <c r="BO10" s="92" t="str">
        <f>IF(COUNTIFS('20'!$AG$40:$AG$45,$AK10,'20'!$AF$40:$AF$45,1)=0,"",SUMIFS('20'!$AC$40:$AC$45,'20'!$AG$40:$AG$45,$AK10,'20'!$AF$40:$AF$45,1)/COUNTIFS('20'!$AG$40:$AG$45,$AK10,'20'!$AF$40:$AF$45,1))</f>
        <v/>
      </c>
      <c r="BP10" s="92" t="str">
        <f>IF(COUNTIFS('21'!$AG$30:$AG$35,$AK10,'21'!$AF$30:$AF$35,1)=0,"",SUMIFS('21'!$AC$30:$AC$35,'21'!$AG$30:$AG$35,$AK10,'21'!$AF$30:$AF$35,1)/COUNTIFS('21'!$AG$30:$AG$35,$AK10,'21'!$AF$30:$AF$35,1))</f>
        <v/>
      </c>
      <c r="BQ10" s="92" t="str">
        <f>IF(COUNTIFS('22'!$AG$45:$AG$50,$AK10,'22'!$AF$45:$AF$50,1)=0,"",SUMIFS('22'!$AC$45:$AC$50,'22'!$AG$45:$AG$50,$AK10,'22'!$AF$45:$AF$50,1)/COUNTIFS('22'!$AG$45:$AG$50,$AK10,'22'!$AF$45:$AF$50,1))</f>
        <v/>
      </c>
      <c r="BR10" s="92" t="str">
        <f>IF(COUNTIFS('23'!$AG$46:$AG$51,$AK10,'23'!$AF$46:$AF$51,1)=0,"",SUMIFS('23'!$AC$46:$AC$51,'23'!$AG$46:$AG$51,$AK10,'23'!$AF$46:$AF$51,1)/COUNTIFS('23'!$AG$46:$AG$51,$AK10,'23'!$AF$46:$AF$51,1))</f>
        <v/>
      </c>
      <c r="BS10" s="92" t="str">
        <f>IF(COUNTIFS('24'!$AG$39:$AG$44,$AK10,'24'!$AF$39:$AF$44,1)=0,"",SUMIFS('24'!$AC$39:$AC$44,'24'!$AG$39:$AG$44,$AK10,'24'!$AF$39:$AF$44,1)/COUNTIFS('24'!$AG$39:$AG$44,$AK10,'24'!$AF$39:$AF$44,1))</f>
        <v/>
      </c>
      <c r="BT10" s="92" t="str">
        <f>IF(COUNTIFS('25'!$AG$33:$AG$38,$AK10,'25'!$AF$33:$AF$38,1)=0,"",SUMIFS('25'!$AC$33:$AC$38,'25'!$AG$33:$AG$38,$AK10,'25'!$AF$33:$AF$38,1)/COUNTIFS('25'!$AG$33:$AG$38,$AK10,'25'!$AF$33:$AF$38,1))</f>
        <v/>
      </c>
      <c r="BU10" s="92" t="str">
        <f>IF(COUNTIFS('26'!$AG$37:$AG$42,$AK10,'26'!$AF$37:$AF$42,1)=0,"",SUMIFS('26'!$AC$37:$AC$42,'26'!$AG$37:$AG$42,$AK10,'26'!$AF$37:$AF$42,1)/COUNTIFS('26'!$AG$37:$AG$42,$AK10,'26'!$AF$37:$AF$42,1))</f>
        <v/>
      </c>
      <c r="BV10" s="92" t="str">
        <f>IF(COUNTIFS('27'!$AG$42:$AG$47,$AK10,'27'!$AF$42:$AF$47,1)=0,"",SUMIFS('27'!$AC$42:$AC$47,'27'!$AG$42:$AG$47,$AK10,'27'!$AF$42:$AF$47,1)/COUNTIFS('27'!$AG$42:$AG$47,$AK10,'27'!$AF$42:$AF$47,1))</f>
        <v/>
      </c>
      <c r="BW10" s="92" t="str">
        <f>IF(COUNTIFS('28'!$AG$37:$AG$42,$AK10,'28'!$AF$37:$AF$42,1)=0,"",SUMIFS('28'!$AC$37:$AC$42,'28'!$AG$37:$AG$42,$AK10,'28'!$AF$37:$AF$42,1)/COUNTIFS('28'!$AG$37:$AG$42,$AK10,'28'!$AF$37:$AF$42,1))</f>
        <v/>
      </c>
      <c r="BX10" s="92" t="str">
        <f>IF(COUNTIFS('29'!$AG$41:$AG$46,$AK10,'29'!$AF$41:$AF$46,1)=0,"",SUMIFS('29'!$AC$41:$AC$46,'29'!$AG$41:$AG$46,$AK10,'29'!$AF$41:$AF$46,1)/COUNTIFS('29'!$AG$41:$AG$46,$AK10,'29'!$AF$41:$AF$46,1))</f>
        <v/>
      </c>
      <c r="BY10" s="92" t="str">
        <f>IF(COUNTIFS('30'!$AG$33:$AG$38,$AK10,'30'!$AF$33:$AF$38,1)=0,"",SUMIFS('30'!$AC$33:$AC$38,'30'!$AG$33:$AG$38,$AK10,'30'!$AF$33:$AF$38,1)/COUNTIFS('30'!$AG$33:$AG$38,$AK10,'30'!$AF$33:$AF$38,1))</f>
        <v/>
      </c>
      <c r="BZ10" s="92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13</v>
      </c>
      <c r="D11" s="184">
        <f t="shared" si="9"/>
        <v>0.02480916031</v>
      </c>
      <c r="E11" s="184">
        <f t="shared" si="10"/>
        <v>0.9484732824</v>
      </c>
      <c r="X11" s="92" t="s">
        <v>58</v>
      </c>
      <c r="Y11" s="92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22</v>
      </c>
      <c r="Z11" s="92">
        <f t="shared" si="1"/>
        <v>22.00007</v>
      </c>
      <c r="AA11" s="92" t="s">
        <v>53</v>
      </c>
      <c r="AB11" s="92" t="s">
        <v>638</v>
      </c>
      <c r="AC11" s="92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2">
        <f t="shared" si="2"/>
        <v>0.00005</v>
      </c>
      <c r="AK11" s="92" t="s">
        <v>53</v>
      </c>
      <c r="AL11" s="92" t="s">
        <v>638</v>
      </c>
      <c r="AM11" s="92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2" t="str">
        <f t="shared" si="5"/>
        <v/>
      </c>
      <c r="AO11" s="92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2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2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2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2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2" t="str">
        <f>IF(COUNTIFS('1'!$AG$64:$AG$69,$AK11,'1'!$AF$64:$AF$69,1)=0,"",SUMIFS('1'!$AC$64:$AC$69,'1'!$AG$64:$AG$69,$AK11,'1'!$AF$64:$AF$69,1)/COUNTIFS('1'!$AG$64:$AG$69,$AK11,'1'!$AF$64:$AF$69,1))</f>
        <v/>
      </c>
      <c r="AW11" s="92" t="str">
        <f>IF(COUNTIFS('2'!$AG$64:$AG$69,$AK11,'2'!$AF$64:$AF$69,1)=0,"",SUMIFS('2'!$AC$64:$AC$69,'2'!$AG$64:$AG$69,$AK11,'2'!$AF$64:$AF$69,1)/COUNTIFS('2'!$AG$64:$AG$69,$AK11,'2'!$AF$64:$AF$69,1))</f>
        <v/>
      </c>
      <c r="AX11" s="92" t="str">
        <f>IF(COUNTIFS('3'!$AG$42:$AG$47,$AK11,'3'!$AF$42:$AF$47,1)=0,"",SUMIFS('3'!$AC$42:$AC$47,'3'!$AG$42:$AG$47,$AK11,'3'!$AF$42:$AF$47,1)/COUNTIFS('3'!$AG$42:$AG$47,$AK11,'3'!$AF$42:$AF$47,1))</f>
        <v/>
      </c>
      <c r="AY11" s="92" t="str">
        <f>IF(COUNTIFS('4'!$AG$40:$AG$45,$AK11,'4'!$AF$40:$AF$45,1)=0,"",SUMIFS('4'!$AC$40:$AC$45,'4'!$AG$40:$AG$45,$AK11,'4'!$AF$40:$AF$45,1)/COUNTIFS('4'!$AG$40:$AG$45,$AK11,'4'!$AF$40:$AF$45,1))</f>
        <v/>
      </c>
      <c r="AZ11" s="92" t="str">
        <f>IF(COUNTIFS('5'!$AG$35:$AG$40,$AK11,'5'!$AF$35:$AF$40,1)=0,"",SUMIFS('5'!$AC$35:$AC$40,'5'!$AG$35:$AG$40,$AK11,'5'!$AF$35:$AF$40,1)/COUNTIFS('5'!$AG$35:$AG$40,$AK11,'5'!$AF$35:$AF$40,1))</f>
        <v/>
      </c>
      <c r="BA11" s="92" t="str">
        <f>IF(COUNTIFS('6'!$AG$37:$AG$42,$AK11,'6'!$AF$37:$AF$42,1)=0,"",SUMIFS('6'!$AC$37:$AC$42,'6'!$AG$37:$AG$42,$AK11,'6'!$AF$37:$AF$42,1)/COUNTIFS('6'!$AG$37:$AG$42,$AK11,'6'!$AF$37:$AF$42,1))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IF(COUNTIFS('8'!$AG$76:$AG$81,$AK11,'8'!$AF$76:$AF$81,1)=0,"",SUMIFS('8'!$AC$76:$AC$81,'8'!$AG$76:$AG$81,$AK11,'8'!$AF$76:$AF$81,1)/COUNTIFS('8'!$AG$76:$AG$81,$AK11,'8'!$AF$76:$AF$81,1))</f>
        <v/>
      </c>
      <c r="BD11" s="92" t="str">
        <f>IF(COUNTIFS('9'!$AG$72:$AG$77,$AK11,'9'!$AF$72:$AF$77,1)=0,"",SUMIFS('9'!$AC$72:$AC$77,'9'!$AG$72:$AG$77,$AK11,'9'!$AF$72:$AF$77,1)/COUNTIFS('9'!$AG$72:$AG$77,$AK11,'9'!$AF$72:$AF$77,1))</f>
        <v/>
      </c>
      <c r="BE11" s="92" t="str">
        <f>IF(COUNTIFS('10'!$AG$30:$AG$35,$AK11,'10'!$AF$30:$AF$35,1)=0,"",SUMIFS('10'!$AC$30:$AC$35,'10'!$AG$30:$AG$35,$AK11,'10'!$AF$30:$AF$35,1)/COUNTIFS('10'!$AG$30:$AG$35,$AK11,'10'!$AF$30:$AF$35,1))</f>
        <v/>
      </c>
      <c r="BF11" s="92" t="str">
        <f>IF(COUNTIFS('11'!$AG$34:$AG$39,$AK11,'11'!$AF$34:$AF$39,1)=0,"",SUMIFS('11'!$AC$34:$AC$39,'11'!$AG$34:$AG$39,$AK11,'11'!$AF$34:$AF$39,1)/COUNTIFS('11'!$AG$34:$AG$39,$AK11,'11'!$AF$34:$AF$39,1))</f>
        <v/>
      </c>
      <c r="BG11" s="92" t="str">
        <f>IF(COUNTIFS('12'!$AG$35:$AG$40,$AK11,'12'!$AF$35:$AF$40,1)=0,"",SUMIFS('12'!$AC$35:$AC$40,'12'!$AG$35:$AG$40,$AK11,'12'!$AF$35:$AF$40,1)/COUNTIFS('12'!$AG$35:$AG$40,$AK11,'12'!$AF$35:$AF$40,1))</f>
        <v/>
      </c>
      <c r="BH11" s="92" t="str">
        <f>IF(COUNTIFS('13'!$AG$39:$AG$44,$AK11,'13'!$AF$39:$AF$44,1)=0,"",SUMIFS('13'!$AC$39:$AC$44,'13'!$AG$39:$AG$44,$AK11,'13'!$AF$39:$AF$44,1)/COUNTIFS('13'!$AG$39:$AG$44,$AK11,'13'!$AF$39:$AF$44,1))</f>
        <v/>
      </c>
      <c r="BI11" s="92" t="str">
        <f>IF(COUNTIFS('14'!$AG$37:$AG$42,$AK11,'14'!$AF$37:$AF$42,1)=0,"",SUMIFS('14'!$AC$37:$AC$42,'14'!$AG$37:$AG$42,$AK11,'14'!$AF$37:$AF$42,1)/COUNTIFS('14'!$AG$37:$AG$42,$AK11,'14'!$AF$37:$AF$42,1))</f>
        <v/>
      </c>
      <c r="BJ11" s="92" t="str">
        <f>IF(COUNTIFS('15'!$AG$36:$AG$41,$AK11,'15'!$AF$36:$AF$41,1)=0,"",SUMIFS('15'!$AC$36:$AC$41,'15'!$AG$36:$AG$41,$AK11,'15'!$AF$36:$AF$41,1)/COUNTIFS('15'!$AG$36:$AG$41,$AK11,'15'!$AF$36:$AF$41,1))</f>
        <v/>
      </c>
      <c r="BK11" s="92" t="str">
        <f>IF(COUNTIFS('16'!$AG$34:$AG$39,$AK11,'16'!$AF$34:$AF$39,1)=0,"",SUMIFS('16'!$AC$34:$AC$39,'16'!$AG$34:$AG$39,$AK11,'16'!$AF$34:$AF$39,1)/COUNTIFS('16'!$AG$34:$AG$39,$AK11,'16'!$AF$34:$AF$39,1))</f>
        <v/>
      </c>
      <c r="BL11" s="92" t="str">
        <f>IF(COUNTIFS('17'!$AG$37:$AG$42,$AK11,'17'!$AF$37:$AF$42,1)=0,"",SUMIFS('17'!$AC$37:$AC$42,'17'!$AG$37:$AG$42,$AK11,'17'!$AF$37:$AF$42,1)/COUNTIFS('17'!$AG$37:$AG$42,$AK11,'17'!$AF$37:$AF$42,1))</f>
        <v/>
      </c>
      <c r="BM11" s="92" t="str">
        <f>IF(COUNTIFS('18'!$AG$37:$AG$42,$AK11,'18'!$AF$37:$AF$42,1)=0,"",SUMIFS('18'!$AC$37:$AC$42,'18'!$AG$37:$AG$42,$AK11,'18'!$AF$37:$AF$42,1)/COUNTIFS('18'!$AG$37:$AG$42,$AK11,'18'!$AF$37:$AF$42,1))</f>
        <v/>
      </c>
      <c r="BN11" s="92" t="str">
        <f>IF(COUNTIFS('19'!$AG$38:$AG$43,$AK11,'19'!$AF$38:$AF$43,1)=0,"",SUMIFS('19'!$AC$38:$AC$43,'19'!$AG$38:$AG$43,$AK11,'19'!$AF$38:$AF$43,1)/COUNTIFS('19'!$AG$38:$AG$43,$AK11,'19'!$AF$38:$AF$43,1))</f>
        <v/>
      </c>
      <c r="BO11" s="92" t="str">
        <f>IF(COUNTIFS('20'!$AG$40:$AG$45,$AK11,'20'!$AF$40:$AF$45,1)=0,"",SUMIFS('20'!$AC$40:$AC$45,'20'!$AG$40:$AG$45,$AK11,'20'!$AF$40:$AF$45,1)/COUNTIFS('20'!$AG$40:$AG$45,$AK11,'20'!$AF$40:$AF$45,1))</f>
        <v/>
      </c>
      <c r="BP11" s="92" t="str">
        <f>IF(COUNTIFS('21'!$AG$30:$AG$35,$AK11,'21'!$AF$30:$AF$35,1)=0,"",SUMIFS('21'!$AC$30:$AC$35,'21'!$AG$30:$AG$35,$AK11,'21'!$AF$30:$AF$35,1)/COUNTIFS('21'!$AG$30:$AG$35,$AK11,'21'!$AF$30:$AF$35,1))</f>
        <v/>
      </c>
      <c r="BQ11" s="92" t="str">
        <f>IF(COUNTIFS('22'!$AG$45:$AG$50,$AK11,'22'!$AF$45:$AF$50,1)=0,"",SUMIFS('22'!$AC$45:$AC$50,'22'!$AG$45:$AG$50,$AK11,'22'!$AF$45:$AF$50,1)/COUNTIFS('22'!$AG$45:$AG$50,$AK11,'22'!$AF$45:$AF$50,1))</f>
        <v/>
      </c>
      <c r="BR11" s="92" t="str">
        <f>IF(COUNTIFS('23'!$AG$46:$AG$51,$AK11,'23'!$AF$46:$AF$51,1)=0,"",SUMIFS('23'!$AC$46:$AC$51,'23'!$AG$46:$AG$51,$AK11,'23'!$AF$46:$AF$51,1)/COUNTIFS('23'!$AG$46:$AG$51,$AK11,'23'!$AF$46:$AF$51,1))</f>
        <v/>
      </c>
      <c r="BS11" s="92" t="str">
        <f>IF(COUNTIFS('24'!$AG$39:$AG$44,$AK11,'24'!$AF$39:$AF$44,1)=0,"",SUMIFS('24'!$AC$39:$AC$44,'24'!$AG$39:$AG$44,$AK11,'24'!$AF$39:$AF$44,1)/COUNTIFS('24'!$AG$39:$AG$44,$AK11,'24'!$AF$39:$AF$44,1))</f>
        <v/>
      </c>
      <c r="BT11" s="92" t="str">
        <f>IF(COUNTIFS('25'!$AG$33:$AG$38,$AK11,'25'!$AF$33:$AF$38,1)=0,"",SUMIFS('25'!$AC$33:$AC$38,'25'!$AG$33:$AG$38,$AK11,'25'!$AF$33:$AF$38,1)/COUNTIFS('25'!$AG$33:$AG$38,$AK11,'25'!$AF$33:$AF$38,1))</f>
        <v/>
      </c>
      <c r="BU11" s="92" t="str">
        <f>IF(COUNTIFS('26'!$AG$37:$AG$42,$AK11,'26'!$AF$37:$AF$42,1)=0,"",SUMIFS('26'!$AC$37:$AC$42,'26'!$AG$37:$AG$42,$AK11,'26'!$AF$37:$AF$42,1)/COUNTIFS('26'!$AG$37:$AG$42,$AK11,'26'!$AF$37:$AF$42,1))</f>
        <v/>
      </c>
      <c r="BV11" s="92" t="str">
        <f>IF(COUNTIFS('27'!$AG$42:$AG$47,$AK11,'27'!$AF$42:$AF$47,1)=0,"",SUMIFS('27'!$AC$42:$AC$47,'27'!$AG$42:$AG$47,$AK11,'27'!$AF$42:$AF$47,1)/COUNTIFS('27'!$AG$42:$AG$47,$AK11,'27'!$AF$42:$AF$47,1))</f>
        <v/>
      </c>
      <c r="BW11" s="92" t="str">
        <f>IF(COUNTIFS('28'!$AG$37:$AG$42,$AK11,'28'!$AF$37:$AF$42,1)=0,"",SUMIFS('28'!$AC$37:$AC$42,'28'!$AG$37:$AG$42,$AK11,'28'!$AF$37:$AF$42,1)/COUNTIFS('28'!$AG$37:$AG$42,$AK11,'28'!$AF$37:$AF$42,1))</f>
        <v/>
      </c>
      <c r="BX11" s="92" t="str">
        <f>IF(COUNTIFS('29'!$AG$41:$AG$46,$AK11,'29'!$AF$41:$AF$46,1)=0,"",SUMIFS('29'!$AC$41:$AC$46,'29'!$AG$41:$AG$46,$AK11,'29'!$AF$41:$AF$46,1)/COUNTIFS('29'!$AG$41:$AG$46,$AK11,'29'!$AF$41:$AF$46,1))</f>
        <v/>
      </c>
      <c r="BY11" s="92" t="str">
        <f>IF(COUNTIFS('30'!$AG$33:$AG$38,$AK11,'30'!$AF$33:$AF$38,1)=0,"",SUMIFS('30'!$AC$33:$AC$38,'30'!$AG$33:$AG$38,$AK11,'30'!$AF$33:$AF$38,1)/COUNTIFS('30'!$AG$33:$AG$38,$AK11,'30'!$AF$33:$AF$38,1))</f>
        <v/>
      </c>
      <c r="BZ11" s="92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13</v>
      </c>
      <c r="D12" s="184">
        <f t="shared" si="9"/>
        <v>0.02480916031</v>
      </c>
      <c r="E12" s="184">
        <f t="shared" si="10"/>
        <v>0.9732824427</v>
      </c>
      <c r="X12" s="92" t="s">
        <v>540</v>
      </c>
      <c r="Y12" s="92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2">
        <f t="shared" si="1"/>
        <v>2.00006</v>
      </c>
      <c r="AA12" s="92" t="s">
        <v>40</v>
      </c>
      <c r="AB12" s="92" t="s">
        <v>638</v>
      </c>
      <c r="AC12" s="92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23</v>
      </c>
      <c r="AD12" s="92">
        <f t="shared" si="2"/>
        <v>23.00004</v>
      </c>
      <c r="AK12" s="92" t="s">
        <v>40</v>
      </c>
      <c r="AL12" s="92" t="s">
        <v>638</v>
      </c>
      <c r="AM12" s="92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21</v>
      </c>
      <c r="AN12" s="92">
        <f t="shared" si="5"/>
        <v>99.04761905</v>
      </c>
      <c r="AO12" s="92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2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2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4.952380952</v>
      </c>
      <c r="AR12" s="92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2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4.761904762</v>
      </c>
      <c r="AV12" s="92">
        <f>IF(COUNTIFS('1'!$AG$64:$AG$69,$AK12,'1'!$AF$64:$AF$69,1)=0,"",SUMIFS('1'!$AC$64:$AC$69,'1'!$AG$64:$AG$69,$AK12,'1'!$AF$64:$AF$69,1)/COUNTIFS('1'!$AG$64:$AG$69,$AK12,'1'!$AF$64:$AF$69,1))</f>
        <v>100</v>
      </c>
      <c r="AW12" s="92">
        <f>IF(COUNTIFS('2'!$AG$64:$AG$69,$AK12,'2'!$AF$64:$AF$69,1)=0,"",SUMIFS('2'!$AC$64:$AC$69,'2'!$AG$64:$AG$69,$AK12,'2'!$AF$64:$AF$69,1)/COUNTIFS('2'!$AG$64:$AG$69,$AK12,'2'!$AF$64:$AF$69,1))</f>
        <v>100</v>
      </c>
      <c r="AX12" s="92">
        <f>IF(COUNTIFS('3'!$AG$42:$AG$47,$AK12,'3'!$AF$42:$AF$47,1)=0,"",SUMIFS('3'!$AC$42:$AC$47,'3'!$AG$42:$AG$47,$AK12,'3'!$AF$42:$AF$47,1)/COUNTIFS('3'!$AG$42:$AG$47,$AK12,'3'!$AF$42:$AF$47,1))</f>
        <v>100</v>
      </c>
      <c r="AY12" s="92">
        <f>IF(COUNTIFS('4'!$AG$40:$AG$45,$AK12,'4'!$AF$40:$AF$45,1)=0,"",SUMIFS('4'!$AC$40:$AC$45,'4'!$AG$40:$AG$45,$AK12,'4'!$AF$40:$AF$45,1)/COUNTIFS('4'!$AG$40:$AG$45,$AK12,'4'!$AF$40:$AF$45,1))</f>
        <v>100</v>
      </c>
      <c r="AZ12" s="92" t="str">
        <f>IF(COUNTIFS('5'!$AG$35:$AG$40,$AK12,'5'!$AF$35:$AF$40,1)=0,"",SUMIFS('5'!$AC$35:$AC$40,'5'!$AG$35:$AG$40,$AK12,'5'!$AF$35:$AF$40,1)/COUNTIFS('5'!$AG$35:$AG$40,$AK12,'5'!$AF$35:$AF$40,1))</f>
        <v/>
      </c>
      <c r="BA12" s="92">
        <f>IF(COUNTIFS('6'!$AG$37:$AG$42,$AK12,'6'!$AF$37:$AF$42,1)=0,"",SUMIFS('6'!$AC$37:$AC$42,'6'!$AG$37:$AG$42,$AK12,'6'!$AF$37:$AF$42,1)/COUNTIFS('6'!$AG$37:$AG$42,$AK12,'6'!$AF$37:$AF$42,1))</f>
        <v>100</v>
      </c>
      <c r="BB12" s="92">
        <f>IF(COUNTIFS('7'!$AG$30:$AG$35,$AK12,'7'!$AF$30:$AF$35,1)=0,"",SUMIFS('7'!$AC$30:$AC$35,'7'!$AG$30:$AG$35,$AK12,'7'!$AF$30:$AF$35,1)/COUNTIFS('7'!$AG$30:$AG$35,$AK12,'7'!$AF$30:$AF$35,1))</f>
        <v>100</v>
      </c>
      <c r="BC12" s="92">
        <f>IF(COUNTIFS('8'!$AG$76:$AG$81,$AK12,'8'!$AF$76:$AF$81,1)=0,"",SUMIFS('8'!$AC$76:$AC$81,'8'!$AG$76:$AG$81,$AK12,'8'!$AF$76:$AF$81,1)/COUNTIFS('8'!$AG$76:$AG$81,$AK12,'8'!$AF$76:$AF$81,1))</f>
        <v>100</v>
      </c>
      <c r="BD12" s="92">
        <f>IF(COUNTIFS('9'!$AG$72:$AG$77,$AK12,'9'!$AF$72:$AF$77,1)=0,"",SUMIFS('9'!$AC$72:$AC$77,'9'!$AG$72:$AG$77,$AK12,'9'!$AF$72:$AF$77,1)/COUNTIFS('9'!$AG$72:$AG$77,$AK12,'9'!$AF$72:$AF$77,1))</f>
        <v>100</v>
      </c>
      <c r="BE12" s="92">
        <f>IF(COUNTIFS('10'!$AG$30:$AG$35,$AK12,'10'!$AF$30:$AF$35,1)=0,"",SUMIFS('10'!$AC$30:$AC$35,'10'!$AG$30:$AG$35,$AK12,'10'!$AF$30:$AF$35,1)/COUNTIFS('10'!$AG$30:$AG$35,$AK12,'10'!$AF$30:$AF$35,1))</f>
        <v>100</v>
      </c>
      <c r="BF12" s="92">
        <f>IF(COUNTIFS('11'!$AG$34:$AG$39,$AK12,'11'!$AF$34:$AF$39,1)=0,"",SUMIFS('11'!$AC$34:$AC$39,'11'!$AG$34:$AG$39,$AK12,'11'!$AF$34:$AF$39,1)/COUNTIFS('11'!$AG$34:$AG$39,$AK12,'11'!$AF$34:$AF$39,1))</f>
        <v>97</v>
      </c>
      <c r="BG12" s="92" t="str">
        <f>IF(COUNTIFS('12'!$AG$35:$AG$40,$AK12,'12'!$AF$35:$AF$40,1)=0,"",SUMIFS('12'!$AC$35:$AC$40,'12'!$AG$35:$AG$40,$AK12,'12'!$AF$35:$AF$40,1)/COUNTIFS('12'!$AG$35:$AG$40,$AK12,'12'!$AF$35:$AF$40,1))</f>
        <v/>
      </c>
      <c r="BH12" s="92">
        <f>IF(COUNTIFS('13'!$AG$39:$AG$44,$AK12,'13'!$AF$39:$AF$44,1)=0,"",SUMIFS('13'!$AC$39:$AC$44,'13'!$AG$39:$AG$44,$AK12,'13'!$AF$39:$AF$44,1)/COUNTIFS('13'!$AG$39:$AG$44,$AK12,'13'!$AF$39:$AF$44,1))</f>
        <v>100</v>
      </c>
      <c r="BI12" s="92">
        <f>IF(COUNTIFS('14'!$AG$37:$AG$42,$AK12,'14'!$AF$37:$AF$42,1)=0,"",SUMIFS('14'!$AC$37:$AC$42,'14'!$AG$37:$AG$42,$AK12,'14'!$AF$37:$AF$42,1)/COUNTIFS('14'!$AG$37:$AG$42,$AK12,'14'!$AF$37:$AF$42,1))</f>
        <v>97</v>
      </c>
      <c r="BJ12" s="92">
        <f>IF(COUNTIFS('15'!$AG$36:$AG$41,$AK12,'15'!$AF$36:$AF$41,1)=0,"",SUMIFS('15'!$AC$36:$AC$41,'15'!$AG$36:$AG$41,$AK12,'15'!$AF$36:$AF$41,1)/COUNTIFS('15'!$AG$36:$AG$41,$AK12,'15'!$AF$36:$AF$41,1))</f>
        <v>100</v>
      </c>
      <c r="BK12" s="92">
        <f>IF(COUNTIFS('16'!$AG$34:$AG$39,$AK12,'16'!$AF$34:$AF$39,1)=0,"",SUMIFS('16'!$AC$34:$AC$39,'16'!$AG$34:$AG$39,$AK12,'16'!$AF$34:$AF$39,1)/COUNTIFS('16'!$AG$34:$AG$39,$AK12,'16'!$AF$34:$AF$39,1))</f>
        <v>100</v>
      </c>
      <c r="BL12" s="92">
        <f>IF(COUNTIFS('17'!$AG$37:$AG$42,$AK12,'17'!$AF$37:$AF$42,1)=0,"",SUMIFS('17'!$AC$37:$AC$42,'17'!$AG$37:$AG$42,$AK12,'17'!$AF$37:$AF$42,1)/COUNTIFS('17'!$AG$37:$AG$42,$AK12,'17'!$AF$37:$AF$42,1))</f>
        <v>100</v>
      </c>
      <c r="BM12" s="92" t="str">
        <f>IF(COUNTIFS('18'!$AG$37:$AG$42,$AK12,'18'!$AF$37:$AF$42,1)=0,"",SUMIFS('18'!$AC$37:$AC$42,'18'!$AG$37:$AG$42,$AK12,'18'!$AF$37:$AF$42,1)/COUNTIFS('18'!$AG$37:$AG$42,$AK12,'18'!$AF$37:$AF$42,1))</f>
        <v/>
      </c>
      <c r="BN12" s="92">
        <f>IF(COUNTIFS('19'!$AG$38:$AG$43,$AK12,'19'!$AF$38:$AF$43,1)=0,"",SUMIFS('19'!$AC$38:$AC$43,'19'!$AG$38:$AG$43,$AK12,'19'!$AF$38:$AF$43,1)/COUNTIFS('19'!$AG$38:$AG$43,$AK12,'19'!$AF$38:$AF$43,1))</f>
        <v>100</v>
      </c>
      <c r="BO12" s="92" t="str">
        <f>IF(COUNTIFS('20'!$AG$40:$AG$45,$AK12,'20'!$AF$40:$AF$45,1)=0,"",SUMIFS('20'!$AC$40:$AC$45,'20'!$AG$40:$AG$45,$AK12,'20'!$AF$40:$AF$45,1)/COUNTIFS('20'!$AG$40:$AG$45,$AK12,'20'!$AF$40:$AF$45,1))</f>
        <v/>
      </c>
      <c r="BP12" s="92" t="str">
        <f>IF(COUNTIFS('21'!$AG$30:$AG$35,$AK12,'21'!$AF$30:$AF$35,1)=0,"",SUMIFS('21'!$AC$30:$AC$35,'21'!$AG$30:$AG$35,$AK12,'21'!$AF$30:$AF$35,1)/COUNTIFS('21'!$AG$30:$AG$35,$AK12,'21'!$AF$30:$AF$35,1))</f>
        <v/>
      </c>
      <c r="BQ12" s="92">
        <f>IF(COUNTIFS('22'!$AG$45:$AG$50,$AK12,'22'!$AF$45:$AF$50,1)=0,"",SUMIFS('22'!$AC$45:$AC$50,'22'!$AG$45:$AG$50,$AK12,'22'!$AF$45:$AF$50,1)/COUNTIFS('22'!$AG$45:$AG$50,$AK12,'22'!$AF$45:$AF$50,1))</f>
        <v>92</v>
      </c>
      <c r="BR12" s="92">
        <f>IF(COUNTIFS('23'!$AG$46:$AG$51,$AK12,'23'!$AF$46:$AF$51,1)=0,"",SUMIFS('23'!$AC$46:$AC$51,'23'!$AG$46:$AG$51,$AK12,'23'!$AF$46:$AF$51,1)/COUNTIFS('23'!$AG$46:$AG$51,$AK12,'23'!$AF$46:$AF$51,1))</f>
        <v>100</v>
      </c>
      <c r="BS12" s="92" t="str">
        <f>IF(COUNTIFS('24'!$AG$39:$AG$44,$AK12,'24'!$AF$39:$AF$44,1)=0,"",SUMIFS('24'!$AC$39:$AC$44,'24'!$AG$39:$AG$44,$AK12,'24'!$AF$39:$AF$44,1)/COUNTIFS('24'!$AG$39:$AG$44,$AK12,'24'!$AF$39:$AF$44,1))</f>
        <v/>
      </c>
      <c r="BT12" s="92" t="str">
        <f>IF(COUNTIFS('25'!$AG$33:$AG$38,$AK12,'25'!$AF$33:$AF$38,1)=0,"",SUMIFS('25'!$AC$33:$AC$38,'25'!$AG$33:$AG$38,$AK12,'25'!$AF$33:$AF$38,1)/COUNTIFS('25'!$AG$33:$AG$38,$AK12,'25'!$AF$33:$AF$38,1))</f>
        <v/>
      </c>
      <c r="BU12" s="92" t="str">
        <f>IF(COUNTIFS('26'!$AG$37:$AG$42,$AK12,'26'!$AF$37:$AF$42,1)=0,"",SUMIFS('26'!$AC$37:$AC$42,'26'!$AG$37:$AG$42,$AK12,'26'!$AF$37:$AF$42,1)/COUNTIFS('26'!$AG$37:$AG$42,$AK12,'26'!$AF$37:$AF$42,1))</f>
        <v/>
      </c>
      <c r="BV12" s="92" t="str">
        <f>IF(COUNTIFS('27'!$AG$42:$AG$47,$AK12,'27'!$AF$42:$AF$47,1)=0,"",SUMIFS('27'!$AC$42:$AC$47,'27'!$AG$42:$AG$47,$AK12,'27'!$AF$42:$AF$47,1)/COUNTIFS('27'!$AG$42:$AG$47,$AK12,'27'!$AF$42:$AF$47,1))</f>
        <v/>
      </c>
      <c r="BW12" s="92" t="str">
        <f>IF(COUNTIFS('28'!$AG$37:$AG$42,$AK12,'28'!$AF$37:$AF$42,1)=0,"",SUMIFS('28'!$AC$37:$AC$42,'28'!$AG$37:$AG$42,$AK12,'28'!$AF$37:$AF$42,1)/COUNTIFS('28'!$AG$37:$AG$42,$AK12,'28'!$AF$37:$AF$42,1))</f>
        <v/>
      </c>
      <c r="BX12" s="92" t="str">
        <f>IF(COUNTIFS('29'!$AG$41:$AG$46,$AK12,'29'!$AF$41:$AF$46,1)=0,"",SUMIFS('29'!$AC$41:$AC$46,'29'!$AG$41:$AG$46,$AK12,'29'!$AF$41:$AF$46,1)/COUNTIFS('29'!$AG$41:$AG$46,$AK12,'29'!$AF$41:$AF$46,1))</f>
        <v/>
      </c>
      <c r="BY12" s="92" t="str">
        <f>IF(COUNTIFS('30'!$AG$33:$AG$38,$AK12,'30'!$AF$33:$AF$38,1)=0,"",SUMIFS('30'!$AC$33:$AC$38,'30'!$AG$33:$AG$38,$AK12,'30'!$AF$33:$AF$38,1)/COUNTIFS('30'!$AG$33:$AG$38,$AK12,'30'!$AF$33:$AF$38,1))</f>
        <v/>
      </c>
      <c r="BZ12" s="92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9</v>
      </c>
      <c r="D13" s="184">
        <f t="shared" si="9"/>
        <v>0.01717557252</v>
      </c>
      <c r="E13" s="184">
        <f t="shared" si="10"/>
        <v>0.9904580153</v>
      </c>
      <c r="X13" s="92" t="s">
        <v>642</v>
      </c>
      <c r="Y13" s="92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2">
        <f t="shared" si="1"/>
        <v>0.00005</v>
      </c>
      <c r="AA13" s="92" t="s">
        <v>103</v>
      </c>
      <c r="AB13" s="92" t="s">
        <v>638</v>
      </c>
      <c r="AC13" s="92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2">
        <f t="shared" si="2"/>
        <v>0.00003</v>
      </c>
      <c r="AK13" s="92" t="s">
        <v>103</v>
      </c>
      <c r="AL13" s="92" t="s">
        <v>638</v>
      </c>
      <c r="AM13" s="92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2" t="str">
        <f t="shared" si="5"/>
        <v/>
      </c>
      <c r="AO13" s="92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2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2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2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2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2" t="str">
        <f>IF(COUNTIFS('1'!$AG$64:$AG$69,$AK13,'1'!$AF$64:$AF$69,1)=0,"",SUMIFS('1'!$AC$64:$AC$69,'1'!$AG$64:$AG$69,$AK13,'1'!$AF$64:$AF$69,1)/COUNTIFS('1'!$AG$64:$AG$69,$AK13,'1'!$AF$64:$AF$69,1))</f>
        <v/>
      </c>
      <c r="AW13" s="92" t="str">
        <f>IF(COUNTIFS('2'!$AG$64:$AG$69,$AK13,'2'!$AF$64:$AF$69,1)=0,"",SUMIFS('2'!$AC$64:$AC$69,'2'!$AG$64:$AG$69,$AK13,'2'!$AF$64:$AF$69,1)/COUNTIFS('2'!$AG$64:$AG$69,$AK13,'2'!$AF$64:$AF$69,1))</f>
        <v/>
      </c>
      <c r="AX13" s="92" t="str">
        <f>IF(COUNTIFS('3'!$AG$42:$AG$47,$AK13,'3'!$AF$42:$AF$47,1)=0,"",SUMIFS('3'!$AC$42:$AC$47,'3'!$AG$42:$AG$47,$AK13,'3'!$AF$42:$AF$47,1)/COUNTIFS('3'!$AG$42:$AG$47,$AK13,'3'!$AF$42:$AF$47,1))</f>
        <v/>
      </c>
      <c r="AY13" s="92" t="str">
        <f>IF(COUNTIFS('4'!$AG$40:$AG$45,$AK13,'4'!$AF$40:$AF$45,1)=0,"",SUMIFS('4'!$AC$40:$AC$45,'4'!$AG$40:$AG$45,$AK13,'4'!$AF$40:$AF$45,1)/COUNTIFS('4'!$AG$40:$AG$45,$AK13,'4'!$AF$40:$AF$45,1))</f>
        <v/>
      </c>
      <c r="AZ13" s="92" t="str">
        <f>IF(COUNTIFS('5'!$AG$35:$AG$40,$AK13,'5'!$AF$35:$AF$40,1)=0,"",SUMIFS('5'!$AC$35:$AC$40,'5'!$AG$35:$AG$40,$AK13,'5'!$AF$35:$AF$40,1)/COUNTIFS('5'!$AG$35:$AG$40,$AK13,'5'!$AF$35:$AF$40,1))</f>
        <v/>
      </c>
      <c r="BA13" s="92" t="str">
        <f>IF(COUNTIFS('6'!$AG$37:$AG$42,$AK13,'6'!$AF$37:$AF$42,1)=0,"",SUMIFS('6'!$AC$37:$AC$42,'6'!$AG$37:$AG$42,$AK13,'6'!$AF$37:$AF$42,1)/COUNTIFS('6'!$AG$37:$AG$42,$AK13,'6'!$AF$37:$AF$42,1))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IF(COUNTIFS('8'!$AG$76:$AG$81,$AK13,'8'!$AF$76:$AF$81,1)=0,"",SUMIFS('8'!$AC$76:$AC$81,'8'!$AG$76:$AG$81,$AK13,'8'!$AF$76:$AF$81,1)/COUNTIFS('8'!$AG$76:$AG$81,$AK13,'8'!$AF$76:$AF$81,1))</f>
        <v/>
      </c>
      <c r="BD13" s="92" t="str">
        <f>IF(COUNTIFS('9'!$AG$72:$AG$77,$AK13,'9'!$AF$72:$AF$77,1)=0,"",SUMIFS('9'!$AC$72:$AC$77,'9'!$AG$72:$AG$77,$AK13,'9'!$AF$72:$AF$77,1)/COUNTIFS('9'!$AG$72:$AG$77,$AK13,'9'!$AF$72:$AF$77,1))</f>
        <v/>
      </c>
      <c r="BE13" s="92" t="str">
        <f>IF(COUNTIFS('10'!$AG$30:$AG$35,$AK13,'10'!$AF$30:$AF$35,1)=0,"",SUMIFS('10'!$AC$30:$AC$35,'10'!$AG$30:$AG$35,$AK13,'10'!$AF$30:$AF$35,1)/COUNTIFS('10'!$AG$30:$AG$35,$AK13,'10'!$AF$30:$AF$35,1))</f>
        <v/>
      </c>
      <c r="BF13" s="92" t="str">
        <f>IF(COUNTIFS('11'!$AG$34:$AG$39,$AK13,'11'!$AF$34:$AF$39,1)=0,"",SUMIFS('11'!$AC$34:$AC$39,'11'!$AG$34:$AG$39,$AK13,'11'!$AF$34:$AF$39,1)/COUNTIFS('11'!$AG$34:$AG$39,$AK13,'11'!$AF$34:$AF$39,1))</f>
        <v/>
      </c>
      <c r="BG13" s="92" t="str">
        <f>IF(COUNTIFS('12'!$AG$35:$AG$40,$AK13,'12'!$AF$35:$AF$40,1)=0,"",SUMIFS('12'!$AC$35:$AC$40,'12'!$AG$35:$AG$40,$AK13,'12'!$AF$35:$AF$40,1)/COUNTIFS('12'!$AG$35:$AG$40,$AK13,'12'!$AF$35:$AF$40,1))</f>
        <v/>
      </c>
      <c r="BH13" s="92" t="str">
        <f>IF(COUNTIFS('13'!$AG$39:$AG$44,$AK13,'13'!$AF$39:$AF$44,1)=0,"",SUMIFS('13'!$AC$39:$AC$44,'13'!$AG$39:$AG$44,$AK13,'13'!$AF$39:$AF$44,1)/COUNTIFS('13'!$AG$39:$AG$44,$AK13,'13'!$AF$39:$AF$44,1))</f>
        <v/>
      </c>
      <c r="BI13" s="92" t="str">
        <f>IF(COUNTIFS('14'!$AG$37:$AG$42,$AK13,'14'!$AF$37:$AF$42,1)=0,"",SUMIFS('14'!$AC$37:$AC$42,'14'!$AG$37:$AG$42,$AK13,'14'!$AF$37:$AF$42,1)/COUNTIFS('14'!$AG$37:$AG$42,$AK13,'14'!$AF$37:$AF$42,1))</f>
        <v/>
      </c>
      <c r="BJ13" s="92" t="str">
        <f>IF(COUNTIFS('15'!$AG$36:$AG$41,$AK13,'15'!$AF$36:$AF$41,1)=0,"",SUMIFS('15'!$AC$36:$AC$41,'15'!$AG$36:$AG$41,$AK13,'15'!$AF$36:$AF$41,1)/COUNTIFS('15'!$AG$36:$AG$41,$AK13,'15'!$AF$36:$AF$41,1))</f>
        <v/>
      </c>
      <c r="BK13" s="92" t="str">
        <f>IF(COUNTIFS('16'!$AG$34:$AG$39,$AK13,'16'!$AF$34:$AF$39,1)=0,"",SUMIFS('16'!$AC$34:$AC$39,'16'!$AG$34:$AG$39,$AK13,'16'!$AF$34:$AF$39,1)/COUNTIFS('16'!$AG$34:$AG$39,$AK13,'16'!$AF$34:$AF$39,1))</f>
        <v/>
      </c>
      <c r="BL13" s="92" t="str">
        <f>IF(COUNTIFS('17'!$AG$37:$AG$42,$AK13,'17'!$AF$37:$AF$42,1)=0,"",SUMIFS('17'!$AC$37:$AC$42,'17'!$AG$37:$AG$42,$AK13,'17'!$AF$37:$AF$42,1)/COUNTIFS('17'!$AG$37:$AG$42,$AK13,'17'!$AF$37:$AF$42,1))</f>
        <v/>
      </c>
      <c r="BM13" s="92" t="str">
        <f>IF(COUNTIFS('18'!$AG$37:$AG$42,$AK13,'18'!$AF$37:$AF$42,1)=0,"",SUMIFS('18'!$AC$37:$AC$42,'18'!$AG$37:$AG$42,$AK13,'18'!$AF$37:$AF$42,1)/COUNTIFS('18'!$AG$37:$AG$42,$AK13,'18'!$AF$37:$AF$42,1))</f>
        <v/>
      </c>
      <c r="BN13" s="92" t="str">
        <f>IF(COUNTIFS('19'!$AG$38:$AG$43,$AK13,'19'!$AF$38:$AF$43,1)=0,"",SUMIFS('19'!$AC$38:$AC$43,'19'!$AG$38:$AG$43,$AK13,'19'!$AF$38:$AF$43,1)/COUNTIFS('19'!$AG$38:$AG$43,$AK13,'19'!$AF$38:$AF$43,1))</f>
        <v/>
      </c>
      <c r="BO13" s="92" t="str">
        <f>IF(COUNTIFS('20'!$AG$40:$AG$45,$AK13,'20'!$AF$40:$AF$45,1)=0,"",SUMIFS('20'!$AC$40:$AC$45,'20'!$AG$40:$AG$45,$AK13,'20'!$AF$40:$AF$45,1)/COUNTIFS('20'!$AG$40:$AG$45,$AK13,'20'!$AF$40:$AF$45,1))</f>
        <v/>
      </c>
      <c r="BP13" s="92" t="str">
        <f>IF(COUNTIFS('21'!$AG$30:$AG$35,$AK13,'21'!$AF$30:$AF$35,1)=0,"",SUMIFS('21'!$AC$30:$AC$35,'21'!$AG$30:$AG$35,$AK13,'21'!$AF$30:$AF$35,1)/COUNTIFS('21'!$AG$30:$AG$35,$AK13,'21'!$AF$30:$AF$35,1))</f>
        <v/>
      </c>
      <c r="BQ13" s="92" t="str">
        <f>IF(COUNTIFS('22'!$AG$45:$AG$50,$AK13,'22'!$AF$45:$AF$50,1)=0,"",SUMIFS('22'!$AC$45:$AC$50,'22'!$AG$45:$AG$50,$AK13,'22'!$AF$45:$AF$50,1)/COUNTIFS('22'!$AG$45:$AG$50,$AK13,'22'!$AF$45:$AF$50,1))</f>
        <v/>
      </c>
      <c r="BR13" s="92" t="str">
        <f>IF(COUNTIFS('23'!$AG$46:$AG$51,$AK13,'23'!$AF$46:$AF$51,1)=0,"",SUMIFS('23'!$AC$46:$AC$51,'23'!$AG$46:$AG$51,$AK13,'23'!$AF$46:$AF$51,1)/COUNTIFS('23'!$AG$46:$AG$51,$AK13,'23'!$AF$46:$AF$51,1))</f>
        <v/>
      </c>
      <c r="BS13" s="92" t="str">
        <f>IF(COUNTIFS('24'!$AG$39:$AG$44,$AK13,'24'!$AF$39:$AF$44,1)=0,"",SUMIFS('24'!$AC$39:$AC$44,'24'!$AG$39:$AG$44,$AK13,'24'!$AF$39:$AF$44,1)/COUNTIFS('24'!$AG$39:$AG$44,$AK13,'24'!$AF$39:$AF$44,1))</f>
        <v/>
      </c>
      <c r="BT13" s="92" t="str">
        <f>IF(COUNTIFS('25'!$AG$33:$AG$38,$AK13,'25'!$AF$33:$AF$38,1)=0,"",SUMIFS('25'!$AC$33:$AC$38,'25'!$AG$33:$AG$38,$AK13,'25'!$AF$33:$AF$38,1)/COUNTIFS('25'!$AG$33:$AG$38,$AK13,'25'!$AF$33:$AF$38,1))</f>
        <v/>
      </c>
      <c r="BU13" s="92" t="str">
        <f>IF(COUNTIFS('26'!$AG$37:$AG$42,$AK13,'26'!$AF$37:$AF$42,1)=0,"",SUMIFS('26'!$AC$37:$AC$42,'26'!$AG$37:$AG$42,$AK13,'26'!$AF$37:$AF$42,1)/COUNTIFS('26'!$AG$37:$AG$42,$AK13,'26'!$AF$37:$AF$42,1))</f>
        <v/>
      </c>
      <c r="BV13" s="92" t="str">
        <f>IF(COUNTIFS('27'!$AG$42:$AG$47,$AK13,'27'!$AF$42:$AF$47,1)=0,"",SUMIFS('27'!$AC$42:$AC$47,'27'!$AG$42:$AG$47,$AK13,'27'!$AF$42:$AF$47,1)/COUNTIFS('27'!$AG$42:$AG$47,$AK13,'27'!$AF$42:$AF$47,1))</f>
        <v/>
      </c>
      <c r="BW13" s="92" t="str">
        <f>IF(COUNTIFS('28'!$AG$37:$AG$42,$AK13,'28'!$AF$37:$AF$42,1)=0,"",SUMIFS('28'!$AC$37:$AC$42,'28'!$AG$37:$AG$42,$AK13,'28'!$AF$37:$AF$42,1)/COUNTIFS('28'!$AG$37:$AG$42,$AK13,'28'!$AF$37:$AF$42,1))</f>
        <v/>
      </c>
      <c r="BX13" s="92" t="str">
        <f>IF(COUNTIFS('29'!$AG$41:$AG$46,$AK13,'29'!$AF$41:$AF$46,1)=0,"",SUMIFS('29'!$AC$41:$AC$46,'29'!$AG$41:$AG$46,$AK13,'29'!$AF$41:$AF$46,1)/COUNTIFS('29'!$AG$41:$AG$46,$AK13,'29'!$AF$41:$AF$46,1))</f>
        <v/>
      </c>
      <c r="BY13" s="92" t="str">
        <f>IF(COUNTIFS('30'!$AG$33:$AG$38,$AK13,'30'!$AF$33:$AF$38,1)=0,"",SUMIFS('30'!$AC$33:$AC$38,'30'!$AG$33:$AG$38,$AK13,'30'!$AF$33:$AF$38,1)/COUNTIFS('30'!$AG$33:$AG$38,$AK13,'30'!$AF$33:$AF$38,1))</f>
        <v/>
      </c>
      <c r="BZ13" s="92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0.00572519084</v>
      </c>
      <c r="E14" s="184">
        <f t="shared" si="10"/>
        <v>0.9961832061</v>
      </c>
      <c r="X14" s="92" t="s">
        <v>93</v>
      </c>
      <c r="Y14" s="92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92">
        <f t="shared" si="1"/>
        <v>28.00004</v>
      </c>
      <c r="AA14" s="92" t="s">
        <v>639</v>
      </c>
      <c r="AB14" s="92" t="s">
        <v>638</v>
      </c>
      <c r="AC14" s="92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2">
        <f t="shared" si="2"/>
        <v>0.00002</v>
      </c>
      <c r="AK14" s="92" t="s">
        <v>639</v>
      </c>
      <c r="AL14" s="92" t="s">
        <v>638</v>
      </c>
      <c r="AM14" s="92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2" t="str">
        <f t="shared" si="5"/>
        <v/>
      </c>
      <c r="AO14" s="92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2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2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2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2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2" t="str">
        <f>IF(COUNTIFS('1'!$AG$64:$AG$69,$AK14,'1'!$AF$64:$AF$69,1)=0,"",SUMIFS('1'!$AC$64:$AC$69,'1'!$AG$64:$AG$69,$AK14,'1'!$AF$64:$AF$69,1)/COUNTIFS('1'!$AG$64:$AG$69,$AK14,'1'!$AF$64:$AF$69,1))</f>
        <v/>
      </c>
      <c r="AW14" s="92" t="str">
        <f>IF(COUNTIFS('2'!$AG$64:$AG$69,$AK14,'2'!$AF$64:$AF$69,1)=0,"",SUMIFS('2'!$AC$64:$AC$69,'2'!$AG$64:$AG$69,$AK14,'2'!$AF$64:$AF$69,1)/COUNTIFS('2'!$AG$64:$AG$69,$AK14,'2'!$AF$64:$AF$69,1))</f>
        <v/>
      </c>
      <c r="AX14" s="92" t="str">
        <f>IF(COUNTIFS('3'!$AG$42:$AG$47,$AK14,'3'!$AF$42:$AF$47,1)=0,"",SUMIFS('3'!$AC$42:$AC$47,'3'!$AG$42:$AG$47,$AK14,'3'!$AF$42:$AF$47,1)/COUNTIFS('3'!$AG$42:$AG$47,$AK14,'3'!$AF$42:$AF$47,1))</f>
        <v/>
      </c>
      <c r="AY14" s="92" t="str">
        <f>IF(COUNTIFS('4'!$AG$40:$AG$45,$AK14,'4'!$AF$40:$AF$45,1)=0,"",SUMIFS('4'!$AC$40:$AC$45,'4'!$AG$40:$AG$45,$AK14,'4'!$AF$40:$AF$45,1)/COUNTIFS('4'!$AG$40:$AG$45,$AK14,'4'!$AF$40:$AF$45,1))</f>
        <v/>
      </c>
      <c r="AZ14" s="92" t="str">
        <f>IF(COUNTIFS('5'!$AG$35:$AG$40,$AK14,'5'!$AF$35:$AF$40,1)=0,"",SUMIFS('5'!$AC$35:$AC$40,'5'!$AG$35:$AG$40,$AK14,'5'!$AF$35:$AF$40,1)/COUNTIFS('5'!$AG$35:$AG$40,$AK14,'5'!$AF$35:$AF$40,1))</f>
        <v/>
      </c>
      <c r="BA14" s="92" t="str">
        <f>IF(COUNTIFS('6'!$AG$37:$AG$42,$AK14,'6'!$AF$37:$AF$42,1)=0,"",SUMIFS('6'!$AC$37:$AC$42,'6'!$AG$37:$AG$42,$AK14,'6'!$AF$37:$AF$42,1)/COUNTIFS('6'!$AG$37:$AG$42,$AK14,'6'!$AF$37:$AF$42,1))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IF(COUNTIFS('8'!$AG$76:$AG$81,$AK14,'8'!$AF$76:$AF$81,1)=0,"",SUMIFS('8'!$AC$76:$AC$81,'8'!$AG$76:$AG$81,$AK14,'8'!$AF$76:$AF$81,1)/COUNTIFS('8'!$AG$76:$AG$81,$AK14,'8'!$AF$76:$AF$81,1))</f>
        <v/>
      </c>
      <c r="BD14" s="92" t="str">
        <f>IF(COUNTIFS('9'!$AG$72:$AG$77,$AK14,'9'!$AF$72:$AF$77,1)=0,"",SUMIFS('9'!$AC$72:$AC$77,'9'!$AG$72:$AG$77,$AK14,'9'!$AF$72:$AF$77,1)/COUNTIFS('9'!$AG$72:$AG$77,$AK14,'9'!$AF$72:$AF$77,1))</f>
        <v/>
      </c>
      <c r="BE14" s="92" t="str">
        <f>IF(COUNTIFS('10'!$AG$30:$AG$35,$AK14,'10'!$AF$30:$AF$35,1)=0,"",SUMIFS('10'!$AC$30:$AC$35,'10'!$AG$30:$AG$35,$AK14,'10'!$AF$30:$AF$35,1)/COUNTIFS('10'!$AG$30:$AG$35,$AK14,'10'!$AF$30:$AF$35,1))</f>
        <v/>
      </c>
      <c r="BF14" s="92" t="str">
        <f>IF(COUNTIFS('11'!$AG$34:$AG$39,$AK14,'11'!$AF$34:$AF$39,1)=0,"",SUMIFS('11'!$AC$34:$AC$39,'11'!$AG$34:$AG$39,$AK14,'11'!$AF$34:$AF$39,1)/COUNTIFS('11'!$AG$34:$AG$39,$AK14,'11'!$AF$34:$AF$39,1))</f>
        <v/>
      </c>
      <c r="BG14" s="92" t="str">
        <f>IF(COUNTIFS('12'!$AG$35:$AG$40,$AK14,'12'!$AF$35:$AF$40,1)=0,"",SUMIFS('12'!$AC$35:$AC$40,'12'!$AG$35:$AG$40,$AK14,'12'!$AF$35:$AF$40,1)/COUNTIFS('12'!$AG$35:$AG$40,$AK14,'12'!$AF$35:$AF$40,1))</f>
        <v/>
      </c>
      <c r="BH14" s="92" t="str">
        <f>IF(COUNTIFS('13'!$AG$39:$AG$44,$AK14,'13'!$AF$39:$AF$44,1)=0,"",SUMIFS('13'!$AC$39:$AC$44,'13'!$AG$39:$AG$44,$AK14,'13'!$AF$39:$AF$44,1)/COUNTIFS('13'!$AG$39:$AG$44,$AK14,'13'!$AF$39:$AF$44,1))</f>
        <v/>
      </c>
      <c r="BI14" s="92" t="str">
        <f>IF(COUNTIFS('14'!$AG$37:$AG$42,$AK14,'14'!$AF$37:$AF$42,1)=0,"",SUMIFS('14'!$AC$37:$AC$42,'14'!$AG$37:$AG$42,$AK14,'14'!$AF$37:$AF$42,1)/COUNTIFS('14'!$AG$37:$AG$42,$AK14,'14'!$AF$37:$AF$42,1))</f>
        <v/>
      </c>
      <c r="BJ14" s="92" t="str">
        <f>IF(COUNTIFS('15'!$AG$36:$AG$41,$AK14,'15'!$AF$36:$AF$41,1)=0,"",SUMIFS('15'!$AC$36:$AC$41,'15'!$AG$36:$AG$41,$AK14,'15'!$AF$36:$AF$41,1)/COUNTIFS('15'!$AG$36:$AG$41,$AK14,'15'!$AF$36:$AF$41,1))</f>
        <v/>
      </c>
      <c r="BK14" s="92" t="str">
        <f>IF(COUNTIFS('16'!$AG$34:$AG$39,$AK14,'16'!$AF$34:$AF$39,1)=0,"",SUMIFS('16'!$AC$34:$AC$39,'16'!$AG$34:$AG$39,$AK14,'16'!$AF$34:$AF$39,1)/COUNTIFS('16'!$AG$34:$AG$39,$AK14,'16'!$AF$34:$AF$39,1))</f>
        <v/>
      </c>
      <c r="BL14" s="92" t="str">
        <f>IF(COUNTIFS('17'!$AG$37:$AG$42,$AK14,'17'!$AF$37:$AF$42,1)=0,"",SUMIFS('17'!$AC$37:$AC$42,'17'!$AG$37:$AG$42,$AK14,'17'!$AF$37:$AF$42,1)/COUNTIFS('17'!$AG$37:$AG$42,$AK14,'17'!$AF$37:$AF$42,1))</f>
        <v/>
      </c>
      <c r="BM14" s="92" t="str">
        <f>IF(COUNTIFS('18'!$AG$37:$AG$42,$AK14,'18'!$AF$37:$AF$42,1)=0,"",SUMIFS('18'!$AC$37:$AC$42,'18'!$AG$37:$AG$42,$AK14,'18'!$AF$37:$AF$42,1)/COUNTIFS('18'!$AG$37:$AG$42,$AK14,'18'!$AF$37:$AF$42,1))</f>
        <v/>
      </c>
      <c r="BN14" s="92" t="str">
        <f>IF(COUNTIFS('19'!$AG$38:$AG$43,$AK14,'19'!$AF$38:$AF$43,1)=0,"",SUMIFS('19'!$AC$38:$AC$43,'19'!$AG$38:$AG$43,$AK14,'19'!$AF$38:$AF$43,1)/COUNTIFS('19'!$AG$38:$AG$43,$AK14,'19'!$AF$38:$AF$43,1))</f>
        <v/>
      </c>
      <c r="BO14" s="92" t="str">
        <f>IF(COUNTIFS('20'!$AG$40:$AG$45,$AK14,'20'!$AF$40:$AF$45,1)=0,"",SUMIFS('20'!$AC$40:$AC$45,'20'!$AG$40:$AG$45,$AK14,'20'!$AF$40:$AF$45,1)/COUNTIFS('20'!$AG$40:$AG$45,$AK14,'20'!$AF$40:$AF$45,1))</f>
        <v/>
      </c>
      <c r="BP14" s="92" t="str">
        <f>IF(COUNTIFS('21'!$AG$30:$AG$35,$AK14,'21'!$AF$30:$AF$35,1)=0,"",SUMIFS('21'!$AC$30:$AC$35,'21'!$AG$30:$AG$35,$AK14,'21'!$AF$30:$AF$35,1)/COUNTIFS('21'!$AG$30:$AG$35,$AK14,'21'!$AF$30:$AF$35,1))</f>
        <v/>
      </c>
      <c r="BQ14" s="92" t="str">
        <f>IF(COUNTIFS('22'!$AG$45:$AG$50,$AK14,'22'!$AF$45:$AF$50,1)=0,"",SUMIFS('22'!$AC$45:$AC$50,'22'!$AG$45:$AG$50,$AK14,'22'!$AF$45:$AF$50,1)/COUNTIFS('22'!$AG$45:$AG$50,$AK14,'22'!$AF$45:$AF$50,1))</f>
        <v/>
      </c>
      <c r="BR14" s="92" t="str">
        <f>IF(COUNTIFS('23'!$AG$46:$AG$51,$AK14,'23'!$AF$46:$AF$51,1)=0,"",SUMIFS('23'!$AC$46:$AC$51,'23'!$AG$46:$AG$51,$AK14,'23'!$AF$46:$AF$51,1)/COUNTIFS('23'!$AG$46:$AG$51,$AK14,'23'!$AF$46:$AF$51,1))</f>
        <v/>
      </c>
      <c r="BS14" s="92" t="str">
        <f>IF(COUNTIFS('24'!$AG$39:$AG$44,$AK14,'24'!$AF$39:$AF$44,1)=0,"",SUMIFS('24'!$AC$39:$AC$44,'24'!$AG$39:$AG$44,$AK14,'24'!$AF$39:$AF$44,1)/COUNTIFS('24'!$AG$39:$AG$44,$AK14,'24'!$AF$39:$AF$44,1))</f>
        <v/>
      </c>
      <c r="BT14" s="92" t="str">
        <f>IF(COUNTIFS('25'!$AG$33:$AG$38,$AK14,'25'!$AF$33:$AF$38,1)=0,"",SUMIFS('25'!$AC$33:$AC$38,'25'!$AG$33:$AG$38,$AK14,'25'!$AF$33:$AF$38,1)/COUNTIFS('25'!$AG$33:$AG$38,$AK14,'25'!$AF$33:$AF$38,1))</f>
        <v/>
      </c>
      <c r="BU14" s="92" t="str">
        <f>IF(COUNTIFS('26'!$AG$37:$AG$42,$AK14,'26'!$AF$37:$AF$42,1)=0,"",SUMIFS('26'!$AC$37:$AC$42,'26'!$AG$37:$AG$42,$AK14,'26'!$AF$37:$AF$42,1)/COUNTIFS('26'!$AG$37:$AG$42,$AK14,'26'!$AF$37:$AF$42,1))</f>
        <v/>
      </c>
      <c r="BV14" s="92" t="str">
        <f>IF(COUNTIFS('27'!$AG$42:$AG$47,$AK14,'27'!$AF$42:$AF$47,1)=0,"",SUMIFS('27'!$AC$42:$AC$47,'27'!$AG$42:$AG$47,$AK14,'27'!$AF$42:$AF$47,1)/COUNTIFS('27'!$AG$42:$AG$47,$AK14,'27'!$AF$42:$AF$47,1))</f>
        <v/>
      </c>
      <c r="BW14" s="92" t="str">
        <f>IF(COUNTIFS('28'!$AG$37:$AG$42,$AK14,'28'!$AF$37:$AF$42,1)=0,"",SUMIFS('28'!$AC$37:$AC$42,'28'!$AG$37:$AG$42,$AK14,'28'!$AF$37:$AF$42,1)/COUNTIFS('28'!$AG$37:$AG$42,$AK14,'28'!$AF$37:$AF$42,1))</f>
        <v/>
      </c>
      <c r="BX14" s="92" t="str">
        <f>IF(COUNTIFS('29'!$AG$41:$AG$46,$AK14,'29'!$AF$41:$AF$46,1)=0,"",SUMIFS('29'!$AC$41:$AC$46,'29'!$AG$41:$AG$46,$AK14,'29'!$AF$41:$AF$46,1)/COUNTIFS('29'!$AG$41:$AG$46,$AK14,'29'!$AF$41:$AF$46,1))</f>
        <v/>
      </c>
      <c r="BY14" s="92" t="str">
        <f>IF(COUNTIFS('30'!$AG$33:$AG$38,$AK14,'30'!$AF$33:$AF$38,1)=0,"",SUMIFS('30'!$AC$33:$AC$38,'30'!$AG$33:$AG$38,$AK14,'30'!$AF$33:$AF$38,1)/COUNTIFS('30'!$AG$33:$AG$38,$AK14,'30'!$AF$33:$AF$38,1))</f>
        <v/>
      </c>
      <c r="BZ14" s="92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0.003816793893</v>
      </c>
      <c r="E15" s="184">
        <f t="shared" si="10"/>
        <v>1</v>
      </c>
      <c r="X15" s="92" t="s">
        <v>101</v>
      </c>
      <c r="Y15" s="92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2">
        <f t="shared" si="1"/>
        <v>3.00003</v>
      </c>
      <c r="AA15" s="92" t="s">
        <v>69</v>
      </c>
      <c r="AB15" s="92" t="s">
        <v>638</v>
      </c>
      <c r="AC15" s="92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23</v>
      </c>
      <c r="AD15" s="92">
        <f t="shared" si="2"/>
        <v>23.00001</v>
      </c>
      <c r="AK15" s="92" t="s">
        <v>69</v>
      </c>
      <c r="AL15" s="92" t="s">
        <v>638</v>
      </c>
      <c r="AM15" s="92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22</v>
      </c>
      <c r="AN15" s="92">
        <f t="shared" si="5"/>
        <v>98.86363636</v>
      </c>
      <c r="AO15" s="92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4.909090909</v>
      </c>
      <c r="AP15" s="92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4.954545455</v>
      </c>
      <c r="AQ15" s="92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2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2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4.818181818</v>
      </c>
      <c r="AV15" s="92">
        <f>IF(COUNTIFS('1'!$AG$64:$AG$69,$AK15,'1'!$AF$64:$AF$69,1)=0,"",SUMIFS('1'!$AC$64:$AC$69,'1'!$AG$64:$AG$69,$AK15,'1'!$AF$64:$AF$69,1)/COUNTIFS('1'!$AG$64:$AG$69,$AK15,'1'!$AF$64:$AF$69,1))</f>
        <v>100</v>
      </c>
      <c r="AW15" s="92">
        <f>IF(COUNTIFS('2'!$AG$64:$AG$69,$AK15,'2'!$AF$64:$AF$69,1)=0,"",SUMIFS('2'!$AC$64:$AC$69,'2'!$AG$64:$AG$69,$AK15,'2'!$AF$64:$AF$69,1)/COUNTIFS('2'!$AG$64:$AG$69,$AK15,'2'!$AF$64:$AF$69,1))</f>
        <v>100</v>
      </c>
      <c r="AX15" s="92">
        <f>IF(COUNTIFS('3'!$AG$42:$AG$47,$AK15,'3'!$AF$42:$AF$47,1)=0,"",SUMIFS('3'!$AC$42:$AC$47,'3'!$AG$42:$AG$47,$AK15,'3'!$AF$42:$AF$47,1)/COUNTIFS('3'!$AG$42:$AG$47,$AK15,'3'!$AF$42:$AF$47,1))</f>
        <v>88</v>
      </c>
      <c r="AY15" s="92" t="str">
        <f>IF(COUNTIFS('4'!$AG$40:$AG$45,$AK15,'4'!$AF$40:$AF$45,1)=0,"",SUMIFS('4'!$AC$40:$AC$45,'4'!$AG$40:$AG$45,$AK15,'4'!$AF$40:$AF$45,1)/COUNTIFS('4'!$AG$40:$AG$45,$AK15,'4'!$AF$40:$AF$45,1))</f>
        <v/>
      </c>
      <c r="AZ15" s="92">
        <f>IF(COUNTIFS('5'!$AG$35:$AG$40,$AK15,'5'!$AF$35:$AF$40,1)=0,"",SUMIFS('5'!$AC$35:$AC$40,'5'!$AG$35:$AG$40,$AK15,'5'!$AF$35:$AF$40,1)/COUNTIFS('5'!$AG$35:$AG$40,$AK15,'5'!$AF$35:$AF$40,1))</f>
        <v>100</v>
      </c>
      <c r="BA15" s="92">
        <f>IF(COUNTIFS('6'!$AG$37:$AG$42,$AK15,'6'!$AF$37:$AF$42,1)=0,"",SUMIFS('6'!$AC$37:$AC$42,'6'!$AG$37:$AG$42,$AK15,'6'!$AF$37:$AF$42,1)/COUNTIFS('6'!$AG$37:$AG$42,$AK15,'6'!$AF$37:$AF$42,1))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IF(COUNTIFS('8'!$AG$76:$AG$81,$AK15,'8'!$AF$76:$AF$81,1)=0,"",SUMIFS('8'!$AC$76:$AC$81,'8'!$AG$76:$AG$81,$AK15,'8'!$AF$76:$AF$81,1)/COUNTIFS('8'!$AG$76:$AG$81,$AK15,'8'!$AF$76:$AF$81,1))</f>
        <v>100</v>
      </c>
      <c r="BD15" s="92">
        <f>IF(COUNTIFS('9'!$AG$72:$AG$77,$AK15,'9'!$AF$72:$AF$77,1)=0,"",SUMIFS('9'!$AC$72:$AC$77,'9'!$AG$72:$AG$77,$AK15,'9'!$AF$72:$AF$77,1)/COUNTIFS('9'!$AG$72:$AG$77,$AK15,'9'!$AF$72:$AF$77,1))</f>
        <v>100</v>
      </c>
      <c r="BE15" s="92">
        <f>IF(COUNTIFS('10'!$AG$30:$AG$35,$AK15,'10'!$AF$30:$AF$35,1)=0,"",SUMIFS('10'!$AC$30:$AC$35,'10'!$AG$30:$AG$35,$AK15,'10'!$AF$30:$AF$35,1)/COUNTIFS('10'!$AG$30:$AG$35,$AK15,'10'!$AF$30:$AF$35,1))</f>
        <v>100</v>
      </c>
      <c r="BF15" s="92" t="str">
        <f>IF(COUNTIFS('11'!$AG$34:$AG$39,$AK15,'11'!$AF$34:$AF$39,1)=0,"",SUMIFS('11'!$AC$34:$AC$39,'11'!$AG$34:$AG$39,$AK15,'11'!$AF$34:$AF$39,1)/COUNTIFS('11'!$AG$34:$AG$39,$AK15,'11'!$AF$34:$AF$39,1))</f>
        <v/>
      </c>
      <c r="BG15" s="92">
        <f>IF(COUNTIFS('12'!$AG$35:$AG$40,$AK15,'12'!$AF$35:$AF$40,1)=0,"",SUMIFS('12'!$AC$35:$AC$40,'12'!$AG$35:$AG$40,$AK15,'12'!$AF$35:$AF$40,1)/COUNTIFS('12'!$AG$35:$AG$40,$AK15,'12'!$AF$35:$AF$40,1))</f>
        <v>100</v>
      </c>
      <c r="BH15" s="92">
        <f>IF(COUNTIFS('13'!$AG$39:$AG$44,$AK15,'13'!$AF$39:$AF$44,1)=0,"",SUMIFS('13'!$AC$39:$AC$44,'13'!$AG$39:$AG$44,$AK15,'13'!$AF$39:$AF$44,1)/COUNTIFS('13'!$AG$39:$AG$44,$AK15,'13'!$AF$39:$AF$44,1))</f>
        <v>100</v>
      </c>
      <c r="BI15" s="92" t="str">
        <f>IF(COUNTIFS('14'!$AG$37:$AG$42,$AK15,'14'!$AF$37:$AF$42,1)=0,"",SUMIFS('14'!$AC$37:$AC$42,'14'!$AG$37:$AG$42,$AK15,'14'!$AF$37:$AF$42,1)/COUNTIFS('14'!$AG$37:$AG$42,$AK15,'14'!$AF$37:$AF$42,1))</f>
        <v/>
      </c>
      <c r="BJ15" s="92">
        <f>IF(COUNTIFS('15'!$AG$36:$AG$41,$AK15,'15'!$AF$36:$AF$41,1)=0,"",SUMIFS('15'!$AC$36:$AC$41,'15'!$AG$36:$AG$41,$AK15,'15'!$AF$36:$AF$41,1)/COUNTIFS('15'!$AG$36:$AG$41,$AK15,'15'!$AF$36:$AF$41,1))</f>
        <v>97</v>
      </c>
      <c r="BK15" s="92">
        <f>IF(COUNTIFS('16'!$AG$34:$AG$39,$AK15,'16'!$AF$34:$AF$39,1)=0,"",SUMIFS('16'!$AC$34:$AC$39,'16'!$AG$34:$AG$39,$AK15,'16'!$AF$34:$AF$39,1)/COUNTIFS('16'!$AG$34:$AG$39,$AK15,'16'!$AF$34:$AF$39,1))</f>
        <v>100</v>
      </c>
      <c r="BL15" s="92">
        <f>IF(COUNTIFS('17'!$AG$37:$AG$42,$AK15,'17'!$AF$37:$AF$42,1)=0,"",SUMIFS('17'!$AC$37:$AC$42,'17'!$AG$37:$AG$42,$AK15,'17'!$AF$37:$AF$42,1)/COUNTIFS('17'!$AG$37:$AG$42,$AK15,'17'!$AF$37:$AF$42,1))</f>
        <v>97</v>
      </c>
      <c r="BM15" s="92">
        <f>IF(COUNTIFS('18'!$AG$37:$AG$42,$AK15,'18'!$AF$37:$AF$42,1)=0,"",SUMIFS('18'!$AC$37:$AC$42,'18'!$AG$37:$AG$42,$AK15,'18'!$AF$37:$AF$42,1)/COUNTIFS('18'!$AG$37:$AG$42,$AK15,'18'!$AF$37:$AF$42,1))</f>
        <v>96.5</v>
      </c>
      <c r="BN15" s="92">
        <f>IF(COUNTIFS('19'!$AG$38:$AG$43,$AK15,'19'!$AF$38:$AF$43,1)=0,"",SUMIFS('19'!$AC$38:$AC$43,'19'!$AG$38:$AG$43,$AK15,'19'!$AF$38:$AF$43,1)/COUNTIFS('19'!$AG$38:$AG$43,$AK15,'19'!$AF$38:$AF$43,1))</f>
        <v>100</v>
      </c>
      <c r="BO15" s="92">
        <f>IF(COUNTIFS('20'!$AG$40:$AG$45,$AK15,'20'!$AF$40:$AF$45,1)=0,"",SUMIFS('20'!$AC$40:$AC$45,'20'!$AG$40:$AG$45,$AK15,'20'!$AF$40:$AF$45,1)/COUNTIFS('20'!$AG$40:$AG$45,$AK15,'20'!$AF$40:$AF$45,1))</f>
        <v>100</v>
      </c>
      <c r="BP15" s="92">
        <f>IF(COUNTIFS('21'!$AG$30:$AG$35,$AK15,'21'!$AF$30:$AF$35,1)=0,"",SUMIFS('21'!$AC$30:$AC$35,'21'!$AG$30:$AG$35,$AK15,'21'!$AF$30:$AF$35,1)/COUNTIFS('21'!$AG$30:$AG$35,$AK15,'21'!$AF$30:$AF$35,1))</f>
        <v>100</v>
      </c>
      <c r="BQ15" s="92" t="str">
        <f>IF(COUNTIFS('22'!$AG$45:$AG$50,$AK15,'22'!$AF$45:$AF$50,1)=0,"",SUMIFS('22'!$AC$45:$AC$50,'22'!$AG$45:$AG$50,$AK15,'22'!$AF$45:$AF$50,1)/COUNTIFS('22'!$AG$45:$AG$50,$AK15,'22'!$AF$45:$AF$50,1))</f>
        <v/>
      </c>
      <c r="BR15" s="92">
        <f>IF(COUNTIFS('23'!$AG$46:$AG$51,$AK15,'23'!$AF$46:$AF$51,1)=0,"",SUMIFS('23'!$AC$46:$AC$51,'23'!$AG$46:$AG$51,$AK15,'23'!$AF$46:$AF$51,1)/COUNTIFS('23'!$AG$46:$AG$51,$AK15,'23'!$AF$46:$AF$51,1))</f>
        <v>100</v>
      </c>
      <c r="BS15" s="92" t="str">
        <f>IF(COUNTIFS('24'!$AG$39:$AG$44,$AK15,'24'!$AF$39:$AF$44,1)=0,"",SUMIFS('24'!$AC$39:$AC$44,'24'!$AG$39:$AG$44,$AK15,'24'!$AF$39:$AF$44,1)/COUNTIFS('24'!$AG$39:$AG$44,$AK15,'24'!$AF$39:$AF$44,1))</f>
        <v/>
      </c>
      <c r="BT15" s="92" t="str">
        <f>IF(COUNTIFS('25'!$AG$33:$AG$38,$AK15,'25'!$AF$33:$AF$38,1)=0,"",SUMIFS('25'!$AC$33:$AC$38,'25'!$AG$33:$AG$38,$AK15,'25'!$AF$33:$AF$38,1)/COUNTIFS('25'!$AG$33:$AG$38,$AK15,'25'!$AF$33:$AF$38,1))</f>
        <v/>
      </c>
      <c r="BU15" s="92" t="str">
        <f>IF(COUNTIFS('26'!$AG$37:$AG$42,$AK15,'26'!$AF$37:$AF$42,1)=0,"",SUMIFS('26'!$AC$37:$AC$42,'26'!$AG$37:$AG$42,$AK15,'26'!$AF$37:$AF$42,1)/COUNTIFS('26'!$AG$37:$AG$42,$AK15,'26'!$AF$37:$AF$42,1))</f>
        <v/>
      </c>
      <c r="BV15" s="92" t="str">
        <f>IF(COUNTIFS('27'!$AG$42:$AG$47,$AK15,'27'!$AF$42:$AF$47,1)=0,"",SUMIFS('27'!$AC$42:$AC$47,'27'!$AG$42:$AG$47,$AK15,'27'!$AF$42:$AF$47,1)/COUNTIFS('27'!$AG$42:$AG$47,$AK15,'27'!$AF$42:$AF$47,1))</f>
        <v/>
      </c>
      <c r="BW15" s="92" t="str">
        <f>IF(COUNTIFS('28'!$AG$37:$AG$42,$AK15,'28'!$AF$37:$AF$42,1)=0,"",SUMIFS('28'!$AC$37:$AC$42,'28'!$AG$37:$AG$42,$AK15,'28'!$AF$37:$AF$42,1)/COUNTIFS('28'!$AG$37:$AG$42,$AK15,'28'!$AF$37:$AF$42,1))</f>
        <v/>
      </c>
      <c r="BX15" s="92" t="str">
        <f>IF(COUNTIFS('29'!$AG$41:$AG$46,$AK15,'29'!$AF$41:$AF$46,1)=0,"",SUMIFS('29'!$AC$41:$AC$46,'29'!$AG$41:$AG$46,$AK15,'29'!$AF$41:$AF$46,1)/COUNTIFS('29'!$AG$41:$AG$46,$AK15,'29'!$AF$41:$AF$46,1))</f>
        <v/>
      </c>
      <c r="BY15" s="92" t="str">
        <f>IF(COUNTIFS('30'!$AG$33:$AG$38,$AK15,'30'!$AF$33:$AF$38,1)=0,"",SUMIFS('30'!$AC$33:$AC$38,'30'!$AG$33:$AG$38,$AK15,'30'!$AF$33:$AF$38,1)/COUNTIFS('30'!$AG$33:$AG$38,$AK15,'30'!$AF$33:$AF$38,1))</f>
        <v/>
      </c>
      <c r="BZ15" s="92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2" t="s">
        <v>643</v>
      </c>
      <c r="Y16" s="92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2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2" t="s">
        <v>644</v>
      </c>
      <c r="Y17" s="92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2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2">
        <f t="shared" ref="AV18:BZ18" si="11">IF(COUNT(AV5:AV15)=0,"",AVERAGE(AV5:AV15))</f>
        <v>100</v>
      </c>
      <c r="AW18" s="92">
        <f t="shared" si="11"/>
        <v>100</v>
      </c>
      <c r="AX18" s="92">
        <f t="shared" si="11"/>
        <v>95</v>
      </c>
      <c r="AY18" s="92">
        <f t="shared" si="11"/>
        <v>99.25</v>
      </c>
      <c r="AZ18" s="92">
        <f t="shared" si="11"/>
        <v>100</v>
      </c>
      <c r="BA18" s="92">
        <f t="shared" si="11"/>
        <v>100</v>
      </c>
      <c r="BB18" s="92">
        <f t="shared" si="11"/>
        <v>98.25</v>
      </c>
      <c r="BC18" s="92">
        <f t="shared" si="11"/>
        <v>100</v>
      </c>
      <c r="BD18" s="92">
        <f t="shared" si="11"/>
        <v>100</v>
      </c>
      <c r="BE18" s="92">
        <f t="shared" si="11"/>
        <v>99.25</v>
      </c>
      <c r="BF18" s="92">
        <f t="shared" si="11"/>
        <v>97</v>
      </c>
      <c r="BG18" s="92">
        <f t="shared" si="11"/>
        <v>100</v>
      </c>
      <c r="BH18" s="92">
        <f t="shared" si="11"/>
        <v>100</v>
      </c>
      <c r="BI18" s="92">
        <f t="shared" si="11"/>
        <v>96.33333333</v>
      </c>
      <c r="BJ18" s="92">
        <f t="shared" si="11"/>
        <v>98.5</v>
      </c>
      <c r="BK18" s="92">
        <f t="shared" si="11"/>
        <v>100</v>
      </c>
      <c r="BL18" s="92">
        <f t="shared" si="11"/>
        <v>97.66666667</v>
      </c>
      <c r="BM18" s="92">
        <f t="shared" si="11"/>
        <v>96.5</v>
      </c>
      <c r="BN18" s="92">
        <f t="shared" si="11"/>
        <v>100</v>
      </c>
      <c r="BO18" s="92">
        <f t="shared" si="11"/>
        <v>100</v>
      </c>
      <c r="BP18" s="92">
        <f t="shared" si="11"/>
        <v>98.5</v>
      </c>
      <c r="BQ18" s="92">
        <f t="shared" si="11"/>
        <v>92</v>
      </c>
      <c r="BR18" s="92">
        <f t="shared" si="11"/>
        <v>100</v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83" t="s">
        <v>645</v>
      </c>
      <c r="C19" s="183">
        <f>SUM(C6:C18)</f>
        <v>524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8" t="s">
        <v>646</v>
      </c>
      <c r="F23" s="178" t="s">
        <v>647</v>
      </c>
    </row>
    <row r="24" ht="15.75" customHeight="1">
      <c r="A24" s="179" t="s">
        <v>1</v>
      </c>
      <c r="B24" s="179" t="s">
        <v>648</v>
      </c>
      <c r="C24" s="179" t="s">
        <v>649</v>
      </c>
      <c r="D24" s="179" t="s">
        <v>650</v>
      </c>
      <c r="F24" s="179" t="s">
        <v>624</v>
      </c>
      <c r="G24" s="179" t="s">
        <v>7</v>
      </c>
      <c r="H24" s="179" t="s">
        <v>651</v>
      </c>
      <c r="I24" s="179" t="s">
        <v>652</v>
      </c>
    </row>
    <row r="25" ht="15.75" customHeight="1">
      <c r="A25" s="183" t="str">
        <f t="array" ref="A25">IF(LARGE($AC$5:$AC$15,1)=0,"",INDEX($AA$5:$AA$15,MATCH(LARGE($AD$5:$AD$15,1),$AD$5:$AD$15,0)))</f>
        <v>INDAH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23</v>
      </c>
      <c r="D25" s="184">
        <f t="shared" ref="D25:D35" si="14">IF(A25="","",IFERROR(C25/SUM($C$25:$C$35),0))</f>
        <v>0.25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273</v>
      </c>
      <c r="I25" s="184">
        <f t="shared" ref="I25:I29" si="17">IF(H25="","",IFERROR(H25/SUM($H$25:$H$29),0))</f>
        <v>0.5504032258</v>
      </c>
    </row>
    <row r="26" ht="15.75" customHeight="1">
      <c r="A26" s="183" t="str">
        <f t="array" ref="A26">IF(LARGE($AC$5:$AC$15,2)=0,"",INDEX($AA$5:$AA$15,MATCH(LARGE($AD$5:$AD$15,2),$AD$5:$AD$15,0)))</f>
        <v>AMEL</v>
      </c>
      <c r="B26" s="183" t="str">
        <f t="shared" si="12"/>
        <v>Admin/CS</v>
      </c>
      <c r="C26" s="183">
        <f t="shared" si="13"/>
        <v>23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202</v>
      </c>
      <c r="I26" s="184">
        <f t="shared" si="17"/>
        <v>0.4072580645</v>
      </c>
    </row>
    <row r="27" ht="15.75" customHeight="1">
      <c r="A27" s="183" t="str">
        <f t="array" ref="A27">IF(LARGE($AC$5:$AC$15,3)=0,"",INDEX($AA$5:$AA$15,MATCH(LARGE($AD$5:$AD$15,3),$AD$5:$AD$15,0)))</f>
        <v>ADIF</v>
      </c>
      <c r="B27" s="183" t="str">
        <f t="shared" si="12"/>
        <v>Fotografer</v>
      </c>
      <c r="C27" s="183">
        <f t="shared" si="13"/>
        <v>23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0.04233870968</v>
      </c>
    </row>
    <row r="28" ht="15.75" customHeight="1">
      <c r="A28" s="183" t="str">
        <f t="array" ref="A28">IF(LARGE($AC$5:$AC$15,4)=0,"",INDEX($AA$5:$AA$15,MATCH(LARGE($AD$5:$AD$15,4),$AD$5:$AD$15,0)))</f>
        <v>SAKA</v>
      </c>
      <c r="B28" s="183" t="str">
        <f t="shared" si="12"/>
        <v>Fotografer</v>
      </c>
      <c r="C28" s="183">
        <f t="shared" si="13"/>
        <v>23</v>
      </c>
      <c r="D28" s="184">
        <f t="shared" si="14"/>
        <v>0.25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8" t="s">
        <v>653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9" t="s">
        <v>624</v>
      </c>
      <c r="G32" s="179" t="s">
        <v>638</v>
      </c>
      <c r="H32" s="179" t="s">
        <v>651</v>
      </c>
      <c r="I32" s="179" t="s">
        <v>652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114</v>
      </c>
      <c r="I33" s="184">
        <f t="shared" ref="I33:I38" si="20">IF(H33="","",IFERROR(H33/SUM($H$33:$H$38),0))</f>
        <v>0.4269662921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0.3707865169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0.1198501873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0.08239700375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8" t="s">
        <v>654</v>
      </c>
    </row>
    <row r="44" ht="15.75" customHeight="1"/>
    <row r="45" ht="15.75" customHeight="1">
      <c r="A45" s="179" t="s">
        <v>608</v>
      </c>
      <c r="D45" s="179" t="s">
        <v>655</v>
      </c>
      <c r="G45" s="179" t="s">
        <v>656</v>
      </c>
      <c r="J45" s="179" t="s">
        <v>657</v>
      </c>
    </row>
    <row r="46" ht="15.75" customHeight="1">
      <c r="A46" s="189">
        <f>IF(COUNTIF($C$51:$C$61,"&gt;0")=0,"",AVERAGEIF($D$51:$D$61,"&gt;0",$D$51:$D$61))</f>
        <v>0.9874891775</v>
      </c>
      <c r="D46" s="189">
        <f>IF(COUNTIFS($B$51:$B$61,"Admin/CS",$C$51:$C$61,"&gt;0")=0,"",SUMIFS($D$51:$D$61,$B$51:$B$61,"Admin/CS",$C$51:$C$61,"&gt;0")/COUNTIFS($B$51:$B$61,"Admin/CS",$C$51:$C$61,"&gt;0"))</f>
        <v>0.9854220779</v>
      </c>
      <c r="G46" s="189">
        <f>IF(COUNTIFS($B$51:$B$61,"Fotografer",$C$51:$C$61,"&gt;0")=0,"",SUMIFS($D$51:$D$61,$B$51:$B$61,"Fotografer",$C$51:$C$61,"&gt;0")/COUNTIFS($B$51:$B$61,"Fotografer",$C$51:$C$61,"&gt;0"))</f>
        <v>0.9895562771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9" t="s">
        <v>1</v>
      </c>
      <c r="B50" s="179" t="s">
        <v>648</v>
      </c>
      <c r="C50" s="179" t="s">
        <v>613</v>
      </c>
      <c r="D50" s="179" t="s">
        <v>614</v>
      </c>
      <c r="E50" s="179" t="s">
        <v>202</v>
      </c>
      <c r="F50" s="179" t="s">
        <v>203</v>
      </c>
      <c r="G50" s="179" t="s">
        <v>204</v>
      </c>
      <c r="H50" s="179" t="s">
        <v>205</v>
      </c>
      <c r="I50" s="179" t="s">
        <v>206</v>
      </c>
      <c r="J50" s="179" t="s">
        <v>658</v>
      </c>
      <c r="K50" s="179" t="s">
        <v>659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21</v>
      </c>
      <c r="D51" s="184">
        <f t="shared" ref="D51:D61" si="23">IF(C51=0,"",AN5/100)</f>
        <v>0.9985714286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4.952380952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13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22</v>
      </c>
      <c r="D53" s="184">
        <f t="shared" si="23"/>
        <v>0.9722727273</v>
      </c>
      <c r="E53" s="192">
        <f t="shared" si="24"/>
        <v>4.909090909</v>
      </c>
      <c r="F53" s="192">
        <f t="shared" si="25"/>
        <v>4.954545455</v>
      </c>
      <c r="G53" s="192">
        <f t="shared" si="26"/>
        <v>4.863636364</v>
      </c>
      <c r="H53" s="192">
        <f t="shared" si="27"/>
        <v>5</v>
      </c>
      <c r="I53" s="192">
        <f t="shared" si="28"/>
        <v>4.5</v>
      </c>
      <c r="J53" s="183" t="str">
        <f t="shared" si="29"/>
        <v>Sangat Baik</v>
      </c>
      <c r="K53" s="113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13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13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13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13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21</v>
      </c>
      <c r="D58" s="184">
        <f t="shared" si="23"/>
        <v>0.9904761905</v>
      </c>
      <c r="E58" s="192">
        <f t="shared" si="24"/>
        <v>5</v>
      </c>
      <c r="F58" s="192">
        <f t="shared" si="25"/>
        <v>5</v>
      </c>
      <c r="G58" s="192">
        <f t="shared" si="26"/>
        <v>4.952380952</v>
      </c>
      <c r="H58" s="192">
        <f t="shared" si="27"/>
        <v>5</v>
      </c>
      <c r="I58" s="192">
        <f t="shared" si="28"/>
        <v>4.761904762</v>
      </c>
      <c r="J58" s="183" t="str">
        <f t="shared" si="29"/>
        <v>Sangat Baik</v>
      </c>
      <c r="K58" s="113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13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13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22</v>
      </c>
      <c r="D61" s="184">
        <f t="shared" si="23"/>
        <v>0.9886363636</v>
      </c>
      <c r="E61" s="192">
        <f t="shared" si="24"/>
        <v>4.909090909</v>
      </c>
      <c r="F61" s="192">
        <f t="shared" si="25"/>
        <v>4.954545455</v>
      </c>
      <c r="G61" s="192">
        <f t="shared" si="26"/>
        <v>5</v>
      </c>
      <c r="H61" s="192">
        <f t="shared" si="27"/>
        <v>5</v>
      </c>
      <c r="I61" s="192">
        <f t="shared" si="28"/>
        <v>4.818181818</v>
      </c>
      <c r="J61" s="183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3" t="s">
        <v>660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