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<sst xmlns="http://schemas.openxmlformats.org/spreadsheetml/2006/main" count="5661" uniqueCount="727">
  <si>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</si>
  <si>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</si>
  <si>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</si>
  <si>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</si>
  <si>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</si>
  <si>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</si>
  <si>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</si>
  <si>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</si>
  <si>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</si>
  <si>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</si>
  <si>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</si>
  <si>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</si>
  <si>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</si>
  <si>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</si>
  <si>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</si>
  <si>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</si>
  <si>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</si>
  <si>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</si>
  <si>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Davita</t>
  </si>
  <si>
    <t>Feby Putri</t>
  </si>
  <si>
    <t>Denny Hardiansyah</t>
  </si>
  <si>
    <t>Atiesa dkk</t>
  </si>
  <si>
    <t>Graduation</t>
  </si>
  <si>
    <t>Large Group</t>
  </si>
  <si>
    <t>4 sept</t>
  </si>
  <si>
    <t>DP</t>
  </si>
  <si>
    <t>INDAH</t>
  </si>
  <si>
    <t>AMEL</t>
  </si>
  <si>
    <t>mila</t>
  </si>
  <si>
    <t>Raka</t>
  </si>
  <si>
    <t>22 sept</t>
  </si>
  <si>
    <t>Ardi</t>
  </si>
  <si>
    <t>Lunas</t>
  </si>
  <si>
    <t>9 sept</t>
  </si>
  <si>
    <t>rindi setynai</t>
  </si>
  <si>
    <t>Sulis Setianti</t>
  </si>
  <si>
    <t>4 oktober</t>
  </si>
  <si>
    <t>Orin</t>
  </si>
  <si>
    <t>3 sept</t>
  </si>
  <si>
    <t>Uploaded</t>
  </si>
  <si>
    <t>Hanif</t>
  </si>
  <si>
    <t>Pending</t>
  </si>
  <si>
    <t>ADIF</t>
  </si>
  <si>
    <t>Sandi Mugiyono</t>
  </si>
  <si>
    <t xml:space="preserve">Akira Aditya </t>
  </si>
  <si>
    <t>Refanie Karunia Bernardi</t>
  </si>
  <si>
    <t>4 okt</t>
  </si>
  <si>
    <t>Gibran</t>
  </si>
  <si>
    <t>Family A</t>
  </si>
  <si>
    <t>Ergi Mahandika</t>
  </si>
  <si>
    <t xml:space="preserve"> Flower</t>
  </si>
  <si>
    <t>Marisa</t>
  </si>
  <si>
    <t>Photofox</t>
  </si>
  <si>
    <t>Atiesa</t>
  </si>
  <si>
    <t>Atika</t>
  </si>
  <si>
    <t>-</t>
  </si>
  <si>
    <t>6 sept</t>
  </si>
  <si>
    <t>Wildan</t>
  </si>
  <si>
    <t xml:space="preserve">  Deri Dernata</t>
  </si>
  <si>
    <t>Fauzan</t>
  </si>
  <si>
    <t>8 sept</t>
  </si>
  <si>
    <t>Couple A</t>
  </si>
  <si>
    <t>Luqmanul Hakim</t>
  </si>
  <si>
    <t>Ananda Yasmin</t>
  </si>
  <si>
    <t>Rangga</t>
  </si>
  <si>
    <t>Sela Artiana</t>
  </si>
  <si>
    <t xml:space="preserve"> Deo Putra</t>
  </si>
  <si>
    <t>8 Sept</t>
  </si>
  <si>
    <t>Aditiya Fauzi</t>
  </si>
  <si>
    <t>andin</t>
  </si>
  <si>
    <t>Single</t>
  </si>
  <si>
    <t>Dela setyaningrum</t>
  </si>
  <si>
    <t>7 sept</t>
  </si>
  <si>
    <t>2 SEPT</t>
  </si>
  <si>
    <t>Assa</t>
  </si>
  <si>
    <t>Futsal UIN Saizu</t>
  </si>
  <si>
    <t>Sita Hapsari</t>
  </si>
  <si>
    <t>FAHME</t>
  </si>
  <si>
    <t>2 sept</t>
  </si>
  <si>
    <t>Farrel Daffa</t>
  </si>
  <si>
    <t>Stevy</t>
  </si>
  <si>
    <t>SAKA</t>
  </si>
  <si>
    <t>Aisha</t>
  </si>
  <si>
    <t>Ummu Haniah</t>
  </si>
  <si>
    <t>Zhafira Rismalia</t>
  </si>
  <si>
    <t>Dhita</t>
  </si>
  <si>
    <t>5 sept</t>
  </si>
  <si>
    <t>Revalina Indriyani Putri</t>
  </si>
  <si>
    <t>maria taffi</t>
  </si>
  <si>
    <t>Lembata</t>
  </si>
  <si>
    <t>Farah Mirza</t>
  </si>
  <si>
    <t>Jager</t>
  </si>
  <si>
    <t>Sumberejo</t>
  </si>
  <si>
    <t>Haliza Phadmawati</t>
  </si>
  <si>
    <t>Runi</t>
  </si>
  <si>
    <t>EliaSeptia</t>
  </si>
  <si>
    <t>Studio Rent</t>
  </si>
  <si>
    <t>Annisa</t>
  </si>
  <si>
    <t>Ully</t>
  </si>
  <si>
    <t>Athia</t>
  </si>
  <si>
    <t>Graduation Premium</t>
  </si>
  <si>
    <t>Flower</t>
  </si>
  <si>
    <t>Anto</t>
  </si>
  <si>
    <t>ABROR</t>
  </si>
  <si>
    <t>Luceriza</t>
  </si>
  <si>
    <t>Tiara Dwina Savitri</t>
  </si>
  <si>
    <t>Jihan</t>
  </si>
  <si>
    <t>rahma pramesti</t>
  </si>
  <si>
    <t>KKN Kalikajar</t>
  </si>
  <si>
    <t>Muhammad Adam Hifar</t>
  </si>
  <si>
    <t>Hanifah</t>
  </si>
  <si>
    <t>ELIA SEPTIA</t>
  </si>
  <si>
    <t>Ama</t>
  </si>
  <si>
    <t>Fahmi Sabni Ramadhan</t>
  </si>
  <si>
    <t>cut auriel</t>
  </si>
  <si>
    <t>Dian Meinarni</t>
  </si>
  <si>
    <t>Zhafira Azfa</t>
  </si>
  <si>
    <t>ADDEL</t>
  </si>
  <si>
    <t>Hilda Rahmawati</t>
  </si>
  <si>
    <t>Ainun Nissa</t>
  </si>
  <si>
    <t>Tazkia</t>
  </si>
  <si>
    <t>Decky Sapta</t>
  </si>
  <si>
    <t>Septy Ikka</t>
  </si>
  <si>
    <t>Zae</t>
  </si>
  <si>
    <t>VERO</t>
  </si>
  <si>
    <t>wahyu puji prasetio</t>
  </si>
  <si>
    <t>Novita</t>
  </si>
  <si>
    <t>khusni mubarok</t>
  </si>
  <si>
    <t>Diarra Fathiya</t>
  </si>
  <si>
    <t>Farhan</t>
  </si>
  <si>
    <t>Madina Salsabila</t>
  </si>
  <si>
    <t>Ayume</t>
  </si>
  <si>
    <t>Dinda</t>
  </si>
  <si>
    <t>Isty Fadielah</t>
  </si>
  <si>
    <t>Lulu Angger</t>
  </si>
  <si>
    <t>Reynaldo</t>
  </si>
  <si>
    <t>Fianto</t>
  </si>
  <si>
    <t>3 okt</t>
  </si>
  <si>
    <t>Ikbar Rais</t>
  </si>
  <si>
    <t xml:space="preserve">ADIF </t>
  </si>
  <si>
    <t>Sitti Aisyah ZS</t>
  </si>
  <si>
    <t>Randuma</t>
  </si>
  <si>
    <t>Dymas Angga</t>
  </si>
  <si>
    <t>Ade Ayu S</t>
  </si>
  <si>
    <t>Rahmat Desta</t>
  </si>
  <si>
    <t>Nominal</t>
  </si>
  <si>
    <t>Shift</t>
  </si>
  <si>
    <t>Mudzrikatun</t>
  </si>
  <si>
    <t>Laela Nur Azzizah</t>
  </si>
  <si>
    <t>Pendapatan Tunai</t>
  </si>
  <si>
    <t>Sabina Rizky</t>
  </si>
  <si>
    <t>Admin 1</t>
  </si>
  <si>
    <t>Puput Aditya</t>
  </si>
  <si>
    <t>Resti Dwi</t>
  </si>
  <si>
    <t>Fadel</t>
  </si>
  <si>
    <t>Alan Nahdi</t>
  </si>
  <si>
    <t>Ramdhan</t>
  </si>
  <si>
    <t>Admin 2</t>
  </si>
  <si>
    <t>Arini Nur F</t>
  </si>
  <si>
    <t xml:space="preserve"> Muhamad Abdau </t>
  </si>
  <si>
    <t>Fotografer 1</t>
  </si>
  <si>
    <t>Adnan</t>
  </si>
  <si>
    <t>Maulida Jundana</t>
  </si>
  <si>
    <t>Fotografer 2</t>
  </si>
  <si>
    <t>Ata Qonita</t>
  </si>
  <si>
    <t>Ifah Kholidiyyah</t>
  </si>
  <si>
    <t>1 sept</t>
  </si>
  <si>
    <t>Hikmah</t>
  </si>
  <si>
    <t>KPI HARIAN | SKALA 1-5</t>
  </si>
  <si>
    <t>Genta Gustian</t>
  </si>
  <si>
    <t>Disiplin</t>
  </si>
  <si>
    <t>Akurasi</t>
  </si>
  <si>
    <t>Nizar Ramadhan</t>
  </si>
  <si>
    <t>SOP</t>
  </si>
  <si>
    <t>Client</t>
  </si>
  <si>
    <t>Renaldi</t>
  </si>
  <si>
    <t>Produktivitas</t>
  </si>
  <si>
    <t>KPI Score Helper</t>
  </si>
  <si>
    <t>Status Helper</t>
  </si>
  <si>
    <t>Role Helper</t>
  </si>
  <si>
    <t>Evaluated Flag</t>
  </si>
  <si>
    <t>Effective Name</t>
  </si>
  <si>
    <t>Muhamad Abdau Anzalal Furqon</t>
  </si>
  <si>
    <t>Wafik</t>
  </si>
  <si>
    <t>Refina</t>
  </si>
  <si>
    <t>Anjani</t>
  </si>
  <si>
    <t>13 sept</t>
  </si>
  <si>
    <t>Fania Kamalia</t>
  </si>
  <si>
    <t>Eliza</t>
  </si>
  <si>
    <t>Ahmad Mufid</t>
  </si>
  <si>
    <t>Asa Farzani</t>
  </si>
  <si>
    <t>Abi</t>
  </si>
  <si>
    <t>Jasmine Malaeka P</t>
  </si>
  <si>
    <t>Novan</t>
  </si>
  <si>
    <t>Zahra Nur</t>
  </si>
  <si>
    <t>Zoelfan</t>
  </si>
  <si>
    <t>Ria</t>
  </si>
  <si>
    <t>Niko</t>
  </si>
  <si>
    <t>Dimas</t>
  </si>
  <si>
    <t>Qori Susi Allifah</t>
  </si>
  <si>
    <t>Marcellia Eki Christine</t>
  </si>
  <si>
    <t>Adinda Fahrina</t>
  </si>
  <si>
    <t>Prasetyo Budi Utomo</t>
  </si>
  <si>
    <t>Hanifa</t>
  </si>
  <si>
    <t xml:space="preserve"> Nayla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</si>
  <si>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</si>
  <si>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</si>
  <si>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</si>
  <si>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</si>
  <si>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</si>
  <si>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</si>
  <si>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</si>
  <si>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</si>
  <si>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</si>
  <si>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</si>
  <si>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</si>
  <si>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indah, amel, addel</t>
  </si>
  <si>
    <t>cetakan 3 september</t>
  </si>
  <si>
    <t>TODAY | LEADS &amp; TRANSAKSI</t>
  </si>
  <si>
    <t>Leads</t>
  </si>
  <si>
    <t>Baterai AA &amp; Pengharum</t>
  </si>
  <si>
    <t>Total DP</t>
  </si>
  <si>
    <t>adif, saka, vero, fahme</t>
  </si>
  <si>
    <t>Sesi Foto</t>
  </si>
  <si>
    <t>Jumlah Transaksi Harian</t>
  </si>
  <si>
    <t>fadel</t>
  </si>
  <si>
    <t>Conversion Rate</t>
  </si>
  <si>
    <t>Adif, saka, Fahme, Abror</t>
  </si>
  <si>
    <t>sarapan wisuda day 1</t>
  </si>
  <si>
    <t>Sarapan wisuda Day 2</t>
  </si>
  <si>
    <t xml:space="preserve">makan malam wisuda </t>
  </si>
  <si>
    <t>Sewa baterai cinemon</t>
  </si>
  <si>
    <t>Alif Arhansyah</t>
  </si>
  <si>
    <t>Nadi Indra F</t>
  </si>
  <si>
    <t>Danta</t>
  </si>
  <si>
    <t>Kebagoran</t>
  </si>
  <si>
    <t>Uwi</t>
  </si>
  <si>
    <t>Dinta</t>
  </si>
  <si>
    <t>zaila angreani</t>
  </si>
  <si>
    <t>Pas Foto</t>
  </si>
  <si>
    <t>Salsa Bella Aryana</t>
  </si>
  <si>
    <t>Bintang</t>
  </si>
  <si>
    <t xml:space="preserve">revo </t>
  </si>
  <si>
    <t>Add cetak</t>
  </si>
  <si>
    <t>31 agustus</t>
  </si>
  <si>
    <t>Kelas modeling id pwt</t>
  </si>
  <si>
    <t>All file</t>
  </si>
  <si>
    <t>Cahya Juwita</t>
  </si>
  <si>
    <t>Nanda Putri</t>
  </si>
  <si>
    <t>Adioni</t>
  </si>
  <si>
    <t>add cetak</t>
  </si>
  <si>
    <t>Zaila Anggraeni</t>
  </si>
  <si>
    <t>Sasa</t>
  </si>
  <si>
    <t>Regita</t>
  </si>
  <si>
    <t>Nidaul</t>
  </si>
  <si>
    <t>Khairil</t>
  </si>
  <si>
    <t>Kim</t>
  </si>
  <si>
    <t>All Soft File</t>
  </si>
  <si>
    <t>Johan</t>
  </si>
  <si>
    <t>TBMM EKSTREMITAS</t>
  </si>
  <si>
    <t>Muhamad Rizki</t>
  </si>
  <si>
    <t>Praba Dayu</t>
  </si>
  <si>
    <t>helmi</t>
  </si>
  <si>
    <t>Revalina</t>
  </si>
  <si>
    <t>10R</t>
  </si>
  <si>
    <t xml:space="preserve"> laila</t>
  </si>
  <si>
    <t>Fida</t>
  </si>
  <si>
    <t>5 Oktober</t>
  </si>
  <si>
    <t>Andin</t>
  </si>
  <si>
    <t>Rafa Ghiyas</t>
  </si>
  <si>
    <t>Nadya</t>
  </si>
  <si>
    <t>PSDA Bahagia</t>
  </si>
  <si>
    <t xml:space="preserve">ADDEL </t>
  </si>
  <si>
    <t>Lesty Meitika</t>
  </si>
  <si>
    <t>Lia</t>
  </si>
  <si>
    <t>Bulan</t>
  </si>
  <si>
    <t>Acha</t>
  </si>
  <si>
    <t>Atik</t>
  </si>
  <si>
    <t>Gita</t>
  </si>
  <si>
    <t>Maulida</t>
  </si>
  <si>
    <t>Alfin</t>
  </si>
  <si>
    <t>Akbar</t>
  </si>
  <si>
    <t>ots</t>
  </si>
  <si>
    <t>5 Sept</t>
  </si>
  <si>
    <t>Puput Tri</t>
  </si>
  <si>
    <t>Yohann</t>
  </si>
  <si>
    <t xml:space="preserve"> mohamad tri guntoro</t>
  </si>
  <si>
    <t>Nadya Miko</t>
  </si>
  <si>
    <t>Tiara</t>
  </si>
  <si>
    <t>add time</t>
  </si>
  <si>
    <t>Deo Putra</t>
  </si>
  <si>
    <t>Nissa</t>
  </si>
  <si>
    <t>Decky Septa</t>
  </si>
  <si>
    <t>Lauceriza</t>
  </si>
  <si>
    <t>Qori Susi Alifah</t>
  </si>
  <si>
    <t>Dewi Amarwati</t>
  </si>
  <si>
    <t>Zaki</t>
  </si>
  <si>
    <t>Sabiq</t>
  </si>
  <si>
    <t>Jasmine Malaeka</t>
  </si>
  <si>
    <t>galon</t>
  </si>
  <si>
    <t>Deri Dernata</t>
  </si>
  <si>
    <t>Faizah</t>
  </si>
  <si>
    <t>Baterai A2</t>
  </si>
  <si>
    <t>Dhiya</t>
  </si>
  <si>
    <t>Sarapan wisuda day 1</t>
  </si>
  <si>
    <t>Refanie Kurnia</t>
  </si>
  <si>
    <t>Evan</t>
  </si>
  <si>
    <t>fahme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</si>
  <si>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</si>
  <si>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</si>
  <si>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</si>
  <si>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</si>
  <si>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</si>
  <si>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</si>
  <si>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</si>
  <si>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</si>
  <si>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</si>
  <si>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</si>
  <si>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</si>
  <si>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</si>
  <si>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</si>
  <si>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</si>
  <si>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</si>
  <si>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</si>
  <si>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</si>
  <si>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</si>
  <si>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</si>
  <si>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</si>
  <si>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</si>
  <si>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</si>
  <si>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</si>
  <si>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</si>
  <si>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</si>
  <si>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</si>
  <si>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</si>
  <si>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</si>
  <si>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</si>
  <si>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</si>
  <si>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</si>
  <si>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</si>
  <si>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</si>
  <si>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Cut Aureli</t>
  </si>
  <si>
    <t>Wahyu Aji Prasetyyo</t>
  </si>
  <si>
    <t>Add Edit</t>
  </si>
  <si>
    <t>Angelika</t>
  </si>
  <si>
    <t>stevy</t>
  </si>
  <si>
    <t>Tian</t>
  </si>
  <si>
    <t>Dima</t>
  </si>
  <si>
    <t>Add Cetak</t>
  </si>
  <si>
    <t>16R</t>
  </si>
  <si>
    <t>Sandy</t>
  </si>
  <si>
    <t>Icca Lestari (Kelas RPL Kep S1 UMP)</t>
  </si>
  <si>
    <t>Novi</t>
  </si>
  <si>
    <t>18 sept</t>
  </si>
  <si>
    <t>11 sept</t>
  </si>
  <si>
    <t xml:space="preserve"> Mayzela</t>
  </si>
  <si>
    <t>Syifa</t>
  </si>
  <si>
    <t>Juna</t>
  </si>
  <si>
    <t>Navan HES A</t>
  </si>
  <si>
    <t>14 sept</t>
  </si>
  <si>
    <t>Naumi</t>
  </si>
  <si>
    <t>Kanna</t>
  </si>
  <si>
    <t>Meilani</t>
  </si>
  <si>
    <t>12 sept</t>
  </si>
  <si>
    <t>Otto</t>
  </si>
  <si>
    <t>add edit</t>
  </si>
  <si>
    <t>Maria Taffi</t>
  </si>
  <si>
    <t>Bening</t>
  </si>
  <si>
    <t>Della fitriana</t>
  </si>
  <si>
    <t>Tamalia</t>
  </si>
  <si>
    <t>Maylisa</t>
  </si>
  <si>
    <t>Yumna</t>
  </si>
  <si>
    <t>Arneta</t>
  </si>
  <si>
    <t>Tiffani Agil</t>
  </si>
  <si>
    <t>kelas 2b (faiza)</t>
  </si>
  <si>
    <t>Berlian</t>
  </si>
  <si>
    <t>Ujiani</t>
  </si>
  <si>
    <t>lisha</t>
  </si>
  <si>
    <t>naumi</t>
  </si>
  <si>
    <t>Isti</t>
  </si>
  <si>
    <t xml:space="preserve">Decky Septa </t>
  </si>
  <si>
    <t>Aulia Setyo</t>
  </si>
  <si>
    <t>Bela</t>
  </si>
  <si>
    <t>Asa</t>
  </si>
  <si>
    <t>Marcellia Eka</t>
  </si>
  <si>
    <t>Shelly Ayu Safitri</t>
  </si>
  <si>
    <t>Cut Aureil</t>
  </si>
  <si>
    <t>Vieri Bona Tua</t>
  </si>
  <si>
    <t>Jany</t>
  </si>
  <si>
    <t>Tania</t>
  </si>
  <si>
    <t>Ika Siti</t>
  </si>
  <si>
    <t>Naufal</t>
  </si>
  <si>
    <t>penthil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</si>
  <si>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</si>
  <si>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</si>
  <si>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</si>
  <si>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</si>
  <si>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</si>
  <si>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</si>
  <si>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</si>
  <si>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</si>
  <si>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10R,16R</t>
  </si>
  <si>
    <t>5R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</si>
  <si>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</si>
  <si>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</si>
  <si>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</si>
  <si>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</si>
  <si>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</si>
  <si>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</si>
  <si>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</si>
  <si>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</si>
  <si>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</si>
  <si>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</si>
  <si>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</si>
  <si>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</si>
  <si>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</si>
  <si>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</si>
  <si>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</si>
  <si>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</si>
  <si>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</si>
  <si>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</si>
  <si>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</si>
  <si>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</si>
  <si>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Syifa Zulfa</t>
  </si>
  <si>
    <t>N. A. Salsabila</t>
  </si>
  <si>
    <t>Maysila</t>
  </si>
  <si>
    <t>Syska</t>
  </si>
  <si>
    <t>HANA</t>
  </si>
  <si>
    <t>KKN Desa Mlaya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</si>
  <si>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</si>
  <si>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Mila</t>
  </si>
  <si>
    <t>Nina Dwi Suryani</t>
  </si>
  <si>
    <t>Zara (Kelas modeling)</t>
  </si>
  <si>
    <t>abay</t>
  </si>
  <si>
    <t>Arum  (Kelas modeling)</t>
  </si>
  <si>
    <t>Galih</t>
  </si>
  <si>
    <t>Bella  (Kelas modeling)</t>
  </si>
  <si>
    <t>Abay</t>
  </si>
  <si>
    <t>Aisya (Kelas modeling)</t>
  </si>
  <si>
    <t>Ihsan</t>
  </si>
  <si>
    <t>Adzki</t>
  </si>
  <si>
    <t>Fandi</t>
  </si>
  <si>
    <t>Della</t>
  </si>
  <si>
    <t>Ocha</t>
  </si>
  <si>
    <t>15 sept</t>
  </si>
  <si>
    <t>lalita</t>
  </si>
  <si>
    <t>Miftah</t>
  </si>
  <si>
    <t>Ayu</t>
  </si>
  <si>
    <t>Keisha</t>
  </si>
  <si>
    <t>KKN 100</t>
  </si>
  <si>
    <t>Rara</t>
  </si>
  <si>
    <t>1 okt</t>
  </si>
  <si>
    <t>Hana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</si>
  <si>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</si>
  <si>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</si>
  <si>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</si>
  <si>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</si>
  <si>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</si>
  <si>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</si>
  <si>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</si>
  <si>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</si>
  <si>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</si>
  <si>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</si>
  <si>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</si>
  <si>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</si>
  <si>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</si>
  <si>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</si>
  <si>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</si>
  <si>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Wasis Rifky</t>
  </si>
  <si>
    <t>Rahes</t>
  </si>
  <si>
    <t>Sultan Athar Pasha</t>
  </si>
  <si>
    <t>Kharisma</t>
  </si>
  <si>
    <t>Nabilla</t>
  </si>
  <si>
    <t>Nana Tri</t>
  </si>
  <si>
    <t>ulfa</t>
  </si>
  <si>
    <t>Yuza</t>
  </si>
  <si>
    <t>Yohana</t>
  </si>
  <si>
    <t>Marcel</t>
  </si>
  <si>
    <t>Lyra</t>
  </si>
  <si>
    <t>Laela</t>
  </si>
  <si>
    <t>Khofifah Wardah</t>
  </si>
  <si>
    <t>Andre</t>
  </si>
  <si>
    <t>Packing</t>
  </si>
  <si>
    <t>Lodaya Sasindo</t>
  </si>
  <si>
    <t>Aya</t>
  </si>
  <si>
    <t>Mukti Muadzin</t>
  </si>
  <si>
    <t>Dita</t>
  </si>
  <si>
    <t>Ade Evan</t>
  </si>
  <si>
    <t xml:space="preserve"> Amalia Rosita</t>
  </si>
  <si>
    <t>Zulfan</t>
  </si>
  <si>
    <t>Suhaimah</t>
  </si>
  <si>
    <t>Sifa</t>
  </si>
  <si>
    <t>Cia</t>
  </si>
  <si>
    <t>Lodya</t>
  </si>
  <si>
    <t>Alif</t>
  </si>
  <si>
    <t>Aisyah</t>
  </si>
  <si>
    <t>Adkesma Fikes</t>
  </si>
  <si>
    <t>Wiwi</t>
  </si>
  <si>
    <t>17 okt</t>
  </si>
  <si>
    <t xml:space="preserve"> Tsany</t>
  </si>
  <si>
    <t>Galon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</si>
  <si>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</si>
  <si>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</si>
  <si>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</si>
  <si>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</si>
  <si>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</si>
  <si>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</si>
  <si>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</si>
  <si>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</si>
  <si>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</si>
  <si>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</si>
  <si>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</si>
  <si>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</si>
  <si>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</si>
  <si>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</si>
  <si>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</si>
  <si>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</si>
  <si>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</si>
  <si>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</si>
  <si>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</si>
  <si>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</si>
  <si>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Direct RO</t>
  </si>
  <si>
    <t>cetakan 14 sep</t>
  </si>
  <si>
    <t>Celestia</t>
  </si>
  <si>
    <t>Satria</t>
  </si>
  <si>
    <t>princes</t>
  </si>
  <si>
    <t>Family B</t>
  </si>
  <si>
    <t>Sema</t>
  </si>
  <si>
    <t>23 sept</t>
  </si>
  <si>
    <t>Frista</t>
  </si>
  <si>
    <t>MIK UMP</t>
  </si>
  <si>
    <t>19 sept</t>
  </si>
  <si>
    <t>Afita Khoerunnisa</t>
  </si>
  <si>
    <t>Neneng</t>
  </si>
  <si>
    <t>Lu'lu</t>
  </si>
  <si>
    <t xml:space="preserve">Dwi </t>
  </si>
  <si>
    <t>aulia</t>
  </si>
  <si>
    <t>Ayara</t>
  </si>
  <si>
    <t>Rizki</t>
  </si>
  <si>
    <t>Difa Ruci</t>
  </si>
  <si>
    <t>Naura</t>
  </si>
  <si>
    <t>cipan</t>
  </si>
  <si>
    <t>sabna lutfika</t>
  </si>
  <si>
    <t>Ilham</t>
  </si>
  <si>
    <t>Susi</t>
  </si>
  <si>
    <t>Cerita Panerusan</t>
  </si>
  <si>
    <t>Akhmad binangun</t>
  </si>
  <si>
    <t>Vivi</t>
  </si>
  <si>
    <t>Princes</t>
  </si>
  <si>
    <t>devita</t>
  </si>
  <si>
    <t>sewa baterai kamera</t>
  </si>
  <si>
    <t>Lena</t>
  </si>
  <si>
    <t>indah amel</t>
  </si>
  <si>
    <t>Melody</t>
  </si>
  <si>
    <t>adif saka</t>
  </si>
  <si>
    <t>Indah</t>
  </si>
  <si>
    <t>Lalita</t>
  </si>
  <si>
    <t>Ade</t>
  </si>
  <si>
    <t>Dewi</t>
  </si>
  <si>
    <t>Liaamalia</t>
  </si>
  <si>
    <t>Fahdi Ramadhan</t>
  </si>
  <si>
    <t>vania</t>
  </si>
  <si>
    <t>daniel</t>
  </si>
  <si>
    <t>Ivan</t>
  </si>
  <si>
    <t>Pandu Eka Wardana</t>
  </si>
  <si>
    <t>Muti</t>
  </si>
  <si>
    <t>Ezar Nadhif</t>
  </si>
  <si>
    <t>Nashita cahyaningrum</t>
  </si>
  <si>
    <t>Rifan</t>
  </si>
  <si>
    <t>24 sept</t>
  </si>
  <si>
    <t>Mayliza</t>
  </si>
  <si>
    <t>Yunita</t>
  </si>
  <si>
    <t>Ema Rosiani</t>
  </si>
  <si>
    <t>Amin Nasyith</t>
  </si>
  <si>
    <t>Vania</t>
  </si>
  <si>
    <t>Sulaiman</t>
  </si>
  <si>
    <t xml:space="preserve">Sembilan E </t>
  </si>
  <si>
    <t>Indriyani</t>
  </si>
  <si>
    <t>Sulis sentianti</t>
  </si>
  <si>
    <t>27 sept</t>
  </si>
  <si>
    <t>Ofi</t>
  </si>
  <si>
    <t>30 sept</t>
  </si>
  <si>
    <t>Binta</t>
  </si>
  <si>
    <t>ALFIAN WICAKSANA</t>
  </si>
  <si>
    <t>Bela Amarwati</t>
  </si>
  <si>
    <t>Amalia Rosita</t>
  </si>
  <si>
    <t xml:space="preserve"> Hanan Aldi R</t>
  </si>
  <si>
    <t>Rio Furqon</t>
  </si>
  <si>
    <t>kresna</t>
  </si>
  <si>
    <t>Elfa</t>
  </si>
  <si>
    <t>Anin</t>
  </si>
  <si>
    <t>Dela</t>
  </si>
  <si>
    <t>Mein</t>
  </si>
  <si>
    <t>Renaldy</t>
  </si>
  <si>
    <t>Wasis</t>
  </si>
  <si>
    <t>Cipan</t>
  </si>
  <si>
    <t>Amel</t>
  </si>
  <si>
    <t>Rosma</t>
  </si>
  <si>
    <t>Adinda Putri Suwarno</t>
  </si>
  <si>
    <t>Fadil</t>
  </si>
  <si>
    <t>Aghnia</t>
  </si>
  <si>
    <t>Risky Akmal</t>
  </si>
  <si>
    <t>Fina</t>
  </si>
  <si>
    <t>Sabna</t>
  </si>
  <si>
    <t>Decky</t>
  </si>
  <si>
    <t>Add Frame</t>
  </si>
  <si>
    <t>Fahdi</t>
  </si>
  <si>
    <t xml:space="preserve">Rio </t>
  </si>
  <si>
    <t>Pandu Eka</t>
  </si>
  <si>
    <t>all file</t>
  </si>
  <si>
    <t>Amrullah Gilang</t>
  </si>
  <si>
    <t>Laeli</t>
  </si>
  <si>
    <t>Dedik Purwanto</t>
  </si>
  <si>
    <t>Fahme</t>
  </si>
  <si>
    <t>baterai kamera</t>
  </si>
  <si>
    <t>saka, adif</t>
  </si>
  <si>
    <t>baygon 600ml</t>
  </si>
  <si>
    <t>10R, 16R</t>
  </si>
  <si>
    <t>5R, 10R, 16R</t>
  </si>
  <si>
    <t>Vieri</t>
  </si>
  <si>
    <t>andriya nitaa</t>
  </si>
  <si>
    <t>ADIFFFFFFFFFF</t>
  </si>
  <si>
    <t>Nashita</t>
  </si>
  <si>
    <t>Salma Ngarifatul</t>
  </si>
  <si>
    <t>ILham Zambrota</t>
  </si>
  <si>
    <t>Kaliori</t>
  </si>
  <si>
    <t>Ema</t>
  </si>
  <si>
    <t>Hasbi</t>
  </si>
  <si>
    <t>Ulfa</t>
  </si>
  <si>
    <t>Nurul Latiifa</t>
  </si>
  <si>
    <t>Merlin</t>
  </si>
  <si>
    <t>Umi Fatmah</t>
  </si>
  <si>
    <t>Mela</t>
  </si>
  <si>
    <t>10 okt</t>
  </si>
  <si>
    <t>Vera Desita</t>
  </si>
  <si>
    <t>Ayunda</t>
  </si>
  <si>
    <t>Diva</t>
  </si>
  <si>
    <t>Diska</t>
  </si>
  <si>
    <t>Putri</t>
  </si>
  <si>
    <t>Sembilan E</t>
  </si>
  <si>
    <t>Kiran</t>
  </si>
  <si>
    <t>Inggar evelyn</t>
  </si>
  <si>
    <t>pandu</t>
  </si>
  <si>
    <t>Raka (Radiologi UMP)</t>
  </si>
  <si>
    <t>Nabila</t>
  </si>
  <si>
    <t>ajmal</t>
  </si>
  <si>
    <t>Hasna Arista</t>
  </si>
  <si>
    <t>Falah</t>
  </si>
  <si>
    <t>28 sept</t>
  </si>
  <si>
    <t>Pandu</t>
  </si>
  <si>
    <t>Azzahra</t>
  </si>
  <si>
    <t>salsabila</t>
  </si>
  <si>
    <t>Lakban dan sticky notes</t>
  </si>
  <si>
    <t>cetakan 26 sep</t>
  </si>
  <si>
    <t>ella nur</t>
  </si>
  <si>
    <t>29 sept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</si>
  <si>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</si>
  <si>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</si>
  <si>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</si>
  <si>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</si>
  <si>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</si>
  <si>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</si>
  <si>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</si>
  <si>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</si>
  <si>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</si>
  <si>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bayu</t>
  </si>
  <si>
    <t>Adi</t>
  </si>
  <si>
    <t>Rendy Ilhamsyah</t>
  </si>
  <si>
    <t>Rohto</t>
  </si>
  <si>
    <t>Rahma</t>
  </si>
  <si>
    <t>Cibitta</t>
  </si>
  <si>
    <t>Anggis</t>
  </si>
  <si>
    <t>Niken</t>
  </si>
  <si>
    <t>Amanita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</si>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</sst>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E06666"/>
        <bgColor rgb="FFE06666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2" fillId="0" fontId="5" numFmtId="165" xfId="0" applyAlignment="1" applyBorder="1" applyFont="1" applyNumberFormat="1">
      <alignment horizontal="right" vertical="center"/>
    </xf>
    <xf borderId="6" fillId="0" fontId="1" numFmtId="0" xfId="0" applyAlignment="1" applyBorder="1" applyFont="1">
      <alignment vertical="bottom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Alignment="1" applyBorder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2" fillId="0" fontId="1" numFmtId="165" xfId="0" applyBorder="1" applyFont="1" applyNumberFormat="1"/>
    <xf borderId="6" fillId="0" fontId="5" numFmtId="165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6" fillId="0" fontId="1" numFmtId="0" xfId="0" applyBorder="1" applyFont="1"/>
    <xf borderId="1" fillId="0" fontId="1" numFmtId="164" xfId="0" applyAlignment="1" applyBorder="1" applyFont="1" applyNumberForma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vertical="bottom"/>
    </xf>
    <xf borderId="6" fillId="0" fontId="1" numFmtId="164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vertical="center"/>
    </xf>
    <xf borderId="2" fillId="0" fontId="1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6" fillId="0" fontId="1" numFmtId="165" xfId="0" applyAlignment="1" applyBorder="1" applyFont="1" applyNumberFormat="1">
      <alignment readingOrder="0"/>
    </xf>
    <xf borderId="6" fillId="0" fontId="1" numFmtId="167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2" fillId="0" fontId="2" numFmtId="165" xfId="0" applyAlignment="1" applyBorder="1" applyFont="1" applyNumberFormat="1">
      <alignment horizontal="right" vertical="center"/>
    </xf>
    <xf borderId="8" fillId="0" fontId="1" numFmtId="0" xfId="0" applyAlignment="1" applyBorder="1" applyFont="1">
      <alignment horizontal="center" readingOrder="0" vertical="bottom"/>
    </xf>
    <xf borderId="9" fillId="0" fontId="7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2" fillId="0" fontId="5" numFmtId="165" xfId="0" applyAlignment="1" applyBorder="1" applyFont="1" applyNumberFormat="1">
      <alignment horizontal="right" readingOrder="0" vertical="center"/>
    </xf>
    <xf borderId="6" fillId="0" fontId="1" numFmtId="165" xfId="0" applyAlignment="1" applyBorder="1" applyFont="1" applyNumberFormat="1">
      <alignment horizontal="right"/>
    </xf>
    <xf borderId="0" fillId="0" fontId="8" numFmtId="0" xfId="0" applyFont="1"/>
    <xf borderId="6" fillId="0" fontId="5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/>
    </xf>
    <xf borderId="2" fillId="0" fontId="1" numFmtId="165" xfId="0" applyAlignment="1" applyBorder="1" applyFont="1" applyNumberFormat="1">
      <alignment readingOrder="0"/>
    </xf>
    <xf borderId="6" fillId="0" fontId="5" numFmtId="165" xfId="0" applyAlignment="1" applyBorder="1" applyFont="1" applyNumberFormat="1">
      <alignment horizontal="right"/>
    </xf>
    <xf borderId="8" fillId="0" fontId="1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center"/>
    </xf>
    <xf borderId="9" fillId="0" fontId="9" numFmtId="0" xfId="0" applyAlignment="1" applyBorder="1" applyFont="1">
      <alignment horizontal="center" readingOrder="0" vertical="center"/>
    </xf>
    <xf borderId="9" fillId="0" fontId="10" numFmtId="0" xfId="0" applyAlignment="1" applyBorder="1" applyFon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2" fillId="0" fontId="2" numFmtId="165" xfId="0" applyAlignment="1" applyBorder="1" applyFont="1" applyNumberForma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6" fillId="0" fontId="6" numFmtId="0" xfId="0" applyAlignment="1" applyBorder="1" applyFont="1">
      <alignment horizontal="center" readingOrder="0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7" fillId="7" fontId="2" numFmtId="0" xfId="0" applyAlignment="1" applyBorder="1" applyFill="1" applyFont="1">
      <alignment readingOrder="0"/>
    </xf>
    <xf borderId="0" fillId="0" fontId="17" numFmtId="0" xfId="0" applyAlignment="1" applyFont="1">
      <alignment horizontal="left" shrinkToFit="0" vertical="center" wrapText="0"/>
    </xf>
    <xf borderId="7" fillId="7" fontId="2" numFmtId="165" xfId="0" applyAlignment="1" applyBorder="1" applyFill="1" applyFont="1" applyNumberFormat="1">
      <alignment horizontal="right" readingOrder="0"/>
    </xf>
    <xf borderId="0" fillId="11" fontId="13" numFmtId="1" xfId="0" applyAlignment="1" applyFill="1" applyFont="1" applyNumberFormat="1">
      <alignment horizontal="center" shrinkToFit="0" vertical="center" wrapText="0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0" fontId="18" numFmtId="0" xfId="0" applyAlignment="1" applyFont="1">
      <alignment horizontal="left" shrinkToFit="0" vertical="center" wrapText="0"/>
    </xf>
    <xf borderId="0" fillId="0" fontId="1" numFmtId="165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0" fontId="2" numFmtId="165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readingOrder="0" vertical="bottom"/>
    </xf>
    <xf borderId="6" fillId="0" fontId="1" numFmtId="9" xfId="0" applyAlignment="1" applyBorder="1" applyFont="1" applyNumberFormat="1">
      <alignment vertical="center"/>
    </xf>
    <xf borderId="6" fillId="0" fontId="5" numFmtId="165" xfId="0" applyAlignment="1" applyBorder="1" applyFont="1" applyNumberFormat="1">
      <alignment horizontal="center" readingOrder="0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5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7" xfId="0" applyAlignment="1" applyBorder="1" applyFont="1" applyNumberFormat="1">
      <alignment horizontal="center" vertic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0" fillId="0" fontId="1" numFmtId="0" xfId="0" applyAlignment="1" applyFont="1">
      <alignment vertical="center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8" fillId="15" fontId="1" numFmtId="0" xfId="0" applyAlignment="1" applyBorder="1" applyFill="1" applyFont="1">
      <alignment horizontal="center" readingOrder="0" vertical="bottom"/>
    </xf>
    <xf borderId="0" fillId="16" fontId="1" numFmtId="0" xfId="0" applyAlignment="1" applyFill="1" applyFont="1">
      <alignment horizontal="center" vertical="center"/>
    </xf>
    <xf borderId="0" fillId="16" fontId="2" numFmtId="0" xfId="0" applyFill="1" applyFont="1"/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Alignment="1" applyFill="1" applyFont="1">
      <alignment readingOrder="0"/>
    </xf>
    <xf borderId="0" fillId="4" fontId="1" numFmtId="0" xfId="0" applyFill="1" applyFont="1"/>
    <xf borderId="8" fillId="0" fontId="2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11" fontId="13" numFmtId="170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5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9" fontId="14" numFmtId="0" xfId="0" applyAlignment="1" applyFill="1" applyFon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5" fontId="27" numFmtId="168" xfId="0" applyAlignment="1" applyFill="1" applyFont="1" applyNumberFormat="1">
      <alignment horizontal="center" shrinkToFit="0" vertical="center" wrapText="0"/>
    </xf>
    <xf borderId="0" fillId="15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515582887"/>
        <c:axId val="1536704516"/>
      </c:barChart>
      <c:catAx>
        <c:axId val="5155828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536704516"/>
      </c:catAx>
      <c:valAx>
        <c:axId val="15367045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51558288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263406117"/>
        <c:axId val="401927962"/>
      </c:lineChart>
      <c:catAx>
        <c:axId val="12634061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401927962"/>
      </c:catAx>
      <c:valAx>
        <c:axId val="40192796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263406117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20</v>
      </c>
      <c r="D4" s="19" t="s">
        <v>22</v>
      </c>
      <c r="E4" s="31"/>
      <c r="F4" s="32">
        <v>46273.0</v>
      </c>
      <c r="G4" s="34"/>
      <c r="H4" s="26">
        <v>100000.0</v>
      </c>
      <c r="I4" s="23" t="s">
        <v>25</v>
      </c>
      <c r="J4" s="15"/>
      <c r="K4" s="15"/>
      <c r="L4" s="23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5">
        <v>2.0</v>
      </c>
      <c r="C5" s="17" t="s">
        <v>40</v>
      </c>
      <c r="D5" s="19" t="s">
        <v>23</v>
      </c>
      <c r="E5" s="31"/>
      <c r="F5" s="32">
        <v>46269.0</v>
      </c>
      <c r="G5" s="34"/>
      <c r="H5" s="26">
        <v>100000.0</v>
      </c>
      <c r="I5" s="23" t="s">
        <v>25</v>
      </c>
      <c r="J5" s="23"/>
      <c r="K5" s="15"/>
      <c r="L5" s="23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5">
        <v>3.0</v>
      </c>
      <c r="C6" s="17" t="s">
        <v>49</v>
      </c>
      <c r="D6" s="19" t="s">
        <v>22</v>
      </c>
      <c r="E6" s="31"/>
      <c r="F6" s="30">
        <v>46273.0</v>
      </c>
      <c r="G6" s="42"/>
      <c r="H6" s="43">
        <v>100000.0</v>
      </c>
      <c r="I6" s="23" t="s">
        <v>25</v>
      </c>
      <c r="J6" s="15"/>
      <c r="K6" s="15"/>
      <c r="L6" s="23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5">
        <v>4.0</v>
      </c>
      <c r="C7" s="17" t="s">
        <v>59</v>
      </c>
      <c r="D7" s="19" t="s">
        <v>61</v>
      </c>
      <c r="E7" s="31"/>
      <c r="F7" s="30">
        <v>46268.0</v>
      </c>
      <c r="G7" s="42"/>
      <c r="H7" s="43">
        <v>100000.0</v>
      </c>
      <c r="I7" s="23" t="s">
        <v>25</v>
      </c>
      <c r="J7" s="15"/>
      <c r="K7" s="15"/>
      <c r="L7" s="23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5">
        <v>5.0</v>
      </c>
      <c r="C8" s="17" t="s">
        <v>65</v>
      </c>
      <c r="D8" s="19" t="s">
        <v>22</v>
      </c>
      <c r="E8" s="31"/>
      <c r="F8" s="30">
        <v>46273.0</v>
      </c>
      <c r="G8" s="34"/>
      <c r="H8" s="26">
        <v>100000.0</v>
      </c>
      <c r="I8" s="23" t="s">
        <v>25</v>
      </c>
      <c r="J8" s="15"/>
      <c r="K8" s="15"/>
      <c r="L8" s="23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5">
        <v>6.0</v>
      </c>
      <c r="C9" s="45" t="s">
        <v>74</v>
      </c>
      <c r="D9" s="19" t="s">
        <v>22</v>
      </c>
      <c r="E9" s="49"/>
      <c r="F9" s="30">
        <v>46266.0</v>
      </c>
      <c r="G9" s="50">
        <v>330000.0</v>
      </c>
      <c r="H9" s="52"/>
      <c r="I9" s="23" t="s">
        <v>32</v>
      </c>
      <c r="J9" s="23" t="s">
        <v>39</v>
      </c>
      <c r="K9" s="23" t="s">
        <v>41</v>
      </c>
      <c r="L9" s="23" t="s">
        <v>27</v>
      </c>
      <c r="M9" s="23" t="s">
        <v>77</v>
      </c>
      <c r="N9" s="33"/>
      <c r="O9" s="33"/>
      <c r="P9" s="33"/>
      <c r="Q9" s="1"/>
      <c r="R9" s="1"/>
    </row>
    <row r="10" ht="15.75" customHeight="1">
      <c r="A10" s="1"/>
      <c r="B10" s="15">
        <v>7.0</v>
      </c>
      <c r="C10" s="17" t="s">
        <v>80</v>
      </c>
      <c r="D10" s="19" t="s">
        <v>22</v>
      </c>
      <c r="E10" s="49"/>
      <c r="F10" s="30">
        <v>46274.0</v>
      </c>
      <c r="G10" s="42"/>
      <c r="H10" s="43">
        <v>100000.0</v>
      </c>
      <c r="I10" s="23" t="s">
        <v>25</v>
      </c>
      <c r="J10" s="15"/>
      <c r="K10" s="15"/>
      <c r="L10" s="23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5">
        <v>8.0</v>
      </c>
      <c r="C11" s="17" t="s">
        <v>84</v>
      </c>
      <c r="D11" s="19" t="s">
        <v>22</v>
      </c>
      <c r="E11" s="49"/>
      <c r="F11" s="30">
        <v>46273.0</v>
      </c>
      <c r="G11" s="34"/>
      <c r="H11" s="26">
        <v>100000.0</v>
      </c>
      <c r="I11" s="23" t="s">
        <v>25</v>
      </c>
      <c r="J11" s="15"/>
      <c r="K11" s="15"/>
      <c r="L11" s="23" t="s">
        <v>27</v>
      </c>
      <c r="M11" s="15"/>
      <c r="N11" s="33"/>
      <c r="O11" s="33"/>
      <c r="P11" s="33"/>
      <c r="Q11" s="1"/>
      <c r="R11" s="1"/>
    </row>
    <row r="12" ht="15.75" customHeight="1">
      <c r="A12" s="1"/>
      <c r="B12" s="15">
        <v>9.0</v>
      </c>
      <c r="C12" s="58" t="s">
        <v>90</v>
      </c>
      <c r="D12" s="19" t="s">
        <v>22</v>
      </c>
      <c r="E12" s="49"/>
      <c r="F12" s="41">
        <v>46266.0</v>
      </c>
      <c r="G12" s="50">
        <v>250000.0</v>
      </c>
      <c r="H12" s="57"/>
      <c r="I12" s="23" t="s">
        <v>32</v>
      </c>
      <c r="J12" s="23" t="s">
        <v>39</v>
      </c>
      <c r="K12" s="23" t="s">
        <v>39</v>
      </c>
      <c r="L12" s="23" t="s">
        <v>27</v>
      </c>
      <c r="M12" s="23" t="s">
        <v>81</v>
      </c>
      <c r="N12" s="33"/>
      <c r="O12" s="33"/>
      <c r="P12" s="33"/>
      <c r="Q12" s="1"/>
      <c r="R12" s="1"/>
    </row>
    <row r="13" ht="15.75" customHeight="1">
      <c r="A13" s="1"/>
      <c r="B13" s="15">
        <v>10.0</v>
      </c>
      <c r="C13" s="17" t="s">
        <v>97</v>
      </c>
      <c r="D13" s="19" t="s">
        <v>22</v>
      </c>
      <c r="E13" s="49"/>
      <c r="F13" s="41">
        <v>46274.0</v>
      </c>
      <c r="G13" s="34"/>
      <c r="H13" s="26">
        <v>100000.0</v>
      </c>
      <c r="I13" s="23" t="s">
        <v>25</v>
      </c>
      <c r="J13" s="15"/>
      <c r="K13" s="15"/>
      <c r="L13" s="23" t="s">
        <v>27</v>
      </c>
      <c r="M13" s="15"/>
      <c r="N13" s="33"/>
      <c r="O13" s="33"/>
      <c r="P13" s="33"/>
      <c r="Q13" s="1"/>
      <c r="R13" s="1"/>
    </row>
    <row r="14" ht="15.75" customHeight="1">
      <c r="A14" s="1"/>
      <c r="B14" s="15"/>
      <c r="C14" s="17" t="s">
        <v>102</v>
      </c>
      <c r="D14" s="19" t="s">
        <v>52</v>
      </c>
      <c r="E14" s="31"/>
      <c r="F14" s="41">
        <v>46269.0</v>
      </c>
      <c r="G14" s="42"/>
      <c r="H14" s="43">
        <v>100000.0</v>
      </c>
      <c r="I14" s="23" t="s">
        <v>25</v>
      </c>
      <c r="J14" s="15"/>
      <c r="K14" s="15"/>
      <c r="L14" s="23" t="s">
        <v>27</v>
      </c>
      <c r="M14" s="15"/>
      <c r="N14" s="33"/>
      <c r="O14" s="33"/>
      <c r="P14" s="33"/>
      <c r="Q14" s="1"/>
      <c r="R14" s="1"/>
    </row>
    <row r="15" ht="15.75" customHeight="1">
      <c r="A15" s="1"/>
      <c r="B15" s="15"/>
      <c r="C15" s="17" t="s">
        <v>106</v>
      </c>
      <c r="D15" s="19" t="s">
        <v>22</v>
      </c>
      <c r="E15" s="31"/>
      <c r="F15" s="41">
        <v>46266.0</v>
      </c>
      <c r="G15" s="42"/>
      <c r="H15" s="43">
        <v>320000.0</v>
      </c>
      <c r="I15" s="23" t="s">
        <v>32</v>
      </c>
      <c r="J15" s="15"/>
      <c r="K15" s="15"/>
      <c r="L15" s="15"/>
      <c r="M15" s="23" t="s">
        <v>81</v>
      </c>
      <c r="N15" s="33"/>
      <c r="O15" s="33"/>
      <c r="P15" s="33"/>
      <c r="Q15" s="1"/>
      <c r="R15" s="1"/>
    </row>
    <row r="16" ht="15.75" customHeight="1">
      <c r="A16" s="1"/>
      <c r="B16" s="15"/>
      <c r="C16" s="17" t="s">
        <v>110</v>
      </c>
      <c r="D16" s="19" t="s">
        <v>22</v>
      </c>
      <c r="E16" s="31"/>
      <c r="F16" s="41">
        <v>46266.0</v>
      </c>
      <c r="G16" s="50">
        <v>0.0</v>
      </c>
      <c r="H16" s="43">
        <v>0.0</v>
      </c>
      <c r="I16" s="23" t="s">
        <v>32</v>
      </c>
      <c r="J16" s="23" t="s">
        <v>39</v>
      </c>
      <c r="K16" s="23" t="s">
        <v>39</v>
      </c>
      <c r="L16" s="23" t="s">
        <v>27</v>
      </c>
      <c r="M16" s="23" t="s">
        <v>77</v>
      </c>
      <c r="N16" s="33"/>
      <c r="O16" s="33"/>
      <c r="P16" s="33"/>
      <c r="Q16" s="1"/>
      <c r="R16" s="1"/>
    </row>
    <row r="17" ht="15.75" customHeight="1">
      <c r="A17" s="1"/>
      <c r="B17" s="15"/>
      <c r="C17" s="60" t="s">
        <v>115</v>
      </c>
      <c r="D17" s="19" t="s">
        <v>100</v>
      </c>
      <c r="E17" s="31"/>
      <c r="F17" s="41">
        <v>46266.0</v>
      </c>
      <c r="G17" s="42"/>
      <c r="H17" s="43">
        <v>400000.0</v>
      </c>
      <c r="I17" s="23" t="s">
        <v>32</v>
      </c>
      <c r="J17" s="24" t="s">
        <v>39</v>
      </c>
      <c r="K17" s="24" t="s">
        <v>41</v>
      </c>
      <c r="L17" s="23" t="s">
        <v>117</v>
      </c>
      <c r="M17" s="23" t="s">
        <v>81</v>
      </c>
      <c r="N17" s="33"/>
      <c r="O17" s="33"/>
      <c r="P17" s="33"/>
      <c r="Q17" s="1"/>
      <c r="R17" s="1"/>
    </row>
    <row r="18" ht="15.75" customHeight="1">
      <c r="A18" s="1"/>
      <c r="B18" s="15"/>
      <c r="C18" s="61" t="s">
        <v>119</v>
      </c>
      <c r="D18" s="19" t="s">
        <v>22</v>
      </c>
      <c r="E18" s="31"/>
      <c r="F18" s="41">
        <v>46266.0</v>
      </c>
      <c r="G18" s="42"/>
      <c r="H18" s="43">
        <v>370000.0</v>
      </c>
      <c r="I18" s="23" t="s">
        <v>32</v>
      </c>
      <c r="J18" s="24" t="s">
        <v>39</v>
      </c>
      <c r="K18" s="24" t="s">
        <v>41</v>
      </c>
      <c r="L18" s="23" t="s">
        <v>117</v>
      </c>
      <c r="M18" s="23" t="s">
        <v>77</v>
      </c>
      <c r="N18" s="33"/>
      <c r="O18" s="33"/>
      <c r="P18" s="33"/>
      <c r="Q18" s="1"/>
      <c r="R18" s="1"/>
    </row>
    <row r="19" ht="15.75" customHeight="1">
      <c r="A19" s="1"/>
      <c r="B19" s="15"/>
      <c r="C19" s="17" t="s">
        <v>122</v>
      </c>
      <c r="D19" s="19" t="s">
        <v>22</v>
      </c>
      <c r="E19" s="31"/>
      <c r="F19" s="41">
        <v>46266.0</v>
      </c>
      <c r="G19" s="50">
        <v>290000.0</v>
      </c>
      <c r="H19" s="52"/>
      <c r="I19" s="23" t="s">
        <v>32</v>
      </c>
      <c r="J19" s="24" t="s">
        <v>39</v>
      </c>
      <c r="K19" s="24" t="s">
        <v>41</v>
      </c>
      <c r="L19" s="23" t="s">
        <v>117</v>
      </c>
      <c r="M19" s="23" t="s">
        <v>124</v>
      </c>
      <c r="N19" s="33"/>
      <c r="O19" s="33"/>
      <c r="P19" s="33"/>
      <c r="Q19" s="1"/>
      <c r="R19" s="1"/>
    </row>
    <row r="20" ht="15.75" customHeight="1">
      <c r="A20" s="1"/>
      <c r="B20" s="15"/>
      <c r="C20" s="17" t="s">
        <v>126</v>
      </c>
      <c r="D20" s="19" t="s">
        <v>22</v>
      </c>
      <c r="E20" s="31"/>
      <c r="F20" s="41">
        <v>46266.0</v>
      </c>
      <c r="G20" s="42"/>
      <c r="H20" s="43">
        <v>270000.0</v>
      </c>
      <c r="I20" s="23" t="s">
        <v>32</v>
      </c>
      <c r="J20" s="24" t="s">
        <v>39</v>
      </c>
      <c r="K20" s="24" t="s">
        <v>41</v>
      </c>
      <c r="L20" s="23" t="s">
        <v>117</v>
      </c>
      <c r="M20" s="23" t="s">
        <v>42</v>
      </c>
      <c r="N20" s="33"/>
      <c r="O20" s="33"/>
      <c r="P20" s="33"/>
      <c r="Q20" s="1"/>
      <c r="R20" s="1"/>
    </row>
    <row r="21" ht="15.75" customHeight="1">
      <c r="A21" s="1"/>
      <c r="B21" s="15"/>
      <c r="C21" s="17" t="s">
        <v>130</v>
      </c>
      <c r="D21" s="19" t="s">
        <v>22</v>
      </c>
      <c r="E21" s="31"/>
      <c r="F21" s="41">
        <v>46266.0</v>
      </c>
      <c r="G21" s="42"/>
      <c r="H21" s="43">
        <v>250000.0</v>
      </c>
      <c r="I21" s="23" t="s">
        <v>32</v>
      </c>
      <c r="J21" s="24" t="s">
        <v>39</v>
      </c>
      <c r="K21" s="24" t="s">
        <v>41</v>
      </c>
      <c r="L21" s="23" t="s">
        <v>117</v>
      </c>
      <c r="M21" s="23" t="s">
        <v>124</v>
      </c>
      <c r="N21" s="33"/>
      <c r="O21" s="33"/>
      <c r="P21" s="33"/>
      <c r="Q21" s="1"/>
      <c r="R21" s="1"/>
    </row>
    <row r="22" ht="15.75" customHeight="1">
      <c r="A22" s="1"/>
      <c r="B22" s="15"/>
      <c r="C22" s="17" t="s">
        <v>132</v>
      </c>
      <c r="D22" s="19" t="s">
        <v>22</v>
      </c>
      <c r="E22" s="31"/>
      <c r="F22" s="41">
        <v>46266.0</v>
      </c>
      <c r="G22" s="42"/>
      <c r="H22" s="43">
        <v>250000.0</v>
      </c>
      <c r="I22" s="23" t="s">
        <v>32</v>
      </c>
      <c r="J22" s="24" t="s">
        <v>39</v>
      </c>
      <c r="K22" s="24" t="s">
        <v>41</v>
      </c>
      <c r="L22" s="23" t="s">
        <v>117</v>
      </c>
      <c r="M22" s="23" t="s">
        <v>124</v>
      </c>
      <c r="N22" s="33"/>
      <c r="O22" s="33"/>
      <c r="P22" s="33"/>
      <c r="Q22" s="1"/>
      <c r="R22" s="1"/>
    </row>
    <row r="23" ht="15.75" customHeight="1">
      <c r="A23" s="1"/>
      <c r="B23" s="14"/>
      <c r="C23" s="16" t="s">
        <v>134</v>
      </c>
      <c r="D23" s="19" t="s">
        <v>22</v>
      </c>
      <c r="E23" s="15"/>
      <c r="F23" s="41">
        <v>46266.0</v>
      </c>
      <c r="G23" s="65"/>
      <c r="H23" s="22">
        <v>250000.0</v>
      </c>
      <c r="I23" s="23" t="s">
        <v>32</v>
      </c>
      <c r="J23" s="24" t="s">
        <v>39</v>
      </c>
      <c r="K23" s="24" t="s">
        <v>41</v>
      </c>
      <c r="L23" s="23" t="s">
        <v>117</v>
      </c>
      <c r="M23" s="24" t="s">
        <v>77</v>
      </c>
      <c r="N23" s="33"/>
      <c r="O23" s="33"/>
      <c r="P23" s="33"/>
      <c r="Q23" s="1"/>
      <c r="R23" s="1"/>
    </row>
    <row r="24" ht="15.75" customHeight="1">
      <c r="A24" s="1"/>
      <c r="B24" s="14"/>
      <c r="C24" s="16" t="s">
        <v>138</v>
      </c>
      <c r="D24" s="19" t="s">
        <v>22</v>
      </c>
      <c r="E24" s="15"/>
      <c r="F24" s="41">
        <v>46266.0</v>
      </c>
      <c r="G24" s="65"/>
      <c r="H24" s="22">
        <v>250000.0</v>
      </c>
      <c r="I24" s="23" t="s">
        <v>32</v>
      </c>
      <c r="J24" s="24" t="s">
        <v>39</v>
      </c>
      <c r="K24" s="24" t="s">
        <v>41</v>
      </c>
      <c r="L24" s="23" t="s">
        <v>117</v>
      </c>
      <c r="M24" s="24" t="s">
        <v>139</v>
      </c>
      <c r="N24" s="33"/>
      <c r="O24" s="33"/>
      <c r="P24" s="33"/>
      <c r="Q24" s="1"/>
      <c r="R24" s="1"/>
    </row>
    <row r="25" ht="15.75" customHeight="1">
      <c r="A25" s="1"/>
      <c r="B25" s="14"/>
      <c r="C25" s="16" t="s">
        <v>142</v>
      </c>
      <c r="D25" s="19" t="s">
        <v>22</v>
      </c>
      <c r="E25" s="15"/>
      <c r="F25" s="41">
        <v>46266.0</v>
      </c>
      <c r="G25" s="68">
        <v>20000.0</v>
      </c>
      <c r="H25" s="54"/>
      <c r="I25" s="23" t="s">
        <v>32</v>
      </c>
      <c r="J25" s="24" t="s">
        <v>39</v>
      </c>
      <c r="K25" s="24" t="s">
        <v>41</v>
      </c>
      <c r="L25" s="23" t="s">
        <v>117</v>
      </c>
      <c r="M25" s="24" t="s">
        <v>81</v>
      </c>
      <c r="N25" s="33"/>
      <c r="O25" s="33"/>
      <c r="P25" s="33"/>
      <c r="Q25" s="1"/>
      <c r="R25" s="1"/>
    </row>
    <row r="26" ht="15.75" customHeight="1">
      <c r="A26" s="1"/>
      <c r="B26" s="14"/>
      <c r="C26" s="16" t="s">
        <v>144</v>
      </c>
      <c r="D26" s="19" t="s">
        <v>22</v>
      </c>
      <c r="E26" s="15"/>
      <c r="F26" s="41">
        <v>46266.0</v>
      </c>
      <c r="G26" s="68">
        <v>250000.0</v>
      </c>
      <c r="H26" s="54"/>
      <c r="I26" s="23" t="s">
        <v>32</v>
      </c>
      <c r="J26" s="24" t="s">
        <v>39</v>
      </c>
      <c r="K26" s="24" t="s">
        <v>39</v>
      </c>
      <c r="L26" s="23" t="s">
        <v>117</v>
      </c>
      <c r="M26" s="24" t="s">
        <v>124</v>
      </c>
      <c r="N26" s="33"/>
      <c r="O26" s="33"/>
      <c r="P26" s="33"/>
      <c r="Q26" s="1"/>
      <c r="R26" s="1"/>
    </row>
    <row r="27" ht="15.75" customHeight="1">
      <c r="A27" s="1"/>
      <c r="B27" s="14"/>
      <c r="C27" s="16" t="s">
        <v>147</v>
      </c>
      <c r="D27" s="19" t="s">
        <v>22</v>
      </c>
      <c r="E27" s="15"/>
      <c r="F27" s="41">
        <v>46266.0</v>
      </c>
      <c r="G27" s="68">
        <v>80000.0</v>
      </c>
      <c r="H27" s="54"/>
      <c r="I27" s="23" t="s">
        <v>32</v>
      </c>
      <c r="J27" s="24" t="s">
        <v>39</v>
      </c>
      <c r="K27" s="24" t="s">
        <v>41</v>
      </c>
      <c r="L27" s="23" t="s">
        <v>117</v>
      </c>
      <c r="M27" s="24" t="s">
        <v>139</v>
      </c>
      <c r="N27" s="33"/>
      <c r="O27" s="33"/>
      <c r="P27" s="33"/>
      <c r="Q27" s="1"/>
      <c r="R27" s="1"/>
    </row>
    <row r="28" ht="15.75" customHeight="1">
      <c r="A28" s="1"/>
      <c r="B28" s="14"/>
      <c r="C28" s="16" t="s">
        <v>150</v>
      </c>
      <c r="D28" s="19" t="s">
        <v>22</v>
      </c>
      <c r="E28" s="15"/>
      <c r="F28" s="41">
        <v>46266.0</v>
      </c>
      <c r="G28" s="65"/>
      <c r="H28" s="22">
        <v>150000.0</v>
      </c>
      <c r="I28" s="23" t="s">
        <v>32</v>
      </c>
      <c r="J28" s="24" t="s">
        <v>39</v>
      </c>
      <c r="K28" s="24" t="s">
        <v>41</v>
      </c>
      <c r="L28" s="23" t="s">
        <v>117</v>
      </c>
      <c r="M28" s="24" t="s">
        <v>81</v>
      </c>
      <c r="N28" s="33"/>
      <c r="O28" s="33"/>
      <c r="P28" s="33"/>
      <c r="Q28" s="1"/>
      <c r="R28" s="1"/>
    </row>
    <row r="29" ht="15.75" customHeight="1">
      <c r="A29" s="1"/>
      <c r="B29" s="14"/>
      <c r="C29" s="16" t="s">
        <v>153</v>
      </c>
      <c r="D29" s="19" t="s">
        <v>22</v>
      </c>
      <c r="E29" s="15"/>
      <c r="F29" s="41">
        <v>46266.0</v>
      </c>
      <c r="G29" s="68">
        <v>250000.0</v>
      </c>
      <c r="H29" s="54"/>
      <c r="I29" s="23" t="s">
        <v>32</v>
      </c>
      <c r="J29" s="24" t="s">
        <v>39</v>
      </c>
      <c r="K29" s="24" t="s">
        <v>41</v>
      </c>
      <c r="L29" s="23" t="s">
        <v>117</v>
      </c>
      <c r="M29" s="24" t="s">
        <v>77</v>
      </c>
      <c r="N29" s="33"/>
      <c r="O29" s="33"/>
      <c r="P29" s="33"/>
      <c r="Q29" s="1"/>
      <c r="R29" s="1"/>
    </row>
    <row r="30" ht="15.75" customHeight="1">
      <c r="A30" s="1"/>
      <c r="B30" s="14"/>
      <c r="C30" s="16" t="s">
        <v>156</v>
      </c>
      <c r="D30" s="19" t="s">
        <v>70</v>
      </c>
      <c r="E30" s="15"/>
      <c r="F30" s="41">
        <v>46266.0</v>
      </c>
      <c r="G30" s="65"/>
      <c r="H30" s="22">
        <v>100000.0</v>
      </c>
      <c r="I30" s="23" t="s">
        <v>32</v>
      </c>
      <c r="J30" s="24" t="s">
        <v>39</v>
      </c>
      <c r="K30" s="24" t="s">
        <v>55</v>
      </c>
      <c r="L30" s="23" t="s">
        <v>27</v>
      </c>
      <c r="M30" s="24" t="s">
        <v>81</v>
      </c>
      <c r="N30" s="33"/>
      <c r="O30" s="33"/>
      <c r="P30" s="33"/>
      <c r="Q30" s="1"/>
      <c r="R30" s="1"/>
    </row>
    <row r="31" ht="15.75" customHeight="1">
      <c r="A31" s="1"/>
      <c r="B31" s="14"/>
      <c r="C31" s="16" t="s">
        <v>159</v>
      </c>
      <c r="D31" s="17" t="s">
        <v>22</v>
      </c>
      <c r="E31" s="15"/>
      <c r="F31" s="40">
        <v>46267.0</v>
      </c>
      <c r="G31" s="65"/>
      <c r="H31" s="22">
        <v>100000.0</v>
      </c>
      <c r="I31" s="24" t="s">
        <v>25</v>
      </c>
      <c r="J31" s="24" t="s">
        <v>39</v>
      </c>
      <c r="K31" s="24" t="s">
        <v>41</v>
      </c>
      <c r="L31" s="24" t="s">
        <v>27</v>
      </c>
      <c r="M31" s="24"/>
      <c r="N31" s="33"/>
      <c r="O31" s="33"/>
      <c r="P31" s="33"/>
      <c r="Q31" s="1"/>
      <c r="R31" s="1"/>
    </row>
    <row r="32" ht="15.75" customHeight="1">
      <c r="A32" s="1"/>
      <c r="B32" s="14"/>
      <c r="C32" s="16" t="s">
        <v>162</v>
      </c>
      <c r="D32" s="17" t="s">
        <v>22</v>
      </c>
      <c r="E32" s="15"/>
      <c r="F32" s="24" t="s">
        <v>60</v>
      </c>
      <c r="G32" s="65"/>
      <c r="H32" s="22">
        <v>100000.0</v>
      </c>
      <c r="I32" s="24" t="s">
        <v>25</v>
      </c>
      <c r="J32" s="24" t="s">
        <v>39</v>
      </c>
      <c r="K32" s="24" t="s">
        <v>41</v>
      </c>
      <c r="L32" s="24" t="s">
        <v>27</v>
      </c>
      <c r="M32" s="24"/>
      <c r="N32" s="33"/>
      <c r="O32" s="33"/>
      <c r="P32" s="33"/>
      <c r="Q32" s="1"/>
      <c r="R32" s="1"/>
    </row>
    <row r="33" ht="15.75" customHeight="1">
      <c r="A33" s="1"/>
      <c r="B33" s="14"/>
      <c r="C33" s="87" t="s">
        <v>165</v>
      </c>
      <c r="D33" s="17" t="s">
        <v>22</v>
      </c>
      <c r="E33" s="15"/>
      <c r="F33" s="24" t="s">
        <v>166</v>
      </c>
      <c r="G33" s="65"/>
      <c r="H33" s="22">
        <v>250000.0</v>
      </c>
      <c r="I33" s="24" t="s">
        <v>32</v>
      </c>
      <c r="J33" s="24" t="s">
        <v>39</v>
      </c>
      <c r="K33" s="24" t="s">
        <v>41</v>
      </c>
      <c r="L33" s="24" t="s">
        <v>27</v>
      </c>
      <c r="M33" s="24" t="s">
        <v>124</v>
      </c>
      <c r="N33" s="33"/>
      <c r="O33" s="33"/>
      <c r="P33" s="33"/>
      <c r="Q33" s="1"/>
      <c r="R33" s="1"/>
    </row>
    <row r="34" ht="15.75" customHeight="1">
      <c r="A34" s="1"/>
      <c r="B34" s="14"/>
      <c r="C34" s="87" t="s">
        <v>169</v>
      </c>
      <c r="D34" s="17" t="s">
        <v>22</v>
      </c>
      <c r="E34" s="15"/>
      <c r="F34" s="24" t="s">
        <v>166</v>
      </c>
      <c r="G34" s="65"/>
      <c r="H34" s="22">
        <v>250000.0</v>
      </c>
      <c r="I34" s="24" t="s">
        <v>32</v>
      </c>
      <c r="J34" s="24" t="s">
        <v>39</v>
      </c>
      <c r="K34" s="24" t="s">
        <v>41</v>
      </c>
      <c r="L34" s="24" t="s">
        <v>27</v>
      </c>
      <c r="M34" s="24" t="s">
        <v>77</v>
      </c>
      <c r="N34" s="33"/>
      <c r="O34" s="33"/>
      <c r="P34" s="33"/>
      <c r="Q34" s="1"/>
      <c r="R34" s="1"/>
    </row>
    <row r="35" ht="15.75" customHeight="1">
      <c r="A35" s="1"/>
      <c r="B35" s="14"/>
      <c r="C35" s="16" t="s">
        <v>175</v>
      </c>
      <c r="D35" s="17" t="s">
        <v>22</v>
      </c>
      <c r="E35" s="15"/>
      <c r="F35" s="24" t="s">
        <v>60</v>
      </c>
      <c r="G35" s="65"/>
      <c r="H35" s="22">
        <v>100000.0</v>
      </c>
      <c r="I35" s="24" t="s">
        <v>25</v>
      </c>
      <c r="J35" s="14"/>
      <c r="K35" s="14"/>
      <c r="L35" s="24" t="s">
        <v>27</v>
      </c>
      <c r="M35" s="24"/>
      <c r="N35" s="33"/>
      <c r="O35" s="33"/>
      <c r="P35" s="33"/>
      <c r="Q35" s="1"/>
      <c r="R35" s="1"/>
    </row>
    <row r="36" ht="15.75" customHeight="1">
      <c r="A36" s="1"/>
      <c r="B36" s="14"/>
      <c r="C36" s="16" t="s">
        <v>92</v>
      </c>
      <c r="D36" s="17" t="s">
        <v>23</v>
      </c>
      <c r="E36" s="15"/>
      <c r="F36" s="24" t="s">
        <v>24</v>
      </c>
      <c r="G36" s="65"/>
      <c r="H36" s="22">
        <v>100000.0</v>
      </c>
      <c r="I36" s="24" t="s">
        <v>25</v>
      </c>
      <c r="J36" s="14"/>
      <c r="K36" s="14"/>
      <c r="L36" s="24" t="s">
        <v>27</v>
      </c>
      <c r="M36" s="24" t="s">
        <v>77</v>
      </c>
      <c r="N36" s="33"/>
      <c r="O36" s="33"/>
      <c r="P36" s="33"/>
      <c r="Q36" s="1"/>
      <c r="R36" s="1"/>
    </row>
    <row r="37" ht="15.75" customHeight="1">
      <c r="A37" s="1"/>
      <c r="B37" s="14"/>
      <c r="C37" s="16" t="s">
        <v>183</v>
      </c>
      <c r="D37" s="17" t="s">
        <v>22</v>
      </c>
      <c r="E37" s="15"/>
      <c r="F37" s="24" t="s">
        <v>166</v>
      </c>
      <c r="G37" s="65"/>
      <c r="H37" s="22">
        <v>250000.0</v>
      </c>
      <c r="I37" s="24" t="s">
        <v>32</v>
      </c>
      <c r="J37" s="24" t="s">
        <v>39</v>
      </c>
      <c r="K37" s="24" t="s">
        <v>41</v>
      </c>
      <c r="L37" s="24" t="s">
        <v>27</v>
      </c>
      <c r="M37" s="24" t="s">
        <v>139</v>
      </c>
      <c r="N37" s="33"/>
      <c r="O37" s="33"/>
      <c r="P37" s="33"/>
      <c r="Q37" s="1"/>
      <c r="R37" s="1"/>
    </row>
    <row r="38" ht="15.75" customHeight="1">
      <c r="A38" s="1"/>
      <c r="B38" s="14"/>
      <c r="C38" s="16" t="s">
        <v>185</v>
      </c>
      <c r="D38" s="17" t="s">
        <v>22</v>
      </c>
      <c r="E38" s="15"/>
      <c r="F38" s="24" t="s">
        <v>186</v>
      </c>
      <c r="G38" s="65"/>
      <c r="H38" s="22">
        <v>100000.0</v>
      </c>
      <c r="I38" s="24" t="s">
        <v>25</v>
      </c>
      <c r="J38" s="14"/>
      <c r="K38" s="14"/>
      <c r="L38" s="24" t="s">
        <v>27</v>
      </c>
      <c r="M38" s="14"/>
      <c r="N38" s="33"/>
      <c r="O38" s="33"/>
      <c r="P38" s="33"/>
      <c r="Q38" s="1"/>
      <c r="R38" s="1"/>
    </row>
    <row r="39" ht="15.75" customHeight="1">
      <c r="A39" s="1"/>
      <c r="B39" s="14"/>
      <c r="C39" s="16" t="s">
        <v>188</v>
      </c>
      <c r="D39" s="17" t="s">
        <v>22</v>
      </c>
      <c r="E39" s="15"/>
      <c r="F39" s="24" t="s">
        <v>166</v>
      </c>
      <c r="G39" s="68">
        <v>310000.0</v>
      </c>
      <c r="H39" s="22"/>
      <c r="I39" s="24" t="s">
        <v>32</v>
      </c>
      <c r="J39" s="24" t="s">
        <v>39</v>
      </c>
      <c r="K39" s="24" t="s">
        <v>41</v>
      </c>
      <c r="L39" s="24" t="s">
        <v>27</v>
      </c>
      <c r="M39" s="24" t="s">
        <v>139</v>
      </c>
      <c r="N39" s="33"/>
      <c r="O39" s="33"/>
      <c r="P39" s="33"/>
      <c r="Q39" s="1"/>
      <c r="R39" s="1"/>
    </row>
    <row r="40" ht="15.75" customHeight="1">
      <c r="A40" s="1"/>
      <c r="B40" s="14"/>
      <c r="C40" s="16" t="s">
        <v>190</v>
      </c>
      <c r="D40" s="17" t="s">
        <v>22</v>
      </c>
      <c r="E40" s="15"/>
      <c r="F40" s="24" t="s">
        <v>33</v>
      </c>
      <c r="G40" s="65"/>
      <c r="H40" s="22">
        <v>350000.0</v>
      </c>
      <c r="I40" s="24" t="s">
        <v>32</v>
      </c>
      <c r="J40" s="14"/>
      <c r="K40" s="14"/>
      <c r="L40" s="24" t="s">
        <v>27</v>
      </c>
      <c r="M40" s="14"/>
      <c r="N40" s="33"/>
      <c r="O40" s="33"/>
      <c r="P40" s="33"/>
      <c r="Q40" s="1"/>
      <c r="R40" s="1"/>
    </row>
    <row r="41" ht="15.75" customHeight="1">
      <c r="A41" s="1"/>
      <c r="B41" s="14"/>
      <c r="C41" s="16" t="s">
        <v>192</v>
      </c>
      <c r="D41" s="17" t="s">
        <v>22</v>
      </c>
      <c r="E41" s="15"/>
      <c r="F41" s="40">
        <v>46273.0</v>
      </c>
      <c r="G41" s="65"/>
      <c r="H41" s="22">
        <v>100000.0</v>
      </c>
      <c r="I41" s="24" t="s">
        <v>25</v>
      </c>
      <c r="J41" s="14"/>
      <c r="K41" s="14"/>
      <c r="L41" s="24" t="s">
        <v>26</v>
      </c>
      <c r="M41" s="14"/>
      <c r="N41" s="33"/>
      <c r="O41" s="33"/>
      <c r="P41" s="33"/>
      <c r="Q41" s="1"/>
      <c r="R41" s="1"/>
    </row>
    <row r="42" ht="15.75" customHeight="1">
      <c r="A42" s="1"/>
      <c r="B42" s="14"/>
      <c r="C42" s="16" t="s">
        <v>194</v>
      </c>
      <c r="D42" s="17" t="s">
        <v>100</v>
      </c>
      <c r="E42" s="15"/>
      <c r="F42" s="40">
        <v>46273.0</v>
      </c>
      <c r="G42" s="65"/>
      <c r="H42" s="22">
        <v>300000.0</v>
      </c>
      <c r="I42" s="24" t="s">
        <v>25</v>
      </c>
      <c r="J42" s="14"/>
      <c r="K42" s="14"/>
      <c r="L42" s="24" t="s">
        <v>26</v>
      </c>
      <c r="M42" s="14"/>
      <c r="N42" s="33"/>
      <c r="O42" s="33"/>
      <c r="P42" s="33"/>
      <c r="Q42" s="1"/>
      <c r="R42" s="1"/>
    </row>
    <row r="43" ht="15.75" customHeight="1">
      <c r="A43" s="1"/>
      <c r="B43" s="14"/>
      <c r="C43" s="16" t="s">
        <v>196</v>
      </c>
      <c r="D43" s="17" t="s">
        <v>100</v>
      </c>
      <c r="E43" s="15"/>
      <c r="F43" s="40">
        <v>46273.0</v>
      </c>
      <c r="G43" s="65"/>
      <c r="H43" s="22">
        <v>100000.0</v>
      </c>
      <c r="I43" s="24" t="s">
        <v>25</v>
      </c>
      <c r="J43" s="14"/>
      <c r="K43" s="14"/>
      <c r="L43" s="24" t="s">
        <v>26</v>
      </c>
      <c r="M43" s="14"/>
      <c r="N43" s="33"/>
      <c r="O43" s="33"/>
      <c r="P43" s="33"/>
      <c r="Q43" s="1"/>
      <c r="R43" s="1"/>
    </row>
    <row r="44" ht="15.75" customHeight="1">
      <c r="A44" s="1"/>
      <c r="B44" s="14"/>
      <c r="C44" s="16" t="s">
        <v>198</v>
      </c>
      <c r="D44" s="17" t="s">
        <v>22</v>
      </c>
      <c r="E44" s="15"/>
      <c r="F44" s="40">
        <v>46273.0</v>
      </c>
      <c r="G44" s="65"/>
      <c r="H44" s="22">
        <v>100000.0</v>
      </c>
      <c r="I44" s="24" t="s">
        <v>25</v>
      </c>
      <c r="J44" s="14"/>
      <c r="K44" s="14"/>
      <c r="L44" s="24" t="s">
        <v>26</v>
      </c>
      <c r="M44" s="14"/>
      <c r="N44" s="33"/>
      <c r="O44" s="33"/>
      <c r="P44" s="33"/>
      <c r="Q44" s="1"/>
      <c r="R44" s="1"/>
    </row>
    <row r="45" ht="15.75" customHeight="1">
      <c r="A45" s="1"/>
      <c r="B45" s="14"/>
      <c r="C45" s="16" t="s">
        <v>200</v>
      </c>
      <c r="D45" s="17" t="s">
        <v>22</v>
      </c>
      <c r="E45" s="15"/>
      <c r="F45" s="40">
        <v>46274.0</v>
      </c>
      <c r="G45" s="65"/>
      <c r="H45" s="22">
        <v>100000.0</v>
      </c>
      <c r="I45" s="24" t="s">
        <v>25</v>
      </c>
      <c r="J45" s="14"/>
      <c r="K45" s="14"/>
      <c r="L45" s="24" t="s">
        <v>26</v>
      </c>
      <c r="M45" s="14"/>
      <c r="N45" s="33"/>
      <c r="O45" s="33"/>
      <c r="P45" s="33"/>
      <c r="Q45" s="1"/>
      <c r="R45" s="1"/>
    </row>
    <row r="46" ht="15.75" customHeight="1">
      <c r="A46" s="1"/>
      <c r="B46" s="14"/>
      <c r="C46" s="16" t="s">
        <v>202</v>
      </c>
      <c r="D46" s="17" t="s">
        <v>22</v>
      </c>
      <c r="E46" s="15"/>
      <c r="F46" s="40">
        <v>46273.0</v>
      </c>
      <c r="G46" s="65"/>
      <c r="H46" s="22">
        <v>100000.0</v>
      </c>
      <c r="I46" s="24" t="s">
        <v>25</v>
      </c>
      <c r="J46" s="14"/>
      <c r="K46" s="14"/>
      <c r="L46" s="24" t="s">
        <v>26</v>
      </c>
      <c r="M46" s="14"/>
      <c r="N46" s="33"/>
      <c r="O46" s="33"/>
      <c r="P46" s="33"/>
      <c r="Q46" s="1"/>
      <c r="R46" s="1"/>
    </row>
    <row r="47" ht="15.75" customHeight="1">
      <c r="A47" s="1"/>
      <c r="B47" s="14"/>
      <c r="C47" s="16" t="s">
        <v>204</v>
      </c>
      <c r="D47" s="17" t="s">
        <v>22</v>
      </c>
      <c r="E47" s="15"/>
      <c r="F47" s="24" t="s">
        <v>72</v>
      </c>
      <c r="G47" s="65"/>
      <c r="H47" s="22">
        <v>100000.0</v>
      </c>
      <c r="I47" s="24" t="s">
        <v>25</v>
      </c>
      <c r="J47" s="14"/>
      <c r="K47" s="14"/>
      <c r="L47" s="24" t="s">
        <v>27</v>
      </c>
      <c r="M47" s="14"/>
      <c r="N47" s="33"/>
      <c r="O47" s="33"/>
      <c r="P47" s="33"/>
      <c r="Q47" s="1"/>
      <c r="R47" s="1"/>
    </row>
    <row r="48" ht="15.75" customHeight="1">
      <c r="A48" s="1"/>
      <c r="B48" s="14"/>
      <c r="C48" s="16" t="s">
        <v>197</v>
      </c>
      <c r="D48" s="17" t="s">
        <v>22</v>
      </c>
      <c r="E48" s="15"/>
      <c r="F48" s="24" t="s">
        <v>78</v>
      </c>
      <c r="G48" s="65"/>
      <c r="H48" s="22">
        <v>100000.0</v>
      </c>
      <c r="I48" s="24" t="s">
        <v>25</v>
      </c>
      <c r="J48" s="14"/>
      <c r="K48" s="14"/>
      <c r="L48" s="24" t="s">
        <v>27</v>
      </c>
      <c r="M48" s="14"/>
      <c r="N48" s="33"/>
      <c r="O48" s="33"/>
      <c r="P48" s="33"/>
      <c r="Q48" s="1"/>
      <c r="R48" s="1"/>
    </row>
    <row r="49" ht="15.75" customHeight="1">
      <c r="A49" s="1"/>
      <c r="B49" s="14"/>
      <c r="C49" s="63"/>
      <c r="D49" s="97"/>
      <c r="E49" s="15"/>
      <c r="F49" s="14"/>
      <c r="G49" s="65"/>
      <c r="H49" s="54"/>
      <c r="I49" s="14"/>
      <c r="J49" s="14"/>
      <c r="K49" s="14"/>
      <c r="L49" s="14"/>
      <c r="M49" s="14"/>
      <c r="N49" s="33"/>
      <c r="O49" s="33"/>
      <c r="P49" s="33"/>
      <c r="Q49" s="1"/>
      <c r="R49" s="1"/>
    </row>
    <row r="50" ht="15.75" customHeight="1">
      <c r="A50" s="1"/>
      <c r="B50" s="14"/>
      <c r="C50" s="63"/>
      <c r="D50" s="97"/>
      <c r="E50" s="15"/>
      <c r="F50" s="14"/>
      <c r="G50" s="65"/>
      <c r="H50" s="54"/>
      <c r="I50" s="14"/>
      <c r="J50" s="14"/>
      <c r="K50" s="14"/>
      <c r="L50" s="14"/>
      <c r="M50" s="14"/>
      <c r="N50" s="33"/>
      <c r="O50" s="33"/>
      <c r="P50" s="33"/>
      <c r="Q50" s="1"/>
      <c r="R50" s="1"/>
    </row>
    <row r="51" ht="15.75" customHeight="1">
      <c r="A51" s="1"/>
      <c r="B51" s="14"/>
      <c r="C51" s="63"/>
      <c r="D51" s="97"/>
      <c r="E51" s="15"/>
      <c r="F51" s="14"/>
      <c r="G51" s="65"/>
      <c r="H51" s="54"/>
      <c r="I51" s="14"/>
      <c r="J51" s="14"/>
      <c r="K51" s="14"/>
      <c r="L51" s="14"/>
      <c r="M51" s="14"/>
      <c r="N51" s="33"/>
      <c r="O51" s="33"/>
      <c r="P51" s="33"/>
      <c r="Q51" s="1"/>
      <c r="R51" s="1"/>
    </row>
    <row r="52" ht="15.75" customHeight="1">
      <c r="A52" s="1"/>
      <c r="B52" s="14"/>
      <c r="C52" s="63"/>
      <c r="D52" s="97"/>
      <c r="E52" s="15"/>
      <c r="F52" s="14"/>
      <c r="G52" s="65"/>
      <c r="H52" s="54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1780000</v>
      </c>
      <c r="H53" s="67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145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146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149</v>
      </c>
      <c r="D57" s="73">
        <f>SUM(G53)</f>
        <v>1780000</v>
      </c>
      <c r="E57" s="74"/>
      <c r="F57" s="1"/>
      <c r="G57" s="1"/>
      <c r="H57" s="1"/>
      <c r="I57" s="1"/>
      <c r="J57" s="1"/>
      <c r="K57" s="1"/>
      <c r="L57" s="105" t="s">
        <v>216</v>
      </c>
      <c r="M57" s="1"/>
      <c r="N57" s="75" t="s">
        <v>151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09" t="s">
        <v>220</v>
      </c>
      <c r="D58" s="111">
        <v>-67000.0</v>
      </c>
      <c r="E58" s="74"/>
      <c r="F58" s="1"/>
      <c r="G58" s="1"/>
      <c r="H58" s="1"/>
      <c r="I58" s="1"/>
      <c r="J58" s="1"/>
      <c r="K58" s="1"/>
      <c r="L58" s="105" t="s">
        <v>222</v>
      </c>
      <c r="M58" s="1"/>
      <c r="N58" s="80" t="s">
        <v>157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13"/>
      <c r="D59" s="114"/>
      <c r="E59" s="74"/>
      <c r="F59" s="1"/>
      <c r="G59" s="1"/>
      <c r="H59" s="1"/>
      <c r="I59" s="1"/>
      <c r="J59" s="1"/>
      <c r="K59" s="1"/>
      <c r="L59" s="1"/>
      <c r="M59" s="1"/>
      <c r="N59" s="82" t="s">
        <v>160</v>
      </c>
      <c r="O59" s="83" t="s">
        <v>81</v>
      </c>
      <c r="P59" s="1"/>
      <c r="Q59" s="1"/>
      <c r="R59" s="1"/>
    </row>
    <row r="60" ht="15.75" customHeight="1">
      <c r="A60" s="1"/>
      <c r="B60" s="77">
        <v>4.0</v>
      </c>
      <c r="C60" s="78" t="s">
        <v>154</v>
      </c>
      <c r="D60" s="79">
        <v>-26000.0</v>
      </c>
      <c r="E60" s="74"/>
      <c r="F60" s="116">
        <f>D58+D61</f>
        <v>-307000</v>
      </c>
      <c r="G60" s="1"/>
      <c r="H60" s="1"/>
      <c r="I60" s="1"/>
      <c r="J60" s="1"/>
      <c r="K60" s="1"/>
      <c r="L60" s="1"/>
      <c r="M60" s="1"/>
      <c r="N60" s="86" t="s">
        <v>163</v>
      </c>
      <c r="O60" s="81" t="s">
        <v>42</v>
      </c>
      <c r="P60" s="1"/>
      <c r="Q60" s="1"/>
      <c r="R60" s="1"/>
    </row>
    <row r="61" ht="15.75" customHeight="1">
      <c r="A61" s="1"/>
      <c r="B61" s="71">
        <v>5.0</v>
      </c>
      <c r="C61" s="113" t="s">
        <v>228</v>
      </c>
      <c r="D61" s="114">
        <v>-240000.0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78"/>
      <c r="D62" s="79"/>
      <c r="E62" s="74"/>
      <c r="F62" s="1"/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173</v>
      </c>
      <c r="O63" s="90" t="s">
        <v>174</v>
      </c>
      <c r="P63" s="90" t="s">
        <v>176</v>
      </c>
      <c r="Q63" s="1"/>
      <c r="R63" s="1"/>
      <c r="AC63" s="91" t="s">
        <v>177</v>
      </c>
      <c r="AD63" s="91" t="s">
        <v>178</v>
      </c>
      <c r="AE63" s="91" t="s">
        <v>179</v>
      </c>
      <c r="AF63" s="91" t="s">
        <v>180</v>
      </c>
      <c r="AG63" s="91" t="s">
        <v>181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6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7" t="s">
        <v>218</v>
      </c>
    </row>
    <row r="78" ht="19.5" customHeight="1">
      <c r="K78" s="108" t="s">
        <v>219</v>
      </c>
      <c r="M78" s="106">
        <v>65.0</v>
      </c>
    </row>
    <row r="79" ht="19.5" customHeight="1">
      <c r="K79" s="110" t="s">
        <v>221</v>
      </c>
      <c r="M79" s="112">
        <f>COUNTIF($I$4:$I$55,"DP")</f>
        <v>22</v>
      </c>
    </row>
    <row r="80" ht="19.5" customHeight="1">
      <c r="K80" s="110" t="s">
        <v>223</v>
      </c>
      <c r="M80" s="112">
        <f>COUNTIFS($I$4:$I$55,"&lt;&gt;DP",$I$4:$I$55,"&lt;&gt;")</f>
        <v>23</v>
      </c>
    </row>
    <row r="81" ht="19.5" customHeight="1">
      <c r="K81" s="115" t="s">
        <v>224</v>
      </c>
      <c r="M81" s="112">
        <f>M79+M80</f>
        <v>45</v>
      </c>
    </row>
    <row r="82" ht="19.5" customHeight="1">
      <c r="K82" s="108" t="s">
        <v>226</v>
      </c>
      <c r="M82" s="118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19</v>
      </c>
      <c r="D4" s="19" t="s">
        <v>22</v>
      </c>
      <c r="E4" s="21"/>
      <c r="F4" s="30">
        <v>46274.0</v>
      </c>
      <c r="G4" s="25"/>
      <c r="H4" s="26">
        <v>100000.0</v>
      </c>
      <c r="I4" s="23" t="s">
        <v>25</v>
      </c>
      <c r="J4" s="15"/>
      <c r="K4" s="15"/>
      <c r="L4" s="23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4">
        <v>2.0</v>
      </c>
      <c r="C5" s="36" t="s">
        <v>34</v>
      </c>
      <c r="D5" s="19" t="s">
        <v>22</v>
      </c>
      <c r="E5" s="37"/>
      <c r="F5" s="23" t="s">
        <v>36</v>
      </c>
      <c r="G5" s="38"/>
      <c r="H5" s="39">
        <v>100000.0</v>
      </c>
      <c r="I5" s="23" t="s">
        <v>25</v>
      </c>
      <c r="J5" s="15"/>
      <c r="K5" s="15"/>
      <c r="L5" s="23" t="s">
        <v>27</v>
      </c>
      <c r="M5" s="15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45</v>
      </c>
      <c r="D6" s="19" t="s">
        <v>22</v>
      </c>
      <c r="E6" s="21"/>
      <c r="F6" s="41">
        <v>46273.0</v>
      </c>
      <c r="G6" s="25"/>
      <c r="H6" s="26">
        <v>100000.0</v>
      </c>
      <c r="I6" s="23" t="s">
        <v>25</v>
      </c>
      <c r="J6" s="15"/>
      <c r="K6" s="15"/>
      <c r="L6" s="23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50</v>
      </c>
      <c r="D7" s="19" t="s">
        <v>23</v>
      </c>
      <c r="E7" s="37"/>
      <c r="F7" s="30">
        <v>46269.0</v>
      </c>
      <c r="G7" s="25"/>
      <c r="H7" s="26">
        <v>100000.0</v>
      </c>
      <c r="I7" s="23" t="s">
        <v>25</v>
      </c>
      <c r="J7" s="15"/>
      <c r="K7" s="15"/>
      <c r="L7" s="23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45" t="s">
        <v>54</v>
      </c>
      <c r="D8" s="19" t="s">
        <v>48</v>
      </c>
      <c r="E8" s="21"/>
      <c r="F8" s="23" t="s">
        <v>56</v>
      </c>
      <c r="G8" s="38"/>
      <c r="H8" s="39">
        <v>100000.0</v>
      </c>
      <c r="I8" s="23" t="s">
        <v>25</v>
      </c>
      <c r="J8" s="15"/>
      <c r="K8" s="15"/>
      <c r="L8" s="23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62</v>
      </c>
      <c r="D9" s="19" t="s">
        <v>23</v>
      </c>
      <c r="E9" s="21"/>
      <c r="F9" s="23" t="s">
        <v>24</v>
      </c>
      <c r="G9" s="38"/>
      <c r="H9" s="39">
        <v>100000.0</v>
      </c>
      <c r="I9" s="23" t="s">
        <v>25</v>
      </c>
      <c r="J9" s="15"/>
      <c r="K9" s="15"/>
      <c r="L9" s="23" t="s">
        <v>27</v>
      </c>
      <c r="M9" s="15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66</v>
      </c>
      <c r="D10" s="19" t="s">
        <v>22</v>
      </c>
      <c r="E10" s="21"/>
      <c r="F10" s="23" t="s">
        <v>67</v>
      </c>
      <c r="G10" s="25"/>
      <c r="H10" s="26">
        <v>100000.0</v>
      </c>
      <c r="I10" s="23" t="s">
        <v>25</v>
      </c>
      <c r="J10" s="15"/>
      <c r="K10" s="15"/>
      <c r="L10" s="23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36" t="s">
        <v>71</v>
      </c>
      <c r="D11" s="19" t="s">
        <v>22</v>
      </c>
      <c r="E11" s="21"/>
      <c r="F11" s="23" t="s">
        <v>73</v>
      </c>
      <c r="G11" s="25"/>
      <c r="H11" s="26">
        <v>370000.0</v>
      </c>
      <c r="I11" s="23" t="s">
        <v>32</v>
      </c>
      <c r="J11" s="23" t="s">
        <v>39</v>
      </c>
      <c r="K11" s="23" t="s">
        <v>41</v>
      </c>
      <c r="L11" s="23" t="s">
        <v>27</v>
      </c>
      <c r="M11" s="23" t="s">
        <v>42</v>
      </c>
      <c r="N11" s="33"/>
      <c r="O11" s="33"/>
      <c r="P11" s="33"/>
      <c r="Q11" s="1"/>
      <c r="R11" s="1"/>
      <c r="S11" s="53"/>
    </row>
    <row r="12" ht="15.75" customHeight="1">
      <c r="A12" s="1"/>
      <c r="B12" s="14">
        <v>9.0</v>
      </c>
      <c r="C12" s="17" t="s">
        <v>76</v>
      </c>
      <c r="D12" s="19" t="s">
        <v>22</v>
      </c>
      <c r="E12" s="21"/>
      <c r="F12" s="23" t="s">
        <v>78</v>
      </c>
      <c r="G12" s="25"/>
      <c r="H12" s="26">
        <v>290000.0</v>
      </c>
      <c r="I12" s="23" t="s">
        <v>32</v>
      </c>
      <c r="J12" s="23" t="s">
        <v>39</v>
      </c>
      <c r="K12" s="23" t="s">
        <v>41</v>
      </c>
      <c r="L12" s="23" t="s">
        <v>27</v>
      </c>
      <c r="M12" s="23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36" t="s">
        <v>83</v>
      </c>
      <c r="D13" s="19" t="s">
        <v>22</v>
      </c>
      <c r="E13" s="21"/>
      <c r="F13" s="23" t="s">
        <v>78</v>
      </c>
      <c r="G13" s="25"/>
      <c r="H13" s="26">
        <v>280000.0</v>
      </c>
      <c r="I13" s="23" t="s">
        <v>32</v>
      </c>
      <c r="J13" s="23" t="s">
        <v>39</v>
      </c>
      <c r="K13" s="23" t="s">
        <v>41</v>
      </c>
      <c r="L13" s="23" t="s">
        <v>27</v>
      </c>
      <c r="M13" s="23" t="s">
        <v>77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55" t="s">
        <v>87</v>
      </c>
      <c r="D14" s="19" t="s">
        <v>22</v>
      </c>
      <c r="E14" s="21"/>
      <c r="F14" s="23" t="s">
        <v>78</v>
      </c>
      <c r="G14" s="56">
        <v>250000.0</v>
      </c>
      <c r="H14" s="57"/>
      <c r="I14" s="23" t="s">
        <v>32</v>
      </c>
      <c r="J14" s="23" t="s">
        <v>39</v>
      </c>
      <c r="K14" s="23" t="s">
        <v>41</v>
      </c>
      <c r="L14" s="23" t="s">
        <v>27</v>
      </c>
      <c r="M14" s="23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93</v>
      </c>
      <c r="D15" s="19" t="s">
        <v>22</v>
      </c>
      <c r="E15" s="21"/>
      <c r="F15" s="23" t="s">
        <v>78</v>
      </c>
      <c r="G15" s="56"/>
      <c r="H15" s="56">
        <v>410000.0</v>
      </c>
      <c r="I15" s="23" t="s">
        <v>32</v>
      </c>
      <c r="J15" s="23" t="s">
        <v>39</v>
      </c>
      <c r="K15" s="23" t="s">
        <v>41</v>
      </c>
      <c r="L15" s="23" t="s">
        <v>27</v>
      </c>
      <c r="M15" s="23" t="s">
        <v>77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98</v>
      </c>
      <c r="D16" s="19" t="s">
        <v>100</v>
      </c>
      <c r="E16" s="21"/>
      <c r="F16" s="23" t="s">
        <v>78</v>
      </c>
      <c r="G16" s="25"/>
      <c r="H16" s="26">
        <v>440000.0</v>
      </c>
      <c r="I16" s="23" t="s">
        <v>32</v>
      </c>
      <c r="J16" s="23" t="s">
        <v>39</v>
      </c>
      <c r="K16" s="23" t="s">
        <v>41</v>
      </c>
      <c r="L16" s="23" t="s">
        <v>27</v>
      </c>
      <c r="M16" s="23" t="s">
        <v>103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107</v>
      </c>
      <c r="D17" s="19" t="s">
        <v>22</v>
      </c>
      <c r="E17" s="21"/>
      <c r="F17" s="23" t="s">
        <v>78</v>
      </c>
      <c r="G17" s="56">
        <v>310000.0</v>
      </c>
      <c r="H17" s="57"/>
      <c r="I17" s="23" t="s">
        <v>32</v>
      </c>
      <c r="J17" s="23" t="s">
        <v>39</v>
      </c>
      <c r="K17" s="23" t="s">
        <v>41</v>
      </c>
      <c r="L17" s="23" t="s">
        <v>27</v>
      </c>
      <c r="M17" s="23" t="s">
        <v>81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113</v>
      </c>
      <c r="D18" s="19" t="s">
        <v>22</v>
      </c>
      <c r="E18" s="21"/>
      <c r="F18" s="23" t="s">
        <v>78</v>
      </c>
      <c r="G18" s="56">
        <v>290000.0</v>
      </c>
      <c r="H18" s="57"/>
      <c r="I18" s="23" t="s">
        <v>32</v>
      </c>
      <c r="J18" s="23" t="s">
        <v>39</v>
      </c>
      <c r="K18" s="23" t="s">
        <v>41</v>
      </c>
      <c r="L18" s="23" t="s">
        <v>27</v>
      </c>
      <c r="M18" s="23" t="s">
        <v>42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118</v>
      </c>
      <c r="D19" s="19" t="s">
        <v>22</v>
      </c>
      <c r="E19" s="21"/>
      <c r="F19" s="23" t="s">
        <v>78</v>
      </c>
      <c r="G19" s="25"/>
      <c r="H19" s="26">
        <v>290000.0</v>
      </c>
      <c r="I19" s="23" t="s">
        <v>32</v>
      </c>
      <c r="J19" s="23" t="s">
        <v>39</v>
      </c>
      <c r="K19" s="23" t="s">
        <v>41</v>
      </c>
      <c r="L19" s="23" t="s">
        <v>27</v>
      </c>
      <c r="M19" s="23" t="s">
        <v>103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123</v>
      </c>
      <c r="D20" s="19" t="s">
        <v>22</v>
      </c>
      <c r="E20" s="21"/>
      <c r="F20" s="23" t="s">
        <v>78</v>
      </c>
      <c r="G20" s="25"/>
      <c r="H20" s="26">
        <v>370000.0</v>
      </c>
      <c r="I20" s="23" t="s">
        <v>32</v>
      </c>
      <c r="J20" s="23" t="s">
        <v>39</v>
      </c>
      <c r="K20" s="23" t="s">
        <v>41</v>
      </c>
      <c r="L20" s="23" t="s">
        <v>27</v>
      </c>
      <c r="M20" s="23" t="s">
        <v>42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0" t="s">
        <v>127</v>
      </c>
      <c r="D21" s="19" t="s">
        <v>22</v>
      </c>
      <c r="E21" s="21"/>
      <c r="F21" s="23" t="s">
        <v>78</v>
      </c>
      <c r="G21" s="56">
        <v>310000.0</v>
      </c>
      <c r="H21" s="57"/>
      <c r="I21" s="23" t="s">
        <v>32</v>
      </c>
      <c r="J21" s="23" t="s">
        <v>39</v>
      </c>
      <c r="K21" s="23" t="s">
        <v>41</v>
      </c>
      <c r="L21" s="23" t="s">
        <v>27</v>
      </c>
      <c r="M21" s="23" t="s">
        <v>77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133</v>
      </c>
      <c r="D22" s="19" t="s">
        <v>22</v>
      </c>
      <c r="E22" s="21"/>
      <c r="F22" s="23" t="s">
        <v>33</v>
      </c>
      <c r="G22" s="25"/>
      <c r="H22" s="26">
        <v>100000.0</v>
      </c>
      <c r="I22" s="23" t="s">
        <v>25</v>
      </c>
      <c r="J22" s="15"/>
      <c r="K22" s="15"/>
      <c r="L22" s="23" t="s">
        <v>27</v>
      </c>
      <c r="M22" s="15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7" t="s">
        <v>135</v>
      </c>
      <c r="D23" s="19" t="s">
        <v>22</v>
      </c>
      <c r="E23" s="21"/>
      <c r="F23" s="23" t="s">
        <v>137</v>
      </c>
      <c r="G23" s="25"/>
      <c r="H23" s="26">
        <v>100000.0</v>
      </c>
      <c r="I23" s="23" t="s">
        <v>25</v>
      </c>
      <c r="J23" s="15"/>
      <c r="K23" s="15"/>
      <c r="L23" s="23" t="s">
        <v>27</v>
      </c>
      <c r="M23" s="15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36" t="s">
        <v>140</v>
      </c>
      <c r="D24" s="19" t="s">
        <v>22</v>
      </c>
      <c r="E24" s="21"/>
      <c r="F24" s="23" t="s">
        <v>78</v>
      </c>
      <c r="G24" s="25"/>
      <c r="H24" s="26">
        <v>270000.0</v>
      </c>
      <c r="I24" s="23" t="s">
        <v>32</v>
      </c>
      <c r="J24" s="23" t="s">
        <v>39</v>
      </c>
      <c r="K24" s="23" t="s">
        <v>41</v>
      </c>
      <c r="L24" s="23" t="s">
        <v>27</v>
      </c>
      <c r="M24" s="23" t="s">
        <v>103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143</v>
      </c>
      <c r="D25" s="19" t="s">
        <v>22</v>
      </c>
      <c r="E25" s="21"/>
      <c r="F25" s="23" t="s">
        <v>78</v>
      </c>
      <c r="G25" s="56">
        <v>270000.0</v>
      </c>
      <c r="H25" s="57"/>
      <c r="I25" s="23" t="s">
        <v>32</v>
      </c>
      <c r="J25" s="23" t="s">
        <v>39</v>
      </c>
      <c r="K25" s="23" t="s">
        <v>41</v>
      </c>
      <c r="L25" s="23" t="s">
        <v>27</v>
      </c>
      <c r="M25" s="23" t="s">
        <v>42</v>
      </c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7" t="s">
        <v>148</v>
      </c>
      <c r="D26" s="19" t="s">
        <v>22</v>
      </c>
      <c r="E26" s="21"/>
      <c r="F26" s="23" t="s">
        <v>78</v>
      </c>
      <c r="G26" s="56">
        <v>250000.0</v>
      </c>
      <c r="H26" s="57"/>
      <c r="I26" s="23" t="s">
        <v>32</v>
      </c>
      <c r="J26" s="23" t="s">
        <v>39</v>
      </c>
      <c r="K26" s="23" t="s">
        <v>39</v>
      </c>
      <c r="L26" s="23" t="s">
        <v>27</v>
      </c>
      <c r="M26" s="23" t="s">
        <v>103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7" t="s">
        <v>152</v>
      </c>
      <c r="D27" s="19" t="s">
        <v>22</v>
      </c>
      <c r="E27" s="21"/>
      <c r="F27" s="23" t="s">
        <v>78</v>
      </c>
      <c r="G27" s="56">
        <v>250000.0</v>
      </c>
      <c r="H27" s="57"/>
      <c r="I27" s="23" t="s">
        <v>32</v>
      </c>
      <c r="J27" s="23" t="s">
        <v>39</v>
      </c>
      <c r="K27" s="23" t="s">
        <v>41</v>
      </c>
      <c r="L27" s="23" t="s">
        <v>27</v>
      </c>
      <c r="M27" s="23" t="s">
        <v>77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155</v>
      </c>
      <c r="D28" s="19" t="s">
        <v>22</v>
      </c>
      <c r="E28" s="21"/>
      <c r="F28" s="23" t="s">
        <v>78</v>
      </c>
      <c r="G28" s="56">
        <v>250000.0</v>
      </c>
      <c r="H28" s="57"/>
      <c r="I28" s="23" t="s">
        <v>32</v>
      </c>
      <c r="J28" s="23" t="s">
        <v>39</v>
      </c>
      <c r="K28" s="23" t="s">
        <v>41</v>
      </c>
      <c r="L28" s="23" t="s">
        <v>27</v>
      </c>
      <c r="M28" s="23" t="s">
        <v>42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7" t="s">
        <v>158</v>
      </c>
      <c r="D29" s="19" t="s">
        <v>22</v>
      </c>
      <c r="E29" s="21"/>
      <c r="F29" s="23" t="s">
        <v>78</v>
      </c>
      <c r="G29" s="56">
        <v>330000.0</v>
      </c>
      <c r="H29" s="57"/>
      <c r="I29" s="23" t="s">
        <v>32</v>
      </c>
      <c r="J29" s="23" t="s">
        <v>39</v>
      </c>
      <c r="K29" s="23" t="s">
        <v>41</v>
      </c>
      <c r="L29" s="23" t="s">
        <v>27</v>
      </c>
      <c r="M29" s="23" t="s">
        <v>103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17" t="s">
        <v>161</v>
      </c>
      <c r="D30" s="19" t="s">
        <v>100</v>
      </c>
      <c r="E30" s="21"/>
      <c r="F30" s="23" t="s">
        <v>78</v>
      </c>
      <c r="G30" s="25"/>
      <c r="H30" s="26">
        <v>400000.0</v>
      </c>
      <c r="I30" s="23" t="s">
        <v>32</v>
      </c>
      <c r="J30" s="23" t="s">
        <v>39</v>
      </c>
      <c r="K30" s="23" t="s">
        <v>41</v>
      </c>
      <c r="L30" s="23" t="s">
        <v>27</v>
      </c>
      <c r="M30" s="23" t="s">
        <v>81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164</v>
      </c>
      <c r="D31" s="19" t="s">
        <v>22</v>
      </c>
      <c r="E31" s="21"/>
      <c r="F31" s="23" t="s">
        <v>78</v>
      </c>
      <c r="G31" s="56">
        <v>250000.0</v>
      </c>
      <c r="H31" s="57"/>
      <c r="I31" s="23" t="s">
        <v>32</v>
      </c>
      <c r="J31" s="23" t="s">
        <v>39</v>
      </c>
      <c r="K31" s="23" t="s">
        <v>41</v>
      </c>
      <c r="L31" s="23" t="s">
        <v>27</v>
      </c>
      <c r="M31" s="23" t="s">
        <v>42</v>
      </c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17" t="s">
        <v>167</v>
      </c>
      <c r="D32" s="19" t="s">
        <v>22</v>
      </c>
      <c r="E32" s="21"/>
      <c r="F32" s="23" t="s">
        <v>78</v>
      </c>
      <c r="G32" s="56">
        <v>250000.0</v>
      </c>
      <c r="H32" s="57"/>
      <c r="I32" s="23" t="s">
        <v>32</v>
      </c>
      <c r="J32" s="23" t="s">
        <v>39</v>
      </c>
      <c r="K32" s="23" t="s">
        <v>41</v>
      </c>
      <c r="L32" s="23" t="s">
        <v>27</v>
      </c>
      <c r="M32" s="23" t="s">
        <v>81</v>
      </c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17" t="s">
        <v>172</v>
      </c>
      <c r="D33" s="19" t="s">
        <v>22</v>
      </c>
      <c r="E33" s="21"/>
      <c r="F33" s="23" t="s">
        <v>78</v>
      </c>
      <c r="G33" s="56">
        <v>250000.0</v>
      </c>
      <c r="H33" s="57"/>
      <c r="I33" s="23" t="s">
        <v>32</v>
      </c>
      <c r="J33" s="23" t="s">
        <v>39</v>
      </c>
      <c r="K33" s="23" t="s">
        <v>41</v>
      </c>
      <c r="L33" s="23" t="s">
        <v>27</v>
      </c>
      <c r="M33" s="23" t="s">
        <v>103</v>
      </c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0" t="s">
        <v>182</v>
      </c>
      <c r="D34" s="19" t="s">
        <v>22</v>
      </c>
      <c r="E34" s="21"/>
      <c r="F34" s="23" t="s">
        <v>78</v>
      </c>
      <c r="G34" s="56">
        <v>270000.0</v>
      </c>
      <c r="H34" s="57"/>
      <c r="I34" s="23" t="s">
        <v>32</v>
      </c>
      <c r="J34" s="23" t="s">
        <v>39</v>
      </c>
      <c r="K34" s="23" t="s">
        <v>41</v>
      </c>
      <c r="L34" s="23" t="s">
        <v>117</v>
      </c>
      <c r="M34" s="23" t="s">
        <v>81</v>
      </c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17" t="s">
        <v>184</v>
      </c>
      <c r="D35" s="19" t="s">
        <v>22</v>
      </c>
      <c r="E35" s="21"/>
      <c r="F35" s="23" t="s">
        <v>78</v>
      </c>
      <c r="G35" s="56">
        <v>250000.0</v>
      </c>
      <c r="H35" s="57"/>
      <c r="I35" s="23" t="s">
        <v>32</v>
      </c>
      <c r="J35" s="23" t="s">
        <v>39</v>
      </c>
      <c r="K35" s="23" t="s">
        <v>41</v>
      </c>
      <c r="L35" s="23" t="s">
        <v>117</v>
      </c>
      <c r="M35" s="23" t="s">
        <v>42</v>
      </c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17" t="s">
        <v>187</v>
      </c>
      <c r="D36" s="19" t="s">
        <v>22</v>
      </c>
      <c r="E36" s="21"/>
      <c r="F36" s="23" t="s">
        <v>78</v>
      </c>
      <c r="G36" s="25"/>
      <c r="H36" s="26">
        <v>250000.0</v>
      </c>
      <c r="I36" s="23" t="s">
        <v>32</v>
      </c>
      <c r="J36" s="23" t="s">
        <v>39</v>
      </c>
      <c r="K36" s="23" t="s">
        <v>41</v>
      </c>
      <c r="L36" s="23" t="s">
        <v>117</v>
      </c>
      <c r="M36" s="23" t="s">
        <v>77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189</v>
      </c>
      <c r="D37" s="19" t="s">
        <v>22</v>
      </c>
      <c r="E37" s="21"/>
      <c r="F37" s="23" t="s">
        <v>78</v>
      </c>
      <c r="G37" s="56">
        <v>250000.0</v>
      </c>
      <c r="H37" s="57"/>
      <c r="I37" s="23" t="s">
        <v>32</v>
      </c>
      <c r="J37" s="23" t="s">
        <v>39</v>
      </c>
      <c r="K37" s="23" t="s">
        <v>41</v>
      </c>
      <c r="L37" s="23" t="s">
        <v>117</v>
      </c>
      <c r="M37" s="23" t="s">
        <v>103</v>
      </c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17" t="s">
        <v>191</v>
      </c>
      <c r="D38" s="19" t="s">
        <v>22</v>
      </c>
      <c r="E38" s="21"/>
      <c r="F38" s="23" t="s">
        <v>78</v>
      </c>
      <c r="G38" s="56">
        <v>290000.0</v>
      </c>
      <c r="H38" s="57"/>
      <c r="I38" s="23" t="s">
        <v>32</v>
      </c>
      <c r="J38" s="23" t="s">
        <v>39</v>
      </c>
      <c r="K38" s="23" t="s">
        <v>41</v>
      </c>
      <c r="L38" s="23" t="s">
        <v>117</v>
      </c>
      <c r="M38" s="23" t="s">
        <v>81</v>
      </c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17" t="s">
        <v>193</v>
      </c>
      <c r="D39" s="19" t="s">
        <v>22</v>
      </c>
      <c r="E39" s="21"/>
      <c r="F39" s="23" t="s">
        <v>78</v>
      </c>
      <c r="G39" s="56">
        <v>310000.0</v>
      </c>
      <c r="H39" s="57"/>
      <c r="I39" s="23" t="s">
        <v>32</v>
      </c>
      <c r="J39" s="23" t="s">
        <v>39</v>
      </c>
      <c r="K39" s="23" t="s">
        <v>41</v>
      </c>
      <c r="L39" s="23" t="s">
        <v>117</v>
      </c>
      <c r="M39" s="23" t="s">
        <v>42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195</v>
      </c>
      <c r="D40" s="19" t="s">
        <v>22</v>
      </c>
      <c r="E40" s="21"/>
      <c r="F40" s="23" t="s">
        <v>78</v>
      </c>
      <c r="G40" s="56">
        <v>250000.0</v>
      </c>
      <c r="H40" s="57"/>
      <c r="I40" s="23" t="s">
        <v>32</v>
      </c>
      <c r="J40" s="23" t="s">
        <v>39</v>
      </c>
      <c r="K40" s="23" t="s">
        <v>41</v>
      </c>
      <c r="L40" s="23" t="s">
        <v>117</v>
      </c>
      <c r="M40" s="23" t="s">
        <v>77</v>
      </c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17" t="s">
        <v>197</v>
      </c>
      <c r="D41" s="19" t="s">
        <v>22</v>
      </c>
      <c r="E41" s="21"/>
      <c r="F41" s="23" t="s">
        <v>78</v>
      </c>
      <c r="G41" s="25"/>
      <c r="H41" s="26">
        <v>250000.0</v>
      </c>
      <c r="I41" s="23" t="s">
        <v>32</v>
      </c>
      <c r="J41" s="23" t="s">
        <v>39</v>
      </c>
      <c r="K41" s="23" t="s">
        <v>41</v>
      </c>
      <c r="L41" s="23" t="s">
        <v>117</v>
      </c>
      <c r="M41" s="23" t="s">
        <v>81</v>
      </c>
      <c r="N41" s="33"/>
      <c r="O41" s="33"/>
      <c r="P41" s="33"/>
      <c r="Q41" s="1"/>
      <c r="R41" s="1"/>
    </row>
    <row r="42" ht="15.75" customHeight="1">
      <c r="A42" s="1"/>
      <c r="B42" s="14">
        <v>39.0</v>
      </c>
      <c r="C42" s="16" t="s">
        <v>199</v>
      </c>
      <c r="D42" s="17" t="s">
        <v>22</v>
      </c>
      <c r="E42" s="15"/>
      <c r="F42" s="40">
        <v>46273.0</v>
      </c>
      <c r="G42" s="44"/>
      <c r="H42" s="22">
        <v>100000.0</v>
      </c>
      <c r="I42" s="24" t="s">
        <v>25</v>
      </c>
      <c r="J42" s="14"/>
      <c r="K42" s="14"/>
      <c r="L42" s="24" t="s">
        <v>26</v>
      </c>
      <c r="M42" s="14"/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6" t="s">
        <v>201</v>
      </c>
      <c r="D43" s="17" t="s">
        <v>22</v>
      </c>
      <c r="E43" s="15"/>
      <c r="F43" s="40">
        <v>46274.0</v>
      </c>
      <c r="G43" s="44"/>
      <c r="H43" s="22">
        <v>100000.0</v>
      </c>
      <c r="I43" s="24" t="s">
        <v>25</v>
      </c>
      <c r="J43" s="14"/>
      <c r="K43" s="14"/>
      <c r="L43" s="24" t="s">
        <v>26</v>
      </c>
      <c r="M43" s="14"/>
      <c r="N43" s="33"/>
      <c r="O43" s="33"/>
      <c r="P43" s="33"/>
      <c r="Q43" s="1"/>
      <c r="R43" s="1"/>
    </row>
    <row r="44" ht="15.75" customHeight="1">
      <c r="A44" s="1"/>
      <c r="B44" s="14">
        <v>41.0</v>
      </c>
      <c r="C44" s="16" t="s">
        <v>203</v>
      </c>
      <c r="D44" s="17" t="s">
        <v>22</v>
      </c>
      <c r="E44" s="41"/>
      <c r="F44" s="40">
        <v>46298.0</v>
      </c>
      <c r="G44" s="44"/>
      <c r="H44" s="22">
        <v>100000.0</v>
      </c>
      <c r="I44" s="24" t="s">
        <v>25</v>
      </c>
      <c r="J44" s="14"/>
      <c r="K44" s="14"/>
      <c r="L44" s="24" t="s">
        <v>26</v>
      </c>
      <c r="M44" s="14"/>
      <c r="N44" s="33"/>
      <c r="O44" s="33"/>
      <c r="P44" s="33"/>
      <c r="Q44" s="1"/>
      <c r="R44" s="1"/>
    </row>
    <row r="45" ht="15.75" customHeight="1">
      <c r="A45" s="1"/>
      <c r="B45" s="14">
        <v>42.0</v>
      </c>
      <c r="C45" s="16" t="s">
        <v>205</v>
      </c>
      <c r="D45" s="17" t="s">
        <v>22</v>
      </c>
      <c r="E45" s="15"/>
      <c r="F45" s="24" t="s">
        <v>72</v>
      </c>
      <c r="G45" s="44"/>
      <c r="H45" s="22">
        <v>100000.0</v>
      </c>
      <c r="I45" s="24" t="s">
        <v>25</v>
      </c>
      <c r="J45" s="14"/>
      <c r="K45" s="14"/>
      <c r="L45" s="24" t="s">
        <v>27</v>
      </c>
      <c r="M45" s="14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16" t="s">
        <v>206</v>
      </c>
      <c r="D46" s="17" t="s">
        <v>22</v>
      </c>
      <c r="E46" s="15"/>
      <c r="F46" s="24" t="s">
        <v>46</v>
      </c>
      <c r="G46" s="44"/>
      <c r="H46" s="22">
        <v>100000.0</v>
      </c>
      <c r="I46" s="24" t="s">
        <v>25</v>
      </c>
      <c r="J46" s="14"/>
      <c r="K46" s="14"/>
      <c r="L46" s="24" t="s">
        <v>27</v>
      </c>
      <c r="M46" s="14"/>
      <c r="N46" s="33"/>
      <c r="O46" s="33"/>
      <c r="P46" s="33"/>
      <c r="Q46" s="1"/>
      <c r="R46" s="1"/>
    </row>
    <row r="47" ht="15.75" customHeight="1">
      <c r="A47" s="1"/>
      <c r="B47" s="14">
        <v>44.0</v>
      </c>
      <c r="C47" s="16" t="s">
        <v>207</v>
      </c>
      <c r="D47" s="17" t="s">
        <v>22</v>
      </c>
      <c r="E47" s="15"/>
      <c r="F47" s="24" t="s">
        <v>137</v>
      </c>
      <c r="G47" s="44"/>
      <c r="H47" s="22">
        <v>100000.0</v>
      </c>
      <c r="I47" s="24" t="s">
        <v>25</v>
      </c>
      <c r="J47" s="14"/>
      <c r="K47" s="14"/>
      <c r="L47" s="24" t="s">
        <v>27</v>
      </c>
      <c r="M47" s="14"/>
      <c r="N47" s="33"/>
      <c r="O47" s="33"/>
      <c r="P47" s="33"/>
      <c r="Q47" s="1"/>
      <c r="R47" s="1"/>
    </row>
    <row r="48" ht="15.75" customHeight="1">
      <c r="A48" s="1"/>
      <c r="B48" s="14">
        <v>45.0</v>
      </c>
      <c r="C48" s="16" t="s">
        <v>208</v>
      </c>
      <c r="D48" s="17" t="s">
        <v>22</v>
      </c>
      <c r="E48" s="15"/>
      <c r="F48" s="40">
        <v>46273.0</v>
      </c>
      <c r="G48" s="44"/>
      <c r="H48" s="22">
        <v>100000.0</v>
      </c>
      <c r="I48" s="24" t="s">
        <v>25</v>
      </c>
      <c r="J48" s="14"/>
      <c r="K48" s="14"/>
      <c r="L48" s="24" t="s">
        <v>26</v>
      </c>
      <c r="M48" s="14"/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6" t="s">
        <v>209</v>
      </c>
      <c r="D49" s="17" t="s">
        <v>23</v>
      </c>
      <c r="E49" s="15"/>
      <c r="F49" s="40">
        <v>46267.0</v>
      </c>
      <c r="G49" s="44"/>
      <c r="H49" s="22">
        <v>200000.0</v>
      </c>
      <c r="I49" s="24" t="s">
        <v>32</v>
      </c>
      <c r="J49" s="24" t="s">
        <v>39</v>
      </c>
      <c r="K49" s="24" t="s">
        <v>41</v>
      </c>
      <c r="L49" s="24" t="s">
        <v>27</v>
      </c>
      <c r="M49" s="24" t="s">
        <v>81</v>
      </c>
      <c r="N49" s="33"/>
      <c r="O49" s="33"/>
      <c r="P49" s="33"/>
      <c r="Q49" s="1"/>
      <c r="R49" s="1"/>
    </row>
    <row r="50" ht="15.75" customHeight="1">
      <c r="A50" s="1"/>
      <c r="B50" s="14">
        <v>47.0</v>
      </c>
      <c r="C50" s="16" t="s">
        <v>210</v>
      </c>
      <c r="D50" s="17" t="s">
        <v>22</v>
      </c>
      <c r="E50" s="15"/>
      <c r="F50" s="24" t="s">
        <v>211</v>
      </c>
      <c r="G50" s="44"/>
      <c r="H50" s="22">
        <v>100000.0</v>
      </c>
      <c r="I50" s="24" t="s">
        <v>25</v>
      </c>
      <c r="J50" s="14"/>
      <c r="K50" s="14"/>
      <c r="L50" s="24" t="s">
        <v>27</v>
      </c>
      <c r="M50" s="14"/>
      <c r="N50" s="33"/>
      <c r="O50" s="33"/>
      <c r="P50" s="33"/>
      <c r="Q50" s="1"/>
      <c r="R50" s="1"/>
    </row>
    <row r="51" ht="15.75" customHeight="1">
      <c r="A51" s="1"/>
      <c r="B51" s="14">
        <v>48.0</v>
      </c>
      <c r="C51" s="16" t="s">
        <v>128</v>
      </c>
      <c r="D51" s="17" t="s">
        <v>23</v>
      </c>
      <c r="E51" s="15"/>
      <c r="F51" s="24" t="s">
        <v>24</v>
      </c>
      <c r="G51" s="44"/>
      <c r="H51" s="22">
        <v>100000.0</v>
      </c>
      <c r="I51" s="24" t="s">
        <v>25</v>
      </c>
      <c r="J51" s="14"/>
      <c r="K51" s="14"/>
      <c r="L51" s="24" t="s">
        <v>27</v>
      </c>
      <c r="M51" s="14"/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63"/>
      <c r="D52" s="97"/>
      <c r="E52" s="15"/>
      <c r="F52" s="14"/>
      <c r="G52" s="44"/>
      <c r="H52" s="54"/>
      <c r="I52" s="14"/>
      <c r="J52" s="14"/>
      <c r="K52" s="14"/>
      <c r="L52" s="14"/>
      <c r="M52" s="14"/>
      <c r="N52" s="64"/>
      <c r="O52" s="64"/>
      <c r="P52" s="64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6">
        <f t="shared" ref="G53:H53" si="1">SUM(G4:G52)</f>
        <v>4880000</v>
      </c>
      <c r="H53" s="67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145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146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149</v>
      </c>
      <c r="D57" s="73">
        <f>SUM(G53)</f>
        <v>4880000</v>
      </c>
      <c r="E57" s="74"/>
      <c r="F57" s="1"/>
      <c r="G57" s="1"/>
      <c r="H57" s="1"/>
      <c r="I57" s="1"/>
      <c r="J57" s="1"/>
      <c r="K57" s="1"/>
      <c r="L57" s="105" t="s">
        <v>216</v>
      </c>
      <c r="N57" s="75" t="s">
        <v>151</v>
      </c>
      <c r="O57" s="76" t="s">
        <v>26</v>
      </c>
      <c r="P57" s="1"/>
      <c r="Q57" s="1"/>
      <c r="R57" s="1"/>
    </row>
    <row r="58" ht="15.75" customHeight="1">
      <c r="A58" s="1"/>
      <c r="B58" s="77">
        <v>2.0</v>
      </c>
      <c r="C58" s="109" t="s">
        <v>225</v>
      </c>
      <c r="D58" s="111">
        <v>-63000.0</v>
      </c>
      <c r="E58" s="74"/>
      <c r="F58" s="1"/>
      <c r="G58" s="1"/>
      <c r="H58" s="1"/>
      <c r="I58" s="1"/>
      <c r="J58" s="1"/>
      <c r="K58" s="1"/>
      <c r="L58" s="105" t="s">
        <v>227</v>
      </c>
      <c r="N58" s="80" t="s">
        <v>157</v>
      </c>
      <c r="O58" s="81" t="s">
        <v>27</v>
      </c>
      <c r="P58" s="1"/>
      <c r="Q58" s="1"/>
      <c r="R58" s="1"/>
    </row>
    <row r="59" ht="15.75" customHeight="1">
      <c r="A59" s="1"/>
      <c r="B59" s="71">
        <v>3.0</v>
      </c>
      <c r="C59" s="117" t="s">
        <v>229</v>
      </c>
      <c r="D59" s="119">
        <v>-155000.0</v>
      </c>
      <c r="E59" s="74"/>
      <c r="F59" s="1"/>
      <c r="G59" s="1"/>
      <c r="H59" s="1"/>
      <c r="I59" s="1"/>
      <c r="J59" s="1"/>
      <c r="K59" s="1"/>
      <c r="L59" s="1"/>
      <c r="M59" s="1"/>
      <c r="N59" s="82" t="s">
        <v>160</v>
      </c>
      <c r="O59" s="83" t="s">
        <v>42</v>
      </c>
      <c r="P59" s="1"/>
      <c r="Q59" s="1"/>
      <c r="R59" s="1"/>
    </row>
    <row r="60" ht="15.75" customHeight="1">
      <c r="A60" s="1"/>
      <c r="B60" s="77">
        <v>4.0</v>
      </c>
      <c r="C60" s="109" t="s">
        <v>230</v>
      </c>
      <c r="D60" s="111">
        <v>-170000.0</v>
      </c>
      <c r="E60" s="74"/>
      <c r="F60" s="1"/>
      <c r="G60" s="1"/>
      <c r="H60" s="1"/>
      <c r="I60" s="1"/>
      <c r="J60" s="1"/>
      <c r="K60" s="1"/>
      <c r="L60" s="1"/>
      <c r="M60" s="1"/>
      <c r="N60" s="86" t="s">
        <v>163</v>
      </c>
      <c r="O60" s="81" t="s">
        <v>81</v>
      </c>
      <c r="P60" s="1"/>
      <c r="Q60" s="1"/>
      <c r="R60" s="1"/>
    </row>
    <row r="61" ht="15.75" customHeight="1">
      <c r="A61" s="1"/>
      <c r="B61" s="71">
        <v>5.0</v>
      </c>
      <c r="C61" s="117" t="s">
        <v>231</v>
      </c>
      <c r="D61" s="119">
        <v>-108000.0</v>
      </c>
      <c r="E61" s="74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7">
        <v>6.0</v>
      </c>
      <c r="C62" s="120"/>
      <c r="D62" s="121"/>
      <c r="E62" s="74"/>
      <c r="F62" s="116">
        <f>D59+D60+D61</f>
        <v>-433000</v>
      </c>
      <c r="G62" s="1"/>
      <c r="H62" s="1"/>
      <c r="I62" s="1"/>
      <c r="J62" s="1"/>
      <c r="K62" s="89" t="s">
        <v>168</v>
      </c>
      <c r="Q62" s="1"/>
      <c r="R62" s="1"/>
    </row>
    <row r="63" ht="15.75" customHeight="1">
      <c r="A63" s="1"/>
      <c r="B63" s="71">
        <v>7.0</v>
      </c>
      <c r="C63" s="72"/>
      <c r="D63" s="73"/>
      <c r="E63" s="74"/>
      <c r="F63" s="116"/>
      <c r="G63" s="1"/>
      <c r="H63" s="1"/>
      <c r="I63" s="1"/>
      <c r="J63" s="1"/>
      <c r="K63" s="90" t="s">
        <v>1</v>
      </c>
      <c r="L63" s="90" t="s">
        <v>170</v>
      </c>
      <c r="M63" s="90" t="s">
        <v>171</v>
      </c>
      <c r="N63" s="90" t="s">
        <v>173</v>
      </c>
      <c r="O63" s="90" t="s">
        <v>174</v>
      </c>
      <c r="P63" s="90" t="s">
        <v>176</v>
      </c>
      <c r="Q63" s="1"/>
      <c r="R63" s="1"/>
      <c r="AC63" s="91" t="s">
        <v>177</v>
      </c>
      <c r="AD63" s="91" t="s">
        <v>178</v>
      </c>
      <c r="AE63" s="91" t="s">
        <v>179</v>
      </c>
      <c r="AF63" s="91" t="s">
        <v>180</v>
      </c>
      <c r="AG63" s="91" t="s">
        <v>181</v>
      </c>
    </row>
    <row r="64" ht="15.75" customHeight="1">
      <c r="A64" s="1"/>
      <c r="B64" s="77">
        <v>8.0</v>
      </c>
      <c r="C64" s="84"/>
      <c r="D64" s="85"/>
      <c r="E64" s="74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3"/>
      <c r="E65" s="74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7">
        <v>10.0</v>
      </c>
      <c r="C66" s="84"/>
      <c r="D66" s="85"/>
      <c r="E66" s="74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4">
        <v>11.0</v>
      </c>
      <c r="C67" s="95"/>
      <c r="D67" s="96"/>
      <c r="E67" s="74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0" t="s">
        <v>212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1" t="s">
        <v>213</v>
      </c>
      <c r="N72" s="1"/>
      <c r="O72" s="1"/>
      <c r="P72" s="1"/>
      <c r="Q72" s="1"/>
      <c r="R72" s="1"/>
    </row>
    <row r="73" ht="15.75" customHeight="1">
      <c r="K73" s="102" t="s">
        <v>7</v>
      </c>
      <c r="L73" s="102" t="s">
        <v>214</v>
      </c>
      <c r="M73" s="102" t="s">
        <v>215</v>
      </c>
    </row>
    <row r="74" ht="15.75" customHeight="1">
      <c r="K74" s="103" t="str">
        <f t="shared" ref="K74:K75" si="8">IF(O57="","",O57)</f>
        <v>INDAH</v>
      </c>
      <c r="L74" s="106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7" t="s">
        <v>218</v>
      </c>
    </row>
    <row r="78" ht="19.5" customHeight="1">
      <c r="K78" s="108" t="s">
        <v>219</v>
      </c>
      <c r="M78" s="106">
        <v>47.0</v>
      </c>
    </row>
    <row r="79" ht="19.5" customHeight="1">
      <c r="K79" s="110" t="s">
        <v>221</v>
      </c>
      <c r="M79" s="112">
        <f>COUNTIF($I$4:$I$55,"DP")</f>
        <v>18</v>
      </c>
    </row>
    <row r="80" ht="19.5" customHeight="1">
      <c r="K80" s="110" t="s">
        <v>223</v>
      </c>
      <c r="M80" s="112">
        <f>COUNTIFS($I$4:$I$55,"&lt;&gt;DP",$I$4:$I$55,"&lt;&gt;")</f>
        <v>30</v>
      </c>
    </row>
    <row r="81" ht="19.5" customHeight="1">
      <c r="K81" s="115" t="s">
        <v>224</v>
      </c>
      <c r="M81" s="112">
        <f>M79+M80</f>
        <v>48</v>
      </c>
    </row>
    <row r="82" ht="19.5" customHeight="1">
      <c r="K82" s="108" t="s">
        <v>226</v>
      </c>
      <c r="M82" s="118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21</v>
      </c>
      <c r="D4" s="19" t="s">
        <v>23</v>
      </c>
      <c r="E4" s="21"/>
      <c r="F4" s="23" t="s">
        <v>24</v>
      </c>
      <c r="G4" s="25"/>
      <c r="H4" s="26">
        <v>100000.0</v>
      </c>
      <c r="I4" s="23" t="s">
        <v>25</v>
      </c>
      <c r="J4" s="28"/>
      <c r="K4" s="28"/>
      <c r="L4" s="23" t="s">
        <v>27</v>
      </c>
      <c r="M4" s="28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29</v>
      </c>
      <c r="D5" s="19" t="s">
        <v>22</v>
      </c>
      <c r="E5" s="21"/>
      <c r="F5" s="23" t="s">
        <v>30</v>
      </c>
      <c r="G5" s="25"/>
      <c r="H5" s="26">
        <v>100000.0</v>
      </c>
      <c r="I5" s="23" t="s">
        <v>25</v>
      </c>
      <c r="J5" s="28"/>
      <c r="K5" s="28"/>
      <c r="L5" s="23" t="s">
        <v>27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31</v>
      </c>
      <c r="D6" s="19" t="s">
        <v>22</v>
      </c>
      <c r="E6" s="21"/>
      <c r="F6" s="23" t="s">
        <v>33</v>
      </c>
      <c r="G6" s="25"/>
      <c r="H6" s="26">
        <v>100000.0</v>
      </c>
      <c r="I6" s="23" t="s">
        <v>25</v>
      </c>
      <c r="J6" s="28"/>
      <c r="K6" s="28"/>
      <c r="L6" s="23" t="s">
        <v>27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37</v>
      </c>
      <c r="D7" s="19" t="s">
        <v>23</v>
      </c>
      <c r="E7" s="21"/>
      <c r="F7" s="23" t="s">
        <v>38</v>
      </c>
      <c r="G7" s="25"/>
      <c r="H7" s="26">
        <v>2400000.0</v>
      </c>
      <c r="I7" s="23" t="s">
        <v>32</v>
      </c>
      <c r="J7" s="23" t="s">
        <v>39</v>
      </c>
      <c r="K7" s="23" t="s">
        <v>41</v>
      </c>
      <c r="L7" s="23" t="s">
        <v>27</v>
      </c>
      <c r="M7" s="23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44</v>
      </c>
      <c r="D8" s="19" t="s">
        <v>22</v>
      </c>
      <c r="E8" s="37"/>
      <c r="F8" s="23" t="s">
        <v>46</v>
      </c>
      <c r="G8" s="38"/>
      <c r="H8" s="39">
        <v>100000.0</v>
      </c>
      <c r="I8" s="23" t="s">
        <v>25</v>
      </c>
      <c r="J8" s="15"/>
      <c r="K8" s="15"/>
      <c r="L8" s="23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51</v>
      </c>
      <c r="D9" s="19" t="s">
        <v>52</v>
      </c>
      <c r="E9" s="15"/>
      <c r="F9" s="24" t="s">
        <v>38</v>
      </c>
      <c r="G9" s="44"/>
      <c r="H9" s="22">
        <v>200000.0</v>
      </c>
      <c r="I9" s="24" t="s">
        <v>32</v>
      </c>
      <c r="J9" s="24" t="s">
        <v>39</v>
      </c>
      <c r="K9" s="24" t="s">
        <v>55</v>
      </c>
      <c r="L9" s="23" t="s">
        <v>27</v>
      </c>
      <c r="M9" s="24" t="s">
        <v>42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58</v>
      </c>
      <c r="D10" s="17" t="s">
        <v>22</v>
      </c>
      <c r="E10" s="15"/>
      <c r="F10" s="24" t="s">
        <v>60</v>
      </c>
      <c r="G10" s="44"/>
      <c r="H10" s="22">
        <v>100000.0</v>
      </c>
      <c r="I10" s="24" t="s">
        <v>25</v>
      </c>
      <c r="J10" s="14"/>
      <c r="K10" s="14"/>
      <c r="L10" s="23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64</v>
      </c>
      <c r="D11" s="17" t="s">
        <v>22</v>
      </c>
      <c r="E11" s="47"/>
      <c r="F11" s="24" t="s">
        <v>33</v>
      </c>
      <c r="G11" s="44"/>
      <c r="H11" s="22">
        <v>350000.0</v>
      </c>
      <c r="I11" s="24" t="s">
        <v>32</v>
      </c>
      <c r="J11" s="14"/>
      <c r="K11" s="14"/>
      <c r="L11" s="23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8" t="s">
        <v>69</v>
      </c>
      <c r="D12" s="17" t="s">
        <v>70</v>
      </c>
      <c r="E12" s="15"/>
      <c r="F12" s="24" t="s">
        <v>72</v>
      </c>
      <c r="G12" s="44"/>
      <c r="H12" s="22">
        <v>100000.0</v>
      </c>
      <c r="I12" s="24" t="s">
        <v>25</v>
      </c>
      <c r="J12" s="14"/>
      <c r="K12" s="14"/>
      <c r="L12" s="24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75</v>
      </c>
      <c r="D13" s="17" t="s">
        <v>23</v>
      </c>
      <c r="E13" s="15"/>
      <c r="F13" s="24" t="s">
        <v>24</v>
      </c>
      <c r="G13" s="44"/>
      <c r="H13" s="22">
        <v>100000.0</v>
      </c>
      <c r="I13" s="24" t="s">
        <v>25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36" t="s">
        <v>79</v>
      </c>
      <c r="D14" s="17" t="s">
        <v>22</v>
      </c>
      <c r="E14" s="47"/>
      <c r="F14" s="24" t="s">
        <v>60</v>
      </c>
      <c r="G14" s="44"/>
      <c r="H14" s="22">
        <v>100000.0</v>
      </c>
      <c r="I14" s="24" t="s">
        <v>25</v>
      </c>
      <c r="J14" s="14"/>
      <c r="K14" s="14"/>
      <c r="L14" s="24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85</v>
      </c>
      <c r="D15" s="17" t="s">
        <v>23</v>
      </c>
      <c r="E15" s="15"/>
      <c r="F15" s="24" t="s">
        <v>86</v>
      </c>
      <c r="G15" s="44"/>
      <c r="H15" s="22">
        <v>100000.0</v>
      </c>
      <c r="I15" s="24" t="s">
        <v>25</v>
      </c>
      <c r="J15" s="14"/>
      <c r="K15" s="14"/>
      <c r="L15" s="24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88</v>
      </c>
      <c r="D16" s="17" t="s">
        <v>22</v>
      </c>
      <c r="E16" s="15"/>
      <c r="F16" s="24" t="s">
        <v>33</v>
      </c>
      <c r="G16" s="44"/>
      <c r="H16" s="22">
        <v>100000.0</v>
      </c>
      <c r="I16" s="24" t="s">
        <v>25</v>
      </c>
      <c r="J16" s="14"/>
      <c r="K16" s="14"/>
      <c r="L16" s="24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24">
        <v>14.0</v>
      </c>
      <c r="C17" s="16" t="s">
        <v>91</v>
      </c>
      <c r="D17" s="17" t="s">
        <v>23</v>
      </c>
      <c r="E17" s="15"/>
      <c r="F17" s="40">
        <v>46270.0</v>
      </c>
      <c r="G17" s="44"/>
      <c r="H17" s="22">
        <v>100000.0</v>
      </c>
      <c r="I17" s="24" t="s">
        <v>25</v>
      </c>
      <c r="J17" s="14"/>
      <c r="K17" s="14"/>
      <c r="L17" s="24" t="s">
        <v>26</v>
      </c>
      <c r="M17" s="14"/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6" t="s">
        <v>94</v>
      </c>
      <c r="D18" s="17" t="s">
        <v>96</v>
      </c>
      <c r="E18" s="15"/>
      <c r="F18" s="40">
        <v>46268.0</v>
      </c>
      <c r="G18" s="44"/>
      <c r="H18" s="22">
        <v>350000.0</v>
      </c>
      <c r="I18" s="24" t="s">
        <v>32</v>
      </c>
      <c r="J18" s="14"/>
      <c r="K18" s="14"/>
      <c r="L18" s="24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6" t="s">
        <v>99</v>
      </c>
      <c r="D19" s="17" t="s">
        <v>100</v>
      </c>
      <c r="E19" s="15"/>
      <c r="F19" s="40">
        <v>46273.0</v>
      </c>
      <c r="G19" s="44"/>
      <c r="H19" s="22">
        <v>100000.0</v>
      </c>
      <c r="I19" s="24" t="s">
        <v>25</v>
      </c>
      <c r="J19" s="14"/>
      <c r="K19" s="14"/>
      <c r="L19" s="24" t="s">
        <v>26</v>
      </c>
      <c r="M19" s="14"/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6" t="s">
        <v>104</v>
      </c>
      <c r="D20" s="17" t="s">
        <v>23</v>
      </c>
      <c r="E20" s="15"/>
      <c r="F20" s="40">
        <v>46271.0</v>
      </c>
      <c r="G20" s="44"/>
      <c r="H20" s="22">
        <v>100000.0</v>
      </c>
      <c r="I20" s="24" t="s">
        <v>25</v>
      </c>
      <c r="J20" s="14"/>
      <c r="K20" s="14"/>
      <c r="L20" s="24" t="s">
        <v>26</v>
      </c>
      <c r="M20" s="14"/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6" t="s">
        <v>108</v>
      </c>
      <c r="D21" s="17" t="s">
        <v>23</v>
      </c>
      <c r="E21" s="15"/>
      <c r="F21" s="40">
        <v>46269.0</v>
      </c>
      <c r="G21" s="44"/>
      <c r="H21" s="22">
        <v>100000.0</v>
      </c>
      <c r="I21" s="24" t="s">
        <v>25</v>
      </c>
      <c r="J21" s="14"/>
      <c r="K21" s="14"/>
      <c r="L21" s="24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6" t="s">
        <v>111</v>
      </c>
      <c r="D22" s="17" t="s">
        <v>52</v>
      </c>
      <c r="E22" s="15"/>
      <c r="F22" s="40">
        <v>46269.0</v>
      </c>
      <c r="G22" s="44"/>
      <c r="H22" s="22">
        <v>200000.0</v>
      </c>
      <c r="I22" s="24" t="s">
        <v>32</v>
      </c>
      <c r="J22" s="14"/>
      <c r="K22" s="14"/>
      <c r="L22" s="24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6" t="s">
        <v>114</v>
      </c>
      <c r="D23" s="17" t="s">
        <v>22</v>
      </c>
      <c r="E23" s="15"/>
      <c r="F23" s="40">
        <v>46274.0</v>
      </c>
      <c r="G23" s="44"/>
      <c r="H23" s="22">
        <v>100000.0</v>
      </c>
      <c r="I23" s="24" t="s">
        <v>25</v>
      </c>
      <c r="J23" s="14"/>
      <c r="K23" s="14"/>
      <c r="L23" s="24" t="s">
        <v>26</v>
      </c>
      <c r="M23" s="14"/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6" t="s">
        <v>59</v>
      </c>
      <c r="D24" s="17" t="s">
        <v>61</v>
      </c>
      <c r="E24" s="15"/>
      <c r="F24" s="40">
        <v>46268.0</v>
      </c>
      <c r="G24" s="44"/>
      <c r="H24" s="22">
        <v>50000.0</v>
      </c>
      <c r="I24" s="24" t="s">
        <v>32</v>
      </c>
      <c r="J24" s="24" t="s">
        <v>39</v>
      </c>
      <c r="K24" s="24" t="s">
        <v>41</v>
      </c>
      <c r="L24" s="24" t="s">
        <v>26</v>
      </c>
      <c r="M24" s="24" t="s">
        <v>81</v>
      </c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16" t="s">
        <v>121</v>
      </c>
      <c r="D25" s="17" t="s">
        <v>22</v>
      </c>
      <c r="E25" s="15"/>
      <c r="F25" s="40">
        <v>46273.0</v>
      </c>
      <c r="G25" s="44"/>
      <c r="H25" s="22">
        <v>100000.0</v>
      </c>
      <c r="I25" s="24" t="s">
        <v>25</v>
      </c>
      <c r="J25" s="14"/>
      <c r="K25" s="14"/>
      <c r="L25" s="24" t="s">
        <v>26</v>
      </c>
      <c r="M25" s="14"/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6" t="s">
        <v>40</v>
      </c>
      <c r="D26" s="17" t="s">
        <v>22</v>
      </c>
      <c r="E26" s="15"/>
      <c r="F26" s="40">
        <v>46274.0</v>
      </c>
      <c r="G26" s="44"/>
      <c r="H26" s="22">
        <v>100000.0</v>
      </c>
      <c r="I26" s="24" t="s">
        <v>25</v>
      </c>
      <c r="J26" s="14"/>
      <c r="K26" s="14"/>
      <c r="L26" s="24" t="s">
        <v>26</v>
      </c>
      <c r="M26" s="14"/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6" t="s">
        <v>129</v>
      </c>
      <c r="D27" s="17" t="s">
        <v>23</v>
      </c>
      <c r="E27" s="15"/>
      <c r="F27" s="40">
        <v>46268.0</v>
      </c>
      <c r="G27" s="44"/>
      <c r="H27" s="22">
        <v>300000.0</v>
      </c>
      <c r="I27" s="24" t="s">
        <v>32</v>
      </c>
      <c r="J27" s="24" t="s">
        <v>39</v>
      </c>
      <c r="K27" s="24" t="s">
        <v>39</v>
      </c>
      <c r="L27" s="24" t="s">
        <v>26</v>
      </c>
      <c r="M27" s="24" t="s">
        <v>81</v>
      </c>
      <c r="N27" s="33"/>
      <c r="O27" s="33"/>
      <c r="P27" s="33"/>
      <c r="Q27" s="1"/>
      <c r="R27" s="1"/>
    </row>
    <row r="28" ht="15.75" customHeight="1">
      <c r="A28" s="1"/>
      <c r="B28" s="24">
        <v>25.0</v>
      </c>
      <c r="C28" s="16" t="s">
        <v>131</v>
      </c>
      <c r="D28" s="17" t="s">
        <v>52</v>
      </c>
      <c r="E28" s="15"/>
      <c r="F28" s="40">
        <v>46268.0</v>
      </c>
      <c r="G28" s="62">
        <v>100000.0</v>
      </c>
      <c r="H28" s="54"/>
      <c r="I28" s="24" t="s">
        <v>32</v>
      </c>
      <c r="J28" s="24" t="s">
        <v>39</v>
      </c>
      <c r="K28" s="24" t="s">
        <v>39</v>
      </c>
      <c r="L28" s="24" t="s">
        <v>26</v>
      </c>
      <c r="M28" s="24" t="s">
        <v>81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6" t="s">
        <v>136</v>
      </c>
      <c r="D29" s="17" t="s">
        <v>22</v>
      </c>
      <c r="E29" s="15"/>
      <c r="F29" s="40">
        <v>46273.0</v>
      </c>
      <c r="G29" s="44"/>
      <c r="H29" s="22">
        <v>100000.0</v>
      </c>
      <c r="I29" s="24" t="s">
        <v>25</v>
      </c>
      <c r="J29" s="14"/>
      <c r="K29" s="14"/>
      <c r="L29" s="24" t="s">
        <v>26</v>
      </c>
      <c r="M29" s="14"/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6" t="s">
        <v>141</v>
      </c>
      <c r="D30" s="17" t="s">
        <v>23</v>
      </c>
      <c r="E30" s="15"/>
      <c r="F30" s="40">
        <v>46268.0</v>
      </c>
      <c r="G30" s="44"/>
      <c r="H30" s="22">
        <v>750000.0</v>
      </c>
      <c r="I30" s="24" t="s">
        <v>32</v>
      </c>
      <c r="J30" s="24" t="s">
        <v>39</v>
      </c>
      <c r="K30" s="24" t="s">
        <v>41</v>
      </c>
      <c r="L30" s="24" t="s">
        <v>26</v>
      </c>
      <c r="M30" s="24" t="s">
        <v>81</v>
      </c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100000</v>
      </c>
      <c r="H31" s="67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145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146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149</v>
      </c>
      <c r="D35" s="73">
        <f>SUM(G31)</f>
        <v>100000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151</v>
      </c>
      <c r="O35" s="76" t="s">
        <v>27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157</v>
      </c>
      <c r="O36" s="81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160</v>
      </c>
      <c r="O37" s="83" t="s">
        <v>42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163</v>
      </c>
      <c r="O38" s="81" t="s">
        <v>81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173</v>
      </c>
      <c r="O41" s="90" t="s">
        <v>174</v>
      </c>
      <c r="P41" s="90" t="s">
        <v>176</v>
      </c>
      <c r="Q41" s="1"/>
      <c r="R41" s="1"/>
      <c r="AC41" s="91" t="s">
        <v>177</v>
      </c>
      <c r="AD41" s="91" t="s">
        <v>178</v>
      </c>
      <c r="AE41" s="91" t="s">
        <v>179</v>
      </c>
      <c r="AF41" s="91" t="s">
        <v>180</v>
      </c>
      <c r="AG41" s="91" t="s">
        <v>181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6">
        <v>8.0</v>
      </c>
      <c r="M53" s="106" t="s">
        <v>217</v>
      </c>
    </row>
    <row r="54" ht="15.75" customHeight="1"/>
    <row r="55" ht="19.5" customHeight="1">
      <c r="K55" s="107" t="s">
        <v>218</v>
      </c>
    </row>
    <row r="56" ht="19.5" customHeight="1">
      <c r="K56" s="108" t="s">
        <v>219</v>
      </c>
      <c r="M56" s="106">
        <v>48.0</v>
      </c>
    </row>
    <row r="57" ht="19.5" customHeight="1">
      <c r="K57" s="110" t="s">
        <v>221</v>
      </c>
      <c r="M57" s="112">
        <f>COUNTIF($I$4:$I$33,"DP")</f>
        <v>18</v>
      </c>
    </row>
    <row r="58" ht="19.5" customHeight="1">
      <c r="K58" s="110" t="s">
        <v>223</v>
      </c>
      <c r="M58" s="112">
        <f>COUNTIFS($I$4:$I$33,"&lt;&gt;DP",$I$4:$I$33,"&lt;&gt;")</f>
        <v>9</v>
      </c>
    </row>
    <row r="59" ht="19.5" customHeight="1">
      <c r="K59" s="115" t="s">
        <v>224</v>
      </c>
      <c r="M59" s="112">
        <f>M57+M58</f>
        <v>27</v>
      </c>
    </row>
    <row r="60" ht="19.5" customHeight="1">
      <c r="K60" s="108" t="s">
        <v>226</v>
      </c>
      <c r="M60" s="118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6" t="s">
        <v>22</v>
      </c>
      <c r="E4" s="14"/>
      <c r="F4" s="18">
        <v>46312.0</v>
      </c>
      <c r="G4" s="20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28</v>
      </c>
      <c r="D5" s="16" t="s">
        <v>23</v>
      </c>
      <c r="E5" s="14"/>
      <c r="F5" s="18">
        <v>46277.0</v>
      </c>
      <c r="G5" s="20"/>
      <c r="H5" s="22">
        <v>100000.0</v>
      </c>
      <c r="I5" s="24" t="s">
        <v>25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19</v>
      </c>
      <c r="D6" s="16" t="s">
        <v>22</v>
      </c>
      <c r="E6" s="14"/>
      <c r="F6" s="35">
        <v>46274.0</v>
      </c>
      <c r="G6" s="20"/>
      <c r="H6" s="22">
        <v>250000.0</v>
      </c>
      <c r="I6" s="24" t="s">
        <v>32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35</v>
      </c>
      <c r="D7" s="16" t="s">
        <v>22</v>
      </c>
      <c r="E7" s="14"/>
      <c r="F7" s="35">
        <v>46274.0</v>
      </c>
      <c r="G7" s="20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43</v>
      </c>
      <c r="D8" s="16" t="s">
        <v>22</v>
      </c>
      <c r="E8" s="14"/>
      <c r="F8" s="40">
        <v>46274.0</v>
      </c>
      <c r="G8" s="20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47</v>
      </c>
      <c r="D9" s="16" t="s">
        <v>48</v>
      </c>
      <c r="E9" s="14"/>
      <c r="F9" s="40">
        <v>46270.0</v>
      </c>
      <c r="G9" s="20"/>
      <c r="H9" s="22">
        <v>100000.0</v>
      </c>
      <c r="I9" s="24" t="s">
        <v>25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53</v>
      </c>
      <c r="D10" s="16" t="s">
        <v>23</v>
      </c>
      <c r="E10" s="14"/>
      <c r="F10" s="40">
        <v>46269.0</v>
      </c>
      <c r="G10" s="20"/>
      <c r="H10" s="22">
        <v>125000.0</v>
      </c>
      <c r="I10" s="24" t="s">
        <v>32</v>
      </c>
      <c r="J10" s="24" t="s">
        <v>39</v>
      </c>
      <c r="K10" s="24" t="s">
        <v>39</v>
      </c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46" t="s">
        <v>57</v>
      </c>
      <c r="D11" s="16" t="s">
        <v>22</v>
      </c>
      <c r="E11" s="14"/>
      <c r="F11" s="35">
        <v>46270.0</v>
      </c>
      <c r="G11" s="20"/>
      <c r="H11" s="22">
        <v>100000.0</v>
      </c>
      <c r="I11" s="24" t="s">
        <v>25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63</v>
      </c>
      <c r="D12" s="16" t="s">
        <v>22</v>
      </c>
      <c r="E12" s="14"/>
      <c r="F12" s="40">
        <v>46273.0</v>
      </c>
      <c r="G12" s="20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68</v>
      </c>
      <c r="D13" s="16" t="s">
        <v>22</v>
      </c>
      <c r="E13" s="14"/>
      <c r="F13" s="35">
        <v>46273.0</v>
      </c>
      <c r="G13" s="20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75</v>
      </c>
      <c r="D14" s="16" t="s">
        <v>23</v>
      </c>
      <c r="E14" s="14"/>
      <c r="F14" s="35">
        <v>46269.0</v>
      </c>
      <c r="G14" s="51">
        <v>200000.0</v>
      </c>
      <c r="H14" s="54"/>
      <c r="I14" s="24" t="s">
        <v>32</v>
      </c>
      <c r="J14" s="24" t="s">
        <v>39</v>
      </c>
      <c r="K14" s="24" t="s">
        <v>39</v>
      </c>
      <c r="L14" s="24" t="s">
        <v>26</v>
      </c>
      <c r="M14" s="24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82</v>
      </c>
      <c r="D15" s="16" t="s">
        <v>23</v>
      </c>
      <c r="E15" s="14"/>
      <c r="F15" s="35">
        <v>46272.0</v>
      </c>
      <c r="G15" s="20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40</v>
      </c>
      <c r="D16" s="16" t="s">
        <v>23</v>
      </c>
      <c r="E16" s="14"/>
      <c r="F16" s="35">
        <v>46269.0</v>
      </c>
      <c r="G16" s="20"/>
      <c r="H16" s="22">
        <v>125000.0</v>
      </c>
      <c r="I16" s="24" t="s">
        <v>32</v>
      </c>
      <c r="J16" s="24" t="s">
        <v>39</v>
      </c>
      <c r="K16" s="24" t="s">
        <v>39</v>
      </c>
      <c r="L16" s="24" t="s">
        <v>26</v>
      </c>
      <c r="M16" s="24" t="s">
        <v>42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89</v>
      </c>
      <c r="D17" s="16" t="s">
        <v>23</v>
      </c>
      <c r="E17" s="14"/>
      <c r="F17" s="35">
        <v>46271.0</v>
      </c>
      <c r="G17" s="20"/>
      <c r="H17" s="22">
        <v>275000.0</v>
      </c>
      <c r="I17" s="24" t="s">
        <v>25</v>
      </c>
      <c r="J17" s="14"/>
      <c r="K17" s="14"/>
      <c r="L17" s="24" t="s">
        <v>26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92</v>
      </c>
      <c r="D18" s="16" t="s">
        <v>23</v>
      </c>
      <c r="E18" s="14"/>
      <c r="F18" s="35">
        <v>46269.0</v>
      </c>
      <c r="G18" s="20"/>
      <c r="H18" s="22">
        <v>150000.0</v>
      </c>
      <c r="I18" s="24" t="s">
        <v>32</v>
      </c>
      <c r="J18" s="24" t="s">
        <v>39</v>
      </c>
      <c r="K18" s="24" t="s">
        <v>39</v>
      </c>
      <c r="L18" s="24" t="s">
        <v>26</v>
      </c>
      <c r="M18" s="24" t="s">
        <v>42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95</v>
      </c>
      <c r="D19" s="16" t="s">
        <v>52</v>
      </c>
      <c r="E19" s="14"/>
      <c r="F19" s="35">
        <v>46269.0</v>
      </c>
      <c r="G19" s="51">
        <v>0.0</v>
      </c>
      <c r="H19" s="22">
        <v>0.0</v>
      </c>
      <c r="I19" s="24" t="s">
        <v>32</v>
      </c>
      <c r="J19" s="24" t="s">
        <v>39</v>
      </c>
      <c r="K19" s="24" t="s">
        <v>39</v>
      </c>
      <c r="L19" s="24" t="s">
        <v>26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101</v>
      </c>
      <c r="D20" s="16" t="s">
        <v>23</v>
      </c>
      <c r="E20" s="14"/>
      <c r="F20" s="35">
        <v>46269.0</v>
      </c>
      <c r="G20" s="51">
        <v>100000.0</v>
      </c>
      <c r="H20" s="54"/>
      <c r="I20" s="24" t="s">
        <v>32</v>
      </c>
      <c r="J20" s="24" t="s">
        <v>39</v>
      </c>
      <c r="K20" s="24" t="s">
        <v>41</v>
      </c>
      <c r="L20" s="24" t="s">
        <v>26</v>
      </c>
      <c r="M20" s="24" t="s">
        <v>42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105</v>
      </c>
      <c r="D21" s="16" t="s">
        <v>23</v>
      </c>
      <c r="E21" s="14"/>
      <c r="F21" s="35">
        <v>46270.0</v>
      </c>
      <c r="G21" s="20"/>
      <c r="H21" s="22">
        <v>425000.0</v>
      </c>
      <c r="I21" s="24" t="s">
        <v>32</v>
      </c>
      <c r="J21" s="14"/>
      <c r="K21" s="14"/>
      <c r="L21" s="24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109</v>
      </c>
      <c r="D22" s="16" t="s">
        <v>22</v>
      </c>
      <c r="E22" s="14"/>
      <c r="F22" s="35">
        <v>46273.0</v>
      </c>
      <c r="G22" s="20"/>
      <c r="H22" s="22">
        <v>100000.0</v>
      </c>
      <c r="I22" s="24" t="s">
        <v>25</v>
      </c>
      <c r="J22" s="14"/>
      <c r="K22" s="14"/>
      <c r="L22" s="24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112</v>
      </c>
      <c r="D23" s="16" t="s">
        <v>22</v>
      </c>
      <c r="E23" s="59"/>
      <c r="F23" s="35">
        <v>46274.0</v>
      </c>
      <c r="G23" s="20"/>
      <c r="H23" s="22">
        <v>100000.0</v>
      </c>
      <c r="I23" s="24" t="s">
        <v>25</v>
      </c>
      <c r="J23" s="59"/>
      <c r="K23" s="59"/>
      <c r="L23" s="24" t="s">
        <v>26</v>
      </c>
      <c r="M23" s="59"/>
      <c r="N23" s="33"/>
      <c r="O23" s="33"/>
      <c r="P23" s="33"/>
      <c r="Q23" s="1"/>
      <c r="R23" s="1"/>
    </row>
    <row r="24" ht="15.75" customHeight="1">
      <c r="A24" s="1"/>
      <c r="B24" s="14"/>
      <c r="C24" s="16" t="s">
        <v>116</v>
      </c>
      <c r="D24" s="16" t="s">
        <v>100</v>
      </c>
      <c r="E24" s="14"/>
      <c r="F24" s="40">
        <v>46274.0</v>
      </c>
      <c r="G24" s="44"/>
      <c r="H24" s="22">
        <v>100000.0</v>
      </c>
      <c r="I24" s="24" t="s">
        <v>25</v>
      </c>
      <c r="J24" s="14"/>
      <c r="K24" s="14"/>
      <c r="L24" s="24" t="s">
        <v>26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6" t="s">
        <v>120</v>
      </c>
      <c r="D25" s="16" t="s">
        <v>23</v>
      </c>
      <c r="E25" s="14"/>
      <c r="F25" s="40">
        <v>46269.0</v>
      </c>
      <c r="G25" s="44"/>
      <c r="H25" s="22">
        <v>150000.0</v>
      </c>
      <c r="I25" s="24" t="s">
        <v>32</v>
      </c>
      <c r="J25" s="24" t="s">
        <v>39</v>
      </c>
      <c r="K25" s="24" t="s">
        <v>41</v>
      </c>
      <c r="L25" s="24" t="s">
        <v>26</v>
      </c>
      <c r="M25" s="24" t="s">
        <v>42</v>
      </c>
      <c r="N25" s="33"/>
      <c r="O25" s="33"/>
      <c r="P25" s="33"/>
      <c r="Q25" s="1"/>
      <c r="R25" s="1"/>
    </row>
    <row r="26" ht="15.75" customHeight="1">
      <c r="A26" s="1"/>
      <c r="B26" s="14"/>
      <c r="C26" s="16" t="s">
        <v>125</v>
      </c>
      <c r="D26" s="16" t="s">
        <v>100</v>
      </c>
      <c r="E26" s="14"/>
      <c r="F26" s="40">
        <v>46274.0</v>
      </c>
      <c r="G26" s="44"/>
      <c r="H26" s="22">
        <v>100000.0</v>
      </c>
      <c r="I26" s="24" t="s">
        <v>25</v>
      </c>
      <c r="J26" s="14"/>
      <c r="K26" s="14"/>
      <c r="L26" s="24" t="s">
        <v>26</v>
      </c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45" t="s">
        <v>128</v>
      </c>
      <c r="D27" s="16" t="s">
        <v>23</v>
      </c>
      <c r="E27" s="14"/>
      <c r="F27" s="40">
        <v>46269.0</v>
      </c>
      <c r="G27" s="62">
        <v>200000.0</v>
      </c>
      <c r="H27" s="54"/>
      <c r="I27" s="24" t="s">
        <v>32</v>
      </c>
      <c r="J27" s="24" t="s">
        <v>39</v>
      </c>
      <c r="K27" s="24" t="s">
        <v>41</v>
      </c>
      <c r="L27" s="24" t="s">
        <v>26</v>
      </c>
      <c r="M27" s="24" t="s">
        <v>42</v>
      </c>
      <c r="N27" s="33"/>
      <c r="O27" s="33"/>
      <c r="P27" s="33"/>
      <c r="Q27" s="1"/>
      <c r="R27" s="1"/>
    </row>
    <row r="28" ht="15.75" customHeight="1">
      <c r="A28" s="1"/>
      <c r="B28" s="14"/>
      <c r="C28" s="63"/>
      <c r="D28" s="63"/>
      <c r="E28" s="14"/>
      <c r="F28" s="14"/>
      <c r="G28" s="44"/>
      <c r="H28" s="54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500000</v>
      </c>
      <c r="H29" s="67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145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146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149</v>
      </c>
      <c r="D33" s="73">
        <f>SUM(G29)</f>
        <v>500000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151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154</v>
      </c>
      <c r="D34" s="79">
        <v>-200000.0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157</v>
      </c>
      <c r="O34" s="81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160</v>
      </c>
      <c r="O35" s="83" t="s">
        <v>42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163</v>
      </c>
      <c r="O36" s="81" t="s">
        <v>42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168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170</v>
      </c>
      <c r="M39" s="90" t="s">
        <v>171</v>
      </c>
      <c r="N39" s="90" t="s">
        <v>173</v>
      </c>
      <c r="O39" s="90" t="s">
        <v>174</v>
      </c>
      <c r="P39" s="90" t="s">
        <v>176</v>
      </c>
      <c r="Q39" s="1"/>
      <c r="R39" s="1"/>
      <c r="AC39" s="91" t="s">
        <v>177</v>
      </c>
      <c r="AD39" s="91" t="s">
        <v>178</v>
      </c>
      <c r="AE39" s="91" t="s">
        <v>179</v>
      </c>
      <c r="AF39" s="91" t="s">
        <v>180</v>
      </c>
      <c r="AG39" s="91" t="s">
        <v>181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</row>
    <row r="50" ht="15.75" customHeight="1">
      <c r="K50" s="103" t="str">
        <f t="shared" ref="K50:K51" si="8">IF(O33="","",O33)</f>
        <v>INDAH</v>
      </c>
      <c r="L50" s="106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7" t="s">
        <v>218</v>
      </c>
    </row>
    <row r="54" ht="19.5" customHeight="1">
      <c r="K54" s="108" t="s">
        <v>219</v>
      </c>
      <c r="M54" s="106">
        <v>50.0</v>
      </c>
    </row>
    <row r="55" ht="19.5" customHeight="1">
      <c r="K55" s="110" t="s">
        <v>221</v>
      </c>
      <c r="M55" s="112">
        <f>COUNTIF($I$4:$I$31,"DP")</f>
        <v>14</v>
      </c>
    </row>
    <row r="56" ht="19.5" customHeight="1">
      <c r="K56" s="110" t="s">
        <v>223</v>
      </c>
      <c r="M56" s="112">
        <f>COUNTIFS($I$4:$I$31,"&lt;&gt;DP",$I$4:$I$31,"&lt;&gt;")</f>
        <v>10</v>
      </c>
    </row>
    <row r="57" ht="19.5" customHeight="1">
      <c r="K57" s="115" t="s">
        <v>224</v>
      </c>
      <c r="M57" s="112">
        <f>M55+M56</f>
        <v>24</v>
      </c>
    </row>
    <row r="58" ht="19.5" customHeight="1">
      <c r="K58" s="108" t="s">
        <v>226</v>
      </c>
      <c r="M58" s="118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16" t="s">
        <v>232</v>
      </c>
      <c r="D4" s="16" t="s">
        <v>100</v>
      </c>
      <c r="E4" s="59"/>
      <c r="F4" s="18">
        <v>46299.0</v>
      </c>
      <c r="G4" s="123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16" t="s">
        <v>91</v>
      </c>
      <c r="D5" s="16" t="s">
        <v>23</v>
      </c>
      <c r="E5" s="59"/>
      <c r="F5" s="18">
        <v>46270.0</v>
      </c>
      <c r="G5" s="123"/>
      <c r="H5" s="22">
        <v>75000.0</v>
      </c>
      <c r="I5" s="24" t="s">
        <v>32</v>
      </c>
      <c r="J5" s="24" t="s">
        <v>39</v>
      </c>
      <c r="K5" s="24" t="s">
        <v>39</v>
      </c>
      <c r="L5" s="24" t="s">
        <v>26</v>
      </c>
      <c r="M5" s="24" t="s">
        <v>81</v>
      </c>
      <c r="N5" s="33"/>
      <c r="O5" s="33"/>
      <c r="P5" s="33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16" t="s">
        <v>237</v>
      </c>
      <c r="D6" s="16" t="s">
        <v>22</v>
      </c>
      <c r="E6" s="59"/>
      <c r="F6" s="35">
        <v>46270.0</v>
      </c>
      <c r="G6" s="123"/>
      <c r="H6" s="22">
        <v>270000.0</v>
      </c>
      <c r="I6" s="24" t="s">
        <v>32</v>
      </c>
      <c r="J6" s="24" t="s">
        <v>39</v>
      </c>
      <c r="K6" s="24" t="s">
        <v>41</v>
      </c>
      <c r="L6" s="24" t="s">
        <v>26</v>
      </c>
      <c r="M6" s="24" t="s">
        <v>81</v>
      </c>
      <c r="N6" s="33"/>
      <c r="O6" s="33"/>
      <c r="P6" s="33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16" t="s">
        <v>241</v>
      </c>
      <c r="D7" s="16" t="s">
        <v>100</v>
      </c>
      <c r="E7" s="59"/>
      <c r="F7" s="35">
        <v>46273.0</v>
      </c>
      <c r="G7" s="123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16" t="s">
        <v>247</v>
      </c>
      <c r="D8" s="16" t="s">
        <v>22</v>
      </c>
      <c r="E8" s="126"/>
      <c r="F8" s="35">
        <v>46298.0</v>
      </c>
      <c r="G8" s="123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16" t="s">
        <v>252</v>
      </c>
      <c r="D9" s="16" t="s">
        <v>23</v>
      </c>
      <c r="E9" s="59"/>
      <c r="F9" s="35">
        <v>46270.0</v>
      </c>
      <c r="G9" s="128">
        <v>780000.0</v>
      </c>
      <c r="H9" s="22">
        <v>70000.0</v>
      </c>
      <c r="I9" s="24" t="s">
        <v>32</v>
      </c>
      <c r="J9" s="24" t="s">
        <v>39</v>
      </c>
      <c r="K9" s="24" t="s">
        <v>39</v>
      </c>
      <c r="L9" s="24" t="s">
        <v>26</v>
      </c>
      <c r="M9" s="24" t="s">
        <v>81</v>
      </c>
      <c r="N9" s="33"/>
      <c r="O9" s="33"/>
      <c r="P9" s="33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16" t="s">
        <v>256</v>
      </c>
      <c r="D10" s="16" t="s">
        <v>257</v>
      </c>
      <c r="E10" s="59"/>
      <c r="F10" s="35">
        <v>46270.0</v>
      </c>
      <c r="G10" s="128">
        <v>50000.0</v>
      </c>
      <c r="H10" s="54"/>
      <c r="I10" s="24" t="s">
        <v>32</v>
      </c>
      <c r="J10" s="24" t="s">
        <v>39</v>
      </c>
      <c r="K10" s="24" t="s">
        <v>39</v>
      </c>
      <c r="L10" s="24" t="s">
        <v>26</v>
      </c>
      <c r="M10" s="24" t="s">
        <v>81</v>
      </c>
      <c r="N10" s="33"/>
      <c r="O10" s="33"/>
      <c r="P10" s="33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9" t="s">
        <v>57</v>
      </c>
      <c r="D11" s="16" t="s">
        <v>22</v>
      </c>
      <c r="E11" s="126"/>
      <c r="F11" s="130">
        <v>46270.0</v>
      </c>
      <c r="G11" s="128">
        <v>250000.0</v>
      </c>
      <c r="H11" s="54"/>
      <c r="I11" s="24" t="s">
        <v>32</v>
      </c>
      <c r="J11" s="24" t="s">
        <v>39</v>
      </c>
      <c r="K11" s="24" t="s">
        <v>39</v>
      </c>
      <c r="L11" s="24" t="s">
        <v>26</v>
      </c>
      <c r="M11" s="24" t="s">
        <v>81</v>
      </c>
      <c r="N11" s="33"/>
      <c r="O11" s="33"/>
      <c r="P11" s="33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16" t="s">
        <v>47</v>
      </c>
      <c r="D12" s="16" t="s">
        <v>48</v>
      </c>
      <c r="E12" s="126"/>
      <c r="F12" s="40">
        <v>46270.0</v>
      </c>
      <c r="G12" s="123"/>
      <c r="H12" s="22">
        <v>250000.0</v>
      </c>
      <c r="I12" s="24" t="s">
        <v>32</v>
      </c>
      <c r="J12" s="24" t="s">
        <v>39</v>
      </c>
      <c r="K12" s="24" t="s">
        <v>41</v>
      </c>
      <c r="L12" s="24" t="s">
        <v>27</v>
      </c>
      <c r="M12" s="24" t="s">
        <v>81</v>
      </c>
      <c r="N12" s="33"/>
      <c r="O12" s="33"/>
      <c r="P12" s="33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16" t="s">
        <v>266</v>
      </c>
      <c r="D13" s="16" t="s">
        <v>22</v>
      </c>
      <c r="E13" s="14"/>
      <c r="F13" s="24" t="s">
        <v>267</v>
      </c>
      <c r="G13" s="44"/>
      <c r="H13" s="22">
        <v>100000.0</v>
      </c>
      <c r="I13" s="24" t="s">
        <v>25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16" t="s">
        <v>271</v>
      </c>
      <c r="D14" s="16" t="s">
        <v>52</v>
      </c>
      <c r="E14" s="14"/>
      <c r="F14" s="40">
        <v>46270.0</v>
      </c>
      <c r="G14" s="44"/>
      <c r="H14" s="22">
        <v>100000.0</v>
      </c>
      <c r="I14" s="24" t="s">
        <v>25</v>
      </c>
      <c r="J14" s="14"/>
      <c r="K14" s="14"/>
      <c r="L14" s="24" t="s">
        <v>27</v>
      </c>
      <c r="M14" s="14"/>
      <c r="N14" s="33"/>
      <c r="O14" s="33"/>
      <c r="P14" s="33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16" t="s">
        <v>274</v>
      </c>
      <c r="D15" s="16" t="s">
        <v>23</v>
      </c>
      <c r="E15" s="14"/>
      <c r="F15" s="24" t="s">
        <v>86</v>
      </c>
      <c r="G15" s="44"/>
      <c r="H15" s="22">
        <v>200000.0</v>
      </c>
      <c r="I15" s="24" t="s">
        <v>32</v>
      </c>
      <c r="J15" s="24" t="s">
        <v>39</v>
      </c>
      <c r="K15" s="24" t="s">
        <v>41</v>
      </c>
      <c r="L15" s="24" t="s">
        <v>27</v>
      </c>
      <c r="M15" s="24" t="s">
        <v>81</v>
      </c>
      <c r="N15" s="33"/>
      <c r="O15" s="33"/>
      <c r="P15" s="33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16" t="s">
        <v>269</v>
      </c>
      <c r="D16" s="16" t="s">
        <v>23</v>
      </c>
      <c r="E16" s="14"/>
      <c r="F16" s="24" t="s">
        <v>56</v>
      </c>
      <c r="G16" s="44"/>
      <c r="H16" s="22">
        <v>100000.0</v>
      </c>
      <c r="I16" s="24" t="s">
        <v>25</v>
      </c>
      <c r="J16" s="14"/>
      <c r="K16" s="14"/>
      <c r="L16" s="24" t="s">
        <v>27</v>
      </c>
      <c r="M16" s="14"/>
      <c r="N16" s="33"/>
      <c r="O16" s="33"/>
      <c r="P16" s="33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16" t="s">
        <v>280</v>
      </c>
      <c r="D17" s="16" t="s">
        <v>239</v>
      </c>
      <c r="E17" s="24" t="s">
        <v>282</v>
      </c>
      <c r="F17" s="24" t="s">
        <v>86</v>
      </c>
      <c r="G17" s="62">
        <v>50000.0</v>
      </c>
      <c r="H17" s="54"/>
      <c r="I17" s="24" t="s">
        <v>32</v>
      </c>
      <c r="J17" s="24" t="s">
        <v>39</v>
      </c>
      <c r="K17" s="24" t="s">
        <v>39</v>
      </c>
      <c r="L17" s="24" t="s">
        <v>27</v>
      </c>
      <c r="M17" s="24" t="s">
        <v>81</v>
      </c>
      <c r="N17" s="33"/>
      <c r="O17" s="33"/>
      <c r="P17" s="33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16" t="s">
        <v>271</v>
      </c>
      <c r="D18" s="16" t="s">
        <v>23</v>
      </c>
      <c r="E18" s="14"/>
      <c r="F18" s="24" t="s">
        <v>283</v>
      </c>
      <c r="G18" s="62">
        <v>75000.0</v>
      </c>
      <c r="H18" s="54"/>
      <c r="I18" s="24" t="s">
        <v>32</v>
      </c>
      <c r="J18" s="24" t="s">
        <v>39</v>
      </c>
      <c r="K18" s="24" t="s">
        <v>39</v>
      </c>
      <c r="L18" s="24" t="s">
        <v>27</v>
      </c>
      <c r="M18" s="24" t="s">
        <v>81</v>
      </c>
      <c r="N18" s="33"/>
      <c r="O18" s="33"/>
      <c r="P18" s="33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24">
        <v>16.0</v>
      </c>
      <c r="C19" s="16" t="s">
        <v>85</v>
      </c>
      <c r="D19" s="16" t="s">
        <v>23</v>
      </c>
      <c r="E19" s="14"/>
      <c r="F19" s="24" t="s">
        <v>86</v>
      </c>
      <c r="G19" s="44"/>
      <c r="H19" s="22">
        <v>200000.0</v>
      </c>
      <c r="I19" s="24" t="s">
        <v>32</v>
      </c>
      <c r="J19" s="24" t="s">
        <v>39</v>
      </c>
      <c r="K19" s="24" t="s">
        <v>39</v>
      </c>
      <c r="L19" s="24" t="s">
        <v>27</v>
      </c>
      <c r="M19" s="24" t="s">
        <v>81</v>
      </c>
      <c r="N19" s="33"/>
      <c r="O19" s="33"/>
      <c r="P19" s="33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24">
        <v>17.0</v>
      </c>
      <c r="C20" s="16" t="s">
        <v>288</v>
      </c>
      <c r="D20" s="16" t="s">
        <v>23</v>
      </c>
      <c r="E20" s="24" t="s">
        <v>289</v>
      </c>
      <c r="F20" s="24" t="s">
        <v>86</v>
      </c>
      <c r="G20" s="44"/>
      <c r="H20" s="54"/>
      <c r="I20" s="24" t="s">
        <v>32</v>
      </c>
      <c r="J20" s="24" t="s">
        <v>39</v>
      </c>
      <c r="K20" s="24" t="s">
        <v>39</v>
      </c>
      <c r="L20" s="24" t="s">
        <v>27</v>
      </c>
      <c r="M20" s="24" t="s">
        <v>81</v>
      </c>
      <c r="N20" s="33"/>
      <c r="O20" s="33"/>
      <c r="P20" s="33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24">
        <v>18.0</v>
      </c>
      <c r="C21" s="16" t="s">
        <v>291</v>
      </c>
      <c r="D21" s="16" t="s">
        <v>22</v>
      </c>
      <c r="E21" s="35"/>
      <c r="F21" s="24" t="s">
        <v>33</v>
      </c>
      <c r="G21" s="44"/>
      <c r="H21" s="22">
        <v>100000.0</v>
      </c>
      <c r="I21" s="24" t="s">
        <v>25</v>
      </c>
      <c r="J21" s="14"/>
      <c r="K21" s="14"/>
      <c r="L21" s="24" t="s">
        <v>27</v>
      </c>
      <c r="M21" s="24" t="s">
        <v>81</v>
      </c>
      <c r="N21" s="33"/>
      <c r="O21" s="33"/>
      <c r="P21" s="33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24">
        <v>19.0</v>
      </c>
      <c r="C22" s="63"/>
      <c r="D22" s="63"/>
      <c r="E22" s="14"/>
      <c r="F22" s="138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24">
        <v>10.0</v>
      </c>
      <c r="C23" s="63"/>
      <c r="D23" s="63"/>
      <c r="E23" s="14"/>
      <c r="F23" s="138"/>
      <c r="G23" s="44"/>
      <c r="H23" s="54"/>
      <c r="I23" s="14"/>
      <c r="J23" s="14"/>
      <c r="K23" s="14"/>
      <c r="L23" s="14"/>
      <c r="M23" s="14"/>
      <c r="N23" s="64"/>
      <c r="O23" s="64"/>
      <c r="P23" s="64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1205000</v>
      </c>
      <c r="H24" s="67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145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146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149</v>
      </c>
      <c r="D28" s="73">
        <f>SUM(G24)</f>
        <v>1205000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151</v>
      </c>
      <c r="O28" s="76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7">
        <v>2.0</v>
      </c>
      <c r="C29" s="78" t="s">
        <v>307</v>
      </c>
      <c r="D29" s="79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157</v>
      </c>
      <c r="O29" s="81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2" t="s">
        <v>160</v>
      </c>
      <c r="O30" s="83" t="s">
        <v>81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163</v>
      </c>
      <c r="O31" s="81" t="s">
        <v>81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168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173</v>
      </c>
      <c r="O34" s="90" t="s">
        <v>174</v>
      </c>
      <c r="P34" s="90" t="s">
        <v>176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41" t="s">
        <v>177</v>
      </c>
      <c r="AD34" s="141" t="s">
        <v>178</v>
      </c>
      <c r="AE34" s="141" t="s">
        <v>179</v>
      </c>
      <c r="AF34" s="141" t="s">
        <v>180</v>
      </c>
      <c r="AG34" s="141" t="s">
        <v>181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41">
        <f t="shared" ref="AC35:AC40" si="3">IF(AG35="","",IF(COUNT(L35:P35)&lt;5,"",L35/5*20+M35/5*25+N35/5*25+O35/5*15+P35/5*15))</f>
        <v>100</v>
      </c>
      <c r="AD35" s="141" t="str">
        <f t="shared" ref="AD35:AD40" si="4">IF(AC35="","",IF(AC35&gt;=90,"Sangat Baik",IF(AC35&gt;=80,"Baik",IF(AC35&gt;=70,"Coaching","Underperform"))))</f>
        <v>Sangat Baik</v>
      </c>
      <c r="AE35" s="141" t="str">
        <f t="shared" ref="AE35:AE40" si="5">IF(AG35="","",IF(OR(AG35="INDAH",AG35="ADDEL",AG35="AMEL",AG35="PENTIL",AG35="JIJANG"),"Admin/CS","Fotografer"))</f>
        <v>Admin/CS</v>
      </c>
      <c r="AF35" s="141">
        <f t="shared" ref="AF35:AF40" si="6">IF(OR(AG35="",COUNT(L35:P35)&lt;5),"",1)</f>
        <v>1</v>
      </c>
      <c r="AG35" s="141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41">
        <f t="shared" si="3"/>
        <v>100</v>
      </c>
      <c r="AD36" s="141" t="str">
        <f t="shared" si="4"/>
        <v>Sangat Baik</v>
      </c>
      <c r="AE36" s="141" t="str">
        <f t="shared" si="5"/>
        <v>Admin/CS</v>
      </c>
      <c r="AF36" s="141">
        <f t="shared" si="6"/>
        <v>1</v>
      </c>
      <c r="AG36" s="141" t="str">
        <f t="shared" si="7"/>
        <v>AMEL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41">
        <f t="shared" si="3"/>
        <v>100</v>
      </c>
      <c r="AD37" s="141" t="str">
        <f t="shared" si="4"/>
        <v>Sangat Baik</v>
      </c>
      <c r="AE37" s="141" t="str">
        <f t="shared" si="5"/>
        <v>Fotografer</v>
      </c>
      <c r="AF37" s="141">
        <f t="shared" si="6"/>
        <v>1</v>
      </c>
      <c r="AG37" s="14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41">
        <f t="shared" si="3"/>
        <v>100</v>
      </c>
      <c r="AD38" s="141" t="str">
        <f t="shared" si="4"/>
        <v>Sangat Baik</v>
      </c>
      <c r="AE38" s="141" t="str">
        <f t="shared" si="5"/>
        <v>Fotografer</v>
      </c>
      <c r="AF38" s="141">
        <f t="shared" si="6"/>
        <v>1</v>
      </c>
      <c r="AG38" s="141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41" t="str">
        <f t="shared" si="3"/>
        <v/>
      </c>
      <c r="AD39" s="141" t="str">
        <f t="shared" si="4"/>
        <v/>
      </c>
      <c r="AE39" s="141" t="str">
        <f t="shared" si="5"/>
        <v/>
      </c>
      <c r="AF39" s="141" t="str">
        <f t="shared" si="6"/>
        <v/>
      </c>
      <c r="AG39" s="14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41" t="str">
        <f t="shared" si="3"/>
        <v/>
      </c>
      <c r="AD40" s="141" t="str">
        <f t="shared" si="4"/>
        <v/>
      </c>
      <c r="AE40" s="141" t="str">
        <f t="shared" si="5"/>
        <v/>
      </c>
      <c r="AF40" s="141" t="str">
        <f t="shared" si="6"/>
        <v/>
      </c>
      <c r="AG40" s="14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2" t="s">
        <v>7</v>
      </c>
      <c r="L44" s="102" t="s">
        <v>214</v>
      </c>
      <c r="M44" s="102" t="s">
        <v>215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6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6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7" t="s">
        <v>218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8" t="s">
        <v>219</v>
      </c>
      <c r="M49" s="106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0" t="s">
        <v>221</v>
      </c>
      <c r="M50" s="112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0" t="s">
        <v>223</v>
      </c>
      <c r="M51" s="112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5" t="s">
        <v>224</v>
      </c>
      <c r="M52" s="112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8" t="s">
        <v>226</v>
      </c>
      <c r="M53" s="118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233</v>
      </c>
      <c r="D4" s="19" t="s">
        <v>22</v>
      </c>
      <c r="E4" s="21"/>
      <c r="F4" s="23" t="s">
        <v>60</v>
      </c>
      <c r="G4" s="25"/>
      <c r="H4" s="26">
        <v>100000.0</v>
      </c>
      <c r="I4" s="23" t="s">
        <v>25</v>
      </c>
      <c r="J4" s="28"/>
      <c r="K4" s="28"/>
      <c r="L4" s="23" t="s">
        <v>27</v>
      </c>
      <c r="M4" s="28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235</v>
      </c>
      <c r="D5" s="19" t="s">
        <v>23</v>
      </c>
      <c r="E5" s="21"/>
      <c r="F5" s="23" t="s">
        <v>56</v>
      </c>
      <c r="G5" s="25"/>
      <c r="H5" s="26">
        <v>100000.0</v>
      </c>
      <c r="I5" s="23" t="s">
        <v>25</v>
      </c>
      <c r="J5" s="28"/>
      <c r="K5" s="28"/>
      <c r="L5" s="23" t="s">
        <v>27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236</v>
      </c>
      <c r="D6" s="19" t="s">
        <v>23</v>
      </c>
      <c r="E6" s="21"/>
      <c r="F6" s="23" t="s">
        <v>72</v>
      </c>
      <c r="G6" s="25"/>
      <c r="H6" s="26">
        <v>100000.0</v>
      </c>
      <c r="I6" s="23" t="s">
        <v>25</v>
      </c>
      <c r="J6" s="15"/>
      <c r="K6" s="15"/>
      <c r="L6" s="23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45" t="s">
        <v>240</v>
      </c>
      <c r="D7" s="19" t="s">
        <v>22</v>
      </c>
      <c r="E7" s="21"/>
      <c r="F7" s="23" t="s">
        <v>36</v>
      </c>
      <c r="G7" s="38"/>
      <c r="H7" s="39">
        <v>100000.0</v>
      </c>
      <c r="I7" s="23" t="s">
        <v>25</v>
      </c>
      <c r="J7" s="15"/>
      <c r="K7" s="15"/>
      <c r="L7" s="23" t="s">
        <v>27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245</v>
      </c>
      <c r="D8" s="19" t="s">
        <v>246</v>
      </c>
      <c r="E8" s="125">
        <v>2.0</v>
      </c>
      <c r="F8" s="41">
        <v>46271.0</v>
      </c>
      <c r="G8" s="56">
        <v>50000.0</v>
      </c>
      <c r="H8" s="26">
        <v>50000.0</v>
      </c>
      <c r="I8" s="23" t="s">
        <v>32</v>
      </c>
      <c r="J8" s="124" t="s">
        <v>39</v>
      </c>
      <c r="K8" s="124" t="s">
        <v>39</v>
      </c>
      <c r="L8" s="23" t="s">
        <v>27</v>
      </c>
      <c r="M8" s="1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251</v>
      </c>
      <c r="D9" s="19" t="s">
        <v>239</v>
      </c>
      <c r="E9" s="21"/>
      <c r="F9" s="23" t="s">
        <v>72</v>
      </c>
      <c r="G9" s="38"/>
      <c r="H9" s="39">
        <v>50000.0</v>
      </c>
      <c r="I9" s="23" t="s">
        <v>32</v>
      </c>
      <c r="J9" s="15"/>
      <c r="K9" s="15"/>
      <c r="L9" s="23" t="s">
        <v>27</v>
      </c>
      <c r="M9" s="15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253</v>
      </c>
      <c r="D10" s="19" t="s">
        <v>22</v>
      </c>
      <c r="E10" s="31"/>
      <c r="F10" s="23" t="s">
        <v>60</v>
      </c>
      <c r="G10" s="38"/>
      <c r="H10" s="39">
        <v>100000.0</v>
      </c>
      <c r="I10" s="23" t="s">
        <v>25</v>
      </c>
      <c r="J10" s="15"/>
      <c r="K10" s="15"/>
      <c r="L10" s="23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258</v>
      </c>
      <c r="D11" s="17" t="s">
        <v>22</v>
      </c>
      <c r="E11" s="15"/>
      <c r="F11" s="24" t="s">
        <v>56</v>
      </c>
      <c r="G11" s="44"/>
      <c r="H11" s="22">
        <v>100000.0</v>
      </c>
      <c r="I11" s="24" t="s">
        <v>25</v>
      </c>
      <c r="J11" s="14"/>
      <c r="K11" s="14"/>
      <c r="L11" s="23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262</v>
      </c>
      <c r="D12" s="17" t="s">
        <v>22</v>
      </c>
      <c r="E12" s="15"/>
      <c r="F12" s="24" t="s">
        <v>137</v>
      </c>
      <c r="G12" s="44"/>
      <c r="H12" s="22">
        <v>100000.0</v>
      </c>
      <c r="I12" s="24" t="s">
        <v>25</v>
      </c>
      <c r="J12" s="14"/>
      <c r="K12" s="14"/>
      <c r="L12" s="24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265</v>
      </c>
      <c r="D13" s="17" t="s">
        <v>22</v>
      </c>
      <c r="E13" s="15"/>
      <c r="F13" s="24" t="s">
        <v>211</v>
      </c>
      <c r="G13" s="44"/>
      <c r="H13" s="22">
        <v>100000.0</v>
      </c>
      <c r="I13" s="24" t="s">
        <v>25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269</v>
      </c>
      <c r="D14" s="17" t="s">
        <v>23</v>
      </c>
      <c r="E14" s="15"/>
      <c r="F14" s="24" t="s">
        <v>56</v>
      </c>
      <c r="G14" s="44"/>
      <c r="H14" s="22">
        <v>525000.0</v>
      </c>
      <c r="I14" s="24" t="s">
        <v>32</v>
      </c>
      <c r="J14" s="24" t="s">
        <v>39</v>
      </c>
      <c r="K14" s="24" t="s">
        <v>39</v>
      </c>
      <c r="L14" s="24" t="s">
        <v>27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273</v>
      </c>
      <c r="D15" s="17" t="s">
        <v>48</v>
      </c>
      <c r="E15" s="15"/>
      <c r="F15" s="24" t="s">
        <v>56</v>
      </c>
      <c r="G15" s="44"/>
      <c r="H15" s="22">
        <v>250000.0</v>
      </c>
      <c r="I15" s="24" t="s">
        <v>32</v>
      </c>
      <c r="J15" s="24" t="s">
        <v>39</v>
      </c>
      <c r="K15" s="24" t="s">
        <v>39</v>
      </c>
      <c r="L15" s="24" t="s">
        <v>27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277</v>
      </c>
      <c r="D16" s="17" t="s">
        <v>48</v>
      </c>
      <c r="E16" s="15"/>
      <c r="F16" s="24" t="s">
        <v>56</v>
      </c>
      <c r="G16" s="44"/>
      <c r="H16" s="22">
        <v>200000.0</v>
      </c>
      <c r="I16" s="24" t="s">
        <v>32</v>
      </c>
      <c r="J16" s="24" t="s">
        <v>39</v>
      </c>
      <c r="K16" s="24" t="s">
        <v>39</v>
      </c>
      <c r="L16" s="24" t="s">
        <v>27</v>
      </c>
      <c r="M16" s="24" t="s">
        <v>42</v>
      </c>
      <c r="N16" s="33"/>
      <c r="O16" s="33"/>
      <c r="P16" s="33"/>
      <c r="Q16" s="1"/>
      <c r="R16" s="1"/>
    </row>
    <row r="17" ht="15.75" customHeight="1">
      <c r="A17" s="1"/>
      <c r="B17" s="24">
        <v>14.0</v>
      </c>
      <c r="C17" s="16" t="s">
        <v>235</v>
      </c>
      <c r="D17" s="17" t="s">
        <v>23</v>
      </c>
      <c r="E17" s="15"/>
      <c r="F17" s="24" t="s">
        <v>56</v>
      </c>
      <c r="G17" s="44"/>
      <c r="H17" s="22">
        <v>150000.0</v>
      </c>
      <c r="I17" s="24" t="s">
        <v>32</v>
      </c>
      <c r="J17" s="24" t="s">
        <v>39</v>
      </c>
      <c r="K17" s="24" t="s">
        <v>39</v>
      </c>
      <c r="L17" s="24" t="s">
        <v>27</v>
      </c>
      <c r="M17" s="24" t="s">
        <v>42</v>
      </c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6" t="s">
        <v>63</v>
      </c>
      <c r="D18" s="17" t="s">
        <v>22</v>
      </c>
      <c r="E18" s="15"/>
      <c r="F18" s="24" t="s">
        <v>60</v>
      </c>
      <c r="G18" s="44"/>
      <c r="H18" s="22">
        <v>250000.0</v>
      </c>
      <c r="I18" s="24" t="s">
        <v>32</v>
      </c>
      <c r="J18" s="24"/>
      <c r="K18" s="24"/>
      <c r="L18" s="24" t="s">
        <v>27</v>
      </c>
      <c r="M18" s="24"/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6" t="s">
        <v>285</v>
      </c>
      <c r="D19" s="17" t="s">
        <v>100</v>
      </c>
      <c r="E19" s="15"/>
      <c r="F19" s="24" t="s">
        <v>56</v>
      </c>
      <c r="G19" s="44"/>
      <c r="H19" s="22">
        <v>400000.0</v>
      </c>
      <c r="I19" s="24" t="s">
        <v>32</v>
      </c>
      <c r="J19" s="24" t="s">
        <v>39</v>
      </c>
      <c r="K19" s="24" t="s">
        <v>41</v>
      </c>
      <c r="L19" s="24" t="s">
        <v>27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6" t="s">
        <v>286</v>
      </c>
      <c r="D20" s="17" t="s">
        <v>22</v>
      </c>
      <c r="E20" s="15"/>
      <c r="F20" s="24" t="s">
        <v>60</v>
      </c>
      <c r="G20" s="44"/>
      <c r="H20" s="22">
        <v>100000.0</v>
      </c>
      <c r="I20" s="24" t="s">
        <v>25</v>
      </c>
      <c r="J20" s="24"/>
      <c r="K20" s="24"/>
      <c r="L20" s="24" t="s">
        <v>27</v>
      </c>
      <c r="M20" s="24"/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6" t="s">
        <v>281</v>
      </c>
      <c r="D21" s="17" t="s">
        <v>22</v>
      </c>
      <c r="E21" s="15"/>
      <c r="F21" s="24" t="s">
        <v>72</v>
      </c>
      <c r="G21" s="44"/>
      <c r="H21" s="22">
        <v>100000.0</v>
      </c>
      <c r="I21" s="24" t="s">
        <v>25</v>
      </c>
      <c r="J21" s="24"/>
      <c r="K21" s="24"/>
      <c r="L21" s="24" t="s">
        <v>27</v>
      </c>
      <c r="M21" s="24"/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6" t="s">
        <v>89</v>
      </c>
      <c r="D22" s="17" t="s">
        <v>23</v>
      </c>
      <c r="E22" s="15"/>
      <c r="F22" s="24" t="s">
        <v>56</v>
      </c>
      <c r="G22" s="44"/>
      <c r="H22" s="22">
        <v>350000.0</v>
      </c>
      <c r="I22" s="24" t="s">
        <v>32</v>
      </c>
      <c r="J22" s="24" t="s">
        <v>39</v>
      </c>
      <c r="K22" s="24" t="s">
        <v>41</v>
      </c>
      <c r="L22" s="24" t="s">
        <v>27</v>
      </c>
      <c r="M22" s="24" t="s">
        <v>42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6" t="s">
        <v>293</v>
      </c>
      <c r="D23" s="17" t="s">
        <v>23</v>
      </c>
      <c r="E23" s="15"/>
      <c r="F23" s="24" t="s">
        <v>56</v>
      </c>
      <c r="G23" s="62">
        <v>125000.0</v>
      </c>
      <c r="H23" s="54"/>
      <c r="I23" s="24" t="s">
        <v>32</v>
      </c>
      <c r="J23" s="24" t="s">
        <v>39</v>
      </c>
      <c r="K23" s="24" t="s">
        <v>39</v>
      </c>
      <c r="L23" s="24" t="s">
        <v>27</v>
      </c>
      <c r="M23" s="24" t="s">
        <v>42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175000</v>
      </c>
      <c r="H26" s="67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175000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120"/>
      <c r="D31" s="121"/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139"/>
      <c r="D32" s="140"/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83" t="s">
        <v>81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81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6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29.0</v>
      </c>
    </row>
    <row r="52" ht="19.5" customHeight="1">
      <c r="K52" s="110" t="s">
        <v>221</v>
      </c>
      <c r="M52" s="112">
        <f>COUNTIF($I$4:$I$28,"DP")</f>
        <v>10</v>
      </c>
    </row>
    <row r="53" ht="19.5" customHeight="1">
      <c r="K53" s="110" t="s">
        <v>223</v>
      </c>
      <c r="M53" s="112">
        <f>COUNTIFS($I$4:$I$28,"&lt;&gt;DP",$I$4:$I$28,"&lt;&gt;")</f>
        <v>10</v>
      </c>
    </row>
    <row r="54" ht="19.5" customHeight="1">
      <c r="K54" s="115" t="s">
        <v>224</v>
      </c>
      <c r="M54" s="112">
        <f>M52+M53</f>
        <v>20</v>
      </c>
    </row>
    <row r="55" ht="19.5" customHeight="1">
      <c r="K55" s="108" t="s">
        <v>226</v>
      </c>
      <c r="M55" s="118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234</v>
      </c>
      <c r="D4" s="19" t="s">
        <v>22</v>
      </c>
      <c r="E4" s="21"/>
      <c r="F4" s="23" t="s">
        <v>60</v>
      </c>
      <c r="G4" s="25"/>
      <c r="H4" s="26">
        <v>250000.0</v>
      </c>
      <c r="I4" s="23" t="s">
        <v>32</v>
      </c>
      <c r="J4" s="28"/>
      <c r="K4" s="28"/>
      <c r="L4" s="23" t="s">
        <v>27</v>
      </c>
      <c r="M4" s="28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238</v>
      </c>
      <c r="D5" s="19" t="s">
        <v>239</v>
      </c>
      <c r="E5" s="21"/>
      <c r="F5" s="23" t="s">
        <v>72</v>
      </c>
      <c r="G5" s="25"/>
      <c r="H5" s="26" t="s">
        <v>55</v>
      </c>
      <c r="I5" s="23" t="s">
        <v>32</v>
      </c>
      <c r="J5" s="124" t="s">
        <v>39</v>
      </c>
      <c r="K5" s="124" t="s">
        <v>41</v>
      </c>
      <c r="L5" s="23" t="s">
        <v>27</v>
      </c>
      <c r="M5" s="124" t="s">
        <v>42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242</v>
      </c>
      <c r="D6" s="19" t="s">
        <v>243</v>
      </c>
      <c r="E6" s="49"/>
      <c r="F6" s="23" t="s">
        <v>244</v>
      </c>
      <c r="G6" s="38"/>
      <c r="H6" s="26">
        <v>25000.0</v>
      </c>
      <c r="I6" s="23" t="s">
        <v>32</v>
      </c>
      <c r="J6" s="23" t="s">
        <v>39</v>
      </c>
      <c r="K6" s="23" t="s">
        <v>39</v>
      </c>
      <c r="L6" s="23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248</v>
      </c>
      <c r="D7" s="19" t="s">
        <v>22</v>
      </c>
      <c r="E7" s="125" t="s">
        <v>250</v>
      </c>
      <c r="F7" s="23" t="s">
        <v>72</v>
      </c>
      <c r="G7" s="56">
        <v>455000.0</v>
      </c>
      <c r="H7" s="57"/>
      <c r="I7" s="23" t="s">
        <v>32</v>
      </c>
      <c r="J7" s="124" t="s">
        <v>39</v>
      </c>
      <c r="K7" s="124" t="s">
        <v>41</v>
      </c>
      <c r="L7" s="23" t="s">
        <v>27</v>
      </c>
      <c r="M7" s="124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197</v>
      </c>
      <c r="D8" s="19" t="s">
        <v>22</v>
      </c>
      <c r="E8" s="21"/>
      <c r="F8" s="30">
        <v>46298.0</v>
      </c>
      <c r="G8" s="25"/>
      <c r="H8" s="26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255</v>
      </c>
      <c r="D9" s="19" t="s">
        <v>22</v>
      </c>
      <c r="E9" s="21"/>
      <c r="F9" s="30">
        <v>46272.0</v>
      </c>
      <c r="G9" s="56">
        <v>250000.0</v>
      </c>
      <c r="H9" s="57"/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259</v>
      </c>
      <c r="D10" s="19" t="s">
        <v>23</v>
      </c>
      <c r="E10" s="37"/>
      <c r="F10" s="30">
        <v>46276.0</v>
      </c>
      <c r="G10" s="25"/>
      <c r="H10" s="26">
        <v>100000.0</v>
      </c>
      <c r="I10" s="24" t="s">
        <v>25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263</v>
      </c>
      <c r="D11" s="19" t="s">
        <v>243</v>
      </c>
      <c r="E11" s="132" t="s">
        <v>264</v>
      </c>
      <c r="F11" s="30">
        <v>46267.0</v>
      </c>
      <c r="G11" s="25"/>
      <c r="H11" s="26">
        <v>75000.0</v>
      </c>
      <c r="I11" s="24" t="s">
        <v>32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268</v>
      </c>
      <c r="D12" s="19" t="s">
        <v>70</v>
      </c>
      <c r="E12" s="21"/>
      <c r="F12" s="30">
        <v>46272.0</v>
      </c>
      <c r="G12" s="56">
        <v>0.0</v>
      </c>
      <c r="H12" s="26">
        <v>0.0</v>
      </c>
      <c r="I12" s="24" t="s">
        <v>32</v>
      </c>
      <c r="J12" s="24" t="s">
        <v>39</v>
      </c>
      <c r="K12" s="24" t="s">
        <v>41</v>
      </c>
      <c r="L12" s="24" t="s">
        <v>26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82</v>
      </c>
      <c r="D13" s="19" t="s">
        <v>23</v>
      </c>
      <c r="E13" s="21"/>
      <c r="F13" s="30">
        <v>46272.0</v>
      </c>
      <c r="G13" s="25"/>
      <c r="H13" s="26">
        <v>125000.0</v>
      </c>
      <c r="I13" s="24" t="s">
        <v>32</v>
      </c>
      <c r="J13" s="24" t="s">
        <v>39</v>
      </c>
      <c r="K13" s="24" t="s">
        <v>39</v>
      </c>
      <c r="L13" s="24" t="s">
        <v>26</v>
      </c>
      <c r="M13" s="24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275</v>
      </c>
      <c r="D14" s="19" t="s">
        <v>22</v>
      </c>
      <c r="E14" s="21"/>
      <c r="F14" s="30">
        <v>46273.0</v>
      </c>
      <c r="G14" s="25"/>
      <c r="H14" s="26">
        <v>350000.0</v>
      </c>
      <c r="I14" s="24" t="s">
        <v>32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278</v>
      </c>
      <c r="D15" s="19" t="s">
        <v>22</v>
      </c>
      <c r="E15" s="21"/>
      <c r="F15" s="30">
        <v>46276.0</v>
      </c>
      <c r="G15" s="25"/>
      <c r="H15" s="26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281</v>
      </c>
      <c r="D16" s="19" t="s">
        <v>22</v>
      </c>
      <c r="E16" s="21"/>
      <c r="F16" s="30">
        <v>46272.0</v>
      </c>
      <c r="G16" s="25"/>
      <c r="H16" s="26">
        <v>250000.0</v>
      </c>
      <c r="I16" s="24" t="s">
        <v>32</v>
      </c>
      <c r="J16" s="24" t="s">
        <v>39</v>
      </c>
      <c r="K16" s="24" t="s">
        <v>41</v>
      </c>
      <c r="L16" s="24" t="s">
        <v>26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97"/>
      <c r="D17" s="135"/>
      <c r="E17" s="31"/>
      <c r="F17" s="136"/>
      <c r="G17" s="38"/>
      <c r="H17" s="137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705000</v>
      </c>
      <c r="H19" s="67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145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146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149</v>
      </c>
      <c r="D23" s="73">
        <f>SUM(G19)</f>
        <v>705000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09" t="s">
        <v>299</v>
      </c>
      <c r="D24" s="111">
        <v>-16000.0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157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17" t="s">
        <v>302</v>
      </c>
      <c r="D25" s="119">
        <v>-70000.0</v>
      </c>
      <c r="E25" s="74"/>
      <c r="F25" s="1"/>
      <c r="G25" s="1"/>
      <c r="H25" s="1"/>
      <c r="I25" s="1"/>
      <c r="J25" s="1"/>
      <c r="K25" s="1"/>
      <c r="L25" s="1"/>
      <c r="M25" s="1"/>
      <c r="N25" s="82" t="s">
        <v>160</v>
      </c>
      <c r="O25" s="83" t="s">
        <v>42</v>
      </c>
      <c r="P25" s="1"/>
      <c r="Q25" s="1"/>
      <c r="R25" s="1"/>
    </row>
    <row r="26" ht="15.75" customHeight="1">
      <c r="A26" s="1"/>
      <c r="B26" s="77">
        <v>4.0</v>
      </c>
      <c r="C26" s="78" t="s">
        <v>304</v>
      </c>
      <c r="D26" s="79">
        <v>-125000.0</v>
      </c>
      <c r="E26" s="74"/>
      <c r="F26" s="1"/>
      <c r="G26" s="1"/>
      <c r="H26" s="1"/>
      <c r="I26" s="1"/>
      <c r="J26" s="1"/>
      <c r="K26" s="1"/>
      <c r="L26" s="1"/>
      <c r="M26" s="1"/>
      <c r="N26" s="86" t="s">
        <v>163</v>
      </c>
      <c r="O26" s="81" t="s">
        <v>81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16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6">
        <v>4.0</v>
      </c>
      <c r="M41" s="104"/>
    </row>
    <row r="42" ht="15.75" customHeight="1"/>
    <row r="43" ht="19.5" customHeight="1">
      <c r="K43" s="107" t="s">
        <v>218</v>
      </c>
    </row>
    <row r="44" ht="19.5" customHeight="1">
      <c r="K44" s="108" t="s">
        <v>219</v>
      </c>
      <c r="M44" s="106">
        <v>49.0</v>
      </c>
    </row>
    <row r="45" ht="19.5" customHeight="1">
      <c r="K45" s="110" t="s">
        <v>221</v>
      </c>
      <c r="M45" s="112">
        <f>COUNTIF($I$4:$I$21,"DP")</f>
        <v>3</v>
      </c>
    </row>
    <row r="46" ht="19.5" customHeight="1">
      <c r="K46" s="110" t="s">
        <v>223</v>
      </c>
      <c r="M46" s="112">
        <f>COUNTIFS($I$4:$I$21,"&lt;&gt;DP",$I$4:$I$21,"&lt;&gt;")</f>
        <v>10</v>
      </c>
    </row>
    <row r="47" ht="19.5" customHeight="1">
      <c r="K47" s="115" t="s">
        <v>224</v>
      </c>
      <c r="M47" s="112">
        <f>M45+M46</f>
        <v>13</v>
      </c>
    </row>
    <row r="48" ht="19.5" customHeight="1">
      <c r="K48" s="108" t="s">
        <v>226</v>
      </c>
      <c r="M48" s="118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249</v>
      </c>
      <c r="D4" s="19" t="s">
        <v>100</v>
      </c>
      <c r="E4" s="31"/>
      <c r="F4" s="32">
        <v>46287.0</v>
      </c>
      <c r="G4" s="34"/>
      <c r="H4" s="127">
        <v>100000.0</v>
      </c>
      <c r="I4" s="23" t="s">
        <v>25</v>
      </c>
      <c r="J4" s="15"/>
      <c r="K4" s="15"/>
      <c r="L4" s="23" t="s">
        <v>26</v>
      </c>
      <c r="M4" s="15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254</v>
      </c>
      <c r="D5" s="19" t="s">
        <v>22</v>
      </c>
      <c r="E5" s="31"/>
      <c r="F5" s="32">
        <v>46274.0</v>
      </c>
      <c r="G5" s="34"/>
      <c r="H5" s="127">
        <v>100000.0</v>
      </c>
      <c r="I5" s="23" t="s">
        <v>25</v>
      </c>
      <c r="J5" s="15"/>
      <c r="K5" s="15"/>
      <c r="L5" s="23" t="s">
        <v>26</v>
      </c>
      <c r="M5" s="15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254</v>
      </c>
      <c r="D6" s="19" t="s">
        <v>100</v>
      </c>
      <c r="E6" s="31"/>
      <c r="F6" s="30">
        <v>46274.0</v>
      </c>
      <c r="G6" s="34"/>
      <c r="H6" s="127">
        <v>400000.0</v>
      </c>
      <c r="I6" s="23" t="s">
        <v>32</v>
      </c>
      <c r="J6" s="15"/>
      <c r="K6" s="15"/>
      <c r="L6" s="23" t="s">
        <v>26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260</v>
      </c>
      <c r="D7" s="19" t="s">
        <v>22</v>
      </c>
      <c r="E7" s="31"/>
      <c r="F7" s="30">
        <v>46284.0</v>
      </c>
      <c r="G7" s="34"/>
      <c r="H7" s="127">
        <v>100000.0</v>
      </c>
      <c r="I7" s="23" t="s">
        <v>25</v>
      </c>
      <c r="J7" s="15"/>
      <c r="K7" s="15"/>
      <c r="L7" s="23" t="s">
        <v>26</v>
      </c>
      <c r="M7" s="15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261</v>
      </c>
      <c r="D8" s="19" t="s">
        <v>22</v>
      </c>
      <c r="E8" s="31"/>
      <c r="F8" s="23" t="s">
        <v>33</v>
      </c>
      <c r="G8" s="42"/>
      <c r="H8" s="131">
        <v>350000.0</v>
      </c>
      <c r="I8" s="23" t="s">
        <v>32</v>
      </c>
      <c r="J8" s="15"/>
      <c r="K8" s="15"/>
      <c r="L8" s="23" t="s">
        <v>27</v>
      </c>
      <c r="M8" s="15"/>
      <c r="N8" s="33"/>
      <c r="O8" s="33"/>
      <c r="P8" s="33"/>
      <c r="Q8" s="1"/>
      <c r="R8" s="1"/>
      <c r="S8" s="23"/>
    </row>
    <row r="9" ht="15.75" customHeight="1">
      <c r="A9" s="1"/>
      <c r="B9" s="14">
        <v>6.0</v>
      </c>
      <c r="C9" s="17" t="s">
        <v>49</v>
      </c>
      <c r="D9" s="19" t="s">
        <v>22</v>
      </c>
      <c r="E9" s="49"/>
      <c r="F9" s="23" t="s">
        <v>60</v>
      </c>
      <c r="G9" s="34"/>
      <c r="H9" s="127">
        <v>310000.0</v>
      </c>
      <c r="I9" s="23" t="s">
        <v>32</v>
      </c>
      <c r="J9" s="15"/>
      <c r="K9" s="15"/>
      <c r="L9" s="23" t="s">
        <v>27</v>
      </c>
      <c r="M9" s="23" t="s">
        <v>81</v>
      </c>
      <c r="N9" s="33"/>
      <c r="O9" s="33"/>
      <c r="P9" s="33"/>
      <c r="Q9" s="1"/>
      <c r="R9" s="1"/>
      <c r="S9" s="23"/>
    </row>
    <row r="10" ht="15.75" customHeight="1">
      <c r="A10" s="1"/>
      <c r="B10" s="14">
        <v>7.0</v>
      </c>
      <c r="C10" s="17" t="s">
        <v>270</v>
      </c>
      <c r="D10" s="19" t="s">
        <v>100</v>
      </c>
      <c r="E10" s="49"/>
      <c r="F10" s="23" t="s">
        <v>60</v>
      </c>
      <c r="G10" s="34"/>
      <c r="H10" s="127">
        <v>500000.0</v>
      </c>
      <c r="I10" s="15"/>
      <c r="J10" s="15"/>
      <c r="K10" s="15"/>
      <c r="L10" s="23" t="s">
        <v>272</v>
      </c>
      <c r="M10" s="23" t="s">
        <v>81</v>
      </c>
      <c r="N10" s="33"/>
      <c r="O10" s="33"/>
      <c r="P10" s="33"/>
      <c r="Q10" s="1"/>
      <c r="R10" s="1"/>
      <c r="S10" s="23"/>
      <c r="U10" s="23"/>
    </row>
    <row r="11" ht="15.75" customHeight="1">
      <c r="A11" s="1"/>
      <c r="B11" s="14">
        <v>8.0</v>
      </c>
      <c r="C11" s="17" t="s">
        <v>253</v>
      </c>
      <c r="D11" s="19" t="s">
        <v>22</v>
      </c>
      <c r="E11" s="31"/>
      <c r="F11" s="23" t="s">
        <v>60</v>
      </c>
      <c r="G11" s="34"/>
      <c r="H11" s="127">
        <v>310000.0</v>
      </c>
      <c r="I11" s="15"/>
      <c r="J11" s="15"/>
      <c r="K11" s="15"/>
      <c r="L11" s="23" t="s">
        <v>272</v>
      </c>
      <c r="M11" s="23" t="s">
        <v>77</v>
      </c>
      <c r="N11" s="33"/>
      <c r="O11" s="33"/>
      <c r="P11" s="33"/>
      <c r="Q11" s="1"/>
      <c r="R11" s="1"/>
      <c r="S11" s="23"/>
      <c r="U11" s="23"/>
    </row>
    <row r="12" ht="15.75" customHeight="1">
      <c r="A12" s="1"/>
      <c r="B12" s="14">
        <v>9.0</v>
      </c>
      <c r="C12" s="17" t="s">
        <v>276</v>
      </c>
      <c r="D12" s="19" t="s">
        <v>22</v>
      </c>
      <c r="E12" s="31"/>
      <c r="F12" s="23" t="s">
        <v>60</v>
      </c>
      <c r="G12" s="133">
        <v>250000.0</v>
      </c>
      <c r="H12" s="134"/>
      <c r="I12" s="15"/>
      <c r="J12" s="15"/>
      <c r="K12" s="15"/>
      <c r="L12" s="23" t="s">
        <v>272</v>
      </c>
      <c r="M12" s="23" t="s">
        <v>81</v>
      </c>
      <c r="N12" s="33"/>
      <c r="O12" s="33"/>
      <c r="P12" s="33"/>
      <c r="Q12" s="1"/>
      <c r="R12" s="1"/>
      <c r="S12" s="23"/>
      <c r="U12" s="23"/>
    </row>
    <row r="13" ht="15.75" customHeight="1">
      <c r="A13" s="1"/>
      <c r="B13" s="14">
        <v>10.0</v>
      </c>
      <c r="C13" s="36" t="s">
        <v>279</v>
      </c>
      <c r="D13" s="19" t="s">
        <v>22</v>
      </c>
      <c r="E13" s="31"/>
      <c r="F13" s="23" t="s">
        <v>60</v>
      </c>
      <c r="G13" s="133">
        <v>250000.0</v>
      </c>
      <c r="H13" s="127"/>
      <c r="I13" s="23"/>
      <c r="J13" s="23"/>
      <c r="K13" s="23"/>
      <c r="L13" s="23" t="s">
        <v>272</v>
      </c>
      <c r="M13" s="23" t="s">
        <v>81</v>
      </c>
      <c r="N13" s="33"/>
      <c r="O13" s="33"/>
      <c r="P13" s="33"/>
      <c r="Q13" s="1"/>
      <c r="R13" s="1"/>
      <c r="S13" s="23"/>
      <c r="U13" s="23"/>
    </row>
    <row r="14" ht="15.75" customHeight="1">
      <c r="A14" s="1"/>
      <c r="B14" s="14">
        <v>11.0</v>
      </c>
      <c r="C14" s="17" t="s">
        <v>82</v>
      </c>
      <c r="D14" s="19" t="s">
        <v>22</v>
      </c>
      <c r="E14" s="31"/>
      <c r="F14" s="23" t="s">
        <v>60</v>
      </c>
      <c r="G14" s="34"/>
      <c r="H14" s="127">
        <v>250000.0</v>
      </c>
      <c r="I14" s="15"/>
      <c r="J14" s="15"/>
      <c r="K14" s="15"/>
      <c r="L14" s="23" t="s">
        <v>272</v>
      </c>
      <c r="M14" s="23" t="s">
        <v>103</v>
      </c>
      <c r="N14" s="33"/>
      <c r="O14" s="33"/>
      <c r="P14" s="33"/>
      <c r="Q14" s="1"/>
      <c r="R14" s="1"/>
      <c r="U14" s="23"/>
    </row>
    <row r="15" ht="15.75" customHeight="1">
      <c r="A15" s="1"/>
      <c r="B15" s="14">
        <v>12.0</v>
      </c>
      <c r="C15" s="17" t="s">
        <v>284</v>
      </c>
      <c r="D15" s="19" t="s">
        <v>22</v>
      </c>
      <c r="E15" s="31"/>
      <c r="F15" s="23" t="s">
        <v>60</v>
      </c>
      <c r="G15" s="34"/>
      <c r="H15" s="127">
        <v>250000.0</v>
      </c>
      <c r="I15" s="15"/>
      <c r="J15" s="15"/>
      <c r="K15" s="15"/>
      <c r="L15" s="23" t="s">
        <v>272</v>
      </c>
      <c r="M15" s="23" t="s">
        <v>77</v>
      </c>
      <c r="N15" s="33"/>
      <c r="O15" s="33"/>
      <c r="P15" s="33"/>
      <c r="Q15" s="1"/>
      <c r="R15" s="1"/>
      <c r="U15" s="23"/>
    </row>
    <row r="16" ht="15.75" customHeight="1">
      <c r="A16" s="1"/>
      <c r="B16" s="14">
        <v>13.0</v>
      </c>
      <c r="C16" s="17" t="s">
        <v>287</v>
      </c>
      <c r="D16" s="19" t="s">
        <v>22</v>
      </c>
      <c r="E16" s="31"/>
      <c r="F16" s="23" t="s">
        <v>60</v>
      </c>
      <c r="G16" s="34"/>
      <c r="H16" s="127">
        <v>250000.0</v>
      </c>
      <c r="I16" s="15"/>
      <c r="J16" s="15"/>
      <c r="K16" s="15"/>
      <c r="L16" s="23" t="s">
        <v>272</v>
      </c>
      <c r="M16" s="23" t="s">
        <v>42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290</v>
      </c>
      <c r="D17" s="19" t="s">
        <v>22</v>
      </c>
      <c r="E17" s="31"/>
      <c r="F17" s="23" t="s">
        <v>60</v>
      </c>
      <c r="G17" s="133">
        <v>290000.0</v>
      </c>
      <c r="H17" s="134"/>
      <c r="I17" s="15"/>
      <c r="J17" s="15"/>
      <c r="K17" s="15"/>
      <c r="L17" s="23" t="s">
        <v>272</v>
      </c>
      <c r="M17" s="23" t="s">
        <v>103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194</v>
      </c>
      <c r="D18" s="19" t="s">
        <v>100</v>
      </c>
      <c r="E18" s="31"/>
      <c r="F18" s="23" t="s">
        <v>60</v>
      </c>
      <c r="G18" s="133">
        <v>220000.0</v>
      </c>
      <c r="H18" s="134"/>
      <c r="I18" s="15"/>
      <c r="J18" s="15"/>
      <c r="K18" s="15"/>
      <c r="L18" s="23" t="s">
        <v>272</v>
      </c>
      <c r="M18" s="23" t="s">
        <v>81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292</v>
      </c>
      <c r="D19" s="19" t="s">
        <v>22</v>
      </c>
      <c r="E19" s="31"/>
      <c r="F19" s="23" t="s">
        <v>60</v>
      </c>
      <c r="G19" s="133">
        <v>250000.0</v>
      </c>
      <c r="H19" s="134"/>
      <c r="I19" s="15"/>
      <c r="J19" s="15"/>
      <c r="K19" s="15"/>
      <c r="L19" s="23" t="s">
        <v>272</v>
      </c>
      <c r="M19" s="23" t="s">
        <v>103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7" t="s">
        <v>294</v>
      </c>
      <c r="D20" s="19" t="s">
        <v>22</v>
      </c>
      <c r="E20" s="31"/>
      <c r="F20" s="23" t="s">
        <v>60</v>
      </c>
      <c r="G20" s="34"/>
      <c r="H20" s="127">
        <v>330000.0</v>
      </c>
      <c r="I20" s="15"/>
      <c r="J20" s="15"/>
      <c r="K20" s="15"/>
      <c r="L20" s="23" t="s">
        <v>272</v>
      </c>
      <c r="M20" s="23" t="s">
        <v>81</v>
      </c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7" t="s">
        <v>295</v>
      </c>
      <c r="D21" s="19" t="s">
        <v>22</v>
      </c>
      <c r="E21" s="31"/>
      <c r="F21" s="23" t="s">
        <v>60</v>
      </c>
      <c r="G21" s="34"/>
      <c r="H21" s="127">
        <v>350000.0</v>
      </c>
      <c r="I21" s="15"/>
      <c r="J21" s="15"/>
      <c r="K21" s="15"/>
      <c r="L21" s="23" t="s">
        <v>272</v>
      </c>
      <c r="M21" s="23" t="s">
        <v>103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7" t="s">
        <v>296</v>
      </c>
      <c r="D22" s="19" t="s">
        <v>22</v>
      </c>
      <c r="E22" s="31"/>
      <c r="F22" s="23" t="s">
        <v>60</v>
      </c>
      <c r="G22" s="133">
        <v>250000.0</v>
      </c>
      <c r="H22" s="134"/>
      <c r="I22" s="15"/>
      <c r="J22" s="15"/>
      <c r="K22" s="15"/>
      <c r="L22" s="23" t="s">
        <v>272</v>
      </c>
      <c r="M22" s="23" t="s">
        <v>42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7" t="s">
        <v>297</v>
      </c>
      <c r="D23" s="19" t="s">
        <v>22</v>
      </c>
      <c r="E23" s="31"/>
      <c r="F23" s="23" t="s">
        <v>60</v>
      </c>
      <c r="G23" s="133">
        <v>250000.0</v>
      </c>
      <c r="H23" s="134"/>
      <c r="I23" s="15"/>
      <c r="J23" s="15"/>
      <c r="K23" s="15"/>
      <c r="L23" s="23" t="s">
        <v>272</v>
      </c>
      <c r="M23" s="23" t="s">
        <v>81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7" t="s">
        <v>298</v>
      </c>
      <c r="D24" s="19" t="s">
        <v>22</v>
      </c>
      <c r="E24" s="31"/>
      <c r="F24" s="23" t="s">
        <v>60</v>
      </c>
      <c r="G24" s="34"/>
      <c r="H24" s="127">
        <v>250000.0</v>
      </c>
      <c r="I24" s="15"/>
      <c r="J24" s="15"/>
      <c r="K24" s="15"/>
      <c r="L24" s="23" t="s">
        <v>272</v>
      </c>
      <c r="M24" s="23" t="s">
        <v>42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7" t="s">
        <v>300</v>
      </c>
      <c r="D25" s="19" t="s">
        <v>22</v>
      </c>
      <c r="E25" s="31"/>
      <c r="F25" s="23" t="s">
        <v>60</v>
      </c>
      <c r="G25" s="133">
        <v>250000.0</v>
      </c>
      <c r="H25" s="134"/>
      <c r="I25" s="15"/>
      <c r="J25" s="15"/>
      <c r="K25" s="15"/>
      <c r="L25" s="23" t="s">
        <v>272</v>
      </c>
      <c r="M25" s="23" t="s">
        <v>81</v>
      </c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7" t="s">
        <v>301</v>
      </c>
      <c r="D26" s="19" t="s">
        <v>22</v>
      </c>
      <c r="E26" s="31"/>
      <c r="F26" s="23" t="s">
        <v>60</v>
      </c>
      <c r="G26" s="133"/>
      <c r="H26" s="127">
        <v>270000.0</v>
      </c>
      <c r="I26" s="15"/>
      <c r="J26" s="15"/>
      <c r="K26" s="15"/>
      <c r="L26" s="23" t="s">
        <v>272</v>
      </c>
      <c r="M26" s="23" t="s">
        <v>103</v>
      </c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7" t="s">
        <v>303</v>
      </c>
      <c r="D27" s="19" t="s">
        <v>22</v>
      </c>
      <c r="E27" s="31"/>
      <c r="F27" s="23" t="s">
        <v>60</v>
      </c>
      <c r="G27" s="133">
        <v>250000.0</v>
      </c>
      <c r="H27" s="134"/>
      <c r="I27" s="15"/>
      <c r="J27" s="15"/>
      <c r="K27" s="15"/>
      <c r="L27" s="23" t="s">
        <v>272</v>
      </c>
      <c r="M27" s="23" t="s">
        <v>77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7" t="s">
        <v>305</v>
      </c>
      <c r="D28" s="19" t="s">
        <v>22</v>
      </c>
      <c r="E28" s="31"/>
      <c r="F28" s="23" t="s">
        <v>60</v>
      </c>
      <c r="G28" s="133"/>
      <c r="H28" s="133">
        <v>250000.0</v>
      </c>
      <c r="I28" s="15"/>
      <c r="J28" s="15"/>
      <c r="K28" s="15"/>
      <c r="L28" s="23" t="s">
        <v>272</v>
      </c>
      <c r="M28" s="23" t="s">
        <v>42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7" t="s">
        <v>306</v>
      </c>
      <c r="D29" s="19" t="s">
        <v>22</v>
      </c>
      <c r="E29" s="31"/>
      <c r="F29" s="23" t="s">
        <v>60</v>
      </c>
      <c r="G29" s="133">
        <v>250000.0</v>
      </c>
      <c r="H29" s="134"/>
      <c r="I29" s="15"/>
      <c r="J29" s="15"/>
      <c r="K29" s="15"/>
      <c r="L29" s="23" t="s">
        <v>272</v>
      </c>
      <c r="M29" s="23" t="s">
        <v>81</v>
      </c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7" t="s">
        <v>308</v>
      </c>
      <c r="D30" s="19" t="s">
        <v>22</v>
      </c>
      <c r="E30" s="31"/>
      <c r="F30" s="23" t="s">
        <v>60</v>
      </c>
      <c r="G30" s="34"/>
      <c r="H30" s="127">
        <v>490000.0</v>
      </c>
      <c r="I30" s="15"/>
      <c r="J30" s="15"/>
      <c r="K30" s="15"/>
      <c r="L30" s="23" t="s">
        <v>272</v>
      </c>
      <c r="M30" s="23" t="s">
        <v>42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17" t="s">
        <v>309</v>
      </c>
      <c r="D31" s="19" t="s">
        <v>22</v>
      </c>
      <c r="E31" s="31"/>
      <c r="F31" s="23" t="s">
        <v>60</v>
      </c>
      <c r="G31" s="34"/>
      <c r="H31" s="127">
        <v>250000.0</v>
      </c>
      <c r="I31" s="15"/>
      <c r="J31" s="15"/>
      <c r="K31" s="15"/>
      <c r="L31" s="23" t="s">
        <v>272</v>
      </c>
      <c r="M31" s="23" t="s">
        <v>77</v>
      </c>
      <c r="N31" s="33"/>
      <c r="O31" s="33"/>
      <c r="P31" s="33"/>
      <c r="Q31" s="1"/>
      <c r="R31" s="1"/>
    </row>
    <row r="32" ht="15.75" customHeight="1">
      <c r="A32" s="1"/>
      <c r="B32" s="24">
        <v>29.0</v>
      </c>
      <c r="C32" s="17" t="s">
        <v>310</v>
      </c>
      <c r="D32" s="19" t="s">
        <v>22</v>
      </c>
      <c r="E32" s="31"/>
      <c r="F32" s="23" t="s">
        <v>33</v>
      </c>
      <c r="G32" s="34"/>
      <c r="H32" s="127">
        <v>100000.0</v>
      </c>
      <c r="I32" s="23" t="s">
        <v>25</v>
      </c>
      <c r="J32" s="15"/>
      <c r="K32" s="15"/>
      <c r="L32" s="23" t="s">
        <v>27</v>
      </c>
      <c r="M32" s="15"/>
      <c r="N32" s="33"/>
      <c r="O32" s="33"/>
      <c r="P32" s="33"/>
      <c r="Q32" s="1"/>
      <c r="R32" s="1"/>
    </row>
    <row r="33" ht="15.75" customHeight="1">
      <c r="A33" s="1"/>
      <c r="B33" s="24">
        <v>30.0</v>
      </c>
      <c r="C33" s="17" t="s">
        <v>311</v>
      </c>
      <c r="D33" s="19" t="s">
        <v>23</v>
      </c>
      <c r="E33" s="31"/>
      <c r="F33" s="23" t="s">
        <v>312</v>
      </c>
      <c r="G33" s="34"/>
      <c r="H33" s="127">
        <v>100000.0</v>
      </c>
      <c r="I33" s="23" t="s">
        <v>25</v>
      </c>
      <c r="J33" s="15"/>
      <c r="K33" s="15"/>
      <c r="L33" s="23" t="s">
        <v>27</v>
      </c>
      <c r="M33" s="15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17" t="s">
        <v>313</v>
      </c>
      <c r="D34" s="19" t="s">
        <v>22</v>
      </c>
      <c r="E34" s="31"/>
      <c r="F34" s="23" t="s">
        <v>46</v>
      </c>
      <c r="G34" s="34"/>
      <c r="H34" s="127">
        <v>100000.0</v>
      </c>
      <c r="I34" s="23" t="s">
        <v>25</v>
      </c>
      <c r="J34" s="15"/>
      <c r="K34" s="15"/>
      <c r="L34" s="23" t="s">
        <v>27</v>
      </c>
      <c r="M34" s="15"/>
      <c r="N34" s="33"/>
      <c r="O34" s="33"/>
      <c r="P34" s="33"/>
      <c r="Q34" s="1"/>
      <c r="R34" s="1"/>
    </row>
    <row r="35" ht="15.75" customHeight="1">
      <c r="A35" s="1"/>
      <c r="B35" s="24">
        <v>32.0</v>
      </c>
      <c r="C35" s="17" t="s">
        <v>314</v>
      </c>
      <c r="D35" s="19" t="s">
        <v>23</v>
      </c>
      <c r="E35" s="31"/>
      <c r="F35" s="23" t="s">
        <v>60</v>
      </c>
      <c r="G35" s="34"/>
      <c r="H35" s="127">
        <v>175000.0</v>
      </c>
      <c r="I35" s="23" t="s">
        <v>32</v>
      </c>
      <c r="J35" s="23" t="s">
        <v>39</v>
      </c>
      <c r="K35" s="23" t="s">
        <v>41</v>
      </c>
      <c r="L35" s="23" t="s">
        <v>27</v>
      </c>
      <c r="M35" s="23" t="s">
        <v>42</v>
      </c>
      <c r="N35" s="33"/>
      <c r="O35" s="33"/>
      <c r="P35" s="33"/>
      <c r="Q35" s="1"/>
      <c r="R35" s="1"/>
    </row>
    <row r="36" ht="15.75" customHeight="1">
      <c r="A36" s="1"/>
      <c r="B36" s="24">
        <v>33.0</v>
      </c>
      <c r="C36" s="17" t="s">
        <v>315</v>
      </c>
      <c r="D36" s="19" t="s">
        <v>100</v>
      </c>
      <c r="E36" s="31"/>
      <c r="F36" s="23" t="s">
        <v>60</v>
      </c>
      <c r="G36" s="34"/>
      <c r="H36" s="127">
        <v>400000.0</v>
      </c>
      <c r="I36" s="23" t="s">
        <v>32</v>
      </c>
      <c r="J36" s="23" t="s">
        <v>39</v>
      </c>
      <c r="K36" s="23" t="s">
        <v>41</v>
      </c>
      <c r="L36" s="23" t="s">
        <v>27</v>
      </c>
      <c r="M36" s="23" t="s">
        <v>77</v>
      </c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17" t="s">
        <v>316</v>
      </c>
      <c r="D37" s="19" t="s">
        <v>22</v>
      </c>
      <c r="E37" s="31"/>
      <c r="F37" s="23" t="s">
        <v>33</v>
      </c>
      <c r="G37" s="34"/>
      <c r="H37" s="127">
        <v>100000.0</v>
      </c>
      <c r="I37" s="23" t="s">
        <v>25</v>
      </c>
      <c r="J37" s="23"/>
      <c r="K37" s="23"/>
      <c r="L37" s="23" t="s">
        <v>27</v>
      </c>
      <c r="M37" s="15"/>
      <c r="N37" s="33"/>
      <c r="O37" s="33"/>
      <c r="P37" s="33"/>
      <c r="Q37" s="1"/>
      <c r="R37" s="1"/>
    </row>
    <row r="38" ht="15.75" customHeight="1">
      <c r="A38" s="1"/>
      <c r="B38" s="24">
        <v>35.0</v>
      </c>
      <c r="C38" s="97"/>
      <c r="D38" s="135"/>
      <c r="E38" s="31"/>
      <c r="F38" s="142"/>
      <c r="G38" s="34"/>
      <c r="H38" s="134"/>
      <c r="I38" s="15"/>
      <c r="J38" s="15"/>
      <c r="K38" s="15"/>
      <c r="L38" s="15"/>
      <c r="M38" s="15"/>
      <c r="N38" s="33"/>
      <c r="O38" s="33"/>
      <c r="P38" s="33"/>
      <c r="Q38" s="1"/>
      <c r="R38" s="1"/>
    </row>
    <row r="39" ht="15.75" customHeight="1">
      <c r="A39" s="1"/>
      <c r="B39" s="24">
        <v>36.0</v>
      </c>
      <c r="C39" s="17" t="s">
        <v>317</v>
      </c>
      <c r="D39" s="19" t="s">
        <v>22</v>
      </c>
      <c r="E39" s="31"/>
      <c r="F39" s="41">
        <v>46273.0</v>
      </c>
      <c r="G39" s="34"/>
      <c r="H39" s="127">
        <v>270000.0</v>
      </c>
      <c r="I39" s="23" t="s">
        <v>32</v>
      </c>
      <c r="J39" s="23" t="s">
        <v>39</v>
      </c>
      <c r="K39" s="23" t="s">
        <v>41</v>
      </c>
      <c r="L39" s="23" t="s">
        <v>27</v>
      </c>
      <c r="M39" s="23" t="s">
        <v>42</v>
      </c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17" t="s">
        <v>318</v>
      </c>
      <c r="D40" s="19" t="s">
        <v>22</v>
      </c>
      <c r="E40" s="31"/>
      <c r="F40" s="23" t="s">
        <v>319</v>
      </c>
      <c r="G40" s="34"/>
      <c r="H40" s="127">
        <v>100000.0</v>
      </c>
      <c r="I40" s="23" t="s">
        <v>25</v>
      </c>
      <c r="J40" s="15"/>
      <c r="K40" s="15"/>
      <c r="L40" s="23" t="s">
        <v>27</v>
      </c>
      <c r="M40" s="15"/>
      <c r="N40" s="33"/>
      <c r="O40" s="33"/>
      <c r="P40" s="33"/>
      <c r="Q40" s="1"/>
      <c r="R40" s="1"/>
    </row>
    <row r="41" ht="15.75" customHeight="1">
      <c r="A41" s="1"/>
      <c r="B41" s="24">
        <v>38.0</v>
      </c>
      <c r="C41" s="17" t="s">
        <v>320</v>
      </c>
      <c r="D41" s="19" t="s">
        <v>22</v>
      </c>
      <c r="E41" s="31"/>
      <c r="F41" s="23" t="s">
        <v>36</v>
      </c>
      <c r="G41" s="34"/>
      <c r="H41" s="127">
        <v>100000.0</v>
      </c>
      <c r="I41" s="23" t="s">
        <v>25</v>
      </c>
      <c r="J41" s="15"/>
      <c r="K41" s="15"/>
      <c r="L41" s="23" t="s">
        <v>27</v>
      </c>
      <c r="M41" s="15"/>
      <c r="N41" s="33"/>
      <c r="O41" s="33"/>
      <c r="P41" s="33"/>
      <c r="Q41" s="1"/>
      <c r="R41" s="1"/>
    </row>
    <row r="42" ht="15.75" customHeight="1">
      <c r="A42" s="1"/>
      <c r="B42" s="24">
        <v>39.0</v>
      </c>
      <c r="C42" s="17" t="s">
        <v>321</v>
      </c>
      <c r="D42" s="19" t="s">
        <v>22</v>
      </c>
      <c r="E42" s="31"/>
      <c r="F42" s="41">
        <v>46273.0</v>
      </c>
      <c r="G42" s="133">
        <v>250000.0</v>
      </c>
      <c r="H42" s="134"/>
      <c r="I42" s="23" t="s">
        <v>32</v>
      </c>
      <c r="J42" s="23" t="s">
        <v>39</v>
      </c>
      <c r="K42" s="23" t="s">
        <v>41</v>
      </c>
      <c r="L42" s="23" t="s">
        <v>27</v>
      </c>
      <c r="M42" s="23" t="s">
        <v>42</v>
      </c>
      <c r="N42" s="33"/>
      <c r="O42" s="33"/>
      <c r="P42" s="33"/>
      <c r="Q42" s="1"/>
      <c r="R42" s="1"/>
    </row>
    <row r="43" ht="15.75" customHeight="1">
      <c r="A43" s="1"/>
      <c r="B43" s="14">
        <v>40.0</v>
      </c>
      <c r="C43" s="17" t="s">
        <v>322</v>
      </c>
      <c r="D43" s="19" t="s">
        <v>22</v>
      </c>
      <c r="E43" s="31"/>
      <c r="F43" s="23" t="s">
        <v>60</v>
      </c>
      <c r="G43" s="133">
        <v>250000.0</v>
      </c>
      <c r="H43" s="134"/>
      <c r="I43" s="23" t="s">
        <v>32</v>
      </c>
      <c r="J43" s="23" t="s">
        <v>39</v>
      </c>
      <c r="K43" s="23" t="s">
        <v>41</v>
      </c>
      <c r="L43" s="23" t="s">
        <v>27</v>
      </c>
      <c r="M43" s="23" t="s">
        <v>77</v>
      </c>
      <c r="N43" s="33"/>
      <c r="O43" s="33"/>
      <c r="P43" s="33"/>
      <c r="Q43" s="1"/>
      <c r="R43" s="1"/>
    </row>
    <row r="44" ht="15.75" customHeight="1">
      <c r="A44" s="1"/>
      <c r="B44" s="24">
        <v>41.0</v>
      </c>
      <c r="C44" s="17" t="s">
        <v>323</v>
      </c>
      <c r="D44" s="19" t="s">
        <v>22</v>
      </c>
      <c r="E44" s="31"/>
      <c r="F44" s="23" t="s">
        <v>60</v>
      </c>
      <c r="G44" s="34"/>
      <c r="H44" s="134"/>
      <c r="I44" s="23" t="s">
        <v>32</v>
      </c>
      <c r="J44" s="23" t="s">
        <v>39</v>
      </c>
      <c r="K44" s="23" t="s">
        <v>41</v>
      </c>
      <c r="L44" s="23" t="s">
        <v>27</v>
      </c>
      <c r="M44" s="23" t="s">
        <v>77</v>
      </c>
      <c r="N44" s="33"/>
      <c r="O44" s="33"/>
      <c r="P44" s="33"/>
      <c r="Q44" s="1"/>
      <c r="R44" s="1"/>
    </row>
    <row r="45" ht="15.75" customHeight="1">
      <c r="A45" s="1"/>
      <c r="B45" s="24">
        <v>42.0</v>
      </c>
      <c r="C45" s="17" t="s">
        <v>324</v>
      </c>
      <c r="D45" s="19" t="s">
        <v>22</v>
      </c>
      <c r="E45" s="31"/>
      <c r="F45" s="23" t="s">
        <v>36</v>
      </c>
      <c r="G45" s="34"/>
      <c r="H45" s="127">
        <v>100000.0</v>
      </c>
      <c r="I45" s="23" t="s">
        <v>25</v>
      </c>
      <c r="J45" s="15"/>
      <c r="K45" s="15"/>
      <c r="L45" s="23" t="s">
        <v>27</v>
      </c>
      <c r="M45" s="15"/>
      <c r="N45" s="33"/>
      <c r="O45" s="33"/>
      <c r="P45" s="33"/>
      <c r="Q45" s="1"/>
      <c r="R45" s="1"/>
    </row>
    <row r="46" ht="15.75" customHeight="1">
      <c r="A46" s="1"/>
      <c r="B46" s="14">
        <v>43.0</v>
      </c>
      <c r="C46" s="36" t="s">
        <v>325</v>
      </c>
      <c r="D46" s="19" t="s">
        <v>48</v>
      </c>
      <c r="E46" s="31"/>
      <c r="F46" s="41">
        <v>46284.0</v>
      </c>
      <c r="G46" s="34"/>
      <c r="H46" s="127">
        <v>100000.0</v>
      </c>
      <c r="I46" s="23" t="s">
        <v>25</v>
      </c>
      <c r="J46" s="15"/>
      <c r="K46" s="15"/>
      <c r="L46" s="23" t="s">
        <v>27</v>
      </c>
      <c r="M46" s="15"/>
      <c r="N46" s="33"/>
      <c r="O46" s="33"/>
      <c r="P46" s="33"/>
      <c r="Q46" s="1"/>
      <c r="R46" s="1"/>
    </row>
    <row r="47" ht="15.75" customHeight="1">
      <c r="A47" s="1"/>
      <c r="B47" s="24">
        <v>44.0</v>
      </c>
      <c r="C47" s="17" t="s">
        <v>326</v>
      </c>
      <c r="D47" s="19" t="s">
        <v>100</v>
      </c>
      <c r="E47" s="31"/>
      <c r="F47" s="23" t="s">
        <v>60</v>
      </c>
      <c r="G47" s="133">
        <v>400000.0</v>
      </c>
      <c r="H47" s="134"/>
      <c r="I47" s="23" t="s">
        <v>32</v>
      </c>
      <c r="J47" s="23" t="s">
        <v>39</v>
      </c>
      <c r="K47" s="23" t="s">
        <v>41</v>
      </c>
      <c r="L47" s="23" t="s">
        <v>27</v>
      </c>
      <c r="M47" s="23" t="s">
        <v>42</v>
      </c>
      <c r="N47" s="33"/>
      <c r="O47" s="33"/>
      <c r="P47" s="33"/>
      <c r="Q47" s="1"/>
      <c r="R47" s="1"/>
    </row>
    <row r="48" ht="15.75" customHeight="1">
      <c r="A48" s="1"/>
      <c r="B48" s="24">
        <v>45.0</v>
      </c>
      <c r="C48" s="143" t="s">
        <v>327</v>
      </c>
      <c r="D48" s="19" t="s">
        <v>22</v>
      </c>
      <c r="E48" s="31"/>
      <c r="F48" s="23" t="s">
        <v>60</v>
      </c>
      <c r="G48" s="133">
        <v>250000.0</v>
      </c>
      <c r="H48" s="134"/>
      <c r="I48" s="23" t="s">
        <v>32</v>
      </c>
      <c r="J48" s="23" t="s">
        <v>39</v>
      </c>
      <c r="K48" s="23" t="s">
        <v>41</v>
      </c>
      <c r="L48" s="23" t="s">
        <v>27</v>
      </c>
      <c r="M48" s="23" t="s">
        <v>81</v>
      </c>
      <c r="N48" s="33"/>
      <c r="O48" s="33"/>
      <c r="P48" s="33"/>
      <c r="Q48" s="1"/>
      <c r="R48" s="1"/>
    </row>
    <row r="49" ht="15.75" customHeight="1">
      <c r="A49" s="1"/>
      <c r="B49" s="14">
        <v>46.0</v>
      </c>
      <c r="C49" s="17" t="s">
        <v>328</v>
      </c>
      <c r="D49" s="19" t="s">
        <v>22</v>
      </c>
      <c r="E49" s="31"/>
      <c r="F49" s="23" t="s">
        <v>60</v>
      </c>
      <c r="G49" s="34"/>
      <c r="H49" s="127">
        <v>250000.0</v>
      </c>
      <c r="I49" s="23" t="s">
        <v>32</v>
      </c>
      <c r="J49" s="23" t="s">
        <v>39</v>
      </c>
      <c r="K49" s="23" t="s">
        <v>41</v>
      </c>
      <c r="L49" s="23" t="s">
        <v>27</v>
      </c>
      <c r="M49" s="23" t="s">
        <v>103</v>
      </c>
      <c r="N49" s="33"/>
      <c r="O49" s="33"/>
      <c r="P49" s="33"/>
      <c r="Q49" s="1"/>
      <c r="R49" s="1"/>
    </row>
    <row r="50" ht="15.75" customHeight="1">
      <c r="A50" s="1"/>
      <c r="B50" s="24">
        <v>47.0</v>
      </c>
      <c r="C50" s="17" t="s">
        <v>329</v>
      </c>
      <c r="D50" s="19" t="s">
        <v>22</v>
      </c>
      <c r="E50" s="31"/>
      <c r="F50" s="23" t="s">
        <v>60</v>
      </c>
      <c r="G50" s="34"/>
      <c r="H50" s="127">
        <v>250000.0</v>
      </c>
      <c r="I50" s="23" t="s">
        <v>32</v>
      </c>
      <c r="J50" s="23" t="s">
        <v>39</v>
      </c>
      <c r="K50" s="15"/>
      <c r="L50" s="23" t="s">
        <v>27</v>
      </c>
      <c r="M50" s="23" t="s">
        <v>103</v>
      </c>
      <c r="N50" s="33"/>
      <c r="O50" s="33"/>
      <c r="P50" s="33"/>
      <c r="Q50" s="1"/>
      <c r="R50" s="1"/>
    </row>
    <row r="51" ht="15.75" customHeight="1">
      <c r="A51" s="1"/>
      <c r="B51" s="24">
        <v>48.0</v>
      </c>
      <c r="C51" s="17" t="s">
        <v>330</v>
      </c>
      <c r="D51" s="19" t="s">
        <v>22</v>
      </c>
      <c r="E51" s="31"/>
      <c r="F51" s="23" t="s">
        <v>60</v>
      </c>
      <c r="G51" s="34"/>
      <c r="H51" s="127">
        <v>250000.0</v>
      </c>
      <c r="I51" s="23" t="s">
        <v>32</v>
      </c>
      <c r="J51" s="23" t="s">
        <v>39</v>
      </c>
      <c r="K51" s="23" t="s">
        <v>41</v>
      </c>
      <c r="L51" s="23" t="s">
        <v>27</v>
      </c>
      <c r="M51" s="23" t="s">
        <v>103</v>
      </c>
      <c r="N51" s="33"/>
      <c r="O51" s="33"/>
      <c r="P51" s="33"/>
      <c r="Q51" s="1"/>
      <c r="R51" s="1"/>
    </row>
    <row r="52" ht="15.75" customHeight="1">
      <c r="A52" s="1"/>
      <c r="B52" s="14">
        <v>49.0</v>
      </c>
      <c r="C52" s="17" t="s">
        <v>275</v>
      </c>
      <c r="D52" s="19" t="s">
        <v>22</v>
      </c>
      <c r="E52" s="31"/>
      <c r="F52" s="23" t="s">
        <v>60</v>
      </c>
      <c r="G52" s="133">
        <v>0.0</v>
      </c>
      <c r="H52" s="127">
        <v>0.0</v>
      </c>
      <c r="I52" s="23" t="s">
        <v>32</v>
      </c>
      <c r="J52" s="23" t="s">
        <v>39</v>
      </c>
      <c r="K52" s="23" t="s">
        <v>41</v>
      </c>
      <c r="L52" s="23" t="s">
        <v>27</v>
      </c>
      <c r="M52" s="23" t="s">
        <v>77</v>
      </c>
      <c r="N52" s="33"/>
      <c r="O52" s="33"/>
      <c r="P52" s="33"/>
      <c r="Q52" s="1"/>
      <c r="R52" s="1"/>
    </row>
    <row r="53" ht="15.75" customHeight="1">
      <c r="A53" s="1"/>
      <c r="B53" s="24">
        <v>50.0</v>
      </c>
      <c r="C53" s="17" t="s">
        <v>136</v>
      </c>
      <c r="D53" s="19" t="s">
        <v>22</v>
      </c>
      <c r="E53" s="31"/>
      <c r="F53" s="23" t="s">
        <v>60</v>
      </c>
      <c r="G53" s="50">
        <v>250000.0</v>
      </c>
      <c r="H53" s="144"/>
      <c r="I53" s="23" t="s">
        <v>32</v>
      </c>
      <c r="J53" s="23" t="s">
        <v>39</v>
      </c>
      <c r="K53" s="23" t="s">
        <v>41</v>
      </c>
      <c r="L53" s="23" t="s">
        <v>27</v>
      </c>
      <c r="M53" s="23" t="s">
        <v>81</v>
      </c>
      <c r="N53" s="33"/>
      <c r="O53" s="33"/>
      <c r="P53" s="33"/>
      <c r="Q53" s="1"/>
      <c r="R53" s="1"/>
    </row>
    <row r="54" ht="15.75" customHeight="1">
      <c r="A54" s="1"/>
      <c r="B54" s="24">
        <v>51.0</v>
      </c>
      <c r="C54" s="132" t="s">
        <v>331</v>
      </c>
      <c r="D54" s="17" t="s">
        <v>22</v>
      </c>
      <c r="E54" s="15"/>
      <c r="F54" s="24" t="s">
        <v>60</v>
      </c>
      <c r="G54" s="68">
        <v>250000.0</v>
      </c>
      <c r="H54" s="145"/>
      <c r="I54" s="24" t="s">
        <v>32</v>
      </c>
      <c r="J54" s="24" t="s">
        <v>39</v>
      </c>
      <c r="K54" s="24" t="s">
        <v>41</v>
      </c>
      <c r="L54" s="24" t="s">
        <v>27</v>
      </c>
      <c r="M54" s="24" t="s">
        <v>77</v>
      </c>
      <c r="N54" s="33"/>
      <c r="O54" s="33"/>
      <c r="P54" s="33"/>
      <c r="Q54" s="1"/>
      <c r="R54" s="1"/>
    </row>
    <row r="55" ht="15.75" customHeight="1">
      <c r="A55" s="1"/>
      <c r="B55" s="14">
        <v>52.0</v>
      </c>
      <c r="C55" s="36" t="s">
        <v>79</v>
      </c>
      <c r="D55" s="17" t="s">
        <v>22</v>
      </c>
      <c r="E55" s="15"/>
      <c r="F55" s="24" t="s">
        <v>60</v>
      </c>
      <c r="G55" s="65"/>
      <c r="H55" s="146">
        <v>330000.0</v>
      </c>
      <c r="I55" s="24" t="s">
        <v>32</v>
      </c>
      <c r="J55" s="24" t="s">
        <v>39</v>
      </c>
      <c r="K55" s="24" t="s">
        <v>41</v>
      </c>
      <c r="L55" s="24" t="s">
        <v>27</v>
      </c>
      <c r="M55" s="24" t="s">
        <v>103</v>
      </c>
      <c r="N55" s="33"/>
      <c r="O55" s="33"/>
      <c r="P55" s="33"/>
      <c r="Q55" s="1"/>
      <c r="R55" s="1"/>
    </row>
    <row r="56" ht="15.75" customHeight="1">
      <c r="A56" s="1"/>
      <c r="B56" s="24">
        <v>53.0</v>
      </c>
      <c r="C56" s="132" t="s">
        <v>332</v>
      </c>
      <c r="D56" s="17" t="s">
        <v>22</v>
      </c>
      <c r="E56" s="15"/>
      <c r="F56" s="24" t="s">
        <v>60</v>
      </c>
      <c r="G56" s="65"/>
      <c r="H56" s="146">
        <v>250000.0</v>
      </c>
      <c r="I56" s="24" t="s">
        <v>32</v>
      </c>
      <c r="J56" s="24" t="s">
        <v>39</v>
      </c>
      <c r="K56" s="24" t="s">
        <v>41</v>
      </c>
      <c r="L56" s="24" t="s">
        <v>27</v>
      </c>
      <c r="M56" s="24" t="s">
        <v>81</v>
      </c>
      <c r="N56" s="33"/>
      <c r="O56" s="33"/>
      <c r="P56" s="33"/>
      <c r="Q56" s="1"/>
      <c r="R56" s="1"/>
    </row>
    <row r="57" ht="15.75" customHeight="1">
      <c r="A57" s="1"/>
      <c r="B57" s="24">
        <v>54.0</v>
      </c>
      <c r="C57" s="36" t="s">
        <v>333</v>
      </c>
      <c r="D57" s="17" t="s">
        <v>22</v>
      </c>
      <c r="E57" s="15"/>
      <c r="F57" s="24" t="s">
        <v>60</v>
      </c>
      <c r="G57" s="65"/>
      <c r="H57" s="146">
        <v>330000.0</v>
      </c>
      <c r="I57" s="24" t="s">
        <v>32</v>
      </c>
      <c r="J57" s="24" t="s">
        <v>39</v>
      </c>
      <c r="K57" s="24" t="s">
        <v>41</v>
      </c>
      <c r="L57" s="24" t="s">
        <v>27</v>
      </c>
      <c r="M57" s="24" t="s">
        <v>103</v>
      </c>
      <c r="N57" s="33"/>
      <c r="O57" s="33"/>
      <c r="P57" s="33"/>
      <c r="Q57" s="1"/>
      <c r="R57" s="1"/>
    </row>
    <row r="58" ht="15.75" customHeight="1">
      <c r="A58" s="1"/>
      <c r="B58" s="14">
        <v>55.0</v>
      </c>
      <c r="C58" s="132" t="s">
        <v>241</v>
      </c>
      <c r="D58" s="17" t="s">
        <v>100</v>
      </c>
      <c r="E58" s="15"/>
      <c r="F58" s="24" t="s">
        <v>60</v>
      </c>
      <c r="G58" s="65"/>
      <c r="H58" s="146">
        <v>400000.0</v>
      </c>
      <c r="I58" s="24" t="s">
        <v>32</v>
      </c>
      <c r="J58" s="24" t="s">
        <v>39</v>
      </c>
      <c r="K58" s="24" t="s">
        <v>41</v>
      </c>
      <c r="L58" s="24" t="s">
        <v>27</v>
      </c>
      <c r="M58" s="24" t="s">
        <v>77</v>
      </c>
      <c r="N58" s="33"/>
      <c r="O58" s="33"/>
      <c r="P58" s="33"/>
      <c r="Q58" s="1"/>
      <c r="R58" s="1"/>
    </row>
    <row r="59" ht="15.75" customHeight="1">
      <c r="A59" s="1"/>
      <c r="B59" s="24">
        <v>56.0</v>
      </c>
      <c r="C59" s="132" t="s">
        <v>334</v>
      </c>
      <c r="D59" s="17" t="s">
        <v>22</v>
      </c>
      <c r="E59" s="15"/>
      <c r="F59" s="24" t="s">
        <v>60</v>
      </c>
      <c r="G59" s="65"/>
      <c r="H59" s="146">
        <v>280000.0</v>
      </c>
      <c r="I59" s="24" t="s">
        <v>32</v>
      </c>
      <c r="J59" s="24" t="s">
        <v>39</v>
      </c>
      <c r="K59" s="24" t="s">
        <v>41</v>
      </c>
      <c r="L59" s="24" t="s">
        <v>27</v>
      </c>
      <c r="M59" s="24" t="s">
        <v>42</v>
      </c>
      <c r="N59" s="33"/>
      <c r="O59" s="33"/>
      <c r="P59" s="33"/>
      <c r="Q59" s="1"/>
      <c r="R59" s="1"/>
    </row>
    <row r="60" ht="15.75" customHeight="1">
      <c r="A60" s="1"/>
      <c r="B60" s="24">
        <v>57.0</v>
      </c>
      <c r="C60" s="132" t="s">
        <v>175</v>
      </c>
      <c r="D60" s="17" t="s">
        <v>22</v>
      </c>
      <c r="E60" s="15"/>
      <c r="F60" s="24"/>
      <c r="G60" s="68">
        <v>390000.0</v>
      </c>
      <c r="H60" s="145"/>
      <c r="I60" s="24" t="s">
        <v>32</v>
      </c>
      <c r="J60" s="24" t="s">
        <v>39</v>
      </c>
      <c r="K60" s="24" t="s">
        <v>41</v>
      </c>
      <c r="L60" s="24" t="s">
        <v>27</v>
      </c>
      <c r="M60" s="24" t="s">
        <v>103</v>
      </c>
      <c r="N60" s="33"/>
      <c r="O60" s="33"/>
      <c r="P60" s="33"/>
      <c r="Q60" s="1"/>
      <c r="R60" s="1"/>
    </row>
    <row r="61" ht="15.75" customHeight="1">
      <c r="A61" s="1"/>
      <c r="B61" s="14">
        <v>58.0</v>
      </c>
      <c r="C61" s="132" t="s">
        <v>335</v>
      </c>
      <c r="D61" s="17" t="s">
        <v>22</v>
      </c>
      <c r="E61" s="15"/>
      <c r="F61" s="138"/>
      <c r="G61" s="62">
        <v>0.0</v>
      </c>
      <c r="H61" s="22">
        <v>0.0</v>
      </c>
      <c r="I61" s="24" t="s">
        <v>32</v>
      </c>
      <c r="J61" s="24" t="s">
        <v>39</v>
      </c>
      <c r="K61" s="24" t="s">
        <v>41</v>
      </c>
      <c r="L61" s="24" t="s">
        <v>27</v>
      </c>
      <c r="M61" s="24" t="s">
        <v>103</v>
      </c>
      <c r="N61" s="33"/>
      <c r="O61" s="33"/>
      <c r="P61" s="33"/>
      <c r="Q61" s="1"/>
      <c r="R61" s="1"/>
    </row>
    <row r="62" ht="15.75" customHeight="1">
      <c r="A62" s="1"/>
      <c r="B62" s="24">
        <v>59.0</v>
      </c>
      <c r="C62" s="132" t="s">
        <v>202</v>
      </c>
      <c r="D62" s="17" t="s">
        <v>22</v>
      </c>
      <c r="E62" s="15"/>
      <c r="F62" s="138"/>
      <c r="G62" s="62">
        <v>270000.0</v>
      </c>
      <c r="H62" s="54"/>
      <c r="I62" s="24" t="s">
        <v>32</v>
      </c>
      <c r="J62" s="24" t="s">
        <v>39</v>
      </c>
      <c r="K62" s="24" t="s">
        <v>41</v>
      </c>
      <c r="L62" s="24" t="s">
        <v>27</v>
      </c>
      <c r="M62" s="24" t="s">
        <v>81</v>
      </c>
      <c r="N62" s="33"/>
      <c r="O62" s="33"/>
      <c r="P62" s="33"/>
      <c r="Q62" s="1"/>
      <c r="R62" s="1"/>
    </row>
    <row r="63" ht="15.75" customHeight="1">
      <c r="A63" s="1"/>
      <c r="B63" s="24">
        <v>60.0</v>
      </c>
      <c r="C63" s="132" t="s">
        <v>198</v>
      </c>
      <c r="D63" s="17" t="s">
        <v>22</v>
      </c>
      <c r="E63" s="15"/>
      <c r="F63" s="24" t="s">
        <v>60</v>
      </c>
      <c r="G63" s="62">
        <v>270000.0</v>
      </c>
      <c r="H63" s="54"/>
      <c r="I63" s="24" t="s">
        <v>32</v>
      </c>
      <c r="J63" s="24" t="s">
        <v>39</v>
      </c>
      <c r="K63" s="24" t="s">
        <v>41</v>
      </c>
      <c r="L63" s="24" t="s">
        <v>27</v>
      </c>
      <c r="M63" s="24" t="s">
        <v>77</v>
      </c>
      <c r="N63" s="33"/>
      <c r="O63" s="33"/>
      <c r="P63" s="33"/>
      <c r="Q63" s="1"/>
      <c r="R63" s="1"/>
    </row>
    <row r="64" ht="15.75" customHeight="1">
      <c r="A64" s="1"/>
      <c r="B64" s="14">
        <v>61.0</v>
      </c>
      <c r="C64" s="132" t="s">
        <v>336</v>
      </c>
      <c r="D64" s="17" t="s">
        <v>22</v>
      </c>
      <c r="E64" s="15"/>
      <c r="F64" s="24" t="s">
        <v>33</v>
      </c>
      <c r="G64" s="44"/>
      <c r="H64" s="22">
        <v>100000.0</v>
      </c>
      <c r="I64" s="24" t="s">
        <v>25</v>
      </c>
      <c r="J64" s="24" t="s">
        <v>55</v>
      </c>
      <c r="K64" s="14"/>
      <c r="L64" s="24" t="s">
        <v>27</v>
      </c>
      <c r="M64" s="14"/>
      <c r="N64" s="64"/>
      <c r="O64" s="64"/>
      <c r="P64" s="64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6">
        <f t="shared" ref="G65:H65" si="1">SUM(G4:G64)</f>
        <v>5090000</v>
      </c>
      <c r="H65" s="67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145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146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149</v>
      </c>
      <c r="D69" s="73">
        <f>SUM(G65)</f>
        <v>5090000</v>
      </c>
      <c r="E69" s="74"/>
      <c r="F69" s="1"/>
      <c r="G69" s="1"/>
      <c r="H69" s="1"/>
      <c r="I69" s="1"/>
      <c r="J69" s="1"/>
      <c r="K69" s="1"/>
      <c r="L69" s="105" t="s">
        <v>216</v>
      </c>
      <c r="M69" s="1"/>
      <c r="N69" s="75" t="s">
        <v>151</v>
      </c>
      <c r="O69" s="76" t="s">
        <v>26</v>
      </c>
      <c r="P69" s="1"/>
      <c r="Q69" s="1"/>
      <c r="R69" s="1"/>
    </row>
    <row r="70" ht="15.75" customHeight="1">
      <c r="A70" s="1"/>
      <c r="B70" s="77">
        <v>2.0</v>
      </c>
      <c r="C70" s="109" t="s">
        <v>337</v>
      </c>
      <c r="D70" s="111">
        <v>-50000.0</v>
      </c>
      <c r="E70" s="74"/>
      <c r="F70" s="1"/>
      <c r="G70" s="1"/>
      <c r="H70" s="1"/>
      <c r="I70" s="1"/>
      <c r="J70" s="1"/>
      <c r="K70" s="1"/>
      <c r="L70" s="105" t="s">
        <v>338</v>
      </c>
      <c r="M70" s="1"/>
      <c r="N70" s="80" t="s">
        <v>157</v>
      </c>
      <c r="O70" s="81" t="s">
        <v>27</v>
      </c>
      <c r="P70" s="1"/>
      <c r="Q70" s="1"/>
      <c r="R70" s="1"/>
    </row>
    <row r="71" ht="15.75" customHeight="1">
      <c r="A71" s="1"/>
      <c r="B71" s="71">
        <v>3.0</v>
      </c>
      <c r="C71" s="117" t="s">
        <v>154</v>
      </c>
      <c r="D71" s="119">
        <v>-50000.0</v>
      </c>
      <c r="E71" s="74"/>
      <c r="F71" s="1"/>
      <c r="G71" s="1"/>
      <c r="H71" s="1"/>
      <c r="I71" s="1"/>
      <c r="J71" s="1"/>
      <c r="K71" s="1"/>
      <c r="L71" s="1"/>
      <c r="M71" s="1"/>
      <c r="N71" s="82" t="s">
        <v>160</v>
      </c>
      <c r="O71" s="83" t="s">
        <v>42</v>
      </c>
      <c r="P71" s="1"/>
      <c r="Q71" s="1"/>
      <c r="R71" s="1"/>
    </row>
    <row r="72" ht="15.75" customHeight="1">
      <c r="A72" s="1"/>
      <c r="B72" s="77">
        <v>4.0</v>
      </c>
      <c r="C72" s="78" t="s">
        <v>339</v>
      </c>
      <c r="D72" s="79">
        <v>-220000.0</v>
      </c>
      <c r="E72" s="74"/>
      <c r="F72" s="1"/>
      <c r="G72" s="1"/>
      <c r="H72" s="1"/>
      <c r="I72" s="1"/>
      <c r="J72" s="1"/>
      <c r="K72" s="1"/>
      <c r="L72" s="1"/>
      <c r="M72" s="1"/>
      <c r="N72" s="86" t="s">
        <v>163</v>
      </c>
      <c r="O72" s="81" t="s">
        <v>81</v>
      </c>
      <c r="P72" s="1"/>
      <c r="Q72" s="1"/>
      <c r="R72" s="1"/>
    </row>
    <row r="73" ht="15.75" customHeight="1">
      <c r="A73" s="1"/>
      <c r="B73" s="71">
        <v>5.0</v>
      </c>
      <c r="C73" s="72"/>
      <c r="D73" s="73"/>
      <c r="E73" s="74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7">
        <v>6.0</v>
      </c>
      <c r="C74" s="84"/>
      <c r="D74" s="85"/>
      <c r="E74" s="74"/>
      <c r="F74" s="1"/>
      <c r="G74" s="1"/>
      <c r="H74" s="1"/>
      <c r="I74" s="1"/>
      <c r="J74" s="1"/>
      <c r="K74" s="89" t="s">
        <v>168</v>
      </c>
      <c r="Q74" s="1"/>
      <c r="R74" s="1"/>
    </row>
    <row r="75" ht="15.75" customHeight="1">
      <c r="A75" s="1"/>
      <c r="B75" s="71">
        <v>7.0</v>
      </c>
      <c r="C75" s="72"/>
      <c r="D75" s="73"/>
      <c r="E75" s="74"/>
      <c r="F75" s="1"/>
      <c r="G75" s="1"/>
      <c r="H75" s="1"/>
      <c r="I75" s="1"/>
      <c r="J75" s="1"/>
      <c r="K75" s="90" t="s">
        <v>1</v>
      </c>
      <c r="L75" s="90" t="s">
        <v>170</v>
      </c>
      <c r="M75" s="90" t="s">
        <v>171</v>
      </c>
      <c r="N75" s="90" t="s">
        <v>173</v>
      </c>
      <c r="O75" s="90" t="s">
        <v>174</v>
      </c>
      <c r="P75" s="90" t="s">
        <v>176</v>
      </c>
      <c r="Q75" s="1"/>
      <c r="R75" s="1"/>
      <c r="AC75" s="91" t="s">
        <v>177</v>
      </c>
      <c r="AD75" s="91" t="s">
        <v>178</v>
      </c>
      <c r="AE75" s="91" t="s">
        <v>179</v>
      </c>
      <c r="AF75" s="91" t="s">
        <v>180</v>
      </c>
      <c r="AG75" s="91" t="s">
        <v>181</v>
      </c>
    </row>
    <row r="76" ht="15.75" customHeight="1">
      <c r="A76" s="1"/>
      <c r="B76" s="77">
        <v>8.0</v>
      </c>
      <c r="C76" s="84"/>
      <c r="D76" s="85"/>
      <c r="E76" s="74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3"/>
      <c r="E77" s="74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7">
        <v>10.0</v>
      </c>
      <c r="C78" s="84"/>
      <c r="D78" s="85"/>
      <c r="E78" s="74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4">
        <v>11.0</v>
      </c>
      <c r="C79" s="95"/>
      <c r="D79" s="96"/>
      <c r="E79" s="74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0" t="s">
        <v>212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1" t="s">
        <v>213</v>
      </c>
      <c r="N84" s="1"/>
      <c r="O84" s="1"/>
      <c r="P84" s="1"/>
      <c r="Q84" s="1"/>
      <c r="R84" s="1"/>
    </row>
    <row r="85" ht="15.75" customHeight="1">
      <c r="K85" s="102" t="s">
        <v>7</v>
      </c>
      <c r="L85" s="102" t="s">
        <v>214</v>
      </c>
      <c r="M85" s="102" t="s">
        <v>215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7" t="s">
        <v>218</v>
      </c>
    </row>
    <row r="90" ht="19.5" customHeight="1">
      <c r="K90" s="108" t="s">
        <v>219</v>
      </c>
      <c r="M90" s="106">
        <v>35.0</v>
      </c>
    </row>
    <row r="91" ht="19.5" customHeight="1">
      <c r="K91" s="110" t="s">
        <v>221</v>
      </c>
      <c r="M91" s="112">
        <f>COUNTIF($I$4:$I$67,"DP")</f>
        <v>12</v>
      </c>
    </row>
    <row r="92" ht="19.5" customHeight="1">
      <c r="K92" s="110" t="s">
        <v>223</v>
      </c>
      <c r="M92" s="112">
        <f>COUNTIFS($I$4:$I$67,"&lt;&gt;DP",$I$4:$I$67,"&lt;&gt;")</f>
        <v>26</v>
      </c>
    </row>
    <row r="93" ht="19.5" customHeight="1">
      <c r="K93" s="115" t="s">
        <v>224</v>
      </c>
      <c r="M93" s="112">
        <f>M91+M92</f>
        <v>38</v>
      </c>
    </row>
    <row r="94" ht="19.5" customHeight="1">
      <c r="K94" s="108" t="s">
        <v>226</v>
      </c>
      <c r="M94" s="118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340</v>
      </c>
      <c r="D4" s="19" t="s">
        <v>23</v>
      </c>
      <c r="E4" s="31"/>
      <c r="F4" s="23" t="s">
        <v>312</v>
      </c>
      <c r="G4" s="34"/>
      <c r="H4" s="127">
        <v>100000.0</v>
      </c>
      <c r="I4" s="23" t="s">
        <v>25</v>
      </c>
      <c r="J4" s="15"/>
      <c r="K4" s="15"/>
      <c r="L4" s="23" t="s">
        <v>27</v>
      </c>
      <c r="M4" s="15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316</v>
      </c>
      <c r="D5" s="19" t="s">
        <v>22</v>
      </c>
      <c r="E5" s="49"/>
      <c r="F5" s="23" t="s">
        <v>33</v>
      </c>
      <c r="G5" s="34"/>
      <c r="H5" s="127">
        <v>250000.0</v>
      </c>
      <c r="I5" s="23" t="s">
        <v>32</v>
      </c>
      <c r="J5" s="23" t="s">
        <v>39</v>
      </c>
      <c r="K5" s="23" t="s">
        <v>41</v>
      </c>
      <c r="L5" s="23" t="s">
        <v>27</v>
      </c>
      <c r="M5" s="23" t="s">
        <v>42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116</v>
      </c>
      <c r="D6" s="19" t="s">
        <v>100</v>
      </c>
      <c r="E6" s="31"/>
      <c r="F6" s="23" t="s">
        <v>33</v>
      </c>
      <c r="G6" s="133">
        <v>400000.0</v>
      </c>
      <c r="H6" s="134"/>
      <c r="I6" s="15"/>
      <c r="J6" s="15"/>
      <c r="K6" s="15"/>
      <c r="L6" s="23" t="s">
        <v>272</v>
      </c>
      <c r="M6" s="23" t="s">
        <v>81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342</v>
      </c>
      <c r="D7" s="19" t="s">
        <v>100</v>
      </c>
      <c r="E7" s="31"/>
      <c r="F7" s="23" t="s">
        <v>33</v>
      </c>
      <c r="G7" s="133">
        <v>440000.0</v>
      </c>
      <c r="H7" s="134"/>
      <c r="I7" s="15"/>
      <c r="J7" s="15"/>
      <c r="K7" s="15"/>
      <c r="L7" s="23" t="s">
        <v>272</v>
      </c>
      <c r="M7" s="23" t="s">
        <v>124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344</v>
      </c>
      <c r="D8" s="19" t="s">
        <v>22</v>
      </c>
      <c r="E8" s="31"/>
      <c r="F8" s="23" t="s">
        <v>33</v>
      </c>
      <c r="G8" s="34"/>
      <c r="H8" s="127">
        <v>200000.0</v>
      </c>
      <c r="I8" s="15"/>
      <c r="J8" s="15"/>
      <c r="K8" s="15"/>
      <c r="L8" s="23" t="s">
        <v>272</v>
      </c>
      <c r="M8" s="23" t="s">
        <v>124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346</v>
      </c>
      <c r="D9" s="19" t="s">
        <v>22</v>
      </c>
      <c r="E9" s="132" t="s">
        <v>282</v>
      </c>
      <c r="F9" s="23" t="s">
        <v>33</v>
      </c>
      <c r="G9" s="34"/>
      <c r="H9" s="127">
        <v>500000.0</v>
      </c>
      <c r="I9" s="15"/>
      <c r="J9" s="15"/>
      <c r="K9" s="15"/>
      <c r="L9" s="23" t="s">
        <v>272</v>
      </c>
      <c r="M9" s="23" t="s">
        <v>77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350</v>
      </c>
      <c r="D10" s="19" t="s">
        <v>22</v>
      </c>
      <c r="E10" s="31"/>
      <c r="F10" s="23" t="s">
        <v>33</v>
      </c>
      <c r="G10" s="50">
        <v>250000.0</v>
      </c>
      <c r="H10" s="144"/>
      <c r="I10" s="15"/>
      <c r="J10" s="15"/>
      <c r="K10" s="15"/>
      <c r="L10" s="23" t="s">
        <v>272</v>
      </c>
      <c r="M10" s="23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64</v>
      </c>
      <c r="D11" s="19" t="s">
        <v>22</v>
      </c>
      <c r="E11" s="31"/>
      <c r="F11" s="23" t="s">
        <v>33</v>
      </c>
      <c r="G11" s="50">
        <v>0.0</v>
      </c>
      <c r="H11" s="131">
        <v>0.0</v>
      </c>
      <c r="I11" s="15"/>
      <c r="J11" s="15"/>
      <c r="K11" s="15"/>
      <c r="L11" s="23" t="s">
        <v>272</v>
      </c>
      <c r="M11" s="23" t="s">
        <v>81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336</v>
      </c>
      <c r="D12" s="19" t="s">
        <v>22</v>
      </c>
      <c r="E12" s="31"/>
      <c r="F12" s="23" t="s">
        <v>33</v>
      </c>
      <c r="G12" s="50">
        <v>250000.0</v>
      </c>
      <c r="H12" s="144"/>
      <c r="I12" s="15"/>
      <c r="J12" s="15"/>
      <c r="K12" s="15"/>
      <c r="L12" s="23" t="s">
        <v>272</v>
      </c>
      <c r="M12" s="23" t="s">
        <v>124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357</v>
      </c>
      <c r="D13" s="19" t="s">
        <v>22</v>
      </c>
      <c r="E13" s="31"/>
      <c r="F13" s="23" t="s">
        <v>33</v>
      </c>
      <c r="G13" s="133">
        <v>290000.0</v>
      </c>
      <c r="H13" s="134"/>
      <c r="I13" s="15"/>
      <c r="J13" s="15"/>
      <c r="K13" s="15"/>
      <c r="L13" s="23" t="s">
        <v>272</v>
      </c>
      <c r="M13" s="23" t="s">
        <v>77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362</v>
      </c>
      <c r="D14" s="19" t="s">
        <v>22</v>
      </c>
      <c r="E14" s="31"/>
      <c r="F14" s="23" t="s">
        <v>33</v>
      </c>
      <c r="G14" s="34"/>
      <c r="H14" s="127">
        <v>290000.0</v>
      </c>
      <c r="I14" s="15"/>
      <c r="J14" s="15"/>
      <c r="K14" s="15"/>
      <c r="L14" s="23" t="s">
        <v>272</v>
      </c>
      <c r="M14" s="23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366</v>
      </c>
      <c r="D15" s="19" t="s">
        <v>22</v>
      </c>
      <c r="E15" s="31"/>
      <c r="F15" s="23" t="s">
        <v>33</v>
      </c>
      <c r="G15" s="34"/>
      <c r="H15" s="127">
        <v>250000.0</v>
      </c>
      <c r="I15" s="15"/>
      <c r="J15" s="15"/>
      <c r="K15" s="15"/>
      <c r="L15" s="23" t="s">
        <v>272</v>
      </c>
      <c r="M15" s="23" t="s">
        <v>124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35</v>
      </c>
      <c r="D16" s="19" t="s">
        <v>22</v>
      </c>
      <c r="E16" s="31"/>
      <c r="F16" s="23" t="s">
        <v>33</v>
      </c>
      <c r="G16" s="34"/>
      <c r="H16" s="127">
        <v>250000.0</v>
      </c>
      <c r="I16" s="15"/>
      <c r="J16" s="15"/>
      <c r="K16" s="15"/>
      <c r="L16" s="23" t="s">
        <v>272</v>
      </c>
      <c r="M16" s="23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371</v>
      </c>
      <c r="D17" s="19" t="s">
        <v>22</v>
      </c>
      <c r="E17" s="31"/>
      <c r="F17" s="23" t="s">
        <v>33</v>
      </c>
      <c r="G17" s="127">
        <v>250000.0</v>
      </c>
      <c r="H17" s="127"/>
      <c r="I17" s="15"/>
      <c r="J17" s="15"/>
      <c r="K17" s="15"/>
      <c r="L17" s="23" t="s">
        <v>272</v>
      </c>
      <c r="M17" s="23" t="s">
        <v>77</v>
      </c>
      <c r="N17" s="33"/>
      <c r="O17" s="33"/>
      <c r="P17" s="33"/>
      <c r="Q17" s="1"/>
      <c r="R17" s="1"/>
    </row>
    <row r="18" ht="15.75" customHeight="1">
      <c r="A18" s="1"/>
      <c r="B18" s="24">
        <v>15.0</v>
      </c>
      <c r="C18" s="17" t="s">
        <v>19</v>
      </c>
      <c r="D18" s="19" t="s">
        <v>22</v>
      </c>
      <c r="E18" s="31"/>
      <c r="F18" s="23" t="s">
        <v>33</v>
      </c>
      <c r="G18" s="133">
        <v>0.0</v>
      </c>
      <c r="H18" s="127">
        <v>0.0</v>
      </c>
      <c r="I18" s="15"/>
      <c r="J18" s="15"/>
      <c r="K18" s="15"/>
      <c r="L18" s="23" t="s">
        <v>272</v>
      </c>
      <c r="M18" s="23" t="s">
        <v>42</v>
      </c>
      <c r="N18" s="33"/>
      <c r="O18" s="33"/>
      <c r="P18" s="33"/>
      <c r="Q18" s="1"/>
      <c r="R18" s="1"/>
    </row>
    <row r="19" ht="15.75" customHeight="1">
      <c r="A19" s="1"/>
      <c r="B19" s="24">
        <v>16.0</v>
      </c>
      <c r="C19" s="17" t="s">
        <v>31</v>
      </c>
      <c r="D19" s="19" t="s">
        <v>22</v>
      </c>
      <c r="E19" s="31"/>
      <c r="F19" s="23" t="s">
        <v>33</v>
      </c>
      <c r="G19" s="133">
        <v>250000.0</v>
      </c>
      <c r="H19" s="134"/>
      <c r="I19" s="15"/>
      <c r="J19" s="15"/>
      <c r="K19" s="15"/>
      <c r="L19" s="23" t="s">
        <v>272</v>
      </c>
      <c r="M19" s="23" t="s">
        <v>77</v>
      </c>
      <c r="N19" s="33"/>
      <c r="O19" s="33"/>
      <c r="P19" s="33"/>
      <c r="Q19" s="1"/>
      <c r="R19" s="1"/>
    </row>
    <row r="20" ht="15.75" customHeight="1">
      <c r="A20" s="1"/>
      <c r="B20" s="24">
        <v>17.0</v>
      </c>
      <c r="C20" s="17" t="s">
        <v>40</v>
      </c>
      <c r="D20" s="19" t="s">
        <v>22</v>
      </c>
      <c r="E20" s="31"/>
      <c r="F20" s="23" t="s">
        <v>33</v>
      </c>
      <c r="G20" s="34"/>
      <c r="H20" s="127">
        <v>250000.0</v>
      </c>
      <c r="I20" s="15"/>
      <c r="J20" s="15"/>
      <c r="K20" s="15"/>
      <c r="L20" s="23" t="s">
        <v>272</v>
      </c>
      <c r="M20" s="23" t="s">
        <v>124</v>
      </c>
      <c r="N20" s="33"/>
      <c r="O20" s="33"/>
      <c r="P20" s="33"/>
      <c r="Q20" s="1"/>
      <c r="R20" s="1"/>
    </row>
    <row r="21" ht="15.75" customHeight="1">
      <c r="A21" s="1"/>
      <c r="B21" s="24">
        <v>18.0</v>
      </c>
      <c r="C21" s="17" t="s">
        <v>133</v>
      </c>
      <c r="D21" s="19" t="s">
        <v>22</v>
      </c>
      <c r="E21" s="31"/>
      <c r="F21" s="23" t="s">
        <v>33</v>
      </c>
      <c r="G21" s="34"/>
      <c r="H21" s="127">
        <v>250000.0</v>
      </c>
      <c r="I21" s="15"/>
      <c r="J21" s="15"/>
      <c r="K21" s="15"/>
      <c r="L21" s="23" t="s">
        <v>272</v>
      </c>
      <c r="M21" s="23" t="s">
        <v>42</v>
      </c>
      <c r="N21" s="33"/>
      <c r="O21" s="33"/>
      <c r="P21" s="33"/>
      <c r="Q21" s="1"/>
      <c r="R21" s="1"/>
    </row>
    <row r="22" ht="15.75" customHeight="1">
      <c r="A22" s="1"/>
      <c r="B22" s="24">
        <v>19.0</v>
      </c>
      <c r="C22" s="17" t="s">
        <v>379</v>
      </c>
      <c r="D22" s="19" t="s">
        <v>22</v>
      </c>
      <c r="E22" s="31"/>
      <c r="F22" s="23" t="s">
        <v>33</v>
      </c>
      <c r="G22" s="133">
        <v>0.0</v>
      </c>
      <c r="H22" s="127">
        <v>0.0</v>
      </c>
      <c r="I22" s="15"/>
      <c r="J22" s="15"/>
      <c r="K22" s="15"/>
      <c r="L22" s="23" t="s">
        <v>272</v>
      </c>
      <c r="M22" s="23" t="s">
        <v>81</v>
      </c>
      <c r="N22" s="33"/>
      <c r="O22" s="33"/>
      <c r="P22" s="33"/>
      <c r="Q22" s="1"/>
      <c r="R22" s="1"/>
    </row>
    <row r="23" ht="15.75" customHeight="1">
      <c r="A23" s="1"/>
      <c r="B23" s="24">
        <v>20.0</v>
      </c>
      <c r="C23" s="17" t="s">
        <v>381</v>
      </c>
      <c r="D23" s="19" t="s">
        <v>22</v>
      </c>
      <c r="E23" s="31"/>
      <c r="F23" s="23" t="s">
        <v>33</v>
      </c>
      <c r="G23" s="34"/>
      <c r="H23" s="127">
        <v>250000.0</v>
      </c>
      <c r="I23" s="15"/>
      <c r="J23" s="15"/>
      <c r="K23" s="15"/>
      <c r="L23" s="23" t="s">
        <v>272</v>
      </c>
      <c r="M23" s="23" t="s">
        <v>77</v>
      </c>
      <c r="N23" s="33"/>
      <c r="O23" s="33"/>
      <c r="P23" s="33"/>
      <c r="Q23" s="1"/>
      <c r="R23" s="1"/>
    </row>
    <row r="24" ht="15.75" customHeight="1">
      <c r="A24" s="1"/>
      <c r="B24" s="24">
        <v>21.0</v>
      </c>
      <c r="C24" s="17" t="s">
        <v>383</v>
      </c>
      <c r="D24" s="19" t="s">
        <v>22</v>
      </c>
      <c r="E24" s="31"/>
      <c r="F24" s="23" t="s">
        <v>33</v>
      </c>
      <c r="G24" s="133">
        <v>0.0</v>
      </c>
      <c r="H24" s="127">
        <v>0.0</v>
      </c>
      <c r="I24" s="15"/>
      <c r="J24" s="15"/>
      <c r="K24" s="15"/>
      <c r="L24" s="23" t="s">
        <v>272</v>
      </c>
      <c r="M24" s="23" t="s">
        <v>42</v>
      </c>
      <c r="N24" s="33"/>
      <c r="O24" s="33"/>
      <c r="P24" s="33"/>
      <c r="Q24" s="1"/>
      <c r="R24" s="1"/>
    </row>
    <row r="25" ht="15.75" customHeight="1">
      <c r="A25" s="1"/>
      <c r="B25" s="24">
        <v>22.0</v>
      </c>
      <c r="C25" s="17" t="s">
        <v>384</v>
      </c>
      <c r="D25" s="19" t="s">
        <v>22</v>
      </c>
      <c r="E25" s="31"/>
      <c r="F25" s="23" t="s">
        <v>33</v>
      </c>
      <c r="G25" s="133">
        <v>250000.0</v>
      </c>
      <c r="H25" s="134"/>
      <c r="I25" s="15"/>
      <c r="J25" s="15"/>
      <c r="K25" s="15"/>
      <c r="L25" s="23" t="s">
        <v>272</v>
      </c>
      <c r="M25" s="23" t="s">
        <v>103</v>
      </c>
      <c r="N25" s="33"/>
      <c r="O25" s="33"/>
      <c r="P25" s="33"/>
      <c r="Q25" s="1"/>
      <c r="R25" s="1"/>
    </row>
    <row r="26" ht="15.75" customHeight="1">
      <c r="A26" s="1"/>
      <c r="B26" s="24">
        <v>23.0</v>
      </c>
      <c r="C26" s="17" t="s">
        <v>386</v>
      </c>
      <c r="D26" s="19" t="s">
        <v>22</v>
      </c>
      <c r="E26" s="31"/>
      <c r="F26" s="23" t="s">
        <v>33</v>
      </c>
      <c r="G26" s="133">
        <v>250000.0</v>
      </c>
      <c r="H26" s="134"/>
      <c r="I26" s="15"/>
      <c r="J26" s="15"/>
      <c r="K26" s="15"/>
      <c r="L26" s="23" t="s">
        <v>272</v>
      </c>
      <c r="M26" s="23" t="s">
        <v>77</v>
      </c>
      <c r="N26" s="33"/>
      <c r="O26" s="33"/>
      <c r="P26" s="33"/>
      <c r="Q26" s="1"/>
      <c r="R26" s="1"/>
    </row>
    <row r="27" ht="15.75" customHeight="1">
      <c r="A27" s="1"/>
      <c r="B27" s="24">
        <v>24.0</v>
      </c>
      <c r="C27" s="17" t="s">
        <v>387</v>
      </c>
      <c r="D27" s="19" t="s">
        <v>22</v>
      </c>
      <c r="E27" s="31"/>
      <c r="F27" s="23" t="s">
        <v>33</v>
      </c>
      <c r="G27" s="133">
        <v>250000.0</v>
      </c>
      <c r="H27" s="134"/>
      <c r="I27" s="15"/>
      <c r="J27" s="15"/>
      <c r="K27" s="15"/>
      <c r="L27" s="23" t="s">
        <v>272</v>
      </c>
      <c r="M27" s="23" t="s">
        <v>81</v>
      </c>
      <c r="N27" s="33"/>
      <c r="O27" s="33"/>
      <c r="P27" s="33"/>
      <c r="Q27" s="1"/>
      <c r="R27" s="1"/>
    </row>
    <row r="28" ht="15.75" customHeight="1">
      <c r="A28" s="1"/>
      <c r="B28" s="24">
        <v>25.0</v>
      </c>
      <c r="C28" s="17" t="s">
        <v>388</v>
      </c>
      <c r="D28" s="19" t="s">
        <v>22</v>
      </c>
      <c r="E28" s="31"/>
      <c r="F28" s="23" t="s">
        <v>33</v>
      </c>
      <c r="G28" s="34"/>
      <c r="H28" s="127">
        <v>270000.0</v>
      </c>
      <c r="I28" s="15"/>
      <c r="J28" s="15"/>
      <c r="K28" s="15"/>
      <c r="L28" s="23" t="s">
        <v>272</v>
      </c>
      <c r="M28" s="23" t="s">
        <v>42</v>
      </c>
      <c r="N28" s="33"/>
      <c r="O28" s="33"/>
      <c r="P28" s="33"/>
      <c r="Q28" s="1"/>
      <c r="R28" s="1"/>
    </row>
    <row r="29" ht="15.75" customHeight="1">
      <c r="A29" s="1"/>
      <c r="B29" s="24">
        <v>26.0</v>
      </c>
      <c r="C29" s="17" t="s">
        <v>389</v>
      </c>
      <c r="D29" s="19" t="s">
        <v>22</v>
      </c>
      <c r="E29" s="31"/>
      <c r="F29" s="23" t="s">
        <v>33</v>
      </c>
      <c r="G29" s="133">
        <v>250000.0</v>
      </c>
      <c r="H29" s="134"/>
      <c r="I29" s="15"/>
      <c r="J29" s="15"/>
      <c r="K29" s="15"/>
      <c r="L29" s="23" t="s">
        <v>272</v>
      </c>
      <c r="M29" s="23" t="s">
        <v>81</v>
      </c>
      <c r="N29" s="33"/>
      <c r="O29" s="33"/>
      <c r="P29" s="33"/>
      <c r="Q29" s="1"/>
      <c r="R29" s="1"/>
    </row>
    <row r="30" ht="15.75" customHeight="1">
      <c r="A30" s="1"/>
      <c r="B30" s="24">
        <v>27.0</v>
      </c>
      <c r="C30" s="17" t="s">
        <v>201</v>
      </c>
      <c r="D30" s="135"/>
      <c r="E30" s="31"/>
      <c r="F30" s="23" t="s">
        <v>33</v>
      </c>
      <c r="G30" s="34"/>
      <c r="H30" s="127">
        <v>250000.0</v>
      </c>
      <c r="I30" s="15"/>
      <c r="J30" s="15"/>
      <c r="K30" s="15"/>
      <c r="L30" s="15"/>
      <c r="M30" s="23" t="s">
        <v>77</v>
      </c>
      <c r="N30" s="33"/>
      <c r="O30" s="33"/>
      <c r="P30" s="33"/>
      <c r="Q30" s="1"/>
      <c r="R30" s="1"/>
    </row>
    <row r="31" ht="15.75" customHeight="1">
      <c r="A31" s="1"/>
      <c r="B31" s="24">
        <v>28.0</v>
      </c>
      <c r="C31" s="17" t="s">
        <v>390</v>
      </c>
      <c r="D31" s="135"/>
      <c r="E31" s="31"/>
      <c r="F31" s="23" t="s">
        <v>33</v>
      </c>
      <c r="G31" s="34"/>
      <c r="H31" s="127">
        <v>250000.0</v>
      </c>
      <c r="I31" s="15"/>
      <c r="J31" s="15"/>
      <c r="K31" s="15"/>
      <c r="L31" s="15"/>
      <c r="M31" s="23" t="s">
        <v>81</v>
      </c>
      <c r="N31" s="33"/>
      <c r="O31" s="33"/>
      <c r="P31" s="33"/>
      <c r="Q31" s="1"/>
      <c r="R31" s="1"/>
    </row>
    <row r="32" ht="15.75" customHeight="1">
      <c r="A32" s="1"/>
      <c r="B32" s="24">
        <v>29.0</v>
      </c>
      <c r="C32" s="17" t="s">
        <v>391</v>
      </c>
      <c r="D32" s="135"/>
      <c r="E32" s="31"/>
      <c r="F32" s="23" t="s">
        <v>33</v>
      </c>
      <c r="G32" s="34"/>
      <c r="H32" s="134"/>
      <c r="I32" s="15"/>
      <c r="J32" s="15"/>
      <c r="K32" s="15"/>
      <c r="L32" s="15"/>
      <c r="M32" s="23" t="s">
        <v>77</v>
      </c>
      <c r="N32" s="33"/>
      <c r="O32" s="33"/>
      <c r="P32" s="33"/>
      <c r="Q32" s="1"/>
      <c r="R32" s="1"/>
    </row>
    <row r="33" ht="15.75" customHeight="1">
      <c r="A33" s="1"/>
      <c r="B33" s="24">
        <v>30.0</v>
      </c>
      <c r="C33" s="97"/>
      <c r="D33" s="135"/>
      <c r="E33" s="31"/>
      <c r="F33" s="23" t="s">
        <v>33</v>
      </c>
      <c r="G33" s="34"/>
      <c r="H33" s="134"/>
      <c r="I33" s="15"/>
      <c r="J33" s="15"/>
      <c r="K33" s="15"/>
      <c r="L33" s="15"/>
      <c r="M33" s="15"/>
      <c r="N33" s="33"/>
      <c r="O33" s="33"/>
      <c r="P33" s="33"/>
      <c r="Q33" s="1"/>
      <c r="R33" s="1"/>
    </row>
    <row r="34" ht="15.75" customHeight="1">
      <c r="A34" s="1"/>
      <c r="B34" s="24">
        <v>31.0</v>
      </c>
      <c r="C34" s="97"/>
      <c r="D34" s="135"/>
      <c r="E34" s="31"/>
      <c r="F34" s="23" t="s">
        <v>33</v>
      </c>
      <c r="G34" s="34"/>
      <c r="H34" s="134"/>
      <c r="I34" s="15"/>
      <c r="J34" s="15"/>
      <c r="K34" s="15"/>
      <c r="L34" s="15"/>
      <c r="M34" s="15"/>
      <c r="N34" s="33"/>
      <c r="O34" s="33"/>
      <c r="P34" s="33"/>
      <c r="Q34" s="1"/>
      <c r="R34" s="1"/>
    </row>
    <row r="35" ht="15.75" customHeight="1">
      <c r="A35" s="1"/>
      <c r="B35" s="24">
        <v>32.0</v>
      </c>
      <c r="C35" s="97"/>
      <c r="D35" s="135"/>
      <c r="E35" s="31"/>
      <c r="F35" s="15"/>
      <c r="G35" s="34"/>
      <c r="H35" s="134"/>
      <c r="I35" s="15"/>
      <c r="J35" s="15"/>
      <c r="K35" s="15"/>
      <c r="L35" s="15"/>
      <c r="M35" s="15"/>
      <c r="N35" s="33"/>
      <c r="O35" s="33"/>
      <c r="P35" s="33"/>
      <c r="Q35" s="1"/>
      <c r="R35" s="1"/>
    </row>
    <row r="36" ht="15.75" customHeight="1">
      <c r="A36" s="1"/>
      <c r="B36" s="24">
        <v>33.0</v>
      </c>
      <c r="C36" s="97"/>
      <c r="D36" s="135"/>
      <c r="E36" s="31"/>
      <c r="F36" s="15"/>
      <c r="G36" s="34"/>
      <c r="H36" s="134"/>
      <c r="I36" s="15"/>
      <c r="J36" s="15"/>
      <c r="K36" s="15"/>
      <c r="L36" s="15"/>
      <c r="M36" s="15"/>
      <c r="N36" s="33"/>
      <c r="O36" s="33"/>
      <c r="P36" s="33"/>
      <c r="Q36" s="1"/>
      <c r="R36" s="1"/>
    </row>
    <row r="37" ht="15.75" customHeight="1">
      <c r="A37" s="1"/>
      <c r="B37" s="24">
        <v>34.0</v>
      </c>
      <c r="C37" s="97"/>
      <c r="D37" s="135"/>
      <c r="E37" s="31"/>
      <c r="F37" s="15"/>
      <c r="G37" s="34"/>
      <c r="H37" s="134"/>
      <c r="I37" s="15"/>
      <c r="J37" s="15"/>
      <c r="K37" s="15"/>
      <c r="L37" s="15"/>
      <c r="M37" s="15"/>
      <c r="N37" s="33"/>
      <c r="O37" s="33"/>
      <c r="P37" s="33"/>
      <c r="Q37" s="1"/>
      <c r="R37" s="1"/>
    </row>
    <row r="38" ht="15.75" customHeight="1">
      <c r="A38" s="1"/>
      <c r="B38" s="24">
        <v>35.0</v>
      </c>
      <c r="C38" s="147" t="s">
        <v>393</v>
      </c>
      <c r="D38" s="19" t="s">
        <v>70</v>
      </c>
      <c r="E38" s="132">
        <v>5.0</v>
      </c>
      <c r="F38" s="30">
        <v>46278.0</v>
      </c>
      <c r="G38" s="34"/>
      <c r="H38" s="127">
        <v>500000.0</v>
      </c>
      <c r="I38" s="23" t="s">
        <v>32</v>
      </c>
      <c r="J38" s="15"/>
      <c r="K38" s="15"/>
      <c r="L38" s="23" t="s">
        <v>27</v>
      </c>
      <c r="M38" s="15"/>
      <c r="N38" s="33"/>
      <c r="O38" s="33"/>
      <c r="P38" s="33"/>
      <c r="Q38" s="1"/>
      <c r="R38" s="1"/>
    </row>
    <row r="39" ht="15.75" customHeight="1">
      <c r="A39" s="1"/>
      <c r="B39" s="24">
        <v>36.0</v>
      </c>
      <c r="C39" s="17" t="s">
        <v>394</v>
      </c>
      <c r="D39" s="19" t="s">
        <v>22</v>
      </c>
      <c r="E39" s="31"/>
      <c r="F39" s="23" t="s">
        <v>33</v>
      </c>
      <c r="G39" s="133">
        <v>350000.0</v>
      </c>
      <c r="H39" s="134"/>
      <c r="I39" s="23" t="s">
        <v>32</v>
      </c>
      <c r="J39" s="23" t="s">
        <v>39</v>
      </c>
      <c r="K39" s="23" t="s">
        <v>41</v>
      </c>
      <c r="L39" s="23" t="s">
        <v>27</v>
      </c>
      <c r="M39" s="23" t="s">
        <v>81</v>
      </c>
      <c r="N39" s="33"/>
      <c r="O39" s="33"/>
      <c r="P39" s="33"/>
      <c r="Q39" s="1"/>
      <c r="R39" s="1"/>
    </row>
    <row r="40" ht="15.75" customHeight="1">
      <c r="A40" s="1"/>
      <c r="B40" s="24">
        <v>37.0</v>
      </c>
      <c r="C40" s="17" t="s">
        <v>395</v>
      </c>
      <c r="D40" s="19" t="s">
        <v>22</v>
      </c>
      <c r="E40" s="31"/>
      <c r="F40" s="23" t="s">
        <v>33</v>
      </c>
      <c r="G40" s="34"/>
      <c r="H40" s="127">
        <v>100000.0</v>
      </c>
      <c r="I40" s="23" t="s">
        <v>25</v>
      </c>
      <c r="J40" s="15"/>
      <c r="K40" s="15"/>
      <c r="L40" s="23" t="s">
        <v>27</v>
      </c>
      <c r="M40" s="15"/>
      <c r="N40" s="33"/>
      <c r="O40" s="33"/>
      <c r="P40" s="33"/>
      <c r="Q40" s="1"/>
      <c r="R40" s="1"/>
    </row>
    <row r="41" ht="15.75" customHeight="1">
      <c r="A41" s="1"/>
      <c r="B41" s="24">
        <v>38.0</v>
      </c>
      <c r="C41" s="17" t="s">
        <v>396</v>
      </c>
      <c r="D41" s="19" t="s">
        <v>22</v>
      </c>
      <c r="E41" s="31"/>
      <c r="F41" s="23" t="s">
        <v>33</v>
      </c>
      <c r="G41" s="34"/>
      <c r="H41" s="127">
        <v>250000.0</v>
      </c>
      <c r="I41" s="23" t="s">
        <v>32</v>
      </c>
      <c r="J41" s="23" t="s">
        <v>39</v>
      </c>
      <c r="K41" s="23" t="s">
        <v>41</v>
      </c>
      <c r="L41" s="23" t="s">
        <v>27</v>
      </c>
      <c r="M41" s="23" t="s">
        <v>103</v>
      </c>
      <c r="N41" s="33"/>
      <c r="O41" s="33"/>
      <c r="P41" s="33"/>
      <c r="Q41" s="1"/>
      <c r="R41" s="1"/>
    </row>
    <row r="42" ht="15.75" customHeight="1">
      <c r="A42" s="1"/>
      <c r="B42" s="24">
        <v>39.0</v>
      </c>
      <c r="C42" s="17" t="s">
        <v>397</v>
      </c>
      <c r="D42" s="19" t="s">
        <v>22</v>
      </c>
      <c r="E42" s="31"/>
      <c r="F42" s="23" t="s">
        <v>33</v>
      </c>
      <c r="G42" s="133">
        <v>0.0</v>
      </c>
      <c r="H42" s="127">
        <v>0.0</v>
      </c>
      <c r="I42" s="23"/>
      <c r="J42" s="23" t="s">
        <v>39</v>
      </c>
      <c r="K42" s="23" t="s">
        <v>41</v>
      </c>
      <c r="L42" s="23" t="s">
        <v>27</v>
      </c>
      <c r="M42" s="23" t="s">
        <v>81</v>
      </c>
      <c r="N42" s="33"/>
      <c r="O42" s="33"/>
      <c r="P42" s="33"/>
      <c r="Q42" s="1"/>
      <c r="R42" s="1"/>
    </row>
    <row r="43" ht="15.75" customHeight="1">
      <c r="A43" s="1"/>
      <c r="B43" s="24">
        <v>40.0</v>
      </c>
      <c r="C43" s="17" t="s">
        <v>398</v>
      </c>
      <c r="D43" s="19" t="s">
        <v>22</v>
      </c>
      <c r="E43" s="31"/>
      <c r="F43" s="23" t="s">
        <v>46</v>
      </c>
      <c r="G43" s="34"/>
      <c r="H43" s="127">
        <v>100000.0</v>
      </c>
      <c r="I43" s="23" t="s">
        <v>25</v>
      </c>
      <c r="J43" s="15"/>
      <c r="K43" s="15"/>
      <c r="L43" s="23" t="s">
        <v>27</v>
      </c>
      <c r="M43" s="15"/>
      <c r="N43" s="33"/>
      <c r="O43" s="33"/>
      <c r="P43" s="33"/>
      <c r="Q43" s="1"/>
      <c r="R43" s="1"/>
    </row>
    <row r="44" ht="15.75" customHeight="1">
      <c r="A44" s="1"/>
      <c r="B44" s="24">
        <v>41.0</v>
      </c>
      <c r="C44" s="17" t="s">
        <v>399</v>
      </c>
      <c r="D44" s="19" t="s">
        <v>22</v>
      </c>
      <c r="E44" s="31"/>
      <c r="F44" s="23" t="s">
        <v>46</v>
      </c>
      <c r="G44" s="34"/>
      <c r="H44" s="127">
        <v>100000.0</v>
      </c>
      <c r="I44" s="23" t="s">
        <v>25</v>
      </c>
      <c r="J44" s="15"/>
      <c r="K44" s="15"/>
      <c r="L44" s="23" t="s">
        <v>27</v>
      </c>
      <c r="M44" s="15"/>
      <c r="N44" s="33"/>
      <c r="O44" s="33"/>
      <c r="P44" s="33"/>
      <c r="Q44" s="1"/>
      <c r="R44" s="1"/>
    </row>
    <row r="45" ht="15.75" customHeight="1">
      <c r="A45" s="1"/>
      <c r="B45" s="24">
        <v>42.0</v>
      </c>
      <c r="C45" s="17" t="s">
        <v>400</v>
      </c>
      <c r="D45" s="19" t="s">
        <v>22</v>
      </c>
      <c r="E45" s="31"/>
      <c r="F45" s="23" t="s">
        <v>33</v>
      </c>
      <c r="G45" s="34"/>
      <c r="H45" s="127">
        <v>250000.0</v>
      </c>
      <c r="I45" s="23" t="s">
        <v>32</v>
      </c>
      <c r="J45" s="23" t="s">
        <v>39</v>
      </c>
      <c r="K45" s="23" t="s">
        <v>41</v>
      </c>
      <c r="L45" s="23" t="s">
        <v>27</v>
      </c>
      <c r="M45" s="23" t="s">
        <v>42</v>
      </c>
      <c r="N45" s="33"/>
      <c r="O45" s="33"/>
      <c r="P45" s="33"/>
      <c r="Q45" s="1"/>
      <c r="R45" s="1"/>
    </row>
    <row r="46" ht="15.75" customHeight="1">
      <c r="A46" s="1"/>
      <c r="B46" s="24">
        <v>43.0</v>
      </c>
      <c r="C46" s="17" t="s">
        <v>254</v>
      </c>
      <c r="D46" s="19" t="s">
        <v>22</v>
      </c>
      <c r="E46" s="31"/>
      <c r="F46" s="23" t="s">
        <v>33</v>
      </c>
      <c r="G46" s="133">
        <v>430000.0</v>
      </c>
      <c r="H46" s="134"/>
      <c r="I46" s="23" t="s">
        <v>32</v>
      </c>
      <c r="J46" s="23" t="s">
        <v>39</v>
      </c>
      <c r="K46" s="23" t="s">
        <v>41</v>
      </c>
      <c r="L46" s="23" t="s">
        <v>27</v>
      </c>
      <c r="M46" s="23" t="s">
        <v>103</v>
      </c>
      <c r="N46" s="33"/>
      <c r="O46" s="33"/>
      <c r="P46" s="33"/>
      <c r="Q46" s="1"/>
      <c r="R46" s="1"/>
    </row>
    <row r="47" ht="15.75" customHeight="1">
      <c r="A47" s="1"/>
      <c r="B47" s="24">
        <v>44.0</v>
      </c>
      <c r="C47" s="17" t="s">
        <v>403</v>
      </c>
      <c r="D47" s="19" t="s">
        <v>22</v>
      </c>
      <c r="E47" s="132" t="s">
        <v>289</v>
      </c>
      <c r="F47" s="23" t="s">
        <v>33</v>
      </c>
      <c r="G47" s="34"/>
      <c r="H47" s="127">
        <v>400000.0</v>
      </c>
      <c r="I47" s="23" t="s">
        <v>32</v>
      </c>
      <c r="J47" s="23" t="s">
        <v>39</v>
      </c>
      <c r="K47" s="23" t="s">
        <v>41</v>
      </c>
      <c r="L47" s="23" t="s">
        <v>27</v>
      </c>
      <c r="M47" s="23" t="s">
        <v>42</v>
      </c>
      <c r="N47" s="33"/>
      <c r="O47" s="33"/>
      <c r="P47" s="33"/>
      <c r="Q47" s="1"/>
      <c r="R47" s="1"/>
    </row>
    <row r="48" ht="15.75" customHeight="1">
      <c r="A48" s="1"/>
      <c r="B48" s="24">
        <v>45.0</v>
      </c>
      <c r="C48" s="17" t="s">
        <v>97</v>
      </c>
      <c r="D48" s="19" t="s">
        <v>22</v>
      </c>
      <c r="E48" s="31"/>
      <c r="F48" s="23" t="s">
        <v>33</v>
      </c>
      <c r="G48" s="34"/>
      <c r="H48" s="127">
        <v>290000.0</v>
      </c>
      <c r="I48" s="23" t="s">
        <v>32</v>
      </c>
      <c r="J48" s="23" t="s">
        <v>39</v>
      </c>
      <c r="K48" s="23" t="s">
        <v>41</v>
      </c>
      <c r="L48" s="23" t="s">
        <v>27</v>
      </c>
      <c r="M48" s="23" t="s">
        <v>81</v>
      </c>
      <c r="N48" s="33"/>
      <c r="O48" s="33"/>
      <c r="P48" s="33"/>
      <c r="Q48" s="1"/>
      <c r="R48" s="1"/>
    </row>
    <row r="49" ht="15.75" customHeight="1">
      <c r="A49" s="1"/>
      <c r="B49" s="24">
        <v>46.0</v>
      </c>
      <c r="C49" s="17" t="s">
        <v>404</v>
      </c>
      <c r="D49" s="19" t="s">
        <v>22</v>
      </c>
      <c r="E49" s="31"/>
      <c r="F49" s="23" t="s">
        <v>33</v>
      </c>
      <c r="G49" s="34"/>
      <c r="H49" s="127">
        <v>100000.0</v>
      </c>
      <c r="I49" s="23" t="s">
        <v>25</v>
      </c>
      <c r="J49" s="15"/>
      <c r="K49" s="15"/>
      <c r="L49" s="23" t="s">
        <v>27</v>
      </c>
      <c r="M49" s="15"/>
      <c r="N49" s="33"/>
      <c r="O49" s="33"/>
      <c r="P49" s="33"/>
      <c r="Q49" s="1"/>
      <c r="R49" s="1"/>
    </row>
    <row r="50" ht="15.75" customHeight="1">
      <c r="A50" s="1"/>
      <c r="B50" s="24">
        <v>47.0</v>
      </c>
      <c r="C50" s="17" t="s">
        <v>405</v>
      </c>
      <c r="D50" s="19" t="s">
        <v>23</v>
      </c>
      <c r="E50" s="31"/>
      <c r="F50" s="23" t="s">
        <v>186</v>
      </c>
      <c r="G50" s="34"/>
      <c r="H50" s="127">
        <v>100000.0</v>
      </c>
      <c r="I50" s="23" t="s">
        <v>25</v>
      </c>
      <c r="J50" s="15"/>
      <c r="K50" s="15"/>
      <c r="L50" s="23" t="s">
        <v>27</v>
      </c>
      <c r="M50" s="15"/>
      <c r="N50" s="33"/>
      <c r="O50" s="33"/>
      <c r="P50" s="33"/>
      <c r="Q50" s="1"/>
      <c r="R50" s="1"/>
    </row>
    <row r="51" ht="15.75" customHeight="1">
      <c r="A51" s="1"/>
      <c r="B51" s="24">
        <v>48.0</v>
      </c>
      <c r="C51" s="17" t="s">
        <v>309</v>
      </c>
      <c r="D51" s="19" t="s">
        <v>243</v>
      </c>
      <c r="E51" s="31"/>
      <c r="F51" s="23" t="s">
        <v>33</v>
      </c>
      <c r="G51" s="34"/>
      <c r="H51" s="127">
        <v>25000.0</v>
      </c>
      <c r="I51" s="23" t="s">
        <v>32</v>
      </c>
      <c r="J51" s="15"/>
      <c r="K51" s="15"/>
      <c r="L51" s="23" t="s">
        <v>27</v>
      </c>
      <c r="M51" s="15"/>
      <c r="N51" s="33"/>
      <c r="O51" s="33"/>
      <c r="P51" s="33"/>
      <c r="Q51" s="1"/>
      <c r="R51" s="1"/>
    </row>
    <row r="52" ht="15.75" customHeight="1">
      <c r="A52" s="1"/>
      <c r="B52" s="24">
        <v>49.0</v>
      </c>
      <c r="C52" s="17" t="s">
        <v>406</v>
      </c>
      <c r="D52" s="19" t="s">
        <v>22</v>
      </c>
      <c r="E52" s="31"/>
      <c r="F52" s="41">
        <v>46274.0</v>
      </c>
      <c r="G52" s="34"/>
      <c r="H52" s="127">
        <v>250000.0</v>
      </c>
      <c r="I52" s="23" t="s">
        <v>32</v>
      </c>
      <c r="J52" s="23" t="s">
        <v>39</v>
      </c>
      <c r="K52" s="23" t="s">
        <v>41</v>
      </c>
      <c r="L52" s="23" t="s">
        <v>26</v>
      </c>
      <c r="M52" s="23" t="s">
        <v>42</v>
      </c>
      <c r="N52" s="33"/>
      <c r="O52" s="33"/>
      <c r="P52" s="33"/>
      <c r="Q52" s="1"/>
      <c r="R52" s="1"/>
    </row>
    <row r="53" ht="15.75" customHeight="1">
      <c r="A53" s="1"/>
      <c r="B53" s="24">
        <v>50.0</v>
      </c>
      <c r="C53" s="17" t="s">
        <v>407</v>
      </c>
      <c r="D53" s="19" t="s">
        <v>239</v>
      </c>
      <c r="E53" s="31"/>
      <c r="F53" s="23" t="s">
        <v>312</v>
      </c>
      <c r="G53" s="34"/>
      <c r="H53" s="127">
        <v>100000.0</v>
      </c>
      <c r="I53" s="23" t="s">
        <v>25</v>
      </c>
      <c r="J53" s="15"/>
      <c r="K53" s="15"/>
      <c r="L53" s="23" t="s">
        <v>27</v>
      </c>
      <c r="M53" s="15"/>
      <c r="N53" s="33"/>
      <c r="O53" s="33"/>
      <c r="P53" s="33"/>
      <c r="Q53" s="1"/>
      <c r="R53" s="1"/>
    </row>
    <row r="54" ht="15.75" customHeight="1">
      <c r="A54" s="1"/>
      <c r="B54" s="24">
        <v>51.0</v>
      </c>
      <c r="C54" s="17" t="s">
        <v>291</v>
      </c>
      <c r="D54" s="19" t="s">
        <v>22</v>
      </c>
      <c r="E54" s="31"/>
      <c r="F54" s="23" t="s">
        <v>33</v>
      </c>
      <c r="G54" s="34"/>
      <c r="H54" s="127">
        <v>250000.0</v>
      </c>
      <c r="I54" s="23" t="s">
        <v>32</v>
      </c>
      <c r="J54" s="23" t="s">
        <v>39</v>
      </c>
      <c r="K54" s="23" t="s">
        <v>41</v>
      </c>
      <c r="L54" s="23" t="s">
        <v>27</v>
      </c>
      <c r="M54" s="23" t="s">
        <v>81</v>
      </c>
      <c r="N54" s="33"/>
      <c r="O54" s="33"/>
      <c r="P54" s="33"/>
      <c r="Q54" s="1"/>
      <c r="R54" s="1"/>
    </row>
    <row r="55" ht="15.75" customHeight="1">
      <c r="A55" s="1"/>
      <c r="B55" s="24">
        <v>52.0</v>
      </c>
      <c r="C55" s="17" t="s">
        <v>408</v>
      </c>
      <c r="D55" s="19" t="s">
        <v>22</v>
      </c>
      <c r="E55" s="31"/>
      <c r="F55" s="23" t="s">
        <v>33</v>
      </c>
      <c r="G55" s="133">
        <v>0.0</v>
      </c>
      <c r="H55" s="127">
        <v>0.0</v>
      </c>
      <c r="I55" s="23" t="s">
        <v>32</v>
      </c>
      <c r="J55" s="23" t="s">
        <v>39</v>
      </c>
      <c r="K55" s="23" t="s">
        <v>55</v>
      </c>
      <c r="L55" s="23" t="s">
        <v>27</v>
      </c>
      <c r="M55" s="23" t="s">
        <v>42</v>
      </c>
      <c r="N55" s="33"/>
      <c r="O55" s="33"/>
      <c r="P55" s="33"/>
      <c r="Q55" s="1"/>
      <c r="R55" s="1"/>
    </row>
    <row r="56" ht="15.75" customHeight="1">
      <c r="A56" s="1"/>
      <c r="B56" s="24">
        <v>53.0</v>
      </c>
      <c r="C56" s="17" t="s">
        <v>409</v>
      </c>
      <c r="D56" s="19" t="s">
        <v>70</v>
      </c>
      <c r="E56" s="31"/>
      <c r="F56" s="23" t="s">
        <v>312</v>
      </c>
      <c r="G56" s="34"/>
      <c r="H56" s="127">
        <v>100000.0</v>
      </c>
      <c r="I56" s="23" t="s">
        <v>32</v>
      </c>
      <c r="J56" s="15"/>
      <c r="K56" s="15"/>
      <c r="L56" s="23" t="s">
        <v>27</v>
      </c>
      <c r="M56" s="15"/>
      <c r="N56" s="33"/>
      <c r="O56" s="33"/>
      <c r="P56" s="33"/>
      <c r="Q56" s="1"/>
      <c r="R56" s="1"/>
    </row>
    <row r="57" ht="15.75" customHeight="1">
      <c r="A57" s="1"/>
      <c r="B57" s="24">
        <v>54.0</v>
      </c>
      <c r="C57" s="97"/>
      <c r="D57" s="135"/>
      <c r="E57" s="31"/>
      <c r="F57" s="15"/>
      <c r="G57" s="34"/>
      <c r="H57" s="134"/>
      <c r="I57" s="15"/>
      <c r="J57" s="15"/>
      <c r="K57" s="15"/>
      <c r="L57" s="15"/>
      <c r="M57" s="15"/>
      <c r="N57" s="33"/>
      <c r="O57" s="33"/>
      <c r="P57" s="33"/>
      <c r="Q57" s="1"/>
      <c r="R57" s="1"/>
    </row>
    <row r="58" ht="15.75" customHeight="1">
      <c r="A58" s="1"/>
      <c r="B58" s="24">
        <v>55.0</v>
      </c>
      <c r="C58" s="97"/>
      <c r="D58" s="135"/>
      <c r="E58" s="31"/>
      <c r="F58" s="15"/>
      <c r="G58" s="34"/>
      <c r="H58" s="134"/>
      <c r="I58" s="15"/>
      <c r="J58" s="15"/>
      <c r="K58" s="15"/>
      <c r="L58" s="15"/>
      <c r="M58" s="15"/>
      <c r="N58" s="33"/>
      <c r="O58" s="33"/>
      <c r="P58" s="33"/>
      <c r="Q58" s="1"/>
      <c r="R58" s="1"/>
    </row>
    <row r="59" ht="15.75" customHeight="1">
      <c r="A59" s="1"/>
      <c r="B59" s="24">
        <v>56.0</v>
      </c>
      <c r="C59" s="97"/>
      <c r="D59" s="135"/>
      <c r="E59" s="31"/>
      <c r="F59" s="15"/>
      <c r="G59" s="34"/>
      <c r="H59" s="134"/>
      <c r="I59" s="15"/>
      <c r="J59" s="15"/>
      <c r="K59" s="15"/>
      <c r="L59" s="15"/>
      <c r="M59" s="15"/>
      <c r="N59" s="33"/>
      <c r="O59" s="33"/>
      <c r="P59" s="33"/>
      <c r="Q59" s="1"/>
      <c r="R59" s="1"/>
    </row>
    <row r="60" ht="15.75" customHeight="1">
      <c r="A60" s="1"/>
      <c r="B60" s="24">
        <v>57.0</v>
      </c>
      <c r="C60" s="97"/>
      <c r="D60" s="135"/>
      <c r="E60" s="31"/>
      <c r="F60" s="15"/>
      <c r="G60" s="34"/>
      <c r="H60" s="134"/>
      <c r="I60" s="15"/>
      <c r="J60" s="15"/>
      <c r="K60" s="15"/>
      <c r="L60" s="15"/>
      <c r="M60" s="15"/>
      <c r="N60" s="64"/>
      <c r="O60" s="64"/>
      <c r="P60" s="64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6">
        <f t="shared" ref="G61:H61" si="1">SUM(G4:G60)</f>
        <v>3910000</v>
      </c>
      <c r="H61" s="67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145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146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149</v>
      </c>
      <c r="D65" s="73">
        <f>SUM(G61)</f>
        <v>3910000</v>
      </c>
      <c r="E65" s="74"/>
      <c r="F65" s="1"/>
      <c r="G65" s="1"/>
      <c r="H65" s="1"/>
      <c r="I65" s="1"/>
      <c r="J65" s="1"/>
      <c r="K65" s="1"/>
      <c r="L65" s="1"/>
      <c r="M65" s="105"/>
      <c r="N65" s="75" t="s">
        <v>151</v>
      </c>
      <c r="O65" s="76" t="s">
        <v>26</v>
      </c>
      <c r="P65" s="1"/>
      <c r="Q65" s="1"/>
      <c r="R65" s="1"/>
    </row>
    <row r="66" ht="15.75" customHeight="1">
      <c r="A66" s="1"/>
      <c r="B66" s="77">
        <v>2.0</v>
      </c>
      <c r="C66" s="109" t="s">
        <v>410</v>
      </c>
      <c r="D66" s="111">
        <v>-110000.0</v>
      </c>
      <c r="E66" s="74"/>
      <c r="F66" s="1"/>
      <c r="G66" s="1"/>
      <c r="H66" s="1"/>
      <c r="I66" s="1"/>
      <c r="J66" s="1"/>
      <c r="K66" s="1"/>
      <c r="L66" s="105" t="s">
        <v>216</v>
      </c>
      <c r="M66" s="105"/>
      <c r="N66" s="80" t="s">
        <v>157</v>
      </c>
      <c r="O66" s="81" t="s">
        <v>27</v>
      </c>
      <c r="P66" s="1"/>
      <c r="Q66" s="1"/>
      <c r="R66" s="1"/>
    </row>
    <row r="67" ht="15.75" customHeight="1">
      <c r="A67" s="1"/>
      <c r="B67" s="71">
        <v>3.0</v>
      </c>
      <c r="C67" s="117" t="s">
        <v>411</v>
      </c>
      <c r="D67" s="119">
        <v>-125000.0</v>
      </c>
      <c r="E67" s="74"/>
      <c r="F67" s="1"/>
      <c r="G67" s="1"/>
      <c r="H67" s="1"/>
      <c r="I67" s="1"/>
      <c r="J67" s="1"/>
      <c r="K67" s="1"/>
      <c r="L67" s="105" t="s">
        <v>412</v>
      </c>
      <c r="M67" s="105"/>
      <c r="N67" s="82" t="s">
        <v>160</v>
      </c>
      <c r="O67" s="83" t="s">
        <v>42</v>
      </c>
      <c r="P67" s="1"/>
      <c r="Q67" s="1"/>
      <c r="R67" s="1"/>
    </row>
    <row r="68" ht="15.75" customHeight="1">
      <c r="A68" s="1"/>
      <c r="B68" s="77">
        <v>4.0</v>
      </c>
      <c r="C68" s="84"/>
      <c r="D68" s="85"/>
      <c r="E68" s="74"/>
      <c r="F68" s="1"/>
      <c r="G68" s="1"/>
      <c r="H68" s="1"/>
      <c r="I68" s="1"/>
      <c r="J68" s="1"/>
      <c r="K68" s="1"/>
      <c r="L68" s="1"/>
      <c r="M68" s="1"/>
      <c r="N68" s="86" t="s">
        <v>163</v>
      </c>
      <c r="O68" s="81" t="s">
        <v>81</v>
      </c>
      <c r="P68" s="1"/>
      <c r="Q68" s="1"/>
      <c r="R68" s="1"/>
    </row>
    <row r="69" ht="15.75" customHeight="1">
      <c r="A69" s="1"/>
      <c r="B69" s="71">
        <v>5.0</v>
      </c>
      <c r="C69" s="72"/>
      <c r="D69" s="73"/>
      <c r="E69" s="74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7">
        <v>6.0</v>
      </c>
      <c r="C70" s="84"/>
      <c r="D70" s="85"/>
      <c r="E70" s="74"/>
      <c r="F70" s="1"/>
      <c r="G70" s="1"/>
      <c r="H70" s="1"/>
      <c r="I70" s="1"/>
      <c r="J70" s="1"/>
      <c r="K70" s="89" t="s">
        <v>168</v>
      </c>
      <c r="Q70" s="1"/>
      <c r="R70" s="1"/>
    </row>
    <row r="71" ht="15.75" customHeight="1">
      <c r="A71" s="1"/>
      <c r="B71" s="71">
        <v>7.0</v>
      </c>
      <c r="C71" s="72"/>
      <c r="D71" s="73"/>
      <c r="E71" s="74"/>
      <c r="F71" s="1"/>
      <c r="G71" s="1"/>
      <c r="H71" s="1"/>
      <c r="I71" s="1"/>
      <c r="J71" s="1"/>
      <c r="K71" s="90" t="s">
        <v>1</v>
      </c>
      <c r="L71" s="90" t="s">
        <v>170</v>
      </c>
      <c r="M71" s="90" t="s">
        <v>171</v>
      </c>
      <c r="N71" s="90" t="s">
        <v>173</v>
      </c>
      <c r="O71" s="90" t="s">
        <v>174</v>
      </c>
      <c r="P71" s="90" t="s">
        <v>176</v>
      </c>
      <c r="Q71" s="1"/>
      <c r="R71" s="1"/>
      <c r="AC71" s="91" t="s">
        <v>177</v>
      </c>
      <c r="AD71" s="91" t="s">
        <v>178</v>
      </c>
      <c r="AE71" s="91" t="s">
        <v>179</v>
      </c>
      <c r="AF71" s="91" t="s">
        <v>180</v>
      </c>
      <c r="AG71" s="91" t="s">
        <v>181</v>
      </c>
    </row>
    <row r="72" ht="15.75" customHeight="1">
      <c r="A72" s="1"/>
      <c r="B72" s="77">
        <v>8.0</v>
      </c>
      <c r="C72" s="84"/>
      <c r="D72" s="85"/>
      <c r="E72" s="74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3"/>
      <c r="E73" s="74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7">
        <v>10.0</v>
      </c>
      <c r="C74" s="84"/>
      <c r="D74" s="85"/>
      <c r="E74" s="74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4">
        <v>11.0</v>
      </c>
      <c r="C75" s="95"/>
      <c r="D75" s="96"/>
      <c r="E75" s="74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0" t="s">
        <v>212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1" t="s">
        <v>213</v>
      </c>
      <c r="N80" s="1"/>
      <c r="O80" s="1"/>
      <c r="P80" s="1"/>
      <c r="Q80" s="1"/>
      <c r="R80" s="1"/>
    </row>
    <row r="81" ht="15.75" customHeight="1">
      <c r="K81" s="102" t="s">
        <v>7</v>
      </c>
      <c r="L81" s="102" t="s">
        <v>214</v>
      </c>
      <c r="M81" s="102" t="s">
        <v>215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7" t="s">
        <v>218</v>
      </c>
    </row>
    <row r="86" ht="19.5" customHeight="1">
      <c r="K86" s="108" t="s">
        <v>219</v>
      </c>
      <c r="M86" s="106">
        <v>33.0</v>
      </c>
    </row>
    <row r="87" ht="19.5" customHeight="1">
      <c r="K87" s="110" t="s">
        <v>221</v>
      </c>
      <c r="M87" s="112">
        <f>COUNTIF($I$4:$I$63,"DP")</f>
        <v>7</v>
      </c>
    </row>
    <row r="88" ht="19.5" customHeight="1">
      <c r="K88" s="110" t="s">
        <v>223</v>
      </c>
      <c r="M88" s="112">
        <f>COUNTIFS($I$4:$I$63,"&lt;&gt;DP",$I$4:$I$63,"&lt;&gt;")</f>
        <v>13</v>
      </c>
    </row>
    <row r="89" ht="19.5" customHeight="1">
      <c r="K89" s="115" t="s">
        <v>224</v>
      </c>
      <c r="M89" s="112">
        <f>M87+M88</f>
        <v>20</v>
      </c>
    </row>
    <row r="90" ht="19.5" customHeight="1">
      <c r="K90" s="108" t="s">
        <v>226</v>
      </c>
      <c r="M90" s="118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341</v>
      </c>
      <c r="D4" s="19" t="s">
        <v>343</v>
      </c>
      <c r="E4" s="125">
        <v>7.0</v>
      </c>
      <c r="F4" s="23" t="s">
        <v>33</v>
      </c>
      <c r="G4" s="25"/>
      <c r="H4" s="26">
        <v>70000.0</v>
      </c>
      <c r="I4" s="23" t="s">
        <v>32</v>
      </c>
      <c r="J4" s="124" t="s">
        <v>55</v>
      </c>
      <c r="K4" s="124" t="s">
        <v>39</v>
      </c>
      <c r="L4" s="23" t="s">
        <v>27</v>
      </c>
      <c r="M4" s="28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345</v>
      </c>
      <c r="D5" s="19" t="s">
        <v>22</v>
      </c>
      <c r="E5" s="21"/>
      <c r="F5" s="23" t="s">
        <v>312</v>
      </c>
      <c r="G5" s="25"/>
      <c r="H5" s="26">
        <v>290000.0</v>
      </c>
      <c r="I5" s="23" t="s">
        <v>32</v>
      </c>
      <c r="J5" s="124" t="s">
        <v>39</v>
      </c>
      <c r="K5" s="124" t="s">
        <v>39</v>
      </c>
      <c r="L5" s="23" t="s">
        <v>27</v>
      </c>
      <c r="M5" s="124" t="s">
        <v>42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347</v>
      </c>
      <c r="D6" s="19" t="s">
        <v>348</v>
      </c>
      <c r="E6" s="125" t="s">
        <v>349</v>
      </c>
      <c r="F6" s="23" t="s">
        <v>60</v>
      </c>
      <c r="G6" s="38"/>
      <c r="H6" s="26">
        <v>125000.0</v>
      </c>
      <c r="I6" s="23" t="s">
        <v>32</v>
      </c>
      <c r="J6" s="23" t="s">
        <v>55</v>
      </c>
      <c r="K6" s="23" t="s">
        <v>39</v>
      </c>
      <c r="L6" s="23" t="s">
        <v>27</v>
      </c>
      <c r="M6" s="15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351</v>
      </c>
      <c r="D7" s="19" t="s">
        <v>23</v>
      </c>
      <c r="E7" s="31"/>
      <c r="F7" s="23" t="s">
        <v>353</v>
      </c>
      <c r="G7" s="25"/>
      <c r="H7" s="26">
        <v>100000.0</v>
      </c>
      <c r="I7" s="23" t="s">
        <v>25</v>
      </c>
      <c r="J7" s="28"/>
      <c r="K7" s="28"/>
      <c r="L7" s="23" t="s">
        <v>27</v>
      </c>
      <c r="M7" s="28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355</v>
      </c>
      <c r="D8" s="19" t="s">
        <v>22</v>
      </c>
      <c r="E8" s="21"/>
      <c r="F8" s="23" t="s">
        <v>46</v>
      </c>
      <c r="G8" s="25"/>
      <c r="H8" s="26">
        <v>100000.0</v>
      </c>
      <c r="I8" s="23" t="s">
        <v>25</v>
      </c>
      <c r="J8" s="28"/>
      <c r="K8" s="28"/>
      <c r="L8" s="23" t="s">
        <v>27</v>
      </c>
      <c r="M8" s="28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358</v>
      </c>
      <c r="D9" s="19" t="s">
        <v>23</v>
      </c>
      <c r="E9" s="21"/>
      <c r="F9" s="23" t="s">
        <v>359</v>
      </c>
      <c r="G9" s="25"/>
      <c r="H9" s="26">
        <v>100000.0</v>
      </c>
      <c r="I9" s="23" t="s">
        <v>25</v>
      </c>
      <c r="J9" s="28"/>
      <c r="K9" s="28"/>
      <c r="L9" s="23" t="s">
        <v>27</v>
      </c>
      <c r="M9" s="28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361</v>
      </c>
      <c r="D10" s="19" t="s">
        <v>23</v>
      </c>
      <c r="E10" s="31"/>
      <c r="F10" s="23" t="s">
        <v>363</v>
      </c>
      <c r="G10" s="38"/>
      <c r="H10" s="39">
        <v>100000.0</v>
      </c>
      <c r="I10" s="23" t="s">
        <v>25</v>
      </c>
      <c r="J10" s="28"/>
      <c r="K10" s="28"/>
      <c r="L10" s="23" t="s">
        <v>27</v>
      </c>
      <c r="M10" s="28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364</v>
      </c>
      <c r="D11" s="19" t="s">
        <v>239</v>
      </c>
      <c r="E11" s="125" t="s">
        <v>365</v>
      </c>
      <c r="F11" s="23" t="s">
        <v>312</v>
      </c>
      <c r="G11" s="38"/>
      <c r="H11" s="39">
        <v>60000.0</v>
      </c>
      <c r="I11" s="23" t="s">
        <v>32</v>
      </c>
      <c r="J11" s="124" t="s">
        <v>39</v>
      </c>
      <c r="K11" s="124" t="s">
        <v>41</v>
      </c>
      <c r="L11" s="23" t="s">
        <v>27</v>
      </c>
      <c r="M11" s="124" t="s">
        <v>42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367</v>
      </c>
      <c r="D12" s="19" t="s">
        <v>22</v>
      </c>
      <c r="E12" s="21"/>
      <c r="F12" s="23" t="s">
        <v>46</v>
      </c>
      <c r="G12" s="25"/>
      <c r="H12" s="26">
        <v>100000.0</v>
      </c>
      <c r="I12" s="23" t="s">
        <v>25</v>
      </c>
      <c r="J12" s="23"/>
      <c r="K12" s="23"/>
      <c r="L12" s="23" t="s">
        <v>26</v>
      </c>
      <c r="M12" s="23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369</v>
      </c>
      <c r="D13" s="19" t="s">
        <v>239</v>
      </c>
      <c r="E13" s="31"/>
      <c r="F13" s="41">
        <v>46275.0</v>
      </c>
      <c r="G13" s="25"/>
      <c r="H13" s="26">
        <v>100000.0</v>
      </c>
      <c r="I13" s="23" t="s">
        <v>32</v>
      </c>
      <c r="J13" s="23" t="s">
        <v>39</v>
      </c>
      <c r="K13" s="23" t="s">
        <v>39</v>
      </c>
      <c r="L13" s="23" t="s">
        <v>26</v>
      </c>
      <c r="M13" s="23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372</v>
      </c>
      <c r="D14" s="17" t="s">
        <v>100</v>
      </c>
      <c r="E14" s="15"/>
      <c r="F14" s="40">
        <v>46284.0</v>
      </c>
      <c r="G14" s="44"/>
      <c r="H14" s="22">
        <v>100000.0</v>
      </c>
      <c r="I14" s="24" t="s">
        <v>25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374</v>
      </c>
      <c r="D15" s="17" t="s">
        <v>23</v>
      </c>
      <c r="E15" s="15"/>
      <c r="F15" s="40">
        <v>46279.0</v>
      </c>
      <c r="G15" s="44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375</v>
      </c>
      <c r="D16" s="17" t="s">
        <v>23</v>
      </c>
      <c r="E16" s="15"/>
      <c r="F16" s="40">
        <v>46275.0</v>
      </c>
      <c r="G16" s="44"/>
      <c r="H16" s="22">
        <v>1125000.0</v>
      </c>
      <c r="I16" s="24" t="s">
        <v>32</v>
      </c>
      <c r="J16" s="24" t="s">
        <v>39</v>
      </c>
      <c r="K16" s="24" t="s">
        <v>41</v>
      </c>
      <c r="L16" s="24" t="s">
        <v>26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376</v>
      </c>
      <c r="D17" s="17" t="s">
        <v>23</v>
      </c>
      <c r="E17" s="15"/>
      <c r="F17" s="40">
        <v>46275.0</v>
      </c>
      <c r="G17" s="62">
        <v>175000.0</v>
      </c>
      <c r="H17" s="54"/>
      <c r="I17" s="24" t="s">
        <v>32</v>
      </c>
      <c r="J17" s="24" t="s">
        <v>39</v>
      </c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340</v>
      </c>
      <c r="D18" s="17" t="s">
        <v>23</v>
      </c>
      <c r="E18" s="15"/>
      <c r="F18" s="40">
        <v>46275.0</v>
      </c>
      <c r="G18" s="44"/>
      <c r="H18" s="22">
        <v>100000.0</v>
      </c>
      <c r="I18" s="24" t="s">
        <v>32</v>
      </c>
      <c r="J18" s="24" t="s">
        <v>39</v>
      </c>
      <c r="K18" s="24" t="s">
        <v>39</v>
      </c>
      <c r="L18" s="24" t="s">
        <v>26</v>
      </c>
      <c r="M18" s="24" t="s">
        <v>42</v>
      </c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175000</v>
      </c>
      <c r="H19" s="67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145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146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149</v>
      </c>
      <c r="D23" s="73">
        <f>SUM(G19)</f>
        <v>175000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120"/>
      <c r="D24" s="121"/>
      <c r="E24" s="74"/>
      <c r="F24" s="1"/>
      <c r="G24" s="1"/>
      <c r="H24" s="1"/>
      <c r="I24" s="1"/>
      <c r="J24" s="1"/>
      <c r="K24" s="1"/>
      <c r="L24" s="1"/>
      <c r="M24" s="1"/>
      <c r="N24" s="80" t="s">
        <v>157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139"/>
      <c r="D25" s="140"/>
      <c r="E25" s="74"/>
      <c r="F25" s="1"/>
      <c r="G25" s="1"/>
      <c r="H25" s="1"/>
      <c r="I25" s="1"/>
      <c r="J25" s="1"/>
      <c r="K25" s="1"/>
      <c r="L25" s="1"/>
      <c r="M25" s="1"/>
      <c r="N25" s="82" t="s">
        <v>160</v>
      </c>
      <c r="O25" s="83" t="s">
        <v>42</v>
      </c>
      <c r="P25" s="1"/>
      <c r="Q25" s="1"/>
      <c r="R25" s="1"/>
    </row>
    <row r="26" ht="15.75" customHeight="1">
      <c r="A26" s="1"/>
      <c r="B26" s="77">
        <v>4.0</v>
      </c>
      <c r="C26" s="120"/>
      <c r="D26" s="121"/>
      <c r="E26" s="74"/>
      <c r="F26" s="1"/>
      <c r="G26" s="1"/>
      <c r="H26" s="1"/>
      <c r="I26" s="1"/>
      <c r="J26" s="1"/>
      <c r="K26" s="1"/>
      <c r="L26" s="1"/>
      <c r="M26" s="1"/>
      <c r="N26" s="86" t="s">
        <v>163</v>
      </c>
      <c r="O26" s="81" t="s">
        <v>81</v>
      </c>
      <c r="P26" s="1"/>
      <c r="Q26" s="1"/>
      <c r="R26" s="1"/>
    </row>
    <row r="27" ht="15.75" customHeight="1">
      <c r="A27" s="1"/>
      <c r="B27" s="71">
        <v>5.0</v>
      </c>
      <c r="C27" s="139"/>
      <c r="D27" s="140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</row>
    <row r="40" ht="15.75" customHeight="1">
      <c r="K40" s="103" t="str">
        <f t="shared" ref="K40:K41" si="8">IF(O23="","",O23)</f>
        <v>AMEL</v>
      </c>
      <c r="L40" s="106">
        <v>4.0</v>
      </c>
      <c r="M40" s="106" t="s">
        <v>401</v>
      </c>
    </row>
    <row r="41" ht="15.75" customHeight="1">
      <c r="K41" s="103" t="str">
        <f t="shared" si="8"/>
        <v>INDAH</v>
      </c>
      <c r="L41" s="106">
        <v>3.0</v>
      </c>
      <c r="M41" s="106" t="s">
        <v>402</v>
      </c>
    </row>
    <row r="42" ht="15.75" customHeight="1"/>
    <row r="43" ht="19.5" customHeight="1">
      <c r="K43" s="107" t="s">
        <v>218</v>
      </c>
    </row>
    <row r="44" ht="19.5" customHeight="1">
      <c r="K44" s="108" t="s">
        <v>219</v>
      </c>
      <c r="M44" s="106">
        <v>33.0</v>
      </c>
    </row>
    <row r="45" ht="19.5" customHeight="1">
      <c r="K45" s="110" t="s">
        <v>221</v>
      </c>
      <c r="M45" s="112">
        <f>COUNTIF($I$4:$I$21,"DP")</f>
        <v>7</v>
      </c>
    </row>
    <row r="46" ht="19.5" customHeight="1">
      <c r="K46" s="110" t="s">
        <v>223</v>
      </c>
      <c r="M46" s="112">
        <f>COUNTIFS($I$4:$I$21,"&lt;&gt;DP",$I$4:$I$21,"&lt;&gt;")</f>
        <v>8</v>
      </c>
    </row>
    <row r="47" ht="19.5" customHeight="1">
      <c r="K47" s="115" t="s">
        <v>224</v>
      </c>
      <c r="M47" s="112">
        <f>M45+M46</f>
        <v>15</v>
      </c>
    </row>
    <row r="48" ht="19.5" customHeight="1">
      <c r="K48" s="108" t="s">
        <v>226</v>
      </c>
      <c r="M48" s="118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352</v>
      </c>
      <c r="D4" s="19" t="s">
        <v>246</v>
      </c>
      <c r="E4" s="21"/>
      <c r="F4" s="23" t="s">
        <v>354</v>
      </c>
      <c r="G4" s="25"/>
      <c r="H4" s="26">
        <v>50000.0</v>
      </c>
      <c r="I4" s="23" t="s">
        <v>32</v>
      </c>
      <c r="J4" s="124" t="s">
        <v>39</v>
      </c>
      <c r="K4" s="124" t="s">
        <v>39</v>
      </c>
      <c r="L4" s="23" t="s">
        <v>27</v>
      </c>
      <c r="M4" s="23" t="s">
        <v>42</v>
      </c>
      <c r="N4" s="27"/>
      <c r="O4" s="27"/>
      <c r="P4" s="29"/>
      <c r="Q4" s="1"/>
      <c r="R4" s="1"/>
    </row>
    <row r="5" ht="15.75" customHeight="1">
      <c r="A5" s="1"/>
      <c r="B5" s="14">
        <v>2.0</v>
      </c>
      <c r="C5" s="17" t="s">
        <v>356</v>
      </c>
      <c r="D5" s="19" t="s">
        <v>48</v>
      </c>
      <c r="E5" s="21"/>
      <c r="F5" s="23" t="s">
        <v>186</v>
      </c>
      <c r="G5" s="25"/>
      <c r="H5" s="26">
        <v>100000.0</v>
      </c>
      <c r="I5" s="23" t="s">
        <v>25</v>
      </c>
      <c r="J5" s="28"/>
      <c r="K5" s="28"/>
      <c r="L5" s="23" t="s">
        <v>27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7" t="s">
        <v>360</v>
      </c>
      <c r="D6" s="19" t="s">
        <v>22</v>
      </c>
      <c r="E6" s="21"/>
      <c r="F6" s="23" t="s">
        <v>354</v>
      </c>
      <c r="G6" s="25"/>
      <c r="H6" s="26">
        <v>100000.0</v>
      </c>
      <c r="I6" s="23" t="s">
        <v>25</v>
      </c>
      <c r="J6" s="28"/>
      <c r="K6" s="28"/>
      <c r="L6" s="23" t="s">
        <v>27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102</v>
      </c>
      <c r="D7" s="19" t="s">
        <v>52</v>
      </c>
      <c r="E7" s="132" t="s">
        <v>250</v>
      </c>
      <c r="F7" s="23" t="s">
        <v>354</v>
      </c>
      <c r="G7" s="25"/>
      <c r="H7" s="26">
        <v>150000.0</v>
      </c>
      <c r="I7" s="23" t="s">
        <v>32</v>
      </c>
      <c r="J7" s="23" t="s">
        <v>39</v>
      </c>
      <c r="K7" s="23" t="s">
        <v>39</v>
      </c>
      <c r="L7" s="23" t="s">
        <v>27</v>
      </c>
      <c r="M7" s="23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368</v>
      </c>
      <c r="D8" s="19" t="s">
        <v>48</v>
      </c>
      <c r="E8" s="21"/>
      <c r="F8" s="23" t="s">
        <v>30</v>
      </c>
      <c r="G8" s="25"/>
      <c r="H8" s="26">
        <v>100000.0</v>
      </c>
      <c r="I8" s="23" t="s">
        <v>25</v>
      </c>
      <c r="J8" s="28"/>
      <c r="K8" s="28"/>
      <c r="L8" s="23" t="s">
        <v>27</v>
      </c>
      <c r="M8" s="28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370</v>
      </c>
      <c r="D9" s="19" t="s">
        <v>23</v>
      </c>
      <c r="E9" s="21"/>
      <c r="F9" s="23" t="s">
        <v>363</v>
      </c>
      <c r="G9" s="25"/>
      <c r="H9" s="26">
        <v>100000.0</v>
      </c>
      <c r="I9" s="23" t="s">
        <v>25</v>
      </c>
      <c r="J9" s="28"/>
      <c r="K9" s="28"/>
      <c r="L9" s="23" t="s">
        <v>27</v>
      </c>
      <c r="M9" s="28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373</v>
      </c>
      <c r="D10" s="19" t="s">
        <v>22</v>
      </c>
      <c r="E10" s="21"/>
      <c r="F10" s="23" t="s">
        <v>319</v>
      </c>
      <c r="G10" s="25"/>
      <c r="H10" s="26">
        <v>100000.0</v>
      </c>
      <c r="I10" s="23" t="s">
        <v>25</v>
      </c>
      <c r="J10" s="28"/>
      <c r="K10" s="28"/>
      <c r="L10" s="23" t="s">
        <v>27</v>
      </c>
      <c r="M10" s="28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278</v>
      </c>
      <c r="D11" s="19" t="s">
        <v>48</v>
      </c>
      <c r="E11" s="125"/>
      <c r="F11" s="30">
        <v>46276.0</v>
      </c>
      <c r="G11" s="56">
        <v>350000.0</v>
      </c>
      <c r="H11" s="57"/>
      <c r="I11" s="23" t="s">
        <v>32</v>
      </c>
      <c r="J11" s="124" t="s">
        <v>39</v>
      </c>
      <c r="K11" s="124" t="s">
        <v>41</v>
      </c>
      <c r="L11" s="23" t="s">
        <v>27</v>
      </c>
      <c r="M11" s="124" t="s">
        <v>42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278</v>
      </c>
      <c r="D12" s="19" t="s">
        <v>48</v>
      </c>
      <c r="E12" s="125" t="s">
        <v>289</v>
      </c>
      <c r="F12" s="136"/>
      <c r="G12" s="25"/>
      <c r="H12" s="26">
        <v>100000.0</v>
      </c>
      <c r="I12" s="23" t="s">
        <v>32</v>
      </c>
      <c r="J12" s="28"/>
      <c r="K12" s="28"/>
      <c r="L12" s="23" t="s">
        <v>27</v>
      </c>
      <c r="M12" s="28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377</v>
      </c>
      <c r="D13" s="19" t="s">
        <v>23</v>
      </c>
      <c r="E13" s="21"/>
      <c r="F13" s="136"/>
      <c r="G13" s="25"/>
      <c r="H13" s="26">
        <v>1125000.0</v>
      </c>
      <c r="I13" s="23" t="s">
        <v>32</v>
      </c>
      <c r="J13" s="23" t="s">
        <v>39</v>
      </c>
      <c r="K13" s="23" t="s">
        <v>39</v>
      </c>
      <c r="L13" s="23" t="s">
        <v>27</v>
      </c>
      <c r="M13" s="124" t="s">
        <v>42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7" t="s">
        <v>378</v>
      </c>
      <c r="D14" s="19" t="s">
        <v>22</v>
      </c>
      <c r="E14" s="21"/>
      <c r="F14" s="136"/>
      <c r="G14" s="38"/>
      <c r="H14" s="39">
        <v>250000.0</v>
      </c>
      <c r="I14" s="23" t="s">
        <v>32</v>
      </c>
      <c r="J14" s="124" t="s">
        <v>39</v>
      </c>
      <c r="K14" s="124" t="s">
        <v>39</v>
      </c>
      <c r="L14" s="23" t="s">
        <v>27</v>
      </c>
      <c r="M14" s="124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36" t="s">
        <v>380</v>
      </c>
      <c r="D15" s="19" t="s">
        <v>243</v>
      </c>
      <c r="E15" s="21"/>
      <c r="F15" s="23" t="s">
        <v>60</v>
      </c>
      <c r="G15" s="25"/>
      <c r="H15" s="26">
        <v>125000.0</v>
      </c>
      <c r="I15" s="23" t="s">
        <v>32</v>
      </c>
      <c r="J15" s="23" t="s">
        <v>55</v>
      </c>
      <c r="K15" s="23" t="s">
        <v>39</v>
      </c>
      <c r="L15" s="23" t="s">
        <v>27</v>
      </c>
      <c r="M15" s="15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382</v>
      </c>
      <c r="D16" s="19" t="s">
        <v>22</v>
      </c>
      <c r="E16" s="49"/>
      <c r="F16" s="23" t="s">
        <v>46</v>
      </c>
      <c r="G16" s="38"/>
      <c r="H16" s="39">
        <v>100000.0</v>
      </c>
      <c r="I16" s="23" t="s">
        <v>25</v>
      </c>
      <c r="J16" s="15"/>
      <c r="K16" s="15"/>
      <c r="L16" s="23" t="s">
        <v>27</v>
      </c>
      <c r="M16" s="15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259</v>
      </c>
      <c r="D17" s="19" t="s">
        <v>23</v>
      </c>
      <c r="E17" s="21"/>
      <c r="F17" s="23" t="s">
        <v>354</v>
      </c>
      <c r="G17" s="56">
        <v>300000.0</v>
      </c>
      <c r="H17" s="26">
        <v>300000.0</v>
      </c>
      <c r="I17" s="23" t="s">
        <v>32</v>
      </c>
      <c r="J17" s="124" t="s">
        <v>39</v>
      </c>
      <c r="K17" s="124" t="s">
        <v>39</v>
      </c>
      <c r="L17" s="23" t="s">
        <v>27</v>
      </c>
      <c r="M17" s="124" t="s">
        <v>42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385</v>
      </c>
      <c r="D18" s="19" t="s">
        <v>48</v>
      </c>
      <c r="E18" s="21"/>
      <c r="F18" s="23" t="s">
        <v>363</v>
      </c>
      <c r="G18" s="38"/>
      <c r="H18" s="39">
        <v>100000.0</v>
      </c>
      <c r="I18" s="23" t="s">
        <v>25</v>
      </c>
      <c r="J18" s="15"/>
      <c r="K18" s="15"/>
      <c r="L18" s="23" t="s">
        <v>27</v>
      </c>
      <c r="M18" s="15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97"/>
      <c r="D19" s="135"/>
      <c r="E19" s="21"/>
      <c r="F19" s="136"/>
      <c r="G19" s="25"/>
      <c r="H19" s="57"/>
      <c r="I19" s="15"/>
      <c r="J19" s="15"/>
      <c r="K19" s="15"/>
      <c r="L19" s="15"/>
      <c r="M19" s="15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97"/>
      <c r="D20" s="135"/>
      <c r="E20" s="21"/>
      <c r="F20" s="136"/>
      <c r="G20" s="25"/>
      <c r="H20" s="57"/>
      <c r="I20" s="15"/>
      <c r="J20" s="28"/>
      <c r="K20" s="28"/>
      <c r="L20" s="15"/>
      <c r="M20" s="28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97"/>
      <c r="D21" s="135"/>
      <c r="E21" s="21"/>
      <c r="F21" s="136"/>
      <c r="G21" s="25"/>
      <c r="H21" s="57"/>
      <c r="I21" s="15"/>
      <c r="J21" s="28"/>
      <c r="K21" s="28"/>
      <c r="L21" s="15"/>
      <c r="M21" s="28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145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146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151</v>
      </c>
      <c r="O27" s="76" t="s">
        <v>27</v>
      </c>
      <c r="P27" s="1"/>
      <c r="Q27" s="1"/>
      <c r="R27" s="1"/>
    </row>
    <row r="28" ht="15.75" customHeight="1">
      <c r="A28" s="1"/>
      <c r="B28" s="77">
        <v>2.0</v>
      </c>
      <c r="C28" s="109" t="s">
        <v>392</v>
      </c>
      <c r="D28" s="111">
        <v>-50000.0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157</v>
      </c>
      <c r="O28" s="81" t="s">
        <v>27</v>
      </c>
      <c r="P28" s="1"/>
      <c r="Q28" s="1"/>
      <c r="R28" s="1"/>
    </row>
    <row r="29" ht="15.75" customHeight="1">
      <c r="A29" s="1"/>
      <c r="B29" s="71">
        <v>3.0</v>
      </c>
      <c r="C29" s="117" t="s">
        <v>299</v>
      </c>
      <c r="D29" s="119">
        <v>-16000.0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160</v>
      </c>
      <c r="O29" s="83" t="s">
        <v>42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163</v>
      </c>
      <c r="O30" s="81" t="s">
        <v>42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173</v>
      </c>
      <c r="O33" s="90" t="s">
        <v>174</v>
      </c>
      <c r="P33" s="90" t="s">
        <v>176</v>
      </c>
      <c r="Q33" s="1"/>
      <c r="R33" s="1"/>
      <c r="AC33" s="91" t="s">
        <v>177</v>
      </c>
      <c r="AD33" s="91" t="s">
        <v>178</v>
      </c>
      <c r="AE33" s="91" t="s">
        <v>179</v>
      </c>
      <c r="AF33" s="91" t="s">
        <v>180</v>
      </c>
      <c r="AG33" s="91" t="s">
        <v>181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7" t="s">
        <v>218</v>
      </c>
    </row>
    <row r="48" ht="19.5" customHeight="1">
      <c r="K48" s="108" t="s">
        <v>219</v>
      </c>
      <c r="M48" s="106">
        <v>30.0</v>
      </c>
    </row>
    <row r="49" ht="19.5" customHeight="1">
      <c r="K49" s="110" t="s">
        <v>221</v>
      </c>
      <c r="M49" s="150">
        <v>7.0</v>
      </c>
    </row>
    <row r="50" ht="19.5" customHeight="1">
      <c r="K50" s="110" t="s">
        <v>223</v>
      </c>
      <c r="M50" s="112">
        <f>COUNTIFS($I$4:$I$25,"&lt;&gt;DP",$I$4:$I$25,"&lt;&gt;")</f>
        <v>8</v>
      </c>
    </row>
    <row r="51" ht="19.5" customHeight="1">
      <c r="K51" s="115" t="s">
        <v>224</v>
      </c>
      <c r="M51" s="112">
        <f>M49+M50</f>
        <v>15</v>
      </c>
    </row>
    <row r="52" ht="19.5" customHeight="1">
      <c r="K52" s="108" t="s">
        <v>226</v>
      </c>
      <c r="M52" s="118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6" t="s">
        <v>413</v>
      </c>
      <c r="D4" s="19" t="s">
        <v>23</v>
      </c>
      <c r="E4" s="21"/>
      <c r="F4" s="23" t="s">
        <v>186</v>
      </c>
      <c r="G4" s="25"/>
      <c r="H4" s="26">
        <v>100000.0</v>
      </c>
      <c r="I4" s="23" t="s">
        <v>25</v>
      </c>
      <c r="J4" s="15"/>
      <c r="K4" s="15"/>
      <c r="L4" s="23" t="s">
        <v>27</v>
      </c>
      <c r="M4" s="28"/>
      <c r="N4" s="27"/>
      <c r="O4" s="27"/>
      <c r="P4" s="29"/>
      <c r="Q4" s="1"/>
      <c r="R4" s="1"/>
    </row>
    <row r="5" ht="15.75" customHeight="1">
      <c r="A5" s="1"/>
      <c r="B5" s="14">
        <v>2.0</v>
      </c>
      <c r="C5" s="87" t="s">
        <v>414</v>
      </c>
      <c r="D5" s="19" t="s">
        <v>22</v>
      </c>
      <c r="E5" s="21"/>
      <c r="F5" s="23" t="s">
        <v>36</v>
      </c>
      <c r="G5" s="25"/>
      <c r="H5" s="26">
        <v>100000.0</v>
      </c>
      <c r="I5" s="23" t="s">
        <v>25</v>
      </c>
      <c r="J5" s="15"/>
      <c r="K5" s="15"/>
      <c r="L5" s="23" t="s">
        <v>27</v>
      </c>
      <c r="M5" s="28"/>
      <c r="N5" s="33"/>
      <c r="O5" s="33"/>
      <c r="P5" s="33"/>
      <c r="Q5" s="1"/>
      <c r="R5" s="1"/>
    </row>
    <row r="6" ht="15.75" customHeight="1">
      <c r="A6" s="1"/>
      <c r="B6" s="14">
        <v>3.0</v>
      </c>
      <c r="C6" s="36" t="s">
        <v>415</v>
      </c>
      <c r="D6" s="19" t="s">
        <v>23</v>
      </c>
      <c r="E6" s="21"/>
      <c r="F6" s="23" t="s">
        <v>416</v>
      </c>
      <c r="G6" s="25"/>
      <c r="H6" s="26">
        <v>100000.0</v>
      </c>
      <c r="I6" s="23" t="s">
        <v>25</v>
      </c>
      <c r="J6" s="15"/>
      <c r="K6" s="15"/>
      <c r="L6" s="151" t="s">
        <v>27</v>
      </c>
      <c r="M6" s="28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7" t="s">
        <v>273</v>
      </c>
      <c r="D7" s="19" t="s">
        <v>343</v>
      </c>
      <c r="E7" s="31"/>
      <c r="F7" s="23" t="s">
        <v>56</v>
      </c>
      <c r="G7" s="25"/>
      <c r="H7" s="26">
        <v>30000.0</v>
      </c>
      <c r="I7" s="23" t="s">
        <v>32</v>
      </c>
      <c r="J7" s="23" t="s">
        <v>39</v>
      </c>
      <c r="K7" s="23" t="s">
        <v>39</v>
      </c>
      <c r="L7" s="23" t="s">
        <v>27</v>
      </c>
      <c r="M7" s="28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7" t="s">
        <v>417</v>
      </c>
      <c r="D8" s="19" t="s">
        <v>22</v>
      </c>
      <c r="E8" s="21"/>
      <c r="F8" s="23" t="s">
        <v>137</v>
      </c>
      <c r="G8" s="25"/>
      <c r="H8" s="26">
        <v>100000.0</v>
      </c>
      <c r="I8" s="23" t="s">
        <v>25</v>
      </c>
      <c r="J8" s="15"/>
      <c r="K8" s="15"/>
      <c r="L8" s="23" t="s">
        <v>27</v>
      </c>
      <c r="M8" s="15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7" t="s">
        <v>418</v>
      </c>
      <c r="D9" s="19" t="s">
        <v>23</v>
      </c>
      <c r="E9" s="125" t="s">
        <v>282</v>
      </c>
      <c r="F9" s="23" t="s">
        <v>363</v>
      </c>
      <c r="G9" s="25"/>
      <c r="H9" s="26">
        <v>250000.0</v>
      </c>
      <c r="I9" s="23" t="s">
        <v>32</v>
      </c>
      <c r="J9" s="23" t="s">
        <v>39</v>
      </c>
      <c r="K9" s="23" t="s">
        <v>39</v>
      </c>
      <c r="L9" s="23" t="s">
        <v>27</v>
      </c>
      <c r="M9" s="23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7" t="s">
        <v>419</v>
      </c>
      <c r="D10" s="19" t="s">
        <v>22</v>
      </c>
      <c r="E10" s="21"/>
      <c r="F10" s="23" t="s">
        <v>46</v>
      </c>
      <c r="G10" s="25"/>
      <c r="H10" s="26">
        <v>100000.0</v>
      </c>
      <c r="I10" s="23" t="s">
        <v>25</v>
      </c>
      <c r="J10" s="15"/>
      <c r="K10" s="15"/>
      <c r="L10" s="23" t="s">
        <v>27</v>
      </c>
      <c r="M10" s="15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7" t="s">
        <v>420</v>
      </c>
      <c r="D11" s="19" t="s">
        <v>22</v>
      </c>
      <c r="E11" s="21"/>
      <c r="F11" s="23" t="s">
        <v>211</v>
      </c>
      <c r="G11" s="38"/>
      <c r="H11" s="39">
        <v>100000.0</v>
      </c>
      <c r="I11" s="23" t="s">
        <v>25</v>
      </c>
      <c r="J11" s="15"/>
      <c r="K11" s="15"/>
      <c r="L11" s="23" t="s">
        <v>27</v>
      </c>
      <c r="M11" s="15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7" t="s">
        <v>421</v>
      </c>
      <c r="D12" s="19" t="s">
        <v>96</v>
      </c>
      <c r="E12" s="21"/>
      <c r="F12" s="23" t="s">
        <v>363</v>
      </c>
      <c r="G12" s="25"/>
      <c r="H12" s="26">
        <v>400000.0</v>
      </c>
      <c r="I12" s="23" t="s">
        <v>32</v>
      </c>
      <c r="J12" s="23" t="s">
        <v>55</v>
      </c>
      <c r="K12" s="23" t="s">
        <v>55</v>
      </c>
      <c r="L12" s="23" t="s">
        <v>27</v>
      </c>
      <c r="M12" s="28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7" t="s">
        <v>422</v>
      </c>
      <c r="D13" s="19" t="s">
        <v>23</v>
      </c>
      <c r="E13" s="21"/>
      <c r="F13" s="23" t="s">
        <v>186</v>
      </c>
      <c r="G13" s="25"/>
      <c r="H13" s="26">
        <v>100000.0</v>
      </c>
      <c r="I13" s="23" t="s">
        <v>25</v>
      </c>
      <c r="J13" s="15"/>
      <c r="K13" s="15"/>
      <c r="L13" s="23" t="s">
        <v>27</v>
      </c>
      <c r="M13" s="28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87" t="s">
        <v>385</v>
      </c>
      <c r="D14" s="19" t="s">
        <v>48</v>
      </c>
      <c r="E14" s="21"/>
      <c r="F14" s="23" t="s">
        <v>363</v>
      </c>
      <c r="G14" s="25"/>
      <c r="H14" s="26">
        <v>100000.0</v>
      </c>
      <c r="I14" s="23" t="s">
        <v>32</v>
      </c>
      <c r="J14" s="23" t="s">
        <v>39</v>
      </c>
      <c r="K14" s="23" t="s">
        <v>41</v>
      </c>
      <c r="L14" s="23" t="s">
        <v>27</v>
      </c>
      <c r="M14" s="1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7" t="s">
        <v>424</v>
      </c>
      <c r="D15" s="19" t="s">
        <v>22</v>
      </c>
      <c r="E15" s="21"/>
      <c r="F15" s="23" t="s">
        <v>137</v>
      </c>
      <c r="G15" s="25"/>
      <c r="H15" s="26">
        <v>100000.0</v>
      </c>
      <c r="I15" s="23" t="s">
        <v>25</v>
      </c>
      <c r="J15" s="15"/>
      <c r="K15" s="15"/>
      <c r="L15" s="23" t="s">
        <v>27</v>
      </c>
      <c r="M15" s="28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7" t="s">
        <v>425</v>
      </c>
      <c r="D16" s="19" t="s">
        <v>23</v>
      </c>
      <c r="E16" s="21"/>
      <c r="F16" s="41">
        <v>46277.0</v>
      </c>
      <c r="G16" s="56">
        <v>125000.0</v>
      </c>
      <c r="H16" s="57"/>
      <c r="I16" s="23" t="s">
        <v>32</v>
      </c>
      <c r="J16" s="23" t="s">
        <v>39</v>
      </c>
      <c r="K16" s="23" t="s">
        <v>41</v>
      </c>
      <c r="L16" s="23" t="s">
        <v>26</v>
      </c>
      <c r="M16" s="23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7" t="s">
        <v>361</v>
      </c>
      <c r="D17" s="19" t="s">
        <v>23</v>
      </c>
      <c r="E17" s="21"/>
      <c r="F17" s="30">
        <v>46277.0</v>
      </c>
      <c r="G17" s="56"/>
      <c r="H17" s="26">
        <v>75000.0</v>
      </c>
      <c r="I17" s="23" t="s">
        <v>32</v>
      </c>
      <c r="J17" s="23" t="s">
        <v>39</v>
      </c>
      <c r="K17" s="23" t="s">
        <v>39</v>
      </c>
      <c r="L17" s="23" t="s">
        <v>26</v>
      </c>
      <c r="M17" s="23" t="s">
        <v>81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7" t="s">
        <v>428</v>
      </c>
      <c r="D18" s="19" t="s">
        <v>23</v>
      </c>
      <c r="E18" s="21"/>
      <c r="F18" s="30">
        <v>46277.0</v>
      </c>
      <c r="G18" s="25"/>
      <c r="H18" s="26">
        <v>125000.0</v>
      </c>
      <c r="I18" s="23" t="s">
        <v>32</v>
      </c>
      <c r="J18" s="23" t="s">
        <v>39</v>
      </c>
      <c r="K18" s="23" t="s">
        <v>39</v>
      </c>
      <c r="L18" s="23" t="s">
        <v>26</v>
      </c>
      <c r="M18" s="23" t="s">
        <v>81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7" t="s">
        <v>430</v>
      </c>
      <c r="D19" s="19" t="s">
        <v>23</v>
      </c>
      <c r="E19" s="21"/>
      <c r="F19" s="30">
        <v>46277.0</v>
      </c>
      <c r="G19" s="56">
        <v>625000.0</v>
      </c>
      <c r="H19" s="57"/>
      <c r="I19" s="23" t="s">
        <v>32</v>
      </c>
      <c r="J19" s="23" t="s">
        <v>39</v>
      </c>
      <c r="K19" s="23" t="s">
        <v>39</v>
      </c>
      <c r="L19" s="23" t="s">
        <v>26</v>
      </c>
      <c r="M19" s="23" t="s">
        <v>81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" t="s">
        <v>431</v>
      </c>
      <c r="D20" s="19" t="s">
        <v>22</v>
      </c>
      <c r="E20" s="21"/>
      <c r="F20" s="41">
        <v>46298.0</v>
      </c>
      <c r="G20" s="25"/>
      <c r="H20" s="26">
        <v>100000.0</v>
      </c>
      <c r="I20" s="23" t="s">
        <v>25</v>
      </c>
      <c r="J20" s="15"/>
      <c r="K20" s="15"/>
      <c r="L20" s="23" t="s">
        <v>26</v>
      </c>
      <c r="M20" s="15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7" t="s">
        <v>433</v>
      </c>
      <c r="D21" s="19" t="s">
        <v>23</v>
      </c>
      <c r="E21" s="21"/>
      <c r="F21" s="41">
        <v>46278.0</v>
      </c>
      <c r="G21" s="25"/>
      <c r="H21" s="26">
        <v>270000.0</v>
      </c>
      <c r="I21" s="23" t="s">
        <v>25</v>
      </c>
      <c r="J21" s="15"/>
      <c r="K21" s="15"/>
      <c r="L21" s="23" t="s">
        <v>26</v>
      </c>
      <c r="M21" s="15"/>
      <c r="N21" s="33"/>
      <c r="O21" s="33"/>
      <c r="P21" s="33"/>
      <c r="Q21" s="1"/>
      <c r="R21" s="1"/>
    </row>
    <row r="22" ht="15.75" customHeight="1">
      <c r="A22" s="1"/>
      <c r="B22" s="14"/>
      <c r="C22" s="16" t="s">
        <v>435</v>
      </c>
      <c r="D22" s="17" t="s">
        <v>23</v>
      </c>
      <c r="E22" s="15"/>
      <c r="F22" s="40">
        <v>46278.0</v>
      </c>
      <c r="G22" s="44"/>
      <c r="H22" s="22">
        <v>100000.0</v>
      </c>
      <c r="I22" s="24" t="s">
        <v>25</v>
      </c>
      <c r="J22" s="14"/>
      <c r="K22" s="14"/>
      <c r="L22" s="24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64"/>
      <c r="O23" s="64"/>
      <c r="P23" s="64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6">
        <f t="shared" ref="G24:H24" si="1">SUM(G4:G23)</f>
        <v>750000</v>
      </c>
      <c r="H24" s="67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145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146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149</v>
      </c>
      <c r="D28" s="73">
        <f>SUM(G24)</f>
        <v>750000</v>
      </c>
      <c r="E28" s="74"/>
      <c r="F28" s="1"/>
      <c r="G28" s="1"/>
      <c r="H28" s="1"/>
      <c r="I28" s="1"/>
      <c r="J28" s="1"/>
      <c r="K28" s="1"/>
      <c r="L28" s="1"/>
      <c r="M28" s="1"/>
      <c r="N28" s="75" t="s">
        <v>151</v>
      </c>
      <c r="O28" s="76" t="s">
        <v>27</v>
      </c>
      <c r="P28" s="1"/>
      <c r="Q28" s="1"/>
      <c r="R28" s="1"/>
    </row>
    <row r="29" ht="15.75" customHeight="1">
      <c r="A29" s="1"/>
      <c r="B29" s="77">
        <v>2.0</v>
      </c>
      <c r="C29" s="109" t="s">
        <v>154</v>
      </c>
      <c r="D29" s="111">
        <v>-50000.0</v>
      </c>
      <c r="E29" s="74"/>
      <c r="F29" s="1"/>
      <c r="G29" s="1"/>
      <c r="H29" s="1"/>
      <c r="I29" s="1"/>
      <c r="J29" s="1"/>
      <c r="K29" s="1"/>
      <c r="L29" s="1"/>
      <c r="M29" s="1"/>
      <c r="N29" s="80" t="s">
        <v>157</v>
      </c>
      <c r="O29" s="81" t="s">
        <v>26</v>
      </c>
      <c r="P29" s="1"/>
      <c r="Q29" s="1"/>
      <c r="R29" s="1"/>
    </row>
    <row r="30" ht="15.75" customHeight="1">
      <c r="A30" s="1"/>
      <c r="B30" s="71">
        <v>3.0</v>
      </c>
      <c r="C30" s="139"/>
      <c r="D30" s="140"/>
      <c r="E30" s="74"/>
      <c r="F30" s="1"/>
      <c r="G30" s="1"/>
      <c r="H30" s="1"/>
      <c r="I30" s="1"/>
      <c r="J30" s="1"/>
      <c r="K30" s="1"/>
      <c r="L30" s="1"/>
      <c r="M30" s="1"/>
      <c r="N30" s="82" t="s">
        <v>160</v>
      </c>
      <c r="O30" s="83" t="s">
        <v>81</v>
      </c>
      <c r="P30" s="1"/>
      <c r="Q30" s="1"/>
      <c r="R30" s="1"/>
    </row>
    <row r="31" ht="15.75" customHeight="1">
      <c r="A31" s="1"/>
      <c r="B31" s="77">
        <v>4.0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6" t="s">
        <v>163</v>
      </c>
      <c r="O31" s="81" t="s">
        <v>81</v>
      </c>
      <c r="P31" s="1"/>
      <c r="Q31" s="1"/>
      <c r="R31" s="1"/>
    </row>
    <row r="32" ht="15.75" customHeight="1">
      <c r="A32" s="1"/>
      <c r="B32" s="71">
        <v>5.0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7">
        <v>6.0</v>
      </c>
      <c r="C33" s="84"/>
      <c r="D33" s="85"/>
      <c r="E33" s="74"/>
      <c r="F33" s="1"/>
      <c r="G33" s="1"/>
      <c r="H33" s="1"/>
      <c r="I33" s="1"/>
      <c r="J33" s="1"/>
      <c r="K33" s="89" t="s">
        <v>168</v>
      </c>
      <c r="Q33" s="1"/>
      <c r="R33" s="1"/>
    </row>
    <row r="34" ht="15.75" customHeight="1">
      <c r="A34" s="1"/>
      <c r="B34" s="71">
        <v>7.0</v>
      </c>
      <c r="C34" s="72"/>
      <c r="D34" s="73"/>
      <c r="E34" s="74"/>
      <c r="F34" s="1"/>
      <c r="G34" s="1"/>
      <c r="H34" s="1"/>
      <c r="I34" s="1"/>
      <c r="J34" s="1"/>
      <c r="K34" s="90" t="s">
        <v>1</v>
      </c>
      <c r="L34" s="90" t="s">
        <v>170</v>
      </c>
      <c r="M34" s="90" t="s">
        <v>171</v>
      </c>
      <c r="N34" s="90" t="s">
        <v>173</v>
      </c>
      <c r="O34" s="90" t="s">
        <v>174</v>
      </c>
      <c r="P34" s="90" t="s">
        <v>176</v>
      </c>
      <c r="Q34" s="1"/>
      <c r="R34" s="1"/>
      <c r="AC34" s="91" t="s">
        <v>177</v>
      </c>
      <c r="AD34" s="91" t="s">
        <v>178</v>
      </c>
      <c r="AE34" s="91" t="s">
        <v>179</v>
      </c>
      <c r="AF34" s="91" t="s">
        <v>180</v>
      </c>
      <c r="AG34" s="91" t="s">
        <v>181</v>
      </c>
    </row>
    <row r="35" ht="15.75" customHeight="1">
      <c r="A35" s="1"/>
      <c r="B35" s="77">
        <v>8.0</v>
      </c>
      <c r="C35" s="84"/>
      <c r="D35" s="85"/>
      <c r="E35" s="74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3"/>
      <c r="E36" s="74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7">
        <v>10.0</v>
      </c>
      <c r="C37" s="84"/>
      <c r="D37" s="85"/>
      <c r="E37" s="74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4">
        <v>11.0</v>
      </c>
      <c r="C38" s="95"/>
      <c r="D38" s="96"/>
      <c r="E38" s="74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212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1" t="s">
        <v>213</v>
      </c>
      <c r="N43" s="1"/>
      <c r="O43" s="1"/>
      <c r="P43" s="1"/>
      <c r="Q43" s="1"/>
      <c r="R43" s="1"/>
    </row>
    <row r="44" ht="15.75" customHeight="1">
      <c r="K44" s="102" t="s">
        <v>7</v>
      </c>
      <c r="L44" s="102" t="s">
        <v>214</v>
      </c>
      <c r="M44" s="102" t="s">
        <v>215</v>
      </c>
    </row>
    <row r="45" ht="15.75" customHeight="1">
      <c r="K45" s="103" t="str">
        <f t="shared" ref="K45:K46" si="8">IF(O28="","",O28)</f>
        <v>AMEL</v>
      </c>
      <c r="L45" s="106">
        <v>8.0</v>
      </c>
      <c r="M45" s="104"/>
    </row>
    <row r="46" ht="15.75" customHeight="1">
      <c r="K46" s="103" t="str">
        <f t="shared" si="8"/>
        <v>INDAH</v>
      </c>
      <c r="L46" s="106">
        <v>5.0</v>
      </c>
      <c r="M46" s="106" t="s">
        <v>402</v>
      </c>
    </row>
    <row r="47" ht="15.75" customHeight="1"/>
    <row r="48" ht="19.5" customHeight="1">
      <c r="K48" s="107" t="s">
        <v>218</v>
      </c>
    </row>
    <row r="49" ht="19.5" customHeight="1">
      <c r="K49" s="108" t="s">
        <v>219</v>
      </c>
      <c r="M49" s="106">
        <v>32.0</v>
      </c>
    </row>
    <row r="50" ht="19.5" customHeight="1">
      <c r="K50" s="110" t="s">
        <v>221</v>
      </c>
      <c r="M50" s="112">
        <f>COUNTIF($I$4:$I$26,"DP")</f>
        <v>11</v>
      </c>
    </row>
    <row r="51" ht="19.5" customHeight="1">
      <c r="K51" s="110" t="s">
        <v>223</v>
      </c>
      <c r="M51" s="112">
        <f>COUNTIFS($I$4:$I$26,"&lt;&gt;DP",$I$4:$I$26,"&lt;&gt;")</f>
        <v>8</v>
      </c>
    </row>
    <row r="52" ht="19.5" customHeight="1">
      <c r="K52" s="115" t="s">
        <v>224</v>
      </c>
      <c r="M52" s="112">
        <f>M50+M51</f>
        <v>19</v>
      </c>
    </row>
    <row r="53" ht="19.5" customHeight="1">
      <c r="K53" s="108" t="s">
        <v>226</v>
      </c>
      <c r="M53" s="118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423</v>
      </c>
      <c r="D4" s="19" t="s">
        <v>100</v>
      </c>
      <c r="E4" s="21"/>
      <c r="F4" s="30">
        <v>46298.0</v>
      </c>
      <c r="G4" s="25"/>
      <c r="H4" s="26">
        <v>100000.0</v>
      </c>
      <c r="I4" s="23" t="s">
        <v>25</v>
      </c>
      <c r="J4" s="15"/>
      <c r="K4" s="15"/>
      <c r="L4" s="23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185</v>
      </c>
      <c r="D5" s="17" t="s">
        <v>22</v>
      </c>
      <c r="E5" s="15"/>
      <c r="F5" s="18">
        <v>46278.0</v>
      </c>
      <c r="G5" s="44"/>
      <c r="H5" s="22">
        <v>250000.0</v>
      </c>
      <c r="I5" s="24" t="s">
        <v>32</v>
      </c>
      <c r="J5" s="24" t="s">
        <v>39</v>
      </c>
      <c r="K5" s="24" t="s">
        <v>41</v>
      </c>
      <c r="L5" s="24" t="s">
        <v>26</v>
      </c>
      <c r="M5" s="24" t="s">
        <v>81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426</v>
      </c>
      <c r="D6" s="17" t="s">
        <v>22</v>
      </c>
      <c r="E6" s="15"/>
      <c r="F6" s="40">
        <v>46301.0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427</v>
      </c>
      <c r="D7" s="17" t="s">
        <v>23</v>
      </c>
      <c r="E7" s="15"/>
      <c r="F7" s="40">
        <v>46278.0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2" t="s">
        <v>429</v>
      </c>
      <c r="D8" s="17" t="s">
        <v>70</v>
      </c>
      <c r="E8" s="23">
        <v>5.0</v>
      </c>
      <c r="F8" s="40">
        <v>46278.0</v>
      </c>
      <c r="G8" s="62">
        <v>0.0</v>
      </c>
      <c r="H8" s="22">
        <v>0.0</v>
      </c>
      <c r="I8" s="24" t="s">
        <v>32</v>
      </c>
      <c r="J8" s="24" t="s">
        <v>39</v>
      </c>
      <c r="K8" s="24" t="s">
        <v>39</v>
      </c>
      <c r="L8" s="24" t="s">
        <v>26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432</v>
      </c>
      <c r="D9" s="17" t="s">
        <v>246</v>
      </c>
      <c r="E9" s="15"/>
      <c r="F9" s="40">
        <v>46278.0</v>
      </c>
      <c r="G9" s="44"/>
      <c r="H9" s="22">
        <v>50000.0</v>
      </c>
      <c r="I9" s="24" t="s">
        <v>32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434</v>
      </c>
      <c r="D10" s="17" t="s">
        <v>246</v>
      </c>
      <c r="E10" s="15"/>
      <c r="F10" s="40">
        <v>46278.0</v>
      </c>
      <c r="G10" s="62">
        <v>50000.0</v>
      </c>
      <c r="H10" s="22"/>
      <c r="I10" s="24" t="s">
        <v>32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436</v>
      </c>
      <c r="D11" s="17" t="s">
        <v>246</v>
      </c>
      <c r="E11" s="15"/>
      <c r="F11" s="40">
        <v>46278.0</v>
      </c>
      <c r="G11" s="44"/>
      <c r="H11" s="22">
        <v>50000.0</v>
      </c>
      <c r="I11" s="24" t="s">
        <v>32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432</v>
      </c>
      <c r="D12" s="17" t="s">
        <v>52</v>
      </c>
      <c r="E12" s="15"/>
      <c r="F12" s="40">
        <v>46278.0</v>
      </c>
      <c r="G12" s="44"/>
      <c r="H12" s="22">
        <v>200000.0</v>
      </c>
      <c r="I12" s="24" t="s">
        <v>32</v>
      </c>
      <c r="J12" s="24" t="s">
        <v>39</v>
      </c>
      <c r="K12" s="24" t="s">
        <v>39</v>
      </c>
      <c r="L12" s="24" t="s">
        <v>26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356</v>
      </c>
      <c r="D13" s="17" t="s">
        <v>48</v>
      </c>
      <c r="E13" s="15"/>
      <c r="F13" s="40">
        <v>46278.0</v>
      </c>
      <c r="G13" s="44"/>
      <c r="H13" s="22">
        <v>250000.0</v>
      </c>
      <c r="I13" s="24" t="s">
        <v>32</v>
      </c>
      <c r="J13" s="24" t="s">
        <v>39</v>
      </c>
      <c r="K13" s="24" t="s">
        <v>41</v>
      </c>
      <c r="L13" s="24" t="s">
        <v>26</v>
      </c>
      <c r="M13" s="24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437</v>
      </c>
      <c r="D14" s="17" t="s">
        <v>23</v>
      </c>
      <c r="E14" s="15"/>
      <c r="F14" s="40">
        <v>46278.0</v>
      </c>
      <c r="G14" s="62">
        <v>530000.0</v>
      </c>
      <c r="H14" s="22"/>
      <c r="I14" s="24" t="s">
        <v>32</v>
      </c>
      <c r="J14" s="24" t="s">
        <v>39</v>
      </c>
      <c r="K14" s="24" t="s">
        <v>39</v>
      </c>
      <c r="L14" s="24" t="s">
        <v>26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422</v>
      </c>
      <c r="D15" s="17" t="s">
        <v>23</v>
      </c>
      <c r="E15" s="15"/>
      <c r="F15" s="40">
        <v>46278.0</v>
      </c>
      <c r="G15" s="62">
        <v>75000.0</v>
      </c>
      <c r="H15" s="54"/>
      <c r="I15" s="24" t="s">
        <v>32</v>
      </c>
      <c r="J15" s="24" t="s">
        <v>39</v>
      </c>
      <c r="K15" s="24" t="s">
        <v>41</v>
      </c>
      <c r="L15" s="24" t="s">
        <v>26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438</v>
      </c>
      <c r="D16" s="17" t="s">
        <v>246</v>
      </c>
      <c r="E16" s="15"/>
      <c r="F16" s="40">
        <v>46278.0</v>
      </c>
      <c r="G16" s="44"/>
      <c r="H16" s="22">
        <v>50000.0</v>
      </c>
      <c r="I16" s="24" t="s">
        <v>32</v>
      </c>
      <c r="J16" s="14"/>
      <c r="K16" s="14"/>
      <c r="L16" s="24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405</v>
      </c>
      <c r="D17" s="17" t="s">
        <v>23</v>
      </c>
      <c r="E17" s="15"/>
      <c r="F17" s="40">
        <v>46278.0</v>
      </c>
      <c r="G17" s="62">
        <v>175000.0</v>
      </c>
      <c r="H17" s="54"/>
      <c r="I17" s="24" t="s">
        <v>32</v>
      </c>
      <c r="J17" s="24" t="s">
        <v>39</v>
      </c>
      <c r="K17" s="24" t="s">
        <v>39</v>
      </c>
      <c r="L17" s="24" t="s">
        <v>26</v>
      </c>
      <c r="M17" s="24" t="s">
        <v>42</v>
      </c>
      <c r="N17" s="33"/>
      <c r="O17" s="33"/>
      <c r="P17" s="33"/>
      <c r="Q17" s="1"/>
      <c r="R17" s="1"/>
    </row>
    <row r="18" ht="15.75" customHeight="1">
      <c r="A18" s="1"/>
      <c r="B18" s="14"/>
      <c r="C18" s="16" t="s">
        <v>439</v>
      </c>
      <c r="D18" s="17" t="s">
        <v>23</v>
      </c>
      <c r="E18" s="15"/>
      <c r="F18" s="40">
        <v>46280.0</v>
      </c>
      <c r="G18" s="44"/>
      <c r="H18" s="22">
        <v>100000.0</v>
      </c>
      <c r="I18" s="24" t="s">
        <v>25</v>
      </c>
      <c r="J18" s="14"/>
      <c r="K18" s="14"/>
      <c r="L18" s="24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16" t="s">
        <v>440</v>
      </c>
      <c r="D19" s="17" t="s">
        <v>23</v>
      </c>
      <c r="E19" s="15"/>
      <c r="F19" s="40">
        <v>46278.0</v>
      </c>
      <c r="G19" s="44"/>
      <c r="H19" s="22">
        <v>550000.0</v>
      </c>
      <c r="I19" s="24" t="s">
        <v>32</v>
      </c>
      <c r="J19" s="24" t="s">
        <v>39</v>
      </c>
      <c r="K19" s="24" t="s">
        <v>41</v>
      </c>
      <c r="L19" s="24" t="s">
        <v>26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441</v>
      </c>
      <c r="D20" s="17" t="s">
        <v>23</v>
      </c>
      <c r="E20" s="15"/>
      <c r="F20" s="40">
        <v>46278.0</v>
      </c>
      <c r="G20" s="62">
        <v>175000.0</v>
      </c>
      <c r="H20" s="54"/>
      <c r="I20" s="24" t="s">
        <v>32</v>
      </c>
      <c r="J20" s="24" t="s">
        <v>39</v>
      </c>
      <c r="K20" s="24" t="s">
        <v>39</v>
      </c>
      <c r="L20" s="24" t="s">
        <v>26</v>
      </c>
      <c r="M20" s="24" t="s">
        <v>42</v>
      </c>
      <c r="N20" s="33"/>
      <c r="O20" s="33"/>
      <c r="P20" s="33"/>
      <c r="Q20" s="1"/>
      <c r="R20" s="1"/>
    </row>
    <row r="21" ht="15.75" customHeight="1">
      <c r="A21" s="1"/>
      <c r="B21" s="14"/>
      <c r="C21" s="16" t="s">
        <v>443</v>
      </c>
      <c r="D21" s="17" t="s">
        <v>23</v>
      </c>
      <c r="E21" s="15"/>
      <c r="F21" s="40">
        <v>46284.0</v>
      </c>
      <c r="G21" s="44"/>
      <c r="H21" s="22">
        <v>100000.0</v>
      </c>
      <c r="I21" s="24" t="s">
        <v>25</v>
      </c>
      <c r="J21" s="14"/>
      <c r="K21" s="14"/>
      <c r="L21" s="24" t="s">
        <v>26</v>
      </c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16" t="s">
        <v>445</v>
      </c>
      <c r="D22" s="17" t="s">
        <v>23</v>
      </c>
      <c r="E22" s="15"/>
      <c r="F22" s="40">
        <v>46285.0</v>
      </c>
      <c r="G22" s="44"/>
      <c r="H22" s="22">
        <v>200000.0</v>
      </c>
      <c r="I22" s="24" t="s">
        <v>25</v>
      </c>
      <c r="J22" s="14"/>
      <c r="K22" s="14"/>
      <c r="L22" s="24" t="s">
        <v>26</v>
      </c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16" t="s">
        <v>435</v>
      </c>
      <c r="D23" s="17" t="s">
        <v>23</v>
      </c>
      <c r="E23" s="15"/>
      <c r="F23" s="40">
        <v>46278.0</v>
      </c>
      <c r="G23" s="44"/>
      <c r="H23" s="22">
        <v>150000.0</v>
      </c>
      <c r="I23" s="24" t="s">
        <v>32</v>
      </c>
      <c r="J23" s="24" t="s">
        <v>39</v>
      </c>
      <c r="K23" s="24" t="s">
        <v>41</v>
      </c>
      <c r="L23" s="24" t="s">
        <v>26</v>
      </c>
      <c r="M23" s="24" t="s">
        <v>42</v>
      </c>
      <c r="N23" s="33"/>
      <c r="O23" s="33"/>
      <c r="P23" s="33"/>
      <c r="Q23" s="1"/>
      <c r="R23" s="1"/>
    </row>
    <row r="24" ht="15.75" customHeight="1">
      <c r="A24" s="1"/>
      <c r="B24" s="14"/>
      <c r="C24" s="16" t="s">
        <v>448</v>
      </c>
      <c r="D24" s="17" t="s">
        <v>23</v>
      </c>
      <c r="E24" s="15"/>
      <c r="F24" s="40">
        <v>46280.0</v>
      </c>
      <c r="G24" s="44"/>
      <c r="H24" s="22">
        <v>100000.0</v>
      </c>
      <c r="I24" s="24" t="s">
        <v>25</v>
      </c>
      <c r="J24" s="14"/>
      <c r="K24" s="14"/>
      <c r="L24" s="24" t="s">
        <v>26</v>
      </c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16" t="s">
        <v>449</v>
      </c>
      <c r="D25" s="17" t="s">
        <v>23</v>
      </c>
      <c r="E25" s="15"/>
      <c r="F25" s="40">
        <v>46281.0</v>
      </c>
      <c r="G25" s="44"/>
      <c r="H25" s="22">
        <v>100000.0</v>
      </c>
      <c r="I25" s="24" t="s">
        <v>25</v>
      </c>
      <c r="J25" s="14"/>
      <c r="K25" s="14"/>
      <c r="L25" s="24" t="s">
        <v>26</v>
      </c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16" t="s">
        <v>452</v>
      </c>
      <c r="D26" s="17" t="s">
        <v>23</v>
      </c>
      <c r="E26" s="15"/>
      <c r="F26" s="40">
        <v>46278.0</v>
      </c>
      <c r="G26" s="62">
        <v>250000.0</v>
      </c>
      <c r="H26" s="54"/>
      <c r="I26" s="24" t="s">
        <v>32</v>
      </c>
      <c r="J26" s="24" t="s">
        <v>39</v>
      </c>
      <c r="K26" s="24" t="s">
        <v>41</v>
      </c>
      <c r="L26" s="24" t="s">
        <v>26</v>
      </c>
      <c r="M26" s="24" t="s">
        <v>42</v>
      </c>
      <c r="N26" s="33"/>
      <c r="O26" s="33"/>
      <c r="P26" s="33"/>
      <c r="Q26" s="1"/>
      <c r="R26" s="1"/>
    </row>
    <row r="27" ht="15.75" customHeight="1">
      <c r="A27" s="1"/>
      <c r="B27" s="14"/>
      <c r="C27" s="63"/>
      <c r="D27" s="97"/>
      <c r="E27" s="15"/>
      <c r="F27" s="14"/>
      <c r="G27" s="44"/>
      <c r="H27" s="54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1255000</v>
      </c>
      <c r="H28" s="67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145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146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149</v>
      </c>
      <c r="D32" s="73">
        <f>SUM(G28)</f>
        <v>1255000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151</v>
      </c>
      <c r="O32" s="76" t="s">
        <v>26</v>
      </c>
      <c r="P32" s="1"/>
      <c r="Q32" s="1"/>
      <c r="R32" s="1"/>
    </row>
    <row r="33" ht="15.75" customHeight="1">
      <c r="A33" s="1"/>
      <c r="B33" s="77">
        <v>2.0</v>
      </c>
      <c r="C33" s="78" t="s">
        <v>337</v>
      </c>
      <c r="D33" s="79">
        <v>-50000.0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157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2" t="s">
        <v>160</v>
      </c>
      <c r="O34" s="83" t="s">
        <v>81</v>
      </c>
      <c r="P34" s="1"/>
      <c r="Q34" s="1"/>
      <c r="R34" s="1"/>
    </row>
    <row r="35" ht="15.75" customHeight="1">
      <c r="A35" s="1"/>
      <c r="B35" s="77">
        <v>4.0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6" t="s">
        <v>163</v>
      </c>
      <c r="O35" s="81" t="s">
        <v>42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173</v>
      </c>
      <c r="O38" s="90" t="s">
        <v>174</v>
      </c>
      <c r="P38" s="90" t="s">
        <v>176</v>
      </c>
      <c r="Q38" s="1"/>
      <c r="R38" s="1"/>
      <c r="AC38" s="91" t="s">
        <v>177</v>
      </c>
      <c r="AD38" s="91" t="s">
        <v>178</v>
      </c>
      <c r="AE38" s="91" t="s">
        <v>179</v>
      </c>
      <c r="AF38" s="91" t="s">
        <v>180</v>
      </c>
      <c r="AG38" s="91" t="s">
        <v>181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INDAH</v>
      </c>
      <c r="L49" s="106">
        <v>8.0</v>
      </c>
      <c r="M49" s="106" t="s">
        <v>467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7" t="s">
        <v>218</v>
      </c>
    </row>
    <row r="53" ht="19.5" customHeight="1">
      <c r="K53" s="108" t="s">
        <v>219</v>
      </c>
      <c r="M53" s="106">
        <v>35.0</v>
      </c>
    </row>
    <row r="54" ht="19.5" customHeight="1">
      <c r="K54" s="110" t="s">
        <v>221</v>
      </c>
      <c r="M54" s="112">
        <f>COUNTIF($I$4:$I$30,"DP")</f>
        <v>8</v>
      </c>
    </row>
    <row r="55" ht="19.5" customHeight="1">
      <c r="K55" s="110" t="s">
        <v>223</v>
      </c>
      <c r="M55" s="112">
        <f>COUNTIFS($I$4:$I$30,"&lt;&gt;DP",$I$4:$I$30,"&lt;&gt;")</f>
        <v>15</v>
      </c>
    </row>
    <row r="56" ht="19.5" customHeight="1">
      <c r="K56" s="115" t="s">
        <v>224</v>
      </c>
      <c r="M56" s="112">
        <f>M54+M55</f>
        <v>23</v>
      </c>
    </row>
    <row r="57" ht="19.5" customHeight="1">
      <c r="K57" s="108" t="s">
        <v>226</v>
      </c>
      <c r="M57" s="118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442</v>
      </c>
      <c r="D4" s="17" t="s">
        <v>23</v>
      </c>
      <c r="E4" s="15"/>
      <c r="F4" s="24" t="s">
        <v>444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446</v>
      </c>
      <c r="D5" s="17" t="s">
        <v>52</v>
      </c>
      <c r="E5" s="15"/>
      <c r="F5" s="24" t="s">
        <v>359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447</v>
      </c>
      <c r="D6" s="17" t="s">
        <v>22</v>
      </c>
      <c r="E6" s="15"/>
      <c r="F6" s="24" t="s">
        <v>359</v>
      </c>
      <c r="G6" s="62">
        <v>350000.0</v>
      </c>
      <c r="H6" s="54"/>
      <c r="I6" s="24" t="s">
        <v>32</v>
      </c>
      <c r="J6" s="24" t="s">
        <v>39</v>
      </c>
      <c r="K6" s="24" t="s">
        <v>39</v>
      </c>
      <c r="L6" s="24" t="s">
        <v>27</v>
      </c>
      <c r="M6" s="24" t="s">
        <v>42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450</v>
      </c>
      <c r="D7" s="17" t="s">
        <v>52</v>
      </c>
      <c r="E7" s="15"/>
      <c r="F7" s="24" t="s">
        <v>451</v>
      </c>
      <c r="G7" s="44"/>
      <c r="H7" s="22">
        <v>100000.0</v>
      </c>
      <c r="I7" s="24" t="s">
        <v>25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446</v>
      </c>
      <c r="D8" s="17" t="s">
        <v>23</v>
      </c>
      <c r="E8" s="15"/>
      <c r="F8" s="24" t="s">
        <v>453</v>
      </c>
      <c r="G8" s="44"/>
      <c r="H8" s="22">
        <v>75000.0</v>
      </c>
      <c r="I8" s="24" t="s">
        <v>32</v>
      </c>
      <c r="J8" s="24" t="s">
        <v>39</v>
      </c>
      <c r="K8" s="24" t="s">
        <v>41</v>
      </c>
      <c r="L8" s="24" t="s">
        <v>27</v>
      </c>
      <c r="M8" s="24" t="s">
        <v>42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454</v>
      </c>
      <c r="D9" s="17" t="s">
        <v>239</v>
      </c>
      <c r="E9" s="23" t="s">
        <v>282</v>
      </c>
      <c r="F9" s="24" t="s">
        <v>359</v>
      </c>
      <c r="G9" s="44"/>
      <c r="H9" s="22">
        <v>50000.0</v>
      </c>
      <c r="I9" s="24" t="s">
        <v>32</v>
      </c>
      <c r="J9" s="24" t="s">
        <v>39</v>
      </c>
      <c r="K9" s="24" t="s">
        <v>39</v>
      </c>
      <c r="L9" s="24" t="s">
        <v>27</v>
      </c>
      <c r="M9" s="24" t="s">
        <v>42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87" t="s">
        <v>455</v>
      </c>
      <c r="D10" s="17" t="s">
        <v>239</v>
      </c>
      <c r="E10" s="15"/>
      <c r="F10" s="24" t="s">
        <v>359</v>
      </c>
      <c r="G10" s="62">
        <v>65000.0</v>
      </c>
      <c r="H10" s="54"/>
      <c r="I10" s="24" t="s">
        <v>32</v>
      </c>
      <c r="J10" s="24" t="s">
        <v>39</v>
      </c>
      <c r="K10" s="24" t="s">
        <v>39</v>
      </c>
      <c r="L10" s="24" t="s">
        <v>27</v>
      </c>
      <c r="M10" s="24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456</v>
      </c>
      <c r="D11" s="17" t="s">
        <v>457</v>
      </c>
      <c r="E11" s="15"/>
      <c r="F11" s="153"/>
      <c r="G11" s="44"/>
      <c r="H11" s="22">
        <v>20000.0</v>
      </c>
      <c r="I11" s="24" t="s">
        <v>32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5" t="s">
        <v>458</v>
      </c>
      <c r="D12" s="17" t="s">
        <v>52</v>
      </c>
      <c r="E12" s="15"/>
      <c r="F12" s="24" t="s">
        <v>459</v>
      </c>
      <c r="G12" s="44"/>
      <c r="H12" s="22">
        <v>100000.0</v>
      </c>
      <c r="I12" s="24" t="s">
        <v>25</v>
      </c>
      <c r="J12" s="14"/>
      <c r="K12" s="14"/>
      <c r="L12" s="24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460</v>
      </c>
      <c r="D13" s="17" t="s">
        <v>22</v>
      </c>
      <c r="E13" s="15"/>
      <c r="F13" s="24" t="s">
        <v>46</v>
      </c>
      <c r="G13" s="44"/>
      <c r="H13" s="22">
        <v>100000.0</v>
      </c>
      <c r="I13" s="24" t="s">
        <v>25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461</v>
      </c>
      <c r="D14" s="17" t="s">
        <v>23</v>
      </c>
      <c r="E14" s="15"/>
      <c r="F14" s="35">
        <v>46279.0</v>
      </c>
      <c r="G14" s="62">
        <v>1050000.0</v>
      </c>
      <c r="H14" s="54"/>
      <c r="I14" s="24" t="s">
        <v>32</v>
      </c>
      <c r="J14" s="24" t="s">
        <v>39</v>
      </c>
      <c r="K14" s="24" t="s">
        <v>39</v>
      </c>
      <c r="L14" s="24" t="s">
        <v>26</v>
      </c>
      <c r="M14" s="24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462</v>
      </c>
      <c r="D15" s="17" t="s">
        <v>23</v>
      </c>
      <c r="E15" s="15"/>
      <c r="F15" s="35">
        <v>46279.0</v>
      </c>
      <c r="G15" s="44"/>
      <c r="H15" s="22">
        <v>100000.0</v>
      </c>
      <c r="I15" s="24" t="s">
        <v>32</v>
      </c>
      <c r="J15" s="24" t="s">
        <v>39</v>
      </c>
      <c r="K15" s="24" t="s">
        <v>39</v>
      </c>
      <c r="L15" s="24" t="s">
        <v>26</v>
      </c>
      <c r="M15" s="24" t="s">
        <v>42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463</v>
      </c>
      <c r="D16" s="17" t="s">
        <v>61</v>
      </c>
      <c r="E16" s="15"/>
      <c r="F16" s="35">
        <v>46287.0</v>
      </c>
      <c r="G16" s="44"/>
      <c r="H16" s="22">
        <v>100000.0</v>
      </c>
      <c r="I16" s="24" t="s">
        <v>25</v>
      </c>
      <c r="J16" s="14"/>
      <c r="K16" s="14"/>
      <c r="L16" s="24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464</v>
      </c>
      <c r="D17" s="17" t="s">
        <v>23</v>
      </c>
      <c r="E17" s="15"/>
      <c r="F17" s="35">
        <v>46279.0</v>
      </c>
      <c r="G17" s="62">
        <v>825000.0</v>
      </c>
      <c r="H17" s="54"/>
      <c r="I17" s="24" t="s">
        <v>32</v>
      </c>
      <c r="J17" s="24" t="s">
        <v>39</v>
      </c>
      <c r="K17" s="24" t="s">
        <v>41</v>
      </c>
      <c r="L17" s="24" t="s">
        <v>26</v>
      </c>
      <c r="M17" s="24" t="s">
        <v>42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465</v>
      </c>
      <c r="D18" s="17" t="s">
        <v>239</v>
      </c>
      <c r="E18" s="23" t="s">
        <v>282</v>
      </c>
      <c r="F18" s="35">
        <v>46279.0</v>
      </c>
      <c r="G18" s="44"/>
      <c r="H18" s="22">
        <v>50000.0</v>
      </c>
      <c r="I18" s="24" t="s">
        <v>32</v>
      </c>
      <c r="J18" s="14"/>
      <c r="K18" s="14"/>
      <c r="L18" s="24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466</v>
      </c>
      <c r="D19" s="17" t="s">
        <v>70</v>
      </c>
      <c r="E19" s="23">
        <v>2.0</v>
      </c>
      <c r="F19" s="35">
        <v>46282.0</v>
      </c>
      <c r="G19" s="44"/>
      <c r="H19" s="22">
        <v>100000.0</v>
      </c>
      <c r="I19" s="24" t="s">
        <v>25</v>
      </c>
      <c r="J19" s="14"/>
      <c r="K19" s="14"/>
      <c r="L19" s="24" t="s">
        <v>26</v>
      </c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53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53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5">
        <v>19.0</v>
      </c>
      <c r="C22" s="97"/>
      <c r="D22" s="135"/>
      <c r="E22" s="21"/>
      <c r="F22" s="136"/>
      <c r="G22" s="25"/>
      <c r="H22" s="57"/>
      <c r="I22" s="15"/>
      <c r="J22" s="15"/>
      <c r="K22" s="15"/>
      <c r="L22" s="15"/>
      <c r="M22" s="15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54"/>
      <c r="D23" s="135"/>
      <c r="E23" s="21"/>
      <c r="F23" s="136"/>
      <c r="G23" s="25"/>
      <c r="H23" s="57"/>
      <c r="I23" s="15"/>
      <c r="J23" s="28"/>
      <c r="K23" s="28"/>
      <c r="L23" s="15"/>
      <c r="M23" s="14"/>
      <c r="N23" s="33"/>
      <c r="O23" s="33"/>
      <c r="P23" s="33"/>
      <c r="Q23" s="1"/>
      <c r="R23" s="1"/>
    </row>
    <row r="24" ht="15.75" customHeight="1">
      <c r="A24" s="1"/>
      <c r="B24" s="155">
        <v>21.0</v>
      </c>
      <c r="C24" s="63"/>
      <c r="D24" s="156"/>
      <c r="E24" s="15"/>
      <c r="F24" s="153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55">
        <v>22.0</v>
      </c>
      <c r="C25" s="63"/>
      <c r="D25" s="156"/>
      <c r="E25" s="15"/>
      <c r="F25" s="153"/>
      <c r="G25" s="44"/>
      <c r="H25" s="54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D26" s="2"/>
      <c r="E26" s="1"/>
      <c r="F26" s="1"/>
      <c r="G26" s="66">
        <f t="shared" ref="G26:H26" si="1">SUM(G4:G25)</f>
        <v>2290000</v>
      </c>
      <c r="H26" s="67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2290000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392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83" t="s">
        <v>42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81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6">
        <v>2.0</v>
      </c>
      <c r="M48" s="106" t="s">
        <v>349</v>
      </c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54.0</v>
      </c>
    </row>
    <row r="52" ht="19.5" customHeight="1">
      <c r="K52" s="110" t="s">
        <v>221</v>
      </c>
      <c r="M52" s="112">
        <f>COUNTIF($I$4:$I$28,"DP")</f>
        <v>7</v>
      </c>
    </row>
    <row r="53" ht="19.5" customHeight="1">
      <c r="K53" s="110" t="s">
        <v>223</v>
      </c>
      <c r="M53" s="112">
        <f>COUNTIFS($I$4:$I$28,"&lt;&gt;DP",$I$4:$I$28,"&lt;&gt;")</f>
        <v>9</v>
      </c>
    </row>
    <row r="54" ht="19.5" customHeight="1">
      <c r="K54" s="115" t="s">
        <v>224</v>
      </c>
      <c r="M54" s="112">
        <f>M52+M53</f>
        <v>16</v>
      </c>
    </row>
    <row r="55" ht="19.5" customHeight="1">
      <c r="K55" s="108" t="s">
        <v>226</v>
      </c>
      <c r="M55" s="118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469</v>
      </c>
      <c r="D4" s="17" t="s">
        <v>23</v>
      </c>
      <c r="E4" s="15"/>
      <c r="F4" s="18">
        <v>46288.0</v>
      </c>
      <c r="G4" s="44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471</v>
      </c>
      <c r="D5" s="17" t="s">
        <v>22</v>
      </c>
      <c r="E5" s="15"/>
      <c r="F5" s="40">
        <v>46312.0</v>
      </c>
      <c r="G5" s="44"/>
      <c r="H5" s="22">
        <v>100000.0</v>
      </c>
      <c r="I5" s="24" t="s">
        <v>25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45" t="s">
        <v>473</v>
      </c>
      <c r="D6" s="17" t="s">
        <v>22</v>
      </c>
      <c r="E6" s="15"/>
      <c r="F6" s="35">
        <v>46287.0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475</v>
      </c>
      <c r="D7" s="17" t="s">
        <v>52</v>
      </c>
      <c r="E7" s="15"/>
      <c r="F7" s="35">
        <v>46280.0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57" t="s">
        <v>477</v>
      </c>
      <c r="D8" s="17" t="s">
        <v>48</v>
      </c>
      <c r="E8" s="15"/>
      <c r="F8" s="35">
        <v>46280.0</v>
      </c>
      <c r="G8" s="44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479</v>
      </c>
      <c r="D9" s="17" t="s">
        <v>22</v>
      </c>
      <c r="E9" s="15"/>
      <c r="F9" s="35">
        <v>46287.0</v>
      </c>
      <c r="G9" s="44"/>
      <c r="H9" s="22">
        <v>100000.0</v>
      </c>
      <c r="I9" s="24" t="s">
        <v>25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476</v>
      </c>
      <c r="D10" s="17" t="s">
        <v>100</v>
      </c>
      <c r="E10" s="15"/>
      <c r="F10" s="35">
        <v>46281.0</v>
      </c>
      <c r="G10" s="44"/>
      <c r="H10" s="22">
        <v>100000.0</v>
      </c>
      <c r="I10" s="24" t="s">
        <v>25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483</v>
      </c>
      <c r="D11" s="17" t="s">
        <v>23</v>
      </c>
      <c r="E11" s="15"/>
      <c r="F11" s="40">
        <v>46281.0</v>
      </c>
      <c r="G11" s="44"/>
      <c r="H11" s="22">
        <v>100000.0</v>
      </c>
      <c r="I11" s="24" t="s">
        <v>25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45" t="s">
        <v>485</v>
      </c>
      <c r="D12" s="17" t="s">
        <v>22</v>
      </c>
      <c r="E12" s="15"/>
      <c r="F12" s="40">
        <v>46301.0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487</v>
      </c>
      <c r="D13" s="17" t="s">
        <v>22</v>
      </c>
      <c r="E13" s="15"/>
      <c r="F13" s="40">
        <v>46280.0</v>
      </c>
      <c r="G13" s="44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475</v>
      </c>
      <c r="D14" s="17" t="s">
        <v>52</v>
      </c>
      <c r="E14" s="15"/>
      <c r="F14" s="24" t="s">
        <v>444</v>
      </c>
      <c r="G14" s="44"/>
      <c r="H14" s="22">
        <v>100000.0</v>
      </c>
      <c r="I14" s="24" t="s">
        <v>32</v>
      </c>
      <c r="J14" s="24" t="s">
        <v>39</v>
      </c>
      <c r="K14" s="24" t="s">
        <v>55</v>
      </c>
      <c r="L14" s="24" t="s">
        <v>27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477</v>
      </c>
      <c r="D15" s="17" t="s">
        <v>48</v>
      </c>
      <c r="E15" s="15"/>
      <c r="F15" s="24" t="s">
        <v>444</v>
      </c>
      <c r="G15" s="44"/>
      <c r="H15" s="22">
        <v>250000.0</v>
      </c>
      <c r="I15" s="24" t="s">
        <v>32</v>
      </c>
      <c r="J15" s="24" t="s">
        <v>39</v>
      </c>
      <c r="K15" s="24" t="s">
        <v>41</v>
      </c>
      <c r="L15" s="24" t="s">
        <v>27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490</v>
      </c>
      <c r="D16" s="17" t="s">
        <v>23</v>
      </c>
      <c r="E16" s="15"/>
      <c r="F16" s="24" t="s">
        <v>353</v>
      </c>
      <c r="G16" s="44"/>
      <c r="H16" s="22">
        <v>100000.0</v>
      </c>
      <c r="I16" s="24" t="s">
        <v>25</v>
      </c>
      <c r="J16" s="14"/>
      <c r="K16" s="14"/>
      <c r="L16" s="24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492</v>
      </c>
      <c r="D17" s="17" t="s">
        <v>23</v>
      </c>
      <c r="E17" s="15"/>
      <c r="F17" s="24" t="s">
        <v>459</v>
      </c>
      <c r="G17" s="44"/>
      <c r="H17" s="22">
        <v>100000.0</v>
      </c>
      <c r="I17" s="24" t="s">
        <v>25</v>
      </c>
      <c r="J17" s="14"/>
      <c r="K17" s="14"/>
      <c r="L17" s="24" t="s">
        <v>27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448</v>
      </c>
      <c r="D18" s="17" t="s">
        <v>23</v>
      </c>
      <c r="E18" s="15"/>
      <c r="F18" s="24" t="s">
        <v>444</v>
      </c>
      <c r="G18" s="44"/>
      <c r="H18" s="22">
        <v>525000.0</v>
      </c>
      <c r="I18" s="24" t="s">
        <v>32</v>
      </c>
      <c r="J18" s="24" t="s">
        <v>39</v>
      </c>
      <c r="K18" s="24" t="s">
        <v>39</v>
      </c>
      <c r="L18" s="24" t="s">
        <v>27</v>
      </c>
      <c r="M18" s="24" t="s">
        <v>81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495</v>
      </c>
      <c r="D19" s="17" t="s">
        <v>23</v>
      </c>
      <c r="E19" s="15"/>
      <c r="F19" s="24" t="s">
        <v>444</v>
      </c>
      <c r="G19" s="62">
        <v>475000.0</v>
      </c>
      <c r="H19" s="54"/>
      <c r="I19" s="24" t="s">
        <v>32</v>
      </c>
      <c r="J19" s="24" t="s">
        <v>39</v>
      </c>
      <c r="K19" s="24" t="s">
        <v>39</v>
      </c>
      <c r="L19" s="24" t="s">
        <v>27</v>
      </c>
      <c r="M19" s="24" t="s">
        <v>81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439</v>
      </c>
      <c r="D20" s="17" t="s">
        <v>23</v>
      </c>
      <c r="E20" s="15"/>
      <c r="F20" s="24" t="s">
        <v>444</v>
      </c>
      <c r="G20" s="44"/>
      <c r="H20" s="22">
        <v>150000.0</v>
      </c>
      <c r="I20" s="24" t="s">
        <v>32</v>
      </c>
      <c r="J20" s="24" t="s">
        <v>39</v>
      </c>
      <c r="K20" s="24" t="s">
        <v>41</v>
      </c>
      <c r="L20" s="24" t="s">
        <v>27</v>
      </c>
      <c r="M20" s="24" t="s">
        <v>81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497</v>
      </c>
      <c r="D21" s="17" t="s">
        <v>100</v>
      </c>
      <c r="E21" s="15"/>
      <c r="F21" s="24" t="s">
        <v>498</v>
      </c>
      <c r="G21" s="44"/>
      <c r="H21" s="22">
        <v>100000.0</v>
      </c>
      <c r="I21" s="24" t="s">
        <v>32</v>
      </c>
      <c r="J21" s="14"/>
      <c r="K21" s="14"/>
      <c r="L21" s="24" t="s">
        <v>27</v>
      </c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499</v>
      </c>
      <c r="D22" s="17" t="s">
        <v>23</v>
      </c>
      <c r="E22" s="15"/>
      <c r="F22" s="24" t="s">
        <v>498</v>
      </c>
      <c r="G22" s="44"/>
      <c r="H22" s="22">
        <v>100000.0</v>
      </c>
      <c r="I22" s="24" t="s">
        <v>25</v>
      </c>
      <c r="J22" s="14"/>
      <c r="K22" s="14"/>
      <c r="L22" s="24" t="s">
        <v>27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64"/>
      <c r="O24" s="64"/>
      <c r="P24" s="64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6">
        <f t="shared" ref="G25:H25" si="1">SUM(G4:G24)</f>
        <v>475000</v>
      </c>
      <c r="H25" s="67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145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146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149</v>
      </c>
      <c r="D29" s="73">
        <f>SUM(G25)</f>
        <v>475000</v>
      </c>
      <c r="E29" s="74"/>
      <c r="F29" s="1"/>
      <c r="G29" s="1"/>
      <c r="H29" s="1"/>
      <c r="I29" s="1"/>
      <c r="J29" s="1"/>
      <c r="K29" s="1"/>
      <c r="L29" s="1"/>
      <c r="M29" s="1"/>
      <c r="N29" s="75" t="s">
        <v>151</v>
      </c>
      <c r="O29" s="27" t="s">
        <v>26</v>
      </c>
      <c r="P29" s="1"/>
      <c r="Q29" s="1"/>
      <c r="R29" s="1"/>
    </row>
    <row r="30" ht="15.75" customHeight="1">
      <c r="A30" s="1"/>
      <c r="B30" s="77">
        <v>2.0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0" t="s">
        <v>157</v>
      </c>
      <c r="O30" s="64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2" t="s">
        <v>160</v>
      </c>
      <c r="O31" s="33" t="s">
        <v>42</v>
      </c>
      <c r="P31" s="1"/>
      <c r="Q31" s="1"/>
      <c r="R31" s="1"/>
    </row>
    <row r="32" ht="15.75" customHeight="1">
      <c r="A32" s="1"/>
      <c r="B32" s="77">
        <v>4.0</v>
      </c>
      <c r="C32" s="84"/>
      <c r="D32" s="85"/>
      <c r="E32" s="74"/>
      <c r="F32" s="1"/>
      <c r="G32" s="1"/>
      <c r="H32" s="1"/>
      <c r="I32" s="1"/>
      <c r="J32" s="1"/>
      <c r="K32" s="1"/>
      <c r="L32" s="1"/>
      <c r="M32" s="1"/>
      <c r="N32" s="86" t="s">
        <v>163</v>
      </c>
      <c r="O32" s="64" t="s">
        <v>81</v>
      </c>
      <c r="P32" s="1"/>
      <c r="Q32" s="1"/>
      <c r="R32" s="1"/>
    </row>
    <row r="33" ht="15.75" customHeight="1">
      <c r="A33" s="1"/>
      <c r="B33" s="71">
        <v>5.0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7">
        <v>6.0</v>
      </c>
      <c r="C34" s="84"/>
      <c r="D34" s="85"/>
      <c r="E34" s="74"/>
      <c r="F34" s="1"/>
      <c r="G34" s="1"/>
      <c r="H34" s="1"/>
      <c r="I34" s="1"/>
      <c r="J34" s="1"/>
      <c r="K34" s="89" t="s">
        <v>168</v>
      </c>
      <c r="Q34" s="1"/>
      <c r="R34" s="1"/>
    </row>
    <row r="35" ht="15.75" customHeight="1">
      <c r="A35" s="1"/>
      <c r="B35" s="71">
        <v>7.0</v>
      </c>
      <c r="C35" s="72"/>
      <c r="D35" s="73"/>
      <c r="E35" s="74"/>
      <c r="F35" s="1"/>
      <c r="G35" s="1"/>
      <c r="H35" s="1"/>
      <c r="I35" s="1"/>
      <c r="J35" s="1"/>
      <c r="K35" s="90" t="s">
        <v>1</v>
      </c>
      <c r="L35" s="90" t="s">
        <v>170</v>
      </c>
      <c r="M35" s="90" t="s">
        <v>171</v>
      </c>
      <c r="N35" s="90" t="s">
        <v>173</v>
      </c>
      <c r="O35" s="90" t="s">
        <v>174</v>
      </c>
      <c r="P35" s="90" t="s">
        <v>176</v>
      </c>
      <c r="Q35" s="1"/>
      <c r="R35" s="1"/>
      <c r="AC35" s="91" t="s">
        <v>177</v>
      </c>
      <c r="AD35" s="91" t="s">
        <v>178</v>
      </c>
      <c r="AE35" s="91" t="s">
        <v>179</v>
      </c>
      <c r="AF35" s="91" t="s">
        <v>180</v>
      </c>
      <c r="AG35" s="91" t="s">
        <v>181</v>
      </c>
    </row>
    <row r="36" ht="15.75" customHeight="1">
      <c r="A36" s="1"/>
      <c r="B36" s="77">
        <v>8.0</v>
      </c>
      <c r="C36" s="84"/>
      <c r="D36" s="85"/>
      <c r="E36" s="74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3"/>
      <c r="E37" s="74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7">
        <v>10.0</v>
      </c>
      <c r="C38" s="84"/>
      <c r="D38" s="85"/>
      <c r="E38" s="74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4">
        <v>11.0</v>
      </c>
      <c r="C39" s="95"/>
      <c r="D39" s="96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212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1" t="s">
        <v>213</v>
      </c>
      <c r="N44" s="159"/>
      <c r="O44" s="1"/>
      <c r="P44" s="1"/>
      <c r="Q44" s="1"/>
      <c r="R44" s="1"/>
    </row>
    <row r="45" ht="15.75" customHeight="1">
      <c r="K45" s="102" t="s">
        <v>7</v>
      </c>
      <c r="L45" s="102" t="s">
        <v>214</v>
      </c>
      <c r="M45" s="102" t="s">
        <v>215</v>
      </c>
      <c r="N45" s="160" t="s">
        <v>521</v>
      </c>
    </row>
    <row r="46" ht="15.75" customHeight="1">
      <c r="K46" s="103" t="str">
        <f t="shared" ref="K46:K47" si="8">IF(O29="","",O29)</f>
        <v>INDAH</v>
      </c>
      <c r="L46" s="106">
        <v>9.0</v>
      </c>
      <c r="M46" s="104"/>
      <c r="N46" s="162">
        <v>30.0</v>
      </c>
    </row>
    <row r="47" ht="15.75" customHeight="1">
      <c r="K47" s="103" t="str">
        <f t="shared" si="8"/>
        <v>AMEL</v>
      </c>
      <c r="L47" s="106">
        <v>4.0</v>
      </c>
      <c r="M47" s="104"/>
      <c r="N47" s="162">
        <v>31.0</v>
      </c>
    </row>
    <row r="48" ht="15.75" customHeight="1"/>
    <row r="49" ht="19.5" customHeight="1">
      <c r="K49" s="107" t="s">
        <v>218</v>
      </c>
    </row>
    <row r="50" ht="19.5" customHeight="1">
      <c r="K50" s="108" t="s">
        <v>219</v>
      </c>
      <c r="M50" s="106">
        <v>36.0</v>
      </c>
    </row>
    <row r="51" ht="19.5" customHeight="1">
      <c r="K51" s="110" t="s">
        <v>221</v>
      </c>
      <c r="M51" s="112">
        <f>COUNTIF($I$4:$I$27,"DP")</f>
        <v>13</v>
      </c>
    </row>
    <row r="52" ht="19.5" customHeight="1">
      <c r="K52" s="110" t="s">
        <v>223</v>
      </c>
      <c r="M52" s="112">
        <f>COUNTIFS($I$4:$I$27,"&lt;&gt;DP",$I$4:$I$27,"&lt;&gt;")</f>
        <v>6</v>
      </c>
    </row>
    <row r="53" ht="19.5" customHeight="1">
      <c r="K53" s="115" t="s">
        <v>224</v>
      </c>
      <c r="M53" s="112">
        <f>M51+M52</f>
        <v>19</v>
      </c>
    </row>
    <row r="54" ht="19.5" customHeight="1">
      <c r="K54" s="108" t="s">
        <v>226</v>
      </c>
      <c r="M54" s="118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468</v>
      </c>
      <c r="D4" s="17" t="s">
        <v>22</v>
      </c>
      <c r="E4" s="15"/>
      <c r="F4" s="40">
        <v>46287.0</v>
      </c>
      <c r="G4" s="44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470</v>
      </c>
      <c r="D5" s="17" t="s">
        <v>23</v>
      </c>
      <c r="E5" s="15"/>
      <c r="F5" s="40">
        <v>46285.0</v>
      </c>
      <c r="G5" s="44"/>
      <c r="H5" s="22">
        <v>100000.0</v>
      </c>
      <c r="I5" s="24" t="s">
        <v>25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472</v>
      </c>
      <c r="D6" s="17" t="s">
        <v>22</v>
      </c>
      <c r="E6" s="15"/>
      <c r="F6" s="40">
        <v>46298.0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474</v>
      </c>
      <c r="D7" s="17" t="s">
        <v>48</v>
      </c>
      <c r="E7" s="15"/>
      <c r="F7" s="40">
        <v>46292.0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476</v>
      </c>
      <c r="D8" s="17" t="s">
        <v>100</v>
      </c>
      <c r="E8" s="15"/>
      <c r="F8" s="40">
        <v>46281.0</v>
      </c>
      <c r="G8" s="62">
        <v>300000.0</v>
      </c>
      <c r="H8" s="54"/>
      <c r="I8" s="24" t="s">
        <v>32</v>
      </c>
      <c r="J8" s="24" t="s">
        <v>39</v>
      </c>
      <c r="K8" s="24" t="s">
        <v>41</v>
      </c>
      <c r="L8" s="24" t="s">
        <v>26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478</v>
      </c>
      <c r="D9" s="17" t="s">
        <v>23</v>
      </c>
      <c r="E9" s="15"/>
      <c r="F9" s="40">
        <v>46286.0</v>
      </c>
      <c r="G9" s="44"/>
      <c r="H9" s="22">
        <v>100000.0</v>
      </c>
      <c r="I9" s="24" t="s">
        <v>25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480</v>
      </c>
      <c r="D10" s="17" t="s">
        <v>70</v>
      </c>
      <c r="E10" s="15"/>
      <c r="F10" s="35">
        <v>46291.0</v>
      </c>
      <c r="G10" s="44"/>
      <c r="H10" s="22">
        <v>100000.0</v>
      </c>
      <c r="I10" s="24" t="s">
        <v>32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481</v>
      </c>
      <c r="D11" s="17" t="s">
        <v>482</v>
      </c>
      <c r="E11" s="15"/>
      <c r="F11" s="35">
        <v>46258.0</v>
      </c>
      <c r="G11" s="44"/>
      <c r="H11" s="22">
        <v>20000.0</v>
      </c>
      <c r="I11" s="24" t="s">
        <v>32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484</v>
      </c>
      <c r="D12" s="17" t="s">
        <v>23</v>
      </c>
      <c r="E12" s="15"/>
      <c r="F12" s="35">
        <v>46284.0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486</v>
      </c>
      <c r="D13" s="17" t="s">
        <v>22</v>
      </c>
      <c r="E13" s="15"/>
      <c r="F13" s="35">
        <v>46298.0</v>
      </c>
      <c r="G13" s="44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488</v>
      </c>
      <c r="D14" s="17" t="s">
        <v>22</v>
      </c>
      <c r="E14" s="15"/>
      <c r="F14" s="35">
        <v>46287.0</v>
      </c>
      <c r="G14" s="44"/>
      <c r="H14" s="22">
        <v>100000.0</v>
      </c>
      <c r="I14" s="24" t="s">
        <v>25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489</v>
      </c>
      <c r="D15" s="17" t="s">
        <v>482</v>
      </c>
      <c r="E15" s="15"/>
      <c r="F15" s="35">
        <v>46267.0</v>
      </c>
      <c r="G15" s="44"/>
      <c r="H15" s="22">
        <v>20000.0</v>
      </c>
      <c r="I15" s="24" t="s">
        <v>32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491</v>
      </c>
      <c r="D16" s="17" t="s">
        <v>22</v>
      </c>
      <c r="E16" s="15"/>
      <c r="F16" s="35">
        <v>46298.0</v>
      </c>
      <c r="G16" s="44"/>
      <c r="H16" s="22">
        <v>100000.0</v>
      </c>
      <c r="I16" s="24" t="s">
        <v>25</v>
      </c>
      <c r="J16" s="14"/>
      <c r="K16" s="14"/>
      <c r="L16" s="24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493</v>
      </c>
      <c r="D17" s="17" t="s">
        <v>23</v>
      </c>
      <c r="E17" s="15"/>
      <c r="F17" s="35">
        <v>46281.0</v>
      </c>
      <c r="G17" s="62">
        <v>225000.0</v>
      </c>
      <c r="H17" s="54"/>
      <c r="I17" s="24" t="s">
        <v>32</v>
      </c>
      <c r="J17" s="24" t="s">
        <v>39</v>
      </c>
      <c r="K17" s="24" t="s">
        <v>39</v>
      </c>
      <c r="L17" s="24" t="s">
        <v>26</v>
      </c>
      <c r="M17" s="24" t="s">
        <v>42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494</v>
      </c>
      <c r="D18" s="17" t="s">
        <v>22</v>
      </c>
      <c r="E18" s="15"/>
      <c r="F18" s="40">
        <v>46299.0</v>
      </c>
      <c r="G18" s="44"/>
      <c r="H18" s="22">
        <v>100000.0</v>
      </c>
      <c r="I18" s="24" t="s">
        <v>25</v>
      </c>
      <c r="J18" s="14"/>
      <c r="K18" s="14"/>
      <c r="L18" s="24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492</v>
      </c>
      <c r="D19" s="17" t="s">
        <v>23</v>
      </c>
      <c r="E19" s="15"/>
      <c r="F19" s="40">
        <v>46281.0</v>
      </c>
      <c r="G19" s="44"/>
      <c r="H19" s="22">
        <v>75000.0</v>
      </c>
      <c r="I19" s="24" t="s">
        <v>32</v>
      </c>
      <c r="J19" s="24" t="s">
        <v>39</v>
      </c>
      <c r="K19" s="24" t="s">
        <v>39</v>
      </c>
      <c r="L19" s="24" t="s">
        <v>26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14"/>
      <c r="C20" s="16" t="s">
        <v>496</v>
      </c>
      <c r="D20" s="17" t="s">
        <v>23</v>
      </c>
      <c r="E20" s="15"/>
      <c r="F20" s="40">
        <v>46285.0</v>
      </c>
      <c r="G20" s="44"/>
      <c r="H20" s="22">
        <v>100000.0</v>
      </c>
      <c r="I20" s="24" t="s">
        <v>25</v>
      </c>
      <c r="J20" s="14"/>
      <c r="K20" s="14"/>
      <c r="L20" s="24" t="s">
        <v>26</v>
      </c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16" t="s">
        <v>458</v>
      </c>
      <c r="D21" s="17" t="s">
        <v>52</v>
      </c>
      <c r="E21" s="15"/>
      <c r="F21" s="40">
        <v>46281.0</v>
      </c>
      <c r="G21" s="62">
        <v>125000.0</v>
      </c>
      <c r="H21" s="54"/>
      <c r="I21" s="24" t="s">
        <v>32</v>
      </c>
      <c r="J21" s="24" t="s">
        <v>39</v>
      </c>
      <c r="K21" s="24" t="s">
        <v>39</v>
      </c>
      <c r="L21" s="24" t="s">
        <v>26</v>
      </c>
      <c r="M21" s="24" t="s">
        <v>42</v>
      </c>
      <c r="N21" s="33"/>
      <c r="O21" s="33"/>
      <c r="P21" s="33"/>
      <c r="Q21" s="1"/>
      <c r="R21" s="1"/>
    </row>
    <row r="22" ht="15.75" customHeight="1">
      <c r="A22" s="1"/>
      <c r="B22" s="14"/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64"/>
      <c r="O22" s="64"/>
      <c r="P22" s="64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6">
        <f t="shared" ref="G23:H23" si="1">SUM(G4:G22)</f>
        <v>650000</v>
      </c>
      <c r="H23" s="67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145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146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149</v>
      </c>
      <c r="D27" s="73">
        <f>SUM(G23)</f>
        <v>650000</v>
      </c>
      <c r="E27" s="74"/>
      <c r="F27" s="1"/>
      <c r="G27" s="1"/>
      <c r="H27" s="1"/>
      <c r="I27" s="1"/>
      <c r="J27" s="1"/>
      <c r="K27" s="1"/>
      <c r="L27" s="1"/>
      <c r="M27" s="1"/>
      <c r="N27" s="75" t="s">
        <v>151</v>
      </c>
      <c r="O27" s="76" t="s">
        <v>26</v>
      </c>
      <c r="P27" s="1"/>
      <c r="Q27" s="1"/>
      <c r="R27" s="1"/>
    </row>
    <row r="28" ht="15.75" customHeight="1">
      <c r="A28" s="1"/>
      <c r="B28" s="77">
        <v>2.0</v>
      </c>
      <c r="C28" s="78" t="s">
        <v>500</v>
      </c>
      <c r="D28" s="79">
        <v>-16000.0</v>
      </c>
      <c r="E28" s="74"/>
      <c r="F28" s="1"/>
      <c r="G28" s="1"/>
      <c r="H28" s="1"/>
      <c r="I28" s="1"/>
      <c r="J28" s="1"/>
      <c r="K28" s="1"/>
      <c r="L28" s="1"/>
      <c r="M28" s="1"/>
      <c r="N28" s="80" t="s">
        <v>157</v>
      </c>
      <c r="O28" s="81" t="s">
        <v>26</v>
      </c>
      <c r="P28" s="1"/>
      <c r="Q28" s="1"/>
      <c r="R28" s="1"/>
    </row>
    <row r="29" ht="15.75" customHeight="1">
      <c r="A29" s="1"/>
      <c r="B29" s="71">
        <v>3.0</v>
      </c>
      <c r="C29" s="113" t="s">
        <v>337</v>
      </c>
      <c r="D29" s="114">
        <v>-84000.0</v>
      </c>
      <c r="E29" s="74"/>
      <c r="F29" s="1"/>
      <c r="G29" s="1"/>
      <c r="H29" s="1"/>
      <c r="I29" s="1"/>
      <c r="J29" s="1"/>
      <c r="K29" s="1"/>
      <c r="L29" s="1"/>
      <c r="M29" s="1"/>
      <c r="N29" s="82" t="s">
        <v>160</v>
      </c>
      <c r="O29" s="83" t="s">
        <v>81</v>
      </c>
      <c r="P29" s="1"/>
      <c r="Q29" s="1"/>
      <c r="R29" s="1"/>
    </row>
    <row r="30" ht="15.75" customHeight="1">
      <c r="A30" s="1"/>
      <c r="B30" s="77">
        <v>4.0</v>
      </c>
      <c r="C30" s="84"/>
      <c r="D30" s="85"/>
      <c r="E30" s="74"/>
      <c r="F30" s="1"/>
      <c r="G30" s="1"/>
      <c r="H30" s="1"/>
      <c r="I30" s="1"/>
      <c r="J30" s="1"/>
      <c r="K30" s="1"/>
      <c r="L30" s="1"/>
      <c r="M30" s="1"/>
      <c r="N30" s="86" t="s">
        <v>163</v>
      </c>
      <c r="O30" s="81" t="s">
        <v>42</v>
      </c>
      <c r="P30" s="1"/>
      <c r="Q30" s="1"/>
      <c r="R30" s="1"/>
    </row>
    <row r="31" ht="15.75" customHeight="1">
      <c r="A31" s="1"/>
      <c r="B31" s="71">
        <v>5.0</v>
      </c>
      <c r="C31" s="72"/>
      <c r="D31" s="73"/>
      <c r="E31" s="74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7">
        <v>6.0</v>
      </c>
      <c r="C32" s="84"/>
      <c r="D32" s="85"/>
      <c r="E32" s="74"/>
      <c r="F32" s="1"/>
      <c r="G32" s="1"/>
      <c r="H32" s="1"/>
      <c r="I32" s="1"/>
      <c r="J32" s="1"/>
      <c r="K32" s="89" t="s">
        <v>168</v>
      </c>
      <c r="Q32" s="1"/>
      <c r="R32" s="1"/>
    </row>
    <row r="33" ht="15.75" customHeight="1">
      <c r="A33" s="1"/>
      <c r="B33" s="71">
        <v>7.0</v>
      </c>
      <c r="C33" s="72"/>
      <c r="D33" s="73"/>
      <c r="E33" s="74"/>
      <c r="F33" s="1"/>
      <c r="G33" s="1"/>
      <c r="H33" s="1"/>
      <c r="I33" s="1"/>
      <c r="J33" s="1"/>
      <c r="K33" s="90" t="s">
        <v>1</v>
      </c>
      <c r="L33" s="90" t="s">
        <v>170</v>
      </c>
      <c r="M33" s="90" t="s">
        <v>171</v>
      </c>
      <c r="N33" s="90" t="s">
        <v>173</v>
      </c>
      <c r="O33" s="90" t="s">
        <v>174</v>
      </c>
      <c r="P33" s="90" t="s">
        <v>176</v>
      </c>
      <c r="Q33" s="1"/>
      <c r="R33" s="1"/>
      <c r="AC33" s="91" t="s">
        <v>177</v>
      </c>
      <c r="AD33" s="91" t="s">
        <v>178</v>
      </c>
      <c r="AE33" s="91" t="s">
        <v>179</v>
      </c>
      <c r="AF33" s="91" t="s">
        <v>180</v>
      </c>
      <c r="AG33" s="91" t="s">
        <v>181</v>
      </c>
    </row>
    <row r="34" ht="15.75" customHeight="1">
      <c r="A34" s="1"/>
      <c r="B34" s="77">
        <v>8.0</v>
      </c>
      <c r="C34" s="84"/>
      <c r="D34" s="85"/>
      <c r="E34" s="74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3"/>
      <c r="E35" s="74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7">
        <v>10.0</v>
      </c>
      <c r="C36" s="84"/>
      <c r="D36" s="85"/>
      <c r="E36" s="74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4">
        <v>11.0</v>
      </c>
      <c r="C37" s="95"/>
      <c r="D37" s="96"/>
      <c r="E37" s="74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0" t="s">
        <v>212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1" t="s">
        <v>213</v>
      </c>
      <c r="N42" s="159"/>
      <c r="O42" s="1"/>
      <c r="P42" s="1"/>
      <c r="Q42" s="1"/>
      <c r="R42" s="1"/>
    </row>
    <row r="43" ht="15.75" customHeight="1">
      <c r="K43" s="102" t="s">
        <v>7</v>
      </c>
      <c r="L43" s="102" t="s">
        <v>214</v>
      </c>
      <c r="M43" s="102" t="s">
        <v>215</v>
      </c>
      <c r="N43" s="160" t="s">
        <v>521</v>
      </c>
    </row>
    <row r="44" ht="15.75" customHeight="1">
      <c r="K44" s="161" t="s">
        <v>26</v>
      </c>
      <c r="L44" s="106">
        <v>13.0</v>
      </c>
      <c r="M44" s="106" t="s">
        <v>522</v>
      </c>
      <c r="N44" s="162">
        <v>53.0</v>
      </c>
    </row>
    <row r="45" ht="15.75" customHeight="1">
      <c r="K45" s="161" t="s">
        <v>26</v>
      </c>
      <c r="L45" s="104"/>
      <c r="M45" s="104"/>
      <c r="N45" s="163"/>
    </row>
    <row r="46" ht="15.75" customHeight="1"/>
    <row r="47" ht="19.5" customHeight="1">
      <c r="K47" s="107" t="s">
        <v>218</v>
      </c>
    </row>
    <row r="48" ht="19.5" customHeight="1">
      <c r="K48" s="108" t="s">
        <v>219</v>
      </c>
      <c r="M48" s="106">
        <v>39.0</v>
      </c>
    </row>
    <row r="49" ht="19.5" customHeight="1">
      <c r="K49" s="110" t="s">
        <v>221</v>
      </c>
      <c r="M49" s="112">
        <f>COUNTIF($I$4:$I$25,"DP")</f>
        <v>11</v>
      </c>
    </row>
    <row r="50" ht="19.5" customHeight="1">
      <c r="K50" s="110" t="s">
        <v>223</v>
      </c>
      <c r="M50" s="112">
        <f>COUNTIFS($I$4:$I$25,"&lt;&gt;DP",$I$4:$I$25,"&lt;&gt;")</f>
        <v>7</v>
      </c>
    </row>
    <row r="51" ht="19.5" customHeight="1">
      <c r="K51" s="115" t="s">
        <v>224</v>
      </c>
      <c r="M51" s="112">
        <f>M49+M50</f>
        <v>18</v>
      </c>
    </row>
    <row r="52" ht="19.5" customHeight="1">
      <c r="K52" s="108" t="s">
        <v>226</v>
      </c>
      <c r="M52" s="118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501</v>
      </c>
      <c r="D4" s="17" t="s">
        <v>23</v>
      </c>
      <c r="E4" s="15"/>
      <c r="F4" s="24" t="s">
        <v>353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502</v>
      </c>
      <c r="D5" s="17" t="s">
        <v>22</v>
      </c>
      <c r="E5" s="15"/>
      <c r="F5" s="24" t="s">
        <v>30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503</v>
      </c>
      <c r="D6" s="17" t="s">
        <v>22</v>
      </c>
      <c r="E6" s="15"/>
      <c r="F6" s="24" t="s">
        <v>504</v>
      </c>
      <c r="G6" s="44"/>
      <c r="H6" s="22">
        <v>100000.0</v>
      </c>
      <c r="I6" s="24" t="s">
        <v>25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58" t="s">
        <v>505</v>
      </c>
      <c r="D7" s="17" t="s">
        <v>23</v>
      </c>
      <c r="E7" s="15"/>
      <c r="F7" s="24" t="s">
        <v>506</v>
      </c>
      <c r="G7" s="44"/>
      <c r="H7" s="22">
        <v>100000.0</v>
      </c>
      <c r="I7" s="24" t="s">
        <v>25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507</v>
      </c>
      <c r="D8" s="17" t="s">
        <v>70</v>
      </c>
      <c r="E8" s="15"/>
      <c r="F8" s="24" t="s">
        <v>508</v>
      </c>
      <c r="G8" s="44"/>
      <c r="H8" s="22">
        <v>275000.0</v>
      </c>
      <c r="I8" s="24" t="s">
        <v>32</v>
      </c>
      <c r="J8" s="24" t="s">
        <v>39</v>
      </c>
      <c r="K8" s="24" t="s">
        <v>39</v>
      </c>
      <c r="L8" s="24" t="s">
        <v>27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509</v>
      </c>
      <c r="D9" s="17" t="s">
        <v>70</v>
      </c>
      <c r="E9" s="15"/>
      <c r="F9" s="24" t="s">
        <v>508</v>
      </c>
      <c r="G9" s="44"/>
      <c r="H9" s="22">
        <v>100000.0</v>
      </c>
      <c r="I9" s="24" t="s">
        <v>32</v>
      </c>
      <c r="J9" s="14"/>
      <c r="K9" s="14"/>
      <c r="L9" s="24" t="s">
        <v>27</v>
      </c>
      <c r="M9" s="2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510</v>
      </c>
      <c r="D10" s="17" t="s">
        <v>22</v>
      </c>
      <c r="E10" s="15"/>
      <c r="F10" s="24" t="s">
        <v>46</v>
      </c>
      <c r="G10" s="44"/>
      <c r="H10" s="22">
        <v>100000.0</v>
      </c>
      <c r="I10" s="24" t="s">
        <v>25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511</v>
      </c>
      <c r="D11" s="17" t="s">
        <v>23</v>
      </c>
      <c r="E11" s="15"/>
      <c r="F11" s="24" t="s">
        <v>512</v>
      </c>
      <c r="G11" s="54"/>
      <c r="H11" s="22">
        <v>100000.0</v>
      </c>
      <c r="I11" s="24" t="s">
        <v>25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513</v>
      </c>
      <c r="D12" s="17" t="s">
        <v>22</v>
      </c>
      <c r="E12" s="15"/>
      <c r="F12" s="24" t="s">
        <v>137</v>
      </c>
      <c r="G12" s="44"/>
      <c r="H12" s="22">
        <v>100000.0</v>
      </c>
      <c r="I12" s="24" t="s">
        <v>25</v>
      </c>
      <c r="J12" s="14"/>
      <c r="K12" s="14"/>
      <c r="L12" s="24" t="s">
        <v>27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514</v>
      </c>
      <c r="D13" s="17" t="s">
        <v>23</v>
      </c>
      <c r="E13" s="15"/>
      <c r="F13" s="24" t="s">
        <v>353</v>
      </c>
      <c r="G13" s="44"/>
      <c r="H13" s="22">
        <v>100000.0</v>
      </c>
      <c r="I13" s="24" t="s">
        <v>25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36" t="s">
        <v>515</v>
      </c>
      <c r="D14" s="17" t="s">
        <v>52</v>
      </c>
      <c r="E14" s="15"/>
      <c r="F14" s="24" t="s">
        <v>353</v>
      </c>
      <c r="G14" s="44"/>
      <c r="H14" s="22">
        <v>100000.0</v>
      </c>
      <c r="I14" s="24" t="s">
        <v>25</v>
      </c>
      <c r="J14" s="14"/>
      <c r="K14" s="14"/>
      <c r="L14" s="24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516</v>
      </c>
      <c r="D15" s="17" t="s">
        <v>48</v>
      </c>
      <c r="E15" s="15"/>
      <c r="F15" s="24" t="s">
        <v>517</v>
      </c>
      <c r="G15" s="44"/>
      <c r="H15" s="22">
        <v>100000.0</v>
      </c>
      <c r="I15" s="24" t="s">
        <v>25</v>
      </c>
      <c r="J15" s="14"/>
      <c r="K15" s="14"/>
      <c r="L15" s="24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518</v>
      </c>
      <c r="D16" s="17" t="s">
        <v>23</v>
      </c>
      <c r="E16" s="15"/>
      <c r="F16" s="24" t="s">
        <v>508</v>
      </c>
      <c r="G16" s="44"/>
      <c r="H16" s="22">
        <v>150000.0</v>
      </c>
      <c r="I16" s="24" t="s">
        <v>32</v>
      </c>
      <c r="J16" s="24" t="s">
        <v>39</v>
      </c>
      <c r="K16" s="24" t="s">
        <v>39</v>
      </c>
      <c r="L16" s="24" t="s">
        <v>27</v>
      </c>
      <c r="M16" s="24" t="s">
        <v>42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519</v>
      </c>
      <c r="D17" s="17" t="s">
        <v>23</v>
      </c>
      <c r="E17" s="15"/>
      <c r="F17" s="24" t="s">
        <v>520</v>
      </c>
      <c r="G17" s="44"/>
      <c r="H17" s="22">
        <v>100000.0</v>
      </c>
      <c r="I17" s="24" t="s">
        <v>25</v>
      </c>
      <c r="J17" s="14"/>
      <c r="K17" s="14"/>
      <c r="L17" s="24" t="s">
        <v>27</v>
      </c>
      <c r="M17" s="14"/>
      <c r="N17" s="33"/>
      <c r="O17" s="33"/>
      <c r="P17" s="33"/>
      <c r="Q17" s="1"/>
      <c r="R17" s="1"/>
    </row>
    <row r="18" ht="15.75" customHeight="1">
      <c r="A18" s="1"/>
      <c r="B18" s="14">
        <v>16.0</v>
      </c>
      <c r="C18" s="16" t="s">
        <v>509</v>
      </c>
      <c r="D18" s="17" t="s">
        <v>70</v>
      </c>
      <c r="E18" s="15"/>
      <c r="F18" s="24" t="s">
        <v>508</v>
      </c>
      <c r="G18" s="62"/>
      <c r="H18" s="22">
        <v>50000.0</v>
      </c>
      <c r="I18" s="24" t="s">
        <v>32</v>
      </c>
      <c r="J18" s="24" t="s">
        <v>39</v>
      </c>
      <c r="K18" s="14"/>
      <c r="L18" s="24" t="s">
        <v>27</v>
      </c>
      <c r="M18" s="24" t="s">
        <v>42</v>
      </c>
      <c r="N18" s="33"/>
      <c r="O18" s="33"/>
      <c r="P18" s="33"/>
      <c r="Q18" s="1"/>
      <c r="R18" s="1"/>
    </row>
    <row r="19" ht="15.75" customHeight="1">
      <c r="A19" s="1"/>
      <c r="B19" s="14">
        <v>17.0</v>
      </c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18.0</v>
      </c>
      <c r="C20" s="63"/>
      <c r="D20" s="97"/>
      <c r="E20" s="15"/>
      <c r="F20" s="14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19.0</v>
      </c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20.0</v>
      </c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21.0</v>
      </c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22.0</v>
      </c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23.0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0</v>
      </c>
      <c r="H26" s="67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64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33" t="s">
        <v>81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64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16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6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9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60" t="s">
        <v>521</v>
      </c>
    </row>
    <row r="47" ht="15.75" customHeight="1">
      <c r="K47" s="103" t="str">
        <f t="shared" ref="K47:K48" si="8">IF(O30="","",O30)</f>
        <v>AMEL</v>
      </c>
      <c r="L47" s="106">
        <v>11.0</v>
      </c>
      <c r="M47" s="104"/>
      <c r="N47" s="162">
        <v>55.0</v>
      </c>
    </row>
    <row r="48" ht="15.75" customHeight="1">
      <c r="K48" s="103" t="str">
        <f t="shared" si="8"/>
        <v>AMEL</v>
      </c>
      <c r="L48" s="104"/>
      <c r="M48" s="104"/>
      <c r="N48" s="163"/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42.0</v>
      </c>
    </row>
    <row r="52" ht="19.5" customHeight="1">
      <c r="K52" s="110" t="s">
        <v>221</v>
      </c>
      <c r="M52" s="112">
        <f>COUNTIF($I$4:$I$28,"DP")</f>
        <v>11</v>
      </c>
    </row>
    <row r="53" ht="19.5" customHeight="1">
      <c r="K53" s="110" t="s">
        <v>223</v>
      </c>
      <c r="M53" s="112">
        <f>COUNTIFS($I$4:$I$28,"&lt;&gt;DP",$I$4:$I$28,"&lt;&gt;")</f>
        <v>4</v>
      </c>
    </row>
    <row r="54" ht="19.5" customHeight="1">
      <c r="K54" s="115" t="s">
        <v>224</v>
      </c>
      <c r="M54" s="112">
        <f>M52+M53</f>
        <v>15</v>
      </c>
    </row>
    <row r="55" ht="19.5" customHeight="1">
      <c r="K55" s="108" t="s">
        <v>226</v>
      </c>
      <c r="M55" s="118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524</v>
      </c>
      <c r="D4" s="17" t="s">
        <v>48</v>
      </c>
      <c r="E4" s="15"/>
      <c r="F4" s="24" t="s">
        <v>416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527</v>
      </c>
      <c r="D5" s="17" t="s">
        <v>23</v>
      </c>
      <c r="E5" s="15"/>
      <c r="F5" s="24" t="s">
        <v>528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530</v>
      </c>
      <c r="D6" s="17" t="s">
        <v>23</v>
      </c>
      <c r="E6" s="15"/>
      <c r="F6" s="24" t="s">
        <v>531</v>
      </c>
      <c r="G6" s="44"/>
      <c r="H6" s="22">
        <v>100000.0</v>
      </c>
      <c r="I6" s="24" t="s">
        <v>25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532</v>
      </c>
      <c r="D7" s="17" t="s">
        <v>22</v>
      </c>
      <c r="E7" s="15"/>
      <c r="F7" s="24" t="s">
        <v>137</v>
      </c>
      <c r="G7" s="44"/>
      <c r="H7" s="22">
        <v>100000.0</v>
      </c>
      <c r="I7" s="24" t="s">
        <v>25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87" t="s">
        <v>351</v>
      </c>
      <c r="D8" s="17" t="s">
        <v>23</v>
      </c>
      <c r="E8" s="15"/>
      <c r="F8" s="24" t="s">
        <v>353</v>
      </c>
      <c r="G8" s="44"/>
      <c r="H8" s="22">
        <v>750000.0</v>
      </c>
      <c r="I8" s="24" t="s">
        <v>32</v>
      </c>
      <c r="J8" s="24" t="s">
        <v>39</v>
      </c>
      <c r="K8" s="24" t="s">
        <v>41</v>
      </c>
      <c r="L8" s="24" t="s">
        <v>27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501</v>
      </c>
      <c r="D9" s="17" t="s">
        <v>23</v>
      </c>
      <c r="E9" s="15"/>
      <c r="F9" s="40">
        <v>46283.0</v>
      </c>
      <c r="G9" s="44"/>
      <c r="H9" s="22">
        <v>125000.0</v>
      </c>
      <c r="I9" s="24" t="s">
        <v>32</v>
      </c>
      <c r="J9" s="24" t="s">
        <v>39</v>
      </c>
      <c r="K9" s="24" t="s">
        <v>39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535</v>
      </c>
      <c r="D10" s="17" t="s">
        <v>23</v>
      </c>
      <c r="E10" s="15"/>
      <c r="F10" s="35">
        <v>46285.0</v>
      </c>
      <c r="G10" s="44"/>
      <c r="H10" s="22">
        <v>100000.0</v>
      </c>
      <c r="I10" s="24" t="s">
        <v>25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537</v>
      </c>
      <c r="D11" s="17" t="s">
        <v>52</v>
      </c>
      <c r="E11" s="15"/>
      <c r="F11" s="35">
        <v>46283.0</v>
      </c>
      <c r="G11" s="44"/>
      <c r="H11" s="22">
        <v>100000.0</v>
      </c>
      <c r="I11" s="24" t="s">
        <v>32</v>
      </c>
      <c r="J11" s="24" t="s">
        <v>39</v>
      </c>
      <c r="K11" s="24" t="s">
        <v>39</v>
      </c>
      <c r="L11" s="24" t="s">
        <v>26</v>
      </c>
      <c r="M11" s="24" t="s">
        <v>81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539</v>
      </c>
      <c r="D12" s="17" t="s">
        <v>22</v>
      </c>
      <c r="E12" s="15"/>
      <c r="F12" s="35">
        <v>46284.0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540</v>
      </c>
      <c r="D13" s="17" t="s">
        <v>23</v>
      </c>
      <c r="E13" s="15"/>
      <c r="F13" s="35">
        <v>46283.0</v>
      </c>
      <c r="G13" s="44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542</v>
      </c>
      <c r="D14" s="17" t="s">
        <v>22</v>
      </c>
      <c r="E14" s="15"/>
      <c r="F14" s="35">
        <v>46287.0</v>
      </c>
      <c r="G14" s="44"/>
      <c r="H14" s="22">
        <v>100000.0</v>
      </c>
      <c r="I14" s="24" t="s">
        <v>25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544</v>
      </c>
      <c r="D15" s="17" t="s">
        <v>23</v>
      </c>
      <c r="E15" s="15"/>
      <c r="F15" s="35">
        <v>46283.0</v>
      </c>
      <c r="G15" s="62">
        <v>100000.0</v>
      </c>
      <c r="H15" s="54"/>
      <c r="I15" s="24" t="s">
        <v>32</v>
      </c>
      <c r="J15" s="24" t="s">
        <v>39</v>
      </c>
      <c r="K15" s="24" t="s">
        <v>41</v>
      </c>
      <c r="L15" s="24" t="s">
        <v>26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545</v>
      </c>
      <c r="D16" s="17" t="s">
        <v>23</v>
      </c>
      <c r="E16" s="15"/>
      <c r="F16" s="35">
        <v>46283.0</v>
      </c>
      <c r="G16" s="44"/>
      <c r="H16" s="22">
        <v>175000.0</v>
      </c>
      <c r="I16" s="24" t="s">
        <v>32</v>
      </c>
      <c r="J16" s="24" t="s">
        <v>39</v>
      </c>
      <c r="K16" s="24" t="s">
        <v>41</v>
      </c>
      <c r="L16" s="24" t="s">
        <v>26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540</v>
      </c>
      <c r="D17" s="17" t="s">
        <v>23</v>
      </c>
      <c r="E17" s="15"/>
      <c r="F17" s="35">
        <v>46283.0</v>
      </c>
      <c r="G17" s="44"/>
      <c r="H17" s="22">
        <v>75000.0</v>
      </c>
      <c r="I17" s="24" t="s">
        <v>32</v>
      </c>
      <c r="J17" s="24" t="s">
        <v>39</v>
      </c>
      <c r="K17" s="24" t="s">
        <v>41</v>
      </c>
      <c r="L17" s="24" t="s">
        <v>26</v>
      </c>
      <c r="M17" s="24" t="s">
        <v>81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547</v>
      </c>
      <c r="D18" s="17" t="s">
        <v>23</v>
      </c>
      <c r="E18" s="15"/>
      <c r="F18" s="35">
        <v>46284.0</v>
      </c>
      <c r="G18" s="44"/>
      <c r="H18" s="22">
        <v>100000.0</v>
      </c>
      <c r="I18" s="24" t="s">
        <v>25</v>
      </c>
      <c r="J18" s="14"/>
      <c r="K18" s="14"/>
      <c r="L18" s="24" t="s">
        <v>26</v>
      </c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449</v>
      </c>
      <c r="D19" s="17" t="s">
        <v>23</v>
      </c>
      <c r="E19" s="15"/>
      <c r="F19" s="35">
        <v>46283.0</v>
      </c>
      <c r="G19" s="62">
        <v>150000.0</v>
      </c>
      <c r="H19" s="54"/>
      <c r="I19" s="24" t="s">
        <v>32</v>
      </c>
      <c r="J19" s="24" t="s">
        <v>39</v>
      </c>
      <c r="K19" s="24" t="s">
        <v>41</v>
      </c>
      <c r="L19" s="24" t="s">
        <v>26</v>
      </c>
      <c r="M19" s="24" t="s">
        <v>81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490</v>
      </c>
      <c r="D20" s="17" t="s">
        <v>23</v>
      </c>
      <c r="E20" s="15"/>
      <c r="F20" s="35">
        <v>46283.0</v>
      </c>
      <c r="G20" s="62">
        <v>150000.0</v>
      </c>
      <c r="H20" s="54"/>
      <c r="I20" s="24" t="s">
        <v>32</v>
      </c>
      <c r="J20" s="24" t="s">
        <v>39</v>
      </c>
      <c r="K20" s="24" t="s">
        <v>41</v>
      </c>
      <c r="L20" s="24" t="s">
        <v>26</v>
      </c>
      <c r="M20" s="24" t="s">
        <v>81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53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53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/>
      <c r="D23" s="17"/>
      <c r="E23" s="15"/>
      <c r="F23" s="24"/>
      <c r="G23" s="44"/>
      <c r="H23" s="22"/>
      <c r="I23" s="2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62"/>
      <c r="H24" s="54"/>
      <c r="I24" s="2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44"/>
      <c r="H25" s="22"/>
      <c r="I25" s="2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400000</v>
      </c>
      <c r="H26" s="67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400000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27</v>
      </c>
      <c r="P30" s="1"/>
      <c r="Q30" s="1"/>
      <c r="R30" s="1"/>
    </row>
    <row r="31" ht="15.75" customHeight="1">
      <c r="A31" s="1"/>
      <c r="B31" s="77">
        <v>2.0</v>
      </c>
      <c r="C31" s="78" t="s">
        <v>555</v>
      </c>
      <c r="D31" s="79">
        <v>-250000.0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83" t="s">
        <v>81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81" t="s">
        <v>81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6">
        <v>5.0</v>
      </c>
      <c r="M48" s="104"/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54.0</v>
      </c>
    </row>
    <row r="52" ht="19.5" customHeight="1">
      <c r="K52" s="110" t="s">
        <v>221</v>
      </c>
      <c r="M52" s="112">
        <f>COUNTIF($I$4:$I$28,"DP")</f>
        <v>9</v>
      </c>
    </row>
    <row r="53" ht="19.5" customHeight="1">
      <c r="K53" s="110" t="s">
        <v>223</v>
      </c>
      <c r="M53" s="112">
        <f>COUNTIFS($I$4:$I$28,"&lt;&gt;DP",$I$4:$I$28,"&lt;&gt;")</f>
        <v>8</v>
      </c>
    </row>
    <row r="54" ht="19.5" customHeight="1">
      <c r="K54" s="115" t="s">
        <v>224</v>
      </c>
      <c r="M54" s="112">
        <f>M52+M53</f>
        <v>17</v>
      </c>
    </row>
    <row r="55" ht="19.5" customHeight="1">
      <c r="K55" s="108" t="s">
        <v>226</v>
      </c>
      <c r="M55" s="118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523</v>
      </c>
      <c r="D4" s="17" t="s">
        <v>23</v>
      </c>
      <c r="E4" s="15"/>
      <c r="F4" s="40">
        <v>46287.0</v>
      </c>
      <c r="G4" s="44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484</v>
      </c>
      <c r="D5" s="17" t="s">
        <v>23</v>
      </c>
      <c r="E5" s="15"/>
      <c r="F5" s="40">
        <v>46284.0</v>
      </c>
      <c r="G5" s="62">
        <v>75000.0</v>
      </c>
      <c r="H5" s="54"/>
      <c r="I5" s="24" t="s">
        <v>32</v>
      </c>
      <c r="J5" s="24" t="s">
        <v>39</v>
      </c>
      <c r="K5" s="24" t="s">
        <v>39</v>
      </c>
      <c r="L5" s="24" t="s">
        <v>26</v>
      </c>
      <c r="M5" s="24" t="s">
        <v>42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525</v>
      </c>
      <c r="D6" s="17" t="s">
        <v>526</v>
      </c>
      <c r="E6" s="15"/>
      <c r="F6" s="40">
        <v>46284.0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529</v>
      </c>
      <c r="D7" s="17" t="s">
        <v>48</v>
      </c>
      <c r="E7" s="15"/>
      <c r="F7" s="40">
        <v>46284.0</v>
      </c>
      <c r="G7" s="62">
        <v>250000.0</v>
      </c>
      <c r="H7" s="54"/>
      <c r="I7" s="24" t="s">
        <v>32</v>
      </c>
      <c r="J7" s="24" t="s">
        <v>39</v>
      </c>
      <c r="K7" s="24" t="s">
        <v>41</v>
      </c>
      <c r="L7" s="24" t="s">
        <v>26</v>
      </c>
      <c r="M7" s="24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340</v>
      </c>
      <c r="D8" s="17" t="s">
        <v>22</v>
      </c>
      <c r="E8" s="15"/>
      <c r="F8" s="40">
        <v>46284.0</v>
      </c>
      <c r="G8" s="62">
        <v>410000.0</v>
      </c>
      <c r="H8" s="54"/>
      <c r="I8" s="24" t="s">
        <v>32</v>
      </c>
      <c r="J8" s="24" t="s">
        <v>39</v>
      </c>
      <c r="K8" s="24" t="s">
        <v>41</v>
      </c>
      <c r="L8" s="24" t="s">
        <v>26</v>
      </c>
      <c r="M8" s="24" t="s">
        <v>42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533</v>
      </c>
      <c r="D9" s="17" t="s">
        <v>22</v>
      </c>
      <c r="E9" s="15"/>
      <c r="F9" s="35">
        <v>46284.0</v>
      </c>
      <c r="G9" s="44"/>
      <c r="H9" s="22">
        <v>400000.0</v>
      </c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534</v>
      </c>
      <c r="D10" s="17" t="s">
        <v>22</v>
      </c>
      <c r="E10" s="15"/>
      <c r="F10" s="35">
        <v>46284.0</v>
      </c>
      <c r="G10" s="44"/>
      <c r="H10" s="22">
        <v>250000.0</v>
      </c>
      <c r="I10" s="24" t="s">
        <v>32</v>
      </c>
      <c r="J10" s="24" t="s">
        <v>39</v>
      </c>
      <c r="K10" s="24" t="s">
        <v>41</v>
      </c>
      <c r="L10" s="24" t="s">
        <v>26</v>
      </c>
      <c r="M10" s="24" t="s">
        <v>81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536</v>
      </c>
      <c r="D11" s="17" t="s">
        <v>52</v>
      </c>
      <c r="E11" s="15"/>
      <c r="F11" s="35">
        <v>46285.0</v>
      </c>
      <c r="G11" s="44"/>
      <c r="H11" s="22">
        <v>100000.0</v>
      </c>
      <c r="I11" s="24" t="s">
        <v>25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538</v>
      </c>
      <c r="D12" s="17" t="s">
        <v>22</v>
      </c>
      <c r="E12" s="15"/>
      <c r="F12" s="35">
        <v>46284.0</v>
      </c>
      <c r="G12" s="44"/>
      <c r="H12" s="22">
        <v>270000.0</v>
      </c>
      <c r="I12" s="24" t="s">
        <v>32</v>
      </c>
      <c r="J12" s="24" t="s">
        <v>39</v>
      </c>
      <c r="K12" s="24" t="s">
        <v>41</v>
      </c>
      <c r="L12" s="24" t="s">
        <v>26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372</v>
      </c>
      <c r="D13" s="17" t="s">
        <v>100</v>
      </c>
      <c r="E13" s="15"/>
      <c r="F13" s="40">
        <v>46284.0</v>
      </c>
      <c r="G13" s="62">
        <v>400000.0</v>
      </c>
      <c r="H13" s="54"/>
      <c r="I13" s="24" t="s">
        <v>32</v>
      </c>
      <c r="J13" s="24" t="s">
        <v>39</v>
      </c>
      <c r="K13" s="24" t="s">
        <v>41</v>
      </c>
      <c r="L13" s="24" t="s">
        <v>26</v>
      </c>
      <c r="M13" s="24" t="s">
        <v>42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541</v>
      </c>
      <c r="D14" s="17" t="s">
        <v>61</v>
      </c>
      <c r="E14" s="15"/>
      <c r="F14" s="40">
        <v>46288.0</v>
      </c>
      <c r="G14" s="44"/>
      <c r="H14" s="22">
        <v>100000.0</v>
      </c>
      <c r="I14" s="24" t="s">
        <v>25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543</v>
      </c>
      <c r="D15" s="17" t="s">
        <v>22</v>
      </c>
      <c r="E15" s="15"/>
      <c r="F15" s="24" t="s">
        <v>531</v>
      </c>
      <c r="G15" s="22">
        <v>250000.0</v>
      </c>
      <c r="H15" s="54"/>
      <c r="I15" s="24" t="s">
        <v>32</v>
      </c>
      <c r="J15" s="24" t="s">
        <v>39</v>
      </c>
      <c r="K15" s="24" t="s">
        <v>41</v>
      </c>
      <c r="L15" s="24" t="s">
        <v>27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539</v>
      </c>
      <c r="D16" s="17" t="s">
        <v>22</v>
      </c>
      <c r="E16" s="15"/>
      <c r="F16" s="24" t="s">
        <v>531</v>
      </c>
      <c r="G16" s="22">
        <v>250000.0</v>
      </c>
      <c r="H16" s="54"/>
      <c r="I16" s="24" t="s">
        <v>32</v>
      </c>
      <c r="J16" s="24" t="s">
        <v>39</v>
      </c>
      <c r="K16" s="24" t="s">
        <v>41</v>
      </c>
      <c r="L16" s="24" t="s">
        <v>27</v>
      </c>
      <c r="M16" s="24" t="s">
        <v>42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310</v>
      </c>
      <c r="D17" s="17" t="s">
        <v>22</v>
      </c>
      <c r="E17" s="15"/>
      <c r="F17" s="24" t="s">
        <v>531</v>
      </c>
      <c r="G17" s="22">
        <v>250000.0</v>
      </c>
      <c r="H17" s="54"/>
      <c r="I17" s="24" t="s">
        <v>32</v>
      </c>
      <c r="J17" s="24" t="s">
        <v>39</v>
      </c>
      <c r="K17" s="24" t="s">
        <v>41</v>
      </c>
      <c r="L17" s="24" t="s">
        <v>27</v>
      </c>
      <c r="M17" s="24" t="s">
        <v>81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546</v>
      </c>
      <c r="D18" s="17" t="s">
        <v>22</v>
      </c>
      <c r="E18" s="15"/>
      <c r="F18" s="24" t="s">
        <v>137</v>
      </c>
      <c r="G18" s="51"/>
      <c r="H18" s="22">
        <v>100000.0</v>
      </c>
      <c r="I18" s="24" t="s">
        <v>25</v>
      </c>
      <c r="J18" s="24"/>
      <c r="K18" s="24"/>
      <c r="L18" s="24" t="s">
        <v>27</v>
      </c>
      <c r="M18" s="2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443</v>
      </c>
      <c r="D19" s="17" t="s">
        <v>23</v>
      </c>
      <c r="E19" s="15"/>
      <c r="F19" s="24" t="s">
        <v>531</v>
      </c>
      <c r="G19" s="51">
        <v>150000.0</v>
      </c>
      <c r="H19" s="54"/>
      <c r="I19" s="24" t="s">
        <v>32</v>
      </c>
      <c r="J19" s="24" t="s">
        <v>39</v>
      </c>
      <c r="K19" s="24" t="s">
        <v>39</v>
      </c>
      <c r="L19" s="24" t="s">
        <v>27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530</v>
      </c>
      <c r="D20" s="17" t="s">
        <v>23</v>
      </c>
      <c r="E20" s="15"/>
      <c r="F20" s="24" t="s">
        <v>531</v>
      </c>
      <c r="G20" s="51"/>
      <c r="H20" s="22">
        <v>375000.0</v>
      </c>
      <c r="I20" s="24" t="s">
        <v>32</v>
      </c>
      <c r="J20" s="24" t="s">
        <v>39</v>
      </c>
      <c r="K20" s="24" t="s">
        <v>39</v>
      </c>
      <c r="L20" s="24" t="s">
        <v>27</v>
      </c>
      <c r="M20" s="24" t="s">
        <v>81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547</v>
      </c>
      <c r="D21" s="17" t="s">
        <v>23</v>
      </c>
      <c r="E21" s="15"/>
      <c r="F21" s="24" t="s">
        <v>531</v>
      </c>
      <c r="G21" s="51">
        <v>375000.0</v>
      </c>
      <c r="H21" s="22">
        <v>170000.0</v>
      </c>
      <c r="I21" s="24" t="s">
        <v>32</v>
      </c>
      <c r="J21" s="24" t="s">
        <v>39</v>
      </c>
      <c r="K21" s="24" t="s">
        <v>41</v>
      </c>
      <c r="L21" s="24" t="s">
        <v>27</v>
      </c>
      <c r="M21" s="24" t="s">
        <v>81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548</v>
      </c>
      <c r="D22" s="17" t="s">
        <v>526</v>
      </c>
      <c r="E22" s="15"/>
      <c r="F22" s="24" t="s">
        <v>531</v>
      </c>
      <c r="G22" s="51"/>
      <c r="H22" s="22">
        <v>430000.0</v>
      </c>
      <c r="I22" s="24" t="s">
        <v>32</v>
      </c>
      <c r="J22" s="24" t="s">
        <v>39</v>
      </c>
      <c r="K22" s="24" t="s">
        <v>41</v>
      </c>
      <c r="L22" s="24" t="s">
        <v>27</v>
      </c>
      <c r="M22" s="24" t="s">
        <v>81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45"/>
      <c r="D23" s="17"/>
      <c r="E23" s="15"/>
      <c r="F23" s="24"/>
      <c r="G23" s="22"/>
      <c r="H23" s="54"/>
      <c r="I23" s="24"/>
      <c r="J23" s="24"/>
      <c r="K23" s="24"/>
      <c r="L23" s="24"/>
      <c r="M23" s="2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/>
      <c r="D24" s="17"/>
      <c r="E24" s="15"/>
      <c r="F24" s="24"/>
      <c r="G24" s="22"/>
      <c r="H24" s="54"/>
      <c r="I24" s="24"/>
      <c r="J24" s="24"/>
      <c r="K24" s="24"/>
      <c r="L24" s="24"/>
      <c r="M24" s="2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"/>
      <c r="D25" s="17"/>
      <c r="E25" s="15"/>
      <c r="F25" s="24"/>
      <c r="G25" s="22"/>
      <c r="H25" s="54"/>
      <c r="I25" s="24"/>
      <c r="J25" s="24"/>
      <c r="K25" s="24"/>
      <c r="L25" s="24"/>
      <c r="M25" s="2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38"/>
      <c r="G26" s="54"/>
      <c r="H26" s="54"/>
      <c r="I26" s="14"/>
      <c r="J26" s="14"/>
      <c r="K26" s="14"/>
      <c r="L26" s="14"/>
      <c r="M26" s="14"/>
      <c r="N26" s="64"/>
      <c r="O26" s="64"/>
      <c r="P26" s="64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6">
        <f t="shared" ref="G27:H27" si="1">SUM(G4:G26)</f>
        <v>2410000</v>
      </c>
      <c r="H27" s="67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145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146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149</v>
      </c>
      <c r="D31" s="73">
        <f>SUM(G27)</f>
        <v>2410000</v>
      </c>
      <c r="E31" s="74"/>
      <c r="F31" s="1"/>
      <c r="G31" s="1"/>
      <c r="H31" s="1"/>
      <c r="I31" s="1"/>
      <c r="J31" s="1"/>
      <c r="K31" s="1"/>
      <c r="L31" s="1"/>
      <c r="M31" s="1"/>
      <c r="N31" s="75" t="s">
        <v>151</v>
      </c>
      <c r="O31" s="76" t="s">
        <v>26</v>
      </c>
      <c r="P31" s="1"/>
      <c r="Q31" s="1"/>
      <c r="R31" s="1"/>
    </row>
    <row r="32" ht="15.75" customHeight="1">
      <c r="A32" s="1"/>
      <c r="B32" s="77">
        <v>2.0</v>
      </c>
      <c r="C32" s="78" t="s">
        <v>550</v>
      </c>
      <c r="D32" s="79">
        <v>-20000.0</v>
      </c>
      <c r="E32" s="74"/>
      <c r="F32" s="1"/>
      <c r="G32" s="1"/>
      <c r="H32" s="1"/>
      <c r="I32" s="1"/>
      <c r="J32" s="1"/>
      <c r="K32" s="1"/>
      <c r="L32" s="1"/>
      <c r="M32" s="105" t="s">
        <v>552</v>
      </c>
      <c r="N32" s="80" t="s">
        <v>157</v>
      </c>
      <c r="O32" s="81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3"/>
      <c r="E33" s="74"/>
      <c r="F33" s="1"/>
      <c r="G33" s="1"/>
      <c r="H33" s="1"/>
      <c r="I33" s="1"/>
      <c r="J33" s="1"/>
      <c r="K33" s="1"/>
      <c r="L33" s="1"/>
      <c r="M33" s="105" t="s">
        <v>554</v>
      </c>
      <c r="N33" s="82" t="s">
        <v>160</v>
      </c>
      <c r="O33" s="83" t="s">
        <v>42</v>
      </c>
      <c r="P33" s="1"/>
      <c r="Q33" s="1"/>
      <c r="R33" s="1"/>
    </row>
    <row r="34" ht="15.75" customHeight="1">
      <c r="A34" s="1"/>
      <c r="B34" s="77">
        <v>4.0</v>
      </c>
      <c r="C34" s="84"/>
      <c r="D34" s="85"/>
      <c r="E34" s="74"/>
      <c r="F34" s="1"/>
      <c r="G34" s="1"/>
      <c r="H34" s="1"/>
      <c r="I34" s="1"/>
      <c r="J34" s="1"/>
      <c r="K34" s="1"/>
      <c r="L34" s="1"/>
      <c r="M34" s="1"/>
      <c r="N34" s="86" t="s">
        <v>163</v>
      </c>
      <c r="O34" s="81" t="s">
        <v>81</v>
      </c>
      <c r="P34" s="1"/>
      <c r="Q34" s="1"/>
      <c r="R34" s="1"/>
    </row>
    <row r="35" ht="15.75" customHeight="1">
      <c r="A35" s="1"/>
      <c r="B35" s="71">
        <v>5.0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7">
        <v>6.0</v>
      </c>
      <c r="C36" s="84"/>
      <c r="D36" s="85"/>
      <c r="E36" s="74"/>
      <c r="F36" s="1"/>
      <c r="G36" s="1"/>
      <c r="H36" s="1"/>
      <c r="I36" s="1"/>
      <c r="J36" s="1"/>
      <c r="K36" s="89" t="s">
        <v>168</v>
      </c>
      <c r="Q36" s="1"/>
      <c r="R36" s="1"/>
    </row>
    <row r="37" ht="15.75" customHeight="1">
      <c r="A37" s="1"/>
      <c r="B37" s="71">
        <v>7.0</v>
      </c>
      <c r="C37" s="72"/>
      <c r="D37" s="73"/>
      <c r="E37" s="74"/>
      <c r="F37" s="1"/>
      <c r="G37" s="1"/>
      <c r="H37" s="1"/>
      <c r="I37" s="1"/>
      <c r="J37" s="1"/>
      <c r="K37" s="90" t="s">
        <v>1</v>
      </c>
      <c r="L37" s="90" t="s">
        <v>170</v>
      </c>
      <c r="M37" s="90" t="s">
        <v>171</v>
      </c>
      <c r="N37" s="90" t="s">
        <v>173</v>
      </c>
      <c r="O37" s="90" t="s">
        <v>174</v>
      </c>
      <c r="P37" s="90" t="s">
        <v>176</v>
      </c>
      <c r="Q37" s="1"/>
      <c r="R37" s="1"/>
      <c r="AC37" s="91" t="s">
        <v>177</v>
      </c>
      <c r="AD37" s="91" t="s">
        <v>178</v>
      </c>
      <c r="AE37" s="91" t="s">
        <v>179</v>
      </c>
      <c r="AF37" s="91" t="s">
        <v>180</v>
      </c>
      <c r="AG37" s="91" t="s">
        <v>181</v>
      </c>
    </row>
    <row r="38" ht="15.75" customHeight="1">
      <c r="A38" s="1"/>
      <c r="B38" s="77">
        <v>8.0</v>
      </c>
      <c r="C38" s="84"/>
      <c r="D38" s="85"/>
      <c r="E38" s="74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3"/>
      <c r="E39" s="74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7">
        <v>10.0</v>
      </c>
      <c r="C40" s="84"/>
      <c r="D40" s="85"/>
      <c r="E40" s="74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4">
        <v>11.0</v>
      </c>
      <c r="C41" s="95"/>
      <c r="D41" s="96"/>
      <c r="E41" s="74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212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1" t="s">
        <v>213</v>
      </c>
      <c r="N46" s="1"/>
      <c r="O46" s="1"/>
      <c r="P46" s="1"/>
      <c r="Q46" s="1"/>
      <c r="R46" s="1"/>
    </row>
    <row r="47" ht="15.75" customHeight="1">
      <c r="K47" s="102" t="s">
        <v>7</v>
      </c>
      <c r="L47" s="102" t="s">
        <v>214</v>
      </c>
      <c r="M47" s="102" t="s">
        <v>215</v>
      </c>
    </row>
    <row r="48" ht="15.75" customHeight="1">
      <c r="K48" s="103" t="str">
        <f t="shared" ref="K48:K49" si="8">IF(O31="","",O31)</f>
        <v>INDAH</v>
      </c>
      <c r="L48" s="106">
        <v>4.0</v>
      </c>
      <c r="M48" s="106" t="s">
        <v>402</v>
      </c>
    </row>
    <row r="49" ht="15.75" customHeight="1">
      <c r="K49" s="103" t="str">
        <f t="shared" si="8"/>
        <v>AMEL</v>
      </c>
      <c r="L49" s="106">
        <v>1.0</v>
      </c>
      <c r="M49" s="104"/>
    </row>
    <row r="50" ht="15.75" customHeight="1"/>
    <row r="51" ht="19.5" customHeight="1">
      <c r="K51" s="107" t="s">
        <v>218</v>
      </c>
    </row>
    <row r="52" ht="19.5" customHeight="1">
      <c r="K52" s="108" t="s">
        <v>219</v>
      </c>
      <c r="M52" s="106">
        <v>39.0</v>
      </c>
    </row>
    <row r="53" ht="19.5" customHeight="1">
      <c r="K53" s="110" t="s">
        <v>221</v>
      </c>
      <c r="M53" s="112">
        <f>COUNTIF($I$4:$I$29,"DP")</f>
        <v>5</v>
      </c>
    </row>
    <row r="54" ht="19.5" customHeight="1">
      <c r="K54" s="110" t="s">
        <v>223</v>
      </c>
      <c r="M54" s="112">
        <f>COUNTIFS($I$4:$I$29,"&lt;&gt;DP",$I$4:$I$29,"&lt;&gt;")</f>
        <v>14</v>
      </c>
    </row>
    <row r="55" ht="19.5" customHeight="1">
      <c r="K55" s="115" t="s">
        <v>224</v>
      </c>
      <c r="M55" s="112">
        <f>M53+M54</f>
        <v>19</v>
      </c>
    </row>
    <row r="56" ht="19.5" customHeight="1">
      <c r="K56" s="108" t="s">
        <v>226</v>
      </c>
      <c r="M56" s="118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549</v>
      </c>
      <c r="D4" s="17" t="s">
        <v>22</v>
      </c>
      <c r="E4" s="15"/>
      <c r="F4" s="18">
        <v>46317.0</v>
      </c>
      <c r="G4" s="44"/>
      <c r="H4" s="22">
        <v>100000.0</v>
      </c>
      <c r="I4" s="24" t="s">
        <v>25</v>
      </c>
      <c r="J4" s="14"/>
      <c r="K4" s="14"/>
      <c r="L4" s="1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551</v>
      </c>
      <c r="D5" s="17" t="s">
        <v>70</v>
      </c>
      <c r="E5" s="15"/>
      <c r="F5" s="18">
        <v>46285.0</v>
      </c>
      <c r="G5" s="44"/>
      <c r="H5" s="22">
        <v>100000.0</v>
      </c>
      <c r="I5" s="24" t="s">
        <v>32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553</v>
      </c>
      <c r="D6" s="17" t="s">
        <v>22</v>
      </c>
      <c r="E6" s="15"/>
      <c r="F6" s="40">
        <v>46291.0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556</v>
      </c>
      <c r="D7" s="17" t="s">
        <v>23</v>
      </c>
      <c r="E7" s="15"/>
      <c r="F7" s="40">
        <v>46285.0</v>
      </c>
      <c r="G7" s="62">
        <v>725000.0</v>
      </c>
      <c r="H7" s="54"/>
      <c r="I7" s="24" t="s">
        <v>32</v>
      </c>
      <c r="J7" s="24" t="s">
        <v>39</v>
      </c>
      <c r="K7" s="24" t="s">
        <v>39</v>
      </c>
      <c r="L7" s="24" t="s">
        <v>26</v>
      </c>
      <c r="M7" s="24" t="s">
        <v>81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557</v>
      </c>
      <c r="D8" s="17" t="s">
        <v>482</v>
      </c>
      <c r="E8" s="15"/>
      <c r="F8" s="40">
        <v>46267.0</v>
      </c>
      <c r="G8" s="44"/>
      <c r="H8" s="22">
        <v>20000.0</v>
      </c>
      <c r="I8" s="24" t="s">
        <v>32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534</v>
      </c>
      <c r="D9" s="17" t="s">
        <v>343</v>
      </c>
      <c r="E9" s="15"/>
      <c r="F9" s="40">
        <v>46285.0</v>
      </c>
      <c r="G9" s="44"/>
      <c r="H9" s="22">
        <v>80000.0</v>
      </c>
      <c r="I9" s="24" t="s">
        <v>32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558</v>
      </c>
      <c r="D10" s="17" t="s">
        <v>239</v>
      </c>
      <c r="E10" s="15"/>
      <c r="F10" s="40">
        <v>46285.0</v>
      </c>
      <c r="G10" s="44"/>
      <c r="H10" s="22">
        <v>100000.0</v>
      </c>
      <c r="I10" s="24" t="s">
        <v>32</v>
      </c>
      <c r="J10" s="24" t="s">
        <v>39</v>
      </c>
      <c r="K10" s="24" t="s">
        <v>39</v>
      </c>
      <c r="L10" s="24" t="s">
        <v>26</v>
      </c>
      <c r="M10" s="24" t="s">
        <v>81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559</v>
      </c>
      <c r="D11" s="17" t="s">
        <v>96</v>
      </c>
      <c r="E11" s="15"/>
      <c r="F11" s="40">
        <v>46285.0</v>
      </c>
      <c r="G11" s="44"/>
      <c r="H11" s="22">
        <v>250000.0</v>
      </c>
      <c r="I11" s="24" t="s">
        <v>32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560</v>
      </c>
      <c r="D12" s="17" t="s">
        <v>22</v>
      </c>
      <c r="E12" s="15"/>
      <c r="F12" s="40">
        <v>46287.0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561</v>
      </c>
      <c r="D13" s="17" t="s">
        <v>23</v>
      </c>
      <c r="E13" s="15"/>
      <c r="F13" s="24" t="s">
        <v>30</v>
      </c>
      <c r="G13" s="44"/>
      <c r="H13" s="22">
        <v>100000.0</v>
      </c>
      <c r="I13" s="24" t="s">
        <v>32</v>
      </c>
      <c r="J13" s="14"/>
      <c r="K13" s="14"/>
      <c r="L13" s="24" t="s">
        <v>27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562</v>
      </c>
      <c r="D14" s="17" t="s">
        <v>239</v>
      </c>
      <c r="E14" s="15"/>
      <c r="F14" s="40">
        <v>46285.0</v>
      </c>
      <c r="G14" s="62">
        <v>100000.0</v>
      </c>
      <c r="H14" s="54"/>
      <c r="I14" s="24" t="s">
        <v>32</v>
      </c>
      <c r="J14" s="24" t="s">
        <v>39</v>
      </c>
      <c r="K14" s="24" t="s">
        <v>41</v>
      </c>
      <c r="L14" s="24" t="s">
        <v>27</v>
      </c>
      <c r="M14" s="24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563</v>
      </c>
      <c r="D15" s="17" t="s">
        <v>22</v>
      </c>
      <c r="E15" s="15"/>
      <c r="F15" s="24" t="s">
        <v>30</v>
      </c>
      <c r="G15" s="44"/>
      <c r="H15" s="22">
        <v>100000.0</v>
      </c>
      <c r="I15" s="24" t="s">
        <v>32</v>
      </c>
      <c r="J15" s="14"/>
      <c r="K15" s="14"/>
      <c r="L15" s="24" t="s">
        <v>27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564</v>
      </c>
      <c r="D16" s="17" t="s">
        <v>22</v>
      </c>
      <c r="E16" s="15"/>
      <c r="F16" s="24" t="s">
        <v>30</v>
      </c>
      <c r="G16" s="44"/>
      <c r="H16" s="22">
        <v>100000.0</v>
      </c>
      <c r="I16" s="24" t="s">
        <v>25</v>
      </c>
      <c r="J16" s="14"/>
      <c r="K16" s="14"/>
      <c r="L16" s="24" t="s">
        <v>27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551</v>
      </c>
      <c r="D17" s="17" t="s">
        <v>70</v>
      </c>
      <c r="E17" s="15"/>
      <c r="F17" s="24" t="s">
        <v>416</v>
      </c>
      <c r="G17" s="44"/>
      <c r="H17" s="22">
        <v>50000.0</v>
      </c>
      <c r="I17" s="24" t="s">
        <v>32</v>
      </c>
      <c r="J17" s="24" t="s">
        <v>39</v>
      </c>
      <c r="K17" s="24" t="s">
        <v>41</v>
      </c>
      <c r="L17" s="24" t="s">
        <v>27</v>
      </c>
      <c r="M17" s="24" t="s">
        <v>42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36" t="s">
        <v>470</v>
      </c>
      <c r="D18" s="17" t="s">
        <v>23</v>
      </c>
      <c r="E18" s="15"/>
      <c r="F18" s="24" t="s">
        <v>416</v>
      </c>
      <c r="G18" s="44"/>
      <c r="H18" s="22">
        <v>150000.0</v>
      </c>
      <c r="I18" s="24" t="s">
        <v>32</v>
      </c>
      <c r="J18" s="24" t="s">
        <v>39</v>
      </c>
      <c r="K18" s="24" t="s">
        <v>39</v>
      </c>
      <c r="L18" s="24" t="s">
        <v>27</v>
      </c>
      <c r="M18" s="24" t="s">
        <v>42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415</v>
      </c>
      <c r="D19" s="17" t="s">
        <v>23</v>
      </c>
      <c r="E19" s="15"/>
      <c r="F19" s="24" t="s">
        <v>416</v>
      </c>
      <c r="G19" s="44"/>
      <c r="H19" s="22">
        <v>100000.0</v>
      </c>
      <c r="I19" s="24" t="s">
        <v>32</v>
      </c>
      <c r="J19" s="24" t="s">
        <v>39</v>
      </c>
      <c r="K19" s="24" t="s">
        <v>39</v>
      </c>
      <c r="L19" s="24" t="s">
        <v>27</v>
      </c>
      <c r="M19" s="24" t="s">
        <v>42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565</v>
      </c>
      <c r="D20" s="17" t="s">
        <v>23</v>
      </c>
      <c r="E20" s="15"/>
      <c r="F20" s="24" t="s">
        <v>30</v>
      </c>
      <c r="G20" s="44"/>
      <c r="H20" s="22">
        <v>100000.0</v>
      </c>
      <c r="I20" s="24" t="s">
        <v>25</v>
      </c>
      <c r="J20" s="14"/>
      <c r="K20" s="14"/>
      <c r="L20" s="24" t="s">
        <v>27</v>
      </c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31</v>
      </c>
      <c r="D21" s="17" t="s">
        <v>61</v>
      </c>
      <c r="E21" s="15"/>
      <c r="F21" s="24" t="s">
        <v>416</v>
      </c>
      <c r="G21" s="44"/>
      <c r="H21" s="22">
        <v>50000.0</v>
      </c>
      <c r="I21" s="24" t="s">
        <v>32</v>
      </c>
      <c r="J21" s="24" t="s">
        <v>39</v>
      </c>
      <c r="K21" s="24" t="s">
        <v>39</v>
      </c>
      <c r="L21" s="24" t="s">
        <v>27</v>
      </c>
      <c r="M21" s="24" t="s">
        <v>42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16" t="s">
        <v>566</v>
      </c>
      <c r="D22" s="17" t="s">
        <v>22</v>
      </c>
      <c r="E22" s="15"/>
      <c r="F22" s="24" t="s">
        <v>46</v>
      </c>
      <c r="G22" s="44"/>
      <c r="H22" s="22">
        <v>100000.0</v>
      </c>
      <c r="I22" s="24" t="s">
        <v>32</v>
      </c>
      <c r="J22" s="14"/>
      <c r="K22" s="14"/>
      <c r="L22" s="24" t="s">
        <v>27</v>
      </c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524</v>
      </c>
      <c r="D23" s="17" t="s">
        <v>48</v>
      </c>
      <c r="E23" s="15"/>
      <c r="F23" s="24" t="s">
        <v>416</v>
      </c>
      <c r="G23" s="44"/>
      <c r="H23" s="22">
        <v>100000.0</v>
      </c>
      <c r="I23" s="24" t="s">
        <v>32</v>
      </c>
      <c r="J23" s="24" t="s">
        <v>39</v>
      </c>
      <c r="K23" s="24" t="s">
        <v>41</v>
      </c>
      <c r="L23" s="24" t="s">
        <v>27</v>
      </c>
      <c r="M23" s="24" t="s">
        <v>42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16" t="s">
        <v>496</v>
      </c>
      <c r="D24" s="17" t="s">
        <v>23</v>
      </c>
      <c r="E24" s="15"/>
      <c r="F24" s="24" t="s">
        <v>416</v>
      </c>
      <c r="G24" s="44"/>
      <c r="H24" s="22">
        <v>125000.0</v>
      </c>
      <c r="I24" s="24" t="s">
        <v>32</v>
      </c>
      <c r="J24" s="24" t="s">
        <v>39</v>
      </c>
      <c r="K24" s="24" t="s">
        <v>55</v>
      </c>
      <c r="L24" s="24" t="s">
        <v>27</v>
      </c>
      <c r="M24" s="24" t="s">
        <v>42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4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4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3"/>
      <c r="D28" s="97"/>
      <c r="E28" s="15"/>
      <c r="F28" s="14"/>
      <c r="G28" s="44"/>
      <c r="H28" s="54"/>
      <c r="I28" s="14"/>
      <c r="J28" s="14"/>
      <c r="K28" s="14"/>
      <c r="L28" s="14"/>
      <c r="M28" s="14"/>
      <c r="N28" s="64"/>
      <c r="O28" s="64"/>
      <c r="P28" s="64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6">
        <f t="shared" ref="G29:H29" si="1">SUM(G4:G28)</f>
        <v>825000</v>
      </c>
      <c r="H29" s="67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145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146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149</v>
      </c>
      <c r="D33" s="73">
        <f>SUM(G29)</f>
        <v>825000</v>
      </c>
      <c r="E33" s="74"/>
      <c r="F33" s="1"/>
      <c r="G33" s="1"/>
      <c r="H33" s="1"/>
      <c r="I33" s="1"/>
      <c r="J33" s="1"/>
      <c r="K33" s="1"/>
      <c r="L33" s="1"/>
      <c r="M33" s="1"/>
      <c r="N33" s="75" t="s">
        <v>151</v>
      </c>
      <c r="O33" s="76" t="s">
        <v>26</v>
      </c>
      <c r="P33" s="1"/>
      <c r="Q33" s="1"/>
      <c r="R33" s="1"/>
    </row>
    <row r="34" ht="15.75" customHeight="1">
      <c r="A34" s="1"/>
      <c r="B34" s="77">
        <v>2.0</v>
      </c>
      <c r="C34" s="78" t="s">
        <v>392</v>
      </c>
      <c r="D34" s="79">
        <v>-100000.0</v>
      </c>
      <c r="E34" s="74"/>
      <c r="F34" s="1"/>
      <c r="G34" s="1"/>
      <c r="H34" s="1"/>
      <c r="I34" s="1"/>
      <c r="J34" s="1"/>
      <c r="K34" s="1"/>
      <c r="L34" s="1"/>
      <c r="M34" s="1"/>
      <c r="N34" s="80" t="s">
        <v>157</v>
      </c>
      <c r="O34" s="81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3"/>
      <c r="E35" s="74"/>
      <c r="F35" s="1"/>
      <c r="G35" s="1"/>
      <c r="H35" s="1"/>
      <c r="I35" s="1"/>
      <c r="J35" s="1"/>
      <c r="K35" s="1"/>
      <c r="L35" s="1"/>
      <c r="M35" s="1"/>
      <c r="N35" s="82" t="s">
        <v>160</v>
      </c>
      <c r="O35" s="83" t="s">
        <v>81</v>
      </c>
      <c r="P35" s="1"/>
      <c r="Q35" s="1"/>
      <c r="R35" s="1"/>
    </row>
    <row r="36" ht="15.75" customHeight="1">
      <c r="A36" s="1"/>
      <c r="B36" s="77">
        <v>4.0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6" t="s">
        <v>163</v>
      </c>
      <c r="O36" s="81" t="s">
        <v>42</v>
      </c>
      <c r="P36" s="1"/>
      <c r="Q36" s="1"/>
      <c r="R36" s="1"/>
    </row>
    <row r="37" ht="15.75" customHeight="1">
      <c r="A37" s="1"/>
      <c r="B37" s="71">
        <v>5.0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7">
        <v>6.0</v>
      </c>
      <c r="C38" s="84"/>
      <c r="D38" s="85"/>
      <c r="E38" s="74"/>
      <c r="F38" s="1"/>
      <c r="G38" s="1"/>
      <c r="H38" s="1"/>
      <c r="I38" s="1"/>
      <c r="J38" s="1"/>
      <c r="K38" s="89" t="s">
        <v>168</v>
      </c>
      <c r="Q38" s="1"/>
      <c r="R38" s="1"/>
    </row>
    <row r="39" ht="15.75" customHeight="1">
      <c r="A39" s="1"/>
      <c r="B39" s="71">
        <v>7.0</v>
      </c>
      <c r="C39" s="72"/>
      <c r="D39" s="73"/>
      <c r="E39" s="74"/>
      <c r="F39" s="1"/>
      <c r="G39" s="1"/>
      <c r="H39" s="1"/>
      <c r="I39" s="1"/>
      <c r="J39" s="1"/>
      <c r="K39" s="90" t="s">
        <v>1</v>
      </c>
      <c r="L39" s="90" t="s">
        <v>170</v>
      </c>
      <c r="M39" s="90" t="s">
        <v>171</v>
      </c>
      <c r="N39" s="90" t="s">
        <v>173</v>
      </c>
      <c r="O39" s="90" t="s">
        <v>174</v>
      </c>
      <c r="P39" s="90" t="s">
        <v>176</v>
      </c>
      <c r="Q39" s="1"/>
      <c r="R39" s="1"/>
      <c r="AC39" s="91" t="s">
        <v>177</v>
      </c>
      <c r="AD39" s="91" t="s">
        <v>178</v>
      </c>
      <c r="AE39" s="91" t="s">
        <v>179</v>
      </c>
      <c r="AF39" s="91" t="s">
        <v>180</v>
      </c>
      <c r="AG39" s="91" t="s">
        <v>181</v>
      </c>
    </row>
    <row r="40" ht="15.75" customHeight="1">
      <c r="A40" s="1"/>
      <c r="B40" s="77">
        <v>8.0</v>
      </c>
      <c r="C40" s="84"/>
      <c r="D40" s="85"/>
      <c r="E40" s="74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3"/>
      <c r="E41" s="74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7">
        <v>10.0</v>
      </c>
      <c r="C42" s="84"/>
      <c r="D42" s="85"/>
      <c r="E42" s="74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4">
        <v>11.0</v>
      </c>
      <c r="C43" s="95"/>
      <c r="D43" s="96"/>
      <c r="E43" s="74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212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1" t="s">
        <v>213</v>
      </c>
      <c r="N48" s="159"/>
      <c r="O48" s="1"/>
      <c r="P48" s="1"/>
      <c r="Q48" s="1"/>
      <c r="R48" s="1"/>
    </row>
    <row r="49" ht="15.75" customHeight="1">
      <c r="K49" s="102" t="s">
        <v>7</v>
      </c>
      <c r="L49" s="102" t="s">
        <v>214</v>
      </c>
      <c r="M49" s="102" t="s">
        <v>215</v>
      </c>
      <c r="N49" s="160" t="s">
        <v>521</v>
      </c>
    </row>
    <row r="50" ht="15.75" customHeight="1">
      <c r="K50" s="103" t="str">
        <f t="shared" ref="K50:K51" si="8">IF(O33="","",O33)</f>
        <v>INDAH</v>
      </c>
      <c r="L50" s="106">
        <v>5.0</v>
      </c>
      <c r="M50" s="106" t="s">
        <v>402</v>
      </c>
      <c r="N50" s="162">
        <v>22.0</v>
      </c>
    </row>
    <row r="51" ht="15.75" customHeight="1">
      <c r="K51" s="103" t="str">
        <f t="shared" si="8"/>
        <v>AMEL</v>
      </c>
      <c r="L51" s="106">
        <v>2.0</v>
      </c>
      <c r="M51" s="104"/>
      <c r="N51" s="163"/>
    </row>
    <row r="52" ht="15.75" customHeight="1"/>
    <row r="53" ht="19.5" customHeight="1">
      <c r="K53" s="107" t="s">
        <v>218</v>
      </c>
    </row>
    <row r="54" ht="19.5" customHeight="1">
      <c r="K54" s="108" t="s">
        <v>219</v>
      </c>
      <c r="M54" s="106">
        <v>29.0</v>
      </c>
    </row>
    <row r="55" ht="19.5" customHeight="1">
      <c r="K55" s="110" t="s">
        <v>221</v>
      </c>
      <c r="M55" s="112">
        <f>COUNTIF($I$4:$I$31,"DP")</f>
        <v>5</v>
      </c>
    </row>
    <row r="56" ht="19.5" customHeight="1">
      <c r="K56" s="110" t="s">
        <v>223</v>
      </c>
      <c r="M56" s="112">
        <f>COUNTIFS($I$4:$I$31,"&lt;&gt;DP",$I$4:$I$31,"&lt;&gt;")</f>
        <v>16</v>
      </c>
    </row>
    <row r="57" ht="19.5" customHeight="1">
      <c r="K57" s="115" t="s">
        <v>224</v>
      </c>
      <c r="M57" s="112">
        <f>M55+M56</f>
        <v>21</v>
      </c>
    </row>
    <row r="58" ht="19.5" customHeight="1">
      <c r="K58" s="108" t="s">
        <v>226</v>
      </c>
      <c r="M58" s="118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568</v>
      </c>
      <c r="D4" s="17" t="s">
        <v>22</v>
      </c>
      <c r="E4" s="15"/>
      <c r="F4" s="24" t="s">
        <v>30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573</v>
      </c>
      <c r="D5" s="17" t="s">
        <v>22</v>
      </c>
      <c r="E5" s="15"/>
      <c r="F5" s="24" t="s">
        <v>30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578</v>
      </c>
      <c r="D6" s="17" t="s">
        <v>243</v>
      </c>
      <c r="E6" s="15"/>
      <c r="F6" s="24" t="s">
        <v>33</v>
      </c>
      <c r="G6" s="44"/>
      <c r="H6" s="22">
        <v>50000.0</v>
      </c>
      <c r="I6" s="24" t="s">
        <v>32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478</v>
      </c>
      <c r="D7" s="17" t="s">
        <v>23</v>
      </c>
      <c r="E7" s="15"/>
      <c r="F7" s="40">
        <v>46286.0</v>
      </c>
      <c r="G7" s="62">
        <v>175000.0</v>
      </c>
      <c r="H7" s="54"/>
      <c r="I7" s="24" t="s">
        <v>32</v>
      </c>
      <c r="J7" s="24" t="s">
        <v>39</v>
      </c>
      <c r="K7" s="24" t="s">
        <v>41</v>
      </c>
      <c r="L7" s="24" t="s">
        <v>26</v>
      </c>
      <c r="M7" s="24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588</v>
      </c>
      <c r="D8" s="17" t="s">
        <v>61</v>
      </c>
      <c r="E8" s="15"/>
      <c r="F8" s="40">
        <v>46300.0</v>
      </c>
      <c r="G8" s="44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592</v>
      </c>
      <c r="D9" s="17" t="s">
        <v>23</v>
      </c>
      <c r="E9" s="15"/>
      <c r="F9" s="40">
        <v>46290.0</v>
      </c>
      <c r="G9" s="44"/>
      <c r="H9" s="22">
        <v>100000.0</v>
      </c>
      <c r="I9" s="24" t="s">
        <v>25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597</v>
      </c>
      <c r="D10" s="17" t="s">
        <v>22</v>
      </c>
      <c r="E10" s="15"/>
      <c r="F10" s="35">
        <v>46286.0</v>
      </c>
      <c r="G10" s="62">
        <v>290000.0</v>
      </c>
      <c r="H10" s="54"/>
      <c r="I10" s="24" t="s">
        <v>32</v>
      </c>
      <c r="J10" s="24" t="s">
        <v>39</v>
      </c>
      <c r="K10" s="24" t="s">
        <v>41</v>
      </c>
      <c r="L10" s="24" t="s">
        <v>26</v>
      </c>
      <c r="M10" s="24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600</v>
      </c>
      <c r="D11" s="17" t="s">
        <v>23</v>
      </c>
      <c r="E11" s="23" t="s">
        <v>282</v>
      </c>
      <c r="F11" s="40">
        <v>46286.0</v>
      </c>
      <c r="G11" s="62">
        <v>25000.0</v>
      </c>
      <c r="H11" s="22">
        <v>150000.0</v>
      </c>
      <c r="I11" s="24" t="s">
        <v>32</v>
      </c>
      <c r="J11" s="24" t="s">
        <v>39</v>
      </c>
      <c r="K11" s="24" t="s">
        <v>39</v>
      </c>
      <c r="L11" s="24" t="s">
        <v>26</v>
      </c>
      <c r="M11" s="24" t="s">
        <v>42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3"/>
      <c r="D12" s="97"/>
      <c r="E12" s="15"/>
      <c r="F12" s="138"/>
      <c r="G12" s="44"/>
      <c r="H12" s="54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3"/>
      <c r="D13" s="97"/>
      <c r="E13" s="15"/>
      <c r="F13" s="138"/>
      <c r="G13" s="44"/>
      <c r="H13" s="54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3"/>
      <c r="D14" s="97"/>
      <c r="E14" s="15"/>
      <c r="F14" s="138"/>
      <c r="G14" s="44"/>
      <c r="H14" s="54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3"/>
      <c r="D15" s="97"/>
      <c r="E15" s="15"/>
      <c r="F15" s="14"/>
      <c r="G15" s="44"/>
      <c r="H15" s="54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4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64"/>
      <c r="O18" s="64"/>
      <c r="P18" s="64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6">
        <f t="shared" ref="G19:H19" si="1">SUM(G4:G18)</f>
        <v>490000</v>
      </c>
      <c r="H19" s="67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145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146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149</v>
      </c>
      <c r="D23" s="73">
        <f>SUM(G19)</f>
        <v>490000</v>
      </c>
      <c r="E23" s="74"/>
      <c r="F23" s="1"/>
      <c r="G23" s="1"/>
      <c r="H23" s="1"/>
      <c r="I23" s="1"/>
      <c r="J23" s="1"/>
      <c r="K23" s="1"/>
      <c r="L23" s="1"/>
      <c r="M23" s="1"/>
      <c r="N23" s="75" t="s">
        <v>151</v>
      </c>
      <c r="O23" s="76" t="s">
        <v>27</v>
      </c>
      <c r="P23" s="1"/>
      <c r="Q23" s="1"/>
      <c r="R23" s="1"/>
    </row>
    <row r="24" ht="15.75" customHeight="1">
      <c r="A24" s="1"/>
      <c r="B24" s="77">
        <v>2.0</v>
      </c>
      <c r="C24" s="78" t="s">
        <v>613</v>
      </c>
      <c r="D24" s="79">
        <v>-20000.0</v>
      </c>
      <c r="E24" s="74"/>
      <c r="F24" s="1"/>
      <c r="G24" s="1"/>
      <c r="H24" s="1"/>
      <c r="I24" s="1"/>
      <c r="J24" s="1"/>
      <c r="K24" s="1"/>
      <c r="L24" s="1"/>
      <c r="M24" s="1"/>
      <c r="N24" s="80" t="s">
        <v>157</v>
      </c>
      <c r="O24" s="81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3"/>
      <c r="E25" s="74"/>
      <c r="F25" s="1"/>
      <c r="G25" s="1"/>
      <c r="H25" s="1"/>
      <c r="I25" s="1"/>
      <c r="J25" s="1"/>
      <c r="K25" s="1"/>
      <c r="L25" s="1"/>
      <c r="M25" s="1"/>
      <c r="N25" s="82" t="s">
        <v>160</v>
      </c>
      <c r="O25" s="83" t="s">
        <v>81</v>
      </c>
      <c r="P25" s="1"/>
      <c r="Q25" s="1"/>
      <c r="R25" s="1"/>
    </row>
    <row r="26" ht="15.75" customHeight="1">
      <c r="A26" s="1"/>
      <c r="B26" s="77">
        <v>4.0</v>
      </c>
      <c r="C26" s="84"/>
      <c r="D26" s="85"/>
      <c r="E26" s="74"/>
      <c r="F26" s="1"/>
      <c r="G26" s="1"/>
      <c r="H26" s="1"/>
      <c r="I26" s="1"/>
      <c r="J26" s="1"/>
      <c r="K26" s="1"/>
      <c r="L26" s="1"/>
      <c r="M26" s="1"/>
      <c r="N26" s="86" t="s">
        <v>163</v>
      </c>
      <c r="O26" s="81" t="s">
        <v>42</v>
      </c>
      <c r="P26" s="1"/>
      <c r="Q26" s="1"/>
      <c r="R26" s="1"/>
    </row>
    <row r="27" ht="15.75" customHeight="1">
      <c r="A27" s="1"/>
      <c r="B27" s="71">
        <v>5.0</v>
      </c>
      <c r="C27" s="72"/>
      <c r="D27" s="73"/>
      <c r="E27" s="74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7">
        <v>6.0</v>
      </c>
      <c r="C28" s="84"/>
      <c r="D28" s="85"/>
      <c r="E28" s="74"/>
      <c r="F28" s="1"/>
      <c r="G28" s="1"/>
      <c r="H28" s="1"/>
      <c r="I28" s="1"/>
      <c r="J28" s="1"/>
      <c r="K28" s="89" t="s">
        <v>168</v>
      </c>
      <c r="Q28" s="1"/>
      <c r="R28" s="1"/>
    </row>
    <row r="29" ht="15.75" customHeight="1">
      <c r="A29" s="1"/>
      <c r="B29" s="71">
        <v>7.0</v>
      </c>
      <c r="C29" s="72"/>
      <c r="D29" s="73"/>
      <c r="E29" s="74"/>
      <c r="F29" s="1"/>
      <c r="G29" s="1"/>
      <c r="H29" s="1"/>
      <c r="I29" s="1"/>
      <c r="J29" s="1"/>
      <c r="K29" s="90" t="s">
        <v>1</v>
      </c>
      <c r="L29" s="90" t="s">
        <v>170</v>
      </c>
      <c r="M29" s="90" t="s">
        <v>171</v>
      </c>
      <c r="N29" s="90" t="s">
        <v>173</v>
      </c>
      <c r="O29" s="90" t="s">
        <v>174</v>
      </c>
      <c r="P29" s="90" t="s">
        <v>176</v>
      </c>
      <c r="Q29" s="1"/>
      <c r="R29" s="1"/>
      <c r="AC29" s="91" t="s">
        <v>177</v>
      </c>
      <c r="AD29" s="91" t="s">
        <v>178</v>
      </c>
      <c r="AE29" s="91" t="s">
        <v>179</v>
      </c>
      <c r="AF29" s="91" t="s">
        <v>180</v>
      </c>
      <c r="AG29" s="91" t="s">
        <v>181</v>
      </c>
    </row>
    <row r="30" ht="15.75" customHeight="1">
      <c r="A30" s="1"/>
      <c r="B30" s="77">
        <v>8.0</v>
      </c>
      <c r="C30" s="84"/>
      <c r="D30" s="85"/>
      <c r="E30" s="74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3"/>
      <c r="E31" s="74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7">
        <v>10.0</v>
      </c>
      <c r="C32" s="84"/>
      <c r="D32" s="85"/>
      <c r="E32" s="74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4">
        <v>11.0</v>
      </c>
      <c r="C33" s="95"/>
      <c r="D33" s="96"/>
      <c r="E33" s="74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0" t="s">
        <v>212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1" t="s">
        <v>213</v>
      </c>
      <c r="N38" s="159"/>
      <c r="O38" s="1"/>
      <c r="P38" s="1"/>
      <c r="Q38" s="1"/>
      <c r="R38" s="1"/>
    </row>
    <row r="39" ht="15.75" customHeight="1">
      <c r="K39" s="102" t="s">
        <v>7</v>
      </c>
      <c r="L39" s="102" t="s">
        <v>214</v>
      </c>
      <c r="M39" s="102" t="s">
        <v>215</v>
      </c>
      <c r="N39" s="160" t="s">
        <v>521</v>
      </c>
    </row>
    <row r="40" ht="15.75" customHeight="1">
      <c r="K40" s="103" t="str">
        <f t="shared" ref="K40:K41" si="8">IF(O23="","",O23)</f>
        <v>AMEL</v>
      </c>
      <c r="L40" s="106">
        <v>3.0</v>
      </c>
      <c r="M40" s="106" t="s">
        <v>401</v>
      </c>
      <c r="N40" s="162">
        <v>15.0</v>
      </c>
    </row>
    <row r="41" ht="15.75" customHeight="1">
      <c r="K41" s="103" t="str">
        <f t="shared" si="8"/>
        <v>INDAH</v>
      </c>
      <c r="L41" s="106">
        <v>3.0</v>
      </c>
      <c r="M41" s="104"/>
      <c r="N41" s="162">
        <v>9.0</v>
      </c>
    </row>
    <row r="42" ht="15.75" customHeight="1"/>
    <row r="43" ht="19.5" customHeight="1">
      <c r="K43" s="107" t="s">
        <v>218</v>
      </c>
    </row>
    <row r="44" ht="19.5" customHeight="1">
      <c r="K44" s="108" t="s">
        <v>219</v>
      </c>
      <c r="M44" s="106">
        <v>38.0</v>
      </c>
    </row>
    <row r="45" ht="19.5" customHeight="1">
      <c r="K45" s="110" t="s">
        <v>221</v>
      </c>
      <c r="M45" s="168">
        <f>COUNTIF($I$4:$I$21,"DP")</f>
        <v>4</v>
      </c>
    </row>
    <row r="46" ht="19.5" customHeight="1">
      <c r="K46" s="110" t="s">
        <v>223</v>
      </c>
      <c r="M46" s="112">
        <f>COUNTIFS($I$4:$I$21,"&lt;&gt;DP",$I$4:$I$21,"&lt;&gt;")</f>
        <v>4</v>
      </c>
    </row>
    <row r="47" ht="19.5" customHeight="1">
      <c r="K47" s="115" t="s">
        <v>224</v>
      </c>
      <c r="M47" s="112">
        <f>M45+M46</f>
        <v>8</v>
      </c>
    </row>
    <row r="48" ht="19.5" customHeight="1">
      <c r="K48" s="108" t="s">
        <v>226</v>
      </c>
      <c r="M48" s="118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563</v>
      </c>
      <c r="D4" s="17" t="s">
        <v>22</v>
      </c>
      <c r="E4" s="15"/>
      <c r="F4" s="18">
        <v>46287.0</v>
      </c>
      <c r="G4" s="44"/>
      <c r="H4" s="22">
        <v>330000.0</v>
      </c>
      <c r="I4" s="24" t="s">
        <v>32</v>
      </c>
      <c r="J4" s="24" t="s">
        <v>39</v>
      </c>
      <c r="K4" s="24" t="s">
        <v>41</v>
      </c>
      <c r="L4" s="24" t="s">
        <v>26</v>
      </c>
      <c r="M4" s="24" t="s">
        <v>81</v>
      </c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571</v>
      </c>
      <c r="D5" s="17" t="s">
        <v>23</v>
      </c>
      <c r="E5" s="15"/>
      <c r="F5" s="18">
        <v>46287.0</v>
      </c>
      <c r="G5" s="44"/>
      <c r="H5" s="22">
        <v>100000.0</v>
      </c>
      <c r="I5" s="24" t="s">
        <v>25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574</v>
      </c>
      <c r="D6" s="17" t="s">
        <v>23</v>
      </c>
      <c r="E6" s="15"/>
      <c r="F6" s="40">
        <v>46287.0</v>
      </c>
      <c r="G6" s="44"/>
      <c r="H6" s="22">
        <v>125000.0</v>
      </c>
      <c r="I6" s="24" t="s">
        <v>32</v>
      </c>
      <c r="J6" s="24" t="s">
        <v>39</v>
      </c>
      <c r="K6" s="24" t="s">
        <v>39</v>
      </c>
      <c r="L6" s="24" t="s">
        <v>26</v>
      </c>
      <c r="M6" s="24" t="s">
        <v>81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577</v>
      </c>
      <c r="D7" s="17" t="s">
        <v>22</v>
      </c>
      <c r="E7" s="15"/>
      <c r="F7" s="40">
        <v>46299.0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582</v>
      </c>
      <c r="D8" s="17" t="s">
        <v>23</v>
      </c>
      <c r="E8" s="15"/>
      <c r="F8" s="40">
        <v>46290.0</v>
      </c>
      <c r="G8" s="44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585</v>
      </c>
      <c r="D9" s="17" t="s">
        <v>22</v>
      </c>
      <c r="E9" s="15"/>
      <c r="F9" s="40">
        <v>46287.0</v>
      </c>
      <c r="G9" s="44"/>
      <c r="H9" s="22">
        <v>250000.0</v>
      </c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336</v>
      </c>
      <c r="D10" s="17" t="s">
        <v>22</v>
      </c>
      <c r="E10" s="15"/>
      <c r="F10" s="40">
        <v>46287.0</v>
      </c>
      <c r="G10" s="62">
        <v>310000.0</v>
      </c>
      <c r="H10" s="54"/>
      <c r="I10" s="24" t="s">
        <v>32</v>
      </c>
      <c r="J10" s="24" t="s">
        <v>39</v>
      </c>
      <c r="K10" s="24" t="s">
        <v>41</v>
      </c>
      <c r="L10" s="24" t="s">
        <v>26</v>
      </c>
      <c r="M10" s="24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589</v>
      </c>
      <c r="D11" s="17" t="s">
        <v>61</v>
      </c>
      <c r="E11" s="15"/>
      <c r="F11" s="40">
        <v>46292.0</v>
      </c>
      <c r="G11" s="44"/>
      <c r="H11" s="22">
        <v>100000.0</v>
      </c>
      <c r="I11" s="24" t="s">
        <v>25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591</v>
      </c>
      <c r="D12" s="17" t="s">
        <v>22</v>
      </c>
      <c r="E12" s="15"/>
      <c r="F12" s="40">
        <v>46287.0</v>
      </c>
      <c r="G12" s="44"/>
      <c r="H12" s="22">
        <v>270000.0</v>
      </c>
      <c r="I12" s="24" t="s">
        <v>32</v>
      </c>
      <c r="J12" s="24" t="s">
        <v>39</v>
      </c>
      <c r="K12" s="24" t="s">
        <v>41</v>
      </c>
      <c r="L12" s="24" t="s">
        <v>26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594</v>
      </c>
      <c r="D13" s="17" t="s">
        <v>22</v>
      </c>
      <c r="E13" s="15"/>
      <c r="F13" s="40">
        <v>46287.0</v>
      </c>
      <c r="G13" s="62">
        <v>250000.0</v>
      </c>
      <c r="H13" s="54"/>
      <c r="I13" s="24" t="s">
        <v>32</v>
      </c>
      <c r="J13" s="24" t="s">
        <v>39</v>
      </c>
      <c r="K13" s="24" t="s">
        <v>41</v>
      </c>
      <c r="L13" s="24" t="s">
        <v>26</v>
      </c>
      <c r="M13" s="24" t="s">
        <v>42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598</v>
      </c>
      <c r="D14" s="17" t="s">
        <v>22</v>
      </c>
      <c r="E14" s="15"/>
      <c r="F14" s="40">
        <v>46287.0</v>
      </c>
      <c r="G14" s="44"/>
      <c r="H14" s="22">
        <v>100000.0</v>
      </c>
      <c r="I14" s="24" t="s">
        <v>25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502</v>
      </c>
      <c r="D15" s="17" t="s">
        <v>22</v>
      </c>
      <c r="E15" s="15"/>
      <c r="F15" s="40">
        <v>46287.0</v>
      </c>
      <c r="G15" s="62">
        <v>310000.0</v>
      </c>
      <c r="H15" s="54"/>
      <c r="I15" s="24" t="s">
        <v>32</v>
      </c>
      <c r="J15" s="24" t="s">
        <v>39</v>
      </c>
      <c r="K15" s="24" t="s">
        <v>41</v>
      </c>
      <c r="L15" s="24" t="s">
        <v>26</v>
      </c>
      <c r="M15" s="24" t="s">
        <v>42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601</v>
      </c>
      <c r="D16" s="17" t="s">
        <v>100</v>
      </c>
      <c r="E16" s="15"/>
      <c r="F16" s="40">
        <v>46287.0</v>
      </c>
      <c r="G16" s="62">
        <v>540000.0</v>
      </c>
      <c r="H16" s="54"/>
      <c r="I16" s="24" t="s">
        <v>32</v>
      </c>
      <c r="J16" s="24" t="s">
        <v>39</v>
      </c>
      <c r="K16" s="24" t="s">
        <v>41</v>
      </c>
      <c r="L16" s="24" t="s">
        <v>26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16" t="s">
        <v>603</v>
      </c>
      <c r="D17" s="17" t="s">
        <v>22</v>
      </c>
      <c r="E17" s="15"/>
      <c r="F17" s="40">
        <v>46287.0</v>
      </c>
      <c r="G17" s="44"/>
      <c r="H17" s="22">
        <v>290000.0</v>
      </c>
      <c r="I17" s="24" t="s">
        <v>32</v>
      </c>
      <c r="J17" s="24" t="s">
        <v>39</v>
      </c>
      <c r="K17" s="24" t="s">
        <v>41</v>
      </c>
      <c r="L17" s="24" t="s">
        <v>26</v>
      </c>
      <c r="M17" s="24" t="s">
        <v>81</v>
      </c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16" t="s">
        <v>606</v>
      </c>
      <c r="D18" s="17" t="s">
        <v>22</v>
      </c>
      <c r="E18" s="15"/>
      <c r="F18" s="40">
        <v>46287.0</v>
      </c>
      <c r="G18" s="62">
        <v>250000.0</v>
      </c>
      <c r="H18" s="54"/>
      <c r="I18" s="24" t="s">
        <v>32</v>
      </c>
      <c r="J18" s="24" t="s">
        <v>39</v>
      </c>
      <c r="K18" s="24" t="s">
        <v>41</v>
      </c>
      <c r="L18" s="24" t="s">
        <v>26</v>
      </c>
      <c r="M18" s="24" t="s">
        <v>42</v>
      </c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16" t="s">
        <v>608</v>
      </c>
      <c r="D19" s="17" t="s">
        <v>22</v>
      </c>
      <c r="E19" s="15"/>
      <c r="F19" s="24" t="s">
        <v>30</v>
      </c>
      <c r="G19" s="44"/>
      <c r="H19" s="22">
        <v>250000.0</v>
      </c>
      <c r="I19" s="24" t="s">
        <v>32</v>
      </c>
      <c r="J19" s="24" t="s">
        <v>39</v>
      </c>
      <c r="K19" s="24" t="s">
        <v>41</v>
      </c>
      <c r="L19" s="24" t="s">
        <v>27</v>
      </c>
      <c r="M19" s="24" t="s">
        <v>81</v>
      </c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6" t="s">
        <v>29</v>
      </c>
      <c r="D20" s="17" t="s">
        <v>22</v>
      </c>
      <c r="E20" s="15"/>
      <c r="F20" s="24" t="s">
        <v>30</v>
      </c>
      <c r="G20" s="44"/>
      <c r="H20" s="22">
        <v>270000.0</v>
      </c>
      <c r="I20" s="24" t="s">
        <v>32</v>
      </c>
      <c r="J20" s="24" t="s">
        <v>39</v>
      </c>
      <c r="K20" s="24" t="s">
        <v>41</v>
      </c>
      <c r="L20" s="24" t="s">
        <v>27</v>
      </c>
      <c r="M20" s="24" t="s">
        <v>42</v>
      </c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6" t="s">
        <v>568</v>
      </c>
      <c r="D21" s="17" t="s">
        <v>22</v>
      </c>
      <c r="E21" s="15"/>
      <c r="F21" s="24" t="s">
        <v>30</v>
      </c>
      <c r="G21" s="62">
        <v>270000.0</v>
      </c>
      <c r="H21" s="54"/>
      <c r="I21" s="24" t="s">
        <v>32</v>
      </c>
      <c r="J21" s="24" t="s">
        <v>39</v>
      </c>
      <c r="K21" s="24" t="s">
        <v>41</v>
      </c>
      <c r="L21" s="24" t="s">
        <v>27</v>
      </c>
      <c r="M21" s="24" t="s">
        <v>81</v>
      </c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45" t="s">
        <v>573</v>
      </c>
      <c r="D22" s="17" t="s">
        <v>22</v>
      </c>
      <c r="E22" s="15"/>
      <c r="F22" s="24" t="s">
        <v>30</v>
      </c>
      <c r="G22" s="62">
        <v>290000.0</v>
      </c>
      <c r="H22" s="54"/>
      <c r="I22" s="24" t="s">
        <v>32</v>
      </c>
      <c r="J22" s="24" t="s">
        <v>39</v>
      </c>
      <c r="K22" s="24" t="s">
        <v>41</v>
      </c>
      <c r="L22" s="24" t="s">
        <v>27</v>
      </c>
      <c r="M22" s="24" t="s">
        <v>42</v>
      </c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16" t="s">
        <v>463</v>
      </c>
      <c r="D23" s="17" t="s">
        <v>61</v>
      </c>
      <c r="E23" s="15"/>
      <c r="F23" s="24" t="s">
        <v>30</v>
      </c>
      <c r="G23" s="44"/>
      <c r="H23" s="22">
        <v>50000.0</v>
      </c>
      <c r="I23" s="24" t="s">
        <v>32</v>
      </c>
      <c r="J23" s="24" t="s">
        <v>39</v>
      </c>
      <c r="K23" s="24" t="s">
        <v>41</v>
      </c>
      <c r="L23" s="24" t="s">
        <v>27</v>
      </c>
      <c r="M23" s="24" t="s">
        <v>81</v>
      </c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45" t="s">
        <v>523</v>
      </c>
      <c r="D24" s="17" t="s">
        <v>23</v>
      </c>
      <c r="E24" s="15"/>
      <c r="F24" s="24" t="s">
        <v>30</v>
      </c>
      <c r="G24" s="44"/>
      <c r="H24" s="22">
        <v>275000.0</v>
      </c>
      <c r="I24" s="24" t="s">
        <v>32</v>
      </c>
      <c r="J24" s="24" t="s">
        <v>39</v>
      </c>
      <c r="K24" s="24" t="s">
        <v>41</v>
      </c>
      <c r="L24" s="24" t="s">
        <v>27</v>
      </c>
      <c r="M24" s="24" t="s">
        <v>81</v>
      </c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164" t="s">
        <v>610</v>
      </c>
      <c r="D25" s="17" t="s">
        <v>239</v>
      </c>
      <c r="E25" s="15"/>
      <c r="F25" s="24" t="s">
        <v>512</v>
      </c>
      <c r="G25" s="44"/>
      <c r="H25" s="22">
        <v>100000.0</v>
      </c>
      <c r="I25" s="24" t="s">
        <v>32</v>
      </c>
      <c r="J25" s="14"/>
      <c r="K25" s="14"/>
      <c r="L25" s="24" t="s">
        <v>27</v>
      </c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4" t="s">
        <v>611</v>
      </c>
      <c r="D26" s="17" t="s">
        <v>22</v>
      </c>
      <c r="E26" s="15"/>
      <c r="F26" s="24" t="s">
        <v>30</v>
      </c>
      <c r="G26" s="62">
        <v>270000.0</v>
      </c>
      <c r="H26" s="54"/>
      <c r="I26" s="24" t="s">
        <v>32</v>
      </c>
      <c r="J26" s="24" t="s">
        <v>39</v>
      </c>
      <c r="K26" s="24" t="s">
        <v>41</v>
      </c>
      <c r="L26" s="24" t="s">
        <v>27</v>
      </c>
      <c r="M26" s="24" t="s">
        <v>42</v>
      </c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16" t="s">
        <v>565</v>
      </c>
      <c r="D27" s="17" t="s">
        <v>23</v>
      </c>
      <c r="E27" s="15"/>
      <c r="F27" s="24" t="s">
        <v>30</v>
      </c>
      <c r="G27" s="44"/>
      <c r="H27" s="22">
        <v>500000.0</v>
      </c>
      <c r="I27" s="24" t="s">
        <v>32</v>
      </c>
      <c r="J27" s="24" t="s">
        <v>39</v>
      </c>
      <c r="K27" s="24" t="s">
        <v>41</v>
      </c>
      <c r="L27" s="24" t="s">
        <v>27</v>
      </c>
      <c r="M27" s="24" t="s">
        <v>81</v>
      </c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16" t="s">
        <v>249</v>
      </c>
      <c r="D28" s="17" t="s">
        <v>100</v>
      </c>
      <c r="E28" s="15"/>
      <c r="F28" s="24" t="s">
        <v>30</v>
      </c>
      <c r="G28" s="44"/>
      <c r="H28" s="22">
        <v>420000.0</v>
      </c>
      <c r="I28" s="24" t="s">
        <v>32</v>
      </c>
      <c r="J28" s="24" t="s">
        <v>39</v>
      </c>
      <c r="K28" s="24" t="s">
        <v>41</v>
      </c>
      <c r="L28" s="24" t="s">
        <v>27</v>
      </c>
      <c r="M28" s="24" t="s">
        <v>42</v>
      </c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16" t="s">
        <v>571</v>
      </c>
      <c r="D29" s="17" t="s">
        <v>23</v>
      </c>
      <c r="E29" s="15"/>
      <c r="F29" s="24" t="s">
        <v>30</v>
      </c>
      <c r="G29" s="44"/>
      <c r="H29" s="22">
        <v>150000.0</v>
      </c>
      <c r="I29" s="24" t="s">
        <v>32</v>
      </c>
      <c r="J29" s="24" t="s">
        <v>39</v>
      </c>
      <c r="K29" s="24" t="s">
        <v>41</v>
      </c>
      <c r="L29" s="24" t="s">
        <v>27</v>
      </c>
      <c r="M29" s="24" t="s">
        <v>42</v>
      </c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45" t="s">
        <v>612</v>
      </c>
      <c r="D30" s="17" t="s">
        <v>48</v>
      </c>
      <c r="E30" s="15"/>
      <c r="F30" s="24" t="s">
        <v>30</v>
      </c>
      <c r="G30" s="22">
        <v>350000.0</v>
      </c>
      <c r="H30" s="22"/>
      <c r="I30" s="24" t="s">
        <v>32</v>
      </c>
      <c r="J30" s="24" t="s">
        <v>39</v>
      </c>
      <c r="K30" s="24" t="s">
        <v>41</v>
      </c>
      <c r="L30" s="24" t="s">
        <v>27</v>
      </c>
      <c r="M30" s="24" t="s">
        <v>42</v>
      </c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3"/>
      <c r="D31" s="97"/>
      <c r="E31" s="15"/>
      <c r="F31" s="14"/>
      <c r="G31" s="44"/>
      <c r="H31" s="54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3"/>
      <c r="D32" s="97"/>
      <c r="E32" s="15"/>
      <c r="F32" s="14"/>
      <c r="G32" s="44"/>
      <c r="H32" s="54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3"/>
      <c r="D33" s="97"/>
      <c r="E33" s="15"/>
      <c r="F33" s="14"/>
      <c r="G33" s="44"/>
      <c r="H33" s="54"/>
      <c r="I33" s="14"/>
      <c r="J33" s="14"/>
      <c r="K33" s="14"/>
      <c r="L33" s="14"/>
      <c r="M33" s="14"/>
      <c r="N33" s="64"/>
      <c r="O33" s="64"/>
      <c r="P33" s="64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6">
        <f t="shared" ref="G34:H34" si="1">SUM(G4:G33)</f>
        <v>2840000</v>
      </c>
      <c r="H34" s="67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145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146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149</v>
      </c>
      <c r="D38" s="73">
        <f>SUM(G34)</f>
        <v>2840000</v>
      </c>
      <c r="E38" s="74"/>
      <c r="F38" s="1"/>
      <c r="G38" s="1"/>
      <c r="H38" s="1"/>
      <c r="I38" s="1"/>
      <c r="J38" s="1"/>
      <c r="K38" s="1"/>
      <c r="L38" s="1"/>
      <c r="M38" s="1"/>
      <c r="N38" s="75" t="s">
        <v>151</v>
      </c>
      <c r="O38" s="76" t="s">
        <v>26</v>
      </c>
      <c r="P38" s="1"/>
      <c r="Q38" s="1"/>
      <c r="R38" s="1"/>
    </row>
    <row r="39" ht="15.75" customHeight="1">
      <c r="A39" s="1"/>
      <c r="B39" s="77">
        <v>2.0</v>
      </c>
      <c r="C39" s="78" t="s">
        <v>392</v>
      </c>
      <c r="D39" s="79">
        <v>-50000.0</v>
      </c>
      <c r="E39" s="74"/>
      <c r="F39" s="1"/>
      <c r="G39" s="1"/>
      <c r="H39" s="1"/>
      <c r="I39" s="1"/>
      <c r="J39" s="1"/>
      <c r="K39" s="1"/>
      <c r="L39" s="1"/>
      <c r="M39" s="1"/>
      <c r="N39" s="80" t="s">
        <v>157</v>
      </c>
      <c r="O39" s="81" t="s">
        <v>27</v>
      </c>
      <c r="P39" s="1"/>
      <c r="Q39" s="1"/>
      <c r="R39" s="1"/>
    </row>
    <row r="40" ht="15.75" customHeight="1">
      <c r="A40" s="1"/>
      <c r="B40" s="71">
        <v>3.0</v>
      </c>
      <c r="C40" s="113" t="s">
        <v>614</v>
      </c>
      <c r="D40" s="114">
        <v>-19000.0</v>
      </c>
      <c r="E40" s="74"/>
      <c r="F40" s="1"/>
      <c r="G40" s="1"/>
      <c r="H40" s="1"/>
      <c r="I40" s="1"/>
      <c r="J40" s="1"/>
      <c r="K40" s="1"/>
      <c r="L40" s="1"/>
      <c r="M40" s="105" t="s">
        <v>615</v>
      </c>
      <c r="N40" s="82" t="s">
        <v>160</v>
      </c>
      <c r="O40" s="166" t="s">
        <v>81</v>
      </c>
      <c r="P40" s="1"/>
      <c r="Q40" s="1"/>
      <c r="R40" s="1"/>
    </row>
    <row r="41" ht="15.75" customHeight="1">
      <c r="A41" s="1"/>
      <c r="B41" s="77">
        <v>4.0</v>
      </c>
      <c r="C41" s="78" t="s">
        <v>616</v>
      </c>
      <c r="D41" s="79">
        <v>-45000.0</v>
      </c>
      <c r="E41" s="74"/>
      <c r="F41" s="1"/>
      <c r="G41" s="1"/>
      <c r="H41" s="1"/>
      <c r="I41" s="1"/>
      <c r="J41" s="1"/>
      <c r="K41" s="1"/>
      <c r="L41" s="1"/>
      <c r="M41" s="1"/>
      <c r="N41" s="86" t="s">
        <v>163</v>
      </c>
      <c r="O41" s="81" t="s">
        <v>42</v>
      </c>
      <c r="P41" s="1"/>
      <c r="Q41" s="1"/>
      <c r="R41" s="1"/>
    </row>
    <row r="42" ht="15.75" customHeight="1">
      <c r="A42" s="1"/>
      <c r="B42" s="71">
        <v>5.0</v>
      </c>
      <c r="C42" s="72"/>
      <c r="D42" s="73"/>
      <c r="E42" s="74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7">
        <v>6.0</v>
      </c>
      <c r="C43" s="84"/>
      <c r="D43" s="85"/>
      <c r="E43" s="74"/>
      <c r="F43" s="1"/>
      <c r="G43" s="1"/>
      <c r="H43" s="1"/>
      <c r="I43" s="1"/>
      <c r="J43" s="1"/>
      <c r="K43" s="89" t="s">
        <v>168</v>
      </c>
      <c r="Q43" s="1"/>
      <c r="R43" s="1"/>
    </row>
    <row r="44" ht="15.75" customHeight="1">
      <c r="A44" s="1"/>
      <c r="B44" s="71">
        <v>7.0</v>
      </c>
      <c r="C44" s="72"/>
      <c r="D44" s="73"/>
      <c r="E44" s="74"/>
      <c r="F44" s="1"/>
      <c r="G44" s="1"/>
      <c r="H44" s="1"/>
      <c r="I44" s="1"/>
      <c r="J44" s="1"/>
      <c r="K44" s="90" t="s">
        <v>1</v>
      </c>
      <c r="L44" s="90" t="s">
        <v>170</v>
      </c>
      <c r="M44" s="90" t="s">
        <v>171</v>
      </c>
      <c r="N44" s="90" t="s">
        <v>173</v>
      </c>
      <c r="O44" s="90" t="s">
        <v>174</v>
      </c>
      <c r="P44" s="90" t="s">
        <v>176</v>
      </c>
      <c r="Q44" s="1"/>
      <c r="R44" s="1"/>
      <c r="AC44" s="91" t="s">
        <v>177</v>
      </c>
      <c r="AD44" s="91" t="s">
        <v>178</v>
      </c>
      <c r="AE44" s="91" t="s">
        <v>179</v>
      </c>
      <c r="AF44" s="91" t="s">
        <v>180</v>
      </c>
      <c r="AG44" s="91" t="s">
        <v>181</v>
      </c>
    </row>
    <row r="45" ht="15.75" customHeight="1">
      <c r="A45" s="1"/>
      <c r="B45" s="77">
        <v>8.0</v>
      </c>
      <c r="C45" s="84"/>
      <c r="D45" s="85"/>
      <c r="E45" s="74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3"/>
      <c r="E46" s="74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7">
        <v>10.0</v>
      </c>
      <c r="C47" s="84"/>
      <c r="D47" s="85"/>
      <c r="E47" s="74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4">
        <v>11.0</v>
      </c>
      <c r="C48" s="95"/>
      <c r="D48" s="96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0" t="s">
        <v>212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1" t="s">
        <v>213</v>
      </c>
      <c r="N53" s="159"/>
      <c r="O53" s="1"/>
      <c r="P53" s="1"/>
      <c r="Q53" s="1"/>
      <c r="R53" s="1"/>
    </row>
    <row r="54" ht="15.75" customHeight="1">
      <c r="K54" s="102" t="s">
        <v>7</v>
      </c>
      <c r="L54" s="102" t="s">
        <v>214</v>
      </c>
      <c r="M54" s="102" t="s">
        <v>215</v>
      </c>
      <c r="N54" s="160" t="s">
        <v>521</v>
      </c>
    </row>
    <row r="55" ht="15.75" customHeight="1">
      <c r="K55" s="103" t="str">
        <f t="shared" ref="K55:K56" si="8">IF(O38="","",O38)</f>
        <v>INDAH</v>
      </c>
      <c r="L55" s="106">
        <v>5.0</v>
      </c>
      <c r="M55" s="104"/>
      <c r="N55" s="162">
        <v>2.0</v>
      </c>
    </row>
    <row r="56" ht="15.75" customHeight="1">
      <c r="K56" s="103" t="str">
        <f t="shared" si="8"/>
        <v>AMEL</v>
      </c>
      <c r="L56" s="106">
        <v>1.0</v>
      </c>
      <c r="M56" s="104"/>
      <c r="N56" s="163"/>
    </row>
    <row r="57" ht="15.75" customHeight="1"/>
    <row r="58" ht="19.5" customHeight="1">
      <c r="K58" s="107" t="s">
        <v>218</v>
      </c>
    </row>
    <row r="59" ht="19.5" customHeight="1">
      <c r="K59" s="108" t="s">
        <v>219</v>
      </c>
      <c r="M59" s="106">
        <v>34.0</v>
      </c>
    </row>
    <row r="60" ht="19.5" customHeight="1">
      <c r="K60" s="110" t="s">
        <v>221</v>
      </c>
      <c r="M60" s="112">
        <f>COUNTIF($I$4:$I$36,"DP")</f>
        <v>5</v>
      </c>
    </row>
    <row r="61" ht="19.5" customHeight="1">
      <c r="K61" s="110" t="s">
        <v>223</v>
      </c>
      <c r="M61" s="112">
        <f>COUNTIFS($I$4:$I$36,"&lt;&gt;DP",$I$4:$I$36,"&lt;&gt;")</f>
        <v>22</v>
      </c>
    </row>
    <row r="62" ht="19.5" customHeight="1">
      <c r="K62" s="115" t="s">
        <v>224</v>
      </c>
      <c r="M62" s="112">
        <f>M60+M61</f>
        <v>27</v>
      </c>
    </row>
    <row r="63" ht="19.5" customHeight="1">
      <c r="K63" s="108" t="s">
        <v>226</v>
      </c>
      <c r="M63" s="118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567</v>
      </c>
      <c r="D4" s="17" t="s">
        <v>23</v>
      </c>
      <c r="E4" s="15"/>
      <c r="F4" s="24" t="s">
        <v>569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570</v>
      </c>
      <c r="D5" s="17" t="s">
        <v>23</v>
      </c>
      <c r="E5" s="15"/>
      <c r="F5" s="24" t="s">
        <v>569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58" t="s">
        <v>572</v>
      </c>
      <c r="D6" s="17" t="s">
        <v>239</v>
      </c>
      <c r="E6" s="15"/>
      <c r="F6" s="24" t="s">
        <v>517</v>
      </c>
      <c r="G6" s="44"/>
      <c r="H6" s="22">
        <v>100000.0</v>
      </c>
      <c r="I6" s="24" t="s">
        <v>32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575</v>
      </c>
      <c r="D7" s="17" t="s">
        <v>23</v>
      </c>
      <c r="E7" s="15"/>
      <c r="F7" s="24" t="s">
        <v>569</v>
      </c>
      <c r="G7" s="44"/>
      <c r="H7" s="22">
        <v>100000.0</v>
      </c>
      <c r="I7" s="24" t="s">
        <v>25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580</v>
      </c>
      <c r="D8" s="17" t="s">
        <v>22</v>
      </c>
      <c r="E8" s="15"/>
      <c r="F8" s="24" t="s">
        <v>581</v>
      </c>
      <c r="G8" s="44"/>
      <c r="H8" s="22">
        <v>100000.0</v>
      </c>
      <c r="I8" s="24" t="s">
        <v>25</v>
      </c>
      <c r="J8" s="14"/>
      <c r="K8" s="14"/>
      <c r="L8" s="24" t="s">
        <v>27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583</v>
      </c>
      <c r="D9" s="17" t="s">
        <v>22</v>
      </c>
      <c r="E9" s="15"/>
      <c r="F9" s="24" t="s">
        <v>46</v>
      </c>
      <c r="G9" s="44"/>
      <c r="H9" s="22">
        <v>100000.0</v>
      </c>
      <c r="I9" s="24" t="s">
        <v>25</v>
      </c>
      <c r="J9" s="14"/>
      <c r="K9" s="14"/>
      <c r="L9" s="24" t="s">
        <v>27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586</v>
      </c>
      <c r="D10" s="17" t="s">
        <v>22</v>
      </c>
      <c r="E10" s="15"/>
      <c r="F10" s="40">
        <v>46299.0</v>
      </c>
      <c r="G10" s="44"/>
      <c r="H10" s="22">
        <v>100000.0</v>
      </c>
      <c r="I10" s="24" t="s">
        <v>25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527</v>
      </c>
      <c r="D11" s="17" t="s">
        <v>23</v>
      </c>
      <c r="E11" s="15"/>
      <c r="F11" s="40">
        <v>46288.0</v>
      </c>
      <c r="G11" s="44"/>
      <c r="H11" s="22">
        <v>300000.0</v>
      </c>
      <c r="I11" s="24" t="s">
        <v>32</v>
      </c>
      <c r="J11" s="24" t="s">
        <v>39</v>
      </c>
      <c r="K11" s="24" t="s">
        <v>41</v>
      </c>
      <c r="L11" s="24" t="s">
        <v>26</v>
      </c>
      <c r="M11" s="24" t="s">
        <v>81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590</v>
      </c>
      <c r="D12" s="17" t="s">
        <v>48</v>
      </c>
      <c r="E12" s="15"/>
      <c r="F12" s="40">
        <v>46290.0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469</v>
      </c>
      <c r="D13" s="17" t="s">
        <v>23</v>
      </c>
      <c r="E13" s="15"/>
      <c r="F13" s="40">
        <v>46288.0</v>
      </c>
      <c r="G13" s="44"/>
      <c r="H13" s="22">
        <v>800000.0</v>
      </c>
      <c r="I13" s="24" t="s">
        <v>32</v>
      </c>
      <c r="J13" s="24" t="s">
        <v>39</v>
      </c>
      <c r="K13" s="24" t="s">
        <v>41</v>
      </c>
      <c r="L13" s="24" t="s">
        <v>26</v>
      </c>
      <c r="M13" s="24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595</v>
      </c>
      <c r="D14" s="17" t="s">
        <v>61</v>
      </c>
      <c r="E14" s="15"/>
      <c r="F14" s="40">
        <v>46288.0</v>
      </c>
      <c r="G14" s="44"/>
      <c r="H14" s="22">
        <v>50000.0</v>
      </c>
      <c r="I14" s="24" t="s">
        <v>32</v>
      </c>
      <c r="J14" s="24" t="s">
        <v>39</v>
      </c>
      <c r="K14" s="24" t="s">
        <v>41</v>
      </c>
      <c r="L14" s="24" t="s">
        <v>26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288</v>
      </c>
      <c r="D15" s="17" t="s">
        <v>23</v>
      </c>
      <c r="E15" s="15"/>
      <c r="F15" s="40">
        <v>46288.0</v>
      </c>
      <c r="G15" s="44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288</v>
      </c>
      <c r="D16" s="17" t="s">
        <v>23</v>
      </c>
      <c r="E16" s="15"/>
      <c r="F16" s="40">
        <v>46288.0</v>
      </c>
      <c r="G16" s="62">
        <v>325000.0</v>
      </c>
      <c r="H16" s="54"/>
      <c r="I16" s="24" t="s">
        <v>32</v>
      </c>
      <c r="J16" s="24" t="s">
        <v>39</v>
      </c>
      <c r="K16" s="24" t="s">
        <v>41</v>
      </c>
      <c r="L16" s="24" t="s">
        <v>26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53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4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4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3"/>
      <c r="D28" s="97"/>
      <c r="E28" s="15"/>
      <c r="F28" s="14"/>
      <c r="G28" s="44"/>
      <c r="H28" s="54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3"/>
      <c r="D29" s="97"/>
      <c r="E29" s="15"/>
      <c r="F29" s="14"/>
      <c r="G29" s="44"/>
      <c r="H29" s="54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3"/>
      <c r="D30" s="97"/>
      <c r="E30" s="15"/>
      <c r="F30" s="14"/>
      <c r="G30" s="44"/>
      <c r="H30" s="54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3"/>
      <c r="D31" s="97"/>
      <c r="E31" s="15"/>
      <c r="F31" s="153"/>
      <c r="G31" s="44"/>
      <c r="H31" s="54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3"/>
      <c r="D32" s="97"/>
      <c r="E32" s="15"/>
      <c r="F32" s="153"/>
      <c r="G32" s="44"/>
      <c r="H32" s="54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3"/>
      <c r="D33" s="97"/>
      <c r="E33" s="15"/>
      <c r="F33" s="14"/>
      <c r="G33" s="44"/>
      <c r="H33" s="54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3"/>
      <c r="D34" s="97"/>
      <c r="E34" s="15"/>
      <c r="F34" s="14"/>
      <c r="G34" s="44"/>
      <c r="H34" s="54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325000</v>
      </c>
      <c r="H35" s="67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145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146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149</v>
      </c>
      <c r="D39" s="73">
        <f>SUM(G35)</f>
        <v>325000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151</v>
      </c>
      <c r="O39" s="76" t="s">
        <v>27</v>
      </c>
      <c r="P39" s="1"/>
      <c r="Q39" s="1"/>
      <c r="R39" s="1"/>
    </row>
    <row r="40" ht="15.75" customHeight="1">
      <c r="A40" s="1"/>
      <c r="B40" s="77">
        <v>2.0</v>
      </c>
      <c r="C40" s="78" t="s">
        <v>337</v>
      </c>
      <c r="D40" s="79">
        <v>-75000.0</v>
      </c>
      <c r="E40" s="74"/>
      <c r="F40" s="1"/>
      <c r="G40" s="1"/>
      <c r="H40" s="1"/>
      <c r="I40" s="1"/>
      <c r="J40" s="1"/>
      <c r="K40" s="1"/>
      <c r="L40" s="1"/>
      <c r="M40" s="1"/>
      <c r="N40" s="80" t="s">
        <v>157</v>
      </c>
      <c r="O40" s="81" t="s">
        <v>26</v>
      </c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160</v>
      </c>
      <c r="O41" s="83" t="s">
        <v>42</v>
      </c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163</v>
      </c>
      <c r="O42" s="81" t="s">
        <v>81</v>
      </c>
      <c r="P42" s="1"/>
      <c r="Q42" s="1"/>
      <c r="R42" s="1"/>
    </row>
    <row r="43" ht="15.75" customHeight="1">
      <c r="A43" s="1"/>
      <c r="B43" s="71">
        <v>5.0</v>
      </c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>
        <v>6.0</v>
      </c>
      <c r="C44" s="84"/>
      <c r="D44" s="85"/>
      <c r="E44" s="74"/>
      <c r="F44" s="1"/>
      <c r="G44" s="1"/>
      <c r="H44" s="1"/>
      <c r="I44" s="1"/>
      <c r="J44" s="1"/>
      <c r="K44" s="89" t="s">
        <v>168</v>
      </c>
      <c r="Q44" s="1"/>
      <c r="R44" s="1"/>
    </row>
    <row r="45" ht="15.75" customHeight="1">
      <c r="A45" s="1"/>
      <c r="B45" s="71">
        <v>7.0</v>
      </c>
      <c r="C45" s="72"/>
      <c r="D45" s="73"/>
      <c r="E45" s="74"/>
      <c r="F45" s="1"/>
      <c r="G45" s="1"/>
      <c r="H45" s="1"/>
      <c r="I45" s="1"/>
      <c r="J45" s="1"/>
      <c r="K45" s="90" t="s">
        <v>1</v>
      </c>
      <c r="L45" s="90" t="s">
        <v>170</v>
      </c>
      <c r="M45" s="90" t="s">
        <v>171</v>
      </c>
      <c r="N45" s="90" t="s">
        <v>173</v>
      </c>
      <c r="O45" s="90" t="s">
        <v>174</v>
      </c>
      <c r="P45" s="90" t="s">
        <v>176</v>
      </c>
      <c r="Q45" s="1"/>
      <c r="R45" s="1"/>
      <c r="AC45" s="91" t="s">
        <v>177</v>
      </c>
      <c r="AD45" s="91" t="s">
        <v>178</v>
      </c>
      <c r="AE45" s="91" t="s">
        <v>179</v>
      </c>
      <c r="AF45" s="91" t="s">
        <v>180</v>
      </c>
      <c r="AG45" s="91" t="s">
        <v>181</v>
      </c>
    </row>
    <row r="46" ht="15.75" customHeight="1">
      <c r="A46" s="1"/>
      <c r="B46" s="77">
        <v>8.0</v>
      </c>
      <c r="C46" s="84"/>
      <c r="D46" s="85"/>
      <c r="E46" s="74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3"/>
      <c r="E47" s="74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7">
        <v>10.0</v>
      </c>
      <c r="C48" s="84"/>
      <c r="D48" s="85"/>
      <c r="E48" s="74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4">
        <v>11.0</v>
      </c>
      <c r="C49" s="95"/>
      <c r="D49" s="96"/>
      <c r="E49" s="74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0" t="s">
        <v>212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1" t="s">
        <v>213</v>
      </c>
      <c r="N54" s="159"/>
      <c r="O54" s="1"/>
      <c r="P54" s="1"/>
      <c r="Q54" s="1"/>
      <c r="R54" s="1"/>
    </row>
    <row r="55" ht="15.75" customHeight="1">
      <c r="K55" s="102" t="s">
        <v>7</v>
      </c>
      <c r="L55" s="102" t="s">
        <v>214</v>
      </c>
      <c r="M55" s="102" t="s">
        <v>215</v>
      </c>
      <c r="N55" s="160" t="s">
        <v>521</v>
      </c>
    </row>
    <row r="56" ht="15.75" customHeight="1">
      <c r="K56" s="103" t="str">
        <f t="shared" ref="K56:K57" si="8">IF(O39="","",O39)</f>
        <v>AMEL</v>
      </c>
      <c r="L56" s="106">
        <v>6.0</v>
      </c>
      <c r="M56" s="106" t="s">
        <v>617</v>
      </c>
      <c r="N56" s="162"/>
    </row>
    <row r="57" ht="15.75" customHeight="1">
      <c r="K57" s="103" t="str">
        <f t="shared" si="8"/>
        <v>INDAH</v>
      </c>
      <c r="L57" s="106">
        <v>3.0</v>
      </c>
      <c r="M57" s="106" t="s">
        <v>618</v>
      </c>
      <c r="N57" s="162">
        <v>20.0</v>
      </c>
    </row>
    <row r="58" ht="15.75" customHeight="1"/>
    <row r="59" ht="19.5" customHeight="1">
      <c r="K59" s="107" t="s">
        <v>218</v>
      </c>
    </row>
    <row r="60" ht="19.5" customHeight="1">
      <c r="K60" s="108" t="s">
        <v>219</v>
      </c>
      <c r="M60" s="106">
        <v>41.0</v>
      </c>
    </row>
    <row r="61" ht="19.5" customHeight="1">
      <c r="K61" s="110" t="s">
        <v>221</v>
      </c>
      <c r="M61" s="112">
        <f>COUNTIF($I$4:$I$37,"DP")</f>
        <v>8</v>
      </c>
    </row>
    <row r="62" ht="19.5" customHeight="1">
      <c r="K62" s="110" t="s">
        <v>223</v>
      </c>
      <c r="M62" s="112">
        <f>COUNTIFS($I$4:$I$37,"&lt;&gt;DP",$I$4:$I$37,"&lt;&gt;")</f>
        <v>5</v>
      </c>
    </row>
    <row r="63" ht="19.5" customHeight="1">
      <c r="K63" s="115" t="s">
        <v>224</v>
      </c>
      <c r="M63" s="112">
        <f>M61+M62</f>
        <v>13</v>
      </c>
    </row>
    <row r="64" ht="19.5" customHeight="1">
      <c r="K64" s="108" t="s">
        <v>226</v>
      </c>
      <c r="M64" s="118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576</v>
      </c>
      <c r="D4" s="17" t="s">
        <v>23</v>
      </c>
      <c r="E4" s="15"/>
      <c r="F4" s="24" t="s">
        <v>579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584</v>
      </c>
      <c r="D5" s="17" t="s">
        <v>22</v>
      </c>
      <c r="E5" s="15"/>
      <c r="F5" s="24" t="s">
        <v>581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587</v>
      </c>
      <c r="D6" s="17" t="s">
        <v>22</v>
      </c>
      <c r="E6" s="15"/>
      <c r="F6" s="24" t="s">
        <v>46</v>
      </c>
      <c r="G6" s="44"/>
      <c r="H6" s="22">
        <v>100000.0</v>
      </c>
      <c r="I6" s="24" t="s">
        <v>25</v>
      </c>
      <c r="J6" s="14"/>
      <c r="K6" s="14"/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570</v>
      </c>
      <c r="D7" s="17" t="s">
        <v>23</v>
      </c>
      <c r="E7" s="15"/>
      <c r="F7" s="40">
        <v>46289.0</v>
      </c>
      <c r="G7" s="62">
        <v>100000.0</v>
      </c>
      <c r="H7" s="54"/>
      <c r="I7" s="24" t="s">
        <v>32</v>
      </c>
      <c r="J7" s="24" t="s">
        <v>39</v>
      </c>
      <c r="K7" s="24" t="s">
        <v>41</v>
      </c>
      <c r="L7" s="24" t="s">
        <v>26</v>
      </c>
      <c r="M7" s="24" t="s">
        <v>81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593</v>
      </c>
      <c r="D8" s="17" t="s">
        <v>22</v>
      </c>
      <c r="E8" s="15"/>
      <c r="F8" s="40">
        <v>46299.0</v>
      </c>
      <c r="G8" s="44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596</v>
      </c>
      <c r="D9" s="17" t="s">
        <v>48</v>
      </c>
      <c r="E9" s="23" t="s">
        <v>282</v>
      </c>
      <c r="F9" s="40">
        <v>46289.0</v>
      </c>
      <c r="G9" s="44"/>
      <c r="H9" s="22">
        <v>350000.0</v>
      </c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599</v>
      </c>
      <c r="D10" s="17" t="s">
        <v>70</v>
      </c>
      <c r="E10" s="23" t="s">
        <v>282</v>
      </c>
      <c r="F10" s="40">
        <v>46289.0</v>
      </c>
      <c r="G10" s="62">
        <v>150000.0</v>
      </c>
      <c r="H10" s="54"/>
      <c r="I10" s="24" t="s">
        <v>32</v>
      </c>
      <c r="J10" s="24" t="s">
        <v>39</v>
      </c>
      <c r="K10" s="24" t="s">
        <v>41</v>
      </c>
      <c r="L10" s="24" t="s">
        <v>26</v>
      </c>
      <c r="M10" s="24" t="s">
        <v>81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575</v>
      </c>
      <c r="D11" s="17" t="s">
        <v>23</v>
      </c>
      <c r="E11" s="15"/>
      <c r="F11" s="40">
        <v>46289.0</v>
      </c>
      <c r="G11" s="44"/>
      <c r="H11" s="22">
        <v>200000.0</v>
      </c>
      <c r="I11" s="24" t="s">
        <v>32</v>
      </c>
      <c r="J11" s="24" t="s">
        <v>39</v>
      </c>
      <c r="K11" s="24" t="s">
        <v>39</v>
      </c>
      <c r="L11" s="24" t="s">
        <v>26</v>
      </c>
      <c r="M11" s="24" t="s">
        <v>81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602</v>
      </c>
      <c r="D12" s="17" t="s">
        <v>22</v>
      </c>
      <c r="E12" s="15"/>
      <c r="F12" s="40">
        <v>46312.0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604</v>
      </c>
      <c r="D13" s="17" t="s">
        <v>605</v>
      </c>
      <c r="E13" s="23">
        <v>2.0</v>
      </c>
      <c r="F13" s="40">
        <v>46273.0</v>
      </c>
      <c r="G13" s="44"/>
      <c r="H13" s="22">
        <v>250000.0</v>
      </c>
      <c r="I13" s="24" t="s">
        <v>32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607</v>
      </c>
      <c r="D14" s="17" t="s">
        <v>70</v>
      </c>
      <c r="E14" s="23" t="s">
        <v>609</v>
      </c>
      <c r="F14" s="40">
        <v>46289.0</v>
      </c>
      <c r="G14" s="44"/>
      <c r="H14" s="22">
        <v>225000.0</v>
      </c>
      <c r="I14" s="24" t="s">
        <v>32</v>
      </c>
      <c r="J14" s="24" t="s">
        <v>39</v>
      </c>
      <c r="K14" s="24" t="s">
        <v>41</v>
      </c>
      <c r="L14" s="24" t="s">
        <v>26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3"/>
      <c r="D15" s="97"/>
      <c r="E15" s="15"/>
      <c r="F15" s="138"/>
      <c r="G15" s="44"/>
      <c r="H15" s="54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38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53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53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38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53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53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53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53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53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53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165"/>
      <c r="D26" s="97"/>
      <c r="E26" s="15"/>
      <c r="F26" s="153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53"/>
      <c r="G27" s="44"/>
      <c r="H27" s="54"/>
      <c r="I27" s="14"/>
      <c r="J27" s="14"/>
      <c r="K27" s="14"/>
      <c r="L27" s="14"/>
      <c r="M27" s="14"/>
      <c r="N27" s="64"/>
      <c r="O27" s="64"/>
      <c r="P27" s="64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6">
        <f t="shared" ref="G28:H28" si="1">SUM(G4:G27)</f>
        <v>250000</v>
      </c>
      <c r="H28" s="67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145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146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149</v>
      </c>
      <c r="D32" s="73">
        <f>SUM(G28)</f>
        <v>250000</v>
      </c>
      <c r="E32" s="74"/>
      <c r="F32" s="1"/>
      <c r="G32" s="1"/>
      <c r="H32" s="1"/>
      <c r="I32" s="1"/>
      <c r="J32" s="1"/>
      <c r="K32" s="1"/>
      <c r="L32" s="1"/>
      <c r="M32" s="1"/>
      <c r="N32" s="75" t="s">
        <v>151</v>
      </c>
      <c r="O32" s="76" t="s">
        <v>27</v>
      </c>
      <c r="P32" s="1"/>
      <c r="Q32" s="1"/>
      <c r="R32" s="1"/>
    </row>
    <row r="33" ht="15.75" customHeight="1">
      <c r="A33" s="1"/>
      <c r="B33" s="77">
        <v>2.0</v>
      </c>
      <c r="C33" s="78" t="s">
        <v>500</v>
      </c>
      <c r="D33" s="79">
        <v>-16000.0</v>
      </c>
      <c r="E33" s="74"/>
      <c r="F33" s="1"/>
      <c r="G33" s="1"/>
      <c r="H33" s="1"/>
      <c r="I33" s="1"/>
      <c r="J33" s="1"/>
      <c r="K33" s="1"/>
      <c r="L33" s="1"/>
      <c r="M33" s="1"/>
      <c r="N33" s="80" t="s">
        <v>157</v>
      </c>
      <c r="O33" s="81" t="s">
        <v>26</v>
      </c>
      <c r="P33" s="1"/>
      <c r="Q33" s="1"/>
      <c r="R33" s="1"/>
    </row>
    <row r="34" ht="15.75" customHeight="1">
      <c r="A34" s="1"/>
      <c r="B34" s="71">
        <v>3.0</v>
      </c>
      <c r="C34" s="113" t="s">
        <v>337</v>
      </c>
      <c r="D34" s="114">
        <v>-50000.0</v>
      </c>
      <c r="E34" s="74"/>
      <c r="F34" s="1"/>
      <c r="G34" s="1"/>
      <c r="H34" s="1"/>
      <c r="I34" s="1"/>
      <c r="J34" s="1"/>
      <c r="K34" s="1"/>
      <c r="L34" s="1"/>
      <c r="M34" s="1"/>
      <c r="N34" s="82" t="s">
        <v>160</v>
      </c>
      <c r="O34" s="83" t="s">
        <v>81</v>
      </c>
      <c r="P34" s="1"/>
      <c r="Q34" s="1"/>
      <c r="R34" s="1"/>
    </row>
    <row r="35" ht="15.75" customHeight="1">
      <c r="A35" s="1"/>
      <c r="B35" s="77">
        <v>4.0</v>
      </c>
      <c r="C35" s="78" t="s">
        <v>154</v>
      </c>
      <c r="D35" s="79">
        <v>-18000.0</v>
      </c>
      <c r="E35" s="74"/>
      <c r="F35" s="1"/>
      <c r="G35" s="1"/>
      <c r="H35" s="1"/>
      <c r="I35" s="1"/>
      <c r="J35" s="1"/>
      <c r="K35" s="1"/>
      <c r="L35" s="1"/>
      <c r="M35" s="1"/>
      <c r="N35" s="86" t="s">
        <v>163</v>
      </c>
      <c r="O35" s="81" t="s">
        <v>81</v>
      </c>
      <c r="P35" s="1"/>
      <c r="Q35" s="1"/>
      <c r="R35" s="1"/>
    </row>
    <row r="36" ht="15.75" customHeight="1">
      <c r="A36" s="1"/>
      <c r="B36" s="71">
        <v>5.0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7">
        <v>6.0</v>
      </c>
      <c r="C37" s="84"/>
      <c r="D37" s="85"/>
      <c r="E37" s="74"/>
      <c r="F37" s="1"/>
      <c r="G37" s="1"/>
      <c r="H37" s="1"/>
      <c r="I37" s="1"/>
      <c r="J37" s="1"/>
      <c r="K37" s="89" t="s">
        <v>168</v>
      </c>
      <c r="Q37" s="1"/>
      <c r="R37" s="1"/>
    </row>
    <row r="38" ht="15.75" customHeight="1">
      <c r="A38" s="1"/>
      <c r="B38" s="71">
        <v>7.0</v>
      </c>
      <c r="C38" s="72"/>
      <c r="D38" s="73"/>
      <c r="E38" s="74"/>
      <c r="F38" s="1"/>
      <c r="G38" s="1"/>
      <c r="H38" s="1"/>
      <c r="I38" s="1"/>
      <c r="J38" s="1"/>
      <c r="K38" s="90" t="s">
        <v>1</v>
      </c>
      <c r="L38" s="90" t="s">
        <v>170</v>
      </c>
      <c r="M38" s="90" t="s">
        <v>171</v>
      </c>
      <c r="N38" s="90" t="s">
        <v>173</v>
      </c>
      <c r="O38" s="90" t="s">
        <v>174</v>
      </c>
      <c r="P38" s="90" t="s">
        <v>176</v>
      </c>
      <c r="Q38" s="1"/>
      <c r="R38" s="1"/>
      <c r="AC38" s="91" t="s">
        <v>177</v>
      </c>
      <c r="AD38" s="91" t="s">
        <v>178</v>
      </c>
      <c r="AE38" s="91" t="s">
        <v>179</v>
      </c>
      <c r="AF38" s="91" t="s">
        <v>180</v>
      </c>
      <c r="AG38" s="91" t="s">
        <v>181</v>
      </c>
    </row>
    <row r="39" ht="15.75" customHeight="1">
      <c r="A39" s="1"/>
      <c r="B39" s="77">
        <v>8.0</v>
      </c>
      <c r="C39" s="84"/>
      <c r="D39" s="85"/>
      <c r="E39" s="74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3"/>
      <c r="E40" s="74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7">
        <v>10.0</v>
      </c>
      <c r="C41" s="84"/>
      <c r="D41" s="85"/>
      <c r="E41" s="74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4">
        <v>11.0</v>
      </c>
      <c r="C42" s="95"/>
      <c r="D42" s="96"/>
      <c r="E42" s="74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212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1" t="s">
        <v>213</v>
      </c>
      <c r="N47" s="1"/>
      <c r="O47" s="1"/>
      <c r="P47" s="1"/>
      <c r="Q47" s="1"/>
      <c r="R47" s="1"/>
    </row>
    <row r="48" ht="15.75" customHeight="1">
      <c r="K48" s="102" t="s">
        <v>7</v>
      </c>
      <c r="L48" s="102" t="s">
        <v>214</v>
      </c>
      <c r="M48" s="102" t="s">
        <v>215</v>
      </c>
    </row>
    <row r="49" ht="15.75" customHeight="1">
      <c r="K49" s="103" t="str">
        <f t="shared" ref="K49:K50" si="8">IF(O32="","",O32)</f>
        <v>AMEL</v>
      </c>
      <c r="L49" s="104"/>
      <c r="M49" s="104"/>
    </row>
    <row r="50" ht="15.75" customHeight="1">
      <c r="K50" s="103" t="str">
        <f t="shared" si="8"/>
        <v>INDAH</v>
      </c>
      <c r="L50" s="106">
        <v>3.0</v>
      </c>
      <c r="M50" s="104"/>
    </row>
    <row r="51" ht="15.75" customHeight="1"/>
    <row r="52" ht="19.5" customHeight="1">
      <c r="K52" s="107" t="s">
        <v>218</v>
      </c>
    </row>
    <row r="53" ht="19.5" customHeight="1">
      <c r="K53" s="108" t="s">
        <v>219</v>
      </c>
      <c r="M53" s="106">
        <v>29.0</v>
      </c>
    </row>
    <row r="54" ht="19.5" customHeight="1">
      <c r="K54" s="110" t="s">
        <v>221</v>
      </c>
      <c r="M54" s="112">
        <f>COUNTIF($I$4:$I$30,"DP")</f>
        <v>5</v>
      </c>
    </row>
    <row r="55" ht="19.5" customHeight="1">
      <c r="K55" s="110" t="s">
        <v>223</v>
      </c>
      <c r="M55" s="112">
        <f>COUNTIFS($I$4:$I$30,"&lt;&gt;DP",$I$4:$I$30,"&lt;&gt;")</f>
        <v>6</v>
      </c>
    </row>
    <row r="56" ht="19.5" customHeight="1">
      <c r="K56" s="115" t="s">
        <v>224</v>
      </c>
      <c r="M56" s="112">
        <f>M54+M55</f>
        <v>11</v>
      </c>
    </row>
    <row r="57" ht="19.5" customHeight="1">
      <c r="K57" s="108" t="s">
        <v>226</v>
      </c>
      <c r="M57" s="118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590</v>
      </c>
      <c r="D4" s="17" t="s">
        <v>48</v>
      </c>
      <c r="E4" s="15"/>
      <c r="F4" s="24" t="s">
        <v>506</v>
      </c>
      <c r="G4" s="62">
        <v>250000.0</v>
      </c>
      <c r="H4" s="54"/>
      <c r="I4" s="24" t="s">
        <v>32</v>
      </c>
      <c r="J4" s="24" t="s">
        <v>39</v>
      </c>
      <c r="K4" s="24" t="s">
        <v>41</v>
      </c>
      <c r="L4" s="24" t="s">
        <v>27</v>
      </c>
      <c r="M4" s="24" t="s">
        <v>42</v>
      </c>
      <c r="N4" s="27"/>
      <c r="O4" s="27"/>
      <c r="P4" s="29"/>
      <c r="Q4" s="1"/>
      <c r="R4" s="1"/>
    </row>
    <row r="5" ht="15.75" customHeight="1">
      <c r="A5" s="1"/>
      <c r="B5" s="14">
        <v>2.0</v>
      </c>
      <c r="C5" s="45" t="s">
        <v>505</v>
      </c>
      <c r="D5" s="17" t="s">
        <v>23</v>
      </c>
      <c r="E5" s="23">
        <v>8.0</v>
      </c>
      <c r="F5" s="24" t="s">
        <v>506</v>
      </c>
      <c r="G5" s="44"/>
      <c r="H5" s="22">
        <v>100000.0</v>
      </c>
      <c r="I5" s="24" t="s">
        <v>32</v>
      </c>
      <c r="J5" s="24" t="s">
        <v>39</v>
      </c>
      <c r="K5" s="24" t="s">
        <v>39</v>
      </c>
      <c r="L5" s="24" t="s">
        <v>621</v>
      </c>
      <c r="M5" s="24" t="s">
        <v>42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582</v>
      </c>
      <c r="D6" s="17" t="s">
        <v>23</v>
      </c>
      <c r="E6" s="15"/>
      <c r="F6" s="24" t="s">
        <v>506</v>
      </c>
      <c r="G6" s="62">
        <v>150000.0</v>
      </c>
      <c r="H6" s="54"/>
      <c r="I6" s="24" t="s">
        <v>32</v>
      </c>
      <c r="J6" s="24" t="s">
        <v>39</v>
      </c>
      <c r="K6" s="24" t="s">
        <v>39</v>
      </c>
      <c r="L6" s="24" t="s">
        <v>27</v>
      </c>
      <c r="M6" s="24" t="s">
        <v>42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625</v>
      </c>
      <c r="D7" s="17" t="s">
        <v>23</v>
      </c>
      <c r="E7" s="15"/>
      <c r="F7" s="24" t="s">
        <v>506</v>
      </c>
      <c r="G7" s="44"/>
      <c r="H7" s="22">
        <v>150000.0</v>
      </c>
      <c r="I7" s="24" t="s">
        <v>32</v>
      </c>
      <c r="J7" s="24" t="s">
        <v>39</v>
      </c>
      <c r="K7" s="24" t="s">
        <v>39</v>
      </c>
      <c r="L7" s="24" t="s">
        <v>27</v>
      </c>
      <c r="M7" s="24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627</v>
      </c>
      <c r="D8" s="17" t="s">
        <v>23</v>
      </c>
      <c r="E8" s="15"/>
      <c r="F8" s="24" t="s">
        <v>517</v>
      </c>
      <c r="G8" s="44"/>
      <c r="H8" s="22">
        <v>100000.0</v>
      </c>
      <c r="I8" s="24" t="s">
        <v>25</v>
      </c>
      <c r="J8" s="14"/>
      <c r="K8" s="14"/>
      <c r="L8" s="24" t="s">
        <v>27</v>
      </c>
      <c r="M8" s="24" t="s">
        <v>42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630</v>
      </c>
      <c r="D9" s="17" t="s">
        <v>526</v>
      </c>
      <c r="E9" s="15"/>
      <c r="F9" s="24" t="s">
        <v>579</v>
      </c>
      <c r="G9" s="44"/>
      <c r="H9" s="22">
        <v>100000.0</v>
      </c>
      <c r="I9" s="24" t="s">
        <v>25</v>
      </c>
      <c r="J9" s="14"/>
      <c r="K9" s="14"/>
      <c r="L9" s="24" t="s">
        <v>27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632</v>
      </c>
      <c r="D10" s="17" t="s">
        <v>48</v>
      </c>
      <c r="E10" s="15"/>
      <c r="F10" s="24" t="s">
        <v>633</v>
      </c>
      <c r="G10" s="44"/>
      <c r="H10" s="22">
        <v>100000.0</v>
      </c>
      <c r="I10" s="24" t="s">
        <v>25</v>
      </c>
      <c r="J10" s="14"/>
      <c r="K10" s="14"/>
      <c r="L10" s="24" t="s">
        <v>27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634</v>
      </c>
      <c r="D11" s="17" t="s">
        <v>52</v>
      </c>
      <c r="E11" s="15"/>
      <c r="F11" s="24" t="s">
        <v>579</v>
      </c>
      <c r="G11" s="44"/>
      <c r="H11" s="22">
        <v>100000.0</v>
      </c>
      <c r="I11" s="24" t="s">
        <v>25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635</v>
      </c>
      <c r="D12" s="17" t="s">
        <v>70</v>
      </c>
      <c r="E12" s="23">
        <v>2.0</v>
      </c>
      <c r="F12" s="24" t="s">
        <v>506</v>
      </c>
      <c r="G12" s="44"/>
      <c r="H12" s="22">
        <v>200000.0</v>
      </c>
      <c r="I12" s="24" t="s">
        <v>25</v>
      </c>
      <c r="J12" s="14"/>
      <c r="K12" s="14"/>
      <c r="L12" s="24" t="s">
        <v>27</v>
      </c>
      <c r="M12" s="24" t="s">
        <v>42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3"/>
      <c r="D13" s="97"/>
      <c r="E13" s="15"/>
      <c r="F13" s="14"/>
      <c r="G13" s="44"/>
      <c r="H13" s="54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3"/>
      <c r="D14" s="97"/>
      <c r="E14" s="15"/>
      <c r="F14" s="14"/>
      <c r="G14" s="44"/>
      <c r="H14" s="54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3"/>
      <c r="D15" s="97"/>
      <c r="E15" s="15"/>
      <c r="F15" s="153"/>
      <c r="G15" s="44"/>
      <c r="H15" s="54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4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53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400000</v>
      </c>
      <c r="H22" s="67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145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146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149</v>
      </c>
      <c r="D26" s="73">
        <f>SUM(G22)</f>
        <v>400000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151</v>
      </c>
      <c r="O26" s="76" t="s">
        <v>26</v>
      </c>
      <c r="P26" s="1"/>
      <c r="Q26" s="1"/>
      <c r="R26" s="1"/>
    </row>
    <row r="27" ht="15.75" customHeight="1">
      <c r="A27" s="1"/>
      <c r="B27" s="77">
        <v>2.0</v>
      </c>
      <c r="C27" s="78" t="s">
        <v>392</v>
      </c>
      <c r="D27" s="79">
        <v>-50000.0</v>
      </c>
      <c r="E27" s="74"/>
      <c r="F27" s="1"/>
      <c r="G27" s="1"/>
      <c r="H27" s="1"/>
      <c r="I27" s="1"/>
      <c r="J27" s="1"/>
      <c r="K27" s="1"/>
      <c r="L27" s="1"/>
      <c r="M27" s="1"/>
      <c r="N27" s="80" t="s">
        <v>157</v>
      </c>
      <c r="O27" s="81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160</v>
      </c>
      <c r="O28" s="83" t="s">
        <v>42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163</v>
      </c>
      <c r="O29" s="81" t="s">
        <v>42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173</v>
      </c>
      <c r="O32" s="90" t="s">
        <v>174</v>
      </c>
      <c r="P32" s="90" t="s">
        <v>176</v>
      </c>
      <c r="Q32" s="1"/>
      <c r="R32" s="1"/>
      <c r="AC32" s="91" t="s">
        <v>177</v>
      </c>
      <c r="AD32" s="91" t="s">
        <v>178</v>
      </c>
      <c r="AE32" s="91" t="s">
        <v>179</v>
      </c>
      <c r="AF32" s="91" t="s">
        <v>180</v>
      </c>
      <c r="AG32" s="91" t="s">
        <v>181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59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  <c r="N42" s="160" t="s">
        <v>521</v>
      </c>
    </row>
    <row r="43" ht="15.75" customHeight="1">
      <c r="K43" s="103" t="str">
        <f t="shared" ref="K43:K44" si="8">IF(O26="","",O26)</f>
        <v>INDAH</v>
      </c>
      <c r="L43" s="104"/>
      <c r="M43" s="104"/>
      <c r="N43" s="162">
        <v>6.0</v>
      </c>
    </row>
    <row r="44" ht="15.75" customHeight="1">
      <c r="K44" s="103" t="str">
        <f t="shared" si="8"/>
        <v>AMEL</v>
      </c>
      <c r="L44" s="106">
        <v>5.0</v>
      </c>
      <c r="M44" s="104"/>
      <c r="N44" s="163"/>
    </row>
    <row r="45" ht="15.75" customHeight="1"/>
    <row r="46" ht="19.5" customHeight="1">
      <c r="K46" s="107" t="s">
        <v>218</v>
      </c>
    </row>
    <row r="47" ht="19.5" customHeight="1">
      <c r="K47" s="108" t="s">
        <v>219</v>
      </c>
      <c r="M47" s="106">
        <v>22.0</v>
      </c>
    </row>
    <row r="48" ht="19.5" customHeight="1">
      <c r="K48" s="110" t="s">
        <v>221</v>
      </c>
      <c r="M48" s="112">
        <f>COUNTIF($I$4:$I$24,"DP")</f>
        <v>5</v>
      </c>
    </row>
    <row r="49" ht="19.5" customHeight="1">
      <c r="K49" s="110" t="s">
        <v>223</v>
      </c>
      <c r="M49" s="112">
        <f>COUNTIFS($I$4:$I$24,"&lt;&gt;DP",$I$4:$I$24,"&lt;&gt;")</f>
        <v>4</v>
      </c>
    </row>
    <row r="50" ht="19.5" customHeight="1">
      <c r="K50" s="115" t="s">
        <v>224</v>
      </c>
      <c r="M50" s="112">
        <f>M48+M49</f>
        <v>9</v>
      </c>
    </row>
    <row r="51" ht="19.5" customHeight="1">
      <c r="K51" s="108" t="s">
        <v>226</v>
      </c>
      <c r="M51" s="118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619</v>
      </c>
      <c r="D4" s="17" t="s">
        <v>482</v>
      </c>
      <c r="E4" s="15"/>
      <c r="F4" s="40">
        <v>46274.0</v>
      </c>
      <c r="G4" s="44"/>
      <c r="H4" s="22">
        <v>20000.0</v>
      </c>
      <c r="I4" s="24" t="s">
        <v>32</v>
      </c>
      <c r="J4" s="14"/>
      <c r="K4" s="14"/>
      <c r="L4" s="24" t="s">
        <v>26</v>
      </c>
      <c r="M4" s="14"/>
      <c r="N4" s="27"/>
      <c r="O4" s="27"/>
      <c r="P4" s="27"/>
      <c r="Q4" s="1"/>
      <c r="R4" s="1"/>
    </row>
    <row r="5" ht="15.75" customHeight="1">
      <c r="A5" s="1"/>
      <c r="B5" s="14">
        <v>2.0</v>
      </c>
      <c r="C5" s="16" t="s">
        <v>622</v>
      </c>
      <c r="D5" s="17" t="s">
        <v>23</v>
      </c>
      <c r="E5" s="15"/>
      <c r="F5" s="40">
        <v>46291.0</v>
      </c>
      <c r="G5" s="44"/>
      <c r="H5" s="22">
        <v>375000.0</v>
      </c>
      <c r="I5" s="24" t="s">
        <v>32</v>
      </c>
      <c r="J5" s="24" t="s">
        <v>39</v>
      </c>
      <c r="K5" s="24" t="s">
        <v>41</v>
      </c>
      <c r="L5" s="24" t="s">
        <v>26</v>
      </c>
      <c r="M5" s="24" t="s">
        <v>81</v>
      </c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623</v>
      </c>
      <c r="D6" s="17" t="s">
        <v>61</v>
      </c>
      <c r="E6" s="15"/>
      <c r="F6" s="40">
        <v>46291.0</v>
      </c>
      <c r="G6" s="44"/>
      <c r="H6" s="22">
        <v>150000.0</v>
      </c>
      <c r="I6" s="24" t="s">
        <v>32</v>
      </c>
      <c r="J6" s="24" t="s">
        <v>39</v>
      </c>
      <c r="K6" s="24" t="s">
        <v>41</v>
      </c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626</v>
      </c>
      <c r="D7" s="17" t="s">
        <v>239</v>
      </c>
      <c r="E7" s="15"/>
      <c r="F7" s="40">
        <v>46291.0</v>
      </c>
      <c r="G7" s="62">
        <v>0.0</v>
      </c>
      <c r="H7" s="22">
        <v>0.0</v>
      </c>
      <c r="I7" s="24" t="s">
        <v>32</v>
      </c>
      <c r="J7" s="24" t="s">
        <v>39</v>
      </c>
      <c r="K7" s="24" t="s">
        <v>39</v>
      </c>
      <c r="L7" s="24" t="s">
        <v>26</v>
      </c>
      <c r="M7" s="24" t="s">
        <v>81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629</v>
      </c>
      <c r="D8" s="17" t="s">
        <v>22</v>
      </c>
      <c r="E8" s="15"/>
      <c r="F8" s="40">
        <v>46291.0</v>
      </c>
      <c r="G8" s="62">
        <v>250000.0</v>
      </c>
      <c r="H8" s="54"/>
      <c r="I8" s="24" t="s">
        <v>32</v>
      </c>
      <c r="J8" s="24" t="s">
        <v>39</v>
      </c>
      <c r="K8" s="24" t="s">
        <v>41</v>
      </c>
      <c r="L8" s="24" t="s">
        <v>26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631</v>
      </c>
      <c r="D9" s="17" t="s">
        <v>100</v>
      </c>
      <c r="E9" s="23" t="s">
        <v>289</v>
      </c>
      <c r="F9" s="40">
        <v>46291.0</v>
      </c>
      <c r="G9" s="44"/>
      <c r="H9" s="22">
        <v>670000.0</v>
      </c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480</v>
      </c>
      <c r="D10" s="17" t="s">
        <v>13</v>
      </c>
      <c r="E10" s="15"/>
      <c r="F10" s="35">
        <v>46291.0</v>
      </c>
      <c r="G10" s="44"/>
      <c r="H10" s="22">
        <v>50000.0</v>
      </c>
      <c r="I10" s="24" t="s">
        <v>32</v>
      </c>
      <c r="J10" s="24" t="s">
        <v>39</v>
      </c>
      <c r="K10" s="24" t="s">
        <v>39</v>
      </c>
      <c r="L10" s="24" t="s">
        <v>26</v>
      </c>
      <c r="M10" s="24" t="s">
        <v>81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9" t="s">
        <v>553</v>
      </c>
      <c r="D11" s="17" t="s">
        <v>22</v>
      </c>
      <c r="E11" s="15"/>
      <c r="F11" s="40">
        <v>46291.0</v>
      </c>
      <c r="G11" s="44"/>
      <c r="H11" s="22">
        <v>390000.0</v>
      </c>
      <c r="I11" s="24" t="s">
        <v>32</v>
      </c>
      <c r="J11" s="24" t="s">
        <v>39</v>
      </c>
      <c r="K11" s="24" t="s">
        <v>39</v>
      </c>
      <c r="L11" s="24" t="s">
        <v>26</v>
      </c>
      <c r="M11" s="24" t="s">
        <v>42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636</v>
      </c>
      <c r="D12" s="17" t="s">
        <v>22</v>
      </c>
      <c r="E12" s="15"/>
      <c r="F12" s="40">
        <v>46294.0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638</v>
      </c>
      <c r="D13" s="17" t="s">
        <v>22</v>
      </c>
      <c r="E13" s="15"/>
      <c r="F13" s="35">
        <v>46294.0</v>
      </c>
      <c r="G13" s="44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641</v>
      </c>
      <c r="D14" s="17" t="s">
        <v>48</v>
      </c>
      <c r="E14" s="15"/>
      <c r="F14" s="35">
        <v>46291.0</v>
      </c>
      <c r="G14" s="44"/>
      <c r="H14" s="22">
        <v>250000.0</v>
      </c>
      <c r="I14" s="24" t="s">
        <v>32</v>
      </c>
      <c r="J14" s="24" t="s">
        <v>39</v>
      </c>
      <c r="K14" s="24" t="s">
        <v>41</v>
      </c>
      <c r="L14" s="24" t="s">
        <v>26</v>
      </c>
      <c r="M14" s="24" t="s">
        <v>42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637</v>
      </c>
      <c r="D15" s="17" t="s">
        <v>23</v>
      </c>
      <c r="E15" s="15"/>
      <c r="F15" s="35">
        <v>46292.0</v>
      </c>
      <c r="G15" s="44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38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38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38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38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38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38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38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38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38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78" t="s">
        <v>337</v>
      </c>
      <c r="D31" s="79">
        <v>-50000.0</v>
      </c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81" t="s">
        <v>26</v>
      </c>
      <c r="P31" s="1"/>
      <c r="Q31" s="1"/>
      <c r="R31" s="1"/>
    </row>
    <row r="32" ht="15.75" customHeight="1">
      <c r="A32" s="1"/>
      <c r="B32" s="71">
        <v>3.0</v>
      </c>
      <c r="C32" s="113" t="s">
        <v>652</v>
      </c>
      <c r="D32" s="114">
        <v>-72000.0</v>
      </c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83" t="s">
        <v>81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81" t="s">
        <v>42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128000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59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  <c r="N46" s="160" t="s">
        <v>521</v>
      </c>
    </row>
    <row r="47" ht="15.75" customHeight="1">
      <c r="K47" s="103" t="str">
        <f t="shared" ref="K47:K48" si="8">IF(O30="","",O30)</f>
        <v>INDAH</v>
      </c>
      <c r="L47" s="106">
        <v>3.0</v>
      </c>
      <c r="M47" s="104"/>
      <c r="N47" s="162">
        <v>4.0</v>
      </c>
    </row>
    <row r="48" ht="15.75" customHeight="1">
      <c r="K48" s="103" t="str">
        <f t="shared" si="8"/>
        <v>INDAH</v>
      </c>
      <c r="L48" s="104"/>
      <c r="M48" s="104"/>
      <c r="N48" s="162"/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18.0</v>
      </c>
    </row>
    <row r="52" ht="19.5" customHeight="1">
      <c r="K52" s="110" t="s">
        <v>221</v>
      </c>
      <c r="M52" s="112">
        <f>COUNTIF($I$4:$I$28,"DP")</f>
        <v>3</v>
      </c>
    </row>
    <row r="53" ht="19.5" customHeight="1">
      <c r="K53" s="110" t="s">
        <v>223</v>
      </c>
      <c r="M53" s="112">
        <f>COUNTIFS($I$4:$I$28,"&lt;&gt;DP",$I$4:$I$28,"&lt;&gt;")</f>
        <v>9</v>
      </c>
    </row>
    <row r="54" ht="19.5" customHeight="1">
      <c r="K54" s="115" t="s">
        <v>224</v>
      </c>
      <c r="M54" s="112">
        <f>M52+M53</f>
        <v>12</v>
      </c>
    </row>
    <row r="55" ht="19.5" customHeight="1">
      <c r="K55" s="108" t="s">
        <v>226</v>
      </c>
      <c r="M55" s="118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620</v>
      </c>
      <c r="D4" s="17" t="s">
        <v>100</v>
      </c>
      <c r="E4" s="15"/>
      <c r="F4" s="24" t="s">
        <v>211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624</v>
      </c>
      <c r="D5" s="17" t="s">
        <v>100</v>
      </c>
      <c r="E5" s="15"/>
      <c r="F5" s="24" t="s">
        <v>46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628</v>
      </c>
      <c r="D6" s="17" t="s">
        <v>48</v>
      </c>
      <c r="E6" s="15"/>
      <c r="F6" s="24" t="s">
        <v>579</v>
      </c>
      <c r="G6" s="44"/>
      <c r="H6" s="22">
        <v>250000.0</v>
      </c>
      <c r="I6" s="24" t="s">
        <v>32</v>
      </c>
      <c r="J6" s="24" t="s">
        <v>39</v>
      </c>
      <c r="K6" s="24" t="s">
        <v>39</v>
      </c>
      <c r="L6" s="24" t="s">
        <v>27</v>
      </c>
      <c r="M6" s="24" t="s">
        <v>42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494</v>
      </c>
      <c r="D7" s="17" t="s">
        <v>22</v>
      </c>
      <c r="E7" s="15"/>
      <c r="F7" s="24" t="s">
        <v>46</v>
      </c>
      <c r="G7" s="44"/>
      <c r="H7" s="22">
        <v>100000.0</v>
      </c>
      <c r="I7" s="24" t="s">
        <v>25</v>
      </c>
      <c r="J7" s="14"/>
      <c r="K7" s="14"/>
      <c r="L7" s="24" t="s">
        <v>27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634</v>
      </c>
      <c r="D8" s="17" t="s">
        <v>52</v>
      </c>
      <c r="E8" s="15"/>
      <c r="F8" s="24" t="s">
        <v>579</v>
      </c>
      <c r="G8" s="44"/>
      <c r="H8" s="22">
        <v>125000.0</v>
      </c>
      <c r="I8" s="24" t="s">
        <v>32</v>
      </c>
      <c r="J8" s="24" t="s">
        <v>39</v>
      </c>
      <c r="K8" s="24" t="s">
        <v>55</v>
      </c>
      <c r="L8" s="24" t="s">
        <v>27</v>
      </c>
      <c r="M8" s="24" t="s">
        <v>42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589</v>
      </c>
      <c r="D9" s="17" t="s">
        <v>61</v>
      </c>
      <c r="E9" s="15"/>
      <c r="F9" s="24" t="s">
        <v>579</v>
      </c>
      <c r="G9" s="44"/>
      <c r="H9" s="22">
        <v>50000.0</v>
      </c>
      <c r="I9" s="24" t="s">
        <v>32</v>
      </c>
      <c r="J9" s="24" t="s">
        <v>39</v>
      </c>
      <c r="K9" s="24" t="s">
        <v>39</v>
      </c>
      <c r="L9" s="24" t="s">
        <v>27</v>
      </c>
      <c r="M9" s="24" t="s">
        <v>42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637</v>
      </c>
      <c r="D10" s="17" t="s">
        <v>23</v>
      </c>
      <c r="E10" s="15"/>
      <c r="F10" s="24" t="s">
        <v>579</v>
      </c>
      <c r="G10" s="44"/>
      <c r="H10" s="22">
        <v>175000.0</v>
      </c>
      <c r="I10" s="24" t="s">
        <v>32</v>
      </c>
      <c r="J10" s="24" t="s">
        <v>39</v>
      </c>
      <c r="K10" s="24" t="s">
        <v>39</v>
      </c>
      <c r="L10" s="24" t="s">
        <v>27</v>
      </c>
      <c r="M10" s="24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639</v>
      </c>
      <c r="D11" s="17" t="s">
        <v>23</v>
      </c>
      <c r="E11" s="15"/>
      <c r="F11" s="24" t="s">
        <v>579</v>
      </c>
      <c r="G11" s="22">
        <v>375000.0</v>
      </c>
      <c r="H11" s="22"/>
      <c r="I11" s="24" t="s">
        <v>32</v>
      </c>
      <c r="J11" s="24" t="s">
        <v>39</v>
      </c>
      <c r="K11" s="24" t="s">
        <v>39</v>
      </c>
      <c r="L11" s="24" t="s">
        <v>27</v>
      </c>
      <c r="M11" s="24" t="s">
        <v>81</v>
      </c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630</v>
      </c>
      <c r="D12" s="17" t="s">
        <v>526</v>
      </c>
      <c r="E12" s="15"/>
      <c r="F12" s="24" t="s">
        <v>579</v>
      </c>
      <c r="G12" s="44"/>
      <c r="H12" s="22">
        <v>350000.0</v>
      </c>
      <c r="I12" s="24" t="s">
        <v>32</v>
      </c>
      <c r="J12" s="24" t="s">
        <v>39</v>
      </c>
      <c r="K12" s="24" t="s">
        <v>41</v>
      </c>
      <c r="L12" s="24" t="s">
        <v>27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638</v>
      </c>
      <c r="D13" s="17" t="s">
        <v>22</v>
      </c>
      <c r="E13" s="15"/>
      <c r="F13" s="24" t="s">
        <v>579</v>
      </c>
      <c r="G13" s="62">
        <v>350000.0</v>
      </c>
      <c r="H13" s="54"/>
      <c r="I13" s="24" t="s">
        <v>32</v>
      </c>
      <c r="J13" s="24" t="s">
        <v>39</v>
      </c>
      <c r="K13" s="24" t="s">
        <v>41</v>
      </c>
      <c r="L13" s="24" t="s">
        <v>27</v>
      </c>
      <c r="M13" s="24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45" t="s">
        <v>643</v>
      </c>
      <c r="D14" s="17" t="s">
        <v>23</v>
      </c>
      <c r="E14" s="15"/>
      <c r="F14" s="24" t="s">
        <v>581</v>
      </c>
      <c r="G14" s="44"/>
      <c r="H14" s="22">
        <v>100000.0</v>
      </c>
      <c r="I14" s="24" t="s">
        <v>25</v>
      </c>
      <c r="J14" s="14"/>
      <c r="K14" s="14"/>
      <c r="L14" s="24" t="s">
        <v>27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645</v>
      </c>
      <c r="D15" s="17" t="s">
        <v>239</v>
      </c>
      <c r="E15" s="15"/>
      <c r="F15" s="24" t="s">
        <v>579</v>
      </c>
      <c r="G15" s="44"/>
      <c r="H15" s="22">
        <v>50000.0</v>
      </c>
      <c r="I15" s="24" t="s">
        <v>32</v>
      </c>
      <c r="J15" s="24" t="s">
        <v>39</v>
      </c>
      <c r="K15" s="24" t="s">
        <v>39</v>
      </c>
      <c r="L15" s="24" t="s">
        <v>27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236</v>
      </c>
      <c r="D16" s="17" t="s">
        <v>23</v>
      </c>
      <c r="E16" s="15"/>
      <c r="F16" s="24" t="s">
        <v>579</v>
      </c>
      <c r="G16" s="44"/>
      <c r="H16" s="22">
        <v>350000.0</v>
      </c>
      <c r="I16" s="24" t="s">
        <v>32</v>
      </c>
      <c r="J16" s="24" t="s">
        <v>39</v>
      </c>
      <c r="K16" s="24" t="s">
        <v>41</v>
      </c>
      <c r="L16" s="24" t="s">
        <v>27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38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53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38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38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4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4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3"/>
      <c r="D28" s="97"/>
      <c r="E28" s="15"/>
      <c r="F28" s="14"/>
      <c r="G28" s="44"/>
      <c r="H28" s="54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25.0</v>
      </c>
      <c r="C29" s="63"/>
      <c r="D29" s="97"/>
      <c r="E29" s="15"/>
      <c r="F29" s="14"/>
      <c r="G29" s="44"/>
      <c r="H29" s="54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25.0</v>
      </c>
      <c r="C30" s="63"/>
      <c r="D30" s="97"/>
      <c r="E30" s="15"/>
      <c r="F30" s="14"/>
      <c r="G30" s="44"/>
      <c r="H30" s="54"/>
      <c r="I30" s="14"/>
      <c r="J30" s="14"/>
      <c r="K30" s="14"/>
      <c r="L30" s="14"/>
      <c r="M30" s="14"/>
      <c r="N30" s="64"/>
      <c r="O30" s="64"/>
      <c r="P30" s="64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6">
        <f t="shared" ref="G31:H31" si="1">SUM(G4:G30)</f>
        <v>725000</v>
      </c>
      <c r="H31" s="67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145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146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149</v>
      </c>
      <c r="D35" s="73">
        <f>SUM(G31)</f>
        <v>725000</v>
      </c>
      <c r="E35" s="74"/>
      <c r="F35" s="1"/>
      <c r="G35" s="1"/>
      <c r="H35" s="1"/>
      <c r="I35" s="1"/>
      <c r="J35" s="1"/>
      <c r="K35" s="1"/>
      <c r="L35" s="1"/>
      <c r="M35" s="1"/>
      <c r="N35" s="75" t="s">
        <v>151</v>
      </c>
      <c r="O35" s="76" t="s">
        <v>27</v>
      </c>
      <c r="P35" s="1"/>
      <c r="Q35" s="1"/>
      <c r="R35" s="1"/>
    </row>
    <row r="36" ht="15.75" customHeight="1">
      <c r="A36" s="1"/>
      <c r="B36" s="77">
        <v>2.0</v>
      </c>
      <c r="C36" s="84"/>
      <c r="D36" s="85"/>
      <c r="E36" s="74"/>
      <c r="F36" s="1"/>
      <c r="G36" s="1"/>
      <c r="H36" s="1"/>
      <c r="I36" s="1"/>
      <c r="J36" s="1"/>
      <c r="K36" s="1"/>
      <c r="L36" s="1"/>
      <c r="M36" s="1"/>
      <c r="N36" s="80" t="s">
        <v>157</v>
      </c>
      <c r="O36" s="81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3"/>
      <c r="E37" s="74"/>
      <c r="F37" s="1"/>
      <c r="G37" s="1"/>
      <c r="H37" s="1"/>
      <c r="I37" s="1"/>
      <c r="J37" s="1"/>
      <c r="K37" s="1"/>
      <c r="L37" s="1"/>
      <c r="M37" s="1"/>
      <c r="N37" s="82" t="s">
        <v>160</v>
      </c>
      <c r="O37" s="83" t="s">
        <v>42</v>
      </c>
      <c r="P37" s="1"/>
      <c r="Q37" s="1"/>
      <c r="R37" s="1"/>
    </row>
    <row r="38" ht="15.75" customHeight="1">
      <c r="A38" s="1"/>
      <c r="B38" s="77">
        <v>4.0</v>
      </c>
      <c r="C38" s="84"/>
      <c r="D38" s="85"/>
      <c r="E38" s="74"/>
      <c r="F38" s="1"/>
      <c r="G38" s="1"/>
      <c r="H38" s="1"/>
      <c r="I38" s="1"/>
      <c r="J38" s="1"/>
      <c r="K38" s="1"/>
      <c r="L38" s="1"/>
      <c r="M38" s="1"/>
      <c r="N38" s="86" t="s">
        <v>163</v>
      </c>
      <c r="O38" s="81" t="s">
        <v>81</v>
      </c>
      <c r="P38" s="1"/>
      <c r="Q38" s="1"/>
      <c r="R38" s="1"/>
    </row>
    <row r="39" ht="15.75" customHeight="1">
      <c r="A39" s="1"/>
      <c r="B39" s="71">
        <v>5.0</v>
      </c>
      <c r="C39" s="72"/>
      <c r="D39" s="73"/>
      <c r="E39" s="74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7">
        <v>6.0</v>
      </c>
      <c r="C40" s="84"/>
      <c r="D40" s="85"/>
      <c r="E40" s="74"/>
      <c r="F40" s="1"/>
      <c r="G40" s="1"/>
      <c r="H40" s="1"/>
      <c r="I40" s="1"/>
      <c r="J40" s="1"/>
      <c r="K40" s="89" t="s">
        <v>168</v>
      </c>
      <c r="Q40" s="1"/>
      <c r="R40" s="1"/>
    </row>
    <row r="41" ht="15.75" customHeight="1">
      <c r="A41" s="1"/>
      <c r="B41" s="71">
        <v>7.0</v>
      </c>
      <c r="C41" s="72"/>
      <c r="D41" s="73"/>
      <c r="E41" s="74"/>
      <c r="F41" s="1"/>
      <c r="G41" s="1"/>
      <c r="H41" s="1"/>
      <c r="I41" s="1"/>
      <c r="J41" s="1"/>
      <c r="K41" s="90" t="s">
        <v>1</v>
      </c>
      <c r="L41" s="90" t="s">
        <v>170</v>
      </c>
      <c r="M41" s="90" t="s">
        <v>171</v>
      </c>
      <c r="N41" s="90" t="s">
        <v>173</v>
      </c>
      <c r="O41" s="90" t="s">
        <v>174</v>
      </c>
      <c r="P41" s="90" t="s">
        <v>176</v>
      </c>
      <c r="Q41" s="1"/>
      <c r="R41" s="1"/>
      <c r="AC41" s="91" t="s">
        <v>177</v>
      </c>
      <c r="AD41" s="91" t="s">
        <v>178</v>
      </c>
      <c r="AE41" s="91" t="s">
        <v>179</v>
      </c>
      <c r="AF41" s="91" t="s">
        <v>180</v>
      </c>
      <c r="AG41" s="91" t="s">
        <v>181</v>
      </c>
    </row>
    <row r="42" ht="15.75" customHeight="1">
      <c r="A42" s="1"/>
      <c r="B42" s="77">
        <v>8.0</v>
      </c>
      <c r="C42" s="84"/>
      <c r="D42" s="85"/>
      <c r="E42" s="74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3"/>
      <c r="E43" s="74"/>
      <c r="F43" s="1"/>
      <c r="G43" s="1"/>
      <c r="H43" s="1"/>
      <c r="I43" s="1"/>
      <c r="J43" s="1"/>
      <c r="K43" s="92" t="str">
        <f t="shared" si="2"/>
        <v>AMEL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7">
        <v>10.0</v>
      </c>
      <c r="C44" s="84"/>
      <c r="D44" s="85"/>
      <c r="E44" s="74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4">
        <v>11.0</v>
      </c>
      <c r="C45" s="95"/>
      <c r="D45" s="96"/>
      <c r="E45" s="74"/>
      <c r="F45" s="1"/>
      <c r="G45" s="1"/>
      <c r="H45" s="1"/>
      <c r="I45" s="1"/>
      <c r="J45" s="1"/>
      <c r="K45" s="92" t="str">
        <f t="shared" si="2"/>
        <v>SAKA</v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725000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212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1" t="s">
        <v>213</v>
      </c>
      <c r="N50" s="1"/>
      <c r="O50" s="1"/>
      <c r="P50" s="1"/>
      <c r="Q50" s="1"/>
      <c r="R50" s="1"/>
    </row>
    <row r="51" ht="15.75" customHeight="1">
      <c r="K51" s="102" t="s">
        <v>7</v>
      </c>
      <c r="L51" s="102" t="s">
        <v>214</v>
      </c>
      <c r="M51" s="102" t="s">
        <v>215</v>
      </c>
    </row>
    <row r="52" ht="15.75" customHeight="1">
      <c r="K52" s="103" t="str">
        <f t="shared" ref="K52:K53" si="8">IF(O35="","",O35)</f>
        <v>AMEL</v>
      </c>
      <c r="L52" s="106">
        <v>5.0</v>
      </c>
      <c r="M52" s="104"/>
    </row>
    <row r="53" ht="15.75" customHeight="1">
      <c r="K53" s="103" t="str">
        <f t="shared" si="8"/>
        <v>AMEL</v>
      </c>
      <c r="L53" s="104"/>
      <c r="M53" s="104"/>
    </row>
    <row r="54" ht="15.75" customHeight="1"/>
    <row r="55" ht="19.5" customHeight="1">
      <c r="K55" s="107" t="s">
        <v>218</v>
      </c>
    </row>
    <row r="56" ht="19.5" customHeight="1">
      <c r="K56" s="108" t="s">
        <v>219</v>
      </c>
      <c r="M56" s="106">
        <v>18.0</v>
      </c>
    </row>
    <row r="57" ht="19.5" customHeight="1">
      <c r="K57" s="110" t="s">
        <v>221</v>
      </c>
      <c r="M57" s="112">
        <f>COUNTIF($I$4:$I$33,"DP")</f>
        <v>4</v>
      </c>
    </row>
    <row r="58" ht="19.5" customHeight="1">
      <c r="K58" s="110" t="s">
        <v>223</v>
      </c>
      <c r="M58" s="112">
        <f>COUNTIFS($I$4:$I$33,"&lt;&gt;DP",$I$4:$I$33,"&lt;&gt;")</f>
        <v>9</v>
      </c>
    </row>
    <row r="59" ht="19.5" customHeight="1">
      <c r="K59" s="115" t="s">
        <v>224</v>
      </c>
      <c r="M59" s="112">
        <f>M57+M58</f>
        <v>13</v>
      </c>
    </row>
    <row r="60" ht="19.5" customHeight="1">
      <c r="K60" s="108" t="s">
        <v>226</v>
      </c>
      <c r="M60" s="118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640</v>
      </c>
      <c r="D4" s="17" t="s">
        <v>23</v>
      </c>
      <c r="E4" s="15"/>
      <c r="F4" s="18">
        <v>46293.0</v>
      </c>
      <c r="G4" s="44"/>
      <c r="H4" s="22">
        <v>100000.0</v>
      </c>
      <c r="I4" s="24" t="s">
        <v>25</v>
      </c>
      <c r="J4" s="14"/>
      <c r="K4" s="14"/>
      <c r="L4" s="24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153</v>
      </c>
      <c r="D5" s="17" t="s">
        <v>482</v>
      </c>
      <c r="E5" s="15"/>
      <c r="F5" s="18">
        <v>46266.0</v>
      </c>
      <c r="G5" s="44"/>
      <c r="H5" s="22">
        <v>20000.0</v>
      </c>
      <c r="I5" s="24" t="s">
        <v>32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642</v>
      </c>
      <c r="D6" s="17" t="s">
        <v>22</v>
      </c>
      <c r="E6" s="15"/>
      <c r="F6" s="35">
        <v>46293.0</v>
      </c>
      <c r="G6" s="44"/>
      <c r="H6" s="22">
        <v>100000.0</v>
      </c>
      <c r="I6" s="24" t="s">
        <v>25</v>
      </c>
      <c r="J6" s="14"/>
      <c r="K6" s="14"/>
      <c r="L6" s="24" t="s">
        <v>26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644</v>
      </c>
      <c r="D7" s="17" t="s">
        <v>61</v>
      </c>
      <c r="E7" s="15"/>
      <c r="F7" s="35">
        <v>46293.0</v>
      </c>
      <c r="G7" s="44"/>
      <c r="H7" s="22">
        <v>150000.0</v>
      </c>
      <c r="I7" s="24" t="s">
        <v>32</v>
      </c>
      <c r="J7" s="24" t="s">
        <v>39</v>
      </c>
      <c r="K7" s="24" t="s">
        <v>41</v>
      </c>
      <c r="L7" s="24" t="s">
        <v>26</v>
      </c>
      <c r="M7" s="24" t="s">
        <v>42</v>
      </c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646</v>
      </c>
      <c r="D8" s="17" t="s">
        <v>70</v>
      </c>
      <c r="E8" s="15"/>
      <c r="F8" s="35">
        <v>46294.0</v>
      </c>
      <c r="G8" s="44"/>
      <c r="H8" s="22">
        <v>100000.0</v>
      </c>
      <c r="I8" s="24" t="s">
        <v>32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647</v>
      </c>
      <c r="D9" s="17" t="s">
        <v>22</v>
      </c>
      <c r="E9" s="15"/>
      <c r="F9" s="24" t="s">
        <v>648</v>
      </c>
      <c r="G9" s="44"/>
      <c r="H9" s="22">
        <v>100000.0</v>
      </c>
      <c r="I9" s="24" t="s">
        <v>25</v>
      </c>
      <c r="J9" s="14"/>
      <c r="K9" s="14"/>
      <c r="L9" s="24" t="s">
        <v>27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649</v>
      </c>
      <c r="D10" s="17" t="s">
        <v>22</v>
      </c>
      <c r="E10" s="15"/>
      <c r="F10" s="24" t="s">
        <v>648</v>
      </c>
      <c r="G10" s="62">
        <v>250000.0</v>
      </c>
      <c r="H10" s="54"/>
      <c r="I10" s="24" t="s">
        <v>32</v>
      </c>
      <c r="J10" s="24" t="s">
        <v>39</v>
      </c>
      <c r="K10" s="24" t="s">
        <v>41</v>
      </c>
      <c r="L10" s="24" t="s">
        <v>27</v>
      </c>
      <c r="M10" s="24" t="s">
        <v>42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650</v>
      </c>
      <c r="D11" s="17" t="s">
        <v>70</v>
      </c>
      <c r="E11" s="15"/>
      <c r="F11" s="24" t="s">
        <v>648</v>
      </c>
      <c r="G11" s="44"/>
      <c r="H11" s="22">
        <v>100000.0</v>
      </c>
      <c r="I11" s="24" t="s">
        <v>32</v>
      </c>
      <c r="J11" s="14"/>
      <c r="K11" s="14"/>
      <c r="L11" s="24" t="s">
        <v>27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651</v>
      </c>
      <c r="D12" s="17" t="s">
        <v>23</v>
      </c>
      <c r="E12" s="15"/>
      <c r="F12" s="35">
        <v>46294.0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630</v>
      </c>
      <c r="D13" s="17" t="s">
        <v>343</v>
      </c>
      <c r="E13" s="15"/>
      <c r="F13" s="40">
        <v>46292.0</v>
      </c>
      <c r="G13" s="44"/>
      <c r="H13" s="22">
        <v>10000.0</v>
      </c>
      <c r="I13" s="24" t="s">
        <v>32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647</v>
      </c>
      <c r="D14" s="17" t="s">
        <v>22</v>
      </c>
      <c r="E14" s="15"/>
      <c r="F14" s="24" t="s">
        <v>648</v>
      </c>
      <c r="G14" s="44"/>
      <c r="H14" s="22">
        <v>250000.0</v>
      </c>
      <c r="I14" s="24" t="s">
        <v>32</v>
      </c>
      <c r="J14" s="24" t="s">
        <v>39</v>
      </c>
      <c r="K14" s="24" t="s">
        <v>41</v>
      </c>
      <c r="L14" s="24" t="s">
        <v>27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650</v>
      </c>
      <c r="D15" s="17" t="s">
        <v>70</v>
      </c>
      <c r="E15" s="15"/>
      <c r="F15" s="24" t="s">
        <v>648</v>
      </c>
      <c r="G15" s="44"/>
      <c r="H15" s="22">
        <v>50000.0</v>
      </c>
      <c r="I15" s="24" t="s">
        <v>32</v>
      </c>
      <c r="J15" s="24" t="s">
        <v>39</v>
      </c>
      <c r="K15" s="24" t="s">
        <v>39</v>
      </c>
      <c r="L15" s="24" t="s">
        <v>27</v>
      </c>
      <c r="M15" s="24" t="s">
        <v>81</v>
      </c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640</v>
      </c>
      <c r="D16" s="17" t="s">
        <v>23</v>
      </c>
      <c r="E16" s="15"/>
      <c r="F16" s="24" t="s">
        <v>648</v>
      </c>
      <c r="G16" s="44"/>
      <c r="H16" s="22">
        <v>475000.0</v>
      </c>
      <c r="I16" s="24" t="s">
        <v>32</v>
      </c>
      <c r="J16" s="24" t="s">
        <v>39</v>
      </c>
      <c r="K16" s="24" t="s">
        <v>39</v>
      </c>
      <c r="L16" s="24" t="s">
        <v>27</v>
      </c>
      <c r="M16" s="24" t="s">
        <v>81</v>
      </c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38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38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170"/>
      <c r="D20" s="97"/>
      <c r="E20" s="15"/>
      <c r="F20" s="138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170"/>
      <c r="D21" s="97"/>
      <c r="E21" s="15"/>
      <c r="F21" s="138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38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38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38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38"/>
      <c r="G25" s="44"/>
      <c r="H25" s="54"/>
      <c r="I25" s="14"/>
      <c r="J25" s="14"/>
      <c r="K25" s="14"/>
      <c r="L25" s="14"/>
      <c r="M25" s="14"/>
      <c r="N25" s="64"/>
      <c r="O25" s="64"/>
      <c r="P25" s="64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6">
        <f t="shared" ref="G26:H26" si="1">SUM(G4:G25)</f>
        <v>250000</v>
      </c>
      <c r="H26" s="67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145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146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149</v>
      </c>
      <c r="D30" s="73">
        <f>SUM(G26)</f>
        <v>250000</v>
      </c>
      <c r="E30" s="74"/>
      <c r="F30" s="1"/>
      <c r="G30" s="1"/>
      <c r="H30" s="1"/>
      <c r="I30" s="1"/>
      <c r="J30" s="1"/>
      <c r="K30" s="1"/>
      <c r="L30" s="1"/>
      <c r="M30" s="1"/>
      <c r="N30" s="75" t="s">
        <v>151</v>
      </c>
      <c r="O30" s="76" t="s">
        <v>26</v>
      </c>
      <c r="P30" s="1"/>
      <c r="Q30" s="1"/>
      <c r="R30" s="1"/>
    </row>
    <row r="31" ht="15.75" customHeight="1">
      <c r="A31" s="1"/>
      <c r="B31" s="77">
        <v>2.0</v>
      </c>
      <c r="C31" s="84"/>
      <c r="D31" s="85"/>
      <c r="E31" s="74"/>
      <c r="F31" s="1"/>
      <c r="G31" s="1"/>
      <c r="H31" s="1"/>
      <c r="I31" s="1"/>
      <c r="J31" s="1"/>
      <c r="K31" s="1"/>
      <c r="L31" s="1"/>
      <c r="M31" s="1"/>
      <c r="N31" s="80" t="s">
        <v>157</v>
      </c>
      <c r="O31" s="81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3"/>
      <c r="E32" s="74"/>
      <c r="F32" s="1"/>
      <c r="G32" s="1"/>
      <c r="H32" s="1"/>
      <c r="I32" s="1"/>
      <c r="J32" s="1"/>
      <c r="K32" s="1"/>
      <c r="L32" s="1"/>
      <c r="M32" s="1"/>
      <c r="N32" s="82" t="s">
        <v>160</v>
      </c>
      <c r="O32" s="83" t="s">
        <v>42</v>
      </c>
      <c r="P32" s="1"/>
      <c r="Q32" s="1"/>
      <c r="R32" s="1"/>
    </row>
    <row r="33" ht="15.75" customHeight="1">
      <c r="A33" s="1"/>
      <c r="B33" s="77">
        <v>4.0</v>
      </c>
      <c r="C33" s="84"/>
      <c r="D33" s="85"/>
      <c r="E33" s="74"/>
      <c r="F33" s="1"/>
      <c r="G33" s="1"/>
      <c r="H33" s="1"/>
      <c r="I33" s="1"/>
      <c r="J33" s="1"/>
      <c r="K33" s="1"/>
      <c r="L33" s="1"/>
      <c r="M33" s="1"/>
      <c r="N33" s="86" t="s">
        <v>163</v>
      </c>
      <c r="O33" s="81" t="s">
        <v>81</v>
      </c>
      <c r="P33" s="1"/>
      <c r="Q33" s="1"/>
      <c r="R33" s="1"/>
    </row>
    <row r="34" ht="15.75" customHeight="1">
      <c r="A34" s="1"/>
      <c r="B34" s="71">
        <v>5.0</v>
      </c>
      <c r="C34" s="72"/>
      <c r="D34" s="73"/>
      <c r="E34" s="74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7">
        <v>6.0</v>
      </c>
      <c r="C35" s="84"/>
      <c r="D35" s="85"/>
      <c r="E35" s="74"/>
      <c r="F35" s="116"/>
      <c r="G35" s="1"/>
      <c r="H35" s="1"/>
      <c r="I35" s="1"/>
      <c r="J35" s="1"/>
      <c r="K35" s="89" t="s">
        <v>168</v>
      </c>
      <c r="Q35" s="1"/>
      <c r="R35" s="1"/>
    </row>
    <row r="36" ht="15.75" customHeight="1">
      <c r="A36" s="1"/>
      <c r="B36" s="71">
        <v>7.0</v>
      </c>
      <c r="C36" s="72"/>
      <c r="D36" s="73"/>
      <c r="E36" s="74"/>
      <c r="F36" s="1"/>
      <c r="G36" s="1"/>
      <c r="H36" s="1"/>
      <c r="I36" s="1"/>
      <c r="J36" s="1"/>
      <c r="K36" s="90" t="s">
        <v>1</v>
      </c>
      <c r="L36" s="90" t="s">
        <v>170</v>
      </c>
      <c r="M36" s="90" t="s">
        <v>171</v>
      </c>
      <c r="N36" s="90" t="s">
        <v>173</v>
      </c>
      <c r="O36" s="90" t="s">
        <v>174</v>
      </c>
      <c r="P36" s="90" t="s">
        <v>176</v>
      </c>
      <c r="Q36" s="1"/>
      <c r="R36" s="1"/>
      <c r="AC36" s="91" t="s">
        <v>177</v>
      </c>
      <c r="AD36" s="91" t="s">
        <v>178</v>
      </c>
      <c r="AE36" s="91" t="s">
        <v>179</v>
      </c>
      <c r="AF36" s="91" t="s">
        <v>180</v>
      </c>
      <c r="AG36" s="91" t="s">
        <v>181</v>
      </c>
    </row>
    <row r="37" ht="15.75" customHeight="1">
      <c r="A37" s="1"/>
      <c r="B37" s="77">
        <v>8.0</v>
      </c>
      <c r="C37" s="84"/>
      <c r="D37" s="85"/>
      <c r="E37" s="74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3"/>
      <c r="E38" s="74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7">
        <v>10.0</v>
      </c>
      <c r="C39" s="84"/>
      <c r="D39" s="85"/>
      <c r="E39" s="74"/>
      <c r="F39" s="1"/>
      <c r="G39" s="1"/>
      <c r="H39" s="1"/>
      <c r="I39" s="1"/>
      <c r="J39" s="1"/>
      <c r="K39" s="92" t="str">
        <f t="shared" si="2"/>
        <v>ADIF</v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4">
        <v>11.0</v>
      </c>
      <c r="C40" s="95"/>
      <c r="D40" s="96"/>
      <c r="E40" s="74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250000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212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1" t="s">
        <v>213</v>
      </c>
      <c r="N45" s="1"/>
      <c r="O45" s="1"/>
      <c r="P45" s="1"/>
      <c r="Q45" s="1"/>
      <c r="R45" s="1"/>
    </row>
    <row r="46" ht="15.75" customHeight="1">
      <c r="K46" s="102" t="s">
        <v>7</v>
      </c>
      <c r="L46" s="102" t="s">
        <v>214</v>
      </c>
      <c r="M46" s="102" t="s">
        <v>215</v>
      </c>
    </row>
    <row r="47" ht="15.75" customHeight="1">
      <c r="K47" s="103" t="str">
        <f t="shared" ref="K47:K48" si="8">IF(O30="","",O30)</f>
        <v>INDAH</v>
      </c>
      <c r="L47" s="106">
        <v>5.0</v>
      </c>
      <c r="M47" s="106" t="s">
        <v>653</v>
      </c>
    </row>
    <row r="48" ht="15.75" customHeight="1">
      <c r="K48" s="103" t="str">
        <f t="shared" si="8"/>
        <v>AMEL</v>
      </c>
      <c r="L48" s="106">
        <v>3.0</v>
      </c>
      <c r="M48" s="104"/>
    </row>
    <row r="49" ht="15.75" customHeight="1"/>
    <row r="50" ht="19.5" customHeight="1">
      <c r="K50" s="107" t="s">
        <v>218</v>
      </c>
    </row>
    <row r="51" ht="19.5" customHeight="1">
      <c r="K51" s="108" t="s">
        <v>219</v>
      </c>
      <c r="M51" s="106">
        <v>29.0</v>
      </c>
    </row>
    <row r="52" ht="19.5" customHeight="1">
      <c r="K52" s="110" t="s">
        <v>221</v>
      </c>
      <c r="M52" s="112">
        <f>COUNTIF($I$4:$I$28,"DP")</f>
        <v>4</v>
      </c>
    </row>
    <row r="53" ht="19.5" customHeight="1">
      <c r="K53" s="110" t="s">
        <v>223</v>
      </c>
      <c r="M53" s="112">
        <f>COUNTIFS($I$4:$I$28,"&lt;&gt;DP",$I$4:$I$28,"&lt;&gt;")</f>
        <v>9</v>
      </c>
    </row>
    <row r="54" ht="19.5" customHeight="1">
      <c r="K54" s="115" t="s">
        <v>224</v>
      </c>
      <c r="M54" s="112">
        <f>M52+M53</f>
        <v>13</v>
      </c>
    </row>
    <row r="55" ht="19.5" customHeight="1">
      <c r="K55" s="108" t="s">
        <v>226</v>
      </c>
      <c r="M55" s="118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654</v>
      </c>
      <c r="D4" s="17" t="s">
        <v>23</v>
      </c>
      <c r="E4" s="15"/>
      <c r="F4" s="24" t="s">
        <v>655</v>
      </c>
      <c r="G4" s="44"/>
      <c r="H4" s="22">
        <v>100000.0</v>
      </c>
      <c r="I4" s="24" t="s">
        <v>25</v>
      </c>
      <c r="J4" s="14"/>
      <c r="K4" s="14"/>
      <c r="L4" s="24" t="s">
        <v>27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656</v>
      </c>
      <c r="D5" s="17" t="s">
        <v>22</v>
      </c>
      <c r="E5" s="15"/>
      <c r="F5" s="24" t="s">
        <v>657</v>
      </c>
      <c r="G5" s="44"/>
      <c r="H5" s="22">
        <v>100000.0</v>
      </c>
      <c r="I5" s="24" t="s">
        <v>25</v>
      </c>
      <c r="J5" s="14"/>
      <c r="K5" s="14"/>
      <c r="L5" s="24" t="s">
        <v>27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658</v>
      </c>
      <c r="D6" s="17" t="s">
        <v>70</v>
      </c>
      <c r="E6" s="15"/>
      <c r="F6" s="24" t="s">
        <v>655</v>
      </c>
      <c r="G6" s="62">
        <v>50000.0</v>
      </c>
      <c r="H6" s="54"/>
      <c r="I6" s="24" t="s">
        <v>32</v>
      </c>
      <c r="J6" s="24" t="s">
        <v>39</v>
      </c>
      <c r="K6" s="24" t="s">
        <v>39</v>
      </c>
      <c r="L6" s="24" t="s">
        <v>27</v>
      </c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659</v>
      </c>
      <c r="D7" s="17" t="s">
        <v>22</v>
      </c>
      <c r="E7" s="15"/>
      <c r="F7" s="40">
        <v>46301.0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636</v>
      </c>
      <c r="D8" s="17" t="s">
        <v>22</v>
      </c>
      <c r="E8" s="15"/>
      <c r="F8" s="40">
        <v>46294.0</v>
      </c>
      <c r="G8" s="44"/>
      <c r="H8" s="22">
        <v>250000.0</v>
      </c>
      <c r="I8" s="24" t="s">
        <v>32</v>
      </c>
      <c r="J8" s="24" t="s">
        <v>39</v>
      </c>
      <c r="K8" s="24" t="s">
        <v>41</v>
      </c>
      <c r="L8" s="24" t="s">
        <v>26</v>
      </c>
      <c r="M8" s="24" t="s">
        <v>81</v>
      </c>
      <c r="N8" s="33"/>
      <c r="O8" s="33"/>
      <c r="P8" s="33"/>
      <c r="Q8" s="1"/>
      <c r="R8" s="1"/>
    </row>
    <row r="9" ht="15.75" customHeight="1">
      <c r="A9" s="1"/>
      <c r="B9" s="14">
        <v>6.0</v>
      </c>
      <c r="C9" s="16" t="s">
        <v>660</v>
      </c>
      <c r="D9" s="17" t="s">
        <v>23</v>
      </c>
      <c r="E9" s="15"/>
      <c r="F9" s="40">
        <v>46294.0</v>
      </c>
      <c r="G9" s="44"/>
      <c r="H9" s="22">
        <v>400000.0</v>
      </c>
      <c r="I9" s="24" t="s">
        <v>32</v>
      </c>
      <c r="J9" s="24" t="s">
        <v>39</v>
      </c>
      <c r="K9" s="24" t="s">
        <v>41</v>
      </c>
      <c r="L9" s="24" t="s">
        <v>26</v>
      </c>
      <c r="M9" s="24" t="s">
        <v>81</v>
      </c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654</v>
      </c>
      <c r="D10" s="17" t="s">
        <v>23</v>
      </c>
      <c r="E10" s="15"/>
      <c r="F10" s="40">
        <v>46294.0</v>
      </c>
      <c r="G10" s="44"/>
      <c r="H10" s="22">
        <v>75000.0</v>
      </c>
      <c r="I10" s="24" t="s">
        <v>32</v>
      </c>
      <c r="J10" s="24" t="s">
        <v>39</v>
      </c>
      <c r="K10" s="24" t="s">
        <v>39</v>
      </c>
      <c r="L10" s="24" t="s">
        <v>26</v>
      </c>
      <c r="M10" s="24" t="s">
        <v>81</v>
      </c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661</v>
      </c>
      <c r="D11" s="17" t="s">
        <v>23</v>
      </c>
      <c r="E11" s="15"/>
      <c r="F11" s="40">
        <v>46296.0</v>
      </c>
      <c r="G11" s="44"/>
      <c r="H11" s="22">
        <v>100000.0</v>
      </c>
      <c r="I11" s="24" t="s">
        <v>25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662</v>
      </c>
      <c r="D12" s="17" t="s">
        <v>22</v>
      </c>
      <c r="E12" s="15"/>
      <c r="F12" s="40">
        <v>46300.0</v>
      </c>
      <c r="G12" s="44"/>
      <c r="H12" s="22">
        <v>100000.0</v>
      </c>
      <c r="I12" s="24" t="s">
        <v>25</v>
      </c>
      <c r="J12" s="14"/>
      <c r="K12" s="14"/>
      <c r="L12" s="24" t="s">
        <v>26</v>
      </c>
      <c r="M12" s="14"/>
      <c r="N12" s="33"/>
      <c r="O12" s="33"/>
      <c r="P12" s="33"/>
      <c r="Q12" s="1"/>
      <c r="R12" s="1"/>
    </row>
    <row r="13" ht="15.75" customHeight="1">
      <c r="A13" s="1"/>
      <c r="B13" s="14">
        <v>0.0</v>
      </c>
      <c r="C13" s="16" t="s">
        <v>663</v>
      </c>
      <c r="D13" s="17" t="s">
        <v>52</v>
      </c>
      <c r="E13" s="15"/>
      <c r="F13" s="40">
        <v>46297.0</v>
      </c>
      <c r="G13" s="44"/>
      <c r="H13" s="22">
        <v>100000.0</v>
      </c>
      <c r="I13" s="24" t="s">
        <v>25</v>
      </c>
      <c r="J13" s="14"/>
      <c r="K13" s="14"/>
      <c r="L13" s="24" t="s">
        <v>26</v>
      </c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254</v>
      </c>
      <c r="D14" s="17" t="s">
        <v>482</v>
      </c>
      <c r="E14" s="15"/>
      <c r="F14" s="40">
        <v>46274.0</v>
      </c>
      <c r="G14" s="44"/>
      <c r="H14" s="22">
        <v>20000.0</v>
      </c>
      <c r="I14" s="24" t="s">
        <v>32</v>
      </c>
      <c r="J14" s="14"/>
      <c r="K14" s="14"/>
      <c r="L14" s="24" t="s">
        <v>26</v>
      </c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664</v>
      </c>
      <c r="D15" s="17" t="s">
        <v>23</v>
      </c>
      <c r="E15" s="15"/>
      <c r="F15" s="40">
        <v>46296.0</v>
      </c>
      <c r="G15" s="44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4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38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38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38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38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38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38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38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38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38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4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38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3"/>
      <c r="D28" s="97"/>
      <c r="E28" s="15"/>
      <c r="F28" s="138"/>
      <c r="G28" s="44"/>
      <c r="H28" s="54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3"/>
      <c r="D29" s="97"/>
      <c r="E29" s="15"/>
      <c r="F29" s="138"/>
      <c r="G29" s="44"/>
      <c r="H29" s="54"/>
      <c r="I29" s="14"/>
      <c r="J29" s="14"/>
      <c r="K29" s="14"/>
      <c r="L29" s="14"/>
      <c r="M29" s="14"/>
      <c r="N29" s="64"/>
      <c r="O29" s="64"/>
      <c r="P29" s="64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6">
        <f t="shared" ref="G30:H30" si="1">SUM(G4:G29)</f>
        <v>50000</v>
      </c>
      <c r="H30" s="67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145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146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149</v>
      </c>
      <c r="D34" s="73">
        <f>SUM(G30)</f>
        <v>50000</v>
      </c>
      <c r="E34" s="74"/>
      <c r="F34" s="1"/>
      <c r="G34" s="1"/>
      <c r="H34" s="1"/>
      <c r="I34" s="1"/>
      <c r="J34" s="1"/>
      <c r="K34" s="1"/>
      <c r="L34" s="1"/>
      <c r="M34" s="1"/>
      <c r="N34" s="75" t="s">
        <v>151</v>
      </c>
      <c r="O34" s="76" t="s">
        <v>27</v>
      </c>
      <c r="P34" s="1"/>
      <c r="Q34" s="1"/>
      <c r="R34" s="1"/>
    </row>
    <row r="35" ht="15.75" customHeight="1">
      <c r="A35" s="1"/>
      <c r="B35" s="77">
        <v>2.0</v>
      </c>
      <c r="C35" s="84"/>
      <c r="D35" s="85"/>
      <c r="E35" s="74"/>
      <c r="F35" s="1"/>
      <c r="G35" s="1"/>
      <c r="H35" s="1"/>
      <c r="I35" s="1"/>
      <c r="J35" s="1"/>
      <c r="K35" s="1"/>
      <c r="L35" s="1"/>
      <c r="M35" s="1"/>
      <c r="N35" s="80" t="s">
        <v>157</v>
      </c>
      <c r="O35" s="81" t="s">
        <v>26</v>
      </c>
      <c r="P35" s="1"/>
      <c r="Q35" s="1"/>
      <c r="R35" s="1"/>
    </row>
    <row r="36" ht="15.75" customHeight="1">
      <c r="A36" s="1"/>
      <c r="B36" s="71">
        <v>3.0</v>
      </c>
      <c r="C36" s="72"/>
      <c r="D36" s="73"/>
      <c r="E36" s="74"/>
      <c r="F36" s="1"/>
      <c r="G36" s="1"/>
      <c r="H36" s="1"/>
      <c r="I36" s="1"/>
      <c r="J36" s="1"/>
      <c r="K36" s="1"/>
      <c r="L36" s="1"/>
      <c r="M36" s="1"/>
      <c r="N36" s="82" t="s">
        <v>160</v>
      </c>
      <c r="O36" s="83" t="s">
        <v>81</v>
      </c>
      <c r="P36" s="1"/>
      <c r="Q36" s="1"/>
      <c r="R36" s="1"/>
    </row>
    <row r="37" ht="15.75" customHeight="1">
      <c r="A37" s="1"/>
      <c r="B37" s="77">
        <v>4.0</v>
      </c>
      <c r="C37" s="84"/>
      <c r="D37" s="85"/>
      <c r="E37" s="74"/>
      <c r="F37" s="1"/>
      <c r="G37" s="1"/>
      <c r="H37" s="1"/>
      <c r="I37" s="1"/>
      <c r="J37" s="1"/>
      <c r="K37" s="1"/>
      <c r="L37" s="1"/>
      <c r="M37" s="1"/>
      <c r="N37" s="86" t="s">
        <v>163</v>
      </c>
      <c r="O37" s="81" t="s">
        <v>81</v>
      </c>
      <c r="P37" s="1"/>
      <c r="Q37" s="1"/>
      <c r="R37" s="1"/>
    </row>
    <row r="38" ht="15.75" customHeight="1">
      <c r="A38" s="1"/>
      <c r="B38" s="71">
        <v>5.0</v>
      </c>
      <c r="C38" s="72"/>
      <c r="D38" s="73"/>
      <c r="E38" s="74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7">
        <v>6.0</v>
      </c>
      <c r="C39" s="84"/>
      <c r="D39" s="85"/>
      <c r="E39" s="74"/>
      <c r="F39" s="1"/>
      <c r="G39" s="1"/>
      <c r="H39" s="1"/>
      <c r="I39" s="1"/>
      <c r="J39" s="1"/>
      <c r="K39" s="89" t="s">
        <v>168</v>
      </c>
      <c r="Q39" s="1"/>
      <c r="R39" s="1"/>
    </row>
    <row r="40" ht="15.75" customHeight="1">
      <c r="A40" s="1"/>
      <c r="B40" s="71">
        <v>7.0</v>
      </c>
      <c r="C40" s="72"/>
      <c r="D40" s="73"/>
      <c r="E40" s="74"/>
      <c r="F40" s="1"/>
      <c r="G40" s="1"/>
      <c r="H40" s="1"/>
      <c r="I40" s="1"/>
      <c r="J40" s="1"/>
      <c r="K40" s="90" t="s">
        <v>1</v>
      </c>
      <c r="L40" s="90" t="s">
        <v>170</v>
      </c>
      <c r="M40" s="90" t="s">
        <v>171</v>
      </c>
      <c r="N40" s="90" t="s">
        <v>173</v>
      </c>
      <c r="O40" s="90" t="s">
        <v>174</v>
      </c>
      <c r="P40" s="90" t="s">
        <v>176</v>
      </c>
      <c r="Q40" s="1"/>
      <c r="R40" s="1"/>
      <c r="AC40" s="91" t="s">
        <v>177</v>
      </c>
      <c r="AD40" s="91" t="s">
        <v>178</v>
      </c>
      <c r="AE40" s="91" t="s">
        <v>179</v>
      </c>
      <c r="AF40" s="91" t="s">
        <v>180</v>
      </c>
      <c r="AG40" s="91" t="s">
        <v>181</v>
      </c>
    </row>
    <row r="41" ht="15.75" customHeight="1">
      <c r="A41" s="1"/>
      <c r="B41" s="77">
        <v>8.0</v>
      </c>
      <c r="C41" s="84"/>
      <c r="D41" s="85"/>
      <c r="E41" s="74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3"/>
      <c r="E42" s="74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7">
        <v>10.0</v>
      </c>
      <c r="C43" s="84"/>
      <c r="D43" s="85"/>
      <c r="E43" s="74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4">
        <v>11.0</v>
      </c>
      <c r="C44" s="95"/>
      <c r="D44" s="96"/>
      <c r="E44" s="74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98">
        <f>SUM(D34:D44)</f>
        <v>50000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212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1" t="s">
        <v>213</v>
      </c>
      <c r="N49" s="1"/>
      <c r="O49" s="1"/>
      <c r="P49" s="1"/>
      <c r="Q49" s="1"/>
      <c r="R49" s="1"/>
    </row>
    <row r="50" ht="15.75" customHeight="1">
      <c r="K50" s="102" t="s">
        <v>7</v>
      </c>
      <c r="L50" s="102" t="s">
        <v>214</v>
      </c>
      <c r="M50" s="102" t="s">
        <v>215</v>
      </c>
    </row>
    <row r="51" ht="15.75" customHeight="1">
      <c r="K51" s="103" t="str">
        <f t="shared" ref="K51:K52" si="8">IF(O34="","",O34)</f>
        <v>AMEL</v>
      </c>
      <c r="L51" s="104"/>
      <c r="M51" s="104"/>
    </row>
    <row r="52" ht="15.75" customHeight="1">
      <c r="K52" s="103" t="str">
        <f t="shared" si="8"/>
        <v>INDAH</v>
      </c>
      <c r="L52" s="106">
        <v>5.0</v>
      </c>
      <c r="M52" s="106" t="s">
        <v>349</v>
      </c>
    </row>
    <row r="53" ht="15.75" customHeight="1"/>
    <row r="54" ht="19.5" customHeight="1">
      <c r="K54" s="107" t="s">
        <v>218</v>
      </c>
    </row>
    <row r="55" ht="19.5" customHeight="1">
      <c r="K55" s="108" t="s">
        <v>219</v>
      </c>
      <c r="M55" s="106">
        <v>34.0</v>
      </c>
    </row>
    <row r="56" ht="19.5" customHeight="1">
      <c r="K56" s="110" t="s">
        <v>221</v>
      </c>
      <c r="M56" s="112">
        <f>COUNTIF($I$4:$I$32,"DP")</f>
        <v>7</v>
      </c>
    </row>
    <row r="57" ht="19.5" customHeight="1">
      <c r="K57" s="110" t="s">
        <v>223</v>
      </c>
      <c r="M57" s="112">
        <f>COUNTIFS($I$4:$I$32,"&lt;&gt;DP",$I$4:$I$32,"&lt;&gt;")</f>
        <v>5</v>
      </c>
    </row>
    <row r="58" ht="19.5" customHeight="1">
      <c r="K58" s="115" t="s">
        <v>224</v>
      </c>
      <c r="M58" s="112">
        <f>M56+M57</f>
        <v>12</v>
      </c>
    </row>
    <row r="59" ht="19.5" customHeight="1">
      <c r="K59" s="108" t="s">
        <v>226</v>
      </c>
      <c r="M59" s="118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7" t="s">
        <v>665</v>
      </c>
      <c r="D4" s="19" t="s">
        <v>22</v>
      </c>
      <c r="E4" s="21"/>
      <c r="F4" s="41">
        <v>46301.0</v>
      </c>
      <c r="G4" s="25"/>
      <c r="H4" s="26">
        <v>100000.0</v>
      </c>
      <c r="I4" s="23" t="s">
        <v>25</v>
      </c>
      <c r="J4" s="28"/>
      <c r="K4" s="28"/>
      <c r="L4" s="23" t="s">
        <v>26</v>
      </c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16" t="s">
        <v>666</v>
      </c>
      <c r="D5" s="17" t="s">
        <v>526</v>
      </c>
      <c r="E5" s="15"/>
      <c r="F5" s="18">
        <v>46299.0</v>
      </c>
      <c r="G5" s="44"/>
      <c r="H5" s="22">
        <v>100000.0</v>
      </c>
      <c r="I5" s="24" t="s">
        <v>25</v>
      </c>
      <c r="J5" s="14"/>
      <c r="K5" s="14"/>
      <c r="L5" s="24" t="s">
        <v>26</v>
      </c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16" t="s">
        <v>643</v>
      </c>
      <c r="D6" s="17" t="s">
        <v>23</v>
      </c>
      <c r="E6" s="15"/>
      <c r="F6" s="40">
        <v>46295.0</v>
      </c>
      <c r="G6" s="44"/>
      <c r="H6" s="22">
        <v>900000.0</v>
      </c>
      <c r="I6" s="24" t="s">
        <v>32</v>
      </c>
      <c r="J6" s="24" t="s">
        <v>39</v>
      </c>
      <c r="K6" s="24" t="s">
        <v>41</v>
      </c>
      <c r="L6" s="24" t="s">
        <v>26</v>
      </c>
      <c r="M6" s="24" t="s">
        <v>81</v>
      </c>
      <c r="N6" s="33"/>
      <c r="O6" s="33"/>
      <c r="P6" s="33"/>
      <c r="Q6" s="1"/>
      <c r="R6" s="1"/>
    </row>
    <row r="7" ht="15.75" customHeight="1">
      <c r="A7" s="1"/>
      <c r="B7" s="14">
        <v>4.0</v>
      </c>
      <c r="C7" s="16" t="s">
        <v>667</v>
      </c>
      <c r="D7" s="17" t="s">
        <v>22</v>
      </c>
      <c r="E7" s="15"/>
      <c r="F7" s="40">
        <v>46299.0</v>
      </c>
      <c r="G7" s="44"/>
      <c r="H7" s="22">
        <v>100000.0</v>
      </c>
      <c r="I7" s="24" t="s">
        <v>25</v>
      </c>
      <c r="J7" s="14"/>
      <c r="K7" s="14"/>
      <c r="L7" s="24" t="s">
        <v>26</v>
      </c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16" t="s">
        <v>668</v>
      </c>
      <c r="D8" s="17" t="s">
        <v>23</v>
      </c>
      <c r="E8" s="15"/>
      <c r="F8" s="40">
        <v>46296.0</v>
      </c>
      <c r="G8" s="44"/>
      <c r="H8" s="22">
        <v>100000.0</v>
      </c>
      <c r="I8" s="24" t="s">
        <v>25</v>
      </c>
      <c r="J8" s="14"/>
      <c r="K8" s="14"/>
      <c r="L8" s="24" t="s">
        <v>26</v>
      </c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45" t="s">
        <v>669</v>
      </c>
      <c r="D9" s="17" t="s">
        <v>482</v>
      </c>
      <c r="E9" s="15"/>
      <c r="F9" s="40">
        <v>46267.0</v>
      </c>
      <c r="G9" s="44"/>
      <c r="H9" s="22">
        <v>20000.0</v>
      </c>
      <c r="I9" s="24" t="s">
        <v>32</v>
      </c>
      <c r="J9" s="14"/>
      <c r="K9" s="14"/>
      <c r="L9" s="24" t="s">
        <v>26</v>
      </c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16" t="s">
        <v>670</v>
      </c>
      <c r="D10" s="17" t="s">
        <v>22</v>
      </c>
      <c r="E10" s="15"/>
      <c r="F10" s="40">
        <v>46299.0</v>
      </c>
      <c r="G10" s="44"/>
      <c r="H10" s="22">
        <v>350000.0</v>
      </c>
      <c r="I10" s="24" t="s">
        <v>32</v>
      </c>
      <c r="J10" s="14"/>
      <c r="K10" s="14"/>
      <c r="L10" s="24" t="s">
        <v>26</v>
      </c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16" t="s">
        <v>671</v>
      </c>
      <c r="D11" s="17" t="s">
        <v>96</v>
      </c>
      <c r="E11" s="15"/>
      <c r="F11" s="40">
        <v>46295.0</v>
      </c>
      <c r="G11" s="44"/>
      <c r="H11" s="22">
        <v>200000.0</v>
      </c>
      <c r="I11" s="24" t="s">
        <v>32</v>
      </c>
      <c r="J11" s="14"/>
      <c r="K11" s="14"/>
      <c r="L11" s="24" t="s">
        <v>26</v>
      </c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16" t="s">
        <v>580</v>
      </c>
      <c r="D12" s="17" t="s">
        <v>22</v>
      </c>
      <c r="E12" s="15"/>
      <c r="F12" s="40">
        <v>46295.0</v>
      </c>
      <c r="G12" s="62">
        <v>250000.0</v>
      </c>
      <c r="H12" s="54"/>
      <c r="I12" s="24" t="s">
        <v>32</v>
      </c>
      <c r="J12" s="24" t="s">
        <v>39</v>
      </c>
      <c r="K12" s="24" t="s">
        <v>41</v>
      </c>
      <c r="L12" s="24" t="s">
        <v>26</v>
      </c>
      <c r="M12" s="24" t="s">
        <v>81</v>
      </c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16" t="s">
        <v>382</v>
      </c>
      <c r="D13" s="17" t="s">
        <v>22</v>
      </c>
      <c r="E13" s="15"/>
      <c r="F13" s="40">
        <v>46295.0</v>
      </c>
      <c r="G13" s="62">
        <v>370000.0</v>
      </c>
      <c r="H13" s="54"/>
      <c r="I13" s="24" t="s">
        <v>32</v>
      </c>
      <c r="J13" s="24" t="s">
        <v>39</v>
      </c>
      <c r="K13" s="24" t="s">
        <v>41</v>
      </c>
      <c r="L13" s="24" t="s">
        <v>26</v>
      </c>
      <c r="M13" s="24" t="s">
        <v>81</v>
      </c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16" t="s">
        <v>672</v>
      </c>
      <c r="D14" s="17" t="s">
        <v>239</v>
      </c>
      <c r="E14" s="23" t="s">
        <v>282</v>
      </c>
      <c r="F14" s="40">
        <v>46295.0</v>
      </c>
      <c r="G14" s="62">
        <v>50000.0</v>
      </c>
      <c r="H14" s="54"/>
      <c r="I14" s="24" t="s">
        <v>32</v>
      </c>
      <c r="J14" s="24" t="s">
        <v>39</v>
      </c>
      <c r="K14" s="24" t="s">
        <v>39</v>
      </c>
      <c r="L14" s="24" t="s">
        <v>26</v>
      </c>
      <c r="M14" s="24" t="s">
        <v>81</v>
      </c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16" t="s">
        <v>673</v>
      </c>
      <c r="D15" s="17" t="s">
        <v>23</v>
      </c>
      <c r="E15" s="15"/>
      <c r="F15" s="40">
        <v>46302.0</v>
      </c>
      <c r="G15" s="44"/>
      <c r="H15" s="22">
        <v>100000.0</v>
      </c>
      <c r="I15" s="24" t="s">
        <v>25</v>
      </c>
      <c r="J15" s="14"/>
      <c r="K15" s="14"/>
      <c r="L15" s="24" t="s">
        <v>26</v>
      </c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16" t="s">
        <v>476</v>
      </c>
      <c r="D16" s="17" t="s">
        <v>343</v>
      </c>
      <c r="E16" s="15"/>
      <c r="F16" s="40">
        <v>46295.0</v>
      </c>
      <c r="G16" s="44"/>
      <c r="H16" s="22">
        <v>20000.0</v>
      </c>
      <c r="I16" s="24" t="s">
        <v>32</v>
      </c>
      <c r="J16" s="14"/>
      <c r="K16" s="14"/>
      <c r="L16" s="24" t="s">
        <v>26</v>
      </c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53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3"/>
      <c r="D20" s="97"/>
      <c r="E20" s="15"/>
      <c r="F20" s="14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64"/>
      <c r="O21" s="64"/>
      <c r="P21" s="64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6">
        <f t="shared" ref="G22:H22" si="1">SUM(G4:G21)</f>
        <v>670000</v>
      </c>
      <c r="H22" s="67">
        <f t="shared" si="1"/>
        <v>1990000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145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146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149</v>
      </c>
      <c r="D26" s="73">
        <f>SUM(G22)</f>
        <v>670000</v>
      </c>
      <c r="E26" s="74"/>
      <c r="F26" s="1"/>
      <c r="G26" s="1"/>
      <c r="H26" s="1"/>
      <c r="I26" s="1"/>
      <c r="J26" s="1"/>
      <c r="K26" s="1"/>
      <c r="L26" s="1"/>
      <c r="M26" s="1"/>
      <c r="N26" s="75" t="s">
        <v>151</v>
      </c>
      <c r="O26" s="76" t="s">
        <v>26</v>
      </c>
      <c r="P26" s="1"/>
      <c r="Q26" s="1"/>
      <c r="R26" s="1"/>
    </row>
    <row r="27" ht="15.75" customHeight="1">
      <c r="A27" s="1"/>
      <c r="B27" s="77">
        <v>2.0</v>
      </c>
      <c r="C27" s="84"/>
      <c r="D27" s="85"/>
      <c r="E27" s="74"/>
      <c r="F27" s="1"/>
      <c r="G27" s="1"/>
      <c r="H27" s="1"/>
      <c r="I27" s="1"/>
      <c r="J27" s="1"/>
      <c r="K27" s="1"/>
      <c r="L27" s="1"/>
      <c r="M27" s="1"/>
      <c r="N27" s="80" t="s">
        <v>157</v>
      </c>
      <c r="O27" s="81" t="s">
        <v>26</v>
      </c>
      <c r="P27" s="1"/>
      <c r="Q27" s="1"/>
      <c r="R27" s="1"/>
    </row>
    <row r="28" ht="15.75" customHeight="1">
      <c r="A28" s="1"/>
      <c r="B28" s="71">
        <v>3.0</v>
      </c>
      <c r="C28" s="72"/>
      <c r="D28" s="73"/>
      <c r="E28" s="74"/>
      <c r="F28" s="1"/>
      <c r="G28" s="1"/>
      <c r="H28" s="1"/>
      <c r="I28" s="1"/>
      <c r="J28" s="1"/>
      <c r="K28" s="1"/>
      <c r="L28" s="1"/>
      <c r="M28" s="1"/>
      <c r="N28" s="82" t="s">
        <v>160</v>
      </c>
      <c r="O28" s="83" t="s">
        <v>81</v>
      </c>
      <c r="P28" s="1"/>
      <c r="Q28" s="1"/>
      <c r="R28" s="1"/>
    </row>
    <row r="29" ht="15.75" customHeight="1">
      <c r="A29" s="1"/>
      <c r="B29" s="77">
        <v>4.0</v>
      </c>
      <c r="C29" s="84"/>
      <c r="D29" s="85"/>
      <c r="E29" s="74"/>
      <c r="F29" s="1"/>
      <c r="G29" s="1"/>
      <c r="H29" s="1"/>
      <c r="I29" s="1"/>
      <c r="J29" s="1"/>
      <c r="K29" s="1"/>
      <c r="L29" s="1"/>
      <c r="M29" s="1"/>
      <c r="N29" s="86" t="s">
        <v>163</v>
      </c>
      <c r="O29" s="81" t="s">
        <v>81</v>
      </c>
      <c r="P29" s="1"/>
      <c r="Q29" s="1"/>
      <c r="R29" s="1"/>
    </row>
    <row r="30" ht="15.75" customHeight="1">
      <c r="A30" s="1"/>
      <c r="B30" s="71">
        <v>5.0</v>
      </c>
      <c r="C30" s="72"/>
      <c r="D30" s="73"/>
      <c r="E30" s="74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7">
        <v>6.0</v>
      </c>
      <c r="C31" s="84"/>
      <c r="D31" s="85"/>
      <c r="E31" s="74"/>
      <c r="F31" s="1"/>
      <c r="G31" s="1"/>
      <c r="H31" s="1"/>
      <c r="I31" s="1"/>
      <c r="J31" s="1"/>
      <c r="K31" s="89" t="s">
        <v>168</v>
      </c>
      <c r="Q31" s="1"/>
      <c r="R31" s="1"/>
    </row>
    <row r="32" ht="15.75" customHeight="1">
      <c r="A32" s="1"/>
      <c r="B32" s="71">
        <v>7.0</v>
      </c>
      <c r="C32" s="72"/>
      <c r="D32" s="73"/>
      <c r="E32" s="74"/>
      <c r="F32" s="1"/>
      <c r="G32" s="1"/>
      <c r="H32" s="1"/>
      <c r="I32" s="1"/>
      <c r="J32" s="1"/>
      <c r="K32" s="90" t="s">
        <v>1</v>
      </c>
      <c r="L32" s="90" t="s">
        <v>170</v>
      </c>
      <c r="M32" s="90" t="s">
        <v>171</v>
      </c>
      <c r="N32" s="90" t="s">
        <v>173</v>
      </c>
      <c r="O32" s="90" t="s">
        <v>174</v>
      </c>
      <c r="P32" s="90" t="s">
        <v>176</v>
      </c>
      <c r="Q32" s="1"/>
      <c r="R32" s="1"/>
      <c r="AC32" s="91" t="s">
        <v>177</v>
      </c>
      <c r="AD32" s="91" t="s">
        <v>178</v>
      </c>
      <c r="AE32" s="91" t="s">
        <v>179</v>
      </c>
      <c r="AF32" s="91" t="s">
        <v>180</v>
      </c>
      <c r="AG32" s="91" t="s">
        <v>181</v>
      </c>
    </row>
    <row r="33" ht="15.75" customHeight="1">
      <c r="A33" s="1"/>
      <c r="B33" s="77">
        <v>8.0</v>
      </c>
      <c r="C33" s="84"/>
      <c r="D33" s="85"/>
      <c r="E33" s="74"/>
      <c r="F33" s="1"/>
      <c r="G33" s="1"/>
      <c r="H33" s="1"/>
      <c r="I33" s="1"/>
      <c r="J33" s="1"/>
      <c r="K33" s="92" t="str">
        <f t="shared" ref="K33:K36" si="2">IF(O26="","",O26)</f>
        <v>INDAH</v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>Admin/CS</v>
      </c>
      <c r="AF33" s="91" t="str">
        <f t="shared" ref="AF33:AF38" si="6">IF(OR(AG33="",COUNT(L33:P33)&lt;5),"",1)</f>
        <v/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3"/>
      <c r="E34" s="74"/>
      <c r="F34" s="1"/>
      <c r="G34" s="1"/>
      <c r="H34" s="1"/>
      <c r="I34" s="1"/>
      <c r="J34" s="1"/>
      <c r="K34" s="92" t="str">
        <f t="shared" si="2"/>
        <v>INDAH</v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>Admin/CS</v>
      </c>
      <c r="AF34" s="91" t="str">
        <f t="shared" si="6"/>
        <v/>
      </c>
      <c r="AG34" s="91" t="str">
        <f t="shared" si="7"/>
        <v>INDAH</v>
      </c>
    </row>
    <row r="35" ht="15.75" customHeight="1">
      <c r="A35" s="1"/>
      <c r="B35" s="77">
        <v>10.0</v>
      </c>
      <c r="C35" s="84"/>
      <c r="D35" s="85"/>
      <c r="E35" s="74"/>
      <c r="F35" s="1"/>
      <c r="G35" s="1"/>
      <c r="H35" s="1"/>
      <c r="I35" s="1"/>
      <c r="J35" s="1"/>
      <c r="K35" s="92" t="str">
        <f t="shared" si="2"/>
        <v>SAKA</v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Fotografer</v>
      </c>
      <c r="AF35" s="91" t="str">
        <f t="shared" si="6"/>
        <v/>
      </c>
      <c r="AG35" s="91" t="str">
        <f t="shared" si="7"/>
        <v>SAKA</v>
      </c>
    </row>
    <row r="36" ht="15.75" customHeight="1">
      <c r="A36" s="1"/>
      <c r="B36" s="94">
        <v>11.0</v>
      </c>
      <c r="C36" s="95"/>
      <c r="D36" s="96"/>
      <c r="E36" s="74"/>
      <c r="F36" s="1"/>
      <c r="G36" s="1"/>
      <c r="H36" s="1"/>
      <c r="I36" s="1"/>
      <c r="J36" s="1"/>
      <c r="K36" s="92" t="str">
        <f t="shared" si="2"/>
        <v>SAKA</v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1"/>
      <c r="C37" s="2"/>
      <c r="D37" s="98">
        <f>SUM(D26:D36)</f>
        <v>670000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0" t="s">
        <v>212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1" t="s">
        <v>213</v>
      </c>
      <c r="N41" s="1"/>
      <c r="O41" s="1"/>
      <c r="P41" s="1"/>
      <c r="Q41" s="1"/>
      <c r="R41" s="1"/>
    </row>
    <row r="42" ht="15.75" customHeight="1">
      <c r="K42" s="102" t="s">
        <v>7</v>
      </c>
      <c r="L42" s="102" t="s">
        <v>214</v>
      </c>
      <c r="M42" s="102" t="s">
        <v>215</v>
      </c>
    </row>
    <row r="43" ht="15.75" customHeight="1">
      <c r="K43" s="103" t="str">
        <f t="shared" ref="K43:K44" si="8">IF(O26="","",O26)</f>
        <v>INDAH</v>
      </c>
      <c r="L43" s="104"/>
      <c r="M43" s="104"/>
    </row>
    <row r="44" ht="15.75" customHeight="1">
      <c r="K44" s="103" t="str">
        <f t="shared" si="8"/>
        <v>INDAH</v>
      </c>
      <c r="L44" s="104"/>
      <c r="M44" s="104"/>
    </row>
    <row r="45" ht="15.75" customHeight="1"/>
    <row r="46" ht="19.5" customHeight="1">
      <c r="K46" s="107" t="s">
        <v>218</v>
      </c>
    </row>
    <row r="47" ht="19.5" customHeight="1">
      <c r="K47" s="108" t="s">
        <v>219</v>
      </c>
      <c r="M47" s="104"/>
    </row>
    <row r="48" ht="19.5" customHeight="1">
      <c r="K48" s="110" t="s">
        <v>221</v>
      </c>
      <c r="M48" s="112">
        <f>COUNTIF($I$4:$I$24,"DP")</f>
        <v>5</v>
      </c>
    </row>
    <row r="49" ht="19.5" customHeight="1">
      <c r="K49" s="110" t="s">
        <v>223</v>
      </c>
      <c r="M49" s="112">
        <f>COUNTIFS($I$4:$I$24,"&lt;&gt;DP",$I$4:$I$24,"&lt;&gt;")</f>
        <v>8</v>
      </c>
    </row>
    <row r="50" ht="19.5" customHeight="1">
      <c r="K50" s="115" t="s">
        <v>224</v>
      </c>
      <c r="M50" s="112">
        <f>M48+M49</f>
        <v>13</v>
      </c>
    </row>
    <row r="51" ht="19.5" customHeight="1">
      <c r="K51" s="108" t="s">
        <v>226</v>
      </c>
      <c r="M51" s="118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7"/>
      <c r="E4" s="15"/>
      <c r="F4" s="138"/>
      <c r="G4" s="44"/>
      <c r="H4" s="54"/>
      <c r="I4" s="14"/>
      <c r="J4" s="14"/>
      <c r="K4" s="14"/>
      <c r="L4" s="14"/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63"/>
      <c r="D5" s="97"/>
      <c r="E5" s="15"/>
      <c r="F5" s="153"/>
      <c r="G5" s="44"/>
      <c r="H5" s="54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3"/>
      <c r="D6" s="97"/>
      <c r="E6" s="15"/>
      <c r="F6" s="138"/>
      <c r="G6" s="44"/>
      <c r="H6" s="54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3"/>
      <c r="D7" s="97"/>
      <c r="E7" s="15"/>
      <c r="F7" s="14"/>
      <c r="G7" s="44"/>
      <c r="H7" s="54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3"/>
      <c r="D8" s="97"/>
      <c r="E8" s="15"/>
      <c r="F8" s="153"/>
      <c r="G8" s="44"/>
      <c r="H8" s="54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3"/>
      <c r="D9" s="97"/>
      <c r="E9" s="15"/>
      <c r="F9" s="153"/>
      <c r="G9" s="44"/>
      <c r="H9" s="54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3"/>
      <c r="D10" s="97"/>
      <c r="E10" s="15"/>
      <c r="F10" s="153"/>
      <c r="G10" s="44"/>
      <c r="H10" s="54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3"/>
      <c r="D11" s="97"/>
      <c r="E11" s="15"/>
      <c r="F11" s="153"/>
      <c r="G11" s="44"/>
      <c r="H11" s="54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3"/>
      <c r="D12" s="97"/>
      <c r="E12" s="15"/>
      <c r="F12" s="153"/>
      <c r="G12" s="44"/>
      <c r="H12" s="54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3"/>
      <c r="D13" s="97"/>
      <c r="E13" s="15"/>
      <c r="F13" s="153"/>
      <c r="G13" s="44"/>
      <c r="H13" s="54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>
        <v>11.0</v>
      </c>
      <c r="C14" s="63"/>
      <c r="D14" s="97"/>
      <c r="E14" s="15"/>
      <c r="F14" s="153"/>
      <c r="G14" s="44"/>
      <c r="H14" s="54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>
        <v>12.0</v>
      </c>
      <c r="C15" s="63"/>
      <c r="D15" s="97"/>
      <c r="E15" s="15"/>
      <c r="F15" s="153"/>
      <c r="G15" s="44"/>
      <c r="H15" s="54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>
        <v>13.0</v>
      </c>
      <c r="C16" s="63"/>
      <c r="D16" s="97"/>
      <c r="E16" s="15"/>
      <c r="F16" s="153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>
        <v>14.0</v>
      </c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>
        <v>15.0</v>
      </c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>
        <v>16.0</v>
      </c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>
        <v>17.0</v>
      </c>
      <c r="C20" s="63"/>
      <c r="D20" s="97"/>
      <c r="E20" s="15"/>
      <c r="F20" s="153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>
        <v>18.0</v>
      </c>
      <c r="C21" s="63"/>
      <c r="D21" s="97"/>
      <c r="E21" s="15"/>
      <c r="F21" s="153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>
        <v>19.0</v>
      </c>
      <c r="C22" s="63"/>
      <c r="D22" s="97"/>
      <c r="E22" s="15"/>
      <c r="F22" s="153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>
        <v>20.0</v>
      </c>
      <c r="C23" s="63"/>
      <c r="D23" s="97"/>
      <c r="E23" s="15"/>
      <c r="F23" s="153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>
        <v>21.0</v>
      </c>
      <c r="C24" s="63"/>
      <c r="D24" s="97"/>
      <c r="E24" s="15"/>
      <c r="F24" s="153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>
        <v>22.0</v>
      </c>
      <c r="C25" s="63"/>
      <c r="D25" s="97"/>
      <c r="E25" s="15"/>
      <c r="F25" s="153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>
        <v>23.0</v>
      </c>
      <c r="C26" s="63"/>
      <c r="D26" s="97"/>
      <c r="E26" s="15"/>
      <c r="F26" s="153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>
        <v>24.0</v>
      </c>
      <c r="C27" s="63"/>
      <c r="D27" s="97"/>
      <c r="E27" s="15"/>
      <c r="F27" s="153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>
        <v>25.0</v>
      </c>
      <c r="C28" s="63"/>
      <c r="D28" s="97"/>
      <c r="E28" s="15"/>
      <c r="F28" s="153"/>
      <c r="G28" s="44"/>
      <c r="H28" s="54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>
        <v>26.0</v>
      </c>
      <c r="C29" s="63"/>
      <c r="D29" s="97"/>
      <c r="E29" s="15"/>
      <c r="F29" s="153"/>
      <c r="G29" s="44"/>
      <c r="H29" s="54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>
        <v>27.0</v>
      </c>
      <c r="C30" s="63"/>
      <c r="D30" s="97"/>
      <c r="E30" s="15"/>
      <c r="F30" s="153"/>
      <c r="G30" s="44"/>
      <c r="H30" s="54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>
        <v>28.0</v>
      </c>
      <c r="C31" s="63"/>
      <c r="D31" s="97"/>
      <c r="E31" s="15"/>
      <c r="F31" s="153"/>
      <c r="G31" s="44"/>
      <c r="H31" s="54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>
        <v>29.0</v>
      </c>
      <c r="C32" s="63"/>
      <c r="D32" s="97"/>
      <c r="E32" s="15"/>
      <c r="F32" s="153"/>
      <c r="G32" s="44"/>
      <c r="H32" s="54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>
        <v>30.0</v>
      </c>
      <c r="C33" s="63"/>
      <c r="D33" s="97"/>
      <c r="E33" s="15"/>
      <c r="F33" s="153"/>
      <c r="G33" s="44"/>
      <c r="H33" s="54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>
        <v>31.0</v>
      </c>
      <c r="C34" s="63"/>
      <c r="D34" s="97"/>
      <c r="E34" s="15"/>
      <c r="F34" s="153"/>
      <c r="G34" s="44"/>
      <c r="H34" s="54"/>
      <c r="I34" s="14"/>
      <c r="J34" s="14"/>
      <c r="K34" s="14"/>
      <c r="L34" s="14"/>
      <c r="M34" s="14"/>
      <c r="N34" s="33"/>
      <c r="O34" s="33"/>
      <c r="P34" s="33"/>
      <c r="Q34" s="1"/>
      <c r="R34" s="1"/>
    </row>
    <row r="35" ht="15.75" customHeight="1">
      <c r="A35" s="1"/>
      <c r="B35" s="14">
        <v>32.0</v>
      </c>
      <c r="C35" s="63"/>
      <c r="D35" s="97"/>
      <c r="E35" s="15"/>
      <c r="F35" s="153"/>
      <c r="G35" s="44"/>
      <c r="H35" s="54"/>
      <c r="I35" s="14"/>
      <c r="J35" s="14"/>
      <c r="K35" s="14"/>
      <c r="L35" s="14"/>
      <c r="M35" s="14"/>
      <c r="N35" s="33"/>
      <c r="O35" s="33"/>
      <c r="P35" s="33"/>
      <c r="Q35" s="1"/>
      <c r="R35" s="1"/>
    </row>
    <row r="36" ht="15.75" customHeight="1">
      <c r="A36" s="1"/>
      <c r="B36" s="14">
        <v>33.0</v>
      </c>
      <c r="C36" s="63"/>
      <c r="D36" s="97"/>
      <c r="E36" s="15"/>
      <c r="F36" s="153"/>
      <c r="G36" s="44"/>
      <c r="H36" s="54"/>
      <c r="I36" s="14"/>
      <c r="J36" s="14"/>
      <c r="K36" s="14"/>
      <c r="L36" s="14"/>
      <c r="M36" s="14"/>
      <c r="N36" s="33"/>
      <c r="O36" s="33"/>
      <c r="P36" s="33"/>
      <c r="Q36" s="1"/>
      <c r="R36" s="1"/>
    </row>
    <row r="37" ht="15.75" customHeight="1">
      <c r="A37" s="1"/>
      <c r="B37" s="14">
        <v>34.0</v>
      </c>
      <c r="C37" s="63"/>
      <c r="D37" s="97"/>
      <c r="E37" s="15"/>
      <c r="F37" s="14"/>
      <c r="G37" s="44"/>
      <c r="H37" s="54"/>
      <c r="I37" s="14"/>
      <c r="J37" s="14"/>
      <c r="K37" s="14"/>
      <c r="L37" s="14"/>
      <c r="M37" s="14"/>
      <c r="N37" s="33"/>
      <c r="O37" s="33"/>
      <c r="P37" s="33"/>
      <c r="Q37" s="1"/>
      <c r="R37" s="1"/>
    </row>
    <row r="38" ht="15.75" customHeight="1">
      <c r="A38" s="1"/>
      <c r="B38" s="14">
        <v>35.0</v>
      </c>
      <c r="C38" s="63"/>
      <c r="D38" s="97"/>
      <c r="E38" s="15"/>
      <c r="F38" s="153"/>
      <c r="G38" s="44"/>
      <c r="H38" s="54"/>
      <c r="I38" s="14"/>
      <c r="J38" s="14"/>
      <c r="K38" s="14"/>
      <c r="L38" s="14"/>
      <c r="M38" s="14"/>
      <c r="N38" s="33"/>
      <c r="O38" s="33"/>
      <c r="P38" s="33"/>
      <c r="Q38" s="1"/>
      <c r="R38" s="1"/>
    </row>
    <row r="39" ht="15.75" customHeight="1">
      <c r="A39" s="1"/>
      <c r="B39" s="14">
        <v>36.0</v>
      </c>
      <c r="C39" s="63"/>
      <c r="D39" s="97"/>
      <c r="E39" s="15"/>
      <c r="F39" s="153"/>
      <c r="G39" s="44"/>
      <c r="H39" s="54"/>
      <c r="I39" s="14"/>
      <c r="J39" s="14"/>
      <c r="K39" s="14"/>
      <c r="L39" s="14"/>
      <c r="M39" s="14"/>
      <c r="N39" s="33"/>
      <c r="O39" s="33"/>
      <c r="P39" s="33"/>
      <c r="Q39" s="1"/>
      <c r="R39" s="1"/>
    </row>
    <row r="40" ht="15.75" customHeight="1">
      <c r="A40" s="1"/>
      <c r="B40" s="14">
        <v>37.0</v>
      </c>
      <c r="C40" s="63"/>
      <c r="D40" s="97"/>
      <c r="E40" s="15"/>
      <c r="F40" s="153"/>
      <c r="G40" s="44"/>
      <c r="H40" s="54"/>
      <c r="I40" s="14"/>
      <c r="J40" s="14"/>
      <c r="K40" s="14"/>
      <c r="L40" s="14"/>
      <c r="M40" s="14"/>
      <c r="N40" s="33"/>
      <c r="O40" s="33"/>
      <c r="P40" s="33"/>
      <c r="Q40" s="1"/>
      <c r="R40" s="1"/>
    </row>
    <row r="41" ht="15.75" customHeight="1">
      <c r="A41" s="1"/>
      <c r="B41" s="14">
        <v>38.0</v>
      </c>
      <c r="C41" s="63"/>
      <c r="D41" s="97"/>
      <c r="E41" s="15"/>
      <c r="F41" s="153"/>
      <c r="G41" s="44"/>
      <c r="H41" s="54"/>
      <c r="I41" s="14"/>
      <c r="J41" s="14"/>
      <c r="K41" s="14"/>
      <c r="L41" s="14"/>
      <c r="M41" s="14"/>
      <c r="N41" s="33"/>
      <c r="O41" s="33"/>
      <c r="P41" s="33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6">
        <f t="shared" ref="G42:H42" si="1">SUM(G4:G41)</f>
        <v>0</v>
      </c>
      <c r="H42" s="67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145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146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149</v>
      </c>
      <c r="D47" s="73">
        <f>SUM(G42)</f>
        <v>0</v>
      </c>
      <c r="E47" s="74"/>
      <c r="F47" s="1"/>
      <c r="G47" s="1"/>
      <c r="H47" s="1"/>
      <c r="I47" s="1"/>
      <c r="J47" s="1"/>
      <c r="K47" s="1"/>
      <c r="L47" s="1"/>
      <c r="M47" s="1"/>
      <c r="N47" s="75" t="s">
        <v>151</v>
      </c>
      <c r="O47" s="27"/>
      <c r="P47" s="1"/>
      <c r="Q47" s="1"/>
      <c r="R47" s="1"/>
    </row>
    <row r="48" ht="15.75" customHeight="1">
      <c r="A48" s="1"/>
      <c r="B48" s="77">
        <v>2.0</v>
      </c>
      <c r="C48" s="84"/>
      <c r="D48" s="85"/>
      <c r="E48" s="74"/>
      <c r="F48" s="1"/>
      <c r="G48" s="116"/>
      <c r="H48" s="1"/>
      <c r="I48" s="1"/>
      <c r="J48" s="1"/>
      <c r="K48" s="1"/>
      <c r="L48" s="1"/>
      <c r="M48" s="1"/>
      <c r="N48" s="80" t="s">
        <v>157</v>
      </c>
      <c r="O48" s="64"/>
      <c r="P48" s="1"/>
      <c r="Q48" s="1"/>
      <c r="R48" s="1"/>
    </row>
    <row r="49" ht="15.75" customHeight="1">
      <c r="A49" s="1"/>
      <c r="B49" s="71">
        <v>3.0</v>
      </c>
      <c r="C49" s="72"/>
      <c r="D49" s="73"/>
      <c r="E49" s="74"/>
      <c r="F49" s="1"/>
      <c r="G49" s="116"/>
      <c r="H49" s="1"/>
      <c r="I49" s="1"/>
      <c r="J49" s="1"/>
      <c r="K49" s="1"/>
      <c r="L49" s="1"/>
      <c r="M49" s="1"/>
      <c r="N49" s="82" t="s">
        <v>160</v>
      </c>
      <c r="O49" s="33"/>
      <c r="P49" s="1"/>
      <c r="Q49" s="1"/>
      <c r="R49" s="1"/>
    </row>
    <row r="50" ht="15.75" customHeight="1">
      <c r="A50" s="1"/>
      <c r="B50" s="77">
        <v>4.0</v>
      </c>
      <c r="C50" s="84"/>
      <c r="D50" s="85"/>
      <c r="E50" s="74"/>
      <c r="F50" s="1"/>
      <c r="G50" s="1"/>
      <c r="H50" s="1"/>
      <c r="I50" s="1"/>
      <c r="J50" s="1"/>
      <c r="K50" s="1"/>
      <c r="L50" s="1"/>
      <c r="M50" s="1"/>
      <c r="N50" s="86" t="s">
        <v>163</v>
      </c>
      <c r="O50" s="64"/>
      <c r="P50" s="1"/>
      <c r="Q50" s="1"/>
      <c r="R50" s="1"/>
    </row>
    <row r="51" ht="15.75" customHeight="1">
      <c r="A51" s="1"/>
      <c r="B51" s="71">
        <v>5.0</v>
      </c>
      <c r="C51" s="72"/>
      <c r="D51" s="73"/>
      <c r="E51" s="74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7">
        <v>6.0</v>
      </c>
      <c r="C52" s="84"/>
      <c r="D52" s="85"/>
      <c r="E52" s="74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3"/>
      <c r="E53" s="74"/>
      <c r="F53" s="116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7">
        <v>8.0</v>
      </c>
      <c r="C54" s="84"/>
      <c r="D54" s="85"/>
      <c r="E54" s="74"/>
      <c r="F54" s="1"/>
      <c r="G54" s="1"/>
      <c r="H54" s="1"/>
      <c r="I54" s="1"/>
      <c r="J54" s="1"/>
      <c r="K54" s="89" t="s">
        <v>168</v>
      </c>
      <c r="Q54" s="1"/>
      <c r="R54" s="1"/>
    </row>
    <row r="55" ht="15.75" customHeight="1">
      <c r="A55" s="1"/>
      <c r="B55" s="71">
        <v>9.0</v>
      </c>
      <c r="C55" s="72"/>
      <c r="D55" s="73"/>
      <c r="E55" s="74"/>
      <c r="F55" s="1"/>
      <c r="G55" s="1"/>
      <c r="H55" s="1"/>
      <c r="I55" s="1"/>
      <c r="J55" s="1"/>
      <c r="K55" s="90" t="s">
        <v>1</v>
      </c>
      <c r="L55" s="90" t="s">
        <v>170</v>
      </c>
      <c r="M55" s="90" t="s">
        <v>171</v>
      </c>
      <c r="N55" s="90" t="s">
        <v>173</v>
      </c>
      <c r="O55" s="90" t="s">
        <v>174</v>
      </c>
      <c r="P55" s="90" t="s">
        <v>176</v>
      </c>
      <c r="Q55" s="1"/>
      <c r="R55" s="1"/>
      <c r="AC55" s="91" t="s">
        <v>177</v>
      </c>
      <c r="AD55" s="91" t="s">
        <v>178</v>
      </c>
      <c r="AE55" s="91" t="s">
        <v>179</v>
      </c>
      <c r="AF55" s="91" t="s">
        <v>180</v>
      </c>
      <c r="AG55" s="91" t="s">
        <v>181</v>
      </c>
    </row>
    <row r="56" ht="15.75" customHeight="1">
      <c r="A56" s="1"/>
      <c r="B56" s="77">
        <v>10.0</v>
      </c>
      <c r="C56" s="84"/>
      <c r="D56" s="85"/>
      <c r="E56" s="74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4">
        <v>11.0</v>
      </c>
      <c r="C57" s="95"/>
      <c r="D57" s="96"/>
      <c r="E57" s="74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0" t="s">
        <v>212</v>
      </c>
      <c r="Q62" s="1"/>
      <c r="R62" s="1"/>
    </row>
    <row r="63" ht="15.75" customHeight="1"/>
    <row r="64" ht="15.75" customHeight="1">
      <c r="K64" s="172" t="s">
        <v>213</v>
      </c>
    </row>
    <row r="65" ht="15.75" customHeight="1">
      <c r="K65" s="102" t="s">
        <v>7</v>
      </c>
      <c r="L65" s="102" t="s">
        <v>214</v>
      </c>
      <c r="M65" s="102" t="s">
        <v>215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7" t="s">
        <v>218</v>
      </c>
    </row>
    <row r="70" ht="19.5" customHeight="1">
      <c r="K70" s="108" t="s">
        <v>219</v>
      </c>
      <c r="M70" s="104"/>
    </row>
    <row r="71" ht="19.5" customHeight="1">
      <c r="K71" s="110" t="s">
        <v>221</v>
      </c>
      <c r="M71" s="112">
        <f>COUNTIF($I$4:$I$45,"DP")</f>
        <v>0</v>
      </c>
    </row>
    <row r="72" ht="19.5" customHeight="1">
      <c r="K72" s="110" t="s">
        <v>223</v>
      </c>
      <c r="M72" s="112">
        <f>COUNTIFS($I$4:$I$45,"&lt;&gt;DP",$I$4:$I$45,"&lt;&gt;")</f>
        <v>0</v>
      </c>
    </row>
    <row r="73" ht="19.5" customHeight="1">
      <c r="K73" s="115" t="s">
        <v>224</v>
      </c>
      <c r="M73" s="112">
        <f>M71+M72</f>
        <v>0</v>
      </c>
    </row>
    <row r="74" ht="19.5" customHeight="1">
      <c r="K74" s="108" t="s">
        <v>226</v>
      </c>
      <c r="M74" s="118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674</v>
      </c>
      <c r="E77" s="174" t="s">
        <v>675</v>
      </c>
      <c r="I77" s="174" t="s">
        <v>676</v>
      </c>
      <c r="M77" s="174" t="s">
        <v>677</v>
      </c>
    </row>
    <row r="78" ht="15.75" customHeight="1">
      <c r="A78" s="175">
        <f>IFERROR(SUMIFS($D$84:$D$96,$C$84:$C$96,"&gt;0")/COUNTIFS($C$84:$C$96,"&gt;0"),0)</f>
        <v>98.95644043</v>
      </c>
      <c r="E78" s="175">
        <f>IFERROR(SUMIFS($D$84:$D$96,$B$84:$B$96,"Admin/CS",$C$84:$C$96,"&gt;0")/COUNTIFS($B$84:$B$96,"Admin/CS",$C$84:$C$96,"&gt;0"),0)</f>
        <v>98.71428571</v>
      </c>
      <c r="I78" s="175">
        <f>IFERROR(SUMIFS($D$84:$D$96,$B$84:$B$96,"Fotografer",$C$84:$C$96,"&gt;0")/COUNTIFS($B$84:$B$96,"Fotografer",$C$84:$C$96,"&gt;0"),0)</f>
        <v>99.19859515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678</v>
      </c>
      <c r="C83" s="176" t="s">
        <v>679</v>
      </c>
      <c r="D83" s="176" t="s">
        <v>680</v>
      </c>
      <c r="E83" s="176" t="s">
        <v>681</v>
      </c>
      <c r="F83" s="176" t="s">
        <v>682</v>
      </c>
      <c r="G83" s="176" t="s">
        <v>683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78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79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78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3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78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79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78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3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78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79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78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3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78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79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78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3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78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79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78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3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78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79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78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3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78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79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78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3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78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79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78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3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78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79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78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3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78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79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78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3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78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79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78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3"/>
    </row>
    <row r="95" ht="15.75" customHeight="1">
      <c r="A95" s="177" t="str">
        <f>IF($A$117="","",$A$117)</f>
        <v/>
      </c>
      <c r="B95" s="177" t="str">
        <f>IF(A95="","",$B$117)</f>
        <v/>
      </c>
      <c r="C95" s="178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79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78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3"/>
    </row>
    <row r="96" ht="15.75" customHeight="1">
      <c r="A96" s="177" t="str">
        <f>IF($A$118="","",$A$118)</f>
        <v/>
      </c>
      <c r="B96" s="177" t="str">
        <f>IF(A96="","",$B$118)</f>
        <v/>
      </c>
      <c r="C96" s="178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79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78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3"/>
    </row>
    <row r="97" ht="15.75" customHeight="1"/>
    <row r="98" ht="15.75" customHeight="1">
      <c r="A98" s="187" t="s">
        <v>700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701</v>
      </c>
      <c r="B105" s="189" t="s">
        <v>702</v>
      </c>
      <c r="D105" s="172" t="s">
        <v>703</v>
      </c>
    </row>
    <row r="106" ht="15.75" customHeight="1">
      <c r="A106" s="185" t="s">
        <v>26</v>
      </c>
      <c r="B106" s="185" t="s">
        <v>694</v>
      </c>
      <c r="D106" s="190" t="s">
        <v>214</v>
      </c>
      <c r="E106" s="112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218</v>
      </c>
    </row>
    <row r="107" ht="15.75" customHeight="1">
      <c r="A107" s="185" t="s">
        <v>117</v>
      </c>
      <c r="B107" s="185" t="s">
        <v>694</v>
      </c>
      <c r="D107" s="190" t="s">
        <v>215</v>
      </c>
      <c r="E107" s="112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694</v>
      </c>
      <c r="D108" s="190" t="s">
        <v>219</v>
      </c>
      <c r="E108" s="112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699</v>
      </c>
      <c r="B109" s="185" t="s">
        <v>694</v>
      </c>
      <c r="D109" s="190" t="s">
        <v>221</v>
      </c>
      <c r="E109" s="112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255</v>
      </c>
    </row>
    <row r="110" ht="15.75" customHeight="1">
      <c r="A110" s="185" t="s">
        <v>704</v>
      </c>
      <c r="B110" s="185" t="s">
        <v>694</v>
      </c>
      <c r="D110" s="190" t="s">
        <v>223</v>
      </c>
      <c r="E110" s="112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695</v>
      </c>
      <c r="B111" s="185" t="s">
        <v>705</v>
      </c>
      <c r="D111" s="190" t="s">
        <v>224</v>
      </c>
      <c r="E111" s="112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581</v>
      </c>
    </row>
    <row r="112" ht="15.75" customHeight="1">
      <c r="A112" s="185" t="s">
        <v>77</v>
      </c>
      <c r="B112" s="185" t="s">
        <v>705</v>
      </c>
      <c r="D112" s="190" t="s">
        <v>226</v>
      </c>
      <c r="E112" s="118">
        <f>IFERROR(E109/E108,0)</f>
        <v>0.2396616541</v>
      </c>
    </row>
    <row r="113" ht="15.75" customHeight="1">
      <c r="A113" s="185" t="s">
        <v>42</v>
      </c>
      <c r="B113" s="185" t="s">
        <v>705</v>
      </c>
    </row>
    <row r="114" ht="15.75" customHeight="1">
      <c r="A114" s="185" t="s">
        <v>103</v>
      </c>
      <c r="B114" s="185" t="s">
        <v>705</v>
      </c>
    </row>
    <row r="115" ht="15.75" customHeight="1">
      <c r="A115" s="185" t="s">
        <v>706</v>
      </c>
      <c r="B115" s="185" t="s">
        <v>705</v>
      </c>
    </row>
    <row r="116" ht="15.75" customHeight="1">
      <c r="A116" s="185" t="s">
        <v>81</v>
      </c>
      <c r="B116" s="185" t="s">
        <v>705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63"/>
      <c r="D4" s="97"/>
      <c r="E4" s="15"/>
      <c r="F4" s="171"/>
      <c r="G4" s="44"/>
      <c r="H4" s="54"/>
      <c r="I4" s="14"/>
      <c r="J4" s="14"/>
      <c r="K4" s="14"/>
      <c r="L4" s="14"/>
      <c r="M4" s="14"/>
      <c r="N4" s="27"/>
      <c r="O4" s="27"/>
      <c r="P4" s="29"/>
      <c r="Q4" s="1"/>
      <c r="R4" s="1"/>
    </row>
    <row r="5" ht="15.75" customHeight="1">
      <c r="A5" s="1"/>
      <c r="B5" s="14">
        <v>2.0</v>
      </c>
      <c r="C5" s="63"/>
      <c r="D5" s="97"/>
      <c r="E5" s="15"/>
      <c r="F5" s="171"/>
      <c r="G5" s="44"/>
      <c r="H5" s="54"/>
      <c r="I5" s="14"/>
      <c r="J5" s="14"/>
      <c r="K5" s="14"/>
      <c r="L5" s="14"/>
      <c r="M5" s="14"/>
      <c r="N5" s="33"/>
      <c r="O5" s="33"/>
      <c r="P5" s="33"/>
      <c r="Q5" s="1"/>
      <c r="R5" s="1"/>
    </row>
    <row r="6" ht="15.75" customHeight="1">
      <c r="A6" s="1"/>
      <c r="B6" s="14">
        <v>3.0</v>
      </c>
      <c r="C6" s="63"/>
      <c r="D6" s="97"/>
      <c r="E6" s="15"/>
      <c r="F6" s="14"/>
      <c r="G6" s="44"/>
      <c r="H6" s="54"/>
      <c r="I6" s="14"/>
      <c r="J6" s="14"/>
      <c r="K6" s="14"/>
      <c r="L6" s="14"/>
      <c r="M6" s="14"/>
      <c r="N6" s="33"/>
      <c r="O6" s="33"/>
      <c r="P6" s="33"/>
      <c r="Q6" s="1"/>
      <c r="R6" s="1"/>
    </row>
    <row r="7" ht="15.75" customHeight="1">
      <c r="A7" s="1"/>
      <c r="B7" s="14">
        <v>4.0</v>
      </c>
      <c r="C7" s="63"/>
      <c r="D7" s="97"/>
      <c r="E7" s="15"/>
      <c r="F7" s="14"/>
      <c r="G7" s="44"/>
      <c r="H7" s="54"/>
      <c r="I7" s="14"/>
      <c r="J7" s="14"/>
      <c r="K7" s="14"/>
      <c r="L7" s="14"/>
      <c r="M7" s="14"/>
      <c r="N7" s="33"/>
      <c r="O7" s="33"/>
      <c r="P7" s="33"/>
      <c r="Q7" s="1"/>
      <c r="R7" s="1"/>
    </row>
    <row r="8" ht="15.75" customHeight="1">
      <c r="A8" s="1"/>
      <c r="B8" s="14">
        <v>5.0</v>
      </c>
      <c r="C8" s="63"/>
      <c r="D8" s="97"/>
      <c r="E8" s="15"/>
      <c r="F8" s="14"/>
      <c r="G8" s="44"/>
      <c r="H8" s="54"/>
      <c r="I8" s="14"/>
      <c r="J8" s="14"/>
      <c r="K8" s="14"/>
      <c r="L8" s="14"/>
      <c r="M8" s="14"/>
      <c r="N8" s="33"/>
      <c r="O8" s="33"/>
      <c r="P8" s="33"/>
      <c r="Q8" s="1"/>
      <c r="R8" s="1"/>
    </row>
    <row r="9" ht="15.75" customHeight="1">
      <c r="A9" s="1"/>
      <c r="B9" s="14">
        <v>6.0</v>
      </c>
      <c r="C9" s="63"/>
      <c r="D9" s="97"/>
      <c r="E9" s="15"/>
      <c r="F9" s="14"/>
      <c r="G9" s="44"/>
      <c r="H9" s="54"/>
      <c r="I9" s="14"/>
      <c r="J9" s="14"/>
      <c r="K9" s="14"/>
      <c r="L9" s="14"/>
      <c r="M9" s="14"/>
      <c r="N9" s="33"/>
      <c r="O9" s="33"/>
      <c r="P9" s="33"/>
      <c r="Q9" s="1"/>
      <c r="R9" s="1"/>
    </row>
    <row r="10" ht="15.75" customHeight="1">
      <c r="A10" s="1"/>
      <c r="B10" s="14">
        <v>7.0</v>
      </c>
      <c r="C10" s="63"/>
      <c r="D10" s="97"/>
      <c r="E10" s="15"/>
      <c r="F10" s="14"/>
      <c r="G10" s="44"/>
      <c r="H10" s="54"/>
      <c r="I10" s="14"/>
      <c r="J10" s="14"/>
      <c r="K10" s="14"/>
      <c r="L10" s="14"/>
      <c r="M10" s="14"/>
      <c r="N10" s="33"/>
      <c r="O10" s="33"/>
      <c r="P10" s="33"/>
      <c r="Q10" s="1"/>
      <c r="R10" s="1"/>
    </row>
    <row r="11" ht="15.75" customHeight="1">
      <c r="A11" s="1"/>
      <c r="B11" s="14">
        <v>8.0</v>
      </c>
      <c r="C11" s="63"/>
      <c r="D11" s="97"/>
      <c r="E11" s="15"/>
      <c r="F11" s="14"/>
      <c r="G11" s="44"/>
      <c r="H11" s="54"/>
      <c r="I11" s="14"/>
      <c r="J11" s="14"/>
      <c r="K11" s="14"/>
      <c r="L11" s="14"/>
      <c r="M11" s="14"/>
      <c r="N11" s="33"/>
      <c r="O11" s="33"/>
      <c r="P11" s="33"/>
      <c r="Q11" s="1"/>
      <c r="R11" s="1"/>
    </row>
    <row r="12" ht="15.75" customHeight="1">
      <c r="A12" s="1"/>
      <c r="B12" s="14">
        <v>9.0</v>
      </c>
      <c r="C12" s="63"/>
      <c r="D12" s="97"/>
      <c r="E12" s="15"/>
      <c r="F12" s="14"/>
      <c r="G12" s="44"/>
      <c r="H12" s="54"/>
      <c r="I12" s="14"/>
      <c r="J12" s="14"/>
      <c r="K12" s="14"/>
      <c r="L12" s="14"/>
      <c r="M12" s="14"/>
      <c r="N12" s="33"/>
      <c r="O12" s="33"/>
      <c r="P12" s="33"/>
      <c r="Q12" s="1"/>
      <c r="R12" s="1"/>
    </row>
    <row r="13" ht="15.75" customHeight="1">
      <c r="A13" s="1"/>
      <c r="B13" s="14">
        <v>10.0</v>
      </c>
      <c r="C13" s="63"/>
      <c r="D13" s="97"/>
      <c r="E13" s="15"/>
      <c r="F13" s="14"/>
      <c r="G13" s="44"/>
      <c r="H13" s="54"/>
      <c r="I13" s="14"/>
      <c r="J13" s="14"/>
      <c r="K13" s="14"/>
      <c r="L13" s="14"/>
      <c r="M13" s="14"/>
      <c r="N13" s="33"/>
      <c r="O13" s="33"/>
      <c r="P13" s="33"/>
      <c r="Q13" s="1"/>
      <c r="R13" s="1"/>
    </row>
    <row r="14" ht="15.75" customHeight="1">
      <c r="A14" s="1"/>
      <c r="B14" s="14"/>
      <c r="C14" s="63"/>
      <c r="D14" s="97"/>
      <c r="E14" s="15"/>
      <c r="F14" s="14"/>
      <c r="G14" s="44"/>
      <c r="H14" s="54"/>
      <c r="I14" s="14"/>
      <c r="J14" s="14"/>
      <c r="K14" s="14"/>
      <c r="L14" s="14"/>
      <c r="M14" s="14"/>
      <c r="N14" s="33"/>
      <c r="O14" s="33"/>
      <c r="P14" s="33"/>
      <c r="Q14" s="1"/>
      <c r="R14" s="1"/>
    </row>
    <row r="15" ht="15.75" customHeight="1">
      <c r="A15" s="1"/>
      <c r="B15" s="14"/>
      <c r="C15" s="63"/>
      <c r="D15" s="97"/>
      <c r="E15" s="15"/>
      <c r="F15" s="14"/>
      <c r="G15" s="44"/>
      <c r="H15" s="54"/>
      <c r="I15" s="14"/>
      <c r="J15" s="14"/>
      <c r="K15" s="14"/>
      <c r="L15" s="14"/>
      <c r="M15" s="14"/>
      <c r="N15" s="33"/>
      <c r="O15" s="33"/>
      <c r="P15" s="33"/>
      <c r="Q15" s="1"/>
      <c r="R15" s="1"/>
    </row>
    <row r="16" ht="15.75" customHeight="1">
      <c r="A16" s="1"/>
      <c r="B16" s="14"/>
      <c r="C16" s="63"/>
      <c r="D16" s="97"/>
      <c r="E16" s="15"/>
      <c r="F16" s="14"/>
      <c r="G16" s="44"/>
      <c r="H16" s="54"/>
      <c r="I16" s="14"/>
      <c r="J16" s="14"/>
      <c r="K16" s="14"/>
      <c r="L16" s="14"/>
      <c r="M16" s="14"/>
      <c r="N16" s="33"/>
      <c r="O16" s="33"/>
      <c r="P16" s="33"/>
      <c r="Q16" s="1"/>
      <c r="R16" s="1"/>
    </row>
    <row r="17" ht="15.75" customHeight="1">
      <c r="A17" s="1"/>
      <c r="B17" s="14"/>
      <c r="C17" s="63"/>
      <c r="D17" s="97"/>
      <c r="E17" s="15"/>
      <c r="F17" s="14"/>
      <c r="G17" s="44"/>
      <c r="H17" s="54"/>
      <c r="I17" s="14"/>
      <c r="J17" s="14"/>
      <c r="K17" s="14"/>
      <c r="L17" s="14"/>
      <c r="M17" s="14"/>
      <c r="N17" s="33"/>
      <c r="O17" s="33"/>
      <c r="P17" s="33"/>
      <c r="Q17" s="1"/>
      <c r="R17" s="1"/>
    </row>
    <row r="18" ht="15.75" customHeight="1">
      <c r="A18" s="1"/>
      <c r="B18" s="14"/>
      <c r="C18" s="63"/>
      <c r="D18" s="97"/>
      <c r="E18" s="15"/>
      <c r="F18" s="14"/>
      <c r="G18" s="44"/>
      <c r="H18" s="54"/>
      <c r="I18" s="14"/>
      <c r="J18" s="14"/>
      <c r="K18" s="14"/>
      <c r="L18" s="14"/>
      <c r="M18" s="14"/>
      <c r="N18" s="33"/>
      <c r="O18" s="33"/>
      <c r="P18" s="33"/>
      <c r="Q18" s="1"/>
      <c r="R18" s="1"/>
    </row>
    <row r="19" ht="15.75" customHeight="1">
      <c r="A19" s="1"/>
      <c r="B19" s="14"/>
      <c r="C19" s="63"/>
      <c r="D19" s="97"/>
      <c r="E19" s="15"/>
      <c r="F19" s="14"/>
      <c r="G19" s="44"/>
      <c r="H19" s="54"/>
      <c r="I19" s="14"/>
      <c r="J19" s="14"/>
      <c r="K19" s="14"/>
      <c r="L19" s="14"/>
      <c r="M19" s="14"/>
      <c r="N19" s="33"/>
      <c r="O19" s="33"/>
      <c r="P19" s="33"/>
      <c r="Q19" s="1"/>
      <c r="R19" s="1"/>
    </row>
    <row r="20" ht="15.75" customHeight="1">
      <c r="A20" s="1"/>
      <c r="B20" s="14"/>
      <c r="C20" s="63"/>
      <c r="D20" s="97"/>
      <c r="E20" s="15"/>
      <c r="F20" s="14"/>
      <c r="G20" s="44"/>
      <c r="H20" s="54"/>
      <c r="I20" s="14"/>
      <c r="J20" s="14"/>
      <c r="K20" s="14"/>
      <c r="L20" s="14"/>
      <c r="M20" s="14"/>
      <c r="N20" s="33"/>
      <c r="O20" s="33"/>
      <c r="P20" s="33"/>
      <c r="Q20" s="1"/>
      <c r="R20" s="1"/>
    </row>
    <row r="21" ht="15.75" customHeight="1">
      <c r="A21" s="1"/>
      <c r="B21" s="14"/>
      <c r="C21" s="63"/>
      <c r="D21" s="97"/>
      <c r="E21" s="15"/>
      <c r="F21" s="14"/>
      <c r="G21" s="44"/>
      <c r="H21" s="54"/>
      <c r="I21" s="14"/>
      <c r="J21" s="14"/>
      <c r="K21" s="14"/>
      <c r="L21" s="14"/>
      <c r="M21" s="14"/>
      <c r="N21" s="33"/>
      <c r="O21" s="33"/>
      <c r="P21" s="33"/>
      <c r="Q21" s="1"/>
      <c r="R21" s="1"/>
    </row>
    <row r="22" ht="15.75" customHeight="1">
      <c r="A22" s="1"/>
      <c r="B22" s="14"/>
      <c r="C22" s="63"/>
      <c r="D22" s="97"/>
      <c r="E22" s="15"/>
      <c r="F22" s="14"/>
      <c r="G22" s="44"/>
      <c r="H22" s="54"/>
      <c r="I22" s="14"/>
      <c r="J22" s="14"/>
      <c r="K22" s="14"/>
      <c r="L22" s="14"/>
      <c r="M22" s="14"/>
      <c r="N22" s="33"/>
      <c r="O22" s="33"/>
      <c r="P22" s="33"/>
      <c r="Q22" s="1"/>
      <c r="R22" s="1"/>
    </row>
    <row r="23" ht="15.75" customHeight="1">
      <c r="A23" s="1"/>
      <c r="B23" s="14"/>
      <c r="C23" s="63"/>
      <c r="D23" s="97"/>
      <c r="E23" s="15"/>
      <c r="F23" s="14"/>
      <c r="G23" s="44"/>
      <c r="H23" s="54"/>
      <c r="I23" s="14"/>
      <c r="J23" s="14"/>
      <c r="K23" s="14"/>
      <c r="L23" s="14"/>
      <c r="M23" s="14"/>
      <c r="N23" s="33"/>
      <c r="O23" s="33"/>
      <c r="P23" s="33"/>
      <c r="Q23" s="1"/>
      <c r="R23" s="1"/>
    </row>
    <row r="24" ht="15.75" customHeight="1">
      <c r="A24" s="1"/>
      <c r="B24" s="14"/>
      <c r="C24" s="63"/>
      <c r="D24" s="97"/>
      <c r="E24" s="15"/>
      <c r="F24" s="14"/>
      <c r="G24" s="44"/>
      <c r="H24" s="54"/>
      <c r="I24" s="14"/>
      <c r="J24" s="14"/>
      <c r="K24" s="14"/>
      <c r="L24" s="14"/>
      <c r="M24" s="14"/>
      <c r="N24" s="33"/>
      <c r="O24" s="33"/>
      <c r="P24" s="33"/>
      <c r="Q24" s="1"/>
      <c r="R24" s="1"/>
    </row>
    <row r="25" ht="15.75" customHeight="1">
      <c r="A25" s="1"/>
      <c r="B25" s="14"/>
      <c r="C25" s="63"/>
      <c r="D25" s="97"/>
      <c r="E25" s="15"/>
      <c r="F25" s="14"/>
      <c r="G25" s="44"/>
      <c r="H25" s="54"/>
      <c r="I25" s="14"/>
      <c r="J25" s="14"/>
      <c r="K25" s="14"/>
      <c r="L25" s="14"/>
      <c r="M25" s="14"/>
      <c r="N25" s="33"/>
      <c r="O25" s="33"/>
      <c r="P25" s="33"/>
      <c r="Q25" s="1"/>
      <c r="R25" s="1"/>
    </row>
    <row r="26" ht="15.75" customHeight="1">
      <c r="A26" s="1"/>
      <c r="B26" s="14"/>
      <c r="C26" s="63"/>
      <c r="D26" s="97"/>
      <c r="E26" s="15"/>
      <c r="F26" s="14"/>
      <c r="G26" s="44"/>
      <c r="H26" s="54"/>
      <c r="I26" s="14"/>
      <c r="J26" s="14"/>
      <c r="K26" s="14"/>
      <c r="L26" s="14"/>
      <c r="M26" s="14"/>
      <c r="N26" s="33"/>
      <c r="O26" s="33"/>
      <c r="P26" s="33"/>
      <c r="Q26" s="1"/>
      <c r="R26" s="1"/>
    </row>
    <row r="27" ht="15.75" customHeight="1">
      <c r="A27" s="1"/>
      <c r="B27" s="14"/>
      <c r="C27" s="63"/>
      <c r="D27" s="97"/>
      <c r="E27" s="15"/>
      <c r="F27" s="14"/>
      <c r="G27" s="44"/>
      <c r="H27" s="54"/>
      <c r="I27" s="14"/>
      <c r="J27" s="14"/>
      <c r="K27" s="14"/>
      <c r="L27" s="14"/>
      <c r="M27" s="14"/>
      <c r="N27" s="33"/>
      <c r="O27" s="33"/>
      <c r="P27" s="33"/>
      <c r="Q27" s="1"/>
      <c r="R27" s="1"/>
    </row>
    <row r="28" ht="15.75" customHeight="1">
      <c r="A28" s="1"/>
      <c r="B28" s="14"/>
      <c r="C28" s="63"/>
      <c r="D28" s="97"/>
      <c r="E28" s="15"/>
      <c r="F28" s="14"/>
      <c r="G28" s="44"/>
      <c r="H28" s="54"/>
      <c r="I28" s="14"/>
      <c r="J28" s="14"/>
      <c r="K28" s="14"/>
      <c r="L28" s="14"/>
      <c r="M28" s="14"/>
      <c r="N28" s="33"/>
      <c r="O28" s="33"/>
      <c r="P28" s="33"/>
      <c r="Q28" s="1"/>
      <c r="R28" s="1"/>
    </row>
    <row r="29" ht="15.75" customHeight="1">
      <c r="A29" s="1"/>
      <c r="B29" s="14"/>
      <c r="C29" s="63"/>
      <c r="D29" s="97"/>
      <c r="E29" s="15"/>
      <c r="F29" s="14"/>
      <c r="G29" s="44"/>
      <c r="H29" s="54"/>
      <c r="I29" s="14"/>
      <c r="J29" s="14"/>
      <c r="K29" s="14"/>
      <c r="L29" s="14"/>
      <c r="M29" s="14"/>
      <c r="N29" s="33"/>
      <c r="O29" s="33"/>
      <c r="P29" s="33"/>
      <c r="Q29" s="1"/>
      <c r="R29" s="1"/>
    </row>
    <row r="30" ht="15.75" customHeight="1">
      <c r="A30" s="1"/>
      <c r="B30" s="14"/>
      <c r="C30" s="63"/>
      <c r="D30" s="97"/>
      <c r="E30" s="15"/>
      <c r="F30" s="14"/>
      <c r="G30" s="44"/>
      <c r="H30" s="54"/>
      <c r="I30" s="14"/>
      <c r="J30" s="14"/>
      <c r="K30" s="14"/>
      <c r="L30" s="14"/>
      <c r="M30" s="14"/>
      <c r="N30" s="33"/>
      <c r="O30" s="33"/>
      <c r="P30" s="33"/>
      <c r="Q30" s="1"/>
      <c r="R30" s="1"/>
    </row>
    <row r="31" ht="15.75" customHeight="1">
      <c r="A31" s="1"/>
      <c r="B31" s="14"/>
      <c r="C31" s="63"/>
      <c r="D31" s="97"/>
      <c r="E31" s="15"/>
      <c r="F31" s="14"/>
      <c r="G31" s="44"/>
      <c r="H31" s="54"/>
      <c r="I31" s="14"/>
      <c r="J31" s="14"/>
      <c r="K31" s="14"/>
      <c r="L31" s="14"/>
      <c r="M31" s="14"/>
      <c r="N31" s="33"/>
      <c r="O31" s="33"/>
      <c r="P31" s="33"/>
      <c r="Q31" s="1"/>
      <c r="R31" s="1"/>
    </row>
    <row r="32" ht="15.75" customHeight="1">
      <c r="A32" s="1"/>
      <c r="B32" s="14"/>
      <c r="C32" s="63"/>
      <c r="D32" s="97"/>
      <c r="E32" s="15"/>
      <c r="F32" s="14"/>
      <c r="G32" s="44"/>
      <c r="H32" s="54"/>
      <c r="I32" s="14"/>
      <c r="J32" s="14"/>
      <c r="K32" s="14"/>
      <c r="L32" s="14"/>
      <c r="M32" s="14"/>
      <c r="N32" s="33"/>
      <c r="O32" s="33"/>
      <c r="P32" s="33"/>
      <c r="Q32" s="1"/>
      <c r="R32" s="1"/>
    </row>
    <row r="33" ht="15.75" customHeight="1">
      <c r="A33" s="1"/>
      <c r="B33" s="14"/>
      <c r="C33" s="63"/>
      <c r="D33" s="97"/>
      <c r="E33" s="15"/>
      <c r="F33" s="14"/>
      <c r="G33" s="44"/>
      <c r="H33" s="54"/>
      <c r="I33" s="14"/>
      <c r="J33" s="14"/>
      <c r="K33" s="14"/>
      <c r="L33" s="14"/>
      <c r="M33" s="14"/>
      <c r="N33" s="33"/>
      <c r="O33" s="33"/>
      <c r="P33" s="33"/>
      <c r="Q33" s="1"/>
      <c r="R33" s="1"/>
    </row>
    <row r="34" ht="15.75" customHeight="1">
      <c r="A34" s="1"/>
      <c r="B34" s="14"/>
      <c r="C34" s="63"/>
      <c r="D34" s="97"/>
      <c r="E34" s="15"/>
      <c r="F34" s="14"/>
      <c r="G34" s="44"/>
      <c r="H34" s="54"/>
      <c r="I34" s="14"/>
      <c r="J34" s="14"/>
      <c r="K34" s="14"/>
      <c r="L34" s="14"/>
      <c r="M34" s="14"/>
      <c r="N34" s="64"/>
      <c r="O34" s="64"/>
      <c r="P34" s="64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6">
        <f t="shared" ref="G35:H35" si="1">SUM(G4:G34)</f>
        <v>0</v>
      </c>
      <c r="H35" s="67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145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146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149</v>
      </c>
      <c r="D39" s="73">
        <f>SUM(G35)</f>
        <v>0</v>
      </c>
      <c r="E39" s="74"/>
      <c r="F39" s="1"/>
      <c r="G39" s="1"/>
      <c r="H39" s="1"/>
      <c r="I39" s="1"/>
      <c r="J39" s="1"/>
      <c r="K39" s="1"/>
      <c r="L39" s="1"/>
      <c r="M39" s="1"/>
      <c r="N39" s="75" t="s">
        <v>151</v>
      </c>
      <c r="O39" s="27"/>
      <c r="P39" s="1"/>
      <c r="Q39" s="1"/>
      <c r="R39" s="1"/>
    </row>
    <row r="40" ht="15.75" customHeight="1">
      <c r="A40" s="1"/>
      <c r="B40" s="77">
        <v>2.0</v>
      </c>
      <c r="C40" s="84"/>
      <c r="D40" s="85"/>
      <c r="E40" s="74"/>
      <c r="F40" s="1"/>
      <c r="G40" s="1"/>
      <c r="H40" s="1"/>
      <c r="I40" s="1"/>
      <c r="J40" s="1"/>
      <c r="K40" s="1"/>
      <c r="L40" s="1"/>
      <c r="M40" s="1"/>
      <c r="N40" s="80" t="s">
        <v>157</v>
      </c>
      <c r="O40" s="64"/>
      <c r="P40" s="1"/>
      <c r="Q40" s="1"/>
      <c r="R40" s="1"/>
    </row>
    <row r="41" ht="15.75" customHeight="1">
      <c r="A41" s="1"/>
      <c r="B41" s="71">
        <v>3.0</v>
      </c>
      <c r="C41" s="72"/>
      <c r="D41" s="73"/>
      <c r="E41" s="74"/>
      <c r="F41" s="1"/>
      <c r="G41" s="1"/>
      <c r="H41" s="1"/>
      <c r="I41" s="1"/>
      <c r="J41" s="1"/>
      <c r="K41" s="1"/>
      <c r="L41" s="1"/>
      <c r="M41" s="1"/>
      <c r="N41" s="82" t="s">
        <v>160</v>
      </c>
      <c r="O41" s="33"/>
      <c r="P41" s="1"/>
      <c r="Q41" s="1"/>
      <c r="R41" s="1"/>
    </row>
    <row r="42" ht="15.75" customHeight="1">
      <c r="A42" s="1"/>
      <c r="B42" s="77">
        <v>4.0</v>
      </c>
      <c r="C42" s="84"/>
      <c r="D42" s="85"/>
      <c r="E42" s="74"/>
      <c r="F42" s="1"/>
      <c r="G42" s="1"/>
      <c r="H42" s="1"/>
      <c r="I42" s="1"/>
      <c r="J42" s="1"/>
      <c r="K42" s="1"/>
      <c r="L42" s="1"/>
      <c r="M42" s="1"/>
      <c r="N42" s="86" t="s">
        <v>163</v>
      </c>
      <c r="O42" s="64"/>
      <c r="P42" s="1"/>
      <c r="Q42" s="1"/>
      <c r="R42" s="1"/>
    </row>
    <row r="43" ht="15.75" customHeight="1">
      <c r="A43" s="1"/>
      <c r="B43" s="71"/>
      <c r="C43" s="72"/>
      <c r="D43" s="73"/>
      <c r="E43" s="74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7"/>
      <c r="C44" s="84"/>
      <c r="D44" s="85"/>
      <c r="E44" s="74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3"/>
      <c r="E45" s="74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4"/>
      <c r="D46" s="85"/>
      <c r="E46" s="74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3"/>
      <c r="E47" s="74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4"/>
      <c r="D48" s="85"/>
      <c r="E48" s="74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4"/>
      <c r="C49" s="95"/>
      <c r="D49" s="96"/>
      <c r="E49" s="74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80" t="s">
        <v>684</v>
      </c>
      <c r="AU1" s="91" t="s">
        <v>685</v>
      </c>
    </row>
    <row r="2">
      <c r="A2" s="181" t="s">
        <v>686</v>
      </c>
      <c r="AU2" s="91">
        <v>1.0</v>
      </c>
    </row>
    <row r="3">
      <c r="AU3" s="91">
        <v>2.0</v>
      </c>
    </row>
    <row r="4">
      <c r="A4" s="182" t="s">
        <v>687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688</v>
      </c>
      <c r="CB4" s="91" t="s">
        <v>689</v>
      </c>
    </row>
    <row r="5">
      <c r="A5" s="184" t="s">
        <v>690</v>
      </c>
      <c r="B5" s="184" t="s">
        <v>2</v>
      </c>
      <c r="C5" s="184" t="s">
        <v>691</v>
      </c>
      <c r="D5" s="184" t="s">
        <v>692</v>
      </c>
      <c r="E5" s="184" t="s">
        <v>693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166</v>
      </c>
      <c r="Z5" s="91">
        <f t="shared" ref="Z5:Z17" si="1">Y5+(18-ROW())/100000</f>
        <v>166.00013</v>
      </c>
      <c r="AA5" s="91" t="s">
        <v>26</v>
      </c>
      <c r="AB5" s="91" t="s">
        <v>694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91">
        <f t="shared" ref="AD5:AD15" si="2">AC5+(16-ROW())/100000</f>
        <v>31.00011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252</v>
      </c>
      <c r="AG5" s="91">
        <f t="shared" ref="AG5:AG9" si="3">AF5+(10-ROW())/100000</f>
        <v>252.00005</v>
      </c>
      <c r="AH5" s="91" t="s">
        <v>695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694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696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0.4983333333</v>
      </c>
      <c r="E6" s="186">
        <f t="shared" ref="E6:E18" si="10">IF(D6="","",SUM($D$6:D6))</f>
        <v>0.4983333333</v>
      </c>
      <c r="X6" s="91" t="s">
        <v>22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91">
        <f t="shared" si="1"/>
        <v>299.00012</v>
      </c>
      <c r="AA6" s="91" t="s">
        <v>117</v>
      </c>
      <c r="AB6" s="91" t="s">
        <v>694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117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77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117</v>
      </c>
      <c r="AL6" s="91" t="s">
        <v>694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697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166</v>
      </c>
      <c r="D7" s="186">
        <f t="shared" si="9"/>
        <v>0.2766666667</v>
      </c>
      <c r="E7" s="186">
        <f t="shared" si="10"/>
        <v>0.775</v>
      </c>
      <c r="X7" s="91" t="s">
        <v>70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27</v>
      </c>
      <c r="AB7" s="91" t="s">
        <v>694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42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27</v>
      </c>
      <c r="AL7" s="91" t="s">
        <v>694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698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0.05166666667</v>
      </c>
      <c r="E8" s="186">
        <f t="shared" si="10"/>
        <v>0.8266666667</v>
      </c>
      <c r="X8" s="91" t="s">
        <v>61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699</v>
      </c>
      <c r="AB8" s="91" t="s">
        <v>694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699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103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699</v>
      </c>
      <c r="AL8" s="91" t="s">
        <v>694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707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0.045</v>
      </c>
      <c r="E9" s="186">
        <f t="shared" si="10"/>
        <v>0.8716666667</v>
      </c>
      <c r="X9" s="91" t="s">
        <v>239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91">
        <f t="shared" si="1"/>
        <v>16.00009</v>
      </c>
      <c r="AA9" s="91" t="s">
        <v>704</v>
      </c>
      <c r="AB9" s="91" t="s">
        <v>694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704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706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704</v>
      </c>
      <c r="AL9" s="91" t="s">
        <v>694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0.03333333333</v>
      </c>
      <c r="E10" s="186">
        <f t="shared" si="10"/>
        <v>0.905</v>
      </c>
      <c r="X10" s="91" t="s">
        <v>52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695</v>
      </c>
      <c r="AB10" s="91" t="s">
        <v>705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81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91">
        <f t="shared" si="4"/>
        <v>140.00001</v>
      </c>
      <c r="AK10" s="91" t="s">
        <v>695</v>
      </c>
      <c r="AL10" s="91" t="s">
        <v>705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0.03333333333</v>
      </c>
      <c r="E11" s="186">
        <f t="shared" si="10"/>
        <v>0.9383333333</v>
      </c>
      <c r="X11" s="91" t="s">
        <v>48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77</v>
      </c>
      <c r="AB11" s="91" t="s">
        <v>705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77</v>
      </c>
      <c r="AL11" s="91" t="s">
        <v>705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0.02666666667</v>
      </c>
      <c r="E12" s="186">
        <f t="shared" si="10"/>
        <v>0.965</v>
      </c>
      <c r="X12" s="91" t="s">
        <v>526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91">
        <f t="shared" si="1"/>
        <v>5.00006</v>
      </c>
      <c r="AA12" s="91" t="s">
        <v>42</v>
      </c>
      <c r="AB12" s="91" t="s">
        <v>705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42</v>
      </c>
      <c r="AL12" s="91" t="s">
        <v>705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0.02</v>
      </c>
      <c r="E13" s="186">
        <f t="shared" si="10"/>
        <v>0.985</v>
      </c>
      <c r="X13" s="91" t="s">
        <v>708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103</v>
      </c>
      <c r="AB13" s="91" t="s">
        <v>705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103</v>
      </c>
      <c r="AL13" s="91" t="s">
        <v>705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0.008333333333</v>
      </c>
      <c r="E14" s="186">
        <f t="shared" si="10"/>
        <v>0.9933333333</v>
      </c>
      <c r="X14" s="91" t="s">
        <v>100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706</v>
      </c>
      <c r="AB14" s="91" t="s">
        <v>705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706</v>
      </c>
      <c r="AL14" s="91" t="s">
        <v>705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0.006666666667</v>
      </c>
      <c r="E15" s="186">
        <f t="shared" si="10"/>
        <v>1</v>
      </c>
      <c r="X15" s="91" t="s">
        <v>96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91">
        <f t="shared" si="1"/>
        <v>4.00003</v>
      </c>
      <c r="AA15" s="91" t="s">
        <v>81</v>
      </c>
      <c r="AB15" s="91" t="s">
        <v>705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91">
        <f t="shared" si="2"/>
        <v>32.00001</v>
      </c>
      <c r="AK15" s="91" t="s">
        <v>81</v>
      </c>
      <c r="AL15" s="91" t="s">
        <v>705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709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710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711</v>
      </c>
      <c r="C19" s="185">
        <f>SUM(C6:C18)</f>
        <v>600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2" t="s">
        <v>712</v>
      </c>
      <c r="F23" s="182" t="s">
        <v>713</v>
      </c>
    </row>
    <row r="24" ht="15.75" customHeight="1">
      <c r="A24" s="184" t="s">
        <v>1</v>
      </c>
      <c r="B24" s="184" t="s">
        <v>714</v>
      </c>
      <c r="C24" s="184" t="s">
        <v>715</v>
      </c>
      <c r="D24" s="184" t="s">
        <v>716</v>
      </c>
      <c r="F24" s="184" t="s">
        <v>690</v>
      </c>
      <c r="G24" s="184" t="s">
        <v>7</v>
      </c>
      <c r="H24" s="184" t="s">
        <v>717</v>
      </c>
      <c r="I24" s="184" t="s">
        <v>718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0.5284974093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252</v>
      </c>
      <c r="I26" s="186">
        <f t="shared" si="17"/>
        <v>0.4352331606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0.03626943005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2" t="s">
        <v>719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4" t="s">
        <v>690</v>
      </c>
      <c r="G32" s="184" t="s">
        <v>705</v>
      </c>
      <c r="H32" s="184" t="s">
        <v>717</v>
      </c>
      <c r="I32" s="184" t="s">
        <v>718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2" t="s">
        <v>720</v>
      </c>
    </row>
    <row r="44" ht="15.75" customHeight="1"/>
    <row r="45" ht="15.75" customHeight="1">
      <c r="A45" s="184" t="s">
        <v>674</v>
      </c>
      <c r="D45" s="184" t="s">
        <v>721</v>
      </c>
      <c r="G45" s="184" t="s">
        <v>722</v>
      </c>
      <c r="J45" s="184" t="s">
        <v>723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4" t="s">
        <v>1</v>
      </c>
      <c r="B50" s="184" t="s">
        <v>714</v>
      </c>
      <c r="C50" s="184" t="s">
        <v>679</v>
      </c>
      <c r="D50" s="184" t="s">
        <v>680</v>
      </c>
      <c r="E50" s="184" t="s">
        <v>170</v>
      </c>
      <c r="F50" s="184" t="s">
        <v>171</v>
      </c>
      <c r="G50" s="184" t="s">
        <v>173</v>
      </c>
      <c r="H50" s="184" t="s">
        <v>174</v>
      </c>
      <c r="I50" s="184" t="s">
        <v>176</v>
      </c>
      <c r="J50" s="184" t="s">
        <v>724</v>
      </c>
      <c r="K50" s="184" t="s">
        <v>725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726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