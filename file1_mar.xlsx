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4" sheetId="14" r:id="rId18"/>
    <sheet state="visible" name="15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  <sheet state="visible" name="20" sheetId="20" r:id="rId24"/>
    <sheet state="visible" name="21" sheetId="21" r:id="rId25"/>
    <sheet state="visible" name="22" sheetId="22" r:id="rId26"/>
    <sheet state="visible" name="23" sheetId="23" r:id="rId27"/>
    <sheet state="visible" name="24" sheetId="24" r:id="rId28"/>
    <sheet state="visible" name="25" sheetId="25" r:id="rId29"/>
    <sheet state="visible" name="26" sheetId="26" r:id="rId30"/>
    <sheet state="visible" name="27" sheetId="27" r:id="rId31"/>
    <sheet state="visible" name="28" sheetId="28" r:id="rId32"/>
    <sheet state="visible" name="29" sheetId="29" r:id="rId33"/>
    <sheet state="visible" name="30" sheetId="30" r:id="rId34"/>
    <sheet state="visible" name="31" sheetId="31" r:id="rId35"/>
    <sheet state="visible" name="Draft" sheetId="32" r:id="rId36"/>
  </sheets>
  <definedNames/>
  <calcPr/>
</workbook>
</file>

<file path=xl/sharedStrings.xml><?xml version="1.0" encoding="utf-8"?>
<sst xmlns="http://schemas.openxmlformats.org/spreadsheetml/2006/main" count="3748" uniqueCount="433">
  <si>
    <t>No</t>
  </si>
  <si>
    <t>Nama</t>
  </si>
  <si>
    <t>Paket</t>
  </si>
  <si>
    <t>Q</t>
  </si>
  <si>
    <t>Tanggal Foto</t>
  </si>
  <si>
    <t>Pemasukan</t>
  </si>
  <si>
    <t>Keterangan</t>
  </si>
  <si>
    <t>Admin</t>
  </si>
  <si>
    <t>Fotogarfer</t>
  </si>
  <si>
    <t>Post Prod</t>
  </si>
  <si>
    <t>Cash</t>
  </si>
  <si>
    <t>Transfer</t>
  </si>
  <si>
    <t>Pembayaran</t>
  </si>
  <si>
    <t>All File</t>
  </si>
  <si>
    <t xml:space="preserve">File Edit </t>
  </si>
  <si>
    <t>Editan/FG</t>
  </si>
  <si>
    <t>Cetakan/Fame</t>
  </si>
  <si>
    <t>Diambil/Date</t>
  </si>
  <si>
    <t>Yumnaa Saajidah</t>
  </si>
  <si>
    <t>Tineke Asa</t>
  </si>
  <si>
    <t>Large Group</t>
  </si>
  <si>
    <t>Yunita</t>
  </si>
  <si>
    <t>Dinda</t>
  </si>
  <si>
    <t>Graduation</t>
  </si>
  <si>
    <t>DP</t>
  </si>
  <si>
    <t>Packing</t>
  </si>
  <si>
    <t>INDAH</t>
  </si>
  <si>
    <t>Lunas</t>
  </si>
  <si>
    <t>Nayla Aisyah</t>
  </si>
  <si>
    <t>ADDEL</t>
  </si>
  <si>
    <t>Nisa</t>
  </si>
  <si>
    <t>Dina</t>
  </si>
  <si>
    <t>Dini</t>
  </si>
  <si>
    <t>Family A</t>
  </si>
  <si>
    <t>Family B</t>
  </si>
  <si>
    <t>Indah</t>
  </si>
  <si>
    <t>Uploaded</t>
  </si>
  <si>
    <t>Sondang Mariya</t>
  </si>
  <si>
    <t>Pending</t>
  </si>
  <si>
    <t>HANIF</t>
  </si>
  <si>
    <t>Single</t>
  </si>
  <si>
    <t>Emil</t>
  </si>
  <si>
    <t>Naura</t>
  </si>
  <si>
    <t>Photofox</t>
  </si>
  <si>
    <t>Add Cetak</t>
  </si>
  <si>
    <t>Vinna</t>
  </si>
  <si>
    <t>16R</t>
  </si>
  <si>
    <t>michellda</t>
  </si>
  <si>
    <t>Devina</t>
  </si>
  <si>
    <t>Niko</t>
  </si>
  <si>
    <t>Syanaz</t>
  </si>
  <si>
    <t>Couple A</t>
  </si>
  <si>
    <t>ADIF</t>
  </si>
  <si>
    <t>Athiyah</t>
  </si>
  <si>
    <t>Kaivan</t>
  </si>
  <si>
    <t xml:space="preserve"> Erni Farida</t>
  </si>
  <si>
    <t>Risa</t>
  </si>
  <si>
    <t>Monica</t>
  </si>
  <si>
    <t>Flower</t>
  </si>
  <si>
    <t>Natasya</t>
  </si>
  <si>
    <t xml:space="preserve">ADIF </t>
  </si>
  <si>
    <t>FISIP UNSOED RADIO 26/27 (FUR)</t>
  </si>
  <si>
    <t>Minpera</t>
  </si>
  <si>
    <t>Janitra</t>
  </si>
  <si>
    <t>Aziz F4F</t>
  </si>
  <si>
    <t>Vio</t>
  </si>
  <si>
    <t>Pas Foto</t>
  </si>
  <si>
    <t>Siti Maimunah</t>
  </si>
  <si>
    <t>ots</t>
  </si>
  <si>
    <t>Nanki Nirmanto</t>
  </si>
  <si>
    <t xml:space="preserve"> Irena</t>
  </si>
  <si>
    <t>Satya</t>
  </si>
  <si>
    <t>Nominal</t>
  </si>
  <si>
    <t>Shift</t>
  </si>
  <si>
    <t>Pendapatan Tunai</t>
  </si>
  <si>
    <t>Admin 1</t>
  </si>
  <si>
    <t>Penthil</t>
  </si>
  <si>
    <t>Admin 2</t>
  </si>
  <si>
    <t>Hanif</t>
  </si>
  <si>
    <t>Fotografer 1</t>
  </si>
  <si>
    <t>Fotografer 2</t>
  </si>
  <si>
    <t>Fahme</t>
  </si>
  <si>
    <t>Lakban Aiz</t>
  </si>
  <si>
    <t>Adif</t>
  </si>
  <si>
    <t>Galon</t>
  </si>
  <si>
    <t xml:space="preserve">HANIF </t>
  </si>
  <si>
    <t>Sendy Citra</t>
  </si>
  <si>
    <t>all file</t>
  </si>
  <si>
    <t>Nana</t>
  </si>
  <si>
    <t xml:space="preserve">ADDEL </t>
  </si>
  <si>
    <t>Ibu Dindi</t>
  </si>
  <si>
    <t>Anindita</t>
  </si>
  <si>
    <t xml:space="preserve">Photofox </t>
  </si>
  <si>
    <t>Fawwaz</t>
  </si>
  <si>
    <t>arlene</t>
  </si>
  <si>
    <t>Dzaky Alfikri</t>
  </si>
  <si>
    <t xml:space="preserve"> Salsabila Zahra Putri</t>
  </si>
  <si>
    <t>Melva Bherly</t>
  </si>
  <si>
    <t xml:space="preserve"> Zulfa Jiddan</t>
  </si>
  <si>
    <t>Graduation Premium</t>
  </si>
  <si>
    <t>Isna Abidah</t>
  </si>
  <si>
    <t>Dea</t>
  </si>
  <si>
    <t>Hera</t>
  </si>
  <si>
    <t>Rahma</t>
  </si>
  <si>
    <t>Irena</t>
  </si>
  <si>
    <t>Pass Photo</t>
  </si>
  <si>
    <t>Cahya Wulan</t>
  </si>
  <si>
    <t>Couple B</t>
  </si>
  <si>
    <t>Erni Farida</t>
  </si>
  <si>
    <t>Sheva</t>
  </si>
  <si>
    <t>Dimas Ulinnuha</t>
  </si>
  <si>
    <t>Arif Nur</t>
  </si>
  <si>
    <t>Salsabila Zahra Putri</t>
  </si>
  <si>
    <t>Sofi</t>
  </si>
  <si>
    <t>Sefi</t>
  </si>
  <si>
    <t>Tiara</t>
  </si>
  <si>
    <t>Zakiya</t>
  </si>
  <si>
    <t>Nida</t>
  </si>
  <si>
    <t>Erni</t>
  </si>
  <si>
    <t>Add Edit</t>
  </si>
  <si>
    <t>Michellda</t>
  </si>
  <si>
    <t>Rajes</t>
  </si>
  <si>
    <t>FISIP UNSOED RADIO</t>
  </si>
  <si>
    <t>adla</t>
  </si>
  <si>
    <t>Alda</t>
  </si>
  <si>
    <t xml:space="preserve"> Siti Maimunah</t>
  </si>
  <si>
    <t>Aina</t>
  </si>
  <si>
    <t>Ersa</t>
  </si>
  <si>
    <t>Wuri</t>
  </si>
  <si>
    <t>Nayla</t>
  </si>
  <si>
    <t>Wimbo</t>
  </si>
  <si>
    <t>-</t>
  </si>
  <si>
    <t>Julian Bento Handoko</t>
  </si>
  <si>
    <t>Clara</t>
  </si>
  <si>
    <t>Amelia Ikhromatul Milah</t>
  </si>
  <si>
    <t>fasley arya</t>
  </si>
  <si>
    <t>Risky</t>
  </si>
  <si>
    <t>Kaira</t>
  </si>
  <si>
    <t>Uta</t>
  </si>
  <si>
    <t>Fadel</t>
  </si>
  <si>
    <t>Yulia Rochimah</t>
  </si>
  <si>
    <t>Rizky</t>
  </si>
  <si>
    <t>adelia</t>
  </si>
  <si>
    <t>Muhammad Tsany</t>
  </si>
  <si>
    <t>Talita Aura</t>
  </si>
  <si>
    <t>Nabila</t>
  </si>
  <si>
    <t>sasmita</t>
  </si>
  <si>
    <t>Reva Saputra</t>
  </si>
  <si>
    <t>piar</t>
  </si>
  <si>
    <t>All Soft File</t>
  </si>
  <si>
    <t>Diah</t>
  </si>
  <si>
    <t>Ulis</t>
  </si>
  <si>
    <t>Laila</t>
  </si>
  <si>
    <t>Okta</t>
  </si>
  <si>
    <t>Studio Rent</t>
  </si>
  <si>
    <t>Ali Imron</t>
  </si>
  <si>
    <t>Wilujeng Kusuma Putri</t>
  </si>
  <si>
    <t>Ka Wina</t>
  </si>
  <si>
    <t>Pass photo</t>
  </si>
  <si>
    <t xml:space="preserve"> Aan</t>
  </si>
  <si>
    <t>dliya</t>
  </si>
  <si>
    <t>Tiwi</t>
  </si>
  <si>
    <t>Sabrina</t>
  </si>
  <si>
    <t>wiqohyatul</t>
  </si>
  <si>
    <t>Agung</t>
  </si>
  <si>
    <t>Mutiara Rizqi</t>
  </si>
  <si>
    <t>Aaisyah</t>
  </si>
  <si>
    <t>Sasa</t>
  </si>
  <si>
    <t>arif</t>
  </si>
  <si>
    <t xml:space="preserve">Add Cetak </t>
  </si>
  <si>
    <t>10R</t>
  </si>
  <si>
    <t>Arya Andhika</t>
  </si>
  <si>
    <t>Salsa</t>
  </si>
  <si>
    <t>Add Cetak 10R</t>
  </si>
  <si>
    <t>Dilya</t>
  </si>
  <si>
    <t>Naziiel</t>
  </si>
  <si>
    <t>Sasmita</t>
  </si>
  <si>
    <t>Piar</t>
  </si>
  <si>
    <t>Septika</t>
  </si>
  <si>
    <t>Ferlinda</t>
  </si>
  <si>
    <t>Yanda</t>
  </si>
  <si>
    <t>Naswa</t>
  </si>
  <si>
    <t>Lala</t>
  </si>
  <si>
    <t>Fasley Arya</t>
  </si>
  <si>
    <t>Melva</t>
  </si>
  <si>
    <t>voucher disc 20%</t>
  </si>
  <si>
    <t>Adam</t>
  </si>
  <si>
    <t>Shabrina</t>
  </si>
  <si>
    <t>maestro</t>
  </si>
  <si>
    <t>Aizio</t>
  </si>
  <si>
    <t>Fadel Lkb Lib</t>
  </si>
  <si>
    <t xml:space="preserve">Lakban </t>
  </si>
  <si>
    <t>Dzati</t>
  </si>
  <si>
    <t>Luna</t>
  </si>
  <si>
    <t>Muhammad Fakhriz Zaman</t>
  </si>
  <si>
    <t>lea</t>
  </si>
  <si>
    <t>Yaski Nabila</t>
  </si>
  <si>
    <t>Fionny</t>
  </si>
  <si>
    <t>Sosmas</t>
  </si>
  <si>
    <t>edo</t>
  </si>
  <si>
    <t xml:space="preserve"> Luthfi</t>
  </si>
  <si>
    <t>Dwi Astuti</t>
  </si>
  <si>
    <t xml:space="preserve"> Nada</t>
  </si>
  <si>
    <t>Putri Wulan</t>
  </si>
  <si>
    <t>Ajeng</t>
  </si>
  <si>
    <t>Lutfiana</t>
  </si>
  <si>
    <t>Imam Sunarko</t>
  </si>
  <si>
    <t>Zahra Dea</t>
  </si>
  <si>
    <t>Donlight Donuts</t>
  </si>
  <si>
    <t>Jihan</t>
  </si>
  <si>
    <t>Asti</t>
  </si>
  <si>
    <t>Kanaya</t>
  </si>
  <si>
    <t>Mutiara</t>
  </si>
  <si>
    <t>Anggita</t>
  </si>
  <si>
    <t xml:space="preserve"> Yuni</t>
  </si>
  <si>
    <t>pass photo</t>
  </si>
  <si>
    <t>Rina</t>
  </si>
  <si>
    <t>Muhammad Chaniif Syahrizal Arianto</t>
  </si>
  <si>
    <t>Darwis</t>
  </si>
  <si>
    <t>Puji Wahyuningsih</t>
  </si>
  <si>
    <t>15 maarch</t>
  </si>
  <si>
    <t>Unggul</t>
  </si>
  <si>
    <t>Arif</t>
  </si>
  <si>
    <t>Dewi Rahma</t>
  </si>
  <si>
    <t>Maestro</t>
  </si>
  <si>
    <t>Bowo</t>
  </si>
  <si>
    <t xml:space="preserve">  Fahmi</t>
  </si>
  <si>
    <t>Edo</t>
  </si>
  <si>
    <t>Lea</t>
  </si>
  <si>
    <t>Bagus</t>
  </si>
  <si>
    <t>mila</t>
  </si>
  <si>
    <t>Haidar</t>
  </si>
  <si>
    <t>Titih</t>
  </si>
  <si>
    <t>asti</t>
  </si>
  <si>
    <t>Oca</t>
  </si>
  <si>
    <t>Putri Gamar</t>
  </si>
  <si>
    <t>Batre A2</t>
  </si>
  <si>
    <t>Anni</t>
  </si>
  <si>
    <t>Anis</t>
  </si>
  <si>
    <t>Nada</t>
  </si>
  <si>
    <t>Amanda</t>
  </si>
  <si>
    <t>Maternity</t>
  </si>
  <si>
    <t>Fahmi</t>
  </si>
  <si>
    <t>Rezky</t>
  </si>
  <si>
    <t>Liaamalia</t>
  </si>
  <si>
    <t>Anjeli</t>
  </si>
  <si>
    <t>16 macrh</t>
  </si>
  <si>
    <t>Ami</t>
  </si>
  <si>
    <t>Intan Anggun</t>
  </si>
  <si>
    <t>Tith</t>
  </si>
  <si>
    <t>Luthfi</t>
  </si>
  <si>
    <t>Add Cetak 16R</t>
  </si>
  <si>
    <t>Frame</t>
  </si>
  <si>
    <t>Bagas Marsono</t>
  </si>
  <si>
    <t>Nida Nailufar</t>
  </si>
  <si>
    <t>add edit 5</t>
  </si>
  <si>
    <t>Nuning Sholikha</t>
  </si>
  <si>
    <t>Fara</t>
  </si>
  <si>
    <t>Mila</t>
  </si>
  <si>
    <t>Lucky</t>
  </si>
  <si>
    <t>Seti</t>
  </si>
  <si>
    <t>Aufa</t>
  </si>
  <si>
    <t>Muhammad Tsanny</t>
  </si>
  <si>
    <t>add edit 2</t>
  </si>
  <si>
    <t>Anggit</t>
  </si>
  <si>
    <t>Aifa</t>
  </si>
  <si>
    <t>Wulan</t>
  </si>
  <si>
    <t>Elin</t>
  </si>
  <si>
    <t>Icell</t>
  </si>
  <si>
    <t>Faisal</t>
  </si>
  <si>
    <t>Ikko Laras</t>
  </si>
  <si>
    <t xml:space="preserve">Laras </t>
  </si>
  <si>
    <t>Natan</t>
  </si>
  <si>
    <t>Arlene</t>
  </si>
  <si>
    <t>aya</t>
  </si>
  <si>
    <t>Arie</t>
  </si>
  <si>
    <t>Ayda</t>
  </si>
  <si>
    <t>Debora</t>
  </si>
  <si>
    <t>Ratna dwi mulianingsih</t>
  </si>
  <si>
    <t>kodejure</t>
  </si>
  <si>
    <t>Feli Agustina</t>
  </si>
  <si>
    <t>Riswo</t>
  </si>
  <si>
    <t>naufal</t>
  </si>
  <si>
    <t>Hias</t>
  </si>
  <si>
    <t>Yuni</t>
  </si>
  <si>
    <t>Caca</t>
  </si>
  <si>
    <t>Vlora</t>
  </si>
  <si>
    <t>Keisya</t>
  </si>
  <si>
    <t>Galuh</t>
  </si>
  <si>
    <t>candika hamam</t>
  </si>
  <si>
    <t>alifah desriana</t>
  </si>
  <si>
    <t>Puji</t>
  </si>
  <si>
    <t>packing</t>
  </si>
  <si>
    <t>Aufa Putri A</t>
  </si>
  <si>
    <t>Aufa Putri</t>
  </si>
  <si>
    <t>Imron</t>
  </si>
  <si>
    <t>Deni</t>
  </si>
  <si>
    <t>Fitria Budi Lestari</t>
  </si>
  <si>
    <t>Rosa</t>
  </si>
  <si>
    <t>Fauzan</t>
  </si>
  <si>
    <t>Aya</t>
  </si>
  <si>
    <t>Kurnia Alya Setiadi</t>
  </si>
  <si>
    <t>Aul</t>
  </si>
  <si>
    <t>Septa Wisnu Wardhana</t>
  </si>
  <si>
    <t>Alifah</t>
  </si>
  <si>
    <t>Friska</t>
  </si>
  <si>
    <t>Add Cetak 5R</t>
  </si>
  <si>
    <t>Bu susi</t>
  </si>
  <si>
    <t>Siska</t>
  </si>
  <si>
    <t>Sela</t>
  </si>
  <si>
    <t>Deviana</t>
  </si>
  <si>
    <t>Couple C</t>
  </si>
  <si>
    <t>Ria</t>
  </si>
  <si>
    <t>Era</t>
  </si>
  <si>
    <t>Nathan</t>
  </si>
  <si>
    <t>Putri citra arrum</t>
  </si>
  <si>
    <t>Dewi Asta</t>
  </si>
  <si>
    <t>Puspa</t>
  </si>
  <si>
    <t xml:space="preserve"> (shift hari raya)</t>
  </si>
  <si>
    <t>penthil</t>
  </si>
  <si>
    <t>Ananda</t>
  </si>
  <si>
    <t>Nuning</t>
  </si>
  <si>
    <t>Naufal</t>
  </si>
  <si>
    <t>Adinda</t>
  </si>
  <si>
    <t>Nur Irfan</t>
  </si>
  <si>
    <t>Bu susi by ADDEL</t>
  </si>
  <si>
    <t xml:space="preserve">Caca </t>
  </si>
  <si>
    <t>Endistya</t>
  </si>
  <si>
    <t>Buna</t>
  </si>
  <si>
    <t>Tata</t>
  </si>
  <si>
    <t>Eca</t>
  </si>
  <si>
    <t>Prewed 1,6</t>
  </si>
  <si>
    <t>Nur Liya</t>
  </si>
  <si>
    <t>Febrian Nuraini</t>
  </si>
  <si>
    <t>Widi</t>
  </si>
  <si>
    <t>Alfaya</t>
  </si>
  <si>
    <t>Putri Citra a</t>
  </si>
  <si>
    <t>add 16R, 12R, 5R(3)</t>
  </si>
  <si>
    <t xml:space="preserve"> Annisa Fitria Wardani</t>
  </si>
  <si>
    <t>Addel</t>
  </si>
  <si>
    <t>Vanda</t>
  </si>
  <si>
    <t>Salwa</t>
  </si>
  <si>
    <t>Kenna</t>
  </si>
  <si>
    <t>Kellia</t>
  </si>
  <si>
    <t>Farah amiria</t>
  </si>
  <si>
    <t>Plastik Kresek</t>
  </si>
  <si>
    <t>Ana</t>
  </si>
  <si>
    <t>hanif</t>
  </si>
  <si>
    <t xml:space="preserve">Isna </t>
  </si>
  <si>
    <t>Aan</t>
  </si>
  <si>
    <t>Hermawan</t>
  </si>
  <si>
    <t>Avica</t>
  </si>
  <si>
    <t>Sinta</t>
  </si>
  <si>
    <t>Arya</t>
  </si>
  <si>
    <t>Rizaldi</t>
  </si>
  <si>
    <t>Aditiya</t>
  </si>
  <si>
    <t>Rizqa Shabrina Yandri</t>
  </si>
  <si>
    <t>Dany</t>
  </si>
  <si>
    <t>koas 26</t>
  </si>
  <si>
    <t>Rahes</t>
  </si>
  <si>
    <t>Asad</t>
  </si>
  <si>
    <t>Awwa</t>
  </si>
  <si>
    <t>Narendra</t>
  </si>
  <si>
    <t>Diva Karindra</t>
  </si>
  <si>
    <t>Jayy</t>
  </si>
  <si>
    <t>In Pikako</t>
  </si>
  <si>
    <t>Arayyan</t>
  </si>
  <si>
    <t>Sotya</t>
  </si>
  <si>
    <t>FAHME</t>
  </si>
  <si>
    <t>Novi Auliya</t>
  </si>
  <si>
    <t>Zulfa Jiddan</t>
  </si>
  <si>
    <t>Shierly</t>
  </si>
  <si>
    <t>Nur Salsabila</t>
  </si>
  <si>
    <t>Leli M</t>
  </si>
  <si>
    <t>FADEL</t>
  </si>
  <si>
    <t>Zahwa</t>
  </si>
  <si>
    <t>Olivia Nur F</t>
  </si>
  <si>
    <t>Gina Pertiwi</t>
  </si>
  <si>
    <t>Keissya</t>
  </si>
  <si>
    <t>Gemilang</t>
  </si>
  <si>
    <t>Ariiq</t>
  </si>
  <si>
    <t>Candika Hamam</t>
  </si>
  <si>
    <t>Anggi</t>
  </si>
  <si>
    <t>Bella</t>
  </si>
  <si>
    <t>Fazlur</t>
  </si>
  <si>
    <t>Rifa</t>
  </si>
  <si>
    <t xml:space="preserve">Fadel </t>
  </si>
  <si>
    <t>ABROR</t>
  </si>
  <si>
    <t>Harits</t>
  </si>
  <si>
    <t>Baygon</t>
  </si>
  <si>
    <t>Leni</t>
  </si>
  <si>
    <t>Dimas Ulinuha</t>
  </si>
  <si>
    <t>Lena</t>
  </si>
  <si>
    <t>Ade Ulya</t>
  </si>
  <si>
    <t>Lisa Ika</t>
  </si>
  <si>
    <t>Nadia</t>
  </si>
  <si>
    <t>Naomi</t>
  </si>
  <si>
    <t>Ela Dwi Utami</t>
  </si>
  <si>
    <t>Putri Aurellia</t>
  </si>
  <si>
    <t xml:space="preserve">Makan Wisuda Pagi </t>
  </si>
  <si>
    <t>Kurnia Alya</t>
  </si>
  <si>
    <t>Adelya</t>
  </si>
  <si>
    <t>Ilham Dwi</t>
  </si>
  <si>
    <t>Wisnu</t>
  </si>
  <si>
    <t>haura loen</t>
  </si>
  <si>
    <t xml:space="preserve"> Rae</t>
  </si>
  <si>
    <t>Ayacha</t>
  </si>
  <si>
    <t>Wimboo</t>
  </si>
  <si>
    <t>Galuh Umbay</t>
  </si>
  <si>
    <t>Novi</t>
  </si>
  <si>
    <t xml:space="preserve">Dany </t>
  </si>
  <si>
    <t>Vera Regina</t>
  </si>
  <si>
    <t xml:space="preserve">Rizqa </t>
  </si>
  <si>
    <t>Elsa</t>
  </si>
  <si>
    <t>Pipit</t>
  </si>
  <si>
    <t>PENTIL</t>
  </si>
  <si>
    <t>Kodejure</t>
  </si>
  <si>
    <t xml:space="preserve">Fia Ibang </t>
  </si>
  <si>
    <t>1. Dea</t>
  </si>
  <si>
    <t>JIJANG</t>
  </si>
  <si>
    <t xml:space="preserve">2. Isna </t>
  </si>
  <si>
    <t>3. Salma</t>
  </si>
  <si>
    <t>4. Ali Imron</t>
  </si>
  <si>
    <t xml:space="preserve">5. Kharisma </t>
  </si>
  <si>
    <t>6. Adla</t>
  </si>
  <si>
    <t>7. Nur Liya</t>
  </si>
  <si>
    <t>8. Arrayyan</t>
  </si>
  <si>
    <t>9. Asya</t>
  </si>
  <si>
    <t>Carger Admin</t>
  </si>
  <si>
    <t>Makan malem</t>
  </si>
  <si>
    <t xml:space="preserve">Jijang Runner </t>
  </si>
  <si>
    <t xml:space="preserve">Benisn </t>
  </si>
  <si>
    <t>indah, addel, adif, hanif, fahme, abror, fadel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</si>
</sst>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m yyyy"/>
    <numFmt numFmtId="165" formatCode="[$Rp]#,##0"/>
    <numFmt numFmtId="166" formatCode="d mmmm"/>
    <numFmt numFmtId="167" formatCode="d mmm"/>
    <numFmt numFmtId="168" formatCode="dmmm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/>
    <font>
      <b/>
      <i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i/>
      <color theme="1"/>
      <name val="Arial"/>
    </font>
    <font>
      <color theme="1"/>
      <name val="Helvetica Neue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6" fillId="2" fontId="3" numFmtId="0" xfId="0" applyAlignment="1" applyBorder="1" applyFill="1" applyFont="1">
      <alignment horizontal="center" readingOrder="0" vertical="center"/>
    </xf>
    <xf borderId="6" fillId="3" fontId="3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readingOrder="0" vertical="center"/>
    </xf>
    <xf borderId="2" fillId="0" fontId="2" numFmtId="165" xfId="0" applyAlignment="1" applyBorder="1" applyFont="1" applyNumberFormat="1">
      <alignment horizontal="right" readingOrder="0" vertical="center"/>
    </xf>
    <xf borderId="6" fillId="0" fontId="5" numFmtId="165" xfId="0" applyAlignment="1" applyBorder="1" applyFont="1" applyNumberFormat="1">
      <alignment horizontal="right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166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2" fillId="0" fontId="2" numFmtId="165" xfId="0" applyAlignment="1" applyBorder="1" applyFont="1" applyNumberFormat="1">
      <alignment horizontal="right" vertical="center"/>
    </xf>
    <xf borderId="6" fillId="0" fontId="1" numFmtId="0" xfId="0" applyAlignment="1" applyBorder="1" applyFont="1">
      <alignment horizontal="center" vertical="center"/>
    </xf>
    <xf borderId="6" fillId="0" fontId="1" numFmtId="9" xfId="0" applyAlignment="1" applyBorder="1" applyFont="1" applyNumberFormat="1">
      <alignment horizontal="center" readingOrder="0"/>
    </xf>
    <xf borderId="6" fillId="0" fontId="1" numFmtId="167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6" fillId="0" fontId="1" numFmtId="0" xfId="0" applyAlignment="1" applyBorder="1" applyFont="1">
      <alignment horizontal="center" vertical="center"/>
    </xf>
    <xf borderId="6" fillId="0" fontId="5" numFmtId="165" xfId="0" applyAlignment="1" applyBorder="1" applyFont="1" applyNumberFormat="1">
      <alignment horizontal="right" vertical="center"/>
    </xf>
    <xf borderId="6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4" fontId="2" numFmtId="165" xfId="0" applyAlignment="1" applyBorder="1" applyFill="1" applyFont="1" applyNumberFormat="1">
      <alignment horizontal="center" vertical="center"/>
    </xf>
    <xf borderId="5" fillId="5" fontId="5" numFmtId="165" xfId="0" applyAlignment="1" applyBorder="1" applyFill="1" applyFont="1" applyNumberFormat="1">
      <alignment horizontal="center" vertical="center"/>
    </xf>
    <xf borderId="6" fillId="2" fontId="1" numFmtId="0" xfId="0" applyAlignment="1" applyBorder="1" applyFill="1" applyFont="1">
      <alignment horizontal="center" readingOrder="0" vertical="center"/>
    </xf>
    <xf borderId="6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left" readingOrder="0" vertical="center"/>
    </xf>
    <xf borderId="7" fillId="0" fontId="2" numFmtId="165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1" fillId="6" fontId="1" numFmtId="0" xfId="0" applyAlignment="1" applyBorder="1" applyFill="1" applyFont="1">
      <alignment horizontal="left" readingOrder="0" vertical="center"/>
    </xf>
    <xf borderId="7" fillId="7" fontId="2" numFmtId="0" xfId="0" applyAlignment="1" applyBorder="1" applyFill="1" applyFont="1">
      <alignment horizontal="center" readingOrder="0" vertical="center"/>
    </xf>
    <xf borderId="7" fillId="7" fontId="2" numFmtId="0" xfId="0" applyAlignment="1" applyBorder="1" applyFill="1" applyFont="1">
      <alignment horizontal="left" readingOrder="0" vertical="center"/>
    </xf>
    <xf borderId="7" fillId="7" fontId="2" numFmtId="165" xfId="0" applyAlignment="1" applyBorder="1" applyFill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5" fillId="6" fontId="1" numFmtId="0" xfId="0" applyAlignment="1" applyBorder="1" applyFill="1" applyFont="1">
      <alignment horizontal="left" readingOrder="0" vertical="center"/>
    </xf>
    <xf borderId="5" fillId="0" fontId="1" numFmtId="0" xfId="0" applyAlignment="1" applyBorder="1" applyFont="1">
      <alignment horizontal="center" readingOrder="0" vertical="center"/>
    </xf>
    <xf borderId="7" fillId="0" fontId="2" numFmtId="165" xfId="0" applyAlignment="1" applyBorder="1" applyFont="1" applyNumberFormat="1">
      <alignment horizontal="right" readingOrder="0" vertical="center"/>
    </xf>
    <xf borderId="7" fillId="4" fontId="1" numFmtId="0" xfId="0" applyAlignment="1" applyBorder="1" applyFill="1" applyFont="1">
      <alignment horizontal="left" readingOrder="0" vertical="center"/>
    </xf>
    <xf borderId="5" fillId="4" fontId="1" numFmtId="0" xfId="0" applyAlignment="1" applyBorder="1" applyFill="1" applyFont="1">
      <alignment horizontal="left" readingOrder="0" vertical="center"/>
    </xf>
    <xf borderId="7" fillId="0" fontId="2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7" fillId="7" fontId="2" numFmtId="0" xfId="0" applyAlignment="1" applyBorder="1" applyFill="1" applyFont="1">
      <alignment horizontal="left" vertical="center"/>
    </xf>
    <xf borderId="7" fillId="7" fontId="2" numFmtId="165" xfId="0" applyAlignment="1" applyBorder="1" applyFill="1" applyFont="1" applyNumberFormat="1">
      <alignment horizontal="right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vertical="center"/>
    </xf>
    <xf borderId="5" fillId="0" fontId="2" numFmtId="165" xfId="0" applyAlignment="1" applyBorder="1" applyFont="1" applyNumberFormat="1">
      <alignment horizontal="right" vertical="center"/>
    </xf>
    <xf borderId="6" fillId="8" fontId="2" numFmtId="165" xfId="0" applyAlignment="1" applyBorder="1" applyFill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8" fillId="0" fontId="6" numFmtId="0" xfId="0" applyAlignment="1" applyBorder="1" applyFont="1">
      <alignment horizontal="center" readingOrder="0" vertical="bottom"/>
    </xf>
    <xf borderId="6" fillId="0" fontId="1" numFmtId="168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bottom"/>
    </xf>
    <xf borderId="2" fillId="0" fontId="2" numFmtId="166" xfId="0" applyAlignment="1" applyBorder="1" applyFont="1" applyNumberFormat="1">
      <alignment horizontal="right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6" fillId="0" fontId="6" numFmtId="166" xfId="0" applyAlignment="1" applyBorder="1" applyFont="1" applyNumberFormat="1">
      <alignment horizontal="center"/>
    </xf>
    <xf borderId="2" fillId="0" fontId="6" numFmtId="165" xfId="0" applyBorder="1" applyFont="1" applyNumberFormat="1"/>
    <xf borderId="6" fillId="0" fontId="8" numFmtId="165" xfId="0" applyAlignment="1" applyBorder="1" applyFont="1" applyNumberFormat="1">
      <alignment horizontal="right"/>
    </xf>
    <xf borderId="6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6" fillId="0" fontId="6" numFmtId="0" xfId="0" applyBorder="1" applyFont="1"/>
    <xf borderId="2" fillId="0" fontId="1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6" fillId="9" fontId="2" numFmtId="0" xfId="0" applyAlignment="1" applyBorder="1" applyFill="1" applyFont="1">
      <alignment horizontal="center" readingOrder="0" vertical="center"/>
    </xf>
    <xf borderId="6" fillId="9" fontId="2" numFmtId="0" xfId="0" applyAlignment="1" applyBorder="1" applyFill="1" applyFont="1">
      <alignment horizontal="center" readingOrder="0"/>
    </xf>
    <xf borderId="6" fillId="9" fontId="1" numFmtId="0" xfId="0" applyAlignment="1" applyBorder="1" applyFill="1" applyFont="1">
      <alignment horizontal="center" readingOrder="0"/>
    </xf>
    <xf borderId="6" fillId="9" fontId="2" numFmtId="0" xfId="0" applyAlignment="1" applyBorder="1" applyFill="1" applyFont="1">
      <alignment horizontal="center" vertical="center"/>
    </xf>
    <xf borderId="6" fillId="0" fontId="6" numFmtId="167" xfId="0" applyAlignment="1" applyBorder="1" applyFont="1" applyNumberFormat="1">
      <alignment horizontal="center"/>
    </xf>
    <xf borderId="9" fillId="0" fontId="9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vertical="bottom"/>
    </xf>
    <xf borderId="6" fillId="10" fontId="2" numFmtId="0" xfId="0" applyAlignment="1" applyBorder="1" applyFill="1" applyFont="1">
      <alignment horizontal="center" readingOrder="0" vertical="center"/>
    </xf>
    <xf borderId="6" fillId="10" fontId="2" numFmtId="0" xfId="0" applyAlignment="1" applyBorder="1" applyFill="1" applyFont="1">
      <alignment horizontal="center" readingOrder="0"/>
    </xf>
    <xf borderId="6" fillId="10" fontId="1" numFmtId="0" xfId="0" applyAlignment="1" applyBorder="1" applyFill="1" applyFont="1">
      <alignment horizontal="center" readingOrder="0"/>
    </xf>
    <xf borderId="6" fillId="10" fontId="1" numFmtId="166" xfId="0" applyAlignment="1" applyBorder="1" applyFill="1" applyFont="1" applyNumberFormat="1">
      <alignment horizontal="center" readingOrder="0" vertical="center"/>
    </xf>
    <xf borderId="2" fillId="10" fontId="2" numFmtId="165" xfId="0" applyAlignment="1" applyBorder="1" applyFill="1" applyFont="1" applyNumberFormat="1">
      <alignment horizontal="right" readingOrder="0" vertical="center"/>
    </xf>
    <xf borderId="6" fillId="10" fontId="5" numFmtId="165" xfId="0" applyAlignment="1" applyBorder="1" applyFill="1" applyFont="1" applyNumberFormat="1">
      <alignment horizontal="right" readingOrder="0" vertical="center"/>
    </xf>
    <xf borderId="6" fillId="10" fontId="1" numFmtId="0" xfId="0" applyAlignment="1" applyBorder="1" applyFill="1" applyFont="1">
      <alignment horizontal="center" readingOrder="0" vertical="center"/>
    </xf>
    <xf borderId="7" fillId="10" fontId="1" numFmtId="0" xfId="0" applyAlignment="1" applyBorder="1" applyFill="1" applyFont="1">
      <alignment horizontal="center" readingOrder="0" vertical="center"/>
    </xf>
    <xf borderId="7" fillId="10" fontId="1" numFmtId="0" xfId="0" applyAlignment="1" applyBorder="1" applyFill="1" applyFont="1">
      <alignment horizontal="center" vertical="center"/>
    </xf>
    <xf borderId="6" fillId="10" fontId="5" numFmtId="165" xfId="0" applyAlignment="1" applyBorder="1" applyFill="1" applyFont="1" applyNumberFormat="1">
      <alignment horizontal="right" vertical="center"/>
    </xf>
    <xf borderId="0" fillId="10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21</v>
      </c>
      <c r="D4" s="16" t="s">
        <v>25</v>
      </c>
      <c r="E4" s="17"/>
      <c r="F4" s="18">
        <v>46059.0</v>
      </c>
      <c r="G4" s="19"/>
      <c r="H4" s="20">
        <v>20000.0</v>
      </c>
      <c r="I4" s="21" t="s">
        <v>27</v>
      </c>
      <c r="J4" s="21"/>
      <c r="K4" s="21"/>
      <c r="L4" s="21" t="s">
        <v>26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32</v>
      </c>
      <c r="D5" s="16" t="s">
        <v>34</v>
      </c>
      <c r="E5" s="17"/>
      <c r="F5" s="18">
        <v>46096.0</v>
      </c>
      <c r="G5" s="19"/>
      <c r="H5" s="20">
        <v>100000.0</v>
      </c>
      <c r="I5" s="21" t="s">
        <v>24</v>
      </c>
      <c r="J5" s="21"/>
      <c r="K5" s="21"/>
      <c r="L5" s="21" t="s">
        <v>26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35</v>
      </c>
      <c r="D6" s="16" t="s">
        <v>20</v>
      </c>
      <c r="E6" s="17"/>
      <c r="F6" s="22">
        <v>46082.0</v>
      </c>
      <c r="G6" s="27"/>
      <c r="H6" s="20">
        <v>100000.0</v>
      </c>
      <c r="I6" s="21" t="s">
        <v>24</v>
      </c>
      <c r="J6" s="21"/>
      <c r="K6" s="21"/>
      <c r="L6" s="21" t="s">
        <v>26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42</v>
      </c>
      <c r="D7" s="16" t="s">
        <v>43</v>
      </c>
      <c r="E7" s="17"/>
      <c r="F7" s="22">
        <v>46082.0</v>
      </c>
      <c r="G7" s="19"/>
      <c r="H7" s="20">
        <v>100000.0</v>
      </c>
      <c r="I7" s="21" t="s">
        <v>24</v>
      </c>
      <c r="J7" s="21"/>
      <c r="K7" s="21"/>
      <c r="L7" s="21" t="s">
        <v>26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48</v>
      </c>
      <c r="D8" s="16" t="s">
        <v>23</v>
      </c>
      <c r="E8" s="17"/>
      <c r="F8" s="22">
        <v>46112.0</v>
      </c>
      <c r="G8" s="19"/>
      <c r="H8" s="20">
        <v>100000.0</v>
      </c>
      <c r="I8" s="21" t="s">
        <v>24</v>
      </c>
      <c r="J8" s="21"/>
      <c r="K8" s="21"/>
      <c r="L8" s="21" t="s">
        <v>26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50</v>
      </c>
      <c r="D9" s="16" t="s">
        <v>20</v>
      </c>
      <c r="E9" s="29">
        <v>0.3</v>
      </c>
      <c r="F9" s="22">
        <v>46082.0</v>
      </c>
      <c r="G9" s="19"/>
      <c r="H9" s="20">
        <v>232500.0</v>
      </c>
      <c r="I9" s="21" t="s">
        <v>27</v>
      </c>
      <c r="J9" s="21" t="s">
        <v>36</v>
      </c>
      <c r="K9" s="21" t="s">
        <v>36</v>
      </c>
      <c r="L9" s="21" t="s">
        <v>26</v>
      </c>
      <c r="M9" s="21" t="s">
        <v>39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56</v>
      </c>
      <c r="D10" s="16" t="s">
        <v>34</v>
      </c>
      <c r="E10" s="29">
        <v>0.3</v>
      </c>
      <c r="F10" s="22">
        <v>46082.0</v>
      </c>
      <c r="G10" s="19"/>
      <c r="H10" s="20">
        <v>255000.0</v>
      </c>
      <c r="I10" s="21" t="s">
        <v>27</v>
      </c>
      <c r="J10" s="21" t="s">
        <v>36</v>
      </c>
      <c r="K10" s="21" t="s">
        <v>38</v>
      </c>
      <c r="L10" s="21" t="s">
        <v>26</v>
      </c>
      <c r="M10" s="21" t="s">
        <v>39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35</v>
      </c>
      <c r="D11" s="16" t="s">
        <v>20</v>
      </c>
      <c r="E11" s="29">
        <v>0.3</v>
      </c>
      <c r="F11" s="22">
        <v>46082.0</v>
      </c>
      <c r="G11" s="19">
        <v>22500.0</v>
      </c>
      <c r="H11" s="20"/>
      <c r="I11" s="21" t="s">
        <v>27</v>
      </c>
      <c r="J11" s="21" t="s">
        <v>36</v>
      </c>
      <c r="K11" s="21" t="s">
        <v>36</v>
      </c>
      <c r="L11" s="21" t="s">
        <v>26</v>
      </c>
      <c r="M11" s="21" t="s">
        <v>39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62</v>
      </c>
      <c r="D12" s="16" t="s">
        <v>20</v>
      </c>
      <c r="E12" s="29">
        <v>0.1</v>
      </c>
      <c r="F12" s="30">
        <v>46082.0</v>
      </c>
      <c r="G12" s="19"/>
      <c r="H12" s="20">
        <v>192500.0</v>
      </c>
      <c r="I12" s="21" t="s">
        <v>27</v>
      </c>
      <c r="J12" s="21" t="s">
        <v>36</v>
      </c>
      <c r="K12" s="21" t="s">
        <v>36</v>
      </c>
      <c r="L12" s="21" t="s">
        <v>29</v>
      </c>
      <c r="M12" s="21" t="s">
        <v>39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67</v>
      </c>
      <c r="D13" s="16" t="s">
        <v>33</v>
      </c>
      <c r="E13" s="29">
        <v>0.1</v>
      </c>
      <c r="F13" s="30">
        <v>46082.0</v>
      </c>
      <c r="G13" s="19"/>
      <c r="H13" s="20">
        <v>233000.0</v>
      </c>
      <c r="I13" s="21" t="s">
        <v>27</v>
      </c>
      <c r="J13" s="21" t="s">
        <v>36</v>
      </c>
      <c r="K13" s="21" t="s">
        <v>38</v>
      </c>
      <c r="L13" s="21" t="s">
        <v>29</v>
      </c>
      <c r="M13" s="21" t="s">
        <v>39</v>
      </c>
      <c r="N13" s="25"/>
      <c r="O13" s="26"/>
      <c r="P13" s="26"/>
      <c r="Q13" s="1"/>
      <c r="R13" s="1"/>
    </row>
    <row r="14">
      <c r="A14" s="1"/>
      <c r="B14" s="32"/>
      <c r="C14" s="15" t="s">
        <v>69</v>
      </c>
      <c r="D14" s="16" t="s">
        <v>34</v>
      </c>
      <c r="E14" s="17"/>
      <c r="F14" s="30">
        <v>46082.0</v>
      </c>
      <c r="G14" s="19">
        <v>0.0</v>
      </c>
      <c r="H14" s="20">
        <v>0.0</v>
      </c>
      <c r="I14" s="21" t="s">
        <v>27</v>
      </c>
      <c r="J14" s="21" t="s">
        <v>36</v>
      </c>
      <c r="K14" s="21" t="s">
        <v>38</v>
      </c>
      <c r="L14" s="21" t="s">
        <v>29</v>
      </c>
      <c r="M14" s="21" t="s">
        <v>39</v>
      </c>
      <c r="N14" s="25"/>
      <c r="O14" s="26"/>
      <c r="P14" s="26"/>
      <c r="Q14" s="1"/>
      <c r="R14" s="1"/>
    </row>
    <row r="15">
      <c r="A15" s="1"/>
      <c r="B15" s="32"/>
      <c r="C15" s="15" t="s">
        <v>42</v>
      </c>
      <c r="D15" s="16" t="s">
        <v>43</v>
      </c>
      <c r="E15" s="17"/>
      <c r="F15" s="30">
        <v>46082.0</v>
      </c>
      <c r="G15" s="19">
        <v>125000.0</v>
      </c>
      <c r="H15" s="33"/>
      <c r="I15" s="21" t="s">
        <v>27</v>
      </c>
      <c r="J15" s="21" t="s">
        <v>36</v>
      </c>
      <c r="K15" s="21" t="s">
        <v>38</v>
      </c>
      <c r="L15" s="21" t="s">
        <v>29</v>
      </c>
      <c r="M15" s="21" t="s">
        <v>39</v>
      </c>
      <c r="N15" s="25"/>
      <c r="O15" s="26"/>
      <c r="P15" s="26"/>
      <c r="Q15" s="1"/>
      <c r="R15" s="1"/>
    </row>
    <row r="16">
      <c r="A16" s="1"/>
      <c r="B16" s="32"/>
      <c r="C16" s="15" t="s">
        <v>71</v>
      </c>
      <c r="D16" s="16" t="s">
        <v>40</v>
      </c>
      <c r="E16" s="17"/>
      <c r="F16" s="30">
        <v>46082.0</v>
      </c>
      <c r="G16" s="19">
        <v>100000.0</v>
      </c>
      <c r="H16" s="33"/>
      <c r="I16" s="21" t="s">
        <v>27</v>
      </c>
      <c r="J16" s="21" t="s">
        <v>36</v>
      </c>
      <c r="K16" s="21" t="s">
        <v>38</v>
      </c>
      <c r="L16" s="21" t="s">
        <v>29</v>
      </c>
      <c r="M16" s="21" t="s">
        <v>39</v>
      </c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247500</v>
      </c>
      <c r="H19" s="37">
        <f t="shared" si="1"/>
        <v>1333000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247500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26</v>
      </c>
      <c r="P23" s="1"/>
      <c r="Q23" s="1"/>
      <c r="R23" s="1"/>
    </row>
    <row r="24">
      <c r="A24" s="1"/>
      <c r="B24" s="46">
        <v>2.0</v>
      </c>
      <c r="C24" s="47" t="s">
        <v>76</v>
      </c>
      <c r="D24" s="48">
        <v>-20000.0</v>
      </c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29</v>
      </c>
      <c r="P24" s="1"/>
      <c r="Q24" s="1"/>
      <c r="R24" s="1"/>
    </row>
    <row r="25">
      <c r="A25" s="1"/>
      <c r="B25" s="41">
        <v>3.0</v>
      </c>
      <c r="C25" s="42"/>
      <c r="D25" s="52"/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39</v>
      </c>
      <c r="P25" s="1"/>
      <c r="Q25" s="1"/>
      <c r="R25" s="1"/>
    </row>
    <row r="26">
      <c r="A26" s="1"/>
      <c r="B26" s="46">
        <v>4.0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39</v>
      </c>
      <c r="P26" s="1"/>
      <c r="Q26" s="1"/>
      <c r="R26" s="1"/>
    </row>
    <row r="27">
      <c r="A27" s="1"/>
      <c r="B27" s="41"/>
      <c r="C27" s="55"/>
      <c r="D27" s="43"/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227500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"-,VERO,FADEL,PENTIL,FAHME,HANIF"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Edit,Packing,Photofox"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22</v>
      </c>
      <c r="D4" s="16" t="s">
        <v>20</v>
      </c>
      <c r="E4" s="17"/>
      <c r="F4" s="22">
        <v>46088.0</v>
      </c>
      <c r="G4" s="19"/>
      <c r="H4" s="20">
        <v>100000.0</v>
      </c>
      <c r="I4" s="21" t="s">
        <v>24</v>
      </c>
      <c r="J4" s="21"/>
      <c r="K4" s="21"/>
      <c r="L4" s="21" t="s">
        <v>26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45</v>
      </c>
      <c r="D5" s="16" t="s">
        <v>20</v>
      </c>
      <c r="E5" s="29">
        <v>0.1</v>
      </c>
      <c r="F5" s="18">
        <v>46083.0</v>
      </c>
      <c r="G5" s="19">
        <v>417500.0</v>
      </c>
      <c r="H5" s="20"/>
      <c r="I5" s="21" t="s">
        <v>27</v>
      </c>
      <c r="J5" s="21" t="s">
        <v>36</v>
      </c>
      <c r="K5" s="21" t="s">
        <v>36</v>
      </c>
      <c r="L5" s="21" t="s">
        <v>26</v>
      </c>
      <c r="M5" s="21" t="s">
        <v>52</v>
      </c>
      <c r="N5" s="25"/>
      <c r="O5" s="25"/>
      <c r="P5" s="26"/>
      <c r="Q5" s="1"/>
      <c r="R5" s="1"/>
    </row>
    <row r="6">
      <c r="A6" s="1"/>
      <c r="B6" s="14">
        <v>3.0</v>
      </c>
      <c r="C6" s="15" t="s">
        <v>54</v>
      </c>
      <c r="D6" s="16" t="s">
        <v>33</v>
      </c>
      <c r="E6" s="17"/>
      <c r="F6" s="30">
        <v>46088.0</v>
      </c>
      <c r="G6" s="27"/>
      <c r="H6" s="20">
        <v>100000.0</v>
      </c>
      <c r="I6" s="21" t="s">
        <v>24</v>
      </c>
      <c r="J6" s="21"/>
      <c r="K6" s="21"/>
      <c r="L6" s="21" t="s">
        <v>29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59</v>
      </c>
      <c r="D7" s="16" t="s">
        <v>20</v>
      </c>
      <c r="E7" s="29">
        <v>0.1</v>
      </c>
      <c r="F7" s="30">
        <v>46083.0</v>
      </c>
      <c r="G7" s="19"/>
      <c r="H7" s="20">
        <v>507500.0</v>
      </c>
      <c r="I7" s="21" t="s">
        <v>27</v>
      </c>
      <c r="J7" s="21" t="s">
        <v>36</v>
      </c>
      <c r="K7" s="21" t="s">
        <v>36</v>
      </c>
      <c r="L7" s="21" t="s">
        <v>29</v>
      </c>
      <c r="M7" s="21" t="s">
        <v>52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64</v>
      </c>
      <c r="D8" s="16" t="s">
        <v>20</v>
      </c>
      <c r="E8" s="17"/>
      <c r="F8" s="30">
        <v>46091.0</v>
      </c>
      <c r="G8" s="19"/>
      <c r="H8" s="20">
        <v>200000.0</v>
      </c>
      <c r="I8" s="21" t="s">
        <v>24</v>
      </c>
      <c r="J8" s="21"/>
      <c r="K8" s="21"/>
      <c r="L8" s="21" t="s">
        <v>29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/>
      <c r="D9" s="16"/>
      <c r="E9" s="17"/>
      <c r="F9" s="32"/>
      <c r="G9" s="19"/>
      <c r="H9" s="33"/>
      <c r="I9" s="21"/>
      <c r="J9" s="21"/>
      <c r="K9" s="21"/>
      <c r="L9" s="28"/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/>
      <c r="D10" s="16"/>
      <c r="E10" s="17"/>
      <c r="F10" s="32"/>
      <c r="G10" s="19"/>
      <c r="H10" s="33"/>
      <c r="I10" s="21"/>
      <c r="J10" s="21"/>
      <c r="K10" s="21"/>
      <c r="L10" s="28"/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/>
      <c r="D11" s="16"/>
      <c r="E11" s="17"/>
      <c r="F11" s="32"/>
      <c r="G11" s="19"/>
      <c r="H11" s="33"/>
      <c r="I11" s="21"/>
      <c r="J11" s="21"/>
      <c r="K11" s="21"/>
      <c r="L11" s="28"/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2"/>
      <c r="G12" s="19"/>
      <c r="H12" s="33"/>
      <c r="I12" s="21"/>
      <c r="J12" s="21"/>
      <c r="K12" s="21"/>
      <c r="L12" s="28"/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2"/>
      <c r="G13" s="19"/>
      <c r="H13" s="33"/>
      <c r="I13" s="21"/>
      <c r="J13" s="21"/>
      <c r="K13" s="21"/>
      <c r="L13" s="28"/>
      <c r="M13" s="28"/>
      <c r="N13" s="25"/>
      <c r="O13" s="26"/>
      <c r="P13" s="26"/>
      <c r="Q13" s="1"/>
      <c r="R13" s="1"/>
    </row>
    <row r="14">
      <c r="A14" s="1"/>
      <c r="B14" s="32"/>
      <c r="C14" s="15"/>
      <c r="D14" s="16"/>
      <c r="E14" s="17"/>
      <c r="F14" s="32"/>
      <c r="G14" s="19"/>
      <c r="H14" s="33"/>
      <c r="I14" s="21"/>
      <c r="J14" s="21"/>
      <c r="K14" s="21"/>
      <c r="L14" s="28"/>
      <c r="M14" s="28"/>
      <c r="N14" s="25"/>
      <c r="O14" s="26"/>
      <c r="P14" s="26"/>
      <c r="Q14" s="1"/>
      <c r="R14" s="1"/>
    </row>
    <row r="15">
      <c r="A15" s="1"/>
      <c r="B15" s="32"/>
      <c r="C15" s="15"/>
      <c r="D15" s="16"/>
      <c r="E15" s="17"/>
      <c r="F15" s="32"/>
      <c r="G15" s="19"/>
      <c r="H15" s="33"/>
      <c r="I15" s="21"/>
      <c r="J15" s="21"/>
      <c r="K15" s="21"/>
      <c r="L15" s="28"/>
      <c r="M15" s="28"/>
      <c r="N15" s="25"/>
      <c r="O15" s="26"/>
      <c r="P15" s="26"/>
      <c r="Q15" s="1"/>
      <c r="R15" s="1"/>
    </row>
    <row r="16">
      <c r="A16" s="1"/>
      <c r="B16" s="32"/>
      <c r="C16" s="15"/>
      <c r="D16" s="16"/>
      <c r="E16" s="17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417500</v>
      </c>
      <c r="H19" s="37">
        <f t="shared" si="1"/>
        <v>907500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417500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26</v>
      </c>
      <c r="P23" s="1"/>
      <c r="Q23" s="1"/>
      <c r="R23" s="1"/>
    </row>
    <row r="24">
      <c r="A24" s="1"/>
      <c r="B24" s="46">
        <v>2.0</v>
      </c>
      <c r="C24" s="47" t="s">
        <v>81</v>
      </c>
      <c r="D24" s="48">
        <v>-50000.0</v>
      </c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29</v>
      </c>
      <c r="P24" s="1"/>
      <c r="Q24" s="1"/>
      <c r="R24" s="1"/>
    </row>
    <row r="25">
      <c r="A25" s="1"/>
      <c r="B25" s="41">
        <v>3.0</v>
      </c>
      <c r="C25" s="42" t="s">
        <v>76</v>
      </c>
      <c r="D25" s="52">
        <v>-67500.0</v>
      </c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52</v>
      </c>
      <c r="P25" s="1"/>
      <c r="Q25" s="1"/>
      <c r="R25" s="1"/>
    </row>
    <row r="26">
      <c r="A26" s="1"/>
      <c r="B26" s="46">
        <v>4.0</v>
      </c>
      <c r="C26" s="47" t="s">
        <v>82</v>
      </c>
      <c r="D26" s="48">
        <v>-95000.0</v>
      </c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52</v>
      </c>
      <c r="P26" s="1"/>
      <c r="Q26" s="1"/>
      <c r="R26" s="1"/>
    </row>
    <row r="27">
      <c r="A27" s="1"/>
      <c r="B27" s="41"/>
      <c r="C27" s="42" t="s">
        <v>83</v>
      </c>
      <c r="D27" s="52">
        <v>-50000.0</v>
      </c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42" t="s">
        <v>84</v>
      </c>
      <c r="D28" s="52">
        <v>-40000.0</v>
      </c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42"/>
      <c r="D29" s="52"/>
      <c r="E29" s="44"/>
      <c r="F29" s="63">
        <f>sum(D24:D27)</f>
        <v>-262500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115000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18 O23:O24">
      <formula1>"-,ADDEL,AXEL,PENTIL,FAHME,INDAH"</formula1>
    </dataValidation>
    <dataValidation type="list" allowBlank="1" showDropDown="1" showErrorMessage="1" sqref="M4:M18 O25:O26">
      <formula1>"-,VERO,FADEL,PENTIL,FAHME,ADIF"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</v>
      </c>
      <c r="D4" s="16" t="s">
        <v>20</v>
      </c>
      <c r="E4" s="17"/>
      <c r="F4" s="18">
        <v>46084.0</v>
      </c>
      <c r="G4" s="19"/>
      <c r="H4" s="20">
        <v>100000.0</v>
      </c>
      <c r="I4" s="21" t="s">
        <v>24</v>
      </c>
      <c r="J4" s="21"/>
      <c r="K4" s="21"/>
      <c r="L4" s="21" t="s">
        <v>26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28</v>
      </c>
      <c r="D5" s="16" t="s">
        <v>20</v>
      </c>
      <c r="E5" s="17"/>
      <c r="F5" s="18">
        <v>46089.0</v>
      </c>
      <c r="G5" s="19"/>
      <c r="H5" s="20">
        <v>100000.0</v>
      </c>
      <c r="I5" s="21" t="s">
        <v>24</v>
      </c>
      <c r="J5" s="21"/>
      <c r="K5" s="21"/>
      <c r="L5" s="21" t="s">
        <v>26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30</v>
      </c>
      <c r="D6" s="16" t="s">
        <v>20</v>
      </c>
      <c r="E6" s="17"/>
      <c r="F6" s="22">
        <v>46085.0</v>
      </c>
      <c r="G6" s="27"/>
      <c r="H6" s="20">
        <v>100000.0</v>
      </c>
      <c r="I6" s="21" t="s">
        <v>24</v>
      </c>
      <c r="J6" s="21"/>
      <c r="K6" s="21"/>
      <c r="L6" s="21" t="s">
        <v>26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31</v>
      </c>
      <c r="D7" s="16" t="s">
        <v>33</v>
      </c>
      <c r="E7" s="17"/>
      <c r="F7" s="22">
        <v>46099.0</v>
      </c>
      <c r="G7" s="19"/>
      <c r="H7" s="20">
        <v>100000.0</v>
      </c>
      <c r="I7" s="21" t="s">
        <v>24</v>
      </c>
      <c r="J7" s="21"/>
      <c r="K7" s="21"/>
      <c r="L7" s="21" t="s">
        <v>26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18</v>
      </c>
      <c r="D8" s="16" t="s">
        <v>20</v>
      </c>
      <c r="E8" s="29">
        <v>0.3</v>
      </c>
      <c r="F8" s="22">
        <v>46084.0</v>
      </c>
      <c r="G8" s="19"/>
      <c r="H8" s="20">
        <v>372500.0</v>
      </c>
      <c r="I8" s="21" t="s">
        <v>27</v>
      </c>
      <c r="J8" s="21" t="s">
        <v>36</v>
      </c>
      <c r="K8" s="21" t="s">
        <v>38</v>
      </c>
      <c r="L8" s="21" t="s">
        <v>26</v>
      </c>
      <c r="M8" s="21" t="s">
        <v>39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41</v>
      </c>
      <c r="D9" s="16" t="s">
        <v>44</v>
      </c>
      <c r="E9" s="17" t="s">
        <v>46</v>
      </c>
      <c r="F9" s="22">
        <v>46067.0</v>
      </c>
      <c r="G9" s="19"/>
      <c r="H9" s="20">
        <v>125000.0</v>
      </c>
      <c r="I9" s="21" t="s">
        <v>27</v>
      </c>
      <c r="J9" s="21"/>
      <c r="K9" s="21"/>
      <c r="L9" s="21" t="s">
        <v>26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49</v>
      </c>
      <c r="D10" s="16" t="s">
        <v>51</v>
      </c>
      <c r="E10" s="17"/>
      <c r="F10" s="22">
        <v>46084.0</v>
      </c>
      <c r="G10" s="19"/>
      <c r="H10" s="20">
        <v>100000.0</v>
      </c>
      <c r="I10" s="21" t="s">
        <v>24</v>
      </c>
      <c r="J10" s="21"/>
      <c r="K10" s="21"/>
      <c r="L10" s="21" t="s">
        <v>26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53</v>
      </c>
      <c r="D11" s="16" t="s">
        <v>43</v>
      </c>
      <c r="E11" s="29">
        <v>0.1</v>
      </c>
      <c r="F11" s="22">
        <v>46084.0</v>
      </c>
      <c r="G11" s="19"/>
      <c r="H11" s="20">
        <v>102500.0</v>
      </c>
      <c r="I11" s="21" t="s">
        <v>27</v>
      </c>
      <c r="J11" s="21" t="s">
        <v>36</v>
      </c>
      <c r="K11" s="21" t="s">
        <v>36</v>
      </c>
      <c r="L11" s="21" t="s">
        <v>26</v>
      </c>
      <c r="M11" s="21" t="s">
        <v>39</v>
      </c>
      <c r="N11" s="25"/>
      <c r="O11" s="26"/>
      <c r="P11" s="26"/>
      <c r="Q11" s="1"/>
      <c r="R11" s="1"/>
    </row>
    <row r="12">
      <c r="A12" s="1"/>
      <c r="B12" s="14">
        <v>9.0</v>
      </c>
      <c r="C12" s="31" t="s">
        <v>57</v>
      </c>
      <c r="D12" s="16" t="s">
        <v>23</v>
      </c>
      <c r="E12" s="17"/>
      <c r="F12" s="22">
        <v>46112.0</v>
      </c>
      <c r="G12" s="19"/>
      <c r="H12" s="20">
        <v>100000.0</v>
      </c>
      <c r="I12" s="21" t="s">
        <v>24</v>
      </c>
      <c r="J12" s="21"/>
      <c r="K12" s="21"/>
      <c r="L12" s="21" t="s">
        <v>26</v>
      </c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58</v>
      </c>
      <c r="D13" s="16" t="s">
        <v>20</v>
      </c>
      <c r="E13" s="17"/>
      <c r="F13" s="22">
        <v>46084.0</v>
      </c>
      <c r="G13" s="19"/>
      <c r="H13" s="20">
        <v>200000.0</v>
      </c>
      <c r="I13" s="21" t="s">
        <v>27</v>
      </c>
      <c r="J13" s="21" t="s">
        <v>36</v>
      </c>
      <c r="K13" s="21" t="s">
        <v>36</v>
      </c>
      <c r="L13" s="21" t="s">
        <v>26</v>
      </c>
      <c r="M13" s="21" t="s">
        <v>39</v>
      </c>
      <c r="N13" s="25"/>
      <c r="O13" s="26"/>
      <c r="P13" s="26"/>
      <c r="Q13" s="1"/>
      <c r="R13" s="1"/>
    </row>
    <row r="14">
      <c r="A14" s="1"/>
      <c r="B14" s="32"/>
      <c r="C14" s="15" t="s">
        <v>63</v>
      </c>
      <c r="D14" s="16" t="s">
        <v>33</v>
      </c>
      <c r="E14" s="29">
        <v>0.1</v>
      </c>
      <c r="F14" s="22">
        <v>46084.0</v>
      </c>
      <c r="G14" s="19">
        <v>215000.0</v>
      </c>
      <c r="H14" s="33"/>
      <c r="I14" s="21" t="s">
        <v>27</v>
      </c>
      <c r="J14" s="21" t="s">
        <v>36</v>
      </c>
      <c r="K14" s="21" t="s">
        <v>38</v>
      </c>
      <c r="L14" s="21" t="s">
        <v>26</v>
      </c>
      <c r="M14" s="21" t="s">
        <v>39</v>
      </c>
      <c r="N14" s="25"/>
      <c r="O14" s="26"/>
      <c r="P14" s="26"/>
      <c r="Q14" s="1"/>
      <c r="R14" s="1"/>
    </row>
    <row r="15">
      <c r="A15" s="1"/>
      <c r="B15" s="32"/>
      <c r="C15" s="15" t="s">
        <v>49</v>
      </c>
      <c r="D15" s="16" t="s">
        <v>51</v>
      </c>
      <c r="E15" s="17"/>
      <c r="F15" s="32"/>
      <c r="G15" s="19"/>
      <c r="H15" s="20">
        <v>50000.0</v>
      </c>
      <c r="I15" s="21" t="s">
        <v>27</v>
      </c>
      <c r="J15" s="21" t="s">
        <v>36</v>
      </c>
      <c r="K15" s="21" t="s">
        <v>36</v>
      </c>
      <c r="L15" s="21" t="s">
        <v>26</v>
      </c>
      <c r="M15" s="21" t="s">
        <v>39</v>
      </c>
      <c r="N15" s="25"/>
      <c r="O15" s="26"/>
      <c r="P15" s="26"/>
      <c r="Q15" s="1"/>
      <c r="R15" s="1"/>
    </row>
    <row r="16">
      <c r="A16" s="1"/>
      <c r="B16" s="32"/>
      <c r="C16" s="15"/>
      <c r="D16" s="16"/>
      <c r="E16" s="17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215000</v>
      </c>
      <c r="H19" s="37">
        <f t="shared" si="1"/>
        <v>1450000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215000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26</v>
      </c>
      <c r="P23" s="1"/>
      <c r="Q23" s="1"/>
      <c r="R23" s="1"/>
    </row>
    <row r="24">
      <c r="A24" s="1"/>
      <c r="B24" s="46">
        <v>2.0</v>
      </c>
      <c r="C24" s="47" t="s">
        <v>76</v>
      </c>
      <c r="D24" s="48">
        <v>-65000.0</v>
      </c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26</v>
      </c>
      <c r="P24" s="1"/>
      <c r="Q24" s="1"/>
      <c r="R24" s="1"/>
    </row>
    <row r="25">
      <c r="A25" s="1"/>
      <c r="B25" s="41">
        <v>3.0</v>
      </c>
      <c r="C25" s="42" t="s">
        <v>78</v>
      </c>
      <c r="D25" s="52">
        <v>-50000.0</v>
      </c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39</v>
      </c>
      <c r="P25" s="1"/>
      <c r="Q25" s="1"/>
      <c r="R25" s="1"/>
    </row>
    <row r="26">
      <c r="A26" s="1"/>
      <c r="B26" s="46">
        <v>4.0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39</v>
      </c>
      <c r="P26" s="1"/>
      <c r="Q26" s="1"/>
      <c r="R26" s="1"/>
    </row>
    <row r="27">
      <c r="A27" s="1"/>
      <c r="B27" s="41"/>
      <c r="C27" s="55"/>
      <c r="D27" s="43"/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100000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9">
      <formula1>"-,Single,Couple A,Couple B,Group A,Group B,Group C,Large Group,Graduation,Graduation Premium,Family A,Family B,Maternity,Concept,Studio Rent,Pas Foto,Single,Add Person ,Add Edit,Add Cetak"</formula1>
    </dataValidation>
    <dataValidation type="list" allowBlank="1" showDropDown="1" showErrorMessage="1" sqref="D4:D8 D10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29.13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19</v>
      </c>
      <c r="D4" s="16" t="s">
        <v>23</v>
      </c>
      <c r="E4" s="17"/>
      <c r="F4" s="18">
        <v>46112.0</v>
      </c>
      <c r="G4" s="19"/>
      <c r="H4" s="20">
        <v>350000.0</v>
      </c>
      <c r="I4" s="21" t="s">
        <v>27</v>
      </c>
      <c r="J4" s="21"/>
      <c r="K4" s="21"/>
      <c r="L4" s="21" t="s">
        <v>29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37</v>
      </c>
      <c r="D5" s="16" t="s">
        <v>40</v>
      </c>
      <c r="E5" s="17"/>
      <c r="F5" s="18">
        <v>46110.0</v>
      </c>
      <c r="G5" s="19"/>
      <c r="H5" s="20">
        <v>100000.0</v>
      </c>
      <c r="I5" s="21" t="s">
        <v>24</v>
      </c>
      <c r="J5" s="21"/>
      <c r="K5" s="21"/>
      <c r="L5" s="21" t="s">
        <v>29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47</v>
      </c>
      <c r="D6" s="16" t="s">
        <v>40</v>
      </c>
      <c r="E6" s="17"/>
      <c r="F6" s="30">
        <v>46086.0</v>
      </c>
      <c r="G6" s="27"/>
      <c r="H6" s="20">
        <v>100000.0</v>
      </c>
      <c r="I6" s="21" t="s">
        <v>27</v>
      </c>
      <c r="J6" s="21"/>
      <c r="K6" s="21"/>
      <c r="L6" s="21" t="s">
        <v>29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55</v>
      </c>
      <c r="D7" s="16" t="s">
        <v>33</v>
      </c>
      <c r="E7" s="17"/>
      <c r="F7" s="30">
        <v>46088.0</v>
      </c>
      <c r="G7" s="19"/>
      <c r="H7" s="20">
        <v>100000.0</v>
      </c>
      <c r="I7" s="21" t="s">
        <v>24</v>
      </c>
      <c r="J7" s="21"/>
      <c r="K7" s="21"/>
      <c r="L7" s="21" t="s">
        <v>29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30</v>
      </c>
      <c r="D8" s="16" t="s">
        <v>20</v>
      </c>
      <c r="E8" s="17"/>
      <c r="F8" s="30">
        <v>46085.0</v>
      </c>
      <c r="G8" s="19"/>
      <c r="H8" s="20">
        <v>597500.0</v>
      </c>
      <c r="I8" s="21" t="s">
        <v>27</v>
      </c>
      <c r="J8" s="21" t="s">
        <v>36</v>
      </c>
      <c r="K8" s="21" t="s">
        <v>36</v>
      </c>
      <c r="L8" s="21" t="s">
        <v>29</v>
      </c>
      <c r="M8" s="21" t="s">
        <v>60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61</v>
      </c>
      <c r="D9" s="16" t="s">
        <v>20</v>
      </c>
      <c r="E9" s="17"/>
      <c r="F9" s="30">
        <v>46085.0</v>
      </c>
      <c r="G9" s="19"/>
      <c r="H9" s="20">
        <v>100000.0</v>
      </c>
      <c r="I9" s="21" t="s">
        <v>24</v>
      </c>
      <c r="J9" s="21"/>
      <c r="K9" s="21"/>
      <c r="L9" s="21" t="s">
        <v>29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65</v>
      </c>
      <c r="D10" s="16" t="s">
        <v>66</v>
      </c>
      <c r="E10" s="17" t="s">
        <v>68</v>
      </c>
      <c r="F10" s="30">
        <v>46085.0</v>
      </c>
      <c r="G10" s="19"/>
      <c r="H10" s="20">
        <v>50000.0</v>
      </c>
      <c r="I10" s="21" t="s">
        <v>27</v>
      </c>
      <c r="J10" s="21" t="s">
        <v>36</v>
      </c>
      <c r="K10" s="21" t="s">
        <v>36</v>
      </c>
      <c r="L10" s="21" t="s">
        <v>29</v>
      </c>
      <c r="M10" s="21" t="s">
        <v>60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70</v>
      </c>
      <c r="D11" s="16" t="s">
        <v>20</v>
      </c>
      <c r="E11" s="17"/>
      <c r="F11" s="30">
        <v>46087.0</v>
      </c>
      <c r="G11" s="19"/>
      <c r="H11" s="20">
        <v>100000.0</v>
      </c>
      <c r="I11" s="21" t="s">
        <v>24</v>
      </c>
      <c r="J11" s="21"/>
      <c r="K11" s="21"/>
      <c r="L11" s="21" t="s">
        <v>29</v>
      </c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2"/>
      <c r="G12" s="19"/>
      <c r="H12" s="33"/>
      <c r="I12" s="21"/>
      <c r="J12" s="21"/>
      <c r="K12" s="21"/>
      <c r="L12" s="28"/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2"/>
      <c r="G13" s="19"/>
      <c r="H13" s="33"/>
      <c r="I13" s="21"/>
      <c r="J13" s="21"/>
      <c r="K13" s="21"/>
      <c r="L13" s="28"/>
      <c r="M13" s="28"/>
      <c r="N13" s="25"/>
      <c r="O13" s="26"/>
      <c r="P13" s="26"/>
      <c r="Q13" s="1"/>
      <c r="R13" s="1"/>
    </row>
    <row r="14">
      <c r="A14" s="1"/>
      <c r="B14" s="32"/>
      <c r="C14" s="15"/>
      <c r="D14" s="16"/>
      <c r="E14" s="17"/>
      <c r="F14" s="32"/>
      <c r="G14" s="19"/>
      <c r="H14" s="33"/>
      <c r="I14" s="21"/>
      <c r="J14" s="21"/>
      <c r="K14" s="21"/>
      <c r="L14" s="28"/>
      <c r="M14" s="28"/>
      <c r="N14" s="25"/>
      <c r="O14" s="26"/>
      <c r="P14" s="26"/>
      <c r="Q14" s="1"/>
      <c r="R14" s="1"/>
    </row>
    <row r="15">
      <c r="A15" s="1"/>
      <c r="B15" s="32"/>
      <c r="C15" s="15"/>
      <c r="D15" s="16"/>
      <c r="E15" s="17"/>
      <c r="F15" s="32"/>
      <c r="G15" s="19"/>
      <c r="H15" s="33"/>
      <c r="I15" s="21"/>
      <c r="J15" s="21"/>
      <c r="K15" s="21"/>
      <c r="L15" s="28"/>
      <c r="M15" s="28"/>
      <c r="N15" s="25"/>
      <c r="O15" s="26"/>
      <c r="P15" s="26"/>
      <c r="Q15" s="1"/>
      <c r="R15" s="1"/>
    </row>
    <row r="16">
      <c r="A16" s="1"/>
      <c r="B16" s="32"/>
      <c r="C16" s="15"/>
      <c r="D16" s="16"/>
      <c r="E16" s="17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0</v>
      </c>
      <c r="H19" s="37">
        <f t="shared" si="1"/>
        <v>1497500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29</v>
      </c>
      <c r="P23" s="1"/>
      <c r="Q23" s="1"/>
      <c r="R23" s="1"/>
    </row>
    <row r="24">
      <c r="A24" s="1"/>
      <c r="B24" s="46">
        <v>2.0</v>
      </c>
      <c r="C24" s="47"/>
      <c r="D24" s="48"/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29</v>
      </c>
      <c r="P24" s="1"/>
      <c r="Q24" s="1"/>
      <c r="R24" s="1"/>
    </row>
    <row r="25">
      <c r="A25" s="1"/>
      <c r="B25" s="41">
        <v>3.0</v>
      </c>
      <c r="C25" s="42"/>
      <c r="D25" s="52"/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60</v>
      </c>
      <c r="P25" s="1"/>
      <c r="Q25" s="1"/>
      <c r="R25" s="1"/>
    </row>
    <row r="26">
      <c r="A26" s="1"/>
      <c r="B26" s="46">
        <v>4.0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85</v>
      </c>
      <c r="P26" s="1"/>
      <c r="Q26" s="1"/>
      <c r="R26" s="1"/>
    </row>
    <row r="27">
      <c r="A27" s="1"/>
      <c r="B27" s="41"/>
      <c r="C27" s="55"/>
      <c r="D27" s="43"/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M4:M18 O25:O26">
      <formula1>"-,VERO,FADEL,HANIF ,ADIF 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4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88</v>
      </c>
      <c r="D4" s="16" t="s">
        <v>33</v>
      </c>
      <c r="E4" s="17"/>
      <c r="F4" s="18">
        <v>46088.0</v>
      </c>
      <c r="G4" s="19"/>
      <c r="H4" s="20">
        <v>100000.0</v>
      </c>
      <c r="I4" s="21" t="s">
        <v>24</v>
      </c>
      <c r="J4" s="21"/>
      <c r="K4" s="21"/>
      <c r="L4" s="21" t="s">
        <v>26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95</v>
      </c>
      <c r="D5" s="16" t="s">
        <v>40</v>
      </c>
      <c r="E5" s="17"/>
      <c r="F5" s="18">
        <v>46086.0</v>
      </c>
      <c r="G5" s="19"/>
      <c r="H5" s="20">
        <v>175000.0</v>
      </c>
      <c r="I5" s="21" t="s">
        <v>27</v>
      </c>
      <c r="J5" s="21"/>
      <c r="K5" s="21"/>
      <c r="L5" s="21" t="s">
        <v>26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100</v>
      </c>
      <c r="D6" s="16" t="s">
        <v>23</v>
      </c>
      <c r="E6" s="17"/>
      <c r="F6" s="22">
        <v>46112.0</v>
      </c>
      <c r="G6" s="27"/>
      <c r="H6" s="20">
        <v>100000.0</v>
      </c>
      <c r="I6" s="21" t="s">
        <v>24</v>
      </c>
      <c r="J6" s="21"/>
      <c r="K6" s="21"/>
      <c r="L6" s="21" t="s">
        <v>26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103</v>
      </c>
      <c r="D7" s="16" t="s">
        <v>40</v>
      </c>
      <c r="E7" s="17" t="s">
        <v>105</v>
      </c>
      <c r="F7" s="22">
        <v>46086.0</v>
      </c>
      <c r="G7" s="19">
        <v>200000.0</v>
      </c>
      <c r="H7" s="33"/>
      <c r="I7" s="21" t="s">
        <v>27</v>
      </c>
      <c r="J7" s="21" t="s">
        <v>36</v>
      </c>
      <c r="K7" s="21" t="s">
        <v>36</v>
      </c>
      <c r="L7" s="21" t="s">
        <v>26</v>
      </c>
      <c r="M7" s="21" t="s">
        <v>39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106</v>
      </c>
      <c r="D8" s="16" t="s">
        <v>107</v>
      </c>
      <c r="E8" s="29">
        <v>0.3</v>
      </c>
      <c r="F8" s="22">
        <v>46086.0</v>
      </c>
      <c r="G8" s="19"/>
      <c r="H8" s="20">
        <v>40000.0</v>
      </c>
      <c r="I8" s="21" t="s">
        <v>27</v>
      </c>
      <c r="J8" s="21" t="s">
        <v>36</v>
      </c>
      <c r="K8" s="21" t="s">
        <v>36</v>
      </c>
      <c r="L8" s="21" t="s">
        <v>26</v>
      </c>
      <c r="M8" s="21" t="s">
        <v>39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109</v>
      </c>
      <c r="D9" s="16" t="s">
        <v>20</v>
      </c>
      <c r="E9" s="17"/>
      <c r="F9" s="22">
        <v>46086.0</v>
      </c>
      <c r="G9" s="19"/>
      <c r="H9" s="20">
        <v>100000.0</v>
      </c>
      <c r="I9" s="21" t="s">
        <v>24</v>
      </c>
      <c r="J9" s="21"/>
      <c r="K9" s="21"/>
      <c r="L9" s="21" t="s">
        <v>26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113</v>
      </c>
      <c r="D10" s="16" t="s">
        <v>23</v>
      </c>
      <c r="E10" s="17"/>
      <c r="F10" s="22">
        <v>46116.0</v>
      </c>
      <c r="G10" s="19"/>
      <c r="H10" s="20">
        <v>100000.0</v>
      </c>
      <c r="I10" s="21" t="s">
        <v>24</v>
      </c>
      <c r="J10" s="21"/>
      <c r="K10" s="21"/>
      <c r="L10" s="21" t="s">
        <v>26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64" t="s">
        <v>115</v>
      </c>
      <c r="D11" s="16" t="s">
        <v>20</v>
      </c>
      <c r="E11" s="29">
        <v>0.1</v>
      </c>
      <c r="F11" s="65">
        <v>46086.0</v>
      </c>
      <c r="G11" s="19"/>
      <c r="H11" s="20">
        <v>192500.0</v>
      </c>
      <c r="I11" s="21" t="s">
        <v>27</v>
      </c>
      <c r="J11" s="21" t="s">
        <v>36</v>
      </c>
      <c r="K11" s="21" t="s">
        <v>38</v>
      </c>
      <c r="L11" s="21" t="s">
        <v>26</v>
      </c>
      <c r="M11" s="21" t="s">
        <v>39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109</v>
      </c>
      <c r="D12" s="16" t="s">
        <v>20</v>
      </c>
      <c r="E12" s="29">
        <v>0.1</v>
      </c>
      <c r="F12" s="30">
        <v>46086.0</v>
      </c>
      <c r="G12" s="19"/>
      <c r="H12" s="20">
        <v>125000.0</v>
      </c>
      <c r="I12" s="21" t="s">
        <v>27</v>
      </c>
      <c r="J12" s="21" t="s">
        <v>36</v>
      </c>
      <c r="K12" s="21" t="s">
        <v>38</v>
      </c>
      <c r="L12" s="21" t="s">
        <v>89</v>
      </c>
      <c r="M12" s="21" t="s">
        <v>60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120</v>
      </c>
      <c r="D13" s="16" t="s">
        <v>13</v>
      </c>
      <c r="E13" s="17"/>
      <c r="F13" s="30">
        <v>46086.0</v>
      </c>
      <c r="G13" s="19"/>
      <c r="H13" s="20">
        <v>50000.0</v>
      </c>
      <c r="I13" s="21" t="s">
        <v>27</v>
      </c>
      <c r="J13" s="21" t="s">
        <v>36</v>
      </c>
      <c r="K13" s="21" t="s">
        <v>36</v>
      </c>
      <c r="L13" s="21" t="s">
        <v>89</v>
      </c>
      <c r="M13" s="21" t="s">
        <v>60</v>
      </c>
      <c r="N13" s="25"/>
      <c r="O13" s="26"/>
      <c r="P13" s="26"/>
      <c r="Q13" s="1"/>
      <c r="R13" s="1"/>
    </row>
    <row r="14">
      <c r="A14" s="1"/>
      <c r="B14" s="32"/>
      <c r="C14" s="15" t="s">
        <v>123</v>
      </c>
      <c r="D14" s="16" t="s">
        <v>23</v>
      </c>
      <c r="E14" s="17"/>
      <c r="F14" s="30">
        <v>46112.0</v>
      </c>
      <c r="G14" s="19"/>
      <c r="H14" s="20">
        <v>100000.0</v>
      </c>
      <c r="I14" s="21" t="s">
        <v>24</v>
      </c>
      <c r="J14" s="21"/>
      <c r="K14" s="21"/>
      <c r="L14" s="21" t="s">
        <v>89</v>
      </c>
      <c r="M14" s="28"/>
      <c r="N14" s="25"/>
      <c r="O14" s="26"/>
      <c r="P14" s="26"/>
      <c r="Q14" s="1"/>
      <c r="R14" s="1"/>
    </row>
    <row r="15">
      <c r="A15" s="1"/>
      <c r="B15" s="32"/>
      <c r="C15" s="15" t="s">
        <v>126</v>
      </c>
      <c r="D15" s="16" t="s">
        <v>20</v>
      </c>
      <c r="E15" s="17"/>
      <c r="F15" s="30">
        <v>46086.0</v>
      </c>
      <c r="G15" s="19"/>
      <c r="H15" s="20">
        <v>100000.0</v>
      </c>
      <c r="I15" s="21" t="s">
        <v>24</v>
      </c>
      <c r="J15" s="21"/>
      <c r="K15" s="21"/>
      <c r="L15" s="21" t="s">
        <v>89</v>
      </c>
      <c r="M15" s="28"/>
      <c r="N15" s="25"/>
      <c r="O15" s="26"/>
      <c r="P15" s="26"/>
      <c r="Q15" s="1"/>
      <c r="R15" s="1"/>
    </row>
    <row r="16">
      <c r="A16" s="1"/>
      <c r="B16" s="32"/>
      <c r="C16" s="15" t="s">
        <v>95</v>
      </c>
      <c r="D16" s="16" t="s">
        <v>13</v>
      </c>
      <c r="E16" s="17"/>
      <c r="F16" s="30">
        <v>46086.0</v>
      </c>
      <c r="G16" s="19">
        <v>50000.0</v>
      </c>
      <c r="H16" s="33"/>
      <c r="I16" s="21" t="s">
        <v>27</v>
      </c>
      <c r="J16" s="21" t="s">
        <v>36</v>
      </c>
      <c r="K16" s="21" t="s">
        <v>38</v>
      </c>
      <c r="L16" s="21" t="s">
        <v>89</v>
      </c>
      <c r="M16" s="21" t="s">
        <v>60</v>
      </c>
      <c r="N16" s="25"/>
      <c r="O16" s="26"/>
      <c r="P16" s="26"/>
      <c r="Q16" s="1"/>
      <c r="R16" s="1"/>
    </row>
    <row r="17">
      <c r="A17" s="1"/>
      <c r="B17" s="32"/>
      <c r="C17" s="15" t="s">
        <v>126</v>
      </c>
      <c r="D17" s="16" t="s">
        <v>20</v>
      </c>
      <c r="E17" s="17"/>
      <c r="F17" s="30">
        <v>46086.0</v>
      </c>
      <c r="G17" s="19"/>
      <c r="H17" s="20">
        <v>125000.0</v>
      </c>
      <c r="I17" s="21" t="s">
        <v>27</v>
      </c>
      <c r="J17" s="21" t="s">
        <v>36</v>
      </c>
      <c r="K17" s="21" t="s">
        <v>36</v>
      </c>
      <c r="L17" s="21" t="s">
        <v>89</v>
      </c>
      <c r="M17" s="21" t="s">
        <v>60</v>
      </c>
      <c r="N17" s="25"/>
      <c r="O17" s="26"/>
      <c r="P17" s="26"/>
      <c r="Q17" s="1"/>
      <c r="R17" s="1"/>
    </row>
    <row r="18">
      <c r="A18" s="1"/>
      <c r="B18" s="32"/>
      <c r="C18" s="15" t="s">
        <v>121</v>
      </c>
      <c r="D18" s="16" t="s">
        <v>20</v>
      </c>
      <c r="E18" s="17"/>
      <c r="F18" s="30">
        <v>46088.0</v>
      </c>
      <c r="G18" s="27"/>
      <c r="H18" s="20">
        <v>100000.0</v>
      </c>
      <c r="I18" s="21" t="s">
        <v>24</v>
      </c>
      <c r="J18" s="28"/>
      <c r="K18" s="28"/>
      <c r="L18" s="21" t="s">
        <v>89</v>
      </c>
      <c r="M18" s="28"/>
      <c r="N18" s="26"/>
      <c r="O18" s="26"/>
      <c r="P18" s="26"/>
      <c r="Q18" s="1"/>
      <c r="R18" s="1"/>
    </row>
    <row r="19">
      <c r="A19" s="1"/>
      <c r="B19" s="32"/>
      <c r="C19" s="15" t="s">
        <v>133</v>
      </c>
      <c r="D19" s="16" t="s">
        <v>66</v>
      </c>
      <c r="E19" s="17"/>
      <c r="F19" s="30">
        <v>46086.0</v>
      </c>
      <c r="G19" s="27"/>
      <c r="H19" s="20">
        <v>100000.0</v>
      </c>
      <c r="I19" s="21" t="s">
        <v>27</v>
      </c>
      <c r="J19" s="21" t="s">
        <v>36</v>
      </c>
      <c r="K19" s="21" t="s">
        <v>38</v>
      </c>
      <c r="L19" s="21" t="s">
        <v>89</v>
      </c>
      <c r="M19" s="28"/>
      <c r="N19" s="35"/>
      <c r="O19" s="35"/>
      <c r="P19" s="35"/>
      <c r="Q19" s="1"/>
      <c r="R19" s="1"/>
    </row>
    <row r="20" ht="18.75" customHeight="1">
      <c r="A20" s="1"/>
      <c r="B20" s="1"/>
      <c r="C20" s="2"/>
      <c r="D20" s="2"/>
      <c r="E20" s="1"/>
      <c r="F20" s="1"/>
      <c r="G20" s="36">
        <f t="shared" ref="G20:H20" si="1">SUM(G4:G19)</f>
        <v>250000</v>
      </c>
      <c r="H20" s="37">
        <f t="shared" si="1"/>
        <v>1507500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23.2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38" t="s">
        <v>0</v>
      </c>
      <c r="C23" s="39" t="s">
        <v>6</v>
      </c>
      <c r="D23" s="39" t="s">
        <v>72</v>
      </c>
      <c r="E23" s="40"/>
      <c r="F23" s="1"/>
      <c r="G23" s="1"/>
      <c r="H23" s="1"/>
      <c r="I23" s="1"/>
      <c r="J23" s="1"/>
      <c r="K23" s="1"/>
      <c r="L23" s="1"/>
      <c r="M23" s="1"/>
      <c r="N23" s="39" t="s">
        <v>73</v>
      </c>
      <c r="O23" s="39" t="s">
        <v>1</v>
      </c>
      <c r="P23" s="1"/>
      <c r="Q23" s="1"/>
      <c r="R23" s="1"/>
    </row>
    <row r="24">
      <c r="A24" s="1"/>
      <c r="B24" s="41">
        <v>1.0</v>
      </c>
      <c r="C24" s="42" t="s">
        <v>74</v>
      </c>
      <c r="D24" s="43">
        <f>SUM(G20)</f>
        <v>250000</v>
      </c>
      <c r="E24" s="44"/>
      <c r="F24" s="1"/>
      <c r="G24" s="1"/>
      <c r="H24" s="1"/>
      <c r="I24" s="1"/>
      <c r="J24" s="1"/>
      <c r="K24" s="1"/>
      <c r="L24" s="1"/>
      <c r="M24" s="1"/>
      <c r="N24" s="45" t="s">
        <v>75</v>
      </c>
      <c r="O24" s="23" t="s">
        <v>26</v>
      </c>
      <c r="P24" s="1"/>
      <c r="Q24" s="1"/>
      <c r="R24" s="1"/>
    </row>
    <row r="25">
      <c r="A25" s="1"/>
      <c r="B25" s="46">
        <v>2.0</v>
      </c>
      <c r="C25" s="47" t="s">
        <v>76</v>
      </c>
      <c r="D25" s="48">
        <v>-50000.0</v>
      </c>
      <c r="E25" s="49"/>
      <c r="F25" s="1"/>
      <c r="G25" s="1"/>
      <c r="H25" s="1"/>
      <c r="I25" s="1"/>
      <c r="J25" s="1"/>
      <c r="K25" s="1"/>
      <c r="L25" s="1"/>
      <c r="M25" s="1"/>
      <c r="N25" s="50" t="s">
        <v>77</v>
      </c>
      <c r="O25" s="51" t="s">
        <v>89</v>
      </c>
      <c r="P25" s="1"/>
      <c r="Q25" s="1"/>
      <c r="R25" s="1"/>
    </row>
    <row r="26">
      <c r="A26" s="1"/>
      <c r="B26" s="41">
        <v>3.0</v>
      </c>
      <c r="C26" s="42" t="s">
        <v>83</v>
      </c>
      <c r="D26" s="52">
        <v>-30000.0</v>
      </c>
      <c r="E26" s="49"/>
      <c r="F26" s="1"/>
      <c r="G26" s="1"/>
      <c r="H26" s="1"/>
      <c r="I26" s="1"/>
      <c r="J26" s="1"/>
      <c r="K26" s="1"/>
      <c r="L26" s="1"/>
      <c r="M26" s="1"/>
      <c r="N26" s="53" t="s">
        <v>79</v>
      </c>
      <c r="O26" s="25" t="s">
        <v>39</v>
      </c>
      <c r="P26" s="1"/>
      <c r="Q26" s="1"/>
      <c r="R26" s="1"/>
    </row>
    <row r="27">
      <c r="A27" s="1"/>
      <c r="B27" s="46">
        <v>4.0</v>
      </c>
      <c r="C27" s="47" t="s">
        <v>81</v>
      </c>
      <c r="D27" s="48">
        <v>-100000.0</v>
      </c>
      <c r="E27" s="49"/>
      <c r="F27" s="1"/>
      <c r="G27" s="1"/>
      <c r="H27" s="1"/>
      <c r="I27" s="1"/>
      <c r="J27" s="1"/>
      <c r="K27" s="1"/>
      <c r="L27" s="1"/>
      <c r="M27" s="1"/>
      <c r="N27" s="54" t="s">
        <v>80</v>
      </c>
      <c r="O27" s="51" t="s">
        <v>60</v>
      </c>
      <c r="P27" s="1"/>
      <c r="Q27" s="1"/>
      <c r="R27" s="1"/>
    </row>
    <row r="28">
      <c r="A28" s="1"/>
      <c r="B28" s="41"/>
      <c r="C28" s="42" t="s">
        <v>78</v>
      </c>
      <c r="D28" s="52">
        <v>-20000.0</v>
      </c>
      <c r="E28" s="44"/>
      <c r="F28" s="1"/>
      <c r="G28" s="1"/>
      <c r="H28" s="1"/>
      <c r="I28" s="1"/>
      <c r="J28" s="1"/>
      <c r="K28" s="1"/>
      <c r="L28" s="1"/>
      <c r="M28" s="1"/>
      <c r="N28" s="56"/>
      <c r="O28" s="1"/>
      <c r="P28" s="1"/>
      <c r="Q28" s="1"/>
      <c r="R28" s="1"/>
    </row>
    <row r="29">
      <c r="A29" s="1"/>
      <c r="B29" s="46"/>
      <c r="C29" s="47" t="s">
        <v>139</v>
      </c>
      <c r="D29" s="48">
        <v>-50000.0</v>
      </c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1"/>
      <c r="C30" s="55"/>
      <c r="D30" s="43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6"/>
      <c r="C31" s="57"/>
      <c r="D31" s="58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1"/>
      <c r="C32" s="55"/>
      <c r="D32" s="43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46"/>
      <c r="C33" s="57"/>
      <c r="D33" s="58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59"/>
      <c r="C34" s="60"/>
      <c r="D34" s="61"/>
      <c r="E34" s="4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62">
        <f>SUM(D24:D34)</f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9 O24:O25">
      <formula1>"-,JIJANG,AXEL,ADDEL ,FAHME,INDAH"</formula1>
    </dataValidation>
    <dataValidation type="list" allowBlank="1" showDropDown="1" showErrorMessage="1" sqref="M4:M19 O26:O27">
      <formula1>"-,VERO,FADEL,ADIF ,FAHME,HANIF"</formula1>
    </dataValidation>
    <dataValidation type="list" allowBlank="1" showErrorMessage="1" sqref="N4:N19">
      <formula1>"-,Pending,Progress,Uploaded"</formula1>
    </dataValidation>
    <dataValidation type="list" allowBlank="1" showErrorMessage="1" sqref="O4:O19">
      <formula1>"-,In Pikako,In Foxe"</formula1>
    </dataValidation>
    <dataValidation type="list" allowBlank="1" showDropDown="1" showErrorMessage="1" sqref="D4:D19">
      <formula1>"-,Single,Couple A,Couple B,Group A,Group B,Group C,Large Group,Graduation,Graduation Premium,Family A,Family B,Maternity,Concept,Studio Rent,Pas Foto,Single,Add Person ,Add Edit,All File"</formula1>
    </dataValidation>
    <dataValidation type="list" allowBlank="1" showDropDown="1" showErrorMessage="1" sqref="I4:I19">
      <formula1>"-,DP,Lunas"</formula1>
    </dataValidation>
    <dataValidation type="list" allowBlank="1" showDropDown="1" showErrorMessage="1" sqref="J4:K19">
      <formula1>"-,Pending,Uploaded"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86</v>
      </c>
      <c r="D4" s="16" t="s">
        <v>40</v>
      </c>
      <c r="E4" s="17" t="s">
        <v>87</v>
      </c>
      <c r="F4" s="18">
        <v>46087.0</v>
      </c>
      <c r="G4" s="19"/>
      <c r="H4" s="20">
        <v>150000.0</v>
      </c>
      <c r="I4" s="21" t="s">
        <v>27</v>
      </c>
      <c r="J4" s="21"/>
      <c r="K4" s="21"/>
      <c r="L4" s="21" t="s">
        <v>89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91</v>
      </c>
      <c r="D5" s="16" t="s">
        <v>92</v>
      </c>
      <c r="E5" s="17"/>
      <c r="F5" s="18">
        <v>46089.0</v>
      </c>
      <c r="G5" s="19"/>
      <c r="H5" s="20">
        <v>100000.0</v>
      </c>
      <c r="I5" s="21" t="s">
        <v>24</v>
      </c>
      <c r="J5" s="21"/>
      <c r="K5" s="21"/>
      <c r="L5" s="21" t="s">
        <v>89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93</v>
      </c>
      <c r="D6" s="16" t="s">
        <v>33</v>
      </c>
      <c r="E6" s="17"/>
      <c r="F6" s="30">
        <v>46099.0</v>
      </c>
      <c r="G6" s="27"/>
      <c r="H6" s="20">
        <v>100000.0</v>
      </c>
      <c r="I6" s="21" t="s">
        <v>24</v>
      </c>
      <c r="J6" s="21"/>
      <c r="K6" s="21"/>
      <c r="L6" s="21" t="s">
        <v>89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94</v>
      </c>
      <c r="D7" s="16" t="s">
        <v>33</v>
      </c>
      <c r="E7" s="17"/>
      <c r="F7" s="30">
        <v>46103.0</v>
      </c>
      <c r="G7" s="19"/>
      <c r="H7" s="20">
        <v>100000.0</v>
      </c>
      <c r="I7" s="21" t="s">
        <v>24</v>
      </c>
      <c r="J7" s="21"/>
      <c r="K7" s="21"/>
      <c r="L7" s="21" t="s">
        <v>89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96</v>
      </c>
      <c r="D8" s="16" t="s">
        <v>66</v>
      </c>
      <c r="E8" s="17"/>
      <c r="F8" s="30">
        <v>46088.0</v>
      </c>
      <c r="G8" s="19"/>
      <c r="H8" s="20">
        <v>100000.0</v>
      </c>
      <c r="I8" s="21" t="s">
        <v>27</v>
      </c>
      <c r="J8" s="21"/>
      <c r="K8" s="21"/>
      <c r="L8" s="21" t="s">
        <v>89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98</v>
      </c>
      <c r="D9" s="16" t="s">
        <v>99</v>
      </c>
      <c r="E9" s="17"/>
      <c r="F9" s="22">
        <v>46112.0</v>
      </c>
      <c r="G9" s="19"/>
      <c r="H9" s="20">
        <v>100000.0</v>
      </c>
      <c r="I9" s="21" t="s">
        <v>24</v>
      </c>
      <c r="J9" s="21"/>
      <c r="K9" s="21"/>
      <c r="L9" s="21" t="s">
        <v>26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102</v>
      </c>
      <c r="D10" s="16" t="s">
        <v>51</v>
      </c>
      <c r="E10" s="17"/>
      <c r="F10" s="22">
        <v>46104.0</v>
      </c>
      <c r="G10" s="19"/>
      <c r="H10" s="20">
        <v>100000.0</v>
      </c>
      <c r="I10" s="21" t="s">
        <v>24</v>
      </c>
      <c r="J10" s="21"/>
      <c r="K10" s="21"/>
      <c r="L10" s="21" t="s">
        <v>26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104</v>
      </c>
      <c r="D11" s="16" t="s">
        <v>20</v>
      </c>
      <c r="E11" s="17"/>
      <c r="F11" s="22">
        <v>46087.0</v>
      </c>
      <c r="G11" s="19"/>
      <c r="H11" s="20">
        <v>40000.0</v>
      </c>
      <c r="I11" s="21" t="s">
        <v>27</v>
      </c>
      <c r="J11" s="21" t="s">
        <v>36</v>
      </c>
      <c r="K11" s="21" t="s">
        <v>38</v>
      </c>
      <c r="L11" s="21" t="s">
        <v>26</v>
      </c>
      <c r="M11" s="21" t="s">
        <v>39</v>
      </c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2"/>
      <c r="G12" s="19"/>
      <c r="H12" s="33"/>
      <c r="I12" s="21"/>
      <c r="J12" s="21"/>
      <c r="K12" s="21"/>
      <c r="L12" s="28"/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2"/>
      <c r="G13" s="19"/>
      <c r="H13" s="33"/>
      <c r="I13" s="21"/>
      <c r="J13" s="21"/>
      <c r="K13" s="21"/>
      <c r="L13" s="28"/>
      <c r="M13" s="28"/>
      <c r="N13" s="25"/>
      <c r="O13" s="26"/>
      <c r="P13" s="26"/>
      <c r="Q13" s="1"/>
      <c r="R13" s="1"/>
    </row>
    <row r="14">
      <c r="A14" s="1"/>
      <c r="B14" s="32"/>
      <c r="C14" s="15"/>
      <c r="D14" s="16"/>
      <c r="E14" s="17"/>
      <c r="F14" s="32"/>
      <c r="G14" s="19"/>
      <c r="H14" s="33"/>
      <c r="I14" s="21"/>
      <c r="J14" s="21"/>
      <c r="K14" s="21"/>
      <c r="L14" s="28"/>
      <c r="M14" s="28"/>
      <c r="N14" s="25"/>
      <c r="O14" s="26"/>
      <c r="P14" s="26"/>
      <c r="Q14" s="1"/>
      <c r="R14" s="1"/>
    </row>
    <row r="15">
      <c r="A15" s="1"/>
      <c r="B15" s="32"/>
      <c r="C15" s="15"/>
      <c r="D15" s="16"/>
      <c r="E15" s="17"/>
      <c r="F15" s="32"/>
      <c r="G15" s="19"/>
      <c r="H15" s="33"/>
      <c r="I15" s="21"/>
      <c r="J15" s="21"/>
      <c r="K15" s="21"/>
      <c r="L15" s="28"/>
      <c r="M15" s="28"/>
      <c r="N15" s="25"/>
      <c r="O15" s="26"/>
      <c r="P15" s="26"/>
      <c r="Q15" s="1"/>
      <c r="R15" s="1"/>
    </row>
    <row r="16">
      <c r="A16" s="1"/>
      <c r="B16" s="32"/>
      <c r="C16" s="15"/>
      <c r="D16" s="16"/>
      <c r="E16" s="17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0</v>
      </c>
      <c r="H19" s="37">
        <f t="shared" si="1"/>
        <v>790000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89</v>
      </c>
      <c r="P23" s="1"/>
      <c r="Q23" s="1"/>
      <c r="R23" s="1"/>
    </row>
    <row r="24">
      <c r="A24" s="1"/>
      <c r="B24" s="46">
        <v>2.0</v>
      </c>
      <c r="C24" s="47"/>
      <c r="D24" s="48"/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26</v>
      </c>
      <c r="P24" s="1"/>
      <c r="Q24" s="1"/>
      <c r="R24" s="1"/>
    </row>
    <row r="25">
      <c r="A25" s="1"/>
      <c r="B25" s="41">
        <v>3.0</v>
      </c>
      <c r="C25" s="42"/>
      <c r="D25" s="52"/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60</v>
      </c>
      <c r="P25" s="1"/>
      <c r="Q25" s="1"/>
      <c r="R25" s="1"/>
    </row>
    <row r="26">
      <c r="A26" s="1"/>
      <c r="B26" s="46">
        <v>4.0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39</v>
      </c>
      <c r="P26" s="1"/>
      <c r="Q26" s="1"/>
      <c r="R26" s="1"/>
    </row>
    <row r="27">
      <c r="A27" s="1"/>
      <c r="B27" s="41"/>
      <c r="C27" s="55"/>
      <c r="D27" s="43"/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DropDown="1" showErrorMessage="1" sqref="M4:M18 O25:O26">
      <formula1>"-,VERO,FADEL,PENTIL,FAHME,ADIF ,HANIF"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 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90</v>
      </c>
      <c r="D4" s="16" t="s">
        <v>20</v>
      </c>
      <c r="E4" s="17"/>
      <c r="F4" s="18">
        <v>46092.0</v>
      </c>
      <c r="G4" s="19">
        <v>100000.0</v>
      </c>
      <c r="H4" s="20"/>
      <c r="I4" s="21" t="s">
        <v>24</v>
      </c>
      <c r="J4" s="21"/>
      <c r="K4" s="21"/>
      <c r="L4" s="21" t="s">
        <v>89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101</v>
      </c>
      <c r="D5" s="16" t="s">
        <v>23</v>
      </c>
      <c r="E5" s="17"/>
      <c r="F5" s="18">
        <v>46112.0</v>
      </c>
      <c r="G5" s="19"/>
      <c r="H5" s="20">
        <v>100000.0</v>
      </c>
      <c r="I5" s="21" t="s">
        <v>24</v>
      </c>
      <c r="J5" s="21"/>
      <c r="K5" s="21"/>
      <c r="L5" s="21" t="s">
        <v>89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54</v>
      </c>
      <c r="D6" s="16" t="s">
        <v>33</v>
      </c>
      <c r="E6" s="29">
        <v>0.3</v>
      </c>
      <c r="F6" s="30">
        <v>46088.0</v>
      </c>
      <c r="G6" s="27"/>
      <c r="H6" s="20">
        <v>145000.0</v>
      </c>
      <c r="I6" s="21" t="s">
        <v>27</v>
      </c>
      <c r="J6" s="21" t="s">
        <v>36</v>
      </c>
      <c r="K6" s="21" t="s">
        <v>36</v>
      </c>
      <c r="L6" s="21" t="s">
        <v>89</v>
      </c>
      <c r="M6" s="21" t="s">
        <v>60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108</v>
      </c>
      <c r="D7" s="16" t="s">
        <v>33</v>
      </c>
      <c r="E7" s="29">
        <v>0.3</v>
      </c>
      <c r="F7" s="30">
        <v>46088.0</v>
      </c>
      <c r="G7" s="27"/>
      <c r="H7" s="20">
        <v>145000.0</v>
      </c>
      <c r="I7" s="21" t="s">
        <v>27</v>
      </c>
      <c r="J7" s="21" t="s">
        <v>36</v>
      </c>
      <c r="K7" s="21" t="s">
        <v>38</v>
      </c>
      <c r="L7" s="21" t="s">
        <v>89</v>
      </c>
      <c r="M7" s="21" t="s">
        <v>60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110</v>
      </c>
      <c r="D8" s="16" t="s">
        <v>23</v>
      </c>
      <c r="E8" s="17"/>
      <c r="F8" s="30">
        <v>46112.0</v>
      </c>
      <c r="G8" s="19"/>
      <c r="H8" s="20">
        <v>100000.0</v>
      </c>
      <c r="I8" s="21" t="s">
        <v>24</v>
      </c>
      <c r="J8" s="21"/>
      <c r="K8" s="21"/>
      <c r="L8" s="21" t="s">
        <v>89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64" t="s">
        <v>112</v>
      </c>
      <c r="D9" s="16" t="s">
        <v>66</v>
      </c>
      <c r="E9" s="17"/>
      <c r="F9" s="30">
        <v>46088.0</v>
      </c>
      <c r="G9" s="19">
        <v>0.0</v>
      </c>
      <c r="H9" s="20">
        <v>0.0</v>
      </c>
      <c r="I9" s="21" t="s">
        <v>27</v>
      </c>
      <c r="J9" s="21" t="s">
        <v>36</v>
      </c>
      <c r="K9" s="21" t="s">
        <v>36</v>
      </c>
      <c r="L9" s="21" t="s">
        <v>89</v>
      </c>
      <c r="M9" s="21" t="s">
        <v>60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22</v>
      </c>
      <c r="D10" s="16" t="s">
        <v>20</v>
      </c>
      <c r="E10" s="29">
        <v>0.1</v>
      </c>
      <c r="F10" s="30">
        <v>46088.0</v>
      </c>
      <c r="G10" s="19">
        <v>755000.0</v>
      </c>
      <c r="H10" s="33"/>
      <c r="I10" s="21" t="s">
        <v>27</v>
      </c>
      <c r="J10" s="21" t="s">
        <v>36</v>
      </c>
      <c r="K10" s="21" t="s">
        <v>36</v>
      </c>
      <c r="L10" s="21" t="s">
        <v>89</v>
      </c>
      <c r="M10" s="21" t="s">
        <v>60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117</v>
      </c>
      <c r="D11" s="16" t="s">
        <v>20</v>
      </c>
      <c r="E11" s="17"/>
      <c r="F11" s="22">
        <v>46088.0</v>
      </c>
      <c r="G11" s="19">
        <v>75000.0</v>
      </c>
      <c r="H11" s="33"/>
      <c r="I11" s="21" t="s">
        <v>27</v>
      </c>
      <c r="J11" s="21" t="s">
        <v>36</v>
      </c>
      <c r="K11" s="21" t="s">
        <v>38</v>
      </c>
      <c r="L11" s="21" t="s">
        <v>26</v>
      </c>
      <c r="M11" s="21" t="s">
        <v>60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88</v>
      </c>
      <c r="D12" s="16" t="s">
        <v>33</v>
      </c>
      <c r="E12" s="17"/>
      <c r="F12" s="22">
        <v>46088.0</v>
      </c>
      <c r="G12" s="19"/>
      <c r="H12" s="20">
        <v>310000.0</v>
      </c>
      <c r="I12" s="21" t="s">
        <v>27</v>
      </c>
      <c r="J12" s="21" t="s">
        <v>36</v>
      </c>
      <c r="K12" s="21" t="s">
        <v>38</v>
      </c>
      <c r="L12" s="21" t="s">
        <v>26</v>
      </c>
      <c r="M12" s="21" t="s">
        <v>60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121</v>
      </c>
      <c r="D13" s="16" t="s">
        <v>20</v>
      </c>
      <c r="E13" s="17"/>
      <c r="F13" s="22">
        <v>46088.0</v>
      </c>
      <c r="G13" s="19"/>
      <c r="H13" s="20">
        <v>175000.0</v>
      </c>
      <c r="I13" s="21" t="s">
        <v>27</v>
      </c>
      <c r="J13" s="21" t="s">
        <v>36</v>
      </c>
      <c r="K13" s="21" t="s">
        <v>38</v>
      </c>
      <c r="L13" s="21" t="s">
        <v>26</v>
      </c>
      <c r="M13" s="21" t="s">
        <v>39</v>
      </c>
      <c r="N13" s="25"/>
      <c r="O13" s="26"/>
      <c r="P13" s="26"/>
      <c r="Q13" s="1"/>
      <c r="R13" s="1"/>
    </row>
    <row r="14">
      <c r="A14" s="1"/>
      <c r="B14" s="32"/>
      <c r="C14" s="15" t="s">
        <v>115</v>
      </c>
      <c r="D14" s="16" t="s">
        <v>66</v>
      </c>
      <c r="E14" s="17"/>
      <c r="F14" s="22">
        <v>46089.0</v>
      </c>
      <c r="G14" s="19"/>
      <c r="H14" s="20">
        <v>50000.0</v>
      </c>
      <c r="I14" s="21" t="s">
        <v>27</v>
      </c>
      <c r="J14" s="21"/>
      <c r="K14" s="21"/>
      <c r="L14" s="21" t="s">
        <v>26</v>
      </c>
      <c r="M14" s="28"/>
      <c r="N14" s="25"/>
      <c r="O14" s="26"/>
      <c r="P14" s="26"/>
      <c r="Q14" s="1"/>
      <c r="R14" s="1"/>
    </row>
    <row r="15">
      <c r="A15" s="1"/>
      <c r="B15" s="32"/>
      <c r="C15" s="15" t="s">
        <v>125</v>
      </c>
      <c r="D15" s="16" t="s">
        <v>33</v>
      </c>
      <c r="E15" s="17"/>
      <c r="F15" s="22">
        <v>46099.0</v>
      </c>
      <c r="G15" s="19"/>
      <c r="H15" s="20">
        <v>100000.0</v>
      </c>
      <c r="I15" s="21" t="s">
        <v>24</v>
      </c>
      <c r="J15" s="21"/>
      <c r="K15" s="21"/>
      <c r="L15" s="21" t="s">
        <v>26</v>
      </c>
      <c r="M15" s="28"/>
      <c r="N15" s="25"/>
      <c r="O15" s="26"/>
      <c r="P15" s="26"/>
      <c r="Q15" s="1"/>
      <c r="R15" s="1"/>
    </row>
    <row r="16">
      <c r="A16" s="1"/>
      <c r="B16" s="32"/>
      <c r="C16" s="15" t="s">
        <v>128</v>
      </c>
      <c r="D16" s="16" t="s">
        <v>99</v>
      </c>
      <c r="E16" s="17"/>
      <c r="F16" s="22">
        <v>46112.0</v>
      </c>
      <c r="G16" s="19"/>
      <c r="H16" s="20">
        <v>100000.0</v>
      </c>
      <c r="I16" s="21" t="s">
        <v>24</v>
      </c>
      <c r="J16" s="21"/>
      <c r="K16" s="21"/>
      <c r="L16" s="21" t="s">
        <v>26</v>
      </c>
      <c r="M16" s="28"/>
      <c r="N16" s="25"/>
      <c r="O16" s="26"/>
      <c r="P16" s="26"/>
      <c r="Q16" s="1"/>
      <c r="R16" s="1"/>
    </row>
    <row r="17">
      <c r="A17" s="1"/>
      <c r="B17" s="32"/>
      <c r="C17" s="15" t="s">
        <v>130</v>
      </c>
      <c r="D17" s="16" t="s">
        <v>23</v>
      </c>
      <c r="E17" s="17"/>
      <c r="F17" s="22">
        <v>46112.0</v>
      </c>
      <c r="G17" s="19"/>
      <c r="H17" s="20">
        <v>100000.0</v>
      </c>
      <c r="I17" s="21" t="s">
        <v>24</v>
      </c>
      <c r="J17" s="21"/>
      <c r="K17" s="21"/>
      <c r="L17" s="21" t="s">
        <v>26</v>
      </c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930000</v>
      </c>
      <c r="H19" s="37">
        <f t="shared" si="1"/>
        <v>1325000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930000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89</v>
      </c>
      <c r="P23" s="1"/>
      <c r="Q23" s="1"/>
      <c r="R23" s="1"/>
    </row>
    <row r="24">
      <c r="A24" s="1"/>
      <c r="B24" s="46">
        <v>2.0</v>
      </c>
      <c r="C24" s="47" t="s">
        <v>78</v>
      </c>
      <c r="D24" s="48">
        <v>-50000.0</v>
      </c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26</v>
      </c>
      <c r="P24" s="1"/>
      <c r="Q24" s="1"/>
      <c r="R24" s="1"/>
    </row>
    <row r="25">
      <c r="A25" s="1"/>
      <c r="B25" s="41">
        <v>3.0</v>
      </c>
      <c r="C25" s="42" t="s">
        <v>83</v>
      </c>
      <c r="D25" s="52">
        <v>-30000.0</v>
      </c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60</v>
      </c>
      <c r="P25" s="1"/>
      <c r="Q25" s="1"/>
      <c r="R25" s="1"/>
    </row>
    <row r="26">
      <c r="A26" s="1"/>
      <c r="B26" s="46">
        <v>4.0</v>
      </c>
      <c r="C26" s="47" t="s">
        <v>139</v>
      </c>
      <c r="D26" s="48">
        <v>-50000.0</v>
      </c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39</v>
      </c>
      <c r="P26" s="1"/>
      <c r="Q26" s="1"/>
      <c r="R26" s="1"/>
    </row>
    <row r="27">
      <c r="A27" s="1"/>
      <c r="B27" s="41"/>
      <c r="C27" s="42" t="s">
        <v>81</v>
      </c>
      <c r="D27" s="52">
        <v>-100000.0</v>
      </c>
      <c r="E27" s="44"/>
      <c r="F27" s="1"/>
      <c r="G27" s="2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700000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18 O25:O26">
      <formula1>"-,VERO,FADEL,PENTIL,ADIF ,HANIF"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L4:L18 O23:O24">
      <formula1>"-,ADDEL ,AXEL,PENTIL,FAHME,INDAH"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97</v>
      </c>
      <c r="D4" s="16" t="s">
        <v>34</v>
      </c>
      <c r="E4" s="17"/>
      <c r="F4" s="22">
        <v>46092.0</v>
      </c>
      <c r="G4" s="19"/>
      <c r="H4" s="20">
        <v>100000.0</v>
      </c>
      <c r="I4" s="21" t="s">
        <v>24</v>
      </c>
      <c r="J4" s="21"/>
      <c r="K4" s="21"/>
      <c r="L4" s="21" t="s">
        <v>26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111</v>
      </c>
      <c r="D5" s="16" t="s">
        <v>34</v>
      </c>
      <c r="E5" s="17"/>
      <c r="F5" s="18">
        <v>46089.0</v>
      </c>
      <c r="G5" s="19"/>
      <c r="H5" s="20">
        <v>100000.0</v>
      </c>
      <c r="I5" s="21" t="s">
        <v>24</v>
      </c>
      <c r="J5" s="21"/>
      <c r="K5" s="21"/>
      <c r="L5" s="21" t="s">
        <v>26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114</v>
      </c>
      <c r="D6" s="16" t="s">
        <v>43</v>
      </c>
      <c r="E6" s="17"/>
      <c r="F6" s="22">
        <v>46099.0</v>
      </c>
      <c r="G6" s="27"/>
      <c r="H6" s="20">
        <v>100000.0</v>
      </c>
      <c r="I6" s="21" t="s">
        <v>24</v>
      </c>
      <c r="J6" s="21"/>
      <c r="K6" s="21"/>
      <c r="L6" s="21" t="s">
        <v>26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116</v>
      </c>
      <c r="D7" s="16" t="s">
        <v>20</v>
      </c>
      <c r="E7" s="17"/>
      <c r="F7" s="22">
        <v>46108.0</v>
      </c>
      <c r="G7" s="19"/>
      <c r="H7" s="20">
        <v>100000.0</v>
      </c>
      <c r="I7" s="21" t="s">
        <v>24</v>
      </c>
      <c r="J7" s="21"/>
      <c r="K7" s="21"/>
      <c r="L7" s="21" t="s">
        <v>26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118</v>
      </c>
      <c r="D8" s="16" t="s">
        <v>119</v>
      </c>
      <c r="E8" s="17"/>
      <c r="F8" s="22">
        <v>46088.0</v>
      </c>
      <c r="G8" s="19"/>
      <c r="H8" s="20">
        <v>40000.0</v>
      </c>
      <c r="I8" s="21" t="s">
        <v>27</v>
      </c>
      <c r="J8" s="21"/>
      <c r="K8" s="21"/>
      <c r="L8" s="21" t="s">
        <v>26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111</v>
      </c>
      <c r="D9" s="16" t="s">
        <v>34</v>
      </c>
      <c r="E9" s="29">
        <v>0.3</v>
      </c>
      <c r="F9" s="22">
        <v>46089.0</v>
      </c>
      <c r="G9" s="19"/>
      <c r="H9" s="20">
        <v>215000.0</v>
      </c>
      <c r="I9" s="21" t="s">
        <v>27</v>
      </c>
      <c r="J9" s="21" t="s">
        <v>36</v>
      </c>
      <c r="K9" s="21" t="s">
        <v>38</v>
      </c>
      <c r="L9" s="21" t="s">
        <v>26</v>
      </c>
      <c r="M9" s="21" t="s">
        <v>52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122</v>
      </c>
      <c r="D10" s="16" t="s">
        <v>20</v>
      </c>
      <c r="E10" s="29">
        <v>0.1</v>
      </c>
      <c r="F10" s="22">
        <v>46089.0</v>
      </c>
      <c r="G10" s="19"/>
      <c r="H10" s="20">
        <v>1830000.0</v>
      </c>
      <c r="I10" s="21" t="s">
        <v>27</v>
      </c>
      <c r="J10" s="21" t="s">
        <v>36</v>
      </c>
      <c r="K10" s="21" t="s">
        <v>36</v>
      </c>
      <c r="L10" s="21" t="s">
        <v>26</v>
      </c>
      <c r="M10" s="21" t="s">
        <v>52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124</v>
      </c>
      <c r="D11" s="16" t="s">
        <v>20</v>
      </c>
      <c r="E11" s="17"/>
      <c r="F11" s="30">
        <v>46089.0</v>
      </c>
      <c r="G11" s="19"/>
      <c r="H11" s="20">
        <v>325000.0</v>
      </c>
      <c r="I11" s="21" t="s">
        <v>27</v>
      </c>
      <c r="J11" s="21" t="s">
        <v>36</v>
      </c>
      <c r="K11" s="21" t="s">
        <v>38</v>
      </c>
      <c r="L11" s="21" t="s">
        <v>89</v>
      </c>
      <c r="M11" s="21" t="s">
        <v>52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127</v>
      </c>
      <c r="D12" s="16" t="s">
        <v>20</v>
      </c>
      <c r="E12" s="17"/>
      <c r="F12" s="30">
        <v>46089.0</v>
      </c>
      <c r="G12" s="19"/>
      <c r="H12" s="20">
        <v>1015000.0</v>
      </c>
      <c r="I12" s="21" t="s">
        <v>27</v>
      </c>
      <c r="J12" s="21" t="s">
        <v>36</v>
      </c>
      <c r="K12" s="21" t="s">
        <v>38</v>
      </c>
      <c r="L12" s="21" t="s">
        <v>89</v>
      </c>
      <c r="M12" s="21" t="s">
        <v>52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129</v>
      </c>
      <c r="D13" s="16" t="s">
        <v>20</v>
      </c>
      <c r="E13" s="17"/>
      <c r="F13" s="30">
        <v>46089.0</v>
      </c>
      <c r="G13" s="19"/>
      <c r="H13" s="20">
        <v>375000.0</v>
      </c>
      <c r="I13" s="21" t="s">
        <v>27</v>
      </c>
      <c r="J13" s="21" t="s">
        <v>36</v>
      </c>
      <c r="K13" s="21" t="s">
        <v>38</v>
      </c>
      <c r="L13" s="21" t="s">
        <v>89</v>
      </c>
      <c r="M13" s="21" t="s">
        <v>85</v>
      </c>
      <c r="N13" s="25"/>
      <c r="O13" s="26"/>
      <c r="P13" s="26"/>
      <c r="Q13" s="1"/>
      <c r="R13" s="1"/>
    </row>
    <row r="14">
      <c r="A14" s="1"/>
      <c r="B14" s="32"/>
      <c r="C14" s="15" t="s">
        <v>91</v>
      </c>
      <c r="D14" s="16" t="s">
        <v>43</v>
      </c>
      <c r="E14" s="17"/>
      <c r="F14" s="30">
        <v>46089.0</v>
      </c>
      <c r="G14" s="19"/>
      <c r="H14" s="20">
        <v>100000.0</v>
      </c>
      <c r="I14" s="21" t="s">
        <v>27</v>
      </c>
      <c r="J14" s="21" t="s">
        <v>36</v>
      </c>
      <c r="K14" s="21" t="s">
        <v>131</v>
      </c>
      <c r="L14" s="21" t="s">
        <v>89</v>
      </c>
      <c r="M14" s="21" t="s">
        <v>85</v>
      </c>
      <c r="N14" s="25"/>
      <c r="O14" s="26"/>
      <c r="P14" s="26"/>
      <c r="Q14" s="1"/>
      <c r="R14" s="1"/>
    </row>
    <row r="15">
      <c r="A15" s="1"/>
      <c r="B15" s="32"/>
      <c r="C15" s="15" t="s">
        <v>132</v>
      </c>
      <c r="D15" s="16" t="s">
        <v>66</v>
      </c>
      <c r="E15" s="17"/>
      <c r="F15" s="30">
        <v>46089.0</v>
      </c>
      <c r="G15" s="19">
        <v>50000.0</v>
      </c>
      <c r="H15" s="33"/>
      <c r="I15" s="21" t="s">
        <v>27</v>
      </c>
      <c r="J15" s="21" t="s">
        <v>36</v>
      </c>
      <c r="K15" s="21" t="s">
        <v>36</v>
      </c>
      <c r="L15" s="21" t="s">
        <v>89</v>
      </c>
      <c r="M15" s="21" t="s">
        <v>85</v>
      </c>
      <c r="N15" s="25"/>
      <c r="O15" s="26"/>
      <c r="P15" s="26"/>
      <c r="Q15" s="1"/>
      <c r="R15" s="1"/>
    </row>
    <row r="16">
      <c r="A16" s="1"/>
      <c r="B16" s="32"/>
      <c r="C16" s="15" t="s">
        <v>115</v>
      </c>
      <c r="D16" s="16" t="s">
        <v>66</v>
      </c>
      <c r="E16" s="17"/>
      <c r="F16" s="30">
        <v>46089.0</v>
      </c>
      <c r="G16" s="19">
        <v>0.0</v>
      </c>
      <c r="H16" s="20">
        <v>0.0</v>
      </c>
      <c r="I16" s="21" t="s">
        <v>27</v>
      </c>
      <c r="J16" s="21" t="s">
        <v>36</v>
      </c>
      <c r="K16" s="21" t="s">
        <v>36</v>
      </c>
      <c r="L16" s="21" t="s">
        <v>89</v>
      </c>
      <c r="M16" s="21" t="s">
        <v>85</v>
      </c>
      <c r="N16" s="25"/>
      <c r="O16" s="26"/>
      <c r="P16" s="26"/>
      <c r="Q16" s="1"/>
      <c r="R16" s="1"/>
    </row>
    <row r="17">
      <c r="A17" s="1"/>
      <c r="B17" s="32"/>
      <c r="C17" s="15" t="s">
        <v>134</v>
      </c>
      <c r="D17" s="16" t="s">
        <v>23</v>
      </c>
      <c r="E17" s="17"/>
      <c r="F17" s="30">
        <v>46089.0</v>
      </c>
      <c r="G17" s="19"/>
      <c r="H17" s="20">
        <v>100000.0</v>
      </c>
      <c r="I17" s="21" t="s">
        <v>24</v>
      </c>
      <c r="J17" s="21"/>
      <c r="K17" s="21"/>
      <c r="L17" s="21" t="s">
        <v>89</v>
      </c>
      <c r="M17" s="28"/>
      <c r="N17" s="25"/>
      <c r="O17" s="26"/>
      <c r="P17" s="26"/>
      <c r="Q17" s="1"/>
      <c r="R17" s="1"/>
    </row>
    <row r="18">
      <c r="A18" s="1"/>
      <c r="B18" s="32"/>
      <c r="C18" s="66" t="s">
        <v>135</v>
      </c>
      <c r="D18" s="16" t="s">
        <v>43</v>
      </c>
      <c r="E18" s="17"/>
      <c r="F18" s="30">
        <v>46093.0</v>
      </c>
      <c r="G18" s="27"/>
      <c r="H18" s="20">
        <v>100000.0</v>
      </c>
      <c r="I18" s="21" t="s">
        <v>24</v>
      </c>
      <c r="J18" s="28"/>
      <c r="K18" s="28"/>
      <c r="L18" s="21" t="s">
        <v>89</v>
      </c>
      <c r="M18" s="28"/>
      <c r="N18" s="26"/>
      <c r="O18" s="26"/>
      <c r="P18" s="26"/>
      <c r="Q18" s="1"/>
      <c r="R18" s="1"/>
    </row>
    <row r="19">
      <c r="A19" s="1"/>
      <c r="B19" s="32"/>
      <c r="C19" s="66" t="s">
        <v>136</v>
      </c>
      <c r="D19" s="16" t="s">
        <v>51</v>
      </c>
      <c r="E19" s="17"/>
      <c r="F19" s="30">
        <v>46090.0</v>
      </c>
      <c r="G19" s="27"/>
      <c r="H19" s="20">
        <v>100000.0</v>
      </c>
      <c r="I19" s="21" t="s">
        <v>24</v>
      </c>
      <c r="J19" s="21"/>
      <c r="K19" s="21"/>
      <c r="L19" s="21" t="s">
        <v>89</v>
      </c>
      <c r="M19" s="21"/>
      <c r="N19" s="26"/>
      <c r="O19" s="26"/>
      <c r="P19" s="26"/>
      <c r="Q19" s="1"/>
      <c r="R19" s="1"/>
    </row>
    <row r="20">
      <c r="A20" s="1"/>
      <c r="B20" s="32"/>
      <c r="C20" s="66" t="s">
        <v>137</v>
      </c>
      <c r="D20" s="16" t="s">
        <v>20</v>
      </c>
      <c r="E20" s="17"/>
      <c r="F20" s="30">
        <v>46092.0</v>
      </c>
      <c r="G20" s="27"/>
      <c r="H20" s="20">
        <v>100000.0</v>
      </c>
      <c r="I20" s="21" t="s">
        <v>24</v>
      </c>
      <c r="J20" s="21"/>
      <c r="K20" s="21"/>
      <c r="L20" s="21" t="s">
        <v>89</v>
      </c>
      <c r="M20" s="21"/>
      <c r="N20" s="26"/>
      <c r="O20" s="26"/>
      <c r="P20" s="26"/>
      <c r="Q20" s="1"/>
      <c r="R20" s="1"/>
    </row>
    <row r="21">
      <c r="A21" s="1"/>
      <c r="B21" s="32"/>
      <c r="C21" s="64" t="s">
        <v>138</v>
      </c>
      <c r="D21" s="16" t="s">
        <v>43</v>
      </c>
      <c r="E21" s="17"/>
      <c r="F21" s="30">
        <v>46089.0</v>
      </c>
      <c r="G21" s="27"/>
      <c r="H21" s="20">
        <v>250000.0</v>
      </c>
      <c r="I21" s="21" t="s">
        <v>27</v>
      </c>
      <c r="J21" s="21" t="s">
        <v>36</v>
      </c>
      <c r="K21" s="21" t="s">
        <v>131</v>
      </c>
      <c r="L21" s="21" t="s">
        <v>89</v>
      </c>
      <c r="M21" s="21" t="s">
        <v>85</v>
      </c>
      <c r="N21" s="35"/>
      <c r="O21" s="35"/>
      <c r="P21" s="35"/>
      <c r="Q21" s="1"/>
      <c r="R21" s="1"/>
    </row>
    <row r="22" ht="18.75" customHeight="1">
      <c r="A22" s="1"/>
      <c r="B22" s="1"/>
      <c r="C22" s="2"/>
      <c r="D22" s="2"/>
      <c r="E22" s="1"/>
      <c r="F22" s="1"/>
      <c r="G22" s="36">
        <f t="shared" ref="G22:H22" si="1">SUM(G4:G21)</f>
        <v>50000</v>
      </c>
      <c r="H22" s="37">
        <f t="shared" si="1"/>
        <v>4950000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23.25" customHeight="1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38" t="s">
        <v>0</v>
      </c>
      <c r="C25" s="39" t="s">
        <v>6</v>
      </c>
      <c r="D25" s="39" t="s">
        <v>72</v>
      </c>
      <c r="E25" s="40"/>
      <c r="F25" s="1"/>
      <c r="G25" s="1"/>
      <c r="H25" s="1"/>
      <c r="I25" s="1"/>
      <c r="J25" s="1"/>
      <c r="K25" s="1"/>
      <c r="L25" s="1"/>
      <c r="M25" s="1"/>
      <c r="N25" s="39" t="s">
        <v>73</v>
      </c>
      <c r="O25" s="39" t="s">
        <v>1</v>
      </c>
      <c r="P25" s="1"/>
      <c r="Q25" s="1"/>
      <c r="R25" s="1"/>
    </row>
    <row r="26">
      <c r="A26" s="1"/>
      <c r="B26" s="41">
        <v>1.0</v>
      </c>
      <c r="C26" s="42" t="s">
        <v>74</v>
      </c>
      <c r="D26" s="43">
        <f>SUM(G22)</f>
        <v>50000</v>
      </c>
      <c r="E26" s="44"/>
      <c r="F26" s="1"/>
      <c r="G26" s="1"/>
      <c r="H26" s="1"/>
      <c r="I26" s="1"/>
      <c r="J26" s="1"/>
      <c r="K26" s="1"/>
      <c r="L26" s="1"/>
      <c r="M26" s="1"/>
      <c r="N26" s="45" t="s">
        <v>75</v>
      </c>
      <c r="O26" s="23" t="s">
        <v>26</v>
      </c>
      <c r="P26" s="1"/>
      <c r="Q26" s="1"/>
      <c r="R26" s="1"/>
    </row>
    <row r="27">
      <c r="A27" s="1"/>
      <c r="B27" s="46">
        <v>2.0</v>
      </c>
      <c r="C27" s="47" t="s">
        <v>78</v>
      </c>
      <c r="D27" s="48">
        <v>-50000.0</v>
      </c>
      <c r="E27" s="49"/>
      <c r="F27" s="1"/>
      <c r="G27" s="1"/>
      <c r="H27" s="1"/>
      <c r="I27" s="1"/>
      <c r="J27" s="1"/>
      <c r="K27" s="1"/>
      <c r="L27" s="1"/>
      <c r="M27" s="1"/>
      <c r="N27" s="50" t="s">
        <v>77</v>
      </c>
      <c r="O27" s="51" t="s">
        <v>89</v>
      </c>
      <c r="P27" s="1"/>
      <c r="Q27" s="1"/>
      <c r="R27" s="1"/>
    </row>
    <row r="28">
      <c r="A28" s="1"/>
      <c r="B28" s="41">
        <v>3.0</v>
      </c>
      <c r="C28" s="42"/>
      <c r="D28" s="52"/>
      <c r="E28" s="49"/>
      <c r="F28" s="1"/>
      <c r="G28" s="1"/>
      <c r="H28" s="1"/>
      <c r="I28" s="1"/>
      <c r="J28" s="1"/>
      <c r="K28" s="1"/>
      <c r="L28" s="1"/>
      <c r="M28" s="1"/>
      <c r="N28" s="53" t="s">
        <v>79</v>
      </c>
      <c r="O28" s="25" t="s">
        <v>52</v>
      </c>
      <c r="P28" s="1"/>
      <c r="Q28" s="1"/>
      <c r="R28" s="1"/>
    </row>
    <row r="29">
      <c r="A29" s="1"/>
      <c r="B29" s="46">
        <v>4.0</v>
      </c>
      <c r="C29" s="47"/>
      <c r="D29" s="48"/>
      <c r="E29" s="49"/>
      <c r="F29" s="1"/>
      <c r="G29" s="1"/>
      <c r="H29" s="1"/>
      <c r="I29" s="1"/>
      <c r="J29" s="1"/>
      <c r="K29" s="1"/>
      <c r="L29" s="1"/>
      <c r="M29" s="1"/>
      <c r="N29" s="54" t="s">
        <v>80</v>
      </c>
      <c r="O29" s="51" t="s">
        <v>85</v>
      </c>
      <c r="P29" s="1"/>
      <c r="Q29" s="1"/>
      <c r="R29" s="1"/>
    </row>
    <row r="30">
      <c r="A30" s="1"/>
      <c r="B30" s="41"/>
      <c r="C30" s="55"/>
      <c r="D30" s="43"/>
      <c r="E30" s="44"/>
      <c r="F30" s="1"/>
      <c r="G30" s="1"/>
      <c r="H30" s="1"/>
      <c r="I30" s="1"/>
      <c r="J30" s="1"/>
      <c r="K30" s="1"/>
      <c r="L30" s="1"/>
      <c r="M30" s="1"/>
      <c r="N30" s="56"/>
      <c r="O30" s="1"/>
      <c r="P30" s="1"/>
      <c r="Q30" s="1"/>
      <c r="R30" s="1"/>
    </row>
    <row r="31">
      <c r="A31" s="1"/>
      <c r="B31" s="46"/>
      <c r="C31" s="57"/>
      <c r="D31" s="58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1"/>
      <c r="C32" s="55"/>
      <c r="D32" s="43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46"/>
      <c r="C33" s="57"/>
      <c r="D33" s="58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1"/>
      <c r="C34" s="55"/>
      <c r="D34" s="43"/>
      <c r="E34" s="4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46"/>
      <c r="C35" s="57"/>
      <c r="D35" s="58"/>
      <c r="E35" s="4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59"/>
      <c r="C36" s="60"/>
      <c r="D36" s="61"/>
      <c r="E36" s="4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62">
        <f>SUM(D26:D36)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1 O26:O27">
      <formula1>"-,JIJANG,ADDEL ,PENTIL,FAHME,INDAH"</formula1>
    </dataValidation>
    <dataValidation type="list" allowBlank="1" showErrorMessage="1" sqref="N4:N21">
      <formula1>"-,Pending,Progress,Uploaded"</formula1>
    </dataValidation>
    <dataValidation type="list" allowBlank="1" showErrorMessage="1" sqref="O4:O21">
      <formula1>"-,In Pikako,In Foxe"</formula1>
    </dataValidation>
    <dataValidation type="list" allowBlank="1" showDropDown="1" showErrorMessage="1" sqref="D4:D21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1">
      <formula1>"-,DP,Lunas"</formula1>
    </dataValidation>
    <dataValidation type="list" allowBlank="1" showDropDown="1" showErrorMessage="1" sqref="J4:K21">
      <formula1>"-,Pending,Uploaded"</formula1>
    </dataValidation>
    <dataValidation type="list" allowBlank="1" showDropDown="1" showErrorMessage="1" sqref="M4:M21 O28:O29">
      <formula1>"-,VERO,FADEL,PENTIL,HANIF ,ADIF"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9.88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140</v>
      </c>
      <c r="D4" s="16" t="s">
        <v>34</v>
      </c>
      <c r="E4" s="17"/>
      <c r="F4" s="18">
        <v>46095.0</v>
      </c>
      <c r="G4" s="19"/>
      <c r="H4" s="20">
        <v>100000.0</v>
      </c>
      <c r="I4" s="21" t="s">
        <v>24</v>
      </c>
      <c r="J4" s="21"/>
      <c r="K4" s="21"/>
      <c r="L4" s="21" t="s">
        <v>89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141</v>
      </c>
      <c r="D5" s="16" t="s">
        <v>33</v>
      </c>
      <c r="E5" s="29">
        <v>0.3</v>
      </c>
      <c r="F5" s="18">
        <v>46090.0</v>
      </c>
      <c r="G5" s="19"/>
      <c r="H5" s="20">
        <v>145000.0</v>
      </c>
      <c r="I5" s="21" t="s">
        <v>27</v>
      </c>
      <c r="J5" s="21" t="s">
        <v>36</v>
      </c>
      <c r="K5" s="21" t="s">
        <v>38</v>
      </c>
      <c r="L5" s="21" t="s">
        <v>89</v>
      </c>
      <c r="M5" s="21" t="s">
        <v>85</v>
      </c>
      <c r="N5" s="25"/>
      <c r="O5" s="25"/>
      <c r="P5" s="26"/>
      <c r="Q5" s="1"/>
      <c r="R5" s="1"/>
    </row>
    <row r="6">
      <c r="A6" s="1"/>
      <c r="B6" s="14">
        <v>3.0</v>
      </c>
      <c r="C6" s="15" t="s">
        <v>142</v>
      </c>
      <c r="D6" s="16" t="s">
        <v>99</v>
      </c>
      <c r="E6" s="17"/>
      <c r="F6" s="30">
        <v>46112.0</v>
      </c>
      <c r="G6" s="27"/>
      <c r="H6" s="20">
        <v>100000.0</v>
      </c>
      <c r="I6" s="21" t="s">
        <v>24</v>
      </c>
      <c r="J6" s="21"/>
      <c r="K6" s="21"/>
      <c r="L6" s="21" t="s">
        <v>89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144</v>
      </c>
      <c r="D7" s="16" t="s">
        <v>40</v>
      </c>
      <c r="E7" s="17"/>
      <c r="F7" s="30">
        <v>46090.0</v>
      </c>
      <c r="G7" s="19"/>
      <c r="H7" s="20">
        <v>100000.0</v>
      </c>
      <c r="I7" s="21" t="s">
        <v>27</v>
      </c>
      <c r="J7" s="21"/>
      <c r="K7" s="21"/>
      <c r="L7" s="21" t="s">
        <v>89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145</v>
      </c>
      <c r="D8" s="16" t="s">
        <v>33</v>
      </c>
      <c r="E8" s="17"/>
      <c r="F8" s="22">
        <v>46090.0</v>
      </c>
      <c r="G8" s="19"/>
      <c r="H8" s="20">
        <v>100000.0</v>
      </c>
      <c r="I8" s="21" t="s">
        <v>24</v>
      </c>
      <c r="J8" s="21"/>
      <c r="K8" s="21"/>
      <c r="L8" s="21" t="s">
        <v>26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146</v>
      </c>
      <c r="D9" s="16" t="s">
        <v>20</v>
      </c>
      <c r="E9" s="17"/>
      <c r="F9" s="22">
        <v>46092.0</v>
      </c>
      <c r="G9" s="19"/>
      <c r="H9" s="20">
        <v>100000.0</v>
      </c>
      <c r="I9" s="21" t="s">
        <v>24</v>
      </c>
      <c r="J9" s="21"/>
      <c r="K9" s="21"/>
      <c r="L9" s="21" t="s">
        <v>26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147</v>
      </c>
      <c r="D10" s="16" t="s">
        <v>99</v>
      </c>
      <c r="E10" s="17"/>
      <c r="F10" s="22">
        <v>46112.0</v>
      </c>
      <c r="G10" s="19"/>
      <c r="H10" s="20">
        <v>200000.0</v>
      </c>
      <c r="I10" s="21" t="s">
        <v>24</v>
      </c>
      <c r="J10" s="21"/>
      <c r="K10" s="21"/>
      <c r="L10" s="21" t="s">
        <v>26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144</v>
      </c>
      <c r="D11" s="16" t="s">
        <v>149</v>
      </c>
      <c r="E11" s="17"/>
      <c r="F11" s="22">
        <v>46090.0</v>
      </c>
      <c r="G11" s="19"/>
      <c r="H11" s="20">
        <v>50000.0</v>
      </c>
      <c r="I11" s="21" t="s">
        <v>27</v>
      </c>
      <c r="J11" s="21" t="s">
        <v>36</v>
      </c>
      <c r="K11" s="21" t="s">
        <v>36</v>
      </c>
      <c r="L11" s="21" t="s">
        <v>26</v>
      </c>
      <c r="M11" s="21" t="s">
        <v>52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150</v>
      </c>
      <c r="D12" s="16" t="s">
        <v>20</v>
      </c>
      <c r="E12" s="17"/>
      <c r="F12" s="22">
        <v>46090.0</v>
      </c>
      <c r="G12" s="19"/>
      <c r="H12" s="20">
        <v>100000.0</v>
      </c>
      <c r="I12" s="21" t="s">
        <v>24</v>
      </c>
      <c r="J12" s="21"/>
      <c r="K12" s="21"/>
      <c r="L12" s="21" t="s">
        <v>26</v>
      </c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153</v>
      </c>
      <c r="D13" s="16" t="s">
        <v>154</v>
      </c>
      <c r="E13" s="17"/>
      <c r="F13" s="22">
        <v>46091.0</v>
      </c>
      <c r="G13" s="19"/>
      <c r="H13" s="20">
        <v>125000.0</v>
      </c>
      <c r="I13" s="21" t="s">
        <v>24</v>
      </c>
      <c r="J13" s="21"/>
      <c r="K13" s="21"/>
      <c r="L13" s="21" t="s">
        <v>26</v>
      </c>
      <c r="M13" s="28"/>
      <c r="N13" s="25"/>
      <c r="O13" s="26"/>
      <c r="P13" s="26"/>
      <c r="Q13" s="1"/>
      <c r="R13" s="1"/>
    </row>
    <row r="14">
      <c r="A14" s="1"/>
      <c r="B14" s="32"/>
      <c r="C14" s="15" t="s">
        <v>145</v>
      </c>
      <c r="D14" s="16" t="s">
        <v>33</v>
      </c>
      <c r="E14" s="17"/>
      <c r="F14" s="22">
        <v>46090.0</v>
      </c>
      <c r="G14" s="19"/>
      <c r="H14" s="20">
        <v>250000.0</v>
      </c>
      <c r="I14" s="21" t="s">
        <v>27</v>
      </c>
      <c r="J14" s="21" t="s">
        <v>36</v>
      </c>
      <c r="K14" s="21" t="s">
        <v>36</v>
      </c>
      <c r="L14" s="21" t="s">
        <v>26</v>
      </c>
      <c r="M14" s="21" t="s">
        <v>52</v>
      </c>
      <c r="N14" s="25"/>
      <c r="O14" s="26"/>
      <c r="P14" s="26"/>
      <c r="Q14" s="1"/>
      <c r="R14" s="1"/>
    </row>
    <row r="15">
      <c r="A15" s="1"/>
      <c r="B15" s="32"/>
      <c r="C15" s="15" t="s">
        <v>150</v>
      </c>
      <c r="D15" s="16" t="s">
        <v>20</v>
      </c>
      <c r="E15" s="17"/>
      <c r="F15" s="22">
        <v>46090.0</v>
      </c>
      <c r="G15" s="19"/>
      <c r="H15" s="20">
        <v>175000.0</v>
      </c>
      <c r="I15" s="21" t="s">
        <v>27</v>
      </c>
      <c r="J15" s="21" t="s">
        <v>36</v>
      </c>
      <c r="K15" s="21" t="s">
        <v>38</v>
      </c>
      <c r="L15" s="21" t="s">
        <v>26</v>
      </c>
      <c r="M15" s="21" t="s">
        <v>52</v>
      </c>
      <c r="N15" s="25"/>
      <c r="O15" s="26"/>
      <c r="P15" s="26"/>
      <c r="Q15" s="1"/>
      <c r="R15" s="1"/>
    </row>
    <row r="16">
      <c r="A16" s="1"/>
      <c r="B16" s="32"/>
      <c r="C16" s="15" t="s">
        <v>157</v>
      </c>
      <c r="D16" s="16" t="s">
        <v>40</v>
      </c>
      <c r="E16" s="17" t="s">
        <v>158</v>
      </c>
      <c r="F16" s="22">
        <v>46090.0</v>
      </c>
      <c r="G16" s="19"/>
      <c r="H16" s="20">
        <v>150000.0</v>
      </c>
      <c r="I16" s="21" t="s">
        <v>27</v>
      </c>
      <c r="J16" s="21" t="s">
        <v>36</v>
      </c>
      <c r="K16" s="21" t="s">
        <v>36</v>
      </c>
      <c r="L16" s="21" t="s">
        <v>26</v>
      </c>
      <c r="M16" s="21" t="s">
        <v>85</v>
      </c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0</v>
      </c>
      <c r="H19" s="37">
        <f t="shared" si="1"/>
        <v>1695000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89</v>
      </c>
      <c r="P23" s="1"/>
      <c r="Q23" s="1"/>
      <c r="R23" s="1"/>
    </row>
    <row r="24">
      <c r="A24" s="1"/>
      <c r="B24" s="46">
        <v>2.0</v>
      </c>
      <c r="C24" s="47"/>
      <c r="D24" s="48"/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26</v>
      </c>
      <c r="P24" s="1"/>
      <c r="Q24" s="1"/>
      <c r="R24" s="1"/>
    </row>
    <row r="25">
      <c r="A25" s="1"/>
      <c r="B25" s="41">
        <v>3.0</v>
      </c>
      <c r="C25" s="42"/>
      <c r="D25" s="52"/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85</v>
      </c>
      <c r="P25" s="1"/>
      <c r="Q25" s="1"/>
      <c r="R25" s="1"/>
    </row>
    <row r="26">
      <c r="A26" s="1"/>
      <c r="B26" s="46">
        <v>4.0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52</v>
      </c>
      <c r="P26" s="1"/>
      <c r="Q26" s="1"/>
      <c r="R26" s="1"/>
    </row>
    <row r="27">
      <c r="A27" s="1"/>
      <c r="B27" s="41"/>
      <c r="C27" s="55"/>
      <c r="D27" s="43"/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Edit,All Soft File"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"-,VERO,FADEL,PENTIL,HANIF ,ADIF"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143</v>
      </c>
      <c r="D4" s="16" t="s">
        <v>33</v>
      </c>
      <c r="E4" s="17"/>
      <c r="F4" s="18">
        <v>46100.0</v>
      </c>
      <c r="G4" s="19"/>
      <c r="H4" s="20">
        <v>100000.0</v>
      </c>
      <c r="I4" s="21" t="s">
        <v>24</v>
      </c>
      <c r="J4" s="21"/>
      <c r="K4" s="21"/>
      <c r="L4" s="21" t="s">
        <v>26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151</v>
      </c>
      <c r="D5" s="16" t="s">
        <v>33</v>
      </c>
      <c r="E5" s="17"/>
      <c r="F5" s="18">
        <v>46091.0</v>
      </c>
      <c r="G5" s="19"/>
      <c r="H5" s="20">
        <v>350000.0</v>
      </c>
      <c r="I5" s="21" t="s">
        <v>27</v>
      </c>
      <c r="J5" s="21"/>
      <c r="K5" s="21"/>
      <c r="L5" s="21" t="s">
        <v>26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155</v>
      </c>
      <c r="D6" s="16" t="s">
        <v>33</v>
      </c>
      <c r="E6" s="17"/>
      <c r="F6" s="22">
        <v>46091.0</v>
      </c>
      <c r="G6" s="27"/>
      <c r="H6" s="20">
        <v>100000.0</v>
      </c>
      <c r="I6" s="21" t="s">
        <v>24</v>
      </c>
      <c r="J6" s="21"/>
      <c r="K6" s="21"/>
      <c r="L6" s="21" t="s">
        <v>26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156</v>
      </c>
      <c r="D7" s="16" t="s">
        <v>33</v>
      </c>
      <c r="E7" s="17"/>
      <c r="F7" s="22">
        <v>46111.0</v>
      </c>
      <c r="G7" s="19"/>
      <c r="H7" s="20">
        <v>150000.0</v>
      </c>
      <c r="I7" s="21" t="s">
        <v>24</v>
      </c>
      <c r="J7" s="21"/>
      <c r="K7" s="21"/>
      <c r="L7" s="21" t="s">
        <v>26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151</v>
      </c>
      <c r="D8" s="16" t="s">
        <v>33</v>
      </c>
      <c r="E8" s="17"/>
      <c r="F8" s="30">
        <v>46091.0</v>
      </c>
      <c r="G8" s="19">
        <v>0.0</v>
      </c>
      <c r="H8" s="20">
        <v>0.0</v>
      </c>
      <c r="I8" s="21" t="s">
        <v>27</v>
      </c>
      <c r="J8" s="21" t="s">
        <v>36</v>
      </c>
      <c r="K8" s="21" t="s">
        <v>38</v>
      </c>
      <c r="L8" s="21" t="s">
        <v>29</v>
      </c>
      <c r="M8" s="21" t="s">
        <v>85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160</v>
      </c>
      <c r="D9" s="16" t="s">
        <v>51</v>
      </c>
      <c r="E9" s="17"/>
      <c r="F9" s="30">
        <v>46093.0</v>
      </c>
      <c r="G9" s="19"/>
      <c r="H9" s="20">
        <v>100000.0</v>
      </c>
      <c r="I9" s="21" t="s">
        <v>24</v>
      </c>
      <c r="J9" s="21"/>
      <c r="K9" s="21"/>
      <c r="L9" s="21" t="s">
        <v>29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153</v>
      </c>
      <c r="D10" s="16" t="s">
        <v>154</v>
      </c>
      <c r="E10" s="17"/>
      <c r="F10" s="30">
        <v>46091.0</v>
      </c>
      <c r="G10" s="19"/>
      <c r="H10" s="20">
        <v>325000.0</v>
      </c>
      <c r="I10" s="21" t="s">
        <v>27</v>
      </c>
      <c r="J10" s="21" t="s">
        <v>131</v>
      </c>
      <c r="K10" s="21" t="s">
        <v>131</v>
      </c>
      <c r="L10" s="21" t="s">
        <v>29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163</v>
      </c>
      <c r="D11" s="16" t="s">
        <v>23</v>
      </c>
      <c r="E11" s="17"/>
      <c r="F11" s="30">
        <v>46127.0</v>
      </c>
      <c r="G11" s="19"/>
      <c r="H11" s="20">
        <v>100000.0</v>
      </c>
      <c r="I11" s="21" t="s">
        <v>24</v>
      </c>
      <c r="J11" s="21"/>
      <c r="K11" s="21"/>
      <c r="L11" s="21" t="s">
        <v>29</v>
      </c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155</v>
      </c>
      <c r="D12" s="16" t="s">
        <v>33</v>
      </c>
      <c r="E12" s="17"/>
      <c r="F12" s="22">
        <v>46091.0</v>
      </c>
      <c r="G12" s="19"/>
      <c r="H12" s="20">
        <v>250000.0</v>
      </c>
      <c r="I12" s="21" t="s">
        <v>27</v>
      </c>
      <c r="J12" s="21" t="s">
        <v>36</v>
      </c>
      <c r="K12" s="21" t="s">
        <v>38</v>
      </c>
      <c r="L12" s="21" t="s">
        <v>29</v>
      </c>
      <c r="M12" s="21" t="s">
        <v>85</v>
      </c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2"/>
      <c r="G13" s="19"/>
      <c r="H13" s="33"/>
      <c r="I13" s="21"/>
      <c r="J13" s="21"/>
      <c r="K13" s="21"/>
      <c r="L13" s="28"/>
      <c r="M13" s="28"/>
      <c r="N13" s="25"/>
      <c r="O13" s="26"/>
      <c r="P13" s="26"/>
      <c r="Q13" s="1"/>
      <c r="R13" s="1"/>
    </row>
    <row r="14">
      <c r="A14" s="1"/>
      <c r="B14" s="32"/>
      <c r="C14" s="15"/>
      <c r="D14" s="16"/>
      <c r="E14" s="17"/>
      <c r="F14" s="32"/>
      <c r="G14" s="19"/>
      <c r="H14" s="33"/>
      <c r="I14" s="21"/>
      <c r="J14" s="21"/>
      <c r="K14" s="21"/>
      <c r="L14" s="28"/>
      <c r="M14" s="28"/>
      <c r="N14" s="25"/>
      <c r="O14" s="26"/>
      <c r="P14" s="26"/>
      <c r="Q14" s="1"/>
      <c r="R14" s="1"/>
    </row>
    <row r="15">
      <c r="A15" s="1"/>
      <c r="B15" s="32"/>
      <c r="C15" s="15"/>
      <c r="D15" s="16"/>
      <c r="E15" s="17"/>
      <c r="F15" s="32"/>
      <c r="G15" s="19"/>
      <c r="H15" s="33"/>
      <c r="I15" s="21"/>
      <c r="J15" s="21"/>
      <c r="K15" s="21"/>
      <c r="L15" s="28"/>
      <c r="M15" s="28"/>
      <c r="N15" s="25"/>
      <c r="O15" s="26"/>
      <c r="P15" s="26"/>
      <c r="Q15" s="1"/>
      <c r="R15" s="1"/>
    </row>
    <row r="16">
      <c r="A16" s="1"/>
      <c r="B16" s="32"/>
      <c r="C16" s="15"/>
      <c r="D16" s="16"/>
      <c r="E16" s="17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0</v>
      </c>
      <c r="H19" s="37">
        <f t="shared" si="1"/>
        <v>1475000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26</v>
      </c>
      <c r="P23" s="1"/>
      <c r="Q23" s="1"/>
      <c r="R23" s="1"/>
    </row>
    <row r="24">
      <c r="A24" s="1"/>
      <c r="B24" s="46">
        <v>2.0</v>
      </c>
      <c r="C24" s="47"/>
      <c r="D24" s="48"/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29</v>
      </c>
      <c r="P24" s="1"/>
      <c r="Q24" s="1"/>
      <c r="R24" s="1"/>
    </row>
    <row r="25">
      <c r="A25" s="1"/>
      <c r="B25" s="41">
        <v>3.0</v>
      </c>
      <c r="C25" s="42"/>
      <c r="D25" s="52"/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52</v>
      </c>
      <c r="P25" s="1"/>
      <c r="Q25" s="1"/>
      <c r="R25" s="1"/>
    </row>
    <row r="26">
      <c r="A26" s="1"/>
      <c r="B26" s="46">
        <v>4.0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85</v>
      </c>
      <c r="P26" s="1"/>
      <c r="Q26" s="1"/>
      <c r="R26" s="1"/>
    </row>
    <row r="27">
      <c r="A27" s="1"/>
      <c r="B27" s="41"/>
      <c r="C27" s="55"/>
      <c r="D27" s="43"/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Edit,Studio Rent"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"-,VERO,FADEL,PENTIL,HANIF ,ADIF"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4.63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148</v>
      </c>
      <c r="D4" s="16" t="s">
        <v>20</v>
      </c>
      <c r="E4" s="17"/>
      <c r="F4" s="18">
        <v>46093.0</v>
      </c>
      <c r="G4" s="19"/>
      <c r="H4" s="20">
        <v>100000.0</v>
      </c>
      <c r="I4" s="21" t="s">
        <v>24</v>
      </c>
      <c r="J4" s="21"/>
      <c r="K4" s="21"/>
      <c r="L4" s="21" t="s">
        <v>29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159</v>
      </c>
      <c r="D5" s="16" t="s">
        <v>23</v>
      </c>
      <c r="E5" s="17"/>
      <c r="F5" s="18">
        <v>46109.0</v>
      </c>
      <c r="G5" s="19"/>
      <c r="H5" s="20">
        <v>100000.0</v>
      </c>
      <c r="I5" s="21" t="s">
        <v>24</v>
      </c>
      <c r="J5" s="21"/>
      <c r="K5" s="21"/>
      <c r="L5" s="21" t="s">
        <v>29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161</v>
      </c>
      <c r="D6" s="16" t="s">
        <v>33</v>
      </c>
      <c r="E6" s="17"/>
      <c r="F6" s="30">
        <v>46098.0</v>
      </c>
      <c r="G6" s="27"/>
      <c r="H6" s="20">
        <v>100000.0</v>
      </c>
      <c r="I6" s="21" t="s">
        <v>24</v>
      </c>
      <c r="J6" s="21"/>
      <c r="K6" s="21"/>
      <c r="L6" s="21" t="s">
        <v>29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165</v>
      </c>
      <c r="D7" s="16" t="s">
        <v>33</v>
      </c>
      <c r="E7" s="17"/>
      <c r="F7" s="30">
        <v>46095.0</v>
      </c>
      <c r="G7" s="19"/>
      <c r="H7" s="20">
        <v>100000.0</v>
      </c>
      <c r="I7" s="21" t="s">
        <v>24</v>
      </c>
      <c r="J7" s="21"/>
      <c r="K7" s="21"/>
      <c r="L7" s="21" t="s">
        <v>29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166</v>
      </c>
      <c r="D8" s="16" t="s">
        <v>66</v>
      </c>
      <c r="E8" s="17"/>
      <c r="F8" s="30">
        <v>46096.0</v>
      </c>
      <c r="G8" s="19"/>
      <c r="H8" s="20">
        <v>100000.0</v>
      </c>
      <c r="I8" s="21" t="s">
        <v>24</v>
      </c>
      <c r="J8" s="21"/>
      <c r="K8" s="21"/>
      <c r="L8" s="21" t="s">
        <v>29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168</v>
      </c>
      <c r="D9" s="16" t="s">
        <v>33</v>
      </c>
      <c r="E9" s="17"/>
      <c r="F9" s="30">
        <v>46095.0</v>
      </c>
      <c r="G9" s="19"/>
      <c r="H9" s="20">
        <v>100000.0</v>
      </c>
      <c r="I9" s="21" t="s">
        <v>24</v>
      </c>
      <c r="J9" s="21"/>
      <c r="K9" s="21"/>
      <c r="L9" s="21" t="s">
        <v>29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162</v>
      </c>
      <c r="D10" s="16" t="s">
        <v>40</v>
      </c>
      <c r="E10" s="17"/>
      <c r="F10" s="30">
        <v>46093.0</v>
      </c>
      <c r="G10" s="19"/>
      <c r="H10" s="20">
        <v>100000.0</v>
      </c>
      <c r="I10" s="21" t="s">
        <v>24</v>
      </c>
      <c r="J10" s="21"/>
      <c r="K10" s="21"/>
      <c r="L10" s="21" t="s">
        <v>29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171</v>
      </c>
      <c r="D11" s="16" t="s">
        <v>23</v>
      </c>
      <c r="E11" s="17"/>
      <c r="F11" s="30">
        <v>46110.0</v>
      </c>
      <c r="G11" s="19"/>
      <c r="H11" s="20">
        <v>100000.0</v>
      </c>
      <c r="I11" s="21" t="s">
        <v>24</v>
      </c>
      <c r="J11" s="21"/>
      <c r="K11" s="21"/>
      <c r="L11" s="21" t="s">
        <v>29</v>
      </c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50</v>
      </c>
      <c r="D12" s="16" t="s">
        <v>173</v>
      </c>
      <c r="E12" s="17"/>
      <c r="F12" s="30">
        <v>46092.0</v>
      </c>
      <c r="G12" s="19"/>
      <c r="H12" s="20">
        <v>25000.0</v>
      </c>
      <c r="I12" s="21" t="s">
        <v>27</v>
      </c>
      <c r="J12" s="21"/>
      <c r="K12" s="21"/>
      <c r="L12" s="21" t="s">
        <v>29</v>
      </c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90</v>
      </c>
      <c r="D13" s="16" t="s">
        <v>20</v>
      </c>
      <c r="E13" s="17"/>
      <c r="F13" s="22">
        <v>46092.0</v>
      </c>
      <c r="G13" s="19">
        <v>200000.0</v>
      </c>
      <c r="H13" s="33"/>
      <c r="I13" s="21" t="s">
        <v>27</v>
      </c>
      <c r="J13" s="21" t="s">
        <v>36</v>
      </c>
      <c r="K13" s="21" t="s">
        <v>38</v>
      </c>
      <c r="L13" s="21" t="s">
        <v>26</v>
      </c>
      <c r="M13" s="21" t="s">
        <v>60</v>
      </c>
      <c r="N13" s="25"/>
      <c r="O13" s="26"/>
      <c r="P13" s="26"/>
      <c r="Q13" s="1"/>
      <c r="R13" s="1"/>
    </row>
    <row r="14">
      <c r="A14" s="1"/>
      <c r="B14" s="32"/>
      <c r="C14" s="15" t="s">
        <v>176</v>
      </c>
      <c r="D14" s="16" t="s">
        <v>20</v>
      </c>
      <c r="E14" s="17"/>
      <c r="F14" s="22">
        <v>46092.0</v>
      </c>
      <c r="G14" s="19">
        <v>150000.0</v>
      </c>
      <c r="H14" s="33"/>
      <c r="I14" s="21" t="s">
        <v>27</v>
      </c>
      <c r="J14" s="21" t="s">
        <v>36</v>
      </c>
      <c r="K14" s="21" t="s">
        <v>38</v>
      </c>
      <c r="L14" s="21" t="s">
        <v>26</v>
      </c>
      <c r="M14" s="21" t="s">
        <v>60</v>
      </c>
      <c r="N14" s="25"/>
      <c r="O14" s="26"/>
      <c r="P14" s="26"/>
      <c r="Q14" s="1"/>
      <c r="R14" s="1"/>
    </row>
    <row r="15">
      <c r="A15" s="1"/>
      <c r="B15" s="32"/>
      <c r="C15" s="15" t="s">
        <v>178</v>
      </c>
      <c r="D15" s="16" t="s">
        <v>33</v>
      </c>
      <c r="E15" s="17"/>
      <c r="F15" s="22">
        <v>46096.0</v>
      </c>
      <c r="G15" s="19"/>
      <c r="H15" s="20">
        <v>100000.0</v>
      </c>
      <c r="I15" s="21" t="s">
        <v>24</v>
      </c>
      <c r="J15" s="21"/>
      <c r="K15" s="21"/>
      <c r="L15" s="21" t="s">
        <v>26</v>
      </c>
      <c r="M15" s="28"/>
      <c r="N15" s="25"/>
      <c r="O15" s="26"/>
      <c r="P15" s="26"/>
      <c r="Q15" s="1"/>
      <c r="R15" s="1"/>
    </row>
    <row r="16">
      <c r="A16" s="1"/>
      <c r="B16" s="32"/>
      <c r="C16" s="15" t="s">
        <v>180</v>
      </c>
      <c r="D16" s="16" t="s">
        <v>33</v>
      </c>
      <c r="E16" s="29">
        <v>0.2</v>
      </c>
      <c r="F16" s="22">
        <v>46092.0</v>
      </c>
      <c r="G16" s="19"/>
      <c r="H16" s="20">
        <v>280000.0</v>
      </c>
      <c r="I16" s="21" t="s">
        <v>27</v>
      </c>
      <c r="J16" s="21" t="s">
        <v>36</v>
      </c>
      <c r="K16" s="21" t="s">
        <v>36</v>
      </c>
      <c r="L16" s="21" t="s">
        <v>26</v>
      </c>
      <c r="M16" s="21" t="s">
        <v>39</v>
      </c>
      <c r="N16" s="25"/>
      <c r="O16" s="26"/>
      <c r="P16" s="26"/>
      <c r="Q16" s="1"/>
      <c r="R16" s="1"/>
    </row>
    <row r="17">
      <c r="A17" s="1"/>
      <c r="B17" s="32"/>
      <c r="C17" s="15" t="s">
        <v>182</v>
      </c>
      <c r="D17" s="16" t="s">
        <v>33</v>
      </c>
      <c r="E17" s="17"/>
      <c r="F17" s="22">
        <v>46096.0</v>
      </c>
      <c r="G17" s="19"/>
      <c r="H17" s="20">
        <v>100000.0</v>
      </c>
      <c r="I17" s="21" t="s">
        <v>24</v>
      </c>
      <c r="J17" s="21"/>
      <c r="K17" s="21"/>
      <c r="L17" s="21" t="s">
        <v>26</v>
      </c>
      <c r="M17" s="28"/>
      <c r="N17" s="25"/>
      <c r="O17" s="26"/>
      <c r="P17" s="26"/>
      <c r="Q17" s="1"/>
      <c r="R17" s="1"/>
    </row>
    <row r="18">
      <c r="A18" s="1"/>
      <c r="B18" s="32"/>
      <c r="C18" s="15" t="s">
        <v>184</v>
      </c>
      <c r="D18" s="16" t="s">
        <v>33</v>
      </c>
      <c r="E18" s="17" t="s">
        <v>185</v>
      </c>
      <c r="F18" s="22">
        <v>46092.0</v>
      </c>
      <c r="G18" s="27"/>
      <c r="H18" s="20">
        <v>180000.0</v>
      </c>
      <c r="I18" s="21" t="s">
        <v>27</v>
      </c>
      <c r="J18" s="21" t="s">
        <v>36</v>
      </c>
      <c r="K18" s="21" t="s">
        <v>38</v>
      </c>
      <c r="L18" s="21" t="s">
        <v>26</v>
      </c>
      <c r="M18" s="21" t="s">
        <v>39</v>
      </c>
      <c r="N18" s="26"/>
      <c r="O18" s="26"/>
      <c r="P18" s="26"/>
      <c r="Q18" s="1"/>
      <c r="R18" s="1"/>
    </row>
    <row r="19">
      <c r="A19" s="1"/>
      <c r="B19" s="32"/>
      <c r="C19" s="15" t="s">
        <v>186</v>
      </c>
      <c r="D19" s="16" t="s">
        <v>23</v>
      </c>
      <c r="E19" s="17"/>
      <c r="F19" s="22">
        <v>46112.0</v>
      </c>
      <c r="G19" s="27"/>
      <c r="H19" s="20">
        <v>100000.0</v>
      </c>
      <c r="I19" s="21" t="s">
        <v>24</v>
      </c>
      <c r="J19" s="28"/>
      <c r="K19" s="28"/>
      <c r="L19" s="21" t="s">
        <v>26</v>
      </c>
      <c r="M19" s="28"/>
      <c r="N19" s="26"/>
      <c r="O19" s="26"/>
      <c r="P19" s="26"/>
      <c r="Q19" s="1"/>
      <c r="R19" s="1"/>
    </row>
    <row r="20">
      <c r="A20" s="1"/>
      <c r="B20" s="32"/>
      <c r="C20" s="15" t="s">
        <v>187</v>
      </c>
      <c r="D20" s="16" t="s">
        <v>43</v>
      </c>
      <c r="E20" s="17"/>
      <c r="F20" s="22">
        <v>46105.0</v>
      </c>
      <c r="G20" s="27"/>
      <c r="H20" s="20">
        <v>100000.0</v>
      </c>
      <c r="I20" s="21" t="s">
        <v>24</v>
      </c>
      <c r="J20" s="28"/>
      <c r="K20" s="28"/>
      <c r="L20" s="21" t="s">
        <v>26</v>
      </c>
      <c r="M20" s="28"/>
      <c r="N20" s="26"/>
      <c r="O20" s="26"/>
      <c r="P20" s="26"/>
      <c r="Q20" s="1"/>
      <c r="R20" s="1"/>
    </row>
    <row r="21">
      <c r="A21" s="1"/>
      <c r="B21" s="32"/>
      <c r="C21" s="15" t="s">
        <v>137</v>
      </c>
      <c r="D21" s="16" t="s">
        <v>20</v>
      </c>
      <c r="E21" s="17"/>
      <c r="F21" s="22">
        <v>46092.0</v>
      </c>
      <c r="G21" s="27"/>
      <c r="H21" s="20">
        <v>225000.0</v>
      </c>
      <c r="I21" s="21" t="s">
        <v>27</v>
      </c>
      <c r="J21" s="21" t="s">
        <v>36</v>
      </c>
      <c r="K21" s="21" t="s">
        <v>38</v>
      </c>
      <c r="L21" s="21" t="s">
        <v>26</v>
      </c>
      <c r="M21" s="21" t="s">
        <v>39</v>
      </c>
      <c r="N21" s="26"/>
      <c r="O21" s="26"/>
      <c r="P21" s="26"/>
      <c r="Q21" s="1"/>
      <c r="R21" s="1"/>
    </row>
    <row r="22">
      <c r="A22" s="1"/>
      <c r="B22" s="32"/>
      <c r="C22" s="34"/>
      <c r="D22" s="16"/>
      <c r="E22" s="17"/>
      <c r="F22" s="32"/>
      <c r="G22" s="27"/>
      <c r="H22" s="33"/>
      <c r="I22" s="28"/>
      <c r="J22" s="28"/>
      <c r="K22" s="28"/>
      <c r="L22" s="28"/>
      <c r="M22" s="28"/>
      <c r="N22" s="35"/>
      <c r="O22" s="35"/>
      <c r="P22" s="35"/>
      <c r="Q22" s="1"/>
      <c r="R22" s="1"/>
    </row>
    <row r="23" ht="18.75" customHeight="1">
      <c r="A23" s="1"/>
      <c r="B23" s="1"/>
      <c r="C23" s="2"/>
      <c r="D23" s="2"/>
      <c r="E23" s="1"/>
      <c r="F23" s="1"/>
      <c r="G23" s="36">
        <f t="shared" ref="G23:H23" si="1">SUM(G4:G22)</f>
        <v>350000</v>
      </c>
      <c r="H23" s="37">
        <f t="shared" si="1"/>
        <v>1910000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23.25" customHeight="1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38" t="s">
        <v>0</v>
      </c>
      <c r="C26" s="39" t="s">
        <v>6</v>
      </c>
      <c r="D26" s="39" t="s">
        <v>72</v>
      </c>
      <c r="E26" s="40"/>
      <c r="F26" s="1"/>
      <c r="G26" s="1"/>
      <c r="H26" s="1"/>
      <c r="I26" s="1"/>
      <c r="J26" s="1"/>
      <c r="K26" s="1"/>
      <c r="L26" s="1"/>
      <c r="M26" s="1"/>
      <c r="N26" s="39" t="s">
        <v>73</v>
      </c>
      <c r="O26" s="39" t="s">
        <v>1</v>
      </c>
      <c r="P26" s="1"/>
      <c r="Q26" s="1"/>
      <c r="R26" s="1"/>
    </row>
    <row r="27">
      <c r="A27" s="1"/>
      <c r="B27" s="41">
        <v>1.0</v>
      </c>
      <c r="C27" s="42" t="s">
        <v>74</v>
      </c>
      <c r="D27" s="43">
        <f>SUM(G23)</f>
        <v>350000</v>
      </c>
      <c r="E27" s="44"/>
      <c r="F27" s="1"/>
      <c r="G27" s="1"/>
      <c r="H27" s="1"/>
      <c r="I27" s="1"/>
      <c r="J27" s="1"/>
      <c r="K27" s="1"/>
      <c r="L27" s="1"/>
      <c r="M27" s="1"/>
      <c r="N27" s="45" t="s">
        <v>75</v>
      </c>
      <c r="O27" s="23" t="s">
        <v>29</v>
      </c>
      <c r="P27" s="1"/>
      <c r="Q27" s="1"/>
      <c r="R27" s="1"/>
    </row>
    <row r="28">
      <c r="A28" s="1"/>
      <c r="B28" s="46">
        <v>2.0</v>
      </c>
      <c r="C28" s="47" t="s">
        <v>139</v>
      </c>
      <c r="D28" s="48">
        <v>-25000.0</v>
      </c>
      <c r="E28" s="49"/>
      <c r="F28" s="1"/>
      <c r="G28" s="1"/>
      <c r="H28" s="1"/>
      <c r="I28" s="1"/>
      <c r="J28" s="1"/>
      <c r="K28" s="1"/>
      <c r="L28" s="1"/>
      <c r="M28" s="1"/>
      <c r="N28" s="50" t="s">
        <v>77</v>
      </c>
      <c r="O28" s="51" t="s">
        <v>26</v>
      </c>
      <c r="P28" s="1"/>
      <c r="Q28" s="1"/>
      <c r="R28" s="1"/>
    </row>
    <row r="29">
      <c r="A29" s="1"/>
      <c r="B29" s="41">
        <v>3.0</v>
      </c>
      <c r="C29" s="42" t="s">
        <v>83</v>
      </c>
      <c r="D29" s="52">
        <v>-20000.0</v>
      </c>
      <c r="E29" s="49"/>
      <c r="F29" s="1"/>
      <c r="G29" s="1"/>
      <c r="H29" s="1"/>
      <c r="I29" s="1"/>
      <c r="J29" s="1"/>
      <c r="K29" s="1"/>
      <c r="L29" s="1"/>
      <c r="M29" s="1"/>
      <c r="N29" s="53" t="s">
        <v>79</v>
      </c>
      <c r="O29" s="25" t="s">
        <v>60</v>
      </c>
      <c r="P29" s="1"/>
      <c r="Q29" s="1"/>
      <c r="R29" s="1"/>
    </row>
    <row r="30">
      <c r="A30" s="1"/>
      <c r="B30" s="46">
        <v>4.0</v>
      </c>
      <c r="C30" s="47" t="s">
        <v>84</v>
      </c>
      <c r="D30" s="48">
        <v>-16000.0</v>
      </c>
      <c r="E30" s="49"/>
      <c r="F30" s="1"/>
      <c r="G30" s="1"/>
      <c r="H30" s="1"/>
      <c r="I30" s="1"/>
      <c r="J30" s="1"/>
      <c r="K30" s="1"/>
      <c r="L30" s="1"/>
      <c r="M30" s="1"/>
      <c r="N30" s="54" t="s">
        <v>80</v>
      </c>
      <c r="O30" s="51" t="s">
        <v>39</v>
      </c>
      <c r="P30" s="1"/>
      <c r="Q30" s="1"/>
      <c r="R30" s="1"/>
    </row>
    <row r="31">
      <c r="A31" s="1"/>
      <c r="B31" s="41"/>
      <c r="C31" s="42" t="s">
        <v>78</v>
      </c>
      <c r="D31" s="52">
        <v>-64000.0</v>
      </c>
      <c r="E31" s="44"/>
      <c r="F31" s="1"/>
      <c r="G31" s="1"/>
      <c r="H31" s="1"/>
      <c r="I31" s="1"/>
      <c r="J31" s="1"/>
      <c r="K31" s="1"/>
      <c r="L31" s="1"/>
      <c r="M31" s="1"/>
      <c r="N31" s="56"/>
      <c r="O31" s="1"/>
      <c r="P31" s="1"/>
      <c r="Q31" s="1"/>
      <c r="R31" s="1"/>
    </row>
    <row r="32">
      <c r="A32" s="1"/>
      <c r="B32" s="46"/>
      <c r="C32" s="47" t="s">
        <v>81</v>
      </c>
      <c r="D32" s="48">
        <v>-50000.0</v>
      </c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41"/>
      <c r="C33" s="42" t="s">
        <v>189</v>
      </c>
      <c r="D33" s="52">
        <v>-100000.0</v>
      </c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6"/>
      <c r="C34" s="47" t="s">
        <v>190</v>
      </c>
      <c r="D34" s="48">
        <v>-25000.0</v>
      </c>
      <c r="E34" s="4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41"/>
      <c r="C35" s="42" t="s">
        <v>191</v>
      </c>
      <c r="D35" s="52">
        <v>-40000.0</v>
      </c>
      <c r="E35" s="4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46"/>
      <c r="C36" s="57"/>
      <c r="D36" s="58"/>
      <c r="E36" s="4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59"/>
      <c r="C37" s="60"/>
      <c r="D37" s="61"/>
      <c r="E37" s="4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62">
        <f>SUM(D27:D37)</f>
        <v>10000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2 O27:O28">
      <formula1>"-,JIJANG,ADDEL,PENTIL,FAHME,INDAH"</formula1>
    </dataValidation>
    <dataValidation type="list" allowBlank="1" showErrorMessage="1" sqref="N4:N22">
      <formula1>"-,Pending,Progress,Uploaded"</formula1>
    </dataValidation>
    <dataValidation type="list" allowBlank="1" showErrorMessage="1" sqref="O4:O22">
      <formula1>"-,In Pikako,In Foxe"</formula1>
    </dataValidation>
    <dataValidation type="list" allowBlank="1" showDropDown="1" showErrorMessage="1" sqref="D4:D22">
      <formula1>"-,Single,Couple A,Couple B,Group A,Group B,Group C,Large Group,Graduation,Graduation Premium,Family A,Family B,Maternity,Concept,Studio Rent,Pas Foto,Single,Add Person ,Add Edit,Add Cetak 10R,Photofox"</formula1>
    </dataValidation>
    <dataValidation type="list" allowBlank="1" showDropDown="1" showErrorMessage="1" sqref="M4:M22 O29:O30">
      <formula1>"-,VERO,ADIF ,PENTIL,FAHME,HANIF"</formula1>
    </dataValidation>
    <dataValidation type="list" allowBlank="1" showDropDown="1" showErrorMessage="1" sqref="I4:I22">
      <formula1>"-,DP,Lunas"</formula1>
    </dataValidation>
    <dataValidation type="list" allowBlank="1" showDropDown="1" showErrorMessage="1" sqref="J4:K22">
      <formula1>"-,Pending,Uploaded"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152</v>
      </c>
      <c r="D4" s="16" t="s">
        <v>33</v>
      </c>
      <c r="E4" s="17"/>
      <c r="F4" s="18">
        <v>46100.0</v>
      </c>
      <c r="G4" s="19"/>
      <c r="H4" s="20">
        <v>100000.0</v>
      </c>
      <c r="I4" s="21" t="s">
        <v>24</v>
      </c>
      <c r="J4" s="21"/>
      <c r="K4" s="21"/>
      <c r="L4" s="21" t="s">
        <v>26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162</v>
      </c>
      <c r="D5" s="16" t="s">
        <v>40</v>
      </c>
      <c r="E5" s="17"/>
      <c r="F5" s="18">
        <v>46093.0</v>
      </c>
      <c r="G5" s="19">
        <v>0.0</v>
      </c>
      <c r="H5" s="20">
        <v>0.0</v>
      </c>
      <c r="I5" s="21" t="s">
        <v>27</v>
      </c>
      <c r="J5" s="21" t="s">
        <v>36</v>
      </c>
      <c r="K5" s="21" t="s">
        <v>36</v>
      </c>
      <c r="L5" s="21" t="s">
        <v>26</v>
      </c>
      <c r="M5" s="21" t="s">
        <v>39</v>
      </c>
      <c r="N5" s="25"/>
      <c r="O5" s="25"/>
      <c r="P5" s="26"/>
      <c r="Q5" s="1"/>
      <c r="R5" s="1"/>
    </row>
    <row r="6">
      <c r="A6" s="1"/>
      <c r="B6" s="14">
        <v>3.0</v>
      </c>
      <c r="C6" s="15" t="s">
        <v>164</v>
      </c>
      <c r="D6" s="16" t="s">
        <v>33</v>
      </c>
      <c r="E6" s="17"/>
      <c r="F6" s="22">
        <v>46111.0</v>
      </c>
      <c r="G6" s="27"/>
      <c r="H6" s="20">
        <v>100000.0</v>
      </c>
      <c r="I6" s="21" t="s">
        <v>24</v>
      </c>
      <c r="J6" s="21"/>
      <c r="K6" s="21"/>
      <c r="L6" s="21" t="s">
        <v>26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167</v>
      </c>
      <c r="D7" s="16" t="s">
        <v>34</v>
      </c>
      <c r="E7" s="17"/>
      <c r="F7" s="22">
        <v>46099.0</v>
      </c>
      <c r="G7" s="67"/>
      <c r="H7" s="20">
        <v>100000.0</v>
      </c>
      <c r="I7" s="21" t="s">
        <v>24</v>
      </c>
      <c r="J7" s="21"/>
      <c r="K7" s="21"/>
      <c r="L7" s="21" t="s">
        <v>26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118</v>
      </c>
      <c r="D8" s="16" t="s">
        <v>169</v>
      </c>
      <c r="E8" s="17" t="s">
        <v>170</v>
      </c>
      <c r="F8" s="22">
        <v>46088.0</v>
      </c>
      <c r="G8" s="19"/>
      <c r="H8" s="20">
        <v>25000.0</v>
      </c>
      <c r="I8" s="21" t="s">
        <v>27</v>
      </c>
      <c r="J8" s="21"/>
      <c r="K8" s="21"/>
      <c r="L8" s="21" t="s">
        <v>26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172</v>
      </c>
      <c r="D9" s="16" t="s">
        <v>33</v>
      </c>
      <c r="E9" s="17"/>
      <c r="F9" s="22">
        <v>46103.0</v>
      </c>
      <c r="G9" s="19"/>
      <c r="H9" s="20">
        <v>100000.0</v>
      </c>
      <c r="I9" s="21" t="s">
        <v>24</v>
      </c>
      <c r="J9" s="21"/>
      <c r="K9" s="21"/>
      <c r="L9" s="21" t="s">
        <v>26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174</v>
      </c>
      <c r="D10" s="16" t="s">
        <v>51</v>
      </c>
      <c r="E10" s="17"/>
      <c r="F10" s="30">
        <v>46093.0</v>
      </c>
      <c r="G10" s="19"/>
      <c r="H10" s="20">
        <v>50000.0</v>
      </c>
      <c r="I10" s="21" t="s">
        <v>27</v>
      </c>
      <c r="J10" s="21" t="s">
        <v>36</v>
      </c>
      <c r="K10" s="21" t="s">
        <v>36</v>
      </c>
      <c r="L10" s="21" t="s">
        <v>29</v>
      </c>
      <c r="M10" s="21" t="s">
        <v>39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175</v>
      </c>
      <c r="D11" s="16" t="s">
        <v>20</v>
      </c>
      <c r="E11" s="17"/>
      <c r="F11" s="30">
        <v>46093.0</v>
      </c>
      <c r="G11" s="19"/>
      <c r="H11" s="20">
        <v>275000.0</v>
      </c>
      <c r="I11" s="21" t="s">
        <v>27</v>
      </c>
      <c r="J11" s="21" t="s">
        <v>36</v>
      </c>
      <c r="K11" s="21" t="s">
        <v>36</v>
      </c>
      <c r="L11" s="21" t="s">
        <v>29</v>
      </c>
      <c r="M11" s="21" t="s">
        <v>39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177</v>
      </c>
      <c r="D12" s="16" t="s">
        <v>20</v>
      </c>
      <c r="E12" s="17"/>
      <c r="F12" s="30">
        <v>46093.0</v>
      </c>
      <c r="G12" s="19"/>
      <c r="H12" s="20">
        <v>125000.0</v>
      </c>
      <c r="I12" s="21" t="s">
        <v>27</v>
      </c>
      <c r="J12" s="21" t="s">
        <v>36</v>
      </c>
      <c r="K12" s="21" t="s">
        <v>36</v>
      </c>
      <c r="L12" s="21" t="s">
        <v>29</v>
      </c>
      <c r="M12" s="21" t="s">
        <v>39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179</v>
      </c>
      <c r="D13" s="16" t="s">
        <v>20</v>
      </c>
      <c r="E13" s="17"/>
      <c r="F13" s="30">
        <v>46093.0</v>
      </c>
      <c r="G13" s="19"/>
      <c r="H13" s="20">
        <v>75000.0</v>
      </c>
      <c r="I13" s="21" t="s">
        <v>27</v>
      </c>
      <c r="J13" s="21" t="s">
        <v>36</v>
      </c>
      <c r="K13" s="21" t="s">
        <v>38</v>
      </c>
      <c r="L13" s="21" t="s">
        <v>29</v>
      </c>
      <c r="M13" s="21"/>
      <c r="N13" s="25"/>
      <c r="O13" s="26"/>
      <c r="P13" s="26"/>
      <c r="Q13" s="1"/>
      <c r="R13" s="1"/>
    </row>
    <row r="14">
      <c r="A14" s="1"/>
      <c r="B14" s="14">
        <v>11.0</v>
      </c>
      <c r="C14" s="15" t="s">
        <v>181</v>
      </c>
      <c r="D14" s="16" t="s">
        <v>20</v>
      </c>
      <c r="E14" s="17"/>
      <c r="F14" s="30">
        <v>46098.0</v>
      </c>
      <c r="G14" s="19"/>
      <c r="H14" s="20">
        <v>100000.0</v>
      </c>
      <c r="I14" s="21" t="s">
        <v>24</v>
      </c>
      <c r="J14" s="21"/>
      <c r="K14" s="21"/>
      <c r="L14" s="21" t="s">
        <v>29</v>
      </c>
      <c r="M14" s="28"/>
      <c r="N14" s="25"/>
      <c r="O14" s="26"/>
      <c r="P14" s="26"/>
      <c r="Q14" s="1"/>
      <c r="R14" s="1"/>
    </row>
    <row r="15">
      <c r="A15" s="1"/>
      <c r="B15" s="32"/>
      <c r="C15" s="15" t="s">
        <v>183</v>
      </c>
      <c r="D15" s="16" t="s">
        <v>20</v>
      </c>
      <c r="E15" s="17"/>
      <c r="F15" s="30">
        <v>46093.0</v>
      </c>
      <c r="G15" s="19"/>
      <c r="H15" s="20">
        <v>125000.0</v>
      </c>
      <c r="I15" s="21" t="s">
        <v>27</v>
      </c>
      <c r="J15" s="21" t="s">
        <v>36</v>
      </c>
      <c r="K15" s="21" t="s">
        <v>38</v>
      </c>
      <c r="L15" s="21" t="s">
        <v>29</v>
      </c>
      <c r="M15" s="21" t="s">
        <v>39</v>
      </c>
      <c r="N15" s="25"/>
      <c r="O15" s="26"/>
      <c r="P15" s="26"/>
      <c r="Q15" s="1"/>
      <c r="R15" s="1"/>
    </row>
    <row r="16">
      <c r="A16" s="1"/>
      <c r="B16" s="32"/>
      <c r="C16" s="15"/>
      <c r="D16" s="16"/>
      <c r="E16" s="17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0</v>
      </c>
      <c r="H19" s="37">
        <f t="shared" si="1"/>
        <v>1175000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26</v>
      </c>
      <c r="P23" s="1"/>
      <c r="Q23" s="1"/>
      <c r="R23" s="1"/>
    </row>
    <row r="24">
      <c r="A24" s="1"/>
      <c r="B24" s="46">
        <v>2.0</v>
      </c>
      <c r="C24" s="47"/>
      <c r="D24" s="48"/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29</v>
      </c>
      <c r="P24" s="1"/>
      <c r="Q24" s="1"/>
      <c r="R24" s="1"/>
    </row>
    <row r="25">
      <c r="A25" s="1"/>
      <c r="B25" s="41">
        <v>3.0</v>
      </c>
      <c r="C25" s="42"/>
      <c r="D25" s="52"/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39</v>
      </c>
      <c r="P25" s="1"/>
      <c r="Q25" s="1"/>
      <c r="R25" s="1"/>
    </row>
    <row r="26">
      <c r="A26" s="1"/>
      <c r="B26" s="46">
        <v>4.0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39</v>
      </c>
      <c r="P26" s="1"/>
      <c r="Q26" s="1"/>
      <c r="R26" s="1"/>
    </row>
    <row r="27">
      <c r="A27" s="1"/>
      <c r="B27" s="41"/>
      <c r="C27" s="55"/>
      <c r="D27" s="43"/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Edit,Add Cetak "</formula1>
    </dataValidation>
    <dataValidation type="list" allowBlank="1" showDropDown="1" showErrorMessage="1" sqref="L4:L18 O23:O24">
      <formula1>"-,JIJANG,AXEL,PENTIL,FAHME,ADDEL,INDAH"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"-,VERO,FADEL,PENTIL,FAHME,HANIF"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188</v>
      </c>
      <c r="D4" s="16" t="s">
        <v>20</v>
      </c>
      <c r="E4" s="17"/>
      <c r="F4" s="18">
        <v>46095.0</v>
      </c>
      <c r="G4" s="19"/>
      <c r="H4" s="20">
        <v>100000.0</v>
      </c>
      <c r="I4" s="21" t="s">
        <v>24</v>
      </c>
      <c r="J4" s="21"/>
      <c r="K4" s="21"/>
      <c r="L4" s="21" t="s">
        <v>89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192</v>
      </c>
      <c r="D5" s="16" t="s">
        <v>51</v>
      </c>
      <c r="E5" s="17"/>
      <c r="F5" s="18">
        <v>46094.0</v>
      </c>
      <c r="G5" s="19"/>
      <c r="H5" s="20">
        <v>100000.0</v>
      </c>
      <c r="I5" s="21" t="s">
        <v>24</v>
      </c>
      <c r="J5" s="21"/>
      <c r="K5" s="21"/>
      <c r="L5" s="21" t="s">
        <v>89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193</v>
      </c>
      <c r="D6" s="16" t="s">
        <v>20</v>
      </c>
      <c r="E6" s="17"/>
      <c r="F6" s="30">
        <v>46099.0</v>
      </c>
      <c r="G6" s="27"/>
      <c r="H6" s="20">
        <v>100000.0</v>
      </c>
      <c r="I6" s="21" t="s">
        <v>24</v>
      </c>
      <c r="J6" s="21"/>
      <c r="K6" s="21"/>
      <c r="L6" s="21" t="s">
        <v>89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194</v>
      </c>
      <c r="D7" s="16" t="s">
        <v>23</v>
      </c>
      <c r="E7" s="17"/>
      <c r="F7" s="30">
        <v>46112.0</v>
      </c>
      <c r="G7" s="19"/>
      <c r="H7" s="20">
        <v>100000.0</v>
      </c>
      <c r="I7" s="21" t="s">
        <v>24</v>
      </c>
      <c r="J7" s="21"/>
      <c r="K7" s="21"/>
      <c r="L7" s="21" t="s">
        <v>89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195</v>
      </c>
      <c r="D8" s="16" t="s">
        <v>20</v>
      </c>
      <c r="E8" s="17"/>
      <c r="F8" s="30">
        <v>46096.0</v>
      </c>
      <c r="G8" s="19"/>
      <c r="H8" s="20">
        <v>100000.0</v>
      </c>
      <c r="I8" s="21" t="s">
        <v>24</v>
      </c>
      <c r="J8" s="21"/>
      <c r="K8" s="21"/>
      <c r="L8" s="21" t="s">
        <v>89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196</v>
      </c>
      <c r="D9" s="16" t="s">
        <v>34</v>
      </c>
      <c r="E9" s="17"/>
      <c r="F9" s="30">
        <v>46098.0</v>
      </c>
      <c r="G9" s="19"/>
      <c r="H9" s="20">
        <v>100000.0</v>
      </c>
      <c r="I9" s="21" t="s">
        <v>24</v>
      </c>
      <c r="J9" s="21"/>
      <c r="K9" s="21"/>
      <c r="L9" s="21" t="s">
        <v>89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197</v>
      </c>
      <c r="D10" s="16" t="s">
        <v>33</v>
      </c>
      <c r="E10" s="17"/>
      <c r="F10" s="30">
        <v>46095.0</v>
      </c>
      <c r="G10" s="19"/>
      <c r="H10" s="20">
        <v>100000.0</v>
      </c>
      <c r="I10" s="21" t="s">
        <v>24</v>
      </c>
      <c r="J10" s="21"/>
      <c r="K10" s="21"/>
      <c r="L10" s="21" t="s">
        <v>89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198</v>
      </c>
      <c r="D11" s="16" t="s">
        <v>20</v>
      </c>
      <c r="E11" s="17"/>
      <c r="F11" s="30">
        <v>46113.0</v>
      </c>
      <c r="G11" s="19"/>
      <c r="H11" s="20">
        <v>100000.0</v>
      </c>
      <c r="I11" s="21" t="s">
        <v>24</v>
      </c>
      <c r="J11" s="21"/>
      <c r="K11" s="21"/>
      <c r="L11" s="21" t="s">
        <v>89</v>
      </c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199</v>
      </c>
      <c r="D12" s="16" t="s">
        <v>33</v>
      </c>
      <c r="E12" s="17"/>
      <c r="F12" s="30">
        <v>46094.0</v>
      </c>
      <c r="G12" s="19"/>
      <c r="H12" s="20">
        <v>350000.0</v>
      </c>
      <c r="I12" s="21" t="s">
        <v>27</v>
      </c>
      <c r="J12" s="21" t="s">
        <v>36</v>
      </c>
      <c r="K12" s="21" t="s">
        <v>38</v>
      </c>
      <c r="L12" s="21" t="s">
        <v>89</v>
      </c>
      <c r="M12" s="21" t="s">
        <v>60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201</v>
      </c>
      <c r="D13" s="16" t="s">
        <v>33</v>
      </c>
      <c r="E13" s="17"/>
      <c r="F13" s="30">
        <v>46096.0</v>
      </c>
      <c r="G13" s="19"/>
      <c r="H13" s="20">
        <v>350000.0</v>
      </c>
      <c r="I13" s="21" t="s">
        <v>27</v>
      </c>
      <c r="J13" s="21" t="s">
        <v>36</v>
      </c>
      <c r="K13" s="21" t="s">
        <v>38</v>
      </c>
      <c r="L13" s="21" t="s">
        <v>89</v>
      </c>
      <c r="M13" s="21" t="s">
        <v>60</v>
      </c>
      <c r="N13" s="25"/>
      <c r="O13" s="26"/>
      <c r="P13" s="26"/>
      <c r="Q13" s="1"/>
      <c r="R13" s="1"/>
    </row>
    <row r="14">
      <c r="A14" s="1"/>
      <c r="B14" s="32"/>
      <c r="C14" s="15" t="s">
        <v>203</v>
      </c>
      <c r="D14" s="16" t="s">
        <v>33</v>
      </c>
      <c r="E14" s="17"/>
      <c r="F14" s="30">
        <v>46094.0</v>
      </c>
      <c r="G14" s="19"/>
      <c r="H14" s="20">
        <v>450000.0</v>
      </c>
      <c r="I14" s="21" t="s">
        <v>27</v>
      </c>
      <c r="J14" s="21" t="s">
        <v>36</v>
      </c>
      <c r="K14" s="21" t="s">
        <v>38</v>
      </c>
      <c r="L14" s="21" t="s">
        <v>89</v>
      </c>
      <c r="M14" s="21" t="s">
        <v>60</v>
      </c>
      <c r="N14" s="25"/>
      <c r="O14" s="26"/>
      <c r="P14" s="26"/>
      <c r="Q14" s="1"/>
      <c r="R14" s="1"/>
    </row>
    <row r="15">
      <c r="A15" s="1"/>
      <c r="B15" s="32"/>
      <c r="C15" s="15"/>
      <c r="D15" s="16"/>
      <c r="E15" s="17"/>
      <c r="F15" s="32"/>
      <c r="G15" s="19"/>
      <c r="H15" s="33"/>
      <c r="I15" s="21"/>
      <c r="J15" s="21"/>
      <c r="K15" s="21"/>
      <c r="L15" s="28"/>
      <c r="M15" s="28"/>
      <c r="N15" s="25"/>
      <c r="O15" s="26"/>
      <c r="P15" s="26"/>
      <c r="Q15" s="1"/>
      <c r="R15" s="1"/>
    </row>
    <row r="16">
      <c r="A16" s="1"/>
      <c r="B16" s="32"/>
      <c r="C16" s="15"/>
      <c r="D16" s="16"/>
      <c r="E16" s="17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0</v>
      </c>
      <c r="H19" s="37">
        <f t="shared" si="1"/>
        <v>1950000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89</v>
      </c>
      <c r="P23" s="1"/>
      <c r="Q23" s="1"/>
      <c r="R23" s="1"/>
    </row>
    <row r="24">
      <c r="A24" s="1"/>
      <c r="B24" s="46">
        <v>2.0</v>
      </c>
      <c r="C24" s="47"/>
      <c r="D24" s="48"/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89</v>
      </c>
      <c r="P24" s="1"/>
      <c r="Q24" s="1"/>
      <c r="R24" s="1"/>
    </row>
    <row r="25">
      <c r="A25" s="1"/>
      <c r="B25" s="41">
        <v>3.0</v>
      </c>
      <c r="C25" s="42"/>
      <c r="D25" s="52"/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60</v>
      </c>
      <c r="P25" s="1"/>
      <c r="Q25" s="1"/>
      <c r="R25" s="1"/>
    </row>
    <row r="26">
      <c r="A26" s="1"/>
      <c r="B26" s="46">
        <v>4.0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60</v>
      </c>
      <c r="P26" s="1"/>
      <c r="Q26" s="1"/>
      <c r="R26" s="1"/>
    </row>
    <row r="27">
      <c r="A27" s="1"/>
      <c r="B27" s="41"/>
      <c r="C27" s="55"/>
      <c r="D27" s="43"/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DropDown="1" showErrorMessage="1" sqref="M4:M18 O25:O26">
      <formula1>"-,VERO,FADEL,HANIF,ADIF 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200</v>
      </c>
      <c r="D4" s="16" t="s">
        <v>34</v>
      </c>
      <c r="E4" s="17"/>
      <c r="F4" s="18">
        <v>46099.0</v>
      </c>
      <c r="G4" s="19"/>
      <c r="H4" s="20">
        <v>100000.0</v>
      </c>
      <c r="I4" s="21" t="s">
        <v>24</v>
      </c>
      <c r="J4" s="21"/>
      <c r="K4" s="21"/>
      <c r="L4" s="21" t="s">
        <v>26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204</v>
      </c>
      <c r="D5" s="16" t="s">
        <v>20</v>
      </c>
      <c r="E5" s="17"/>
      <c r="F5" s="18">
        <v>46097.0</v>
      </c>
      <c r="G5" s="19"/>
      <c r="H5" s="20">
        <v>100000.0</v>
      </c>
      <c r="I5" s="21" t="s">
        <v>24</v>
      </c>
      <c r="J5" s="21"/>
      <c r="K5" s="21"/>
      <c r="L5" s="21" t="s">
        <v>26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205</v>
      </c>
      <c r="D6" s="16" t="s">
        <v>40</v>
      </c>
      <c r="E6" s="17"/>
      <c r="F6" s="22">
        <v>46095.0</v>
      </c>
      <c r="G6" s="27"/>
      <c r="H6" s="20">
        <v>100000.0</v>
      </c>
      <c r="I6" s="21" t="s">
        <v>27</v>
      </c>
      <c r="J6" s="21" t="s">
        <v>36</v>
      </c>
      <c r="K6" s="21" t="s">
        <v>38</v>
      </c>
      <c r="L6" s="21" t="s">
        <v>26</v>
      </c>
      <c r="M6" s="21" t="s">
        <v>52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207</v>
      </c>
      <c r="D7" s="16" t="s">
        <v>33</v>
      </c>
      <c r="E7" s="17"/>
      <c r="F7" s="22">
        <v>46100.0</v>
      </c>
      <c r="G7" s="19"/>
      <c r="H7" s="20">
        <v>150000.0</v>
      </c>
      <c r="I7" s="21" t="s">
        <v>24</v>
      </c>
      <c r="J7" s="21"/>
      <c r="K7" s="21"/>
      <c r="L7" s="21" t="s">
        <v>26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209</v>
      </c>
      <c r="D8" s="16" t="s">
        <v>33</v>
      </c>
      <c r="E8" s="17"/>
      <c r="F8" s="22">
        <v>46098.0</v>
      </c>
      <c r="G8" s="19"/>
      <c r="H8" s="20">
        <v>120000.0</v>
      </c>
      <c r="I8" s="21" t="s">
        <v>24</v>
      </c>
      <c r="J8" s="21"/>
      <c r="K8" s="21"/>
      <c r="L8" s="21" t="s">
        <v>26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211</v>
      </c>
      <c r="D9" s="16" t="s">
        <v>43</v>
      </c>
      <c r="E9" s="17"/>
      <c r="F9" s="22">
        <v>46095.0</v>
      </c>
      <c r="G9" s="19"/>
      <c r="H9" s="20">
        <v>100000.0</v>
      </c>
      <c r="I9" s="21" t="s">
        <v>24</v>
      </c>
      <c r="J9" s="21"/>
      <c r="K9" s="21"/>
      <c r="L9" s="21" t="s">
        <v>26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212</v>
      </c>
      <c r="D10" s="16" t="s">
        <v>33</v>
      </c>
      <c r="E10" s="17"/>
      <c r="F10" s="22">
        <v>46095.0</v>
      </c>
      <c r="G10" s="19"/>
      <c r="H10" s="20">
        <v>250000.0</v>
      </c>
      <c r="I10" s="21" t="s">
        <v>27</v>
      </c>
      <c r="J10" s="21" t="s">
        <v>36</v>
      </c>
      <c r="K10" s="21" t="s">
        <v>38</v>
      </c>
      <c r="L10" s="21" t="s">
        <v>26</v>
      </c>
      <c r="M10" s="21" t="s">
        <v>52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214</v>
      </c>
      <c r="D11" s="16" t="s">
        <v>33</v>
      </c>
      <c r="E11" s="17"/>
      <c r="F11" s="22">
        <v>46100.0</v>
      </c>
      <c r="G11" s="19"/>
      <c r="H11" s="20">
        <v>100000.0</v>
      </c>
      <c r="I11" s="21" t="s">
        <v>24</v>
      </c>
      <c r="J11" s="21"/>
      <c r="K11" s="21"/>
      <c r="L11" s="21" t="s">
        <v>26</v>
      </c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64" t="s">
        <v>156</v>
      </c>
      <c r="D12" s="16" t="s">
        <v>33</v>
      </c>
      <c r="E12" s="17"/>
      <c r="F12" s="22">
        <v>46111.0</v>
      </c>
      <c r="G12" s="19"/>
      <c r="H12" s="20">
        <v>200000.0</v>
      </c>
      <c r="I12" s="21" t="s">
        <v>27</v>
      </c>
      <c r="J12" s="21"/>
      <c r="K12" s="21"/>
      <c r="L12" s="21" t="s">
        <v>26</v>
      </c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197</v>
      </c>
      <c r="D13" s="16" t="s">
        <v>34</v>
      </c>
      <c r="E13" s="17"/>
      <c r="F13" s="22">
        <v>46095.0</v>
      </c>
      <c r="G13" s="19"/>
      <c r="H13" s="20">
        <v>450000.0</v>
      </c>
      <c r="I13" s="21" t="s">
        <v>27</v>
      </c>
      <c r="J13" s="21" t="s">
        <v>36</v>
      </c>
      <c r="K13" s="21" t="s">
        <v>36</v>
      </c>
      <c r="L13" s="21" t="s">
        <v>26</v>
      </c>
      <c r="M13" s="21" t="s">
        <v>52</v>
      </c>
      <c r="N13" s="25"/>
      <c r="O13" s="26"/>
      <c r="P13" s="26"/>
      <c r="Q13" s="1"/>
      <c r="R13" s="1"/>
    </row>
    <row r="14">
      <c r="A14" s="1"/>
      <c r="B14" s="14">
        <v>11.0</v>
      </c>
      <c r="C14" s="15" t="s">
        <v>203</v>
      </c>
      <c r="D14" s="16" t="s">
        <v>119</v>
      </c>
      <c r="E14" s="17"/>
      <c r="F14" s="22">
        <v>46094.0</v>
      </c>
      <c r="G14" s="19"/>
      <c r="H14" s="20">
        <v>10000.0</v>
      </c>
      <c r="I14" s="21" t="s">
        <v>27</v>
      </c>
      <c r="J14" s="21"/>
      <c r="K14" s="21"/>
      <c r="L14" s="21" t="s">
        <v>26</v>
      </c>
      <c r="M14" s="28"/>
      <c r="N14" s="25"/>
      <c r="O14" s="26"/>
      <c r="P14" s="26"/>
      <c r="Q14" s="1"/>
      <c r="R14" s="1"/>
    </row>
    <row r="15">
      <c r="A15" s="1"/>
      <c r="B15" s="14">
        <v>12.0</v>
      </c>
      <c r="C15" s="15" t="s">
        <v>208</v>
      </c>
      <c r="D15" s="16" t="s">
        <v>20</v>
      </c>
      <c r="E15" s="17"/>
      <c r="F15" s="22">
        <v>46096.0</v>
      </c>
      <c r="G15" s="19"/>
      <c r="H15" s="20">
        <v>275000.0</v>
      </c>
      <c r="I15" s="21" t="s">
        <v>27</v>
      </c>
      <c r="J15" s="21"/>
      <c r="K15" s="21"/>
      <c r="L15" s="21" t="s">
        <v>26</v>
      </c>
      <c r="M15" s="28"/>
      <c r="N15" s="25"/>
      <c r="O15" s="26"/>
      <c r="P15" s="26"/>
      <c r="Q15" s="1"/>
      <c r="R15" s="1"/>
    </row>
    <row r="16">
      <c r="A16" s="1"/>
      <c r="B16" s="14">
        <v>13.0</v>
      </c>
      <c r="C16" s="15" t="s">
        <v>221</v>
      </c>
      <c r="D16" s="16" t="s">
        <v>33</v>
      </c>
      <c r="E16" s="17"/>
      <c r="F16" s="22">
        <v>46095.0</v>
      </c>
      <c r="G16" s="19"/>
      <c r="H16" s="20">
        <v>650000.0</v>
      </c>
      <c r="I16" s="21" t="s">
        <v>27</v>
      </c>
      <c r="J16" s="21" t="s">
        <v>36</v>
      </c>
      <c r="K16" s="21" t="s">
        <v>38</v>
      </c>
      <c r="L16" s="21" t="s">
        <v>26</v>
      </c>
      <c r="M16" s="21" t="s">
        <v>39</v>
      </c>
      <c r="N16" s="25"/>
      <c r="O16" s="26"/>
      <c r="P16" s="26"/>
      <c r="Q16" s="1"/>
      <c r="R16" s="1"/>
    </row>
    <row r="17">
      <c r="A17" s="1"/>
      <c r="B17" s="14">
        <v>14.0</v>
      </c>
      <c r="C17" s="15" t="s">
        <v>222</v>
      </c>
      <c r="D17" s="16" t="s">
        <v>33</v>
      </c>
      <c r="E17" s="17"/>
      <c r="F17" s="22">
        <v>46095.0</v>
      </c>
      <c r="G17" s="19">
        <v>250000.0</v>
      </c>
      <c r="H17" s="33"/>
      <c r="I17" s="21" t="s">
        <v>27</v>
      </c>
      <c r="J17" s="21" t="s">
        <v>36</v>
      </c>
      <c r="K17" s="21" t="s">
        <v>36</v>
      </c>
      <c r="L17" s="21" t="s">
        <v>26</v>
      </c>
      <c r="M17" s="21" t="s">
        <v>39</v>
      </c>
      <c r="N17" s="25"/>
      <c r="O17" s="26"/>
      <c r="P17" s="26"/>
      <c r="Q17" s="1"/>
      <c r="R17" s="1"/>
    </row>
    <row r="18">
      <c r="A18" s="1"/>
      <c r="B18" s="14">
        <v>15.0</v>
      </c>
      <c r="C18" s="15" t="s">
        <v>224</v>
      </c>
      <c r="D18" s="16" t="s">
        <v>20</v>
      </c>
      <c r="E18" s="17"/>
      <c r="F18" s="22">
        <v>46095.0</v>
      </c>
      <c r="G18" s="19"/>
      <c r="H18" s="20">
        <v>75000.0</v>
      </c>
      <c r="I18" s="21" t="s">
        <v>27</v>
      </c>
      <c r="J18" s="21" t="s">
        <v>36</v>
      </c>
      <c r="K18" s="21" t="s">
        <v>38</v>
      </c>
      <c r="L18" s="21" t="s">
        <v>26</v>
      </c>
      <c r="M18" s="21" t="s">
        <v>39</v>
      </c>
      <c r="N18" s="25"/>
      <c r="O18" s="26"/>
      <c r="P18" s="26"/>
      <c r="Q18" s="1"/>
      <c r="R18" s="1"/>
    </row>
    <row r="19">
      <c r="A19" s="1"/>
      <c r="B19" s="14">
        <v>16.0</v>
      </c>
      <c r="C19" s="15" t="s">
        <v>211</v>
      </c>
      <c r="D19" s="16" t="s">
        <v>43</v>
      </c>
      <c r="E19" s="17"/>
      <c r="F19" s="22">
        <v>46095.0</v>
      </c>
      <c r="G19" s="19"/>
      <c r="H19" s="20">
        <v>100000.0</v>
      </c>
      <c r="I19" s="21" t="s">
        <v>27</v>
      </c>
      <c r="J19" s="21" t="s">
        <v>36</v>
      </c>
      <c r="K19" s="21" t="s">
        <v>36</v>
      </c>
      <c r="L19" s="21" t="s">
        <v>26</v>
      </c>
      <c r="M19" s="21" t="s">
        <v>39</v>
      </c>
      <c r="N19" s="25"/>
      <c r="O19" s="26"/>
      <c r="P19" s="26"/>
      <c r="Q19" s="1"/>
      <c r="R19" s="1"/>
    </row>
    <row r="20">
      <c r="A20" s="1"/>
      <c r="B20" s="14">
        <v>17.0</v>
      </c>
      <c r="C20" s="15" t="s">
        <v>88</v>
      </c>
      <c r="D20" s="16" t="s">
        <v>33</v>
      </c>
      <c r="E20" s="17"/>
      <c r="F20" s="22">
        <v>46100.0</v>
      </c>
      <c r="G20" s="19"/>
      <c r="H20" s="20">
        <v>100000.0</v>
      </c>
      <c r="I20" s="21" t="s">
        <v>24</v>
      </c>
      <c r="J20" s="21"/>
      <c r="K20" s="21"/>
      <c r="L20" s="21" t="s">
        <v>26</v>
      </c>
      <c r="M20" s="28"/>
      <c r="N20" s="25"/>
      <c r="O20" s="26"/>
      <c r="P20" s="26"/>
      <c r="Q20" s="1"/>
      <c r="R20" s="1"/>
    </row>
    <row r="21">
      <c r="A21" s="1"/>
      <c r="B21" s="14">
        <v>18.0</v>
      </c>
      <c r="C21" s="15" t="s">
        <v>225</v>
      </c>
      <c r="D21" s="16" t="s">
        <v>40</v>
      </c>
      <c r="E21" s="17"/>
      <c r="F21" s="22">
        <v>46095.0</v>
      </c>
      <c r="G21" s="19">
        <v>150000.0</v>
      </c>
      <c r="H21" s="33"/>
      <c r="I21" s="21" t="s">
        <v>27</v>
      </c>
      <c r="J21" s="21" t="s">
        <v>36</v>
      </c>
      <c r="K21" s="21" t="s">
        <v>36</v>
      </c>
      <c r="L21" s="21" t="s">
        <v>26</v>
      </c>
      <c r="M21" s="21" t="s">
        <v>39</v>
      </c>
      <c r="N21" s="25"/>
      <c r="O21" s="26"/>
      <c r="P21" s="26"/>
      <c r="Q21" s="1"/>
      <c r="R21" s="1"/>
    </row>
    <row r="22">
      <c r="A22" s="1"/>
      <c r="B22" s="69">
        <v>19.0</v>
      </c>
      <c r="C22" s="70" t="s">
        <v>64</v>
      </c>
      <c r="D22" s="71" t="s">
        <v>20</v>
      </c>
      <c r="E22" s="72"/>
      <c r="F22" s="73">
        <v>46095.0</v>
      </c>
      <c r="G22" s="74"/>
      <c r="H22" s="75">
        <v>600000.0</v>
      </c>
      <c r="I22" s="76" t="s">
        <v>27</v>
      </c>
      <c r="J22" s="76" t="s">
        <v>36</v>
      </c>
      <c r="K22" s="76" t="s">
        <v>38</v>
      </c>
      <c r="L22" s="76" t="s">
        <v>26</v>
      </c>
      <c r="M22" s="76" t="s">
        <v>39</v>
      </c>
      <c r="N22" s="26"/>
      <c r="O22" s="26"/>
      <c r="P22" s="26"/>
      <c r="Q22" s="1"/>
      <c r="R22" s="1"/>
    </row>
    <row r="23">
      <c r="A23" s="1"/>
      <c r="B23" s="14"/>
      <c r="C23" s="77" t="s">
        <v>227</v>
      </c>
      <c r="D23" s="71" t="s">
        <v>119</v>
      </c>
      <c r="E23" s="72"/>
      <c r="F23" s="73">
        <v>46094.0</v>
      </c>
      <c r="G23" s="74"/>
      <c r="H23" s="75">
        <v>10000.0</v>
      </c>
      <c r="I23" s="76" t="s">
        <v>27</v>
      </c>
      <c r="J23" s="78"/>
      <c r="K23" s="78"/>
      <c r="L23" s="76" t="s">
        <v>26</v>
      </c>
      <c r="M23" s="21"/>
      <c r="N23" s="26"/>
      <c r="O23" s="26"/>
      <c r="P23" s="26"/>
      <c r="Q23" s="1"/>
      <c r="R23" s="1"/>
    </row>
    <row r="24">
      <c r="A24" s="1"/>
      <c r="B24" s="79"/>
      <c r="C24" s="68" t="s">
        <v>217</v>
      </c>
      <c r="D24" s="80" t="s">
        <v>34</v>
      </c>
      <c r="E24" s="17"/>
      <c r="F24" s="22">
        <v>46096.0</v>
      </c>
      <c r="G24" s="27"/>
      <c r="H24" s="20">
        <v>100000.0</v>
      </c>
      <c r="I24" s="21" t="s">
        <v>24</v>
      </c>
      <c r="J24" s="21"/>
      <c r="K24" s="21"/>
      <c r="L24" s="21" t="s">
        <v>26</v>
      </c>
      <c r="M24" s="21"/>
      <c r="N24" s="26"/>
      <c r="O24" s="26"/>
      <c r="P24" s="26"/>
      <c r="Q24" s="1"/>
      <c r="R24" s="1"/>
    </row>
    <row r="25">
      <c r="A25" s="1"/>
      <c r="B25" s="79"/>
      <c r="C25" s="68" t="s">
        <v>218</v>
      </c>
      <c r="D25" s="80" t="s">
        <v>34</v>
      </c>
      <c r="E25" s="17"/>
      <c r="F25" s="22">
        <v>46096.0</v>
      </c>
      <c r="G25" s="27"/>
      <c r="H25" s="20">
        <v>100000.0</v>
      </c>
      <c r="I25" s="21" t="s">
        <v>24</v>
      </c>
      <c r="J25" s="21"/>
      <c r="K25" s="21"/>
      <c r="L25" s="21" t="s">
        <v>26</v>
      </c>
      <c r="M25" s="21"/>
      <c r="N25" s="35"/>
      <c r="O25" s="35"/>
      <c r="P25" s="35"/>
      <c r="Q25" s="1"/>
      <c r="R25" s="1"/>
    </row>
    <row r="26" ht="18.75" customHeight="1">
      <c r="A26" s="1"/>
      <c r="B26" s="1"/>
      <c r="D26" s="2"/>
      <c r="E26" s="1"/>
      <c r="F26" s="1"/>
      <c r="G26" s="36">
        <f t="shared" ref="G26:H26" si="1">SUM(G4:G25)</f>
        <v>400000</v>
      </c>
      <c r="H26" s="37">
        <f t="shared" si="1"/>
        <v>3690000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3.25" customHeight="1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2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 t="s">
        <v>0</v>
      </c>
      <c r="C29" s="39" t="s">
        <v>6</v>
      </c>
      <c r="D29" s="39" t="s">
        <v>72</v>
      </c>
      <c r="E29" s="40"/>
      <c r="F29" s="1"/>
      <c r="G29" s="1"/>
      <c r="H29" s="1"/>
      <c r="I29" s="1"/>
      <c r="J29" s="1"/>
      <c r="K29" s="1"/>
      <c r="L29" s="1"/>
      <c r="M29" s="1"/>
      <c r="N29" s="39" t="s">
        <v>73</v>
      </c>
      <c r="O29" s="39" t="s">
        <v>1</v>
      </c>
      <c r="P29" s="1"/>
      <c r="Q29" s="1"/>
      <c r="R29" s="1"/>
    </row>
    <row r="30">
      <c r="A30" s="1"/>
      <c r="B30" s="41">
        <v>1.0</v>
      </c>
      <c r="C30" s="42" t="s">
        <v>74</v>
      </c>
      <c r="D30" s="43">
        <f>SUM(G26)</f>
        <v>400000</v>
      </c>
      <c r="E30" s="44"/>
      <c r="F30" s="1"/>
      <c r="G30" s="1"/>
      <c r="H30" s="1"/>
      <c r="I30" s="1"/>
      <c r="J30" s="1"/>
      <c r="K30" s="1"/>
      <c r="L30" s="1"/>
      <c r="M30" s="1"/>
      <c r="N30" s="45" t="s">
        <v>75</v>
      </c>
      <c r="O30" s="23" t="s">
        <v>26</v>
      </c>
      <c r="P30" s="1"/>
      <c r="Q30" s="1"/>
      <c r="R30" s="1"/>
    </row>
    <row r="31">
      <c r="A31" s="1"/>
      <c r="B31" s="46">
        <v>2.0</v>
      </c>
      <c r="C31" s="47" t="s">
        <v>76</v>
      </c>
      <c r="D31" s="48">
        <v>-100000.0</v>
      </c>
      <c r="E31" s="49"/>
      <c r="F31" s="1"/>
      <c r="G31" s="1"/>
      <c r="H31" s="1"/>
      <c r="I31" s="1"/>
      <c r="J31" s="1"/>
      <c r="K31" s="1"/>
      <c r="L31" s="1"/>
      <c r="M31" s="1"/>
      <c r="N31" s="50" t="s">
        <v>77</v>
      </c>
      <c r="O31" s="51" t="s">
        <v>26</v>
      </c>
      <c r="P31" s="1"/>
      <c r="Q31" s="1"/>
      <c r="R31" s="1"/>
    </row>
    <row r="32">
      <c r="A32" s="1"/>
      <c r="B32" s="41">
        <v>3.0</v>
      </c>
      <c r="C32" s="42" t="s">
        <v>78</v>
      </c>
      <c r="D32" s="52">
        <v>-100000.0</v>
      </c>
      <c r="E32" s="49"/>
      <c r="F32" s="1"/>
      <c r="G32" s="1"/>
      <c r="H32" s="1"/>
      <c r="I32" s="1"/>
      <c r="J32" s="1"/>
      <c r="K32" s="1"/>
      <c r="L32" s="1"/>
      <c r="M32" s="1"/>
      <c r="N32" s="53" t="s">
        <v>79</v>
      </c>
      <c r="O32" s="25" t="s">
        <v>52</v>
      </c>
      <c r="P32" s="1"/>
      <c r="Q32" s="1"/>
      <c r="R32" s="1"/>
    </row>
    <row r="33">
      <c r="A33" s="1"/>
      <c r="B33" s="46">
        <v>4.0</v>
      </c>
      <c r="C33" s="47" t="s">
        <v>81</v>
      </c>
      <c r="D33" s="48">
        <v>-100000.0</v>
      </c>
      <c r="E33" s="49"/>
      <c r="F33" s="1"/>
      <c r="G33" s="1"/>
      <c r="H33" s="1"/>
      <c r="I33" s="1"/>
      <c r="J33" s="1"/>
      <c r="K33" s="1"/>
      <c r="L33" s="1"/>
      <c r="M33" s="1"/>
      <c r="N33" s="54" t="s">
        <v>80</v>
      </c>
      <c r="O33" s="51" t="s">
        <v>39</v>
      </c>
      <c r="P33" s="1"/>
      <c r="Q33" s="1"/>
      <c r="R33" s="1"/>
    </row>
    <row r="34">
      <c r="A34" s="1"/>
      <c r="B34" s="41"/>
      <c r="C34" s="55"/>
      <c r="D34" s="43"/>
      <c r="E34" s="44"/>
      <c r="F34" s="1"/>
      <c r="G34" s="1"/>
      <c r="H34" s="1"/>
      <c r="I34" s="1"/>
      <c r="J34" s="1"/>
      <c r="K34" s="1"/>
      <c r="L34" s="1"/>
      <c r="M34" s="1"/>
      <c r="N34" s="56"/>
      <c r="O34" s="1"/>
      <c r="P34" s="1"/>
      <c r="Q34" s="1"/>
      <c r="R34" s="1"/>
    </row>
    <row r="35">
      <c r="A35" s="1"/>
      <c r="B35" s="46"/>
      <c r="C35" s="57"/>
      <c r="D35" s="58"/>
      <c r="E35" s="4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41"/>
      <c r="C36" s="55"/>
      <c r="D36" s="43"/>
      <c r="E36" s="4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46"/>
      <c r="C37" s="57"/>
      <c r="D37" s="58"/>
      <c r="E37" s="4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41"/>
      <c r="C38" s="55"/>
      <c r="D38" s="43"/>
      <c r="E38" s="4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46"/>
      <c r="C39" s="57"/>
      <c r="D39" s="58"/>
      <c r="E39" s="4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59"/>
      <c r="C40" s="60"/>
      <c r="D40" s="61"/>
      <c r="E40" s="4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62">
        <f>SUM(D30:D40)</f>
        <v>100000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5 O30:O31">
      <formula1>"-,JIJANG,AXEL,PENTIL,FAHME,INDAH"</formula1>
    </dataValidation>
    <dataValidation type="list" allowBlank="1" showErrorMessage="1" sqref="N4:N25">
      <formula1>"-,Pending,Progress,Uploaded"</formula1>
    </dataValidation>
    <dataValidation type="list" allowBlank="1" showErrorMessage="1" sqref="O4:O25">
      <formula1>"-,In Pikako,In Foxe"</formula1>
    </dataValidation>
    <dataValidation type="list" allowBlank="1" showDropDown="1" showErrorMessage="1" sqref="D4:D25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5">
      <formula1>"-,DP,Lunas"</formula1>
    </dataValidation>
    <dataValidation type="list" allowBlank="1" showDropDown="1" showErrorMessage="1" sqref="J4:K25">
      <formula1>"-,Pending,Uploaded"</formula1>
    </dataValidation>
    <dataValidation type="list" allowBlank="1" showDropDown="1" showErrorMessage="1" sqref="M4:M25 O32:O33">
      <formula1>"-,VERO,FADEL,PENTIL,FAHME,ADIF,HANIF"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1.5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202</v>
      </c>
      <c r="D4" s="16" t="s">
        <v>51</v>
      </c>
      <c r="E4" s="17"/>
      <c r="F4" s="18">
        <v>46097.0</v>
      </c>
      <c r="G4" s="19"/>
      <c r="H4" s="20">
        <v>150000.0</v>
      </c>
      <c r="I4" s="21" t="s">
        <v>27</v>
      </c>
      <c r="J4" s="21"/>
      <c r="K4" s="21"/>
      <c r="L4" s="21" t="s">
        <v>26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206</v>
      </c>
      <c r="D5" s="16" t="s">
        <v>34</v>
      </c>
      <c r="E5" s="17"/>
      <c r="F5" s="18">
        <v>46096.0</v>
      </c>
      <c r="G5" s="19"/>
      <c r="H5" s="20">
        <v>100000.0</v>
      </c>
      <c r="I5" s="21" t="s">
        <v>24</v>
      </c>
      <c r="J5" s="21"/>
      <c r="K5" s="21"/>
      <c r="L5" s="21" t="s">
        <v>26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64" t="s">
        <v>208</v>
      </c>
      <c r="D6" s="16" t="s">
        <v>20</v>
      </c>
      <c r="E6" s="17"/>
      <c r="F6" s="22">
        <v>46096.0</v>
      </c>
      <c r="G6" s="19">
        <v>0.0</v>
      </c>
      <c r="H6" s="20">
        <v>0.0</v>
      </c>
      <c r="I6" s="21" t="s">
        <v>27</v>
      </c>
      <c r="J6" s="21" t="s">
        <v>36</v>
      </c>
      <c r="K6" s="21" t="s">
        <v>38</v>
      </c>
      <c r="L6" s="21" t="s">
        <v>26</v>
      </c>
      <c r="M6" s="21" t="s">
        <v>52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210</v>
      </c>
      <c r="D7" s="16" t="s">
        <v>33</v>
      </c>
      <c r="E7" s="17"/>
      <c r="F7" s="22">
        <v>46098.0</v>
      </c>
      <c r="G7" s="19"/>
      <c r="H7" s="20">
        <v>100000.0</v>
      </c>
      <c r="I7" s="21" t="s">
        <v>24</v>
      </c>
      <c r="J7" s="21"/>
      <c r="K7" s="21"/>
      <c r="L7" s="21" t="s">
        <v>26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22</v>
      </c>
      <c r="D8" s="16" t="s">
        <v>33</v>
      </c>
      <c r="E8" s="17"/>
      <c r="F8" s="22">
        <v>46096.0</v>
      </c>
      <c r="G8" s="19"/>
      <c r="H8" s="20">
        <v>100000.0</v>
      </c>
      <c r="I8" s="21" t="s">
        <v>24</v>
      </c>
      <c r="J8" s="21"/>
      <c r="K8" s="21"/>
      <c r="L8" s="21" t="s">
        <v>26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213</v>
      </c>
      <c r="D9" s="16" t="s">
        <v>20</v>
      </c>
      <c r="E9" s="17"/>
      <c r="F9" s="22">
        <v>46098.0</v>
      </c>
      <c r="G9" s="19"/>
      <c r="H9" s="20">
        <v>100000.0</v>
      </c>
      <c r="I9" s="21" t="s">
        <v>24</v>
      </c>
      <c r="J9" s="21"/>
      <c r="K9" s="21"/>
      <c r="L9" s="21" t="s">
        <v>26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166</v>
      </c>
      <c r="D10" s="16" t="s">
        <v>51</v>
      </c>
      <c r="E10" s="17" t="s">
        <v>215</v>
      </c>
      <c r="F10" s="22">
        <v>46096.0</v>
      </c>
      <c r="G10" s="19">
        <v>150000.0</v>
      </c>
      <c r="H10" s="33"/>
      <c r="I10" s="21" t="s">
        <v>27</v>
      </c>
      <c r="J10" s="21" t="s">
        <v>36</v>
      </c>
      <c r="K10" s="21" t="s">
        <v>36</v>
      </c>
      <c r="L10" s="21" t="s">
        <v>26</v>
      </c>
      <c r="M10" s="21" t="s">
        <v>52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216</v>
      </c>
      <c r="D11" s="16" t="s">
        <v>33</v>
      </c>
      <c r="E11" s="17" t="s">
        <v>68</v>
      </c>
      <c r="F11" s="22">
        <v>46096.0</v>
      </c>
      <c r="G11" s="19"/>
      <c r="H11" s="20">
        <v>350000.0</v>
      </c>
      <c r="I11" s="21" t="s">
        <v>27</v>
      </c>
      <c r="J11" s="21" t="s">
        <v>36</v>
      </c>
      <c r="K11" s="21" t="s">
        <v>38</v>
      </c>
      <c r="L11" s="21" t="s">
        <v>26</v>
      </c>
      <c r="M11" s="21" t="s">
        <v>52</v>
      </c>
      <c r="N11" s="25"/>
      <c r="O11" s="26"/>
      <c r="P11" s="26"/>
      <c r="Q11" s="1"/>
      <c r="R11" s="1"/>
    </row>
    <row r="12">
      <c r="A12" s="1"/>
      <c r="B12" s="14">
        <v>9.0</v>
      </c>
      <c r="C12" s="68" t="s">
        <v>217</v>
      </c>
      <c r="D12" s="16" t="s">
        <v>34</v>
      </c>
      <c r="E12" s="17"/>
      <c r="F12" s="22">
        <v>46096.0</v>
      </c>
      <c r="G12" s="19"/>
      <c r="H12" s="20">
        <v>350000.0</v>
      </c>
      <c r="I12" s="21" t="s">
        <v>27</v>
      </c>
      <c r="J12" s="21" t="s">
        <v>36</v>
      </c>
      <c r="K12" s="21" t="s">
        <v>38</v>
      </c>
      <c r="L12" s="21" t="s">
        <v>26</v>
      </c>
      <c r="M12" s="21" t="s">
        <v>52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218</v>
      </c>
      <c r="D13" s="16" t="s">
        <v>34</v>
      </c>
      <c r="E13" s="17"/>
      <c r="F13" s="14" t="s">
        <v>220</v>
      </c>
      <c r="G13" s="19">
        <v>350000.0</v>
      </c>
      <c r="H13" s="33"/>
      <c r="I13" s="21" t="s">
        <v>27</v>
      </c>
      <c r="J13" s="21" t="s">
        <v>36</v>
      </c>
      <c r="K13" s="21" t="s">
        <v>36</v>
      </c>
      <c r="L13" s="21" t="s">
        <v>26</v>
      </c>
      <c r="M13" s="21" t="s">
        <v>52</v>
      </c>
      <c r="N13" s="25"/>
      <c r="O13" s="26"/>
      <c r="P13" s="26"/>
      <c r="Q13" s="1"/>
      <c r="R13" s="1"/>
    </row>
    <row r="14">
      <c r="A14" s="1"/>
      <c r="B14" s="32"/>
      <c r="C14" s="15" t="s">
        <v>223</v>
      </c>
      <c r="D14" s="16" t="s">
        <v>23</v>
      </c>
      <c r="E14" s="17"/>
      <c r="F14" s="30">
        <v>46117.0</v>
      </c>
      <c r="G14" s="19"/>
      <c r="H14" s="20">
        <v>100000.0</v>
      </c>
      <c r="I14" s="21" t="s">
        <v>24</v>
      </c>
      <c r="J14" s="21"/>
      <c r="K14" s="21"/>
      <c r="L14" s="21" t="s">
        <v>29</v>
      </c>
      <c r="M14" s="28"/>
      <c r="N14" s="25"/>
      <c r="O14" s="26"/>
      <c r="P14" s="26"/>
      <c r="Q14" s="1"/>
      <c r="R14" s="1"/>
    </row>
    <row r="15">
      <c r="A15" s="1"/>
      <c r="B15" s="32"/>
      <c r="C15" s="15" t="s">
        <v>178</v>
      </c>
      <c r="D15" s="16" t="s">
        <v>34</v>
      </c>
      <c r="E15" s="17"/>
      <c r="F15" s="30">
        <v>46096.0</v>
      </c>
      <c r="G15" s="19">
        <v>350000.0</v>
      </c>
      <c r="H15" s="33"/>
      <c r="I15" s="21" t="s">
        <v>27</v>
      </c>
      <c r="J15" s="21" t="s">
        <v>36</v>
      </c>
      <c r="K15" s="21" t="s">
        <v>38</v>
      </c>
      <c r="L15" s="21" t="s">
        <v>29</v>
      </c>
      <c r="M15" s="21" t="s">
        <v>52</v>
      </c>
      <c r="N15" s="25"/>
      <c r="O15" s="26"/>
      <c r="P15" s="26"/>
      <c r="Q15" s="1"/>
      <c r="R15" s="1"/>
    </row>
    <row r="16">
      <c r="A16" s="1"/>
      <c r="B16" s="32"/>
      <c r="C16" s="15" t="s">
        <v>22</v>
      </c>
      <c r="D16" s="16" t="s">
        <v>33</v>
      </c>
      <c r="E16" s="17"/>
      <c r="F16" s="30">
        <v>46096.0</v>
      </c>
      <c r="G16" s="19"/>
      <c r="H16" s="20">
        <v>425000.0</v>
      </c>
      <c r="I16" s="21" t="s">
        <v>27</v>
      </c>
      <c r="J16" s="21" t="s">
        <v>36</v>
      </c>
      <c r="K16" s="21" t="s">
        <v>38</v>
      </c>
      <c r="L16" s="21" t="s">
        <v>29</v>
      </c>
      <c r="M16" s="21" t="s">
        <v>39</v>
      </c>
      <c r="N16" s="25"/>
      <c r="O16" s="26"/>
      <c r="P16" s="26"/>
      <c r="Q16" s="1"/>
      <c r="R16" s="1"/>
    </row>
    <row r="17">
      <c r="A17" s="1"/>
      <c r="B17" s="32"/>
      <c r="C17" s="15" t="s">
        <v>32</v>
      </c>
      <c r="D17" s="16" t="s">
        <v>34</v>
      </c>
      <c r="E17" s="17"/>
      <c r="F17" s="30">
        <v>46096.0</v>
      </c>
      <c r="G17" s="19">
        <v>575000.0</v>
      </c>
      <c r="H17" s="33"/>
      <c r="I17" s="21" t="s">
        <v>27</v>
      </c>
      <c r="J17" s="21" t="s">
        <v>36</v>
      </c>
      <c r="K17" s="21" t="s">
        <v>38</v>
      </c>
      <c r="L17" s="21" t="s">
        <v>29</v>
      </c>
      <c r="M17" s="21" t="s">
        <v>39</v>
      </c>
      <c r="N17" s="25"/>
      <c r="O17" s="26"/>
      <c r="P17" s="26"/>
      <c r="Q17" s="1"/>
      <c r="R17" s="1"/>
    </row>
    <row r="18">
      <c r="A18" s="1"/>
      <c r="B18" s="32"/>
      <c r="C18" s="15" t="s">
        <v>226</v>
      </c>
      <c r="D18" s="16" t="s">
        <v>34</v>
      </c>
      <c r="E18" s="17"/>
      <c r="F18" s="30">
        <v>46097.0</v>
      </c>
      <c r="G18" s="19"/>
      <c r="H18" s="20">
        <v>100000.0</v>
      </c>
      <c r="I18" s="21" t="s">
        <v>24</v>
      </c>
      <c r="J18" s="21"/>
      <c r="K18" s="21"/>
      <c r="L18" s="21" t="s">
        <v>29</v>
      </c>
      <c r="M18" s="28"/>
      <c r="N18" s="25"/>
      <c r="O18" s="26"/>
      <c r="P18" s="26"/>
      <c r="Q18" s="1"/>
      <c r="R18" s="1"/>
    </row>
    <row r="19">
      <c r="A19" s="1"/>
      <c r="B19" s="32"/>
      <c r="C19" s="15" t="s">
        <v>206</v>
      </c>
      <c r="D19" s="16" t="s">
        <v>34</v>
      </c>
      <c r="E19" s="17"/>
      <c r="F19" s="30">
        <v>46096.0</v>
      </c>
      <c r="G19" s="19"/>
      <c r="H19" s="20">
        <v>350000.0</v>
      </c>
      <c r="I19" s="21" t="s">
        <v>27</v>
      </c>
      <c r="J19" s="21" t="s">
        <v>36</v>
      </c>
      <c r="K19" s="21" t="s">
        <v>38</v>
      </c>
      <c r="L19" s="21" t="s">
        <v>29</v>
      </c>
      <c r="M19" s="21" t="s">
        <v>39</v>
      </c>
      <c r="N19" s="25"/>
      <c r="O19" s="26"/>
      <c r="P19" s="26"/>
      <c r="Q19" s="1"/>
      <c r="R19" s="1"/>
    </row>
    <row r="20">
      <c r="A20" s="1"/>
      <c r="B20" s="32"/>
      <c r="C20" s="15" t="s">
        <v>192</v>
      </c>
      <c r="D20" s="16" t="s">
        <v>51</v>
      </c>
      <c r="E20" s="17"/>
      <c r="F20" s="30">
        <v>46096.0</v>
      </c>
      <c r="G20" s="19"/>
      <c r="H20" s="20">
        <v>50000.0</v>
      </c>
      <c r="I20" s="21" t="s">
        <v>27</v>
      </c>
      <c r="J20" s="21" t="s">
        <v>36</v>
      </c>
      <c r="K20" s="21" t="s">
        <v>38</v>
      </c>
      <c r="L20" s="21" t="s">
        <v>29</v>
      </c>
      <c r="M20" s="21" t="s">
        <v>39</v>
      </c>
      <c r="N20" s="25"/>
      <c r="O20" s="26"/>
      <c r="P20" s="26"/>
      <c r="Q20" s="1"/>
      <c r="R20" s="1"/>
    </row>
    <row r="21">
      <c r="A21" s="1"/>
      <c r="B21" s="32"/>
      <c r="C21" s="15" t="s">
        <v>228</v>
      </c>
      <c r="D21" s="16" t="s">
        <v>20</v>
      </c>
      <c r="E21" s="17"/>
      <c r="F21" s="30">
        <v>46096.0</v>
      </c>
      <c r="G21" s="19">
        <v>200000.0</v>
      </c>
      <c r="H21" s="33"/>
      <c r="I21" s="21" t="s">
        <v>27</v>
      </c>
      <c r="J21" s="21" t="s">
        <v>36</v>
      </c>
      <c r="K21" s="21" t="s">
        <v>38</v>
      </c>
      <c r="L21" s="21" t="s">
        <v>29</v>
      </c>
      <c r="M21" s="21" t="s">
        <v>39</v>
      </c>
      <c r="N21" s="25"/>
      <c r="O21" s="26"/>
      <c r="P21" s="26"/>
      <c r="Q21" s="1"/>
      <c r="R21" s="1"/>
    </row>
    <row r="22">
      <c r="A22" s="1"/>
      <c r="B22" s="32"/>
      <c r="C22" s="15" t="s">
        <v>229</v>
      </c>
      <c r="D22" s="16" t="s">
        <v>20</v>
      </c>
      <c r="E22" s="17"/>
      <c r="F22" s="30">
        <v>46096.0</v>
      </c>
      <c r="G22" s="19">
        <v>225000.0</v>
      </c>
      <c r="H22" s="33"/>
      <c r="I22" s="21" t="s">
        <v>27</v>
      </c>
      <c r="J22" s="21" t="s">
        <v>36</v>
      </c>
      <c r="K22" s="21" t="s">
        <v>38</v>
      </c>
      <c r="L22" s="21" t="s">
        <v>29</v>
      </c>
      <c r="M22" s="21" t="s">
        <v>39</v>
      </c>
      <c r="N22" s="25"/>
      <c r="O22" s="26"/>
      <c r="P22" s="26"/>
      <c r="Q22" s="1"/>
      <c r="R22" s="1"/>
    </row>
    <row r="23">
      <c r="A23" s="1"/>
      <c r="B23" s="32"/>
      <c r="C23" s="15"/>
      <c r="D23" s="16"/>
      <c r="E23" s="17"/>
      <c r="F23" s="32"/>
      <c r="G23" s="19"/>
      <c r="H23" s="33"/>
      <c r="I23" s="21"/>
      <c r="J23" s="21"/>
      <c r="K23" s="21"/>
      <c r="L23" s="28"/>
      <c r="M23" s="28"/>
      <c r="N23" s="25"/>
      <c r="O23" s="26"/>
      <c r="P23" s="26"/>
      <c r="Q23" s="1"/>
      <c r="R23" s="1"/>
    </row>
    <row r="24">
      <c r="A24" s="1"/>
      <c r="B24" s="32"/>
      <c r="C24" s="34"/>
      <c r="D24" s="16"/>
      <c r="E24" s="17"/>
      <c r="F24" s="32"/>
      <c r="G24" s="27"/>
      <c r="H24" s="33"/>
      <c r="I24" s="28"/>
      <c r="J24" s="28"/>
      <c r="K24" s="28"/>
      <c r="L24" s="28"/>
      <c r="M24" s="28"/>
      <c r="N24" s="35"/>
      <c r="O24" s="35"/>
      <c r="P24" s="35"/>
      <c r="Q24" s="1"/>
      <c r="R24" s="1"/>
    </row>
    <row r="25" ht="18.75" customHeight="1">
      <c r="A25" s="1"/>
      <c r="B25" s="1"/>
      <c r="C25" s="2"/>
      <c r="D25" s="2"/>
      <c r="E25" s="1"/>
      <c r="F25" s="1"/>
      <c r="G25" s="36">
        <f t="shared" ref="G25:H25" si="1">SUM(G4:G24)</f>
        <v>1850000</v>
      </c>
      <c r="H25" s="37">
        <f t="shared" si="1"/>
        <v>2275000</v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23.25" customHeight="1">
      <c r="A26" s="1"/>
      <c r="B26" s="1"/>
      <c r="C26" s="2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38" t="s">
        <v>0</v>
      </c>
      <c r="C28" s="39" t="s">
        <v>6</v>
      </c>
      <c r="D28" s="39" t="s">
        <v>72</v>
      </c>
      <c r="E28" s="40"/>
      <c r="F28" s="1"/>
      <c r="G28" s="1"/>
      <c r="H28" s="1"/>
      <c r="I28" s="1"/>
      <c r="J28" s="1"/>
      <c r="K28" s="1"/>
      <c r="L28" s="1"/>
      <c r="M28" s="1"/>
      <c r="N28" s="39" t="s">
        <v>73</v>
      </c>
      <c r="O28" s="39" t="s">
        <v>1</v>
      </c>
      <c r="P28" s="1"/>
      <c r="Q28" s="1"/>
      <c r="R28" s="1"/>
    </row>
    <row r="29">
      <c r="A29" s="1"/>
      <c r="B29" s="41">
        <v>1.0</v>
      </c>
      <c r="C29" s="42" t="s">
        <v>74</v>
      </c>
      <c r="D29" s="43">
        <f>SUM(G25)</f>
        <v>1850000</v>
      </c>
      <c r="E29" s="44"/>
      <c r="F29" s="1"/>
      <c r="G29" s="1"/>
      <c r="H29" s="1"/>
      <c r="I29" s="1"/>
      <c r="J29" s="1"/>
      <c r="K29" s="1"/>
      <c r="L29" s="1"/>
      <c r="M29" s="1"/>
      <c r="N29" s="45" t="s">
        <v>75</v>
      </c>
      <c r="O29" s="23" t="s">
        <v>26</v>
      </c>
      <c r="P29" s="1"/>
      <c r="Q29" s="1"/>
      <c r="R29" s="1"/>
    </row>
    <row r="30">
      <c r="A30" s="1"/>
      <c r="B30" s="46">
        <v>2.0</v>
      </c>
      <c r="C30" s="47" t="s">
        <v>76</v>
      </c>
      <c r="D30" s="48">
        <v>-50000.0</v>
      </c>
      <c r="E30" s="49"/>
      <c r="F30" s="1"/>
      <c r="G30" s="1"/>
      <c r="H30" s="1"/>
      <c r="I30" s="1"/>
      <c r="J30" s="1"/>
      <c r="K30" s="1"/>
      <c r="L30" s="1"/>
      <c r="M30" s="1"/>
      <c r="N30" s="50" t="s">
        <v>77</v>
      </c>
      <c r="O30" s="51" t="s">
        <v>29</v>
      </c>
      <c r="P30" s="1"/>
      <c r="Q30" s="1"/>
      <c r="R30" s="1"/>
    </row>
    <row r="31">
      <c r="A31" s="1"/>
      <c r="B31" s="41">
        <v>3.0</v>
      </c>
      <c r="C31" s="42" t="s">
        <v>83</v>
      </c>
      <c r="D31" s="52">
        <v>-100000.0</v>
      </c>
      <c r="E31" s="49"/>
      <c r="F31" s="1"/>
      <c r="G31" s="1"/>
      <c r="H31" s="1"/>
      <c r="I31" s="1"/>
      <c r="J31" s="1"/>
      <c r="K31" s="1"/>
      <c r="L31" s="1"/>
      <c r="M31" s="1"/>
      <c r="N31" s="53" t="s">
        <v>79</v>
      </c>
      <c r="O31" s="25" t="s">
        <v>52</v>
      </c>
      <c r="P31" s="1"/>
      <c r="Q31" s="1"/>
      <c r="R31" s="1"/>
    </row>
    <row r="32">
      <c r="A32" s="1"/>
      <c r="B32" s="46">
        <v>4.0</v>
      </c>
      <c r="C32" s="47" t="s">
        <v>236</v>
      </c>
      <c r="D32" s="48">
        <v>-114000.0</v>
      </c>
      <c r="E32" s="49"/>
      <c r="F32" s="1"/>
      <c r="G32" s="1"/>
      <c r="H32" s="1"/>
      <c r="I32" s="1"/>
      <c r="J32" s="1"/>
      <c r="K32" s="1"/>
      <c r="L32" s="1"/>
      <c r="M32" s="1"/>
      <c r="N32" s="54" t="s">
        <v>80</v>
      </c>
      <c r="O32" s="51" t="s">
        <v>39</v>
      </c>
      <c r="P32" s="1"/>
      <c r="Q32" s="1"/>
      <c r="R32" s="1"/>
    </row>
    <row r="33">
      <c r="A33" s="1"/>
      <c r="B33" s="41"/>
      <c r="C33" s="55"/>
      <c r="D33" s="43"/>
      <c r="E33" s="44"/>
      <c r="F33" s="1"/>
      <c r="G33" s="1"/>
      <c r="H33" s="1"/>
      <c r="I33" s="1"/>
      <c r="J33" s="1"/>
      <c r="K33" s="1"/>
      <c r="L33" s="1"/>
      <c r="M33" s="1"/>
      <c r="N33" s="56"/>
      <c r="O33" s="1"/>
      <c r="P33" s="1"/>
      <c r="Q33" s="1"/>
      <c r="R33" s="1"/>
    </row>
    <row r="34">
      <c r="A34" s="1"/>
      <c r="B34" s="46"/>
      <c r="C34" s="57"/>
      <c r="D34" s="58"/>
      <c r="E34" s="4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41"/>
      <c r="C35" s="55"/>
      <c r="D35" s="43"/>
      <c r="E35" s="4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46"/>
      <c r="C36" s="57"/>
      <c r="D36" s="58"/>
      <c r="E36" s="4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41"/>
      <c r="C37" s="55"/>
      <c r="D37" s="43"/>
      <c r="E37" s="4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46"/>
      <c r="C38" s="57"/>
      <c r="D38" s="58"/>
      <c r="E38" s="4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59"/>
      <c r="C39" s="60"/>
      <c r="D39" s="61"/>
      <c r="E39" s="4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62">
        <f>SUM(D29:D39)</f>
        <v>1586000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4 O29:O30">
      <formula1>"-,JIJANG,AXEL,ADDEL,FAHME,INDAH"</formula1>
    </dataValidation>
    <dataValidation type="list" allowBlank="1" showErrorMessage="1" sqref="N4:N24">
      <formula1>"-,Pending,Progress,Uploaded"</formula1>
    </dataValidation>
    <dataValidation type="list" allowBlank="1" showDropDown="1" showErrorMessage="1" sqref="D4:D24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24">
      <formula1>"-,In Pikako,In Foxe"</formula1>
    </dataValidation>
    <dataValidation type="list" allowBlank="1" showDropDown="1" showErrorMessage="1" sqref="M4:M24 O31:O32">
      <formula1>"-,VERO,FADEL,PENTIL,HANIF,ADIF"</formula1>
    </dataValidation>
    <dataValidation type="list" allowBlank="1" showDropDown="1" showErrorMessage="1" sqref="I4:I24">
      <formula1>"-,DP,Lunas"</formula1>
    </dataValidation>
    <dataValidation type="list" allowBlank="1" showDropDown="1" showErrorMessage="1" sqref="J4:K24">
      <formula1>"-,Pending,Uploaded"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219</v>
      </c>
      <c r="D4" s="16" t="s">
        <v>34</v>
      </c>
      <c r="E4" s="17"/>
      <c r="F4" s="18">
        <v>46104.0</v>
      </c>
      <c r="G4" s="19"/>
      <c r="H4" s="20">
        <v>150000.0</v>
      </c>
      <c r="I4" s="21" t="s">
        <v>24</v>
      </c>
      <c r="J4" s="21"/>
      <c r="K4" s="21"/>
      <c r="L4" s="21" t="s">
        <v>29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230</v>
      </c>
      <c r="D5" s="16" t="s">
        <v>33</v>
      </c>
      <c r="E5" s="17"/>
      <c r="F5" s="18">
        <v>46099.0</v>
      </c>
      <c r="G5" s="19"/>
      <c r="H5" s="20">
        <v>100000.0</v>
      </c>
      <c r="I5" s="21" t="s">
        <v>24</v>
      </c>
      <c r="J5" s="21"/>
      <c r="K5" s="21"/>
      <c r="L5" s="21" t="s">
        <v>29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231</v>
      </c>
      <c r="D6" s="16" t="s">
        <v>33</v>
      </c>
      <c r="E6" s="17"/>
      <c r="F6" s="30">
        <v>46098.0</v>
      </c>
      <c r="G6" s="27"/>
      <c r="H6" s="20">
        <v>100000.0</v>
      </c>
      <c r="I6" s="21" t="s">
        <v>24</v>
      </c>
      <c r="J6" s="21"/>
      <c r="K6" s="21"/>
      <c r="L6" s="21" t="s">
        <v>29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213</v>
      </c>
      <c r="D7" s="16" t="s">
        <v>20</v>
      </c>
      <c r="E7" s="17"/>
      <c r="F7" s="30">
        <v>46097.0</v>
      </c>
      <c r="G7" s="19">
        <v>100000.0</v>
      </c>
      <c r="H7" s="33"/>
      <c r="I7" s="21" t="s">
        <v>27</v>
      </c>
      <c r="J7" s="21" t="s">
        <v>36</v>
      </c>
      <c r="K7" s="21" t="s">
        <v>36</v>
      </c>
      <c r="L7" s="21" t="s">
        <v>29</v>
      </c>
      <c r="M7" s="21" t="s">
        <v>60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232</v>
      </c>
      <c r="D8" s="16" t="s">
        <v>34</v>
      </c>
      <c r="E8" s="17"/>
      <c r="F8" s="30">
        <v>46099.0</v>
      </c>
      <c r="G8" s="19"/>
      <c r="H8" s="20">
        <v>100000.0</v>
      </c>
      <c r="I8" s="21" t="s">
        <v>24</v>
      </c>
      <c r="J8" s="21"/>
      <c r="K8" s="21"/>
      <c r="L8" s="21" t="s">
        <v>29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204</v>
      </c>
      <c r="D9" s="16" t="s">
        <v>20</v>
      </c>
      <c r="E9" s="17"/>
      <c r="F9" s="30">
        <v>46097.0</v>
      </c>
      <c r="G9" s="19"/>
      <c r="H9" s="20">
        <v>375000.0</v>
      </c>
      <c r="I9" s="21" t="s">
        <v>27</v>
      </c>
      <c r="J9" s="21" t="s">
        <v>36</v>
      </c>
      <c r="K9" s="21" t="s">
        <v>38</v>
      </c>
      <c r="L9" s="21" t="s">
        <v>29</v>
      </c>
      <c r="M9" s="21" t="s">
        <v>60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234</v>
      </c>
      <c r="D10" s="16" t="s">
        <v>40</v>
      </c>
      <c r="E10" s="17"/>
      <c r="F10" s="22">
        <v>46097.0</v>
      </c>
      <c r="G10" s="19"/>
      <c r="H10" s="20">
        <v>100000.0</v>
      </c>
      <c r="I10" s="21" t="s">
        <v>27</v>
      </c>
      <c r="J10" s="21" t="s">
        <v>36</v>
      </c>
      <c r="K10" s="21" t="s">
        <v>36</v>
      </c>
      <c r="L10" s="21" t="s">
        <v>26</v>
      </c>
      <c r="M10" s="21" t="s">
        <v>39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235</v>
      </c>
      <c r="D11" s="16" t="s">
        <v>33</v>
      </c>
      <c r="E11" s="17"/>
      <c r="F11" s="22">
        <v>46097.0</v>
      </c>
      <c r="G11" s="19">
        <v>350000.0</v>
      </c>
      <c r="H11" s="33"/>
      <c r="I11" s="21" t="s">
        <v>27</v>
      </c>
      <c r="J11" s="21" t="s">
        <v>36</v>
      </c>
      <c r="K11" s="21" t="s">
        <v>38</v>
      </c>
      <c r="L11" s="21" t="s">
        <v>26</v>
      </c>
      <c r="M11" s="21" t="s">
        <v>39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237</v>
      </c>
      <c r="D12" s="16" t="s">
        <v>33</v>
      </c>
      <c r="E12" s="17"/>
      <c r="F12" s="22">
        <v>46099.0</v>
      </c>
      <c r="G12" s="19"/>
      <c r="H12" s="20">
        <v>100000.0</v>
      </c>
      <c r="I12" s="21" t="s">
        <v>24</v>
      </c>
      <c r="J12" s="21"/>
      <c r="K12" s="21"/>
      <c r="L12" s="21" t="s">
        <v>26</v>
      </c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238</v>
      </c>
      <c r="D13" s="16" t="s">
        <v>33</v>
      </c>
      <c r="E13" s="17"/>
      <c r="F13" s="22">
        <v>46099.0</v>
      </c>
      <c r="G13" s="19"/>
      <c r="H13" s="20">
        <v>100000.0</v>
      </c>
      <c r="I13" s="21" t="s">
        <v>24</v>
      </c>
      <c r="J13" s="21"/>
      <c r="K13" s="21"/>
      <c r="L13" s="21" t="s">
        <v>26</v>
      </c>
      <c r="M13" s="28"/>
      <c r="N13" s="25"/>
      <c r="O13" s="26"/>
      <c r="P13" s="26"/>
      <c r="Q13" s="1"/>
      <c r="R13" s="1"/>
    </row>
    <row r="14">
      <c r="A14" s="1"/>
      <c r="B14" s="32"/>
      <c r="C14" s="15" t="s">
        <v>239</v>
      </c>
      <c r="D14" s="16" t="s">
        <v>51</v>
      </c>
      <c r="E14" s="17"/>
      <c r="F14" s="22">
        <v>46097.0</v>
      </c>
      <c r="G14" s="19">
        <v>0.0</v>
      </c>
      <c r="H14" s="20">
        <v>0.0</v>
      </c>
      <c r="I14" s="21" t="s">
        <v>27</v>
      </c>
      <c r="J14" s="21" t="s">
        <v>36</v>
      </c>
      <c r="K14" s="21" t="s">
        <v>38</v>
      </c>
      <c r="L14" s="21" t="s">
        <v>26</v>
      </c>
      <c r="M14" s="21" t="s">
        <v>39</v>
      </c>
      <c r="N14" s="25"/>
      <c r="O14" s="26"/>
      <c r="P14" s="26"/>
      <c r="Q14" s="1"/>
      <c r="R14" s="1"/>
    </row>
    <row r="15">
      <c r="A15" s="1"/>
      <c r="B15" s="32"/>
      <c r="C15" s="15" t="s">
        <v>242</v>
      </c>
      <c r="D15" s="16" t="s">
        <v>34</v>
      </c>
      <c r="E15" s="17"/>
      <c r="F15" s="22">
        <v>46097.0</v>
      </c>
      <c r="G15" s="19"/>
      <c r="H15" s="20">
        <v>500000.0</v>
      </c>
      <c r="I15" s="21" t="s">
        <v>27</v>
      </c>
      <c r="J15" s="21" t="s">
        <v>36</v>
      </c>
      <c r="K15" s="21" t="s">
        <v>38</v>
      </c>
      <c r="L15" s="21" t="s">
        <v>26</v>
      </c>
      <c r="M15" s="21" t="s">
        <v>39</v>
      </c>
      <c r="N15" s="25"/>
      <c r="O15" s="26"/>
      <c r="P15" s="26"/>
      <c r="Q15" s="1"/>
      <c r="R15" s="1"/>
    </row>
    <row r="16">
      <c r="A16" s="1"/>
      <c r="B16" s="32"/>
      <c r="C16" s="15" t="s">
        <v>243</v>
      </c>
      <c r="D16" s="16" t="s">
        <v>34</v>
      </c>
      <c r="E16" s="17"/>
      <c r="F16" s="22">
        <v>46098.0</v>
      </c>
      <c r="G16" s="19"/>
      <c r="H16" s="20">
        <v>100000.0</v>
      </c>
      <c r="I16" s="21" t="s">
        <v>24</v>
      </c>
      <c r="J16" s="21"/>
      <c r="K16" s="21"/>
      <c r="L16" s="21" t="s">
        <v>26</v>
      </c>
      <c r="M16" s="28"/>
      <c r="N16" s="25"/>
      <c r="O16" s="26"/>
      <c r="P16" s="26"/>
      <c r="Q16" s="1"/>
      <c r="R16" s="1"/>
    </row>
    <row r="17">
      <c r="A17" s="1"/>
      <c r="B17" s="32"/>
      <c r="C17" s="15" t="s">
        <v>244</v>
      </c>
      <c r="D17" s="16" t="s">
        <v>20</v>
      </c>
      <c r="E17" s="17"/>
      <c r="F17" s="22">
        <v>46097.0</v>
      </c>
      <c r="G17" s="19"/>
      <c r="H17" s="20">
        <v>250000.0</v>
      </c>
      <c r="I17" s="21" t="s">
        <v>27</v>
      </c>
      <c r="J17" s="21" t="s">
        <v>36</v>
      </c>
      <c r="K17" s="21" t="s">
        <v>38</v>
      </c>
      <c r="L17" s="21" t="s">
        <v>26</v>
      </c>
      <c r="M17" s="21" t="s">
        <v>39</v>
      </c>
      <c r="N17" s="25"/>
      <c r="O17" s="26"/>
      <c r="P17" s="26"/>
      <c r="Q17" s="1"/>
      <c r="R17" s="1"/>
    </row>
    <row r="18">
      <c r="A18" s="1"/>
      <c r="B18" s="32"/>
      <c r="C18" s="15" t="s">
        <v>245</v>
      </c>
      <c r="D18" s="16" t="s">
        <v>51</v>
      </c>
      <c r="E18" s="17" t="s">
        <v>68</v>
      </c>
      <c r="F18" s="14" t="s">
        <v>246</v>
      </c>
      <c r="G18" s="19">
        <v>150000.0</v>
      </c>
      <c r="H18" s="33"/>
      <c r="I18" s="21" t="s">
        <v>27</v>
      </c>
      <c r="J18" s="21" t="s">
        <v>36</v>
      </c>
      <c r="K18" s="21" t="s">
        <v>38</v>
      </c>
      <c r="L18" s="21" t="s">
        <v>26</v>
      </c>
      <c r="M18" s="21" t="s">
        <v>39</v>
      </c>
      <c r="N18" s="25"/>
      <c r="O18" s="26"/>
      <c r="P18" s="26"/>
      <c r="Q18" s="1"/>
      <c r="R18" s="1"/>
    </row>
    <row r="19">
      <c r="A19" s="1"/>
      <c r="B19" s="32"/>
      <c r="C19" s="15"/>
      <c r="D19" s="16"/>
      <c r="E19" s="17"/>
      <c r="F19" s="32"/>
      <c r="G19" s="19"/>
      <c r="H19" s="33"/>
      <c r="I19" s="21"/>
      <c r="J19" s="21"/>
      <c r="K19" s="21"/>
      <c r="L19" s="28"/>
      <c r="M19" s="28"/>
      <c r="N19" s="25"/>
      <c r="O19" s="26"/>
      <c r="P19" s="26"/>
      <c r="Q19" s="1"/>
      <c r="R19" s="1"/>
    </row>
    <row r="20">
      <c r="A20" s="1"/>
      <c r="B20" s="32"/>
      <c r="C20" s="34"/>
      <c r="D20" s="16"/>
      <c r="E20" s="17"/>
      <c r="F20" s="32"/>
      <c r="G20" s="27"/>
      <c r="H20" s="33"/>
      <c r="I20" s="28"/>
      <c r="J20" s="28"/>
      <c r="K20" s="28"/>
      <c r="L20" s="28"/>
      <c r="M20" s="28"/>
      <c r="N20" s="35"/>
      <c r="O20" s="35"/>
      <c r="P20" s="35"/>
      <c r="Q20" s="1"/>
      <c r="R20" s="1"/>
    </row>
    <row r="21" ht="18.75" customHeight="1">
      <c r="A21" s="1"/>
      <c r="B21" s="1"/>
      <c r="C21" s="2"/>
      <c r="D21" s="2"/>
      <c r="E21" s="1"/>
      <c r="F21" s="1"/>
      <c r="G21" s="36">
        <f t="shared" ref="G21:H21" si="1">SUM(G4:G20)</f>
        <v>600000</v>
      </c>
      <c r="H21" s="37">
        <f t="shared" si="1"/>
        <v>1975000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23.25" customHeight="1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38" t="s">
        <v>0</v>
      </c>
      <c r="C24" s="39" t="s">
        <v>6</v>
      </c>
      <c r="D24" s="39" t="s">
        <v>72</v>
      </c>
      <c r="E24" s="40"/>
      <c r="F24" s="1"/>
      <c r="G24" s="1"/>
      <c r="H24" s="1"/>
      <c r="I24" s="1"/>
      <c r="J24" s="1"/>
      <c r="K24" s="1"/>
      <c r="L24" s="1"/>
      <c r="M24" s="1"/>
      <c r="N24" s="39" t="s">
        <v>73</v>
      </c>
      <c r="O24" s="39" t="s">
        <v>1</v>
      </c>
      <c r="P24" s="1"/>
      <c r="Q24" s="1"/>
      <c r="R24" s="1"/>
    </row>
    <row r="25">
      <c r="A25" s="1"/>
      <c r="B25" s="41">
        <v>1.0</v>
      </c>
      <c r="C25" s="42" t="s">
        <v>74</v>
      </c>
      <c r="D25" s="43">
        <f>SUM(G21)</f>
        <v>600000</v>
      </c>
      <c r="E25" s="44"/>
      <c r="F25" s="1"/>
      <c r="G25" s="1"/>
      <c r="H25" s="1"/>
      <c r="I25" s="1"/>
      <c r="J25" s="1"/>
      <c r="K25" s="1"/>
      <c r="L25" s="1"/>
      <c r="M25" s="1"/>
      <c r="N25" s="45" t="s">
        <v>75</v>
      </c>
      <c r="O25" s="23" t="s">
        <v>29</v>
      </c>
      <c r="P25" s="1"/>
      <c r="Q25" s="1"/>
      <c r="R25" s="1"/>
    </row>
    <row r="26">
      <c r="A26" s="1"/>
      <c r="B26" s="46">
        <v>2.0</v>
      </c>
      <c r="C26" s="47" t="s">
        <v>76</v>
      </c>
      <c r="D26" s="48">
        <v>-50000.0</v>
      </c>
      <c r="E26" s="49"/>
      <c r="F26" s="1"/>
      <c r="G26" s="1"/>
      <c r="H26" s="1"/>
      <c r="I26" s="1"/>
      <c r="J26" s="1"/>
      <c r="K26" s="1"/>
      <c r="L26" s="1"/>
      <c r="M26" s="1"/>
      <c r="N26" s="50" t="s">
        <v>77</v>
      </c>
      <c r="O26" s="51" t="s">
        <v>26</v>
      </c>
      <c r="P26" s="1"/>
      <c r="Q26" s="1"/>
      <c r="R26" s="1"/>
    </row>
    <row r="27">
      <c r="A27" s="1"/>
      <c r="B27" s="41">
        <v>3.0</v>
      </c>
      <c r="C27" s="42"/>
      <c r="D27" s="52"/>
      <c r="E27" s="49"/>
      <c r="F27" s="1"/>
      <c r="G27" s="1"/>
      <c r="H27" s="1"/>
      <c r="I27" s="1"/>
      <c r="J27" s="1"/>
      <c r="K27" s="1"/>
      <c r="L27" s="1"/>
      <c r="M27" s="1"/>
      <c r="N27" s="53" t="s">
        <v>79</v>
      </c>
      <c r="O27" s="25" t="s">
        <v>60</v>
      </c>
      <c r="P27" s="1"/>
      <c r="Q27" s="1"/>
      <c r="R27" s="1"/>
    </row>
    <row r="28">
      <c r="A28" s="1"/>
      <c r="B28" s="46">
        <v>4.0</v>
      </c>
      <c r="C28" s="47"/>
      <c r="D28" s="48"/>
      <c r="E28" s="49"/>
      <c r="F28" s="1"/>
      <c r="G28" s="1"/>
      <c r="H28" s="1"/>
      <c r="I28" s="1"/>
      <c r="J28" s="1"/>
      <c r="K28" s="1"/>
      <c r="L28" s="1"/>
      <c r="M28" s="1"/>
      <c r="N28" s="54" t="s">
        <v>80</v>
      </c>
      <c r="O28" s="51" t="s">
        <v>39</v>
      </c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56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41"/>
      <c r="C33" s="55"/>
      <c r="D33" s="43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6"/>
      <c r="C34" s="57"/>
      <c r="D34" s="58"/>
      <c r="E34" s="4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59"/>
      <c r="C35" s="60"/>
      <c r="D35" s="61"/>
      <c r="E35" s="4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62">
        <f>SUM(D25:D35)</f>
        <v>550000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0 O25:O26">
      <formula1>"-,JIJANG,ADDEL,PENTIL,FAHME,INDAH"</formula1>
    </dataValidation>
    <dataValidation type="list" allowBlank="1" showErrorMessage="1" sqref="N4:N20">
      <formula1>"-,Pending,Progress,Uploaded"</formula1>
    </dataValidation>
    <dataValidation type="list" allowBlank="1" showDropDown="1" showErrorMessage="1" sqref="D4:D20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20">
      <formula1>"-,In Pikako,In Foxe"</formula1>
    </dataValidation>
    <dataValidation type="list" allowBlank="1" showDropDown="1" showErrorMessage="1" sqref="M4:M20 O27:O28">
      <formula1>"-,VERO,ADIF ,PENTIL,FAHME,HANIF"</formula1>
    </dataValidation>
    <dataValidation type="list" allowBlank="1" showDropDown="1" showErrorMessage="1" sqref="I4:I20">
      <formula1>"-,DP,Lunas"</formula1>
    </dataValidation>
    <dataValidation type="list" allowBlank="1" showDropDown="1" showErrorMessage="1" sqref="J4:K20">
      <formula1>"-,Pending,Uploaded"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233</v>
      </c>
      <c r="D4" s="16" t="s">
        <v>33</v>
      </c>
      <c r="E4" s="17"/>
      <c r="F4" s="18">
        <v>46099.0</v>
      </c>
      <c r="G4" s="19"/>
      <c r="H4" s="20">
        <v>100000.0</v>
      </c>
      <c r="I4" s="21" t="s">
        <v>24</v>
      </c>
      <c r="J4" s="21"/>
      <c r="K4" s="21"/>
      <c r="L4" s="21" t="s">
        <v>29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240</v>
      </c>
      <c r="D5" s="16" t="s">
        <v>241</v>
      </c>
      <c r="E5" s="17"/>
      <c r="F5" s="18">
        <v>46099.0</v>
      </c>
      <c r="G5" s="19"/>
      <c r="H5" s="20">
        <v>100000.0</v>
      </c>
      <c r="I5" s="21" t="s">
        <v>24</v>
      </c>
      <c r="J5" s="21"/>
      <c r="K5" s="21"/>
      <c r="L5" s="21" t="s">
        <v>29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196</v>
      </c>
      <c r="D6" s="16" t="s">
        <v>34</v>
      </c>
      <c r="E6" s="17"/>
      <c r="F6" s="30">
        <v>46098.0</v>
      </c>
      <c r="G6" s="19">
        <v>350000.0</v>
      </c>
      <c r="H6" s="20"/>
      <c r="I6" s="21" t="s">
        <v>27</v>
      </c>
      <c r="J6" s="21" t="s">
        <v>36</v>
      </c>
      <c r="K6" s="21" t="s">
        <v>36</v>
      </c>
      <c r="L6" s="21" t="s">
        <v>29</v>
      </c>
      <c r="M6" s="21" t="s">
        <v>39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115</v>
      </c>
      <c r="D7" s="16" t="s">
        <v>33</v>
      </c>
      <c r="E7" s="17"/>
      <c r="F7" s="30">
        <v>46100.0</v>
      </c>
      <c r="G7" s="19"/>
      <c r="H7" s="20">
        <v>100000.0</v>
      </c>
      <c r="I7" s="21" t="s">
        <v>24</v>
      </c>
      <c r="J7" s="21"/>
      <c r="K7" s="21"/>
      <c r="L7" s="21" t="s">
        <v>29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233</v>
      </c>
      <c r="D8" s="16" t="s">
        <v>33</v>
      </c>
      <c r="E8" s="17"/>
      <c r="F8" s="30">
        <v>46098.0</v>
      </c>
      <c r="G8" s="19">
        <v>250000.0</v>
      </c>
      <c r="H8" s="33"/>
      <c r="I8" s="21" t="s">
        <v>27</v>
      </c>
      <c r="J8" s="21" t="s">
        <v>36</v>
      </c>
      <c r="K8" s="21" t="s">
        <v>36</v>
      </c>
      <c r="L8" s="21" t="s">
        <v>29</v>
      </c>
      <c r="M8" s="21" t="s">
        <v>39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181</v>
      </c>
      <c r="D9" s="16" t="s">
        <v>20</v>
      </c>
      <c r="E9" s="17"/>
      <c r="F9" s="30">
        <v>46098.0</v>
      </c>
      <c r="G9" s="19">
        <v>250000.0</v>
      </c>
      <c r="H9" s="33"/>
      <c r="I9" s="21" t="s">
        <v>27</v>
      </c>
      <c r="J9" s="21" t="s">
        <v>36</v>
      </c>
      <c r="K9" s="21" t="s">
        <v>36</v>
      </c>
      <c r="L9" s="21" t="s">
        <v>29</v>
      </c>
      <c r="M9" s="21" t="s">
        <v>39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182</v>
      </c>
      <c r="D10" s="16" t="s">
        <v>33</v>
      </c>
      <c r="E10" s="17"/>
      <c r="F10" s="30">
        <v>46098.0</v>
      </c>
      <c r="G10" s="19"/>
      <c r="H10" s="20">
        <v>250000.0</v>
      </c>
      <c r="I10" s="21" t="s">
        <v>27</v>
      </c>
      <c r="J10" s="21" t="s">
        <v>36</v>
      </c>
      <c r="K10" s="21" t="s">
        <v>36</v>
      </c>
      <c r="L10" s="21" t="s">
        <v>29</v>
      </c>
      <c r="M10" s="21" t="s">
        <v>39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231</v>
      </c>
      <c r="D11" s="16" t="s">
        <v>33</v>
      </c>
      <c r="E11" s="17"/>
      <c r="F11" s="30">
        <v>46098.0</v>
      </c>
      <c r="G11" s="20">
        <v>250000.0</v>
      </c>
      <c r="H11" s="20"/>
      <c r="I11" s="21" t="s">
        <v>27</v>
      </c>
      <c r="J11" s="21" t="s">
        <v>36</v>
      </c>
      <c r="K11" s="21" t="s">
        <v>36</v>
      </c>
      <c r="L11" s="21" t="s">
        <v>29</v>
      </c>
      <c r="M11" s="21" t="s">
        <v>39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209</v>
      </c>
      <c r="D12" s="16" t="s">
        <v>33</v>
      </c>
      <c r="E12" s="17"/>
      <c r="F12" s="30">
        <v>46098.0</v>
      </c>
      <c r="G12" s="19"/>
      <c r="H12" s="20">
        <v>290000.0</v>
      </c>
      <c r="I12" s="21" t="s">
        <v>27</v>
      </c>
      <c r="J12" s="21" t="s">
        <v>36</v>
      </c>
      <c r="K12" s="21" t="s">
        <v>36</v>
      </c>
      <c r="L12" s="21" t="s">
        <v>29</v>
      </c>
      <c r="M12" s="21" t="s">
        <v>39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247</v>
      </c>
      <c r="D13" s="16" t="s">
        <v>33</v>
      </c>
      <c r="E13" s="17"/>
      <c r="F13" s="30">
        <v>46104.0</v>
      </c>
      <c r="G13" s="19"/>
      <c r="H13" s="20">
        <v>100000.0</v>
      </c>
      <c r="I13" s="21" t="s">
        <v>24</v>
      </c>
      <c r="J13" s="21"/>
      <c r="K13" s="21"/>
      <c r="L13" s="21" t="s">
        <v>29</v>
      </c>
      <c r="M13" s="28"/>
      <c r="N13" s="25"/>
      <c r="O13" s="26"/>
      <c r="P13" s="26"/>
      <c r="Q13" s="1"/>
      <c r="R13" s="1"/>
    </row>
    <row r="14">
      <c r="A14" s="1"/>
      <c r="B14" s="32"/>
      <c r="C14" s="15" t="s">
        <v>243</v>
      </c>
      <c r="D14" s="16" t="s">
        <v>34</v>
      </c>
      <c r="E14" s="17"/>
      <c r="F14" s="30">
        <v>46098.0</v>
      </c>
      <c r="G14" s="19"/>
      <c r="H14" s="20">
        <v>430000.0</v>
      </c>
      <c r="I14" s="21" t="s">
        <v>27</v>
      </c>
      <c r="J14" s="21" t="s">
        <v>36</v>
      </c>
      <c r="K14" s="21" t="s">
        <v>38</v>
      </c>
      <c r="L14" s="21" t="s">
        <v>29</v>
      </c>
      <c r="M14" s="21" t="s">
        <v>39</v>
      </c>
      <c r="N14" s="25"/>
      <c r="O14" s="26"/>
      <c r="P14" s="26"/>
      <c r="Q14" s="1"/>
      <c r="R14" s="1"/>
    </row>
    <row r="15">
      <c r="A15" s="1"/>
      <c r="B15" s="32"/>
      <c r="C15" s="15" t="s">
        <v>248</v>
      </c>
      <c r="D15" s="16" t="s">
        <v>34</v>
      </c>
      <c r="E15" s="17"/>
      <c r="F15" s="22">
        <v>46106.0</v>
      </c>
      <c r="G15" s="19"/>
      <c r="H15" s="20">
        <v>100000.0</v>
      </c>
      <c r="I15" s="21" t="s">
        <v>24</v>
      </c>
      <c r="J15" s="21"/>
      <c r="K15" s="21"/>
      <c r="L15" s="21" t="s">
        <v>26</v>
      </c>
      <c r="M15" s="28"/>
      <c r="N15" s="25"/>
      <c r="O15" s="26"/>
      <c r="P15" s="26"/>
      <c r="Q15" s="1"/>
      <c r="R15" s="1"/>
    </row>
    <row r="16">
      <c r="A16" s="1"/>
      <c r="B16" s="32"/>
      <c r="C16" s="15"/>
      <c r="D16" s="16"/>
      <c r="E16" s="17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1100000</v>
      </c>
      <c r="H19" s="37">
        <f t="shared" si="1"/>
        <v>1470000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1100000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29</v>
      </c>
      <c r="P23" s="1"/>
      <c r="Q23" s="1"/>
      <c r="R23" s="1"/>
    </row>
    <row r="24">
      <c r="A24" s="1"/>
      <c r="B24" s="46">
        <v>2.0</v>
      </c>
      <c r="C24" s="47" t="s">
        <v>81</v>
      </c>
      <c r="D24" s="48">
        <v>-100000.0</v>
      </c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29</v>
      </c>
      <c r="P24" s="1"/>
      <c r="Q24" s="1"/>
      <c r="R24" s="1"/>
    </row>
    <row r="25">
      <c r="A25" s="1"/>
      <c r="B25" s="41">
        <v>3.0</v>
      </c>
      <c r="C25" s="42" t="s">
        <v>139</v>
      </c>
      <c r="D25" s="52">
        <v>-100000.0</v>
      </c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39</v>
      </c>
      <c r="P25" s="1"/>
      <c r="Q25" s="1"/>
      <c r="R25" s="1"/>
    </row>
    <row r="26">
      <c r="A26" s="1"/>
      <c r="B26" s="46">
        <v>4.0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39</v>
      </c>
      <c r="P26" s="1"/>
      <c r="Q26" s="1"/>
      <c r="R26" s="1"/>
    </row>
    <row r="27">
      <c r="A27" s="1"/>
      <c r="B27" s="41"/>
      <c r="C27" s="55"/>
      <c r="D27" s="43"/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900000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DropDown="1" showErrorMessage="1" sqref="M4:M18 O25:O26">
      <formula1>"-,VERO,FADEL,PENTIL,HANIF"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249</v>
      </c>
      <c r="D4" s="16" t="s">
        <v>34</v>
      </c>
      <c r="E4" s="17"/>
      <c r="F4" s="18">
        <v>46099.0</v>
      </c>
      <c r="G4" s="19"/>
      <c r="H4" s="20">
        <v>410000.0</v>
      </c>
      <c r="I4" s="21" t="s">
        <v>27</v>
      </c>
      <c r="J4" s="21" t="s">
        <v>36</v>
      </c>
      <c r="K4" s="21" t="s">
        <v>38</v>
      </c>
      <c r="L4" s="21" t="s">
        <v>26</v>
      </c>
      <c r="M4" s="21" t="s">
        <v>52</v>
      </c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253</v>
      </c>
      <c r="D5" s="16" t="s">
        <v>34</v>
      </c>
      <c r="E5" s="17"/>
      <c r="F5" s="18">
        <v>46104.0</v>
      </c>
      <c r="G5" s="19"/>
      <c r="H5" s="20">
        <v>100000.0</v>
      </c>
      <c r="I5" s="21" t="s">
        <v>24</v>
      </c>
      <c r="J5" s="21"/>
      <c r="K5" s="21"/>
      <c r="L5" s="21" t="s">
        <v>26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150</v>
      </c>
      <c r="D6" s="16" t="s">
        <v>33</v>
      </c>
      <c r="E6" s="17"/>
      <c r="F6" s="22">
        <v>46100.0</v>
      </c>
      <c r="G6" s="27"/>
      <c r="H6" s="20">
        <v>100000.0</v>
      </c>
      <c r="I6" s="21" t="s">
        <v>24</v>
      </c>
      <c r="J6" s="21"/>
      <c r="K6" s="21"/>
      <c r="L6" s="21" t="s">
        <v>26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193</v>
      </c>
      <c r="D7" s="16" t="s">
        <v>20</v>
      </c>
      <c r="E7" s="17"/>
      <c r="F7" s="22">
        <v>46099.0</v>
      </c>
      <c r="G7" s="19">
        <v>175000.0</v>
      </c>
      <c r="H7" s="33"/>
      <c r="I7" s="21" t="s">
        <v>27</v>
      </c>
      <c r="J7" s="21" t="s">
        <v>36</v>
      </c>
      <c r="K7" s="21" t="s">
        <v>36</v>
      </c>
      <c r="L7" s="21" t="s">
        <v>26</v>
      </c>
      <c r="M7" s="21" t="s">
        <v>52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256</v>
      </c>
      <c r="D8" s="16" t="s">
        <v>34</v>
      </c>
      <c r="E8" s="17"/>
      <c r="F8" s="22">
        <v>46105.0</v>
      </c>
      <c r="G8" s="19"/>
      <c r="H8" s="20">
        <v>100000.0</v>
      </c>
      <c r="I8" s="21" t="s">
        <v>24</v>
      </c>
      <c r="J8" s="21"/>
      <c r="K8" s="21"/>
      <c r="L8" s="21" t="s">
        <v>26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258</v>
      </c>
      <c r="D9" s="16" t="s">
        <v>33</v>
      </c>
      <c r="E9" s="17"/>
      <c r="F9" s="22">
        <v>46099.0</v>
      </c>
      <c r="G9" s="19"/>
      <c r="H9" s="20">
        <v>350000.0</v>
      </c>
      <c r="I9" s="21" t="s">
        <v>27</v>
      </c>
      <c r="J9" s="21" t="s">
        <v>36</v>
      </c>
      <c r="K9" s="21" t="s">
        <v>38</v>
      </c>
      <c r="L9" s="21" t="s">
        <v>26</v>
      </c>
      <c r="M9" s="21" t="s">
        <v>52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259</v>
      </c>
      <c r="D10" s="16"/>
      <c r="E10" s="17"/>
      <c r="F10" s="22">
        <v>46099.0</v>
      </c>
      <c r="G10" s="19"/>
      <c r="H10" s="20">
        <v>100000.0</v>
      </c>
      <c r="I10" s="21" t="s">
        <v>24</v>
      </c>
      <c r="J10" s="21"/>
      <c r="K10" s="21"/>
      <c r="L10" s="21" t="s">
        <v>26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210</v>
      </c>
      <c r="D11" s="16" t="s">
        <v>34</v>
      </c>
      <c r="E11" s="17"/>
      <c r="F11" s="22">
        <v>46099.0</v>
      </c>
      <c r="G11" s="19"/>
      <c r="H11" s="20">
        <v>450000.0</v>
      </c>
      <c r="I11" s="21" t="s">
        <v>27</v>
      </c>
      <c r="J11" s="21" t="s">
        <v>36</v>
      </c>
      <c r="K11" s="21" t="s">
        <v>38</v>
      </c>
      <c r="L11" s="21" t="s">
        <v>26</v>
      </c>
      <c r="M11" s="21" t="s">
        <v>52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261</v>
      </c>
      <c r="D12" s="16" t="s">
        <v>34</v>
      </c>
      <c r="E12" s="17"/>
      <c r="F12" s="22">
        <v>46103.0</v>
      </c>
      <c r="G12" s="19"/>
      <c r="H12" s="20">
        <v>100000.0</v>
      </c>
      <c r="I12" s="21" t="s">
        <v>24</v>
      </c>
      <c r="J12" s="21"/>
      <c r="K12" s="21"/>
      <c r="L12" s="21" t="s">
        <v>26</v>
      </c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240</v>
      </c>
      <c r="D13" s="16" t="s">
        <v>241</v>
      </c>
      <c r="E13" s="17"/>
      <c r="F13" s="22">
        <v>46099.0</v>
      </c>
      <c r="G13" s="19"/>
      <c r="H13" s="20">
        <v>250000.0</v>
      </c>
      <c r="I13" s="21" t="s">
        <v>27</v>
      </c>
      <c r="J13" s="21" t="s">
        <v>36</v>
      </c>
      <c r="K13" s="21" t="s">
        <v>36</v>
      </c>
      <c r="L13" s="21" t="s">
        <v>26</v>
      </c>
      <c r="M13" s="21" t="s">
        <v>52</v>
      </c>
      <c r="N13" s="25"/>
      <c r="O13" s="26"/>
      <c r="P13" s="26"/>
      <c r="Q13" s="1"/>
      <c r="R13" s="1"/>
    </row>
    <row r="14">
      <c r="A14" s="1"/>
      <c r="B14" s="14">
        <v>11.0</v>
      </c>
      <c r="C14" s="15" t="s">
        <v>93</v>
      </c>
      <c r="D14" s="16" t="s">
        <v>33</v>
      </c>
      <c r="E14" s="17"/>
      <c r="F14" s="22">
        <v>46099.0</v>
      </c>
      <c r="G14" s="19"/>
      <c r="H14" s="20">
        <v>250000.0</v>
      </c>
      <c r="I14" s="21" t="s">
        <v>27</v>
      </c>
      <c r="J14" s="21" t="s">
        <v>36</v>
      </c>
      <c r="K14" s="21" t="s">
        <v>38</v>
      </c>
      <c r="L14" s="21" t="s">
        <v>26</v>
      </c>
      <c r="M14" s="21" t="s">
        <v>52</v>
      </c>
      <c r="N14" s="25"/>
      <c r="O14" s="26"/>
      <c r="P14" s="26"/>
      <c r="Q14" s="1"/>
      <c r="R14" s="1"/>
    </row>
    <row r="15">
      <c r="A15" s="1"/>
      <c r="B15" s="14">
        <v>12.0</v>
      </c>
      <c r="C15" s="15" t="s">
        <v>167</v>
      </c>
      <c r="D15" s="16" t="s">
        <v>34</v>
      </c>
      <c r="E15" s="17"/>
      <c r="F15" s="22">
        <v>46099.0</v>
      </c>
      <c r="G15" s="19"/>
      <c r="H15" s="20">
        <v>390000.0</v>
      </c>
      <c r="I15" s="21" t="s">
        <v>27</v>
      </c>
      <c r="J15" s="21" t="s">
        <v>36</v>
      </c>
      <c r="K15" s="21" t="s">
        <v>38</v>
      </c>
      <c r="L15" s="21" t="s">
        <v>26</v>
      </c>
      <c r="M15" s="21" t="s">
        <v>52</v>
      </c>
      <c r="N15" s="25"/>
      <c r="O15" s="26"/>
      <c r="P15" s="26"/>
      <c r="Q15" s="1"/>
      <c r="R15" s="1"/>
    </row>
    <row r="16">
      <c r="A16" s="1"/>
      <c r="B16" s="14">
        <v>13.0</v>
      </c>
      <c r="C16" s="15" t="s">
        <v>114</v>
      </c>
      <c r="D16" s="16" t="s">
        <v>43</v>
      </c>
      <c r="E16" s="17"/>
      <c r="F16" s="22">
        <v>46099.0</v>
      </c>
      <c r="G16" s="19"/>
      <c r="H16" s="20">
        <v>100000.0</v>
      </c>
      <c r="I16" s="21" t="s">
        <v>27</v>
      </c>
      <c r="J16" s="21" t="s">
        <v>36</v>
      </c>
      <c r="K16" s="21" t="s">
        <v>36</v>
      </c>
      <c r="L16" s="21" t="s">
        <v>26</v>
      </c>
      <c r="M16" s="21" t="s">
        <v>39</v>
      </c>
      <c r="N16" s="25"/>
      <c r="O16" s="26"/>
      <c r="P16" s="26"/>
      <c r="Q16" s="1"/>
      <c r="R16" s="1"/>
    </row>
    <row r="17">
      <c r="A17" s="1"/>
      <c r="B17" s="14">
        <v>14.0</v>
      </c>
      <c r="C17" s="15" t="s">
        <v>237</v>
      </c>
      <c r="D17" s="16" t="s">
        <v>33</v>
      </c>
      <c r="E17" s="17"/>
      <c r="F17" s="22">
        <v>46099.0</v>
      </c>
      <c r="G17" s="19"/>
      <c r="H17" s="20">
        <v>250000.0</v>
      </c>
      <c r="I17" s="21" t="s">
        <v>27</v>
      </c>
      <c r="J17" s="21" t="s">
        <v>36</v>
      </c>
      <c r="K17" s="21" t="s">
        <v>38</v>
      </c>
      <c r="L17" s="21" t="s">
        <v>26</v>
      </c>
      <c r="M17" s="21" t="s">
        <v>39</v>
      </c>
      <c r="N17" s="25"/>
      <c r="O17" s="26"/>
      <c r="P17" s="26"/>
      <c r="Q17" s="1"/>
      <c r="R17" s="1"/>
    </row>
    <row r="18">
      <c r="A18" s="1"/>
      <c r="B18" s="14">
        <v>15.0</v>
      </c>
      <c r="C18" s="15" t="s">
        <v>238</v>
      </c>
      <c r="D18" s="16" t="s">
        <v>33</v>
      </c>
      <c r="E18" s="17"/>
      <c r="F18" s="22">
        <v>46099.0</v>
      </c>
      <c r="G18" s="19"/>
      <c r="H18" s="20">
        <v>270000.0</v>
      </c>
      <c r="I18" s="21" t="s">
        <v>27</v>
      </c>
      <c r="J18" s="21" t="s">
        <v>36</v>
      </c>
      <c r="K18" s="21" t="s">
        <v>38</v>
      </c>
      <c r="L18" s="21" t="s">
        <v>26</v>
      </c>
      <c r="M18" s="21" t="s">
        <v>39</v>
      </c>
      <c r="N18" s="25"/>
      <c r="O18" s="26"/>
      <c r="P18" s="26"/>
      <c r="Q18" s="1"/>
      <c r="R18" s="1"/>
    </row>
    <row r="19">
      <c r="A19" s="1"/>
      <c r="B19" s="14">
        <v>16.0</v>
      </c>
      <c r="C19" s="15" t="s">
        <v>67</v>
      </c>
      <c r="D19" s="16" t="s">
        <v>33</v>
      </c>
      <c r="E19" s="17"/>
      <c r="F19" s="22">
        <v>46099.0</v>
      </c>
      <c r="G19" s="19"/>
      <c r="H19" s="20">
        <v>290000.0</v>
      </c>
      <c r="I19" s="21" t="s">
        <v>27</v>
      </c>
      <c r="J19" s="21" t="s">
        <v>36</v>
      </c>
      <c r="K19" s="21" t="s">
        <v>38</v>
      </c>
      <c r="L19" s="21" t="s">
        <v>26</v>
      </c>
      <c r="M19" s="21" t="s">
        <v>39</v>
      </c>
      <c r="N19" s="25"/>
      <c r="O19" s="26"/>
      <c r="P19" s="26"/>
      <c r="Q19" s="1"/>
      <c r="R19" s="1"/>
    </row>
    <row r="20">
      <c r="A20" s="1"/>
      <c r="B20" s="14">
        <v>17.0</v>
      </c>
      <c r="C20" s="15" t="s">
        <v>267</v>
      </c>
      <c r="D20" s="16" t="s">
        <v>34</v>
      </c>
      <c r="E20" s="17"/>
      <c r="F20" s="22">
        <v>46099.0</v>
      </c>
      <c r="G20" s="19">
        <v>390000.0</v>
      </c>
      <c r="H20" s="33"/>
      <c r="I20" s="21" t="s">
        <v>27</v>
      </c>
      <c r="J20" s="21" t="s">
        <v>36</v>
      </c>
      <c r="K20" s="21" t="s">
        <v>38</v>
      </c>
      <c r="L20" s="21" t="s">
        <v>26</v>
      </c>
      <c r="M20" s="21" t="s">
        <v>39</v>
      </c>
      <c r="N20" s="25"/>
      <c r="O20" s="26"/>
      <c r="P20" s="26"/>
      <c r="Q20" s="1"/>
      <c r="R20" s="1"/>
    </row>
    <row r="21">
      <c r="A21" s="1"/>
      <c r="B21" s="14">
        <v>18.0</v>
      </c>
      <c r="C21" s="15" t="s">
        <v>259</v>
      </c>
      <c r="D21" s="16" t="s">
        <v>33</v>
      </c>
      <c r="E21" s="17"/>
      <c r="F21" s="22">
        <v>46099.0</v>
      </c>
      <c r="G21" s="19"/>
      <c r="H21" s="20">
        <v>250000.0</v>
      </c>
      <c r="I21" s="21" t="s">
        <v>27</v>
      </c>
      <c r="J21" s="21" t="s">
        <v>36</v>
      </c>
      <c r="K21" s="21" t="s">
        <v>38</v>
      </c>
      <c r="L21" s="21" t="s">
        <v>26</v>
      </c>
      <c r="M21" s="21" t="s">
        <v>39</v>
      </c>
      <c r="N21" s="25"/>
      <c r="O21" s="26"/>
      <c r="P21" s="26"/>
      <c r="Q21" s="1"/>
      <c r="R21" s="1"/>
    </row>
    <row r="22">
      <c r="A22" s="1"/>
      <c r="B22" s="14">
        <v>19.0</v>
      </c>
      <c r="C22" s="15" t="s">
        <v>161</v>
      </c>
      <c r="D22" s="16" t="s">
        <v>33</v>
      </c>
      <c r="E22" s="17"/>
      <c r="F22" s="22">
        <v>46099.0</v>
      </c>
      <c r="G22" s="19"/>
      <c r="H22" s="20">
        <v>290000.0</v>
      </c>
      <c r="I22" s="21" t="s">
        <v>27</v>
      </c>
      <c r="J22" s="21" t="s">
        <v>36</v>
      </c>
      <c r="K22" s="21" t="s">
        <v>36</v>
      </c>
      <c r="L22" s="21" t="s">
        <v>26</v>
      </c>
      <c r="M22" s="21" t="s">
        <v>39</v>
      </c>
      <c r="N22" s="25"/>
      <c r="O22" s="26"/>
      <c r="P22" s="26"/>
      <c r="Q22" s="1"/>
      <c r="R22" s="1"/>
    </row>
    <row r="23">
      <c r="A23" s="1"/>
      <c r="B23" s="14"/>
      <c r="C23" s="15" t="s">
        <v>31</v>
      </c>
      <c r="D23" s="16" t="s">
        <v>33</v>
      </c>
      <c r="E23" s="17"/>
      <c r="F23" s="22">
        <v>46099.0</v>
      </c>
      <c r="G23" s="19">
        <v>270000.0</v>
      </c>
      <c r="H23" s="33"/>
      <c r="I23" s="21" t="s">
        <v>27</v>
      </c>
      <c r="J23" s="21" t="s">
        <v>36</v>
      </c>
      <c r="K23" s="21" t="s">
        <v>38</v>
      </c>
      <c r="L23" s="21" t="s">
        <v>26</v>
      </c>
      <c r="M23" s="21" t="s">
        <v>39</v>
      </c>
      <c r="N23" s="26"/>
      <c r="O23" s="26"/>
      <c r="P23" s="26"/>
      <c r="Q23" s="1"/>
      <c r="R23" s="1"/>
    </row>
    <row r="24">
      <c r="A24" s="1"/>
      <c r="B24" s="14"/>
      <c r="C24" s="15" t="s">
        <v>250</v>
      </c>
      <c r="D24" s="16" t="s">
        <v>34</v>
      </c>
      <c r="E24" s="17"/>
      <c r="F24" s="22">
        <v>46099.0</v>
      </c>
      <c r="G24" s="27"/>
      <c r="H24" s="20">
        <v>430000.0</v>
      </c>
      <c r="I24" s="21" t="s">
        <v>27</v>
      </c>
      <c r="J24" s="28"/>
      <c r="K24" s="28"/>
      <c r="L24" s="21" t="s">
        <v>26</v>
      </c>
      <c r="M24" s="21" t="s">
        <v>39</v>
      </c>
      <c r="N24" s="26"/>
      <c r="O24" s="26"/>
      <c r="P24" s="26"/>
      <c r="Q24" s="1"/>
      <c r="R24" s="1"/>
    </row>
    <row r="25">
      <c r="A25" s="1"/>
      <c r="B25" s="14"/>
      <c r="C25" s="34"/>
      <c r="D25" s="16"/>
      <c r="E25" s="17"/>
      <c r="F25" s="32"/>
      <c r="G25" s="27"/>
      <c r="H25" s="33"/>
      <c r="I25" s="28"/>
      <c r="J25" s="28"/>
      <c r="K25" s="28"/>
      <c r="L25" s="28"/>
      <c r="M25" s="28"/>
      <c r="N25" s="35"/>
      <c r="O25" s="35"/>
      <c r="P25" s="35"/>
      <c r="Q25" s="1"/>
      <c r="R25" s="1"/>
    </row>
    <row r="26" ht="18.75" customHeight="1">
      <c r="A26" s="1"/>
      <c r="B26" s="1"/>
      <c r="C26" s="2"/>
      <c r="D26" s="2"/>
      <c r="E26" s="1"/>
      <c r="F26" s="1"/>
      <c r="G26" s="36">
        <f t="shared" ref="G26:H26" si="1">SUM(G4:G25)</f>
        <v>835000</v>
      </c>
      <c r="H26" s="37">
        <f t="shared" si="1"/>
        <v>4480000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3.25" customHeight="1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2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 t="s">
        <v>0</v>
      </c>
      <c r="C29" s="39" t="s">
        <v>6</v>
      </c>
      <c r="D29" s="39" t="s">
        <v>72</v>
      </c>
      <c r="E29" s="40"/>
      <c r="F29" s="1"/>
      <c r="G29" s="1"/>
      <c r="H29" s="1"/>
      <c r="I29" s="1"/>
      <c r="J29" s="1"/>
      <c r="K29" s="1"/>
      <c r="L29" s="1"/>
      <c r="M29" s="1"/>
      <c r="N29" s="39" t="s">
        <v>73</v>
      </c>
      <c r="O29" s="39" t="s">
        <v>1</v>
      </c>
      <c r="P29" s="1"/>
      <c r="Q29" s="1"/>
      <c r="R29" s="1"/>
    </row>
    <row r="30">
      <c r="A30" s="1"/>
      <c r="B30" s="41">
        <v>1.0</v>
      </c>
      <c r="C30" s="42" t="s">
        <v>74</v>
      </c>
      <c r="D30" s="43">
        <f>SUM(G26)</f>
        <v>835000</v>
      </c>
      <c r="E30" s="44"/>
      <c r="F30" s="1"/>
      <c r="G30" s="1"/>
      <c r="H30" s="1"/>
      <c r="I30" s="1"/>
      <c r="J30" s="1"/>
      <c r="K30" s="1"/>
      <c r="L30" s="1"/>
      <c r="M30" s="1"/>
      <c r="N30" s="45" t="s">
        <v>75</v>
      </c>
      <c r="O30" s="23" t="s">
        <v>26</v>
      </c>
      <c r="P30" s="1"/>
      <c r="Q30" s="1"/>
      <c r="R30" s="1"/>
    </row>
    <row r="31">
      <c r="A31" s="1"/>
      <c r="B31" s="46">
        <v>2.0</v>
      </c>
      <c r="C31" s="47" t="s">
        <v>139</v>
      </c>
      <c r="D31" s="48">
        <v>-50000.0</v>
      </c>
      <c r="E31" s="49"/>
      <c r="F31" s="1"/>
      <c r="G31" s="1"/>
      <c r="H31" s="1"/>
      <c r="I31" s="1"/>
      <c r="J31" s="1"/>
      <c r="K31" s="1"/>
      <c r="L31" s="1"/>
      <c r="M31" s="1"/>
      <c r="N31" s="50" t="s">
        <v>77</v>
      </c>
      <c r="O31" s="51" t="s">
        <v>26</v>
      </c>
      <c r="P31" s="1"/>
      <c r="Q31" s="1"/>
      <c r="R31" s="1"/>
    </row>
    <row r="32">
      <c r="A32" s="1"/>
      <c r="B32" s="41">
        <v>3.0</v>
      </c>
      <c r="C32" s="42" t="s">
        <v>83</v>
      </c>
      <c r="D32" s="52">
        <v>-50000.0</v>
      </c>
      <c r="E32" s="49"/>
      <c r="F32" s="1"/>
      <c r="G32" s="1"/>
      <c r="H32" s="1"/>
      <c r="I32" s="1"/>
      <c r="J32" s="1"/>
      <c r="K32" s="1"/>
      <c r="L32" s="1"/>
      <c r="M32" s="1"/>
      <c r="N32" s="53" t="s">
        <v>79</v>
      </c>
      <c r="O32" s="25" t="s">
        <v>52</v>
      </c>
      <c r="P32" s="1"/>
      <c r="Q32" s="1"/>
      <c r="R32" s="1"/>
    </row>
    <row r="33">
      <c r="A33" s="1"/>
      <c r="B33" s="46">
        <v>4.0</v>
      </c>
      <c r="C33" s="47" t="s">
        <v>78</v>
      </c>
      <c r="D33" s="48">
        <v>-35000.0</v>
      </c>
      <c r="E33" s="49"/>
      <c r="F33" s="1"/>
      <c r="G33" s="1"/>
      <c r="H33" s="1"/>
      <c r="I33" s="1"/>
      <c r="J33" s="1"/>
      <c r="K33" s="1"/>
      <c r="L33" s="1"/>
      <c r="M33" s="1"/>
      <c r="N33" s="54" t="s">
        <v>80</v>
      </c>
      <c r="O33" s="51" t="s">
        <v>39</v>
      </c>
      <c r="P33" s="1"/>
      <c r="Q33" s="1"/>
      <c r="R33" s="1"/>
    </row>
    <row r="34">
      <c r="A34" s="1"/>
      <c r="B34" s="41"/>
      <c r="C34" s="55"/>
      <c r="D34" s="43"/>
      <c r="E34" s="44"/>
      <c r="F34" s="1"/>
      <c r="G34" s="1"/>
      <c r="H34" s="1"/>
      <c r="I34" s="1"/>
      <c r="J34" s="1"/>
      <c r="K34" s="1"/>
      <c r="L34" s="1"/>
      <c r="M34" s="1"/>
      <c r="N34" s="56"/>
      <c r="O34" s="1"/>
      <c r="P34" s="1"/>
      <c r="Q34" s="1"/>
      <c r="R34" s="1"/>
    </row>
    <row r="35">
      <c r="A35" s="1"/>
      <c r="B35" s="46"/>
      <c r="C35" s="57"/>
      <c r="D35" s="58"/>
      <c r="E35" s="4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41"/>
      <c r="C36" s="55"/>
      <c r="D36" s="43"/>
      <c r="E36" s="4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46"/>
      <c r="C37" s="57"/>
      <c r="D37" s="58"/>
      <c r="E37" s="4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41"/>
      <c r="C38" s="55"/>
      <c r="D38" s="43"/>
      <c r="E38" s="4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46"/>
      <c r="C39" s="57"/>
      <c r="D39" s="58"/>
      <c r="E39" s="4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59"/>
      <c r="C40" s="60"/>
      <c r="D40" s="61"/>
      <c r="E40" s="4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62">
        <f>SUM(D30:D40)</f>
        <v>700000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5 O30:O31">
      <formula1>"-,JIJANG,AXEL,PENTIL,FAHME,INDAH"</formula1>
    </dataValidation>
    <dataValidation type="list" allowBlank="1" showErrorMessage="1" sqref="N4:N25">
      <formula1>"-,Pending,Progress,Uploaded"</formula1>
    </dataValidation>
    <dataValidation type="list" allowBlank="1" showErrorMessage="1" sqref="O4:O25">
      <formula1>"-,In Pikako,In Foxe"</formula1>
    </dataValidation>
    <dataValidation type="list" allowBlank="1" showDropDown="1" showErrorMessage="1" sqref="D4:D25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5">
      <formula1>"-,DP,Lunas"</formula1>
    </dataValidation>
    <dataValidation type="list" allowBlank="1" showDropDown="1" showErrorMessage="1" sqref="J4:K25">
      <formula1>"-,Pending,Uploaded"</formula1>
    </dataValidation>
    <dataValidation type="list" allowBlank="1" showDropDown="1" showErrorMessage="1" sqref="M4:M25 O32:O33">
      <formula1>"-,VERO,FADEL,PENTIL,FAHME,ADIF,HANIF"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0.63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250</v>
      </c>
      <c r="D4" s="16" t="s">
        <v>251</v>
      </c>
      <c r="E4" s="17" t="s">
        <v>252</v>
      </c>
      <c r="F4" s="18">
        <v>46099.0</v>
      </c>
      <c r="G4" s="19"/>
      <c r="H4" s="20">
        <v>250000.0</v>
      </c>
      <c r="I4" s="21" t="s">
        <v>27</v>
      </c>
      <c r="J4" s="21"/>
      <c r="K4" s="21"/>
      <c r="L4" s="21" t="s">
        <v>26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254</v>
      </c>
      <c r="D5" s="16" t="s">
        <v>33</v>
      </c>
      <c r="E5" s="17"/>
      <c r="F5" s="18">
        <v>46104.0</v>
      </c>
      <c r="G5" s="19"/>
      <c r="H5" s="20">
        <v>100000.0</v>
      </c>
      <c r="I5" s="21" t="s">
        <v>24</v>
      </c>
      <c r="J5" s="21"/>
      <c r="K5" s="21"/>
      <c r="L5" s="21" t="s">
        <v>26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115</v>
      </c>
      <c r="D6" s="16" t="s">
        <v>33</v>
      </c>
      <c r="E6" s="17" t="s">
        <v>255</v>
      </c>
      <c r="F6" s="22">
        <v>46100.0</v>
      </c>
      <c r="G6" s="27"/>
      <c r="H6" s="20">
        <v>300000.0</v>
      </c>
      <c r="I6" s="21" t="s">
        <v>27</v>
      </c>
      <c r="J6" s="21" t="s">
        <v>36</v>
      </c>
      <c r="K6" s="21" t="s">
        <v>36</v>
      </c>
      <c r="L6" s="21" t="s">
        <v>26</v>
      </c>
      <c r="M6" s="21" t="s">
        <v>52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257</v>
      </c>
      <c r="D7" s="16" t="s">
        <v>34</v>
      </c>
      <c r="E7" s="17"/>
      <c r="F7" s="22">
        <v>46103.0</v>
      </c>
      <c r="G7" s="19"/>
      <c r="H7" s="20">
        <v>100000.0</v>
      </c>
      <c r="I7" s="21" t="s">
        <v>24</v>
      </c>
      <c r="J7" s="21"/>
      <c r="K7" s="21"/>
      <c r="L7" s="21" t="s">
        <v>26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88</v>
      </c>
      <c r="D8" s="16" t="s">
        <v>33</v>
      </c>
      <c r="E8" s="17"/>
      <c r="F8" s="22">
        <v>46100.0</v>
      </c>
      <c r="G8" s="19"/>
      <c r="H8" s="20">
        <v>250000.0</v>
      </c>
      <c r="I8" s="21" t="s">
        <v>27</v>
      </c>
      <c r="J8" s="21" t="s">
        <v>36</v>
      </c>
      <c r="K8" s="21" t="s">
        <v>36</v>
      </c>
      <c r="L8" s="21" t="s">
        <v>26</v>
      </c>
      <c r="M8" s="21" t="s">
        <v>52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260</v>
      </c>
      <c r="D9" s="16" t="s">
        <v>33</v>
      </c>
      <c r="E9" s="17"/>
      <c r="F9" s="22">
        <v>46100.0</v>
      </c>
      <c r="G9" s="19"/>
      <c r="H9" s="20">
        <v>350000.0</v>
      </c>
      <c r="I9" s="21" t="s">
        <v>27</v>
      </c>
      <c r="J9" s="21" t="s">
        <v>36</v>
      </c>
      <c r="K9" s="21" t="s">
        <v>38</v>
      </c>
      <c r="L9" s="21" t="s">
        <v>26</v>
      </c>
      <c r="M9" s="21" t="s">
        <v>52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262</v>
      </c>
      <c r="D10" s="16" t="s">
        <v>34</v>
      </c>
      <c r="E10" s="17"/>
      <c r="F10" s="22">
        <v>46100.0</v>
      </c>
      <c r="G10" s="19"/>
      <c r="H10" s="20">
        <v>350000.0</v>
      </c>
      <c r="I10" s="21" t="s">
        <v>27</v>
      </c>
      <c r="J10" s="21" t="s">
        <v>36</v>
      </c>
      <c r="K10" s="21" t="s">
        <v>38</v>
      </c>
      <c r="L10" s="21" t="s">
        <v>26</v>
      </c>
      <c r="M10" s="21" t="s">
        <v>52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207</v>
      </c>
      <c r="D11" s="16" t="s">
        <v>33</v>
      </c>
      <c r="E11" s="17" t="s">
        <v>263</v>
      </c>
      <c r="F11" s="22">
        <v>46100.0</v>
      </c>
      <c r="G11" s="19">
        <v>320000.0</v>
      </c>
      <c r="H11" s="33"/>
      <c r="I11" s="21" t="s">
        <v>27</v>
      </c>
      <c r="J11" s="21" t="s">
        <v>36</v>
      </c>
      <c r="K11" s="21" t="s">
        <v>36</v>
      </c>
      <c r="L11" s="21" t="s">
        <v>26</v>
      </c>
      <c r="M11" s="21" t="s">
        <v>52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264</v>
      </c>
      <c r="D12" s="16" t="s">
        <v>33</v>
      </c>
      <c r="E12" s="17"/>
      <c r="F12" s="22">
        <v>46100.0</v>
      </c>
      <c r="G12" s="19"/>
      <c r="H12" s="20">
        <v>100000.0</v>
      </c>
      <c r="I12" s="21" t="s">
        <v>24</v>
      </c>
      <c r="J12" s="21"/>
      <c r="K12" s="21"/>
      <c r="L12" s="21" t="s">
        <v>26</v>
      </c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265</v>
      </c>
      <c r="D13" s="16" t="s">
        <v>33</v>
      </c>
      <c r="E13" s="17"/>
      <c r="F13" s="30">
        <v>46100.0</v>
      </c>
      <c r="G13" s="19"/>
      <c r="H13" s="20">
        <v>250000.0</v>
      </c>
      <c r="I13" s="21" t="s">
        <v>27</v>
      </c>
      <c r="J13" s="21" t="s">
        <v>36</v>
      </c>
      <c r="K13" s="21" t="s">
        <v>38</v>
      </c>
      <c r="L13" s="81" t="s">
        <v>29</v>
      </c>
      <c r="M13" s="21" t="s">
        <v>52</v>
      </c>
      <c r="N13" s="25"/>
      <c r="O13" s="26"/>
      <c r="P13" s="26"/>
      <c r="Q13" s="1"/>
      <c r="R13" s="1"/>
    </row>
    <row r="14">
      <c r="A14" s="1"/>
      <c r="B14" s="32"/>
      <c r="C14" s="15" t="s">
        <v>150</v>
      </c>
      <c r="D14" s="16" t="s">
        <v>33</v>
      </c>
      <c r="E14" s="17"/>
      <c r="F14" s="30">
        <v>46100.0</v>
      </c>
      <c r="G14" s="19"/>
      <c r="H14" s="20">
        <v>250000.0</v>
      </c>
      <c r="I14" s="21" t="s">
        <v>27</v>
      </c>
      <c r="J14" s="21" t="s">
        <v>36</v>
      </c>
      <c r="K14" s="21" t="s">
        <v>38</v>
      </c>
      <c r="L14" s="81" t="s">
        <v>29</v>
      </c>
      <c r="M14" s="21" t="s">
        <v>52</v>
      </c>
      <c r="N14" s="25"/>
      <c r="O14" s="26"/>
      <c r="P14" s="26"/>
      <c r="Q14" s="1"/>
      <c r="R14" s="1"/>
    </row>
    <row r="15">
      <c r="A15" s="1"/>
      <c r="B15" s="32"/>
      <c r="C15" s="15" t="s">
        <v>264</v>
      </c>
      <c r="D15" s="16" t="s">
        <v>33</v>
      </c>
      <c r="E15" s="17"/>
      <c r="F15" s="30">
        <v>46100.0</v>
      </c>
      <c r="G15" s="20">
        <v>250000.0</v>
      </c>
      <c r="H15" s="20"/>
      <c r="I15" s="21" t="s">
        <v>27</v>
      </c>
      <c r="J15" s="21" t="s">
        <v>36</v>
      </c>
      <c r="K15" s="21" t="s">
        <v>38</v>
      </c>
      <c r="L15" s="81" t="s">
        <v>29</v>
      </c>
      <c r="M15" s="21" t="s">
        <v>52</v>
      </c>
      <c r="N15" s="25"/>
      <c r="O15" s="26"/>
      <c r="P15" s="26"/>
      <c r="Q15" s="1"/>
      <c r="R15" s="1"/>
    </row>
    <row r="16">
      <c r="A16" s="1"/>
      <c r="B16" s="32"/>
      <c r="C16" s="15" t="s">
        <v>266</v>
      </c>
      <c r="D16" s="16" t="s">
        <v>33</v>
      </c>
      <c r="E16" s="17"/>
      <c r="F16" s="30">
        <v>46100.0</v>
      </c>
      <c r="G16" s="20"/>
      <c r="H16" s="20">
        <v>370000.0</v>
      </c>
      <c r="I16" s="21" t="s">
        <v>27</v>
      </c>
      <c r="J16" s="21" t="s">
        <v>36</v>
      </c>
      <c r="K16" s="21" t="s">
        <v>38</v>
      </c>
      <c r="L16" s="81" t="s">
        <v>29</v>
      </c>
      <c r="M16" s="21" t="s">
        <v>52</v>
      </c>
      <c r="N16" s="25"/>
      <c r="O16" s="26"/>
      <c r="P16" s="26"/>
      <c r="Q16" s="1"/>
      <c r="R16" s="1"/>
    </row>
    <row r="17">
      <c r="A17" s="1"/>
      <c r="B17" s="32"/>
      <c r="C17" s="15" t="s">
        <v>152</v>
      </c>
      <c r="D17" s="16" t="s">
        <v>33</v>
      </c>
      <c r="E17" s="17"/>
      <c r="F17" s="30">
        <v>46100.0</v>
      </c>
      <c r="G17" s="20">
        <v>290000.0</v>
      </c>
      <c r="H17" s="20"/>
      <c r="I17" s="21" t="s">
        <v>27</v>
      </c>
      <c r="J17" s="21" t="s">
        <v>36</v>
      </c>
      <c r="K17" s="21" t="s">
        <v>38</v>
      </c>
      <c r="L17" s="81" t="s">
        <v>29</v>
      </c>
      <c r="M17" s="21" t="s">
        <v>52</v>
      </c>
      <c r="N17" s="25"/>
      <c r="O17" s="26"/>
      <c r="P17" s="26"/>
      <c r="Q17" s="1"/>
      <c r="R17" s="1"/>
    </row>
    <row r="18">
      <c r="A18" s="1"/>
      <c r="B18" s="32"/>
      <c r="C18" s="15" t="s">
        <v>201</v>
      </c>
      <c r="D18" s="16" t="s">
        <v>33</v>
      </c>
      <c r="E18" s="17"/>
      <c r="F18" s="30">
        <v>46100.0</v>
      </c>
      <c r="G18" s="20">
        <v>0.0</v>
      </c>
      <c r="H18" s="20">
        <v>0.0</v>
      </c>
      <c r="I18" s="21" t="s">
        <v>27</v>
      </c>
      <c r="J18" s="21" t="s">
        <v>36</v>
      </c>
      <c r="K18" s="21" t="s">
        <v>38</v>
      </c>
      <c r="L18" s="81" t="s">
        <v>29</v>
      </c>
      <c r="M18" s="21" t="s">
        <v>52</v>
      </c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860000</v>
      </c>
      <c r="H19" s="37">
        <f t="shared" si="1"/>
        <v>2670000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860000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26</v>
      </c>
      <c r="P23" s="1"/>
      <c r="Q23" s="1"/>
      <c r="R23" s="1"/>
    </row>
    <row r="24">
      <c r="A24" s="1"/>
      <c r="B24" s="46">
        <v>2.0</v>
      </c>
      <c r="C24" s="47" t="s">
        <v>84</v>
      </c>
      <c r="D24" s="48">
        <v>-16000.0</v>
      </c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29</v>
      </c>
      <c r="P24" s="1"/>
      <c r="Q24" s="1"/>
      <c r="R24" s="1"/>
    </row>
    <row r="25">
      <c r="A25" s="1"/>
      <c r="B25" s="41">
        <v>3.0</v>
      </c>
      <c r="C25" s="42" t="s">
        <v>81</v>
      </c>
      <c r="D25" s="52">
        <v>-50000.0</v>
      </c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52</v>
      </c>
      <c r="P25" s="1"/>
      <c r="Q25" s="1"/>
      <c r="R25" s="1"/>
    </row>
    <row r="26">
      <c r="A26" s="1"/>
      <c r="B26" s="46">
        <v>4.0</v>
      </c>
      <c r="C26" s="47" t="s">
        <v>83</v>
      </c>
      <c r="D26" s="48">
        <v>-54000.0</v>
      </c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52</v>
      </c>
      <c r="P26" s="1"/>
      <c r="Q26" s="1"/>
      <c r="R26" s="1"/>
    </row>
    <row r="27">
      <c r="A27" s="1"/>
      <c r="B27" s="41"/>
      <c r="C27" s="42" t="s">
        <v>76</v>
      </c>
      <c r="D27" s="52">
        <v>-50000.0</v>
      </c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690000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2 O23:O24">
      <formula1>"-,JIJANG,ADDEL,PENTIL,FAHME,INDAH"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Edit,Add Cetak 16R"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82"/>
      <c r="D4" s="83"/>
      <c r="E4" s="84"/>
      <c r="F4" s="18">
        <v>45231.0</v>
      </c>
      <c r="G4" s="19"/>
      <c r="H4" s="20"/>
      <c r="I4" s="21"/>
      <c r="J4" s="21"/>
      <c r="K4" s="21"/>
      <c r="L4" s="21"/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82"/>
      <c r="D5" s="83"/>
      <c r="E5" s="84"/>
      <c r="F5" s="18"/>
      <c r="G5" s="19"/>
      <c r="H5" s="20"/>
      <c r="I5" s="21"/>
      <c r="J5" s="21"/>
      <c r="K5" s="21"/>
      <c r="L5" s="21"/>
      <c r="M5" s="21"/>
      <c r="N5" s="25"/>
      <c r="O5" s="25"/>
      <c r="P5" s="26"/>
      <c r="Q5" s="1"/>
      <c r="R5" s="1"/>
    </row>
    <row r="6">
      <c r="A6" s="1"/>
      <c r="B6" s="14">
        <v>3.0</v>
      </c>
      <c r="C6" s="82"/>
      <c r="D6" s="83"/>
      <c r="E6" s="84"/>
      <c r="F6" s="32"/>
      <c r="G6" s="27"/>
      <c r="H6" s="20"/>
      <c r="I6" s="21"/>
      <c r="J6" s="21"/>
      <c r="K6" s="21"/>
      <c r="L6" s="28"/>
      <c r="M6" s="28"/>
      <c r="N6" s="25"/>
      <c r="O6" s="25"/>
      <c r="P6" s="26"/>
      <c r="Q6" s="1"/>
      <c r="R6" s="1"/>
    </row>
    <row r="7">
      <c r="A7" s="1"/>
      <c r="B7" s="14">
        <v>4.0</v>
      </c>
      <c r="C7" s="82"/>
      <c r="D7" s="83"/>
      <c r="E7" s="84"/>
      <c r="F7" s="32"/>
      <c r="G7" s="19"/>
      <c r="H7" s="33"/>
      <c r="I7" s="21"/>
      <c r="J7" s="21"/>
      <c r="K7" s="21"/>
      <c r="L7" s="28"/>
      <c r="M7" s="28"/>
      <c r="N7" s="25"/>
      <c r="O7" s="25"/>
      <c r="P7" s="26"/>
      <c r="Q7" s="1"/>
      <c r="R7" s="1"/>
    </row>
    <row r="8">
      <c r="A8" s="1"/>
      <c r="B8" s="14">
        <v>5.0</v>
      </c>
      <c r="C8" s="82"/>
      <c r="D8" s="83"/>
      <c r="E8" s="84"/>
      <c r="F8" s="32"/>
      <c r="G8" s="19"/>
      <c r="H8" s="33"/>
      <c r="I8" s="21"/>
      <c r="J8" s="21"/>
      <c r="K8" s="21"/>
      <c r="L8" s="28"/>
      <c r="M8" s="28"/>
      <c r="N8" s="25"/>
      <c r="O8" s="26"/>
      <c r="P8" s="26"/>
      <c r="Q8" s="1"/>
      <c r="R8" s="1"/>
    </row>
    <row r="9">
      <c r="A9" s="1"/>
      <c r="B9" s="14">
        <v>6.0</v>
      </c>
      <c r="C9" s="82"/>
      <c r="D9" s="83"/>
      <c r="E9" s="84"/>
      <c r="F9" s="32"/>
      <c r="G9" s="19"/>
      <c r="H9" s="33"/>
      <c r="I9" s="21"/>
      <c r="J9" s="21"/>
      <c r="K9" s="21"/>
      <c r="L9" s="28"/>
      <c r="M9" s="28"/>
      <c r="N9" s="25"/>
      <c r="O9" s="26"/>
      <c r="P9" s="26"/>
      <c r="Q9" s="1"/>
      <c r="R9" s="1"/>
    </row>
    <row r="10">
      <c r="A10" s="1"/>
      <c r="B10" s="14">
        <v>7.0</v>
      </c>
      <c r="C10" s="82"/>
      <c r="D10" s="83"/>
      <c r="E10" s="84"/>
      <c r="F10" s="32"/>
      <c r="G10" s="19"/>
      <c r="H10" s="33"/>
      <c r="I10" s="21"/>
      <c r="J10" s="21"/>
      <c r="K10" s="21"/>
      <c r="L10" s="28"/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82"/>
      <c r="D11" s="83"/>
      <c r="E11" s="84"/>
      <c r="F11" s="32"/>
      <c r="G11" s="19"/>
      <c r="H11" s="33"/>
      <c r="I11" s="21"/>
      <c r="J11" s="21"/>
      <c r="K11" s="21"/>
      <c r="L11" s="28"/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82"/>
      <c r="D12" s="83"/>
      <c r="E12" s="84"/>
      <c r="F12" s="32"/>
      <c r="G12" s="19"/>
      <c r="H12" s="33"/>
      <c r="I12" s="21"/>
      <c r="J12" s="21"/>
      <c r="K12" s="21"/>
      <c r="L12" s="28"/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82"/>
      <c r="D13" s="83"/>
      <c r="E13" s="84"/>
      <c r="F13" s="32"/>
      <c r="G13" s="19"/>
      <c r="H13" s="33"/>
      <c r="I13" s="21"/>
      <c r="J13" s="21"/>
      <c r="K13" s="21"/>
      <c r="L13" s="28"/>
      <c r="M13" s="28"/>
      <c r="N13" s="25"/>
      <c r="O13" s="26"/>
      <c r="P13" s="26"/>
      <c r="Q13" s="1"/>
      <c r="R13" s="1"/>
    </row>
    <row r="14">
      <c r="A14" s="1"/>
      <c r="B14" s="32"/>
      <c r="C14" s="82"/>
      <c r="D14" s="83"/>
      <c r="E14" s="84"/>
      <c r="F14" s="32"/>
      <c r="G14" s="19"/>
      <c r="H14" s="33"/>
      <c r="I14" s="21"/>
      <c r="J14" s="21"/>
      <c r="K14" s="21"/>
      <c r="L14" s="28"/>
      <c r="M14" s="28"/>
      <c r="N14" s="25"/>
      <c r="O14" s="26"/>
      <c r="P14" s="26"/>
      <c r="Q14" s="1"/>
      <c r="R14" s="1"/>
    </row>
    <row r="15">
      <c r="A15" s="1"/>
      <c r="B15" s="32"/>
      <c r="C15" s="82"/>
      <c r="D15" s="83"/>
      <c r="E15" s="84"/>
      <c r="F15" s="32"/>
      <c r="G15" s="19"/>
      <c r="H15" s="33"/>
      <c r="I15" s="21"/>
      <c r="J15" s="21"/>
      <c r="K15" s="21"/>
      <c r="L15" s="28"/>
      <c r="M15" s="28"/>
      <c r="N15" s="25"/>
      <c r="O15" s="26"/>
      <c r="P15" s="26"/>
      <c r="Q15" s="1"/>
      <c r="R15" s="1"/>
    </row>
    <row r="16">
      <c r="A16" s="1"/>
      <c r="B16" s="32"/>
      <c r="C16" s="82"/>
      <c r="D16" s="83"/>
      <c r="E16" s="84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82"/>
      <c r="D17" s="83"/>
      <c r="E17" s="84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82"/>
      <c r="D18" s="83"/>
      <c r="E18" s="84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0</v>
      </c>
      <c r="H19" s="37">
        <f t="shared" si="1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/>
      <c r="P23" s="1"/>
      <c r="Q23" s="1"/>
      <c r="R23" s="1"/>
    </row>
    <row r="24">
      <c r="A24" s="1"/>
      <c r="B24" s="46">
        <v>2.0</v>
      </c>
      <c r="C24" s="47"/>
      <c r="D24" s="48"/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/>
      <c r="P24" s="1"/>
      <c r="Q24" s="1"/>
      <c r="R24" s="1"/>
    </row>
    <row r="25">
      <c r="A25" s="1"/>
      <c r="B25" s="41">
        <v>3.0</v>
      </c>
      <c r="C25" s="42"/>
      <c r="D25" s="52"/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/>
      <c r="P25" s="1"/>
      <c r="Q25" s="1"/>
      <c r="R25" s="1"/>
    </row>
    <row r="26">
      <c r="A26" s="1"/>
      <c r="B26" s="46">
        <v>4.0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/>
      <c r="P26" s="1"/>
      <c r="Q26" s="1"/>
      <c r="R26" s="1"/>
    </row>
    <row r="27">
      <c r="A27" s="1"/>
      <c r="B27" s="41"/>
      <c r="C27" s="55"/>
      <c r="D27" s="43"/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"-,VERO,FADEL,PENTIL,FAHME"</formula1>
    </dataValidation>
    <dataValidation type="list" allowBlank="1" showDropDown="1" showErrorMessage="1" sqref="L4:L18 O23:O24">
      <formula1>"-,JIJANG,AXEL,PENTIL,FAHME"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82"/>
      <c r="D4" s="83"/>
      <c r="E4" s="17"/>
      <c r="F4" s="18">
        <v>45231.0</v>
      </c>
      <c r="G4" s="19"/>
      <c r="H4" s="20"/>
      <c r="I4" s="21"/>
      <c r="J4" s="21"/>
      <c r="K4" s="21"/>
      <c r="L4" s="21"/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82"/>
      <c r="D5" s="83"/>
      <c r="E5" s="17"/>
      <c r="F5" s="18"/>
      <c r="G5" s="19"/>
      <c r="H5" s="20"/>
      <c r="I5" s="21"/>
      <c r="J5" s="21"/>
      <c r="K5" s="21"/>
      <c r="L5" s="21"/>
      <c r="M5" s="21"/>
      <c r="N5" s="25"/>
      <c r="O5" s="25"/>
      <c r="P5" s="26"/>
      <c r="Q5" s="1"/>
      <c r="R5" s="1"/>
    </row>
    <row r="6">
      <c r="A6" s="1"/>
      <c r="B6" s="14">
        <v>3.0</v>
      </c>
      <c r="C6" s="82"/>
      <c r="D6" s="83"/>
      <c r="E6" s="17"/>
      <c r="F6" s="32"/>
      <c r="G6" s="27"/>
      <c r="H6" s="20"/>
      <c r="I6" s="21"/>
      <c r="J6" s="21"/>
      <c r="K6" s="21"/>
      <c r="L6" s="28"/>
      <c r="M6" s="28"/>
      <c r="N6" s="25"/>
      <c r="O6" s="25"/>
      <c r="P6" s="26"/>
      <c r="Q6" s="1"/>
      <c r="R6" s="1"/>
    </row>
    <row r="7">
      <c r="A7" s="1"/>
      <c r="B7" s="14">
        <v>4.0</v>
      </c>
      <c r="C7" s="82"/>
      <c r="D7" s="83"/>
      <c r="E7" s="17"/>
      <c r="F7" s="32"/>
      <c r="G7" s="19"/>
      <c r="H7" s="33"/>
      <c r="I7" s="21"/>
      <c r="J7" s="21"/>
      <c r="K7" s="21"/>
      <c r="L7" s="28"/>
      <c r="M7" s="28"/>
      <c r="N7" s="25"/>
      <c r="O7" s="25"/>
      <c r="P7" s="26"/>
      <c r="Q7" s="1"/>
      <c r="R7" s="1"/>
    </row>
    <row r="8">
      <c r="A8" s="1"/>
      <c r="B8" s="14">
        <v>5.0</v>
      </c>
      <c r="C8" s="82"/>
      <c r="D8" s="83"/>
      <c r="E8" s="17"/>
      <c r="F8" s="32"/>
      <c r="G8" s="19"/>
      <c r="H8" s="33"/>
      <c r="I8" s="21"/>
      <c r="J8" s="21"/>
      <c r="K8" s="21"/>
      <c r="L8" s="28"/>
      <c r="M8" s="28"/>
      <c r="N8" s="25"/>
      <c r="O8" s="26"/>
      <c r="P8" s="26"/>
      <c r="Q8" s="1"/>
      <c r="R8" s="1"/>
    </row>
    <row r="9">
      <c r="A9" s="1"/>
      <c r="B9" s="14">
        <v>6.0</v>
      </c>
      <c r="C9" s="82"/>
      <c r="D9" s="83"/>
      <c r="E9" s="17"/>
      <c r="F9" s="32"/>
      <c r="G9" s="19"/>
      <c r="H9" s="33"/>
      <c r="I9" s="21"/>
      <c r="J9" s="21"/>
      <c r="K9" s="21"/>
      <c r="L9" s="28"/>
      <c r="M9" s="28"/>
      <c r="N9" s="25"/>
      <c r="O9" s="26"/>
      <c r="P9" s="26"/>
      <c r="Q9" s="1"/>
      <c r="R9" s="1"/>
    </row>
    <row r="10">
      <c r="A10" s="1"/>
      <c r="B10" s="14">
        <v>7.0</v>
      </c>
      <c r="C10" s="82"/>
      <c r="D10" s="83"/>
      <c r="E10" s="17"/>
      <c r="F10" s="32"/>
      <c r="G10" s="19"/>
      <c r="H10" s="33"/>
      <c r="I10" s="21"/>
      <c r="J10" s="21"/>
      <c r="K10" s="21"/>
      <c r="L10" s="28"/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82"/>
      <c r="D11" s="83"/>
      <c r="E11" s="17"/>
      <c r="F11" s="32"/>
      <c r="G11" s="19"/>
      <c r="H11" s="33"/>
      <c r="I11" s="21"/>
      <c r="J11" s="21"/>
      <c r="K11" s="21"/>
      <c r="L11" s="28"/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82"/>
      <c r="D12" s="83"/>
      <c r="E12" s="17"/>
      <c r="F12" s="32"/>
      <c r="G12" s="19"/>
      <c r="H12" s="33"/>
      <c r="I12" s="21"/>
      <c r="J12" s="21"/>
      <c r="K12" s="21"/>
      <c r="L12" s="28"/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82"/>
      <c r="D13" s="83"/>
      <c r="E13" s="17"/>
      <c r="F13" s="32"/>
      <c r="G13" s="19"/>
      <c r="H13" s="33"/>
      <c r="I13" s="21"/>
      <c r="J13" s="21"/>
      <c r="K13" s="21"/>
      <c r="L13" s="28"/>
      <c r="M13" s="28"/>
      <c r="N13" s="25"/>
      <c r="O13" s="26"/>
      <c r="P13" s="26"/>
      <c r="Q13" s="1"/>
      <c r="R13" s="1"/>
    </row>
    <row r="14">
      <c r="A14" s="1"/>
      <c r="B14" s="32"/>
      <c r="C14" s="82"/>
      <c r="D14" s="83"/>
      <c r="E14" s="17"/>
      <c r="F14" s="32"/>
      <c r="G14" s="19"/>
      <c r="H14" s="33"/>
      <c r="I14" s="21"/>
      <c r="J14" s="21"/>
      <c r="K14" s="21"/>
      <c r="L14" s="28"/>
      <c r="M14" s="28"/>
      <c r="N14" s="25"/>
      <c r="O14" s="26"/>
      <c r="P14" s="26"/>
      <c r="Q14" s="1"/>
      <c r="R14" s="1"/>
    </row>
    <row r="15">
      <c r="A15" s="1"/>
      <c r="B15" s="32"/>
      <c r="C15" s="82"/>
      <c r="D15" s="83"/>
      <c r="E15" s="17"/>
      <c r="F15" s="32"/>
      <c r="G15" s="19"/>
      <c r="H15" s="33"/>
      <c r="I15" s="21"/>
      <c r="J15" s="21"/>
      <c r="K15" s="21"/>
      <c r="L15" s="28"/>
      <c r="M15" s="28"/>
      <c r="N15" s="25"/>
      <c r="O15" s="26"/>
      <c r="P15" s="26"/>
      <c r="Q15" s="1"/>
      <c r="R15" s="1"/>
    </row>
    <row r="16">
      <c r="A16" s="1"/>
      <c r="B16" s="32"/>
      <c r="C16" s="82"/>
      <c r="D16" s="83"/>
      <c r="E16" s="17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82"/>
      <c r="D17" s="83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85"/>
      <c r="D18" s="83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0</v>
      </c>
      <c r="H19" s="37">
        <f t="shared" si="1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/>
      <c r="P23" s="1"/>
      <c r="Q23" s="1"/>
      <c r="R23" s="1"/>
    </row>
    <row r="24">
      <c r="A24" s="1"/>
      <c r="B24" s="46">
        <v>2.0</v>
      </c>
      <c r="C24" s="47"/>
      <c r="D24" s="48"/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/>
      <c r="P24" s="1"/>
      <c r="Q24" s="1"/>
      <c r="R24" s="1"/>
    </row>
    <row r="25">
      <c r="A25" s="1"/>
      <c r="B25" s="41">
        <v>3.0</v>
      </c>
      <c r="C25" s="42"/>
      <c r="D25" s="52"/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/>
      <c r="P25" s="1"/>
      <c r="Q25" s="1"/>
      <c r="R25" s="1"/>
    </row>
    <row r="26">
      <c r="A26" s="1"/>
      <c r="B26" s="46">
        <v>4.0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/>
      <c r="P26" s="1"/>
      <c r="Q26" s="1"/>
      <c r="R26" s="1"/>
    </row>
    <row r="27">
      <c r="A27" s="1"/>
      <c r="B27" s="41"/>
      <c r="C27" s="55"/>
      <c r="D27" s="43"/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"-,VERO,FADEL,PENTIL,FAHME"</formula1>
    </dataValidation>
    <dataValidation type="list" allowBlank="1" showDropDown="1" showErrorMessage="1" sqref="L4:L18 O23:O24">
      <formula1>"-,JIJANG,AXEL,PENTIL,FAHME"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268</v>
      </c>
      <c r="D4" s="16" t="s">
        <v>34</v>
      </c>
      <c r="E4" s="17"/>
      <c r="F4" s="18">
        <v>46103.0</v>
      </c>
      <c r="G4" s="19"/>
      <c r="H4" s="20">
        <v>100000.0</v>
      </c>
      <c r="I4" s="21" t="s">
        <v>24</v>
      </c>
      <c r="J4" s="21"/>
      <c r="K4" s="21"/>
      <c r="L4" s="21" t="s">
        <v>29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270</v>
      </c>
      <c r="D5" s="16" t="s">
        <v>34</v>
      </c>
      <c r="E5" s="17"/>
      <c r="F5" s="18">
        <v>46106.0</v>
      </c>
      <c r="G5" s="19"/>
      <c r="H5" s="20">
        <v>100000.0</v>
      </c>
      <c r="I5" s="21" t="s">
        <v>24</v>
      </c>
      <c r="J5" s="21"/>
      <c r="K5" s="21"/>
      <c r="L5" s="21" t="s">
        <v>29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261</v>
      </c>
      <c r="D6" s="16" t="s">
        <v>34</v>
      </c>
      <c r="E6" s="17"/>
      <c r="F6" s="30">
        <v>46103.0</v>
      </c>
      <c r="G6" s="27"/>
      <c r="H6" s="20">
        <v>350000.0</v>
      </c>
      <c r="I6" s="21" t="s">
        <v>27</v>
      </c>
      <c r="J6" s="21" t="s">
        <v>36</v>
      </c>
      <c r="K6" s="21" t="s">
        <v>36</v>
      </c>
      <c r="L6" s="21" t="s">
        <v>29</v>
      </c>
      <c r="M6" s="21" t="s">
        <v>60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273</v>
      </c>
      <c r="D7" s="16" t="s">
        <v>33</v>
      </c>
      <c r="E7" s="17"/>
      <c r="F7" s="30">
        <v>46103.0</v>
      </c>
      <c r="G7" s="19"/>
      <c r="H7" s="20">
        <v>250000.0</v>
      </c>
      <c r="I7" s="21" t="s">
        <v>27</v>
      </c>
      <c r="J7" s="21" t="s">
        <v>36</v>
      </c>
      <c r="K7" s="21" t="s">
        <v>38</v>
      </c>
      <c r="L7" s="21" t="s">
        <v>29</v>
      </c>
      <c r="M7" s="21" t="s">
        <v>60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161</v>
      </c>
      <c r="D8" s="16" t="s">
        <v>33</v>
      </c>
      <c r="E8" s="17"/>
      <c r="F8" s="30">
        <v>46104.0</v>
      </c>
      <c r="G8" s="19"/>
      <c r="H8" s="20">
        <v>100000.0</v>
      </c>
      <c r="I8" s="21" t="s">
        <v>24</v>
      </c>
      <c r="J8" s="21"/>
      <c r="K8" s="21"/>
      <c r="L8" s="21" t="s">
        <v>29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275</v>
      </c>
      <c r="D9" s="16" t="s">
        <v>33</v>
      </c>
      <c r="E9" s="17"/>
      <c r="F9" s="30">
        <v>46103.0</v>
      </c>
      <c r="G9" s="19"/>
      <c r="H9" s="20">
        <v>100000.0</v>
      </c>
      <c r="I9" s="21" t="s">
        <v>24</v>
      </c>
      <c r="J9" s="21"/>
      <c r="K9" s="21"/>
      <c r="L9" s="21" t="s">
        <v>29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277</v>
      </c>
      <c r="D10" s="16" t="s">
        <v>23</v>
      </c>
      <c r="E10" s="17"/>
      <c r="F10" s="30">
        <v>46111.0</v>
      </c>
      <c r="G10" s="19"/>
      <c r="H10" s="20">
        <v>100000.0</v>
      </c>
      <c r="I10" s="21" t="s">
        <v>24</v>
      </c>
      <c r="J10" s="21"/>
      <c r="K10" s="21"/>
      <c r="L10" s="21" t="s">
        <v>29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279</v>
      </c>
      <c r="D11" s="16" t="s">
        <v>20</v>
      </c>
      <c r="E11" s="17"/>
      <c r="F11" s="30">
        <v>46112.0</v>
      </c>
      <c r="G11" s="19"/>
      <c r="H11" s="20">
        <v>100000.0</v>
      </c>
      <c r="I11" s="21" t="s">
        <v>24</v>
      </c>
      <c r="J11" s="21"/>
      <c r="K11" s="21"/>
      <c r="L11" s="21" t="s">
        <v>29</v>
      </c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280</v>
      </c>
      <c r="D12" s="16" t="s">
        <v>33</v>
      </c>
      <c r="E12" s="17"/>
      <c r="F12" s="30">
        <v>46107.0</v>
      </c>
      <c r="G12" s="19"/>
      <c r="H12" s="20">
        <v>100000.0</v>
      </c>
      <c r="I12" s="21" t="s">
        <v>24</v>
      </c>
      <c r="J12" s="21"/>
      <c r="K12" s="21"/>
      <c r="L12" s="21" t="s">
        <v>29</v>
      </c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213</v>
      </c>
      <c r="D13" s="16" t="s">
        <v>33</v>
      </c>
      <c r="E13" s="17"/>
      <c r="F13" s="30">
        <v>46105.0</v>
      </c>
      <c r="G13" s="19"/>
      <c r="H13" s="20">
        <v>100000.0</v>
      </c>
      <c r="I13" s="21" t="s">
        <v>24</v>
      </c>
      <c r="J13" s="21"/>
      <c r="K13" s="21"/>
      <c r="L13" s="21" t="s">
        <v>29</v>
      </c>
      <c r="M13" s="28"/>
      <c r="N13" s="25"/>
      <c r="O13" s="26"/>
      <c r="P13" s="26"/>
      <c r="Q13" s="1"/>
      <c r="R13" s="1"/>
    </row>
    <row r="14">
      <c r="A14" s="1"/>
      <c r="B14" s="32"/>
      <c r="C14" s="15" t="s">
        <v>283</v>
      </c>
      <c r="D14" s="16" t="s">
        <v>51</v>
      </c>
      <c r="E14" s="17"/>
      <c r="F14" s="30">
        <v>46105.0</v>
      </c>
      <c r="G14" s="19"/>
      <c r="H14" s="20">
        <v>100000.0</v>
      </c>
      <c r="I14" s="21" t="s">
        <v>24</v>
      </c>
      <c r="J14" s="21"/>
      <c r="K14" s="21"/>
      <c r="L14" s="21" t="s">
        <v>29</v>
      </c>
      <c r="M14" s="28"/>
      <c r="N14" s="25"/>
      <c r="O14" s="26"/>
      <c r="P14" s="26"/>
      <c r="Q14" s="1"/>
      <c r="R14" s="1"/>
    </row>
    <row r="15">
      <c r="A15" s="1"/>
      <c r="B15" s="32"/>
      <c r="C15" s="15" t="s">
        <v>284</v>
      </c>
      <c r="D15" s="16" t="s">
        <v>33</v>
      </c>
      <c r="E15" s="17"/>
      <c r="F15" s="30">
        <v>46105.0</v>
      </c>
      <c r="G15" s="19"/>
      <c r="H15" s="20">
        <v>250000.0</v>
      </c>
      <c r="I15" s="21" t="s">
        <v>27</v>
      </c>
      <c r="J15" s="21" t="s">
        <v>36</v>
      </c>
      <c r="K15" s="21" t="s">
        <v>38</v>
      </c>
      <c r="L15" s="21" t="s">
        <v>29</v>
      </c>
      <c r="M15" s="21" t="s">
        <v>60</v>
      </c>
      <c r="N15" s="25"/>
      <c r="O15" s="26"/>
      <c r="P15" s="26"/>
      <c r="Q15" s="1"/>
      <c r="R15" s="1"/>
    </row>
    <row r="16">
      <c r="A16" s="1"/>
      <c r="B16" s="32"/>
      <c r="C16" s="15" t="s">
        <v>268</v>
      </c>
      <c r="D16" s="16" t="s">
        <v>34</v>
      </c>
      <c r="E16" s="17"/>
      <c r="F16" s="30">
        <v>46103.0</v>
      </c>
      <c r="G16" s="19"/>
      <c r="H16" s="20">
        <v>390000.0</v>
      </c>
      <c r="I16" s="21" t="s">
        <v>27</v>
      </c>
      <c r="J16" s="21" t="s">
        <v>36</v>
      </c>
      <c r="K16" s="21" t="s">
        <v>38</v>
      </c>
      <c r="L16" s="21" t="s">
        <v>29</v>
      </c>
      <c r="M16" s="21" t="s">
        <v>60</v>
      </c>
      <c r="N16" s="25"/>
      <c r="O16" s="26"/>
      <c r="P16" s="26"/>
      <c r="Q16" s="1"/>
      <c r="R16" s="1"/>
    </row>
    <row r="17">
      <c r="A17" s="1"/>
      <c r="B17" s="32"/>
      <c r="C17" s="15" t="s">
        <v>286</v>
      </c>
      <c r="D17" s="16" t="s">
        <v>23</v>
      </c>
      <c r="E17" s="17"/>
      <c r="F17" s="30">
        <v>46112.0</v>
      </c>
      <c r="G17" s="19"/>
      <c r="H17" s="20">
        <v>100000.0</v>
      </c>
      <c r="I17" s="21" t="s">
        <v>24</v>
      </c>
      <c r="J17" s="21"/>
      <c r="K17" s="21"/>
      <c r="L17" s="21" t="s">
        <v>29</v>
      </c>
      <c r="M17" s="28"/>
      <c r="N17" s="25"/>
      <c r="O17" s="26"/>
      <c r="P17" s="26"/>
      <c r="Q17" s="1"/>
      <c r="R17" s="1"/>
    </row>
    <row r="18">
      <c r="A18" s="1"/>
      <c r="B18" s="32"/>
      <c r="C18" s="15" t="s">
        <v>172</v>
      </c>
      <c r="D18" s="16" t="s">
        <v>33</v>
      </c>
      <c r="E18" s="17"/>
      <c r="F18" s="30">
        <v>46105.0</v>
      </c>
      <c r="G18" s="19"/>
      <c r="H18" s="20">
        <v>270000.0</v>
      </c>
      <c r="I18" s="21" t="s">
        <v>27</v>
      </c>
      <c r="J18" s="21" t="s">
        <v>36</v>
      </c>
      <c r="K18" s="21" t="s">
        <v>38</v>
      </c>
      <c r="L18" s="21" t="s">
        <v>29</v>
      </c>
      <c r="M18" s="21" t="s">
        <v>60</v>
      </c>
      <c r="N18" s="25"/>
      <c r="O18" s="26"/>
      <c r="P18" s="26"/>
      <c r="Q18" s="1"/>
      <c r="R18" s="1"/>
    </row>
    <row r="19">
      <c r="A19" s="1"/>
      <c r="B19" s="32"/>
      <c r="C19" s="15" t="s">
        <v>289</v>
      </c>
      <c r="D19" s="16" t="s">
        <v>23</v>
      </c>
      <c r="E19" s="17"/>
      <c r="F19" s="30">
        <v>46112.0</v>
      </c>
      <c r="G19" s="19"/>
      <c r="H19" s="20">
        <v>100000.0</v>
      </c>
      <c r="I19" s="21" t="s">
        <v>24</v>
      </c>
      <c r="J19" s="21"/>
      <c r="K19" s="21"/>
      <c r="L19" s="21" t="s">
        <v>29</v>
      </c>
      <c r="M19" s="28"/>
      <c r="N19" s="25"/>
      <c r="O19" s="26"/>
      <c r="P19" s="26"/>
      <c r="Q19" s="1"/>
      <c r="R19" s="1"/>
    </row>
    <row r="20">
      <c r="A20" s="1"/>
      <c r="B20" s="32"/>
      <c r="C20" s="15" t="s">
        <v>290</v>
      </c>
      <c r="D20" s="16" t="s">
        <v>34</v>
      </c>
      <c r="E20" s="17"/>
      <c r="F20" s="30">
        <v>46105.0</v>
      </c>
      <c r="G20" s="19"/>
      <c r="H20" s="20">
        <v>100000.0</v>
      </c>
      <c r="I20" s="21" t="s">
        <v>24</v>
      </c>
      <c r="J20" s="21"/>
      <c r="K20" s="21"/>
      <c r="L20" s="21" t="s">
        <v>29</v>
      </c>
      <c r="M20" s="28"/>
      <c r="N20" s="25"/>
      <c r="O20" s="26"/>
      <c r="P20" s="26"/>
      <c r="Q20" s="1"/>
      <c r="R20" s="1"/>
    </row>
    <row r="21">
      <c r="A21" s="1"/>
      <c r="B21" s="32"/>
      <c r="C21" s="15" t="s">
        <v>293</v>
      </c>
      <c r="D21" s="16" t="s">
        <v>51</v>
      </c>
      <c r="E21" s="17"/>
      <c r="F21" s="30">
        <v>46105.0</v>
      </c>
      <c r="G21" s="19"/>
      <c r="H21" s="20">
        <v>100000.0</v>
      </c>
      <c r="I21" s="21" t="s">
        <v>24</v>
      </c>
      <c r="J21" s="21"/>
      <c r="K21" s="21"/>
      <c r="L21" s="21" t="s">
        <v>29</v>
      </c>
      <c r="M21" s="28"/>
      <c r="N21" s="25"/>
      <c r="O21" s="26"/>
      <c r="P21" s="26"/>
      <c r="Q21" s="1"/>
      <c r="R21" s="1"/>
    </row>
    <row r="22">
      <c r="A22" s="1"/>
      <c r="B22" s="32"/>
      <c r="C22" s="15" t="s">
        <v>257</v>
      </c>
      <c r="D22" s="16" t="s">
        <v>34</v>
      </c>
      <c r="E22" s="17"/>
      <c r="F22" s="30">
        <v>46103.0</v>
      </c>
      <c r="G22" s="19"/>
      <c r="H22" s="20">
        <v>370000.0</v>
      </c>
      <c r="I22" s="21" t="s">
        <v>27</v>
      </c>
      <c r="J22" s="21" t="s">
        <v>36</v>
      </c>
      <c r="K22" s="21" t="s">
        <v>38</v>
      </c>
      <c r="L22" s="21" t="s">
        <v>29</v>
      </c>
      <c r="M22" s="21" t="s">
        <v>60</v>
      </c>
      <c r="N22" s="25"/>
      <c r="O22" s="26"/>
      <c r="P22" s="26"/>
      <c r="Q22" s="1"/>
      <c r="R22" s="1"/>
    </row>
    <row r="23">
      <c r="A23" s="1"/>
      <c r="B23" s="32"/>
      <c r="C23" s="15" t="s">
        <v>275</v>
      </c>
      <c r="D23" s="16" t="s">
        <v>34</v>
      </c>
      <c r="E23" s="17"/>
      <c r="F23" s="30">
        <v>46103.0</v>
      </c>
      <c r="G23" s="19"/>
      <c r="H23" s="20">
        <v>770000.0</v>
      </c>
      <c r="I23" s="21" t="s">
        <v>27</v>
      </c>
      <c r="J23" s="21" t="s">
        <v>36</v>
      </c>
      <c r="K23" s="21" t="s">
        <v>38</v>
      </c>
      <c r="L23" s="21" t="s">
        <v>29</v>
      </c>
      <c r="M23" s="21" t="s">
        <v>60</v>
      </c>
      <c r="N23" s="25"/>
      <c r="O23" s="26"/>
      <c r="P23" s="26"/>
      <c r="Q23" s="1"/>
      <c r="R23" s="1"/>
    </row>
    <row r="24">
      <c r="A24" s="1"/>
      <c r="B24" s="32"/>
      <c r="C24" s="34"/>
      <c r="D24" s="16"/>
      <c r="E24" s="17"/>
      <c r="F24" s="32"/>
      <c r="G24" s="27"/>
      <c r="H24" s="33"/>
      <c r="I24" s="28"/>
      <c r="J24" s="28"/>
      <c r="K24" s="28"/>
      <c r="L24" s="28"/>
      <c r="M24" s="28"/>
      <c r="N24" s="35"/>
      <c r="O24" s="35"/>
      <c r="P24" s="35"/>
      <c r="Q24" s="1"/>
      <c r="R24" s="1"/>
    </row>
    <row r="25" ht="18.75" customHeight="1">
      <c r="A25" s="1"/>
      <c r="B25" s="1"/>
      <c r="C25" s="2"/>
      <c r="D25" s="2"/>
      <c r="E25" s="1"/>
      <c r="F25" s="1"/>
      <c r="G25" s="36">
        <f t="shared" ref="G25:H25" si="1">SUM(G4:G24)</f>
        <v>0</v>
      </c>
      <c r="H25" s="37">
        <f t="shared" si="1"/>
        <v>3950000</v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23.25" customHeight="1">
      <c r="A26" s="1"/>
      <c r="B26" s="1"/>
      <c r="C26" s="2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38" t="s">
        <v>0</v>
      </c>
      <c r="C28" s="39" t="s">
        <v>6</v>
      </c>
      <c r="D28" s="39" t="s">
        <v>72</v>
      </c>
      <c r="E28" s="40"/>
      <c r="F28" s="1"/>
      <c r="G28" s="1"/>
      <c r="H28" s="1"/>
      <c r="I28" s="1"/>
      <c r="J28" s="1"/>
      <c r="K28" s="1"/>
      <c r="L28" s="1"/>
      <c r="M28" s="1"/>
      <c r="N28" s="39" t="s">
        <v>73</v>
      </c>
      <c r="O28" s="39" t="s">
        <v>1</v>
      </c>
      <c r="P28" s="1"/>
      <c r="Q28" s="1"/>
      <c r="R28" s="1"/>
    </row>
    <row r="29">
      <c r="A29" s="1"/>
      <c r="B29" s="41">
        <v>1.0</v>
      </c>
      <c r="C29" s="42" t="s">
        <v>74</v>
      </c>
      <c r="D29" s="43">
        <f>SUM(G25)</f>
        <v>0</v>
      </c>
      <c r="E29" s="44"/>
      <c r="F29" s="1"/>
      <c r="G29" s="1"/>
      <c r="H29" s="1"/>
      <c r="I29" s="1"/>
      <c r="J29" s="1"/>
      <c r="K29" s="1"/>
      <c r="L29" s="1"/>
      <c r="M29" s="1"/>
      <c r="N29" s="45" t="s">
        <v>75</v>
      </c>
      <c r="O29" s="23" t="s">
        <v>29</v>
      </c>
      <c r="P29" s="1"/>
      <c r="Q29" s="1"/>
      <c r="R29" s="1"/>
    </row>
    <row r="30">
      <c r="A30" s="1"/>
      <c r="B30" s="46">
        <v>2.0</v>
      </c>
      <c r="C30" s="47"/>
      <c r="D30" s="48"/>
      <c r="E30" s="49"/>
      <c r="F30" s="1"/>
      <c r="G30" s="1"/>
      <c r="H30" s="1"/>
      <c r="I30" s="1"/>
      <c r="J30" s="1"/>
      <c r="K30" s="1"/>
      <c r="L30" s="1"/>
      <c r="M30" s="1"/>
      <c r="N30" s="50" t="s">
        <v>77</v>
      </c>
      <c r="O30" s="25"/>
      <c r="P30" s="1"/>
      <c r="Q30" s="1"/>
      <c r="R30" s="1"/>
    </row>
    <row r="31">
      <c r="A31" s="1"/>
      <c r="B31" s="41">
        <v>3.0</v>
      </c>
      <c r="C31" s="42"/>
      <c r="D31" s="52"/>
      <c r="E31" s="49"/>
      <c r="F31" s="1"/>
      <c r="G31" s="1"/>
      <c r="H31" s="1"/>
      <c r="I31" s="1"/>
      <c r="J31" s="1"/>
      <c r="K31" s="1"/>
      <c r="L31" s="1"/>
      <c r="M31" s="1"/>
      <c r="N31" s="53" t="s">
        <v>79</v>
      </c>
      <c r="O31" s="81" t="s">
        <v>52</v>
      </c>
      <c r="P31" s="1"/>
      <c r="Q31" s="1"/>
      <c r="R31" s="1"/>
    </row>
    <row r="32">
      <c r="A32" s="1"/>
      <c r="B32" s="46">
        <v>4.0</v>
      </c>
      <c r="C32" s="47"/>
      <c r="D32" s="48"/>
      <c r="E32" s="49"/>
      <c r="F32" s="1"/>
      <c r="G32" s="1"/>
      <c r="H32" s="1"/>
      <c r="I32" s="1"/>
      <c r="J32" s="1"/>
      <c r="K32" s="1"/>
      <c r="L32" s="1"/>
      <c r="M32" s="1"/>
      <c r="N32" s="54" t="s">
        <v>80</v>
      </c>
      <c r="O32" s="51"/>
      <c r="P32" s="1"/>
      <c r="Q32" s="1"/>
      <c r="R32" s="1"/>
    </row>
    <row r="33">
      <c r="A33" s="1"/>
      <c r="B33" s="41"/>
      <c r="C33" s="55"/>
      <c r="D33" s="43"/>
      <c r="E33" s="44"/>
      <c r="F33" s="1"/>
      <c r="G33" s="1"/>
      <c r="H33" s="1"/>
      <c r="I33" s="1"/>
      <c r="J33" s="1"/>
      <c r="K33" s="1"/>
      <c r="L33" s="1"/>
      <c r="M33" s="1"/>
      <c r="N33" s="56"/>
      <c r="O33" s="1"/>
      <c r="P33" s="1"/>
      <c r="Q33" s="1"/>
      <c r="R33" s="1"/>
    </row>
    <row r="34">
      <c r="A34" s="1"/>
      <c r="B34" s="46"/>
      <c r="C34" s="57"/>
      <c r="D34" s="58"/>
      <c r="E34" s="4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41"/>
      <c r="C35" s="55"/>
      <c r="D35" s="43"/>
      <c r="E35" s="4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46"/>
      <c r="C36" s="57"/>
      <c r="D36" s="58"/>
      <c r="E36" s="4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41"/>
      <c r="C37" s="55"/>
      <c r="D37" s="43"/>
      <c r="E37" s="4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46"/>
      <c r="C38" s="57"/>
      <c r="D38" s="58"/>
      <c r="E38" s="4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59"/>
      <c r="C39" s="60"/>
      <c r="D39" s="61"/>
      <c r="E39" s="4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62">
        <f>SUM(D29:D39)</f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4 O29">
      <formula1>"-,JIJANG,ADDEL,PENTIL,FAHME"</formula1>
    </dataValidation>
    <dataValidation type="list" allowBlank="1" showErrorMessage="1" sqref="N4:N24">
      <formula1>"-,Pending,Progress,Uploaded"</formula1>
    </dataValidation>
    <dataValidation type="list" allowBlank="1" showDropDown="1" showErrorMessage="1" sqref="D4:D24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24">
      <formula1>"-,In Pikako,In Foxe"</formula1>
    </dataValidation>
    <dataValidation type="list" allowBlank="1" showDropDown="1" showErrorMessage="1" sqref="M4:M24 O30 O32">
      <formula1>"-,VERO,FADEL,PENTIL,ADIF "</formula1>
    </dataValidation>
    <dataValidation type="list" allowBlank="1" showDropDown="1" showErrorMessage="1" sqref="I4:I24">
      <formula1>"-,DP,Lunas"</formula1>
    </dataValidation>
    <dataValidation type="list" allowBlank="1" showDropDown="1" showErrorMessage="1" sqref="J4:K24">
      <formula1>"-,Pending,Uploaded"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0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0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269</v>
      </c>
      <c r="D4" s="16" t="s">
        <v>33</v>
      </c>
      <c r="E4" s="17"/>
      <c r="F4" s="18">
        <v>46104.0</v>
      </c>
      <c r="G4" s="19"/>
      <c r="H4" s="20">
        <v>100000.0</v>
      </c>
      <c r="I4" s="21" t="s">
        <v>24</v>
      </c>
      <c r="J4" s="21"/>
      <c r="K4" s="21"/>
      <c r="L4" s="21" t="s">
        <v>29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271</v>
      </c>
      <c r="D5" s="16" t="s">
        <v>33</v>
      </c>
      <c r="E5" s="17"/>
      <c r="F5" s="18">
        <v>46104.0</v>
      </c>
      <c r="G5" s="19"/>
      <c r="H5" s="20">
        <v>100000.0</v>
      </c>
      <c r="I5" s="21" t="s">
        <v>24</v>
      </c>
      <c r="J5" s="21"/>
      <c r="K5" s="21"/>
      <c r="L5" s="21" t="s">
        <v>29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272</v>
      </c>
      <c r="D6" s="16" t="s">
        <v>33</v>
      </c>
      <c r="E6" s="17"/>
      <c r="F6" s="18">
        <v>46105.0</v>
      </c>
      <c r="G6" s="19"/>
      <c r="H6" s="20">
        <v>100000.0</v>
      </c>
      <c r="I6" s="21" t="s">
        <v>24</v>
      </c>
      <c r="J6" s="21"/>
      <c r="K6" s="21"/>
      <c r="L6" s="21" t="s">
        <v>29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274</v>
      </c>
      <c r="D7" s="16" t="s">
        <v>107</v>
      </c>
      <c r="E7" s="17"/>
      <c r="F7" s="30">
        <v>46104.0</v>
      </c>
      <c r="G7" s="19"/>
      <c r="H7" s="20">
        <v>100000.0</v>
      </c>
      <c r="I7" s="21" t="s">
        <v>24</v>
      </c>
      <c r="J7" s="21"/>
      <c r="K7" s="21"/>
      <c r="L7" s="21" t="s">
        <v>29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276</v>
      </c>
      <c r="D8" s="16" t="s">
        <v>33</v>
      </c>
      <c r="E8" s="17"/>
      <c r="F8" s="18">
        <v>46105.0</v>
      </c>
      <c r="G8" s="19"/>
      <c r="H8" s="20">
        <v>100000.0</v>
      </c>
      <c r="I8" s="21" t="s">
        <v>24</v>
      </c>
      <c r="J8" s="21"/>
      <c r="K8" s="21"/>
      <c r="L8" s="21" t="s">
        <v>29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278</v>
      </c>
      <c r="D9" s="16" t="s">
        <v>33</v>
      </c>
      <c r="E9" s="17"/>
      <c r="F9" s="30">
        <v>46104.0</v>
      </c>
      <c r="G9" s="19"/>
      <c r="H9" s="20">
        <v>100000.0</v>
      </c>
      <c r="I9" s="21" t="s">
        <v>24</v>
      </c>
      <c r="J9" s="21"/>
      <c r="K9" s="21"/>
      <c r="L9" s="21" t="s">
        <v>29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161</v>
      </c>
      <c r="D10" s="16" t="s">
        <v>34</v>
      </c>
      <c r="E10" s="17"/>
      <c r="F10" s="30">
        <v>46104.0</v>
      </c>
      <c r="G10" s="19"/>
      <c r="H10" s="20">
        <v>390000.0</v>
      </c>
      <c r="I10" s="21" t="s">
        <v>27</v>
      </c>
      <c r="J10" s="21" t="s">
        <v>36</v>
      </c>
      <c r="K10" s="21" t="s">
        <v>38</v>
      </c>
      <c r="L10" s="21" t="s">
        <v>29</v>
      </c>
      <c r="M10" s="21" t="s">
        <v>52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281</v>
      </c>
      <c r="D11" s="16" t="s">
        <v>33</v>
      </c>
      <c r="E11" s="17"/>
      <c r="F11" s="30">
        <v>46104.0</v>
      </c>
      <c r="G11" s="19">
        <v>250000.0</v>
      </c>
      <c r="H11" s="33"/>
      <c r="I11" s="21" t="s">
        <v>27</v>
      </c>
      <c r="J11" s="21" t="s">
        <v>36</v>
      </c>
      <c r="K11" s="21" t="s">
        <v>38</v>
      </c>
      <c r="L11" s="21" t="s">
        <v>29</v>
      </c>
      <c r="M11" s="21" t="s">
        <v>52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282</v>
      </c>
      <c r="D12" s="16" t="s">
        <v>20</v>
      </c>
      <c r="E12" s="17"/>
      <c r="F12" s="30">
        <v>46105.0</v>
      </c>
      <c r="G12" s="19"/>
      <c r="H12" s="20">
        <v>100000.0</v>
      </c>
      <c r="I12" s="21" t="s">
        <v>24</v>
      </c>
      <c r="J12" s="21"/>
      <c r="K12" s="21"/>
      <c r="L12" s="21" t="s">
        <v>29</v>
      </c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247</v>
      </c>
      <c r="D13" s="16" t="s">
        <v>33</v>
      </c>
      <c r="E13" s="17"/>
      <c r="F13" s="30">
        <v>46104.0</v>
      </c>
      <c r="G13" s="19">
        <v>510000.0</v>
      </c>
      <c r="H13" s="33"/>
      <c r="I13" s="21" t="s">
        <v>27</v>
      </c>
      <c r="J13" s="21" t="s">
        <v>36</v>
      </c>
      <c r="K13" s="21" t="s">
        <v>38</v>
      </c>
      <c r="L13" s="21" t="s">
        <v>29</v>
      </c>
      <c r="M13" s="21" t="s">
        <v>52</v>
      </c>
      <c r="N13" s="25"/>
      <c r="O13" s="26"/>
      <c r="P13" s="26"/>
      <c r="Q13" s="1"/>
      <c r="R13" s="1"/>
    </row>
    <row r="14">
      <c r="A14" s="1"/>
      <c r="B14" s="32"/>
      <c r="C14" s="64" t="s">
        <v>278</v>
      </c>
      <c r="D14" s="16" t="s">
        <v>33</v>
      </c>
      <c r="E14" s="17"/>
      <c r="F14" s="30">
        <v>46104.0</v>
      </c>
      <c r="G14" s="19"/>
      <c r="H14" s="20">
        <v>250000.0</v>
      </c>
      <c r="I14" s="21" t="s">
        <v>27</v>
      </c>
      <c r="J14" s="21" t="s">
        <v>36</v>
      </c>
      <c r="K14" s="21" t="s">
        <v>38</v>
      </c>
      <c r="L14" s="21" t="s">
        <v>29</v>
      </c>
      <c r="M14" s="21" t="s">
        <v>52</v>
      </c>
      <c r="N14" s="25"/>
      <c r="O14" s="26"/>
      <c r="P14" s="26"/>
      <c r="Q14" s="1"/>
      <c r="R14" s="1"/>
    </row>
    <row r="15">
      <c r="A15" s="1"/>
      <c r="B15" s="32"/>
      <c r="C15" s="15" t="s">
        <v>285</v>
      </c>
      <c r="D15" s="16" t="s">
        <v>34</v>
      </c>
      <c r="E15" s="17"/>
      <c r="F15" s="30">
        <v>46105.0</v>
      </c>
      <c r="G15" s="19"/>
      <c r="H15" s="20">
        <v>100000.0</v>
      </c>
      <c r="I15" s="21" t="s">
        <v>24</v>
      </c>
      <c r="J15" s="21"/>
      <c r="K15" s="21"/>
      <c r="L15" s="21" t="s">
        <v>29</v>
      </c>
      <c r="M15" s="28"/>
      <c r="N15" s="25"/>
      <c r="O15" s="26"/>
      <c r="P15" s="26"/>
      <c r="Q15" s="1"/>
      <c r="R15" s="1"/>
    </row>
    <row r="16">
      <c r="A16" s="1"/>
      <c r="B16" s="32"/>
      <c r="C16" s="15" t="s">
        <v>287</v>
      </c>
      <c r="D16" s="16" t="s">
        <v>23</v>
      </c>
      <c r="E16" s="17"/>
      <c r="F16" s="30">
        <v>46112.0</v>
      </c>
      <c r="G16" s="19"/>
      <c r="H16" s="20">
        <v>100000.0</v>
      </c>
      <c r="I16" s="21" t="s">
        <v>24</v>
      </c>
      <c r="J16" s="21"/>
      <c r="K16" s="21"/>
      <c r="L16" s="21" t="s">
        <v>29</v>
      </c>
      <c r="M16" s="28"/>
      <c r="N16" s="25"/>
      <c r="O16" s="26"/>
      <c r="P16" s="26"/>
      <c r="Q16" s="1"/>
      <c r="R16" s="1"/>
    </row>
    <row r="17">
      <c r="A17" s="1"/>
      <c r="B17" s="32"/>
      <c r="C17" s="15" t="s">
        <v>288</v>
      </c>
      <c r="D17" s="16" t="s">
        <v>34</v>
      </c>
      <c r="E17" s="17"/>
      <c r="F17" s="22">
        <v>46104.0</v>
      </c>
      <c r="G17" s="19"/>
      <c r="H17" s="20">
        <v>350000.0</v>
      </c>
      <c r="I17" s="21" t="s">
        <v>27</v>
      </c>
      <c r="J17" s="21" t="s">
        <v>36</v>
      </c>
      <c r="K17" s="21" t="s">
        <v>36</v>
      </c>
      <c r="L17" s="21" t="s">
        <v>26</v>
      </c>
      <c r="M17" s="21" t="s">
        <v>52</v>
      </c>
      <c r="N17" s="25"/>
      <c r="O17" s="26"/>
      <c r="P17" s="26"/>
      <c r="Q17" s="1"/>
      <c r="R17" s="1"/>
    </row>
    <row r="18">
      <c r="A18" s="1"/>
      <c r="B18" s="32"/>
      <c r="C18" s="15" t="s">
        <v>291</v>
      </c>
      <c r="D18" s="16" t="s">
        <v>34</v>
      </c>
      <c r="E18" s="17" t="s">
        <v>292</v>
      </c>
      <c r="F18" s="22">
        <v>46104.0</v>
      </c>
      <c r="G18" s="19">
        <v>120000.0</v>
      </c>
      <c r="H18" s="20">
        <v>200000.0</v>
      </c>
      <c r="I18" s="21" t="s">
        <v>27</v>
      </c>
      <c r="J18" s="21" t="s">
        <v>36</v>
      </c>
      <c r="K18" s="21" t="s">
        <v>36</v>
      </c>
      <c r="L18" s="21" t="s">
        <v>26</v>
      </c>
      <c r="M18" s="21" t="s">
        <v>39</v>
      </c>
      <c r="N18" s="25"/>
      <c r="O18" s="26"/>
      <c r="P18" s="26"/>
      <c r="Q18" s="1"/>
      <c r="R18" s="1"/>
    </row>
    <row r="19">
      <c r="A19" s="1"/>
      <c r="B19" s="32"/>
      <c r="C19" s="15" t="s">
        <v>294</v>
      </c>
      <c r="D19" s="16" t="s">
        <v>51</v>
      </c>
      <c r="E19" s="17"/>
      <c r="F19" s="22">
        <v>46104.0</v>
      </c>
      <c r="G19" s="19">
        <v>50000.0</v>
      </c>
      <c r="H19" s="33"/>
      <c r="I19" s="21" t="s">
        <v>27</v>
      </c>
      <c r="J19" s="21" t="s">
        <v>36</v>
      </c>
      <c r="K19" s="21" t="s">
        <v>36</v>
      </c>
      <c r="L19" s="21" t="s">
        <v>26</v>
      </c>
      <c r="M19" s="21" t="s">
        <v>39</v>
      </c>
      <c r="N19" s="25"/>
      <c r="O19" s="26"/>
      <c r="P19" s="26"/>
      <c r="Q19" s="1"/>
      <c r="R19" s="1"/>
    </row>
    <row r="20">
      <c r="A20" s="1"/>
      <c r="B20" s="32"/>
      <c r="C20" s="15" t="s">
        <v>248</v>
      </c>
      <c r="D20" s="16" t="s">
        <v>34</v>
      </c>
      <c r="E20" s="17" t="s">
        <v>263</v>
      </c>
      <c r="F20" s="22">
        <v>46104.0</v>
      </c>
      <c r="G20" s="19"/>
      <c r="H20" s="20">
        <v>450000.0</v>
      </c>
      <c r="I20" s="21" t="s">
        <v>27</v>
      </c>
      <c r="J20" s="21" t="s">
        <v>36</v>
      </c>
      <c r="K20" s="21" t="s">
        <v>36</v>
      </c>
      <c r="L20" s="21" t="s">
        <v>26</v>
      </c>
      <c r="M20" s="21" t="s">
        <v>39</v>
      </c>
      <c r="N20" s="25"/>
      <c r="O20" s="26"/>
      <c r="P20" s="26"/>
      <c r="Q20" s="1"/>
      <c r="R20" s="1"/>
    </row>
    <row r="21">
      <c r="A21" s="1"/>
      <c r="B21" s="32"/>
      <c r="C21" s="15" t="s">
        <v>296</v>
      </c>
      <c r="D21" s="16" t="s">
        <v>43</v>
      </c>
      <c r="E21" s="17"/>
      <c r="F21" s="22">
        <v>46104.0</v>
      </c>
      <c r="G21" s="19">
        <v>200000.0</v>
      </c>
      <c r="H21" s="33"/>
      <c r="I21" s="21" t="s">
        <v>27</v>
      </c>
      <c r="J21" s="21" t="s">
        <v>36</v>
      </c>
      <c r="K21" s="21" t="s">
        <v>36</v>
      </c>
      <c r="L21" s="21" t="s">
        <v>26</v>
      </c>
      <c r="M21" s="21" t="s">
        <v>39</v>
      </c>
      <c r="N21" s="25"/>
      <c r="O21" s="26"/>
      <c r="P21" s="26"/>
      <c r="Q21" s="1"/>
      <c r="R21" s="1"/>
    </row>
    <row r="22">
      <c r="A22" s="1"/>
      <c r="B22" s="32"/>
      <c r="C22" s="15" t="s">
        <v>297</v>
      </c>
      <c r="D22" s="16" t="s">
        <v>33</v>
      </c>
      <c r="E22" s="17"/>
      <c r="F22" s="22">
        <v>46105.0</v>
      </c>
      <c r="G22" s="27"/>
      <c r="H22" s="20">
        <v>100000.0</v>
      </c>
      <c r="I22" s="21" t="s">
        <v>24</v>
      </c>
      <c r="J22" s="28"/>
      <c r="K22" s="28"/>
      <c r="L22" s="21" t="s">
        <v>26</v>
      </c>
      <c r="M22" s="28"/>
      <c r="N22" s="26"/>
      <c r="O22" s="26"/>
      <c r="P22" s="26"/>
      <c r="Q22" s="1"/>
      <c r="R22" s="1"/>
    </row>
    <row r="23">
      <c r="A23" s="1"/>
      <c r="B23" s="32"/>
      <c r="C23" s="15" t="s">
        <v>102</v>
      </c>
      <c r="D23" s="16" t="s">
        <v>51</v>
      </c>
      <c r="E23" s="17"/>
      <c r="F23" s="22">
        <v>46104.0</v>
      </c>
      <c r="G23" s="19">
        <v>50000.0</v>
      </c>
      <c r="H23" s="33"/>
      <c r="I23" s="21" t="s">
        <v>27</v>
      </c>
      <c r="J23" s="21" t="s">
        <v>36</v>
      </c>
      <c r="K23" s="21" t="s">
        <v>36</v>
      </c>
      <c r="L23" s="21" t="s">
        <v>26</v>
      </c>
      <c r="M23" s="21" t="s">
        <v>39</v>
      </c>
      <c r="N23" s="26"/>
      <c r="O23" s="26"/>
      <c r="P23" s="26"/>
      <c r="Q23" s="1"/>
      <c r="R23" s="1"/>
    </row>
    <row r="24">
      <c r="A24" s="1"/>
      <c r="B24" s="32"/>
      <c r="C24" s="15" t="s">
        <v>269</v>
      </c>
      <c r="D24" s="16" t="s">
        <v>33</v>
      </c>
      <c r="E24" s="17"/>
      <c r="F24" s="22">
        <v>46104.0</v>
      </c>
      <c r="G24" s="27"/>
      <c r="H24" s="20">
        <v>250000.0</v>
      </c>
      <c r="I24" s="21" t="s">
        <v>27</v>
      </c>
      <c r="J24" s="21" t="s">
        <v>36</v>
      </c>
      <c r="K24" s="21" t="s">
        <v>36</v>
      </c>
      <c r="L24" s="21" t="s">
        <v>26</v>
      </c>
      <c r="M24" s="21" t="s">
        <v>39</v>
      </c>
      <c r="N24" s="26"/>
      <c r="O24" s="26"/>
      <c r="P24" s="26"/>
      <c r="Q24" s="1"/>
      <c r="R24" s="1"/>
    </row>
    <row r="25">
      <c r="A25" s="1"/>
      <c r="B25" s="32"/>
      <c r="C25" s="15" t="s">
        <v>271</v>
      </c>
      <c r="D25" s="16" t="s">
        <v>33</v>
      </c>
      <c r="E25" s="17"/>
      <c r="F25" s="22">
        <v>46104.0</v>
      </c>
      <c r="G25" s="27"/>
      <c r="H25" s="20">
        <v>250000.0</v>
      </c>
      <c r="I25" s="21" t="s">
        <v>27</v>
      </c>
      <c r="J25" s="21" t="s">
        <v>36</v>
      </c>
      <c r="K25" s="21" t="s">
        <v>38</v>
      </c>
      <c r="L25" s="21" t="s">
        <v>26</v>
      </c>
      <c r="M25" s="21" t="s">
        <v>39</v>
      </c>
      <c r="N25" s="26"/>
      <c r="O25" s="26"/>
      <c r="P25" s="26"/>
      <c r="Q25" s="1"/>
      <c r="R25" s="1"/>
    </row>
    <row r="26">
      <c r="A26" s="1"/>
      <c r="B26" s="32"/>
      <c r="C26" s="15" t="s">
        <v>299</v>
      </c>
      <c r="D26" s="16" t="s">
        <v>33</v>
      </c>
      <c r="E26" s="17"/>
      <c r="F26" s="22">
        <v>46105.0</v>
      </c>
      <c r="G26" s="27"/>
      <c r="H26" s="20">
        <v>100000.0</v>
      </c>
      <c r="I26" s="21" t="s">
        <v>24</v>
      </c>
      <c r="J26" s="28"/>
      <c r="K26" s="28"/>
      <c r="L26" s="21" t="s">
        <v>26</v>
      </c>
      <c r="M26" s="28"/>
      <c r="N26" s="26"/>
      <c r="O26" s="26"/>
      <c r="P26" s="26"/>
      <c r="Q26" s="1"/>
      <c r="R26" s="1"/>
    </row>
    <row r="27">
      <c r="A27" s="1"/>
      <c r="B27" s="32"/>
      <c r="C27" s="15" t="s">
        <v>300</v>
      </c>
      <c r="D27" s="16" t="s">
        <v>107</v>
      </c>
      <c r="E27" s="17"/>
      <c r="F27" s="22">
        <v>46104.0</v>
      </c>
      <c r="G27" s="27"/>
      <c r="H27" s="20">
        <v>100000.0</v>
      </c>
      <c r="I27" s="21" t="s">
        <v>27</v>
      </c>
      <c r="J27" s="21" t="s">
        <v>36</v>
      </c>
      <c r="K27" s="21" t="s">
        <v>38</v>
      </c>
      <c r="L27" s="21" t="s">
        <v>26</v>
      </c>
      <c r="M27" s="21" t="s">
        <v>39</v>
      </c>
      <c r="N27" s="26"/>
      <c r="O27" s="26"/>
      <c r="P27" s="26"/>
      <c r="Q27" s="1"/>
      <c r="R27" s="1"/>
    </row>
    <row r="28">
      <c r="A28" s="1"/>
      <c r="B28" s="32"/>
      <c r="C28" s="15" t="s">
        <v>301</v>
      </c>
      <c r="D28" s="16" t="s">
        <v>23</v>
      </c>
      <c r="E28" s="17"/>
      <c r="F28" s="22">
        <v>46112.0</v>
      </c>
      <c r="G28" s="27"/>
      <c r="H28" s="20">
        <v>100000.0</v>
      </c>
      <c r="I28" s="21" t="s">
        <v>24</v>
      </c>
      <c r="J28" s="28"/>
      <c r="K28" s="28"/>
      <c r="L28" s="21" t="s">
        <v>26</v>
      </c>
      <c r="M28" s="28"/>
      <c r="N28" s="26"/>
      <c r="O28" s="26"/>
      <c r="P28" s="26"/>
      <c r="Q28" s="1"/>
      <c r="R28" s="1"/>
    </row>
    <row r="29">
      <c r="A29" s="1"/>
      <c r="B29" s="32"/>
      <c r="C29" s="15" t="s">
        <v>302</v>
      </c>
      <c r="D29" s="16" t="s">
        <v>20</v>
      </c>
      <c r="E29" s="17"/>
      <c r="F29" s="22">
        <v>46105.0</v>
      </c>
      <c r="G29" s="27"/>
      <c r="H29" s="20">
        <v>100000.0</v>
      </c>
      <c r="I29" s="21" t="s">
        <v>24</v>
      </c>
      <c r="J29" s="28"/>
      <c r="K29" s="28"/>
      <c r="L29" s="21" t="s">
        <v>26</v>
      </c>
      <c r="M29" s="28"/>
      <c r="N29" s="26"/>
      <c r="O29" s="26"/>
      <c r="P29" s="26"/>
      <c r="Q29" s="1"/>
      <c r="R29" s="1"/>
    </row>
    <row r="30">
      <c r="A30" s="1"/>
      <c r="B30" s="32"/>
      <c r="C30" s="15" t="s">
        <v>117</v>
      </c>
      <c r="D30" s="16" t="s">
        <v>33</v>
      </c>
      <c r="E30" s="17"/>
      <c r="F30" s="22">
        <v>46104.0</v>
      </c>
      <c r="G30" s="19">
        <v>330000.0</v>
      </c>
      <c r="H30" s="33"/>
      <c r="I30" s="21" t="s">
        <v>27</v>
      </c>
      <c r="J30" s="21" t="s">
        <v>36</v>
      </c>
      <c r="K30" s="21" t="s">
        <v>38</v>
      </c>
      <c r="L30" s="21" t="s">
        <v>26</v>
      </c>
      <c r="M30" s="21" t="s">
        <v>39</v>
      </c>
      <c r="N30" s="26"/>
      <c r="O30" s="26"/>
      <c r="P30" s="26"/>
      <c r="Q30" s="1"/>
      <c r="R30" s="1"/>
    </row>
    <row r="31">
      <c r="A31" s="1"/>
      <c r="B31" s="32"/>
      <c r="C31" s="15" t="s">
        <v>304</v>
      </c>
      <c r="D31" s="16" t="s">
        <v>34</v>
      </c>
      <c r="E31" s="17"/>
      <c r="F31" s="22">
        <v>46104.0</v>
      </c>
      <c r="G31" s="27"/>
      <c r="H31" s="20">
        <v>370000.0</v>
      </c>
      <c r="I31" s="21" t="s">
        <v>27</v>
      </c>
      <c r="J31" s="21" t="s">
        <v>36</v>
      </c>
      <c r="K31" s="21" t="s">
        <v>38</v>
      </c>
      <c r="L31" s="21" t="s">
        <v>26</v>
      </c>
      <c r="M31" s="21" t="s">
        <v>39</v>
      </c>
      <c r="N31" s="26"/>
      <c r="O31" s="26"/>
      <c r="P31" s="26"/>
      <c r="Q31" s="1"/>
      <c r="R31" s="1"/>
    </row>
    <row r="32">
      <c r="A32" s="1"/>
      <c r="B32" s="32"/>
      <c r="C32" s="15" t="s">
        <v>305</v>
      </c>
      <c r="D32" s="16" t="s">
        <v>33</v>
      </c>
      <c r="E32" s="17"/>
      <c r="F32" s="22">
        <v>46104.0</v>
      </c>
      <c r="G32" s="27"/>
      <c r="H32" s="20">
        <v>410000.0</v>
      </c>
      <c r="I32" s="21" t="s">
        <v>27</v>
      </c>
      <c r="J32" s="21" t="s">
        <v>36</v>
      </c>
      <c r="K32" s="21" t="s">
        <v>38</v>
      </c>
      <c r="L32" s="21" t="s">
        <v>26</v>
      </c>
      <c r="M32" s="21" t="s">
        <v>39</v>
      </c>
      <c r="N32" s="26"/>
      <c r="O32" s="26"/>
      <c r="P32" s="26"/>
      <c r="Q32" s="1"/>
      <c r="R32" s="1"/>
    </row>
    <row r="33">
      <c r="A33" s="1"/>
      <c r="B33" s="32"/>
      <c r="C33" s="34"/>
      <c r="D33" s="16"/>
      <c r="E33" s="17"/>
      <c r="F33" s="32"/>
      <c r="G33" s="27"/>
      <c r="H33" s="33"/>
      <c r="I33" s="28"/>
      <c r="J33" s="28"/>
      <c r="K33" s="28"/>
      <c r="L33" s="28"/>
      <c r="M33" s="28"/>
      <c r="N33" s="26"/>
      <c r="O33" s="26"/>
      <c r="P33" s="26"/>
      <c r="Q33" s="1"/>
      <c r="R33" s="1"/>
    </row>
    <row r="34">
      <c r="A34" s="1"/>
      <c r="B34" s="32"/>
      <c r="C34" s="34"/>
      <c r="D34" s="16"/>
      <c r="E34" s="17"/>
      <c r="F34" s="32"/>
      <c r="G34" s="27"/>
      <c r="H34" s="33"/>
      <c r="I34" s="28"/>
      <c r="J34" s="28"/>
      <c r="K34" s="28"/>
      <c r="L34" s="28"/>
      <c r="M34" s="28"/>
      <c r="N34" s="35"/>
      <c r="O34" s="35"/>
      <c r="P34" s="35"/>
      <c r="Q34" s="1"/>
      <c r="R34" s="1"/>
    </row>
    <row r="35" ht="18.75" customHeight="1">
      <c r="A35" s="1"/>
      <c r="B35" s="1"/>
      <c r="C35" s="2"/>
      <c r="D35" s="2"/>
      <c r="E35" s="1"/>
      <c r="F35" s="1"/>
      <c r="G35" s="36">
        <f t="shared" ref="G35:H35" si="1">SUM(G4:G34)</f>
        <v>1510000</v>
      </c>
      <c r="H35" s="37">
        <f t="shared" si="1"/>
        <v>4320000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3.2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38" t="s">
        <v>0</v>
      </c>
      <c r="C38" s="39" t="s">
        <v>6</v>
      </c>
      <c r="D38" s="39" t="s">
        <v>72</v>
      </c>
      <c r="E38" s="40"/>
      <c r="F38" s="1"/>
      <c r="G38" s="1"/>
      <c r="H38" s="1"/>
      <c r="I38" s="1"/>
      <c r="J38" s="1"/>
      <c r="K38" s="1"/>
      <c r="L38" s="1"/>
      <c r="M38" s="1"/>
      <c r="N38" s="39" t="s">
        <v>73</v>
      </c>
      <c r="O38" s="39" t="s">
        <v>1</v>
      </c>
      <c r="P38" s="1"/>
      <c r="Q38" s="1"/>
      <c r="R38" s="1"/>
    </row>
    <row r="39">
      <c r="A39" s="1"/>
      <c r="B39" s="41">
        <v>1.0</v>
      </c>
      <c r="C39" s="42" t="s">
        <v>74</v>
      </c>
      <c r="D39" s="43">
        <f>SUM(G35)</f>
        <v>1510000</v>
      </c>
      <c r="E39" s="44"/>
      <c r="F39" s="1"/>
      <c r="G39" s="1"/>
      <c r="H39" s="1"/>
      <c r="I39" s="1"/>
      <c r="J39" s="1"/>
      <c r="K39" s="1"/>
      <c r="L39" s="1"/>
      <c r="M39" s="1"/>
      <c r="N39" s="45" t="s">
        <v>75</v>
      </c>
      <c r="O39" s="23" t="s">
        <v>29</v>
      </c>
      <c r="P39" s="1"/>
      <c r="Q39" s="1"/>
      <c r="R39" s="1"/>
    </row>
    <row r="40">
      <c r="A40" s="1"/>
      <c r="B40" s="46">
        <v>2.0</v>
      </c>
      <c r="C40" s="47" t="s">
        <v>78</v>
      </c>
      <c r="D40" s="48">
        <v>-20000.0</v>
      </c>
      <c r="E40" s="49"/>
      <c r="F40" s="40"/>
      <c r="G40" s="40"/>
      <c r="H40" s="1"/>
      <c r="I40" s="1"/>
      <c r="J40" s="1"/>
      <c r="K40" s="1"/>
      <c r="L40" s="1"/>
      <c r="M40" s="1"/>
      <c r="N40" s="50" t="s">
        <v>77</v>
      </c>
      <c r="O40" s="51" t="s">
        <v>26</v>
      </c>
      <c r="P40" s="1"/>
      <c r="Q40" s="1"/>
      <c r="R40" s="1"/>
    </row>
    <row r="41">
      <c r="A41" s="1"/>
      <c r="B41" s="41">
        <v>3.0</v>
      </c>
      <c r="C41" s="42" t="s">
        <v>84</v>
      </c>
      <c r="D41" s="52">
        <v>-16000.0</v>
      </c>
      <c r="E41" s="49"/>
      <c r="F41" s="1"/>
      <c r="G41" s="1"/>
      <c r="H41" s="1"/>
      <c r="I41" s="1"/>
      <c r="J41" s="1"/>
      <c r="K41" s="1"/>
      <c r="L41" s="1"/>
      <c r="M41" s="1"/>
      <c r="N41" s="53" t="s">
        <v>79</v>
      </c>
      <c r="O41" s="25" t="s">
        <v>52</v>
      </c>
      <c r="P41" s="1"/>
      <c r="Q41" s="1"/>
      <c r="R41" s="1"/>
    </row>
    <row r="42">
      <c r="A42" s="1"/>
      <c r="B42" s="46">
        <v>4.0</v>
      </c>
      <c r="C42" s="47"/>
      <c r="D42" s="48">
        <v>-300000.0</v>
      </c>
      <c r="E42" s="49"/>
      <c r="F42" s="40" t="s">
        <v>318</v>
      </c>
      <c r="G42" s="1"/>
      <c r="H42" s="1"/>
      <c r="I42" s="1"/>
      <c r="J42" s="1"/>
      <c r="K42" s="1"/>
      <c r="L42" s="1"/>
      <c r="M42" s="1"/>
      <c r="N42" s="54" t="s">
        <v>80</v>
      </c>
      <c r="O42" s="51" t="s">
        <v>39</v>
      </c>
      <c r="P42" s="1"/>
      <c r="Q42" s="1"/>
      <c r="R42" s="1"/>
    </row>
    <row r="43">
      <c r="A43" s="1"/>
      <c r="B43" s="41">
        <v>5.0</v>
      </c>
      <c r="C43" s="42" t="s">
        <v>319</v>
      </c>
      <c r="D43" s="52">
        <v>-20000.0</v>
      </c>
      <c r="E43" s="44"/>
      <c r="F43" s="1"/>
      <c r="G43" s="1"/>
      <c r="H43" s="1"/>
      <c r="I43" s="1"/>
      <c r="J43" s="1"/>
      <c r="K43" s="1"/>
      <c r="L43" s="1"/>
      <c r="M43" s="1"/>
      <c r="N43" s="56"/>
      <c r="O43" s="1"/>
      <c r="P43" s="1"/>
      <c r="Q43" s="1"/>
      <c r="R43" s="1"/>
    </row>
    <row r="44">
      <c r="A44" s="1"/>
      <c r="B44" s="46"/>
      <c r="C44" s="57"/>
      <c r="D44" s="58"/>
      <c r="E44" s="4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41"/>
      <c r="C45" s="55"/>
      <c r="D45" s="43"/>
      <c r="E45" s="4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46"/>
      <c r="C46" s="57"/>
      <c r="D46" s="58"/>
      <c r="E46" s="4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41"/>
      <c r="C47" s="55"/>
      <c r="D47" s="43"/>
      <c r="E47" s="4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46"/>
      <c r="C48" s="57"/>
      <c r="D48" s="58"/>
      <c r="E48" s="4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59"/>
      <c r="C49" s="60"/>
      <c r="D49" s="61"/>
      <c r="E49" s="4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62">
        <f>SUM(D39:D49)</f>
        <v>1154000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34 O39:O40">
      <formula1>"-,JIJANG,ADDEL,PENTIL,FAHME,INDAH"</formula1>
    </dataValidation>
    <dataValidation type="list" allowBlank="1" showErrorMessage="1" sqref="N4:N34">
      <formula1>"-,Pending,Progress,Uploaded"</formula1>
    </dataValidation>
    <dataValidation type="list" allowBlank="1" showErrorMessage="1" sqref="O4:O34">
      <formula1>"-,In Pikako,In Foxe"</formula1>
    </dataValidation>
    <dataValidation type="list" allowBlank="1" showDropDown="1" showErrorMessage="1" sqref="D4:D34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34">
      <formula1>"-,DP,Lunas"</formula1>
    </dataValidation>
    <dataValidation type="list" allowBlank="1" showDropDown="1" showErrorMessage="1" sqref="M4:M34 O41:O42">
      <formula1>"-,VERO,FADEL,PENTIL,ADIF,HANIF"</formula1>
    </dataValidation>
    <dataValidation type="list" allowBlank="1" showDropDown="1" showErrorMessage="1" sqref="J4:K34">
      <formula1>"-,Pending,Uploaded"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0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295</v>
      </c>
      <c r="D4" s="16" t="s">
        <v>23</v>
      </c>
      <c r="E4" s="17"/>
      <c r="F4" s="18">
        <v>46112.0</v>
      </c>
      <c r="G4" s="19"/>
      <c r="H4" s="20">
        <v>250000.0</v>
      </c>
      <c r="I4" s="21" t="s">
        <v>27</v>
      </c>
      <c r="J4" s="21"/>
      <c r="K4" s="21"/>
      <c r="L4" s="21" t="s">
        <v>89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143</v>
      </c>
      <c r="D5" s="16" t="s">
        <v>119</v>
      </c>
      <c r="E5" s="17"/>
      <c r="F5" s="18">
        <v>46100.0</v>
      </c>
      <c r="G5" s="19"/>
      <c r="H5" s="20">
        <v>25000.0</v>
      </c>
      <c r="I5" s="21" t="s">
        <v>27</v>
      </c>
      <c r="J5" s="21"/>
      <c r="K5" s="21"/>
      <c r="L5" s="21" t="s">
        <v>89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303</v>
      </c>
      <c r="D6" s="16" t="s">
        <v>33</v>
      </c>
      <c r="E6" s="17"/>
      <c r="F6" s="30">
        <v>46105.0</v>
      </c>
      <c r="G6" s="27"/>
      <c r="H6" s="20">
        <v>100000.0</v>
      </c>
      <c r="I6" s="21" t="s">
        <v>24</v>
      </c>
      <c r="J6" s="21"/>
      <c r="K6" s="21"/>
      <c r="L6" s="21" t="s">
        <v>89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213</v>
      </c>
      <c r="D7" s="16" t="s">
        <v>33</v>
      </c>
      <c r="E7" s="17"/>
      <c r="F7" s="30">
        <v>46105.0</v>
      </c>
      <c r="G7" s="19">
        <v>270000.0</v>
      </c>
      <c r="H7" s="20"/>
      <c r="I7" s="21" t="s">
        <v>27</v>
      </c>
      <c r="J7" s="21" t="s">
        <v>36</v>
      </c>
      <c r="K7" s="21" t="s">
        <v>38</v>
      </c>
      <c r="L7" s="21" t="s">
        <v>89</v>
      </c>
      <c r="M7" s="21" t="s">
        <v>85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297</v>
      </c>
      <c r="D8" s="16" t="s">
        <v>34</v>
      </c>
      <c r="E8" s="17"/>
      <c r="F8" s="30">
        <v>46105.0</v>
      </c>
      <c r="G8" s="19"/>
      <c r="H8" s="20">
        <v>480000.0</v>
      </c>
      <c r="I8" s="21" t="s">
        <v>27</v>
      </c>
      <c r="J8" s="21" t="s">
        <v>36</v>
      </c>
      <c r="K8" s="21" t="s">
        <v>36</v>
      </c>
      <c r="L8" s="21" t="s">
        <v>89</v>
      </c>
      <c r="M8" s="21" t="s">
        <v>85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253</v>
      </c>
      <c r="D9" s="16" t="s">
        <v>34</v>
      </c>
      <c r="E9" s="17"/>
      <c r="F9" s="30">
        <v>46105.0</v>
      </c>
      <c r="G9" s="19"/>
      <c r="H9" s="20">
        <v>930000.0</v>
      </c>
      <c r="I9" s="21" t="s">
        <v>27</v>
      </c>
      <c r="J9" s="21" t="s">
        <v>36</v>
      </c>
      <c r="K9" s="21" t="s">
        <v>36</v>
      </c>
      <c r="L9" s="21" t="s">
        <v>89</v>
      </c>
      <c r="M9" s="21" t="s">
        <v>85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310</v>
      </c>
      <c r="D10" s="16" t="s">
        <v>311</v>
      </c>
      <c r="E10" s="17"/>
      <c r="F10" s="30">
        <v>46105.0</v>
      </c>
      <c r="G10" s="19"/>
      <c r="H10" s="20">
        <v>100000.0</v>
      </c>
      <c r="I10" s="21" t="s">
        <v>24</v>
      </c>
      <c r="J10" s="21"/>
      <c r="K10" s="21"/>
      <c r="L10" s="21" t="s">
        <v>89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187</v>
      </c>
      <c r="D11" s="16" t="s">
        <v>43</v>
      </c>
      <c r="E11" s="17"/>
      <c r="F11" s="30">
        <v>46105.0</v>
      </c>
      <c r="G11" s="19">
        <v>125000.0</v>
      </c>
      <c r="H11" s="33"/>
      <c r="I11" s="21" t="s">
        <v>27</v>
      </c>
      <c r="J11" s="21" t="s">
        <v>36</v>
      </c>
      <c r="K11" s="21" t="s">
        <v>38</v>
      </c>
      <c r="L11" s="21" t="s">
        <v>89</v>
      </c>
      <c r="M11" s="21" t="s">
        <v>85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314</v>
      </c>
      <c r="D12" s="16" t="s">
        <v>23</v>
      </c>
      <c r="E12" s="17"/>
      <c r="F12" s="30">
        <v>46105.0</v>
      </c>
      <c r="G12" s="19">
        <v>250000.0</v>
      </c>
      <c r="H12" s="33"/>
      <c r="I12" s="21" t="s">
        <v>27</v>
      </c>
      <c r="J12" s="21" t="s">
        <v>36</v>
      </c>
      <c r="K12" s="21" t="s">
        <v>38</v>
      </c>
      <c r="L12" s="21" t="s">
        <v>89</v>
      </c>
      <c r="M12" s="21" t="s">
        <v>85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316</v>
      </c>
      <c r="D13" s="16" t="s">
        <v>99</v>
      </c>
      <c r="E13" s="17"/>
      <c r="F13" s="30">
        <v>46112.0</v>
      </c>
      <c r="G13" s="19"/>
      <c r="H13" s="20">
        <v>100000.0</v>
      </c>
      <c r="I13" s="21" t="s">
        <v>24</v>
      </c>
      <c r="J13" s="21"/>
      <c r="K13" s="21"/>
      <c r="L13" s="21" t="s">
        <v>89</v>
      </c>
      <c r="M13" s="28"/>
      <c r="N13" s="25"/>
      <c r="O13" s="26"/>
      <c r="P13" s="26"/>
      <c r="Q13" s="1"/>
      <c r="R13" s="1"/>
    </row>
    <row r="14">
      <c r="A14" s="1"/>
      <c r="B14" s="32"/>
      <c r="C14" s="15" t="s">
        <v>283</v>
      </c>
      <c r="D14" s="16" t="s">
        <v>66</v>
      </c>
      <c r="E14" s="17"/>
      <c r="F14" s="30">
        <v>46105.0</v>
      </c>
      <c r="G14" s="19">
        <v>0.0</v>
      </c>
      <c r="H14" s="20">
        <v>0.0</v>
      </c>
      <c r="I14" s="21" t="s">
        <v>27</v>
      </c>
      <c r="J14" s="21" t="s">
        <v>36</v>
      </c>
      <c r="K14" s="21" t="s">
        <v>36</v>
      </c>
      <c r="L14" s="21" t="s">
        <v>89</v>
      </c>
      <c r="M14" s="21" t="s">
        <v>85</v>
      </c>
      <c r="N14" s="25"/>
      <c r="O14" s="26"/>
      <c r="P14" s="26"/>
      <c r="Q14" s="1"/>
      <c r="R14" s="1"/>
    </row>
    <row r="15">
      <c r="A15" s="1"/>
      <c r="B15" s="32"/>
      <c r="C15" s="15" t="s">
        <v>321</v>
      </c>
      <c r="D15" s="16" t="s">
        <v>34</v>
      </c>
      <c r="E15" s="17"/>
      <c r="F15" s="22">
        <v>46105.0</v>
      </c>
      <c r="G15" s="19">
        <v>450000.0</v>
      </c>
      <c r="H15" s="33"/>
      <c r="I15" s="21" t="s">
        <v>27</v>
      </c>
      <c r="J15" s="21" t="s">
        <v>36</v>
      </c>
      <c r="K15" s="21" t="s">
        <v>38</v>
      </c>
      <c r="L15" s="21" t="s">
        <v>26</v>
      </c>
      <c r="M15" s="21" t="s">
        <v>85</v>
      </c>
      <c r="N15" s="25"/>
      <c r="O15" s="26"/>
      <c r="P15" s="26"/>
      <c r="Q15" s="1"/>
      <c r="R15" s="1"/>
    </row>
    <row r="16">
      <c r="A16" s="1"/>
      <c r="B16" s="32"/>
      <c r="C16" s="15" t="s">
        <v>322</v>
      </c>
      <c r="D16" s="16" t="s">
        <v>20</v>
      </c>
      <c r="E16" s="17"/>
      <c r="F16" s="22">
        <v>46105.0</v>
      </c>
      <c r="G16" s="19">
        <v>100000.0</v>
      </c>
      <c r="H16" s="33"/>
      <c r="I16" s="21" t="s">
        <v>27</v>
      </c>
      <c r="J16" s="21" t="s">
        <v>36</v>
      </c>
      <c r="K16" s="21" t="s">
        <v>38</v>
      </c>
      <c r="L16" s="21" t="s">
        <v>26</v>
      </c>
      <c r="M16" s="21" t="s">
        <v>52</v>
      </c>
      <c r="N16" s="25"/>
      <c r="O16" s="26"/>
      <c r="P16" s="26"/>
      <c r="Q16" s="1"/>
      <c r="R16" s="1"/>
    </row>
    <row r="17">
      <c r="A17" s="1"/>
      <c r="B17" s="32"/>
      <c r="C17" s="15" t="s">
        <v>324</v>
      </c>
      <c r="D17" s="16" t="s">
        <v>23</v>
      </c>
      <c r="E17" s="17"/>
      <c r="F17" s="22">
        <v>46112.0</v>
      </c>
      <c r="G17" s="19"/>
      <c r="H17" s="20">
        <v>100000.0</v>
      </c>
      <c r="I17" s="21" t="s">
        <v>24</v>
      </c>
      <c r="J17" s="21"/>
      <c r="K17" s="21"/>
      <c r="L17" s="21" t="s">
        <v>26</v>
      </c>
      <c r="M17" s="28"/>
      <c r="N17" s="25"/>
      <c r="O17" s="26"/>
      <c r="P17" s="26"/>
      <c r="Q17" s="1"/>
      <c r="R17" s="1"/>
    </row>
    <row r="18">
      <c r="A18" s="1"/>
      <c r="B18" s="32"/>
      <c r="C18" s="15" t="s">
        <v>320</v>
      </c>
      <c r="D18" s="16" t="s">
        <v>51</v>
      </c>
      <c r="E18" s="17"/>
      <c r="F18" s="22">
        <v>46106.0</v>
      </c>
      <c r="G18" s="19"/>
      <c r="H18" s="20">
        <v>100000.0</v>
      </c>
      <c r="I18" s="21" t="s">
        <v>24</v>
      </c>
      <c r="J18" s="21"/>
      <c r="K18" s="21"/>
      <c r="L18" s="21" t="s">
        <v>26</v>
      </c>
      <c r="M18" s="28"/>
      <c r="N18" s="25"/>
      <c r="O18" s="26"/>
      <c r="P18" s="26"/>
      <c r="Q18" s="1"/>
      <c r="R18" s="1"/>
    </row>
    <row r="19">
      <c r="A19" s="1"/>
      <c r="B19" s="32"/>
      <c r="C19" s="15" t="s">
        <v>326</v>
      </c>
      <c r="D19" s="16" t="s">
        <v>34</v>
      </c>
      <c r="E19" s="17"/>
      <c r="F19" s="22">
        <v>46105.0</v>
      </c>
      <c r="G19" s="19">
        <v>550000.0</v>
      </c>
      <c r="H19" s="33"/>
      <c r="I19" s="21" t="s">
        <v>27</v>
      </c>
      <c r="J19" s="21" t="s">
        <v>36</v>
      </c>
      <c r="K19" s="21" t="s">
        <v>38</v>
      </c>
      <c r="L19" s="21" t="s">
        <v>26</v>
      </c>
      <c r="M19" s="21" t="s">
        <v>52</v>
      </c>
      <c r="N19" s="25"/>
      <c r="O19" s="26"/>
      <c r="P19" s="26"/>
      <c r="Q19" s="1"/>
      <c r="R19" s="1"/>
    </row>
    <row r="20">
      <c r="A20" s="1"/>
      <c r="B20" s="32"/>
      <c r="C20" s="15" t="s">
        <v>302</v>
      </c>
      <c r="D20" s="16" t="s">
        <v>20</v>
      </c>
      <c r="E20" s="17"/>
      <c r="F20" s="22">
        <v>46105.0</v>
      </c>
      <c r="G20" s="19">
        <v>275000.0</v>
      </c>
      <c r="H20" s="33"/>
      <c r="I20" s="21" t="s">
        <v>27</v>
      </c>
      <c r="J20" s="21" t="s">
        <v>36</v>
      </c>
      <c r="K20" s="21" t="s">
        <v>36</v>
      </c>
      <c r="L20" s="21" t="s">
        <v>26</v>
      </c>
      <c r="M20" s="21" t="s">
        <v>52</v>
      </c>
      <c r="N20" s="25"/>
      <c r="O20" s="26"/>
      <c r="P20" s="26"/>
      <c r="Q20" s="1"/>
      <c r="R20" s="1"/>
    </row>
    <row r="21">
      <c r="A21" s="1"/>
      <c r="B21" s="32"/>
      <c r="C21" s="15" t="s">
        <v>276</v>
      </c>
      <c r="D21" s="16" t="s">
        <v>33</v>
      </c>
      <c r="E21" s="17"/>
      <c r="F21" s="22">
        <v>46105.0</v>
      </c>
      <c r="G21" s="19"/>
      <c r="H21" s="20">
        <v>470000.0</v>
      </c>
      <c r="I21" s="21" t="s">
        <v>27</v>
      </c>
      <c r="J21" s="21" t="s">
        <v>36</v>
      </c>
      <c r="K21" s="21" t="s">
        <v>36</v>
      </c>
      <c r="L21" s="21" t="s">
        <v>26</v>
      </c>
      <c r="M21" s="21" t="s">
        <v>52</v>
      </c>
      <c r="N21" s="25"/>
      <c r="O21" s="26"/>
      <c r="P21" s="26"/>
      <c r="Q21" s="1"/>
      <c r="R21" s="1"/>
    </row>
    <row r="22">
      <c r="A22" s="1"/>
      <c r="B22" s="32"/>
      <c r="C22" s="15" t="s">
        <v>328</v>
      </c>
      <c r="D22" s="16" t="s">
        <v>23</v>
      </c>
      <c r="E22" s="17"/>
      <c r="F22" s="22">
        <v>46112.0</v>
      </c>
      <c r="G22" s="19"/>
      <c r="H22" s="20">
        <v>100000.0</v>
      </c>
      <c r="I22" s="21" t="s">
        <v>24</v>
      </c>
      <c r="J22" s="21"/>
      <c r="K22" s="21"/>
      <c r="L22" s="21" t="s">
        <v>26</v>
      </c>
      <c r="M22" s="28"/>
      <c r="N22" s="25"/>
      <c r="O22" s="26"/>
      <c r="P22" s="26"/>
      <c r="Q22" s="1"/>
      <c r="R22" s="1"/>
    </row>
    <row r="23">
      <c r="A23" s="1"/>
      <c r="B23" s="32"/>
      <c r="C23" s="15" t="s">
        <v>178</v>
      </c>
      <c r="D23" s="16" t="s">
        <v>25</v>
      </c>
      <c r="E23" s="17"/>
      <c r="F23" s="22">
        <v>46096.0</v>
      </c>
      <c r="G23" s="19"/>
      <c r="H23" s="20">
        <v>20000.0</v>
      </c>
      <c r="I23" s="21" t="s">
        <v>27</v>
      </c>
      <c r="J23" s="21"/>
      <c r="K23" s="21"/>
      <c r="L23" s="21" t="s">
        <v>26</v>
      </c>
      <c r="M23" s="28"/>
      <c r="N23" s="25"/>
      <c r="O23" s="26"/>
      <c r="P23" s="26"/>
      <c r="Q23" s="1"/>
      <c r="R23" s="1"/>
    </row>
    <row r="24">
      <c r="A24" s="1"/>
      <c r="B24" s="32"/>
      <c r="C24" s="15" t="s">
        <v>330</v>
      </c>
      <c r="D24" s="16" t="s">
        <v>20</v>
      </c>
      <c r="E24" s="17"/>
      <c r="F24" s="22">
        <v>46108.0</v>
      </c>
      <c r="G24" s="19"/>
      <c r="H24" s="20">
        <v>100000.0</v>
      </c>
      <c r="I24" s="21" t="s">
        <v>24</v>
      </c>
      <c r="J24" s="21"/>
      <c r="K24" s="21"/>
      <c r="L24" s="21" t="s">
        <v>26</v>
      </c>
      <c r="M24" s="28"/>
      <c r="N24" s="25"/>
      <c r="O24" s="26"/>
      <c r="P24" s="26"/>
      <c r="Q24" s="1"/>
      <c r="R24" s="1"/>
    </row>
    <row r="25">
      <c r="A25" s="1"/>
      <c r="B25" s="32"/>
      <c r="C25" s="15" t="s">
        <v>317</v>
      </c>
      <c r="D25" s="16" t="s">
        <v>331</v>
      </c>
      <c r="E25" s="17"/>
      <c r="F25" s="22">
        <v>46105.0</v>
      </c>
      <c r="G25" s="19"/>
      <c r="H25" s="20">
        <v>1600000.0</v>
      </c>
      <c r="I25" s="21" t="s">
        <v>27</v>
      </c>
      <c r="J25" s="21" t="s">
        <v>36</v>
      </c>
      <c r="K25" s="21" t="s">
        <v>38</v>
      </c>
      <c r="L25" s="21" t="s">
        <v>26</v>
      </c>
      <c r="M25" s="28"/>
      <c r="N25" s="25"/>
      <c r="O25" s="26"/>
      <c r="P25" s="26"/>
      <c r="Q25" s="1"/>
      <c r="R25" s="1"/>
    </row>
    <row r="26">
      <c r="A26" s="1"/>
      <c r="B26" s="32"/>
      <c r="C26" s="64" t="s">
        <v>303</v>
      </c>
      <c r="D26" s="16" t="s">
        <v>33</v>
      </c>
      <c r="E26" s="17"/>
      <c r="F26" s="22">
        <v>46105.0</v>
      </c>
      <c r="G26" s="27"/>
      <c r="H26" s="20">
        <v>470000.0</v>
      </c>
      <c r="I26" s="21" t="s">
        <v>27</v>
      </c>
      <c r="J26" s="21" t="s">
        <v>36</v>
      </c>
      <c r="K26" s="21" t="s">
        <v>38</v>
      </c>
      <c r="L26" s="21" t="s">
        <v>26</v>
      </c>
      <c r="M26" s="21" t="s">
        <v>52</v>
      </c>
      <c r="N26" s="26"/>
      <c r="O26" s="26"/>
      <c r="P26" s="26"/>
      <c r="Q26" s="1"/>
      <c r="R26" s="1"/>
    </row>
    <row r="27">
      <c r="A27" s="1"/>
      <c r="B27" s="32"/>
      <c r="C27" s="15" t="s">
        <v>332</v>
      </c>
      <c r="D27" s="16" t="s">
        <v>23</v>
      </c>
      <c r="E27" s="17"/>
      <c r="F27" s="22">
        <v>46112.0</v>
      </c>
      <c r="G27" s="27"/>
      <c r="H27" s="20">
        <v>100000.0</v>
      </c>
      <c r="I27" s="21" t="s">
        <v>24</v>
      </c>
      <c r="J27" s="28"/>
      <c r="K27" s="28"/>
      <c r="L27" s="21" t="s">
        <v>26</v>
      </c>
      <c r="M27" s="28"/>
      <c r="N27" s="35"/>
      <c r="O27" s="35"/>
      <c r="P27" s="35"/>
      <c r="Q27" s="1"/>
      <c r="R27" s="1"/>
    </row>
    <row r="28" ht="18.75" customHeight="1">
      <c r="A28" s="1"/>
      <c r="B28" s="1"/>
      <c r="C28" s="2"/>
      <c r="D28" s="2"/>
      <c r="E28" s="1"/>
      <c r="F28" s="1"/>
      <c r="G28" s="36">
        <f t="shared" ref="G28:H28" si="1">SUM(G4:G27)</f>
        <v>2020000</v>
      </c>
      <c r="H28" s="37">
        <f t="shared" si="1"/>
        <v>5045000</v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23.25" customHeight="1">
      <c r="A29" s="1"/>
      <c r="B29" s="1"/>
      <c r="C29" s="2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2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 t="s">
        <v>0</v>
      </c>
      <c r="C31" s="39" t="s">
        <v>6</v>
      </c>
      <c r="D31" s="39" t="s">
        <v>72</v>
      </c>
      <c r="E31" s="40"/>
      <c r="F31" s="1"/>
      <c r="G31" s="1"/>
      <c r="H31" s="1"/>
      <c r="I31" s="1"/>
      <c r="J31" s="1"/>
      <c r="K31" s="1"/>
      <c r="L31" s="1"/>
      <c r="M31" s="1"/>
      <c r="N31" s="39" t="s">
        <v>73</v>
      </c>
      <c r="O31" s="39" t="s">
        <v>1</v>
      </c>
      <c r="P31" s="1"/>
      <c r="Q31" s="1"/>
      <c r="R31" s="1"/>
    </row>
    <row r="32">
      <c r="A32" s="1"/>
      <c r="B32" s="41">
        <v>1.0</v>
      </c>
      <c r="C32" s="42" t="s">
        <v>74</v>
      </c>
      <c r="D32" s="43">
        <f>SUM(G28)</f>
        <v>2020000</v>
      </c>
      <c r="E32" s="44"/>
      <c r="F32" s="1"/>
      <c r="G32" s="1"/>
      <c r="H32" s="1"/>
      <c r="I32" s="1"/>
      <c r="J32" s="1"/>
      <c r="K32" s="1"/>
      <c r="L32" s="1"/>
      <c r="M32" s="1"/>
      <c r="N32" s="45" t="s">
        <v>75</v>
      </c>
      <c r="O32" s="23" t="s">
        <v>89</v>
      </c>
      <c r="P32" s="1"/>
      <c r="Q32" s="1"/>
      <c r="R32" s="1"/>
    </row>
    <row r="33">
      <c r="A33" s="1"/>
      <c r="B33" s="46">
        <v>2.0</v>
      </c>
      <c r="C33" s="47" t="s">
        <v>339</v>
      </c>
      <c r="D33" s="48">
        <v>-100000.0</v>
      </c>
      <c r="E33" s="49"/>
      <c r="F33" s="1"/>
      <c r="G33" s="1"/>
      <c r="H33" s="1"/>
      <c r="I33" s="1"/>
      <c r="J33" s="1"/>
      <c r="K33" s="1"/>
      <c r="L33" s="1"/>
      <c r="M33" s="1"/>
      <c r="N33" s="50" t="s">
        <v>77</v>
      </c>
      <c r="O33" s="51" t="s">
        <v>26</v>
      </c>
      <c r="P33" s="1"/>
      <c r="Q33" s="1"/>
      <c r="R33" s="1"/>
    </row>
    <row r="34">
      <c r="A34" s="1"/>
      <c r="B34" s="41">
        <v>3.0</v>
      </c>
      <c r="C34" s="42" t="s">
        <v>78</v>
      </c>
      <c r="D34" s="52">
        <v>-15000.0</v>
      </c>
      <c r="E34" s="49"/>
      <c r="F34" s="1"/>
      <c r="G34" s="1"/>
      <c r="H34" s="1"/>
      <c r="I34" s="1"/>
      <c r="J34" s="1"/>
      <c r="K34" s="1"/>
      <c r="L34" s="1"/>
      <c r="M34" s="1"/>
      <c r="N34" s="53" t="s">
        <v>79</v>
      </c>
      <c r="O34" s="25" t="s">
        <v>85</v>
      </c>
      <c r="P34" s="1"/>
      <c r="Q34" s="1"/>
      <c r="R34" s="1"/>
    </row>
    <row r="35">
      <c r="A35" s="1"/>
      <c r="B35" s="46"/>
      <c r="C35" s="47" t="s">
        <v>319</v>
      </c>
      <c r="D35" s="48">
        <v>-55000.0</v>
      </c>
      <c r="E35" s="49"/>
      <c r="F35" s="1"/>
      <c r="G35" s="1"/>
      <c r="H35" s="1"/>
      <c r="I35" s="1"/>
      <c r="J35" s="1"/>
      <c r="K35" s="1"/>
      <c r="L35" s="1"/>
      <c r="M35" s="1"/>
      <c r="N35" s="54" t="s">
        <v>80</v>
      </c>
      <c r="O35" s="51" t="s">
        <v>52</v>
      </c>
      <c r="P35" s="1"/>
      <c r="Q35" s="1"/>
      <c r="R35" s="1"/>
    </row>
    <row r="36">
      <c r="A36" s="1"/>
      <c r="B36" s="41"/>
      <c r="C36" s="55"/>
      <c r="D36" s="43"/>
      <c r="E36" s="44"/>
      <c r="F36" s="1"/>
      <c r="G36" s="1"/>
      <c r="H36" s="1"/>
      <c r="I36" s="1"/>
      <c r="J36" s="1"/>
      <c r="K36" s="1"/>
      <c r="L36" s="1"/>
      <c r="M36" s="1"/>
      <c r="N36" s="56"/>
      <c r="O36" s="1"/>
      <c r="P36" s="1"/>
      <c r="Q36" s="1"/>
      <c r="R36" s="1"/>
    </row>
    <row r="37">
      <c r="A37" s="1"/>
      <c r="B37" s="46"/>
      <c r="C37" s="57"/>
      <c r="D37" s="58"/>
      <c r="E37" s="4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41"/>
      <c r="C38" s="55"/>
      <c r="D38" s="43"/>
      <c r="E38" s="4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46"/>
      <c r="C39" s="57"/>
      <c r="D39" s="58"/>
      <c r="E39" s="4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41"/>
      <c r="C40" s="55"/>
      <c r="D40" s="43"/>
      <c r="E40" s="4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46"/>
      <c r="C41" s="57"/>
      <c r="D41" s="58"/>
      <c r="E41" s="4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59"/>
      <c r="C42" s="60"/>
      <c r="D42" s="61"/>
      <c r="E42" s="4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62">
        <f>SUM(D32:D42)</f>
        <v>1850000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7 O32:O33">
      <formula1>"-,JIJANG,ADDEL ,PENTIL,FAHME,INDAH"</formula1>
    </dataValidation>
    <dataValidation type="list" allowBlank="1" showErrorMessage="1" sqref="N4:N27">
      <formula1>"-,Pending,Progress,Uploaded"</formula1>
    </dataValidation>
    <dataValidation type="list" allowBlank="1" showDropDown="1" showErrorMessage="1" sqref="D4:D27">
      <formula1>"-,Single,Couple A,Couple B,Group A,Group B,Group C,Large Group,Graduation,Graduation Premium,Family A,Family B,Maternity,Concept,Studio Rent,Pas Foto,Single,Add Person ,Add Edit,Couple C,Photofox,Prewed 1,6,Packing"</formula1>
    </dataValidation>
    <dataValidation type="list" allowBlank="1" showErrorMessage="1" sqref="O4:O27">
      <formula1>"-,In Pikako,In Foxe"</formula1>
    </dataValidation>
    <dataValidation type="list" allowBlank="1" showDropDown="1" showErrorMessage="1" sqref="I4:I27">
      <formula1>"-,DP,Lunas"</formula1>
    </dataValidation>
    <dataValidation type="list" allowBlank="1" showDropDown="1" showErrorMessage="1" sqref="J4:K27">
      <formula1>"-,Pending,Uploaded"</formula1>
    </dataValidation>
    <dataValidation type="list" allowBlank="1" showDropDown="1" showErrorMessage="1" sqref="M4:M27 O34:O35">
      <formula1>"-,VERO,FADEL,PENTIL,HANIF ,ADIF"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0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298</v>
      </c>
      <c r="D4" s="16" t="s">
        <v>33</v>
      </c>
      <c r="E4" s="17"/>
      <c r="F4" s="18">
        <v>46106.0</v>
      </c>
      <c r="G4" s="19">
        <v>370000.0</v>
      </c>
      <c r="H4" s="20"/>
      <c r="I4" s="21" t="s">
        <v>27</v>
      </c>
      <c r="J4" s="21" t="s">
        <v>36</v>
      </c>
      <c r="K4" s="21" t="s">
        <v>36</v>
      </c>
      <c r="L4" s="21" t="s">
        <v>26</v>
      </c>
      <c r="M4" s="21" t="s">
        <v>39</v>
      </c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167</v>
      </c>
      <c r="D5" s="16" t="s">
        <v>306</v>
      </c>
      <c r="E5" s="17"/>
      <c r="F5" s="18">
        <v>46099.0</v>
      </c>
      <c r="G5" s="19"/>
      <c r="H5" s="20">
        <v>110000.0</v>
      </c>
      <c r="I5" s="21" t="s">
        <v>27</v>
      </c>
      <c r="J5" s="21"/>
      <c r="K5" s="21"/>
      <c r="L5" s="21" t="s">
        <v>26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307</v>
      </c>
      <c r="D6" s="16" t="s">
        <v>34</v>
      </c>
      <c r="E6" s="17"/>
      <c r="F6" s="22">
        <v>46106.0</v>
      </c>
      <c r="G6" s="19">
        <v>550000.0</v>
      </c>
      <c r="H6" s="20"/>
      <c r="I6" s="21" t="s">
        <v>27</v>
      </c>
      <c r="J6" s="21" t="s">
        <v>36</v>
      </c>
      <c r="K6" s="21" t="s">
        <v>38</v>
      </c>
      <c r="L6" s="21" t="s">
        <v>26</v>
      </c>
      <c r="M6" s="21" t="s">
        <v>39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308</v>
      </c>
      <c r="D7" s="16" t="s">
        <v>34</v>
      </c>
      <c r="E7" s="17"/>
      <c r="F7" s="22">
        <v>46106.0</v>
      </c>
      <c r="G7" s="19"/>
      <c r="H7" s="20">
        <v>150000.0</v>
      </c>
      <c r="I7" s="21" t="s">
        <v>24</v>
      </c>
      <c r="J7" s="21"/>
      <c r="K7" s="21"/>
      <c r="L7" s="21" t="s">
        <v>26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309</v>
      </c>
      <c r="D8" s="16" t="s">
        <v>51</v>
      </c>
      <c r="E8" s="17"/>
      <c r="F8" s="22">
        <v>46106.0</v>
      </c>
      <c r="G8" s="19">
        <v>50000.0</v>
      </c>
      <c r="H8" s="33"/>
      <c r="I8" s="21" t="s">
        <v>27</v>
      </c>
      <c r="J8" s="21" t="s">
        <v>36</v>
      </c>
      <c r="K8" s="21" t="s">
        <v>36</v>
      </c>
      <c r="L8" s="21" t="s">
        <v>26</v>
      </c>
      <c r="M8" s="21" t="s">
        <v>39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312</v>
      </c>
      <c r="D9" s="16" t="s">
        <v>66</v>
      </c>
      <c r="E9" s="17"/>
      <c r="F9" s="22">
        <v>46106.0</v>
      </c>
      <c r="G9" s="19"/>
      <c r="H9" s="20">
        <v>50000.0</v>
      </c>
      <c r="I9" s="21" t="s">
        <v>27</v>
      </c>
      <c r="J9" s="21" t="s">
        <v>36</v>
      </c>
      <c r="K9" s="21" t="s">
        <v>36</v>
      </c>
      <c r="L9" s="21" t="s">
        <v>26</v>
      </c>
      <c r="M9" s="21" t="s">
        <v>39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313</v>
      </c>
      <c r="D10" s="16" t="s">
        <v>33</v>
      </c>
      <c r="E10" s="17"/>
      <c r="F10" s="22">
        <v>46106.0</v>
      </c>
      <c r="G10" s="19"/>
      <c r="H10" s="20">
        <v>100000.0</v>
      </c>
      <c r="I10" s="21" t="s">
        <v>24</v>
      </c>
      <c r="J10" s="21"/>
      <c r="K10" s="21"/>
      <c r="L10" s="21" t="s">
        <v>26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315</v>
      </c>
      <c r="D11" s="16" t="s">
        <v>33</v>
      </c>
      <c r="E11" s="17"/>
      <c r="F11" s="22">
        <v>46107.0</v>
      </c>
      <c r="G11" s="19"/>
      <c r="H11" s="20">
        <v>100000.0</v>
      </c>
      <c r="I11" s="21" t="s">
        <v>24</v>
      </c>
      <c r="J11" s="21"/>
      <c r="K11" s="21"/>
      <c r="L11" s="21" t="s">
        <v>26</v>
      </c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317</v>
      </c>
      <c r="D12" s="16" t="s">
        <v>51</v>
      </c>
      <c r="E12" s="17"/>
      <c r="F12" s="22">
        <v>46108.0</v>
      </c>
      <c r="G12" s="19"/>
      <c r="H12" s="20">
        <v>150000.0</v>
      </c>
      <c r="I12" s="21" t="s">
        <v>27</v>
      </c>
      <c r="J12" s="21"/>
      <c r="K12" s="21"/>
      <c r="L12" s="21" t="s">
        <v>26</v>
      </c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284</v>
      </c>
      <c r="D13" s="16" t="s">
        <v>119</v>
      </c>
      <c r="E13" s="17"/>
      <c r="F13" s="22">
        <v>46103.0</v>
      </c>
      <c r="G13" s="19"/>
      <c r="H13" s="20">
        <v>50000.0</v>
      </c>
      <c r="I13" s="21" t="s">
        <v>27</v>
      </c>
      <c r="J13" s="21"/>
      <c r="K13" s="21"/>
      <c r="L13" s="21" t="s">
        <v>26</v>
      </c>
      <c r="M13" s="28"/>
      <c r="N13" s="25"/>
      <c r="O13" s="26"/>
      <c r="P13" s="26"/>
      <c r="Q13" s="1"/>
      <c r="R13" s="1"/>
    </row>
    <row r="14">
      <c r="A14" s="1"/>
      <c r="B14" s="32"/>
      <c r="C14" s="15" t="s">
        <v>320</v>
      </c>
      <c r="D14" s="16" t="s">
        <v>51</v>
      </c>
      <c r="E14" s="17"/>
      <c r="F14" s="22">
        <v>46106.0</v>
      </c>
      <c r="G14" s="19">
        <v>50000.0</v>
      </c>
      <c r="H14" s="33"/>
      <c r="I14" s="21" t="s">
        <v>27</v>
      </c>
      <c r="J14" s="21" t="s">
        <v>36</v>
      </c>
      <c r="K14" s="21" t="s">
        <v>36</v>
      </c>
      <c r="L14" s="21" t="s">
        <v>26</v>
      </c>
      <c r="M14" s="21" t="s">
        <v>39</v>
      </c>
      <c r="N14" s="25"/>
      <c r="O14" s="26"/>
      <c r="P14" s="26"/>
      <c r="Q14" s="1"/>
      <c r="R14" s="1"/>
    </row>
    <row r="15">
      <c r="A15" s="1"/>
      <c r="B15" s="32"/>
      <c r="C15" s="15" t="s">
        <v>323</v>
      </c>
      <c r="D15" s="16" t="s">
        <v>33</v>
      </c>
      <c r="E15" s="17"/>
      <c r="F15" s="22">
        <v>46109.0</v>
      </c>
      <c r="G15" s="19"/>
      <c r="H15" s="20">
        <v>100000.0</v>
      </c>
      <c r="I15" s="21" t="s">
        <v>24</v>
      </c>
      <c r="J15" s="21"/>
      <c r="K15" s="21"/>
      <c r="L15" s="21" t="s">
        <v>26</v>
      </c>
      <c r="M15" s="28"/>
      <c r="N15" s="25"/>
      <c r="O15" s="26"/>
      <c r="P15" s="26"/>
      <c r="Q15" s="1"/>
      <c r="R15" s="1"/>
    </row>
    <row r="16">
      <c r="A16" s="1"/>
      <c r="B16" s="32"/>
      <c r="C16" s="15" t="s">
        <v>325</v>
      </c>
      <c r="D16" s="16" t="s">
        <v>119</v>
      </c>
      <c r="E16" s="17"/>
      <c r="F16" s="22">
        <v>46106.0</v>
      </c>
      <c r="G16" s="19"/>
      <c r="H16" s="20">
        <v>170000.0</v>
      </c>
      <c r="I16" s="21" t="s">
        <v>27</v>
      </c>
      <c r="J16" s="21"/>
      <c r="K16" s="21"/>
      <c r="L16" s="21" t="s">
        <v>26</v>
      </c>
      <c r="M16" s="28"/>
      <c r="N16" s="25"/>
      <c r="O16" s="26"/>
      <c r="P16" s="26"/>
      <c r="Q16" s="1"/>
      <c r="R16" s="1"/>
    </row>
    <row r="17">
      <c r="A17" s="1"/>
      <c r="B17" s="32"/>
      <c r="C17" s="15" t="s">
        <v>313</v>
      </c>
      <c r="D17" s="16" t="s">
        <v>33</v>
      </c>
      <c r="E17" s="17"/>
      <c r="F17" s="22">
        <v>46106.0</v>
      </c>
      <c r="G17" s="19">
        <v>490000.0</v>
      </c>
      <c r="H17" s="33"/>
      <c r="I17" s="21" t="s">
        <v>27</v>
      </c>
      <c r="J17" s="21" t="s">
        <v>36</v>
      </c>
      <c r="K17" s="21" t="s">
        <v>36</v>
      </c>
      <c r="L17" s="21" t="s">
        <v>26</v>
      </c>
      <c r="M17" s="21" t="s">
        <v>39</v>
      </c>
      <c r="N17" s="25"/>
      <c r="O17" s="26"/>
      <c r="P17" s="26"/>
      <c r="Q17" s="1"/>
      <c r="R17" s="1"/>
    </row>
    <row r="18">
      <c r="A18" s="1"/>
      <c r="B18" s="32"/>
      <c r="C18" s="15" t="s">
        <v>308</v>
      </c>
      <c r="D18" s="16" t="s">
        <v>34</v>
      </c>
      <c r="E18" s="17"/>
      <c r="F18" s="22">
        <v>46106.0</v>
      </c>
      <c r="G18" s="19">
        <v>420000.0</v>
      </c>
      <c r="H18" s="33"/>
      <c r="I18" s="21" t="s">
        <v>27</v>
      </c>
      <c r="J18" s="21" t="s">
        <v>36</v>
      </c>
      <c r="K18" s="21" t="s">
        <v>38</v>
      </c>
      <c r="L18" s="21" t="s">
        <v>26</v>
      </c>
      <c r="M18" s="21" t="s">
        <v>39</v>
      </c>
      <c r="N18" s="25"/>
      <c r="O18" s="26"/>
      <c r="P18" s="26"/>
      <c r="Q18" s="1"/>
      <c r="R18" s="1"/>
    </row>
    <row r="19">
      <c r="A19" s="1"/>
      <c r="B19" s="32"/>
      <c r="C19" s="15" t="s">
        <v>327</v>
      </c>
      <c r="D19" s="16" t="s">
        <v>20</v>
      </c>
      <c r="E19" s="17"/>
      <c r="F19" s="22">
        <v>46111.0</v>
      </c>
      <c r="G19" s="19"/>
      <c r="H19" s="20">
        <v>100000.0</v>
      </c>
      <c r="I19" s="21" t="s">
        <v>24</v>
      </c>
      <c r="J19" s="21"/>
      <c r="K19" s="21"/>
      <c r="L19" s="21" t="s">
        <v>26</v>
      </c>
      <c r="M19" s="28"/>
      <c r="N19" s="25"/>
      <c r="O19" s="26"/>
      <c r="P19" s="26"/>
      <c r="Q19" s="1"/>
      <c r="R19" s="1"/>
    </row>
    <row r="20">
      <c r="A20" s="1"/>
      <c r="B20" s="32"/>
      <c r="C20" s="34"/>
      <c r="D20" s="16"/>
      <c r="E20" s="17"/>
      <c r="F20" s="32"/>
      <c r="G20" s="27"/>
      <c r="H20" s="33"/>
      <c r="I20" s="28"/>
      <c r="J20" s="28"/>
      <c r="K20" s="28"/>
      <c r="L20" s="28"/>
      <c r="M20" s="28"/>
      <c r="N20" s="35"/>
      <c r="O20" s="35"/>
      <c r="P20" s="35"/>
      <c r="Q20" s="1"/>
      <c r="R20" s="1"/>
    </row>
    <row r="21" ht="18.75" customHeight="1">
      <c r="A21" s="1"/>
      <c r="B21" s="1"/>
      <c r="C21" s="2"/>
      <c r="D21" s="2"/>
      <c r="E21" s="1"/>
      <c r="F21" s="1"/>
      <c r="G21" s="36">
        <f t="shared" ref="G21:H21" si="1">SUM(G4:G20)</f>
        <v>1930000</v>
      </c>
      <c r="H21" s="37">
        <f t="shared" si="1"/>
        <v>1080000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23.25" customHeight="1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38" t="s">
        <v>0</v>
      </c>
      <c r="C24" s="39" t="s">
        <v>6</v>
      </c>
      <c r="D24" s="39" t="s">
        <v>72</v>
      </c>
      <c r="E24" s="40"/>
      <c r="F24" s="1"/>
      <c r="G24" s="1"/>
      <c r="H24" s="1"/>
      <c r="I24" s="1"/>
      <c r="J24" s="1"/>
      <c r="K24" s="1"/>
      <c r="L24" s="1"/>
      <c r="M24" s="1"/>
      <c r="N24" s="39" t="s">
        <v>73</v>
      </c>
      <c r="O24" s="39" t="s">
        <v>1</v>
      </c>
      <c r="P24" s="1"/>
      <c r="Q24" s="1"/>
      <c r="R24" s="1"/>
    </row>
    <row r="25">
      <c r="A25" s="1"/>
      <c r="B25" s="41">
        <v>1.0</v>
      </c>
      <c r="C25" s="42" t="s">
        <v>74</v>
      </c>
      <c r="D25" s="43">
        <f>SUM(G21)</f>
        <v>1930000</v>
      </c>
      <c r="E25" s="44"/>
      <c r="F25" s="1"/>
      <c r="G25" s="1"/>
      <c r="H25" s="1"/>
      <c r="I25" s="1"/>
      <c r="J25" s="1"/>
      <c r="K25" s="1"/>
      <c r="L25" s="1"/>
      <c r="M25" s="1"/>
      <c r="N25" s="45" t="s">
        <v>75</v>
      </c>
      <c r="O25" s="23" t="s">
        <v>26</v>
      </c>
      <c r="P25" s="1"/>
      <c r="Q25" s="1"/>
      <c r="R25" s="1"/>
    </row>
    <row r="26">
      <c r="A26" s="1"/>
      <c r="B26" s="46">
        <v>2.0</v>
      </c>
      <c r="C26" s="47" t="s">
        <v>139</v>
      </c>
      <c r="D26" s="48">
        <v>-20000.0</v>
      </c>
      <c r="E26" s="49"/>
      <c r="F26" s="1"/>
      <c r="G26" s="1"/>
      <c r="H26" s="1"/>
      <c r="I26" s="1"/>
      <c r="J26" s="1"/>
      <c r="K26" s="1"/>
      <c r="L26" s="1"/>
      <c r="M26" s="1"/>
      <c r="N26" s="50" t="s">
        <v>77</v>
      </c>
      <c r="O26" s="51" t="s">
        <v>26</v>
      </c>
      <c r="P26" s="1"/>
      <c r="Q26" s="1"/>
      <c r="R26" s="1"/>
    </row>
    <row r="27">
      <c r="A27" s="1"/>
      <c r="B27" s="41">
        <v>3.0</v>
      </c>
      <c r="C27" s="42" t="s">
        <v>319</v>
      </c>
      <c r="D27" s="52">
        <v>-60000.0</v>
      </c>
      <c r="E27" s="49"/>
      <c r="F27" s="1"/>
      <c r="G27" s="1"/>
      <c r="H27" s="1"/>
      <c r="I27" s="1"/>
      <c r="J27" s="1"/>
      <c r="K27" s="1"/>
      <c r="L27" s="1"/>
      <c r="M27" s="1"/>
      <c r="N27" s="53" t="s">
        <v>79</v>
      </c>
      <c r="O27" s="25" t="s">
        <v>39</v>
      </c>
      <c r="P27" s="1"/>
      <c r="Q27" s="1"/>
      <c r="R27" s="1"/>
    </row>
    <row r="28">
      <c r="A28" s="1"/>
      <c r="B28" s="46">
        <v>4.0</v>
      </c>
      <c r="C28" s="47"/>
      <c r="D28" s="48"/>
      <c r="E28" s="49"/>
      <c r="F28" s="1"/>
      <c r="G28" s="1"/>
      <c r="H28" s="1"/>
      <c r="I28" s="1"/>
      <c r="J28" s="1"/>
      <c r="K28" s="1"/>
      <c r="L28" s="1"/>
      <c r="M28" s="1"/>
      <c r="N28" s="54" t="s">
        <v>80</v>
      </c>
      <c r="O28" s="51" t="s">
        <v>39</v>
      </c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56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41"/>
      <c r="C33" s="55"/>
      <c r="D33" s="43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6"/>
      <c r="C34" s="57"/>
      <c r="D34" s="58"/>
      <c r="E34" s="4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59"/>
      <c r="C35" s="60"/>
      <c r="D35" s="61"/>
      <c r="E35" s="4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62">
        <f>SUM(D25:D35)</f>
        <v>1850000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0 O25:O26">
      <formula1>"-,JIJANG,AXEL,PENTIL,FAHME,INDAH"</formula1>
    </dataValidation>
    <dataValidation type="list" allowBlank="1" showDropDown="1" showErrorMessage="1" sqref="D4:D20">
      <formula1>"-,Single,Couple A,Couple B,Group A,Group B,Group C,Large Group,Graduation,Graduation Premium,Family A,Family B,Maternity,Concept,Studio Rent,Pas Foto,Single,Add Person ,Add Edit,Add Cetak 5R"</formula1>
    </dataValidation>
    <dataValidation type="list" allowBlank="1" showErrorMessage="1" sqref="N4:N20">
      <formula1>"-,Pending,Progress,Uploaded"</formula1>
    </dataValidation>
    <dataValidation type="list" allowBlank="1" showErrorMessage="1" sqref="O4:O20">
      <formula1>"-,In Pikako,In Foxe"</formula1>
    </dataValidation>
    <dataValidation type="list" allowBlank="1" showDropDown="1" showErrorMessage="1" sqref="M4:M20 O27:O28">
      <formula1>"-,VERO,FADEL,PENTIL,FAHME,HANIF"</formula1>
    </dataValidation>
    <dataValidation type="list" allowBlank="1" showDropDown="1" showErrorMessage="1" sqref="I4:I20">
      <formula1>"-,DP,Lunas"</formula1>
    </dataValidation>
    <dataValidation type="list" allowBlank="1" showDropDown="1" showErrorMessage="1" sqref="J4:K20">
      <formula1>"-,Pending,Uploaded"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6.13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0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329</v>
      </c>
      <c r="D4" s="16" t="s">
        <v>23</v>
      </c>
      <c r="E4" s="17"/>
      <c r="F4" s="18">
        <v>46112.0</v>
      </c>
      <c r="G4" s="19"/>
      <c r="H4" s="20">
        <v>100000.0</v>
      </c>
      <c r="I4" s="21" t="s">
        <v>24</v>
      </c>
      <c r="J4" s="21"/>
      <c r="K4" s="21"/>
      <c r="L4" s="21" t="s">
        <v>26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334</v>
      </c>
      <c r="D5" s="16" t="s">
        <v>33</v>
      </c>
      <c r="E5" s="17"/>
      <c r="F5" s="18">
        <v>46107.0</v>
      </c>
      <c r="G5" s="19"/>
      <c r="H5" s="20">
        <v>100000.0</v>
      </c>
      <c r="I5" s="21" t="s">
        <v>24</v>
      </c>
      <c r="J5" s="21"/>
      <c r="K5" s="21"/>
      <c r="L5" s="21" t="s">
        <v>26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280</v>
      </c>
      <c r="D6" s="16" t="s">
        <v>33</v>
      </c>
      <c r="E6" s="17"/>
      <c r="F6" s="22">
        <v>46107.0</v>
      </c>
      <c r="G6" s="19">
        <v>310000.0</v>
      </c>
      <c r="H6" s="20"/>
      <c r="I6" s="21" t="s">
        <v>27</v>
      </c>
      <c r="J6" s="21" t="s">
        <v>36</v>
      </c>
      <c r="K6" s="21" t="s">
        <v>36</v>
      </c>
      <c r="L6" s="21" t="s">
        <v>26</v>
      </c>
      <c r="M6" s="21" t="s">
        <v>52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335</v>
      </c>
      <c r="D7" s="16" t="s">
        <v>34</v>
      </c>
      <c r="E7" s="17"/>
      <c r="F7" s="22">
        <v>46107.0</v>
      </c>
      <c r="G7" s="19"/>
      <c r="H7" s="20">
        <v>100000.0</v>
      </c>
      <c r="I7" s="21" t="s">
        <v>24</v>
      </c>
      <c r="J7" s="21"/>
      <c r="K7" s="21"/>
      <c r="L7" s="21" t="s">
        <v>26</v>
      </c>
      <c r="M7" s="28"/>
      <c r="N7" s="25"/>
      <c r="O7" s="25"/>
      <c r="P7" s="26"/>
      <c r="Q7" s="1"/>
      <c r="R7" s="1"/>
    </row>
    <row r="8">
      <c r="A8" s="1"/>
      <c r="B8" s="14">
        <v>5.0</v>
      </c>
      <c r="C8" s="15" t="s">
        <v>336</v>
      </c>
      <c r="D8" s="16" t="s">
        <v>33</v>
      </c>
      <c r="E8" s="17" t="s">
        <v>337</v>
      </c>
      <c r="F8" s="22">
        <v>46107.0</v>
      </c>
      <c r="G8" s="19">
        <v>495000.0</v>
      </c>
      <c r="H8" s="33"/>
      <c r="I8" s="21" t="s">
        <v>27</v>
      </c>
      <c r="J8" s="21" t="s">
        <v>36</v>
      </c>
      <c r="K8" s="21" t="s">
        <v>36</v>
      </c>
      <c r="L8" s="21" t="s">
        <v>26</v>
      </c>
      <c r="M8" s="21" t="s">
        <v>52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334</v>
      </c>
      <c r="D9" s="16" t="s">
        <v>33</v>
      </c>
      <c r="E9" s="17"/>
      <c r="F9" s="22">
        <v>46107.0</v>
      </c>
      <c r="G9" s="19">
        <v>310000.0</v>
      </c>
      <c r="H9" s="33"/>
      <c r="I9" s="21" t="s">
        <v>27</v>
      </c>
      <c r="J9" s="21" t="s">
        <v>36</v>
      </c>
      <c r="K9" s="21" t="s">
        <v>38</v>
      </c>
      <c r="L9" s="21" t="s">
        <v>26</v>
      </c>
      <c r="M9" s="21" t="s">
        <v>52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150</v>
      </c>
      <c r="D10" s="16" t="s">
        <v>251</v>
      </c>
      <c r="E10" s="17"/>
      <c r="F10" s="22">
        <v>46100.0</v>
      </c>
      <c r="G10" s="19"/>
      <c r="H10" s="20">
        <v>250000.0</v>
      </c>
      <c r="I10" s="21" t="s">
        <v>27</v>
      </c>
      <c r="J10" s="21"/>
      <c r="K10" s="21"/>
      <c r="L10" s="21" t="s">
        <v>26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340</v>
      </c>
      <c r="D11" s="16" t="s">
        <v>33</v>
      </c>
      <c r="E11" s="17"/>
      <c r="F11" s="22">
        <v>46107.0</v>
      </c>
      <c r="G11" s="19">
        <v>390000.0</v>
      </c>
      <c r="H11" s="33"/>
      <c r="I11" s="21" t="s">
        <v>27</v>
      </c>
      <c r="J11" s="21" t="s">
        <v>36</v>
      </c>
      <c r="K11" s="21" t="s">
        <v>36</v>
      </c>
      <c r="L11" s="21" t="s">
        <v>26</v>
      </c>
      <c r="M11" s="21" t="s">
        <v>52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335</v>
      </c>
      <c r="D12" s="16" t="s">
        <v>34</v>
      </c>
      <c r="E12" s="17"/>
      <c r="F12" s="22">
        <v>46107.0</v>
      </c>
      <c r="G12" s="19"/>
      <c r="H12" s="20">
        <v>410000.0</v>
      </c>
      <c r="I12" s="21" t="s">
        <v>27</v>
      </c>
      <c r="J12" s="21" t="s">
        <v>36</v>
      </c>
      <c r="K12" s="21" t="s">
        <v>36</v>
      </c>
      <c r="L12" s="21" t="s">
        <v>26</v>
      </c>
      <c r="M12" s="21" t="s">
        <v>52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342</v>
      </c>
      <c r="D13" s="16" t="s">
        <v>51</v>
      </c>
      <c r="E13" s="17"/>
      <c r="F13" s="22">
        <v>46108.0</v>
      </c>
      <c r="G13" s="19"/>
      <c r="H13" s="20">
        <v>150000.0</v>
      </c>
      <c r="I13" s="21" t="s">
        <v>27</v>
      </c>
      <c r="J13" s="21"/>
      <c r="K13" s="21"/>
      <c r="L13" s="21" t="s">
        <v>26</v>
      </c>
      <c r="M13" s="28"/>
      <c r="N13" s="25"/>
      <c r="O13" s="26"/>
      <c r="P13" s="26"/>
      <c r="Q13" s="1"/>
      <c r="R13" s="1"/>
    </row>
    <row r="14">
      <c r="A14" s="1"/>
      <c r="B14" s="32"/>
      <c r="C14" s="15" t="s">
        <v>330</v>
      </c>
      <c r="D14" s="16" t="s">
        <v>51</v>
      </c>
      <c r="E14" s="17"/>
      <c r="F14" s="22">
        <v>46107.0</v>
      </c>
      <c r="G14" s="19">
        <v>150000.0</v>
      </c>
      <c r="H14" s="33"/>
      <c r="I14" s="21" t="s">
        <v>27</v>
      </c>
      <c r="J14" s="21" t="s">
        <v>36</v>
      </c>
      <c r="K14" s="21" t="s">
        <v>38</v>
      </c>
      <c r="L14" s="21" t="s">
        <v>26</v>
      </c>
      <c r="M14" s="21" t="s">
        <v>52</v>
      </c>
      <c r="N14" s="25"/>
      <c r="O14" s="26"/>
      <c r="P14" s="26"/>
      <c r="Q14" s="1"/>
      <c r="R14" s="1"/>
    </row>
    <row r="15">
      <c r="A15" s="1"/>
      <c r="B15" s="32"/>
      <c r="C15" s="15" t="s">
        <v>344</v>
      </c>
      <c r="D15" s="16" t="s">
        <v>23</v>
      </c>
      <c r="E15" s="17"/>
      <c r="F15" s="22">
        <v>46116.0</v>
      </c>
      <c r="G15" s="19"/>
      <c r="H15" s="20">
        <v>100000.0</v>
      </c>
      <c r="I15" s="21" t="s">
        <v>24</v>
      </c>
      <c r="J15" s="21"/>
      <c r="K15" s="21"/>
      <c r="L15" s="21" t="s">
        <v>26</v>
      </c>
      <c r="M15" s="28"/>
      <c r="N15" s="25"/>
      <c r="O15" s="26"/>
      <c r="P15" s="26"/>
      <c r="Q15" s="1"/>
      <c r="R15" s="1"/>
    </row>
    <row r="16">
      <c r="A16" s="1"/>
      <c r="B16" s="32"/>
      <c r="C16" s="15"/>
      <c r="D16" s="16"/>
      <c r="E16" s="17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1655000</v>
      </c>
      <c r="H19" s="37">
        <f t="shared" si="1"/>
        <v>1210000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1655000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26</v>
      </c>
      <c r="P23" s="1"/>
      <c r="Q23" s="1"/>
      <c r="R23" s="1"/>
    </row>
    <row r="24">
      <c r="A24" s="1"/>
      <c r="B24" s="46">
        <v>2.0</v>
      </c>
      <c r="C24" s="47" t="s">
        <v>76</v>
      </c>
      <c r="D24" s="48">
        <v>-10000.0</v>
      </c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26</v>
      </c>
      <c r="P24" s="1"/>
      <c r="Q24" s="1"/>
      <c r="R24" s="1"/>
    </row>
    <row r="25">
      <c r="A25" s="1"/>
      <c r="B25" s="41">
        <v>3.0</v>
      </c>
      <c r="C25" s="42" t="s">
        <v>345</v>
      </c>
      <c r="D25" s="52">
        <v>-102000.0</v>
      </c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52</v>
      </c>
      <c r="P25" s="1"/>
      <c r="Q25" s="1"/>
      <c r="R25" s="1"/>
    </row>
    <row r="26">
      <c r="A26" s="1"/>
      <c r="B26" s="46">
        <v>4.0</v>
      </c>
      <c r="C26" s="47" t="s">
        <v>139</v>
      </c>
      <c r="D26" s="48">
        <v>-129000.0</v>
      </c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52</v>
      </c>
      <c r="P26" s="1"/>
      <c r="Q26" s="1"/>
      <c r="R26" s="1"/>
    </row>
    <row r="27">
      <c r="A27" s="1"/>
      <c r="B27" s="41"/>
      <c r="C27" s="55"/>
      <c r="D27" s="43"/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1414000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Edit,Add Cetak 16R"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0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333</v>
      </c>
      <c r="D4" s="16" t="s">
        <v>33</v>
      </c>
      <c r="E4" s="17"/>
      <c r="F4" s="18">
        <v>46109.0</v>
      </c>
      <c r="G4" s="19"/>
      <c r="H4" s="20">
        <v>100000.0</v>
      </c>
      <c r="I4" s="21" t="s">
        <v>24</v>
      </c>
      <c r="J4" s="21"/>
      <c r="K4" s="21"/>
      <c r="L4" s="21" t="s">
        <v>26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338</v>
      </c>
      <c r="D5" s="16" t="s">
        <v>33</v>
      </c>
      <c r="E5" s="17"/>
      <c r="F5" s="18">
        <v>46108.0</v>
      </c>
      <c r="G5" s="19"/>
      <c r="H5" s="20">
        <v>100000.0</v>
      </c>
      <c r="I5" s="21" t="s">
        <v>24</v>
      </c>
      <c r="J5" s="21"/>
      <c r="K5" s="21"/>
      <c r="L5" s="21" t="s">
        <v>26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116</v>
      </c>
      <c r="D6" s="16" t="s">
        <v>20</v>
      </c>
      <c r="E6" s="17"/>
      <c r="F6" s="22">
        <v>46108.0</v>
      </c>
      <c r="G6" s="19">
        <v>425000.0</v>
      </c>
      <c r="H6" s="20"/>
      <c r="I6" s="21" t="s">
        <v>27</v>
      </c>
      <c r="J6" s="21" t="s">
        <v>36</v>
      </c>
      <c r="K6" s="21" t="s">
        <v>36</v>
      </c>
      <c r="L6" s="21" t="s">
        <v>26</v>
      </c>
      <c r="M6" s="21" t="s">
        <v>52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338</v>
      </c>
      <c r="D7" s="16" t="s">
        <v>33</v>
      </c>
      <c r="E7" s="17"/>
      <c r="F7" s="18">
        <v>46108.0</v>
      </c>
      <c r="G7" s="19"/>
      <c r="H7" s="20">
        <v>250000.0</v>
      </c>
      <c r="I7" s="21" t="s">
        <v>27</v>
      </c>
      <c r="J7" s="21" t="s">
        <v>36</v>
      </c>
      <c r="K7" s="21" t="s">
        <v>36</v>
      </c>
      <c r="L7" s="21" t="s">
        <v>52</v>
      </c>
      <c r="M7" s="21" t="s">
        <v>39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341</v>
      </c>
      <c r="D8" s="16" t="s">
        <v>40</v>
      </c>
      <c r="E8" s="17"/>
      <c r="F8" s="18">
        <v>46109.0</v>
      </c>
      <c r="G8" s="19"/>
      <c r="H8" s="20">
        <v>100000.0</v>
      </c>
      <c r="I8" s="21" t="s">
        <v>27</v>
      </c>
      <c r="J8" s="21"/>
      <c r="K8" s="21"/>
      <c r="L8" s="21" t="s">
        <v>52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343</v>
      </c>
      <c r="D9" s="16" t="s">
        <v>20</v>
      </c>
      <c r="E9" s="17">
        <v>16.0</v>
      </c>
      <c r="F9" s="18">
        <v>46122.0</v>
      </c>
      <c r="G9" s="19"/>
      <c r="H9" s="20">
        <v>100000.0</v>
      </c>
      <c r="I9" s="21" t="s">
        <v>24</v>
      </c>
      <c r="J9" s="21"/>
      <c r="K9" s="21"/>
      <c r="L9" s="28"/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/>
      <c r="D10" s="16"/>
      <c r="E10" s="17"/>
      <c r="F10" s="32"/>
      <c r="G10" s="19"/>
      <c r="H10" s="33"/>
      <c r="I10" s="21"/>
      <c r="J10" s="21"/>
      <c r="K10" s="21"/>
      <c r="L10" s="28"/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/>
      <c r="D11" s="16"/>
      <c r="E11" s="17"/>
      <c r="F11" s="32"/>
      <c r="G11" s="19"/>
      <c r="H11" s="33"/>
      <c r="I11" s="21"/>
      <c r="J11" s="21"/>
      <c r="K11" s="21"/>
      <c r="L11" s="28"/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2"/>
      <c r="G12" s="19"/>
      <c r="H12" s="33"/>
      <c r="I12" s="21"/>
      <c r="J12" s="21"/>
      <c r="K12" s="21"/>
      <c r="L12" s="28"/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2"/>
      <c r="G13" s="19"/>
      <c r="H13" s="33"/>
      <c r="I13" s="21"/>
      <c r="J13" s="21"/>
      <c r="K13" s="21"/>
      <c r="L13" s="28"/>
      <c r="M13" s="28"/>
      <c r="N13" s="25"/>
      <c r="O13" s="26"/>
      <c r="P13" s="26"/>
      <c r="Q13" s="1"/>
      <c r="R13" s="1"/>
    </row>
    <row r="14">
      <c r="A14" s="1"/>
      <c r="B14" s="32"/>
      <c r="C14" s="15"/>
      <c r="D14" s="16"/>
      <c r="E14" s="17"/>
      <c r="F14" s="32"/>
      <c r="G14" s="19"/>
      <c r="H14" s="33"/>
      <c r="I14" s="21"/>
      <c r="J14" s="21"/>
      <c r="K14" s="21"/>
      <c r="L14" s="28"/>
      <c r="M14" s="28"/>
      <c r="N14" s="25"/>
      <c r="O14" s="26"/>
      <c r="P14" s="26"/>
      <c r="Q14" s="1"/>
      <c r="R14" s="1"/>
    </row>
    <row r="15">
      <c r="A15" s="1"/>
      <c r="B15" s="32"/>
      <c r="C15" s="15"/>
      <c r="D15" s="16"/>
      <c r="E15" s="17"/>
      <c r="F15" s="32"/>
      <c r="G15" s="19"/>
      <c r="H15" s="33"/>
      <c r="I15" s="21"/>
      <c r="J15" s="21"/>
      <c r="K15" s="21"/>
      <c r="L15" s="28"/>
      <c r="M15" s="28"/>
      <c r="N15" s="25"/>
      <c r="O15" s="26"/>
      <c r="P15" s="26"/>
      <c r="Q15" s="1"/>
      <c r="R15" s="1"/>
    </row>
    <row r="16">
      <c r="A16" s="1"/>
      <c r="B16" s="32"/>
      <c r="C16" s="15"/>
      <c r="D16" s="16"/>
      <c r="E16" s="17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425000</v>
      </c>
      <c r="H19" s="37">
        <f t="shared" si="1"/>
        <v>650000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425000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26</v>
      </c>
      <c r="P23" s="1"/>
      <c r="Q23" s="1"/>
      <c r="R23" s="1"/>
    </row>
    <row r="24">
      <c r="A24" s="1"/>
      <c r="B24" s="46">
        <v>2.0</v>
      </c>
      <c r="C24" s="47" t="s">
        <v>81</v>
      </c>
      <c r="D24" s="48">
        <v>-50000.0</v>
      </c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52</v>
      </c>
      <c r="P24" s="1"/>
      <c r="Q24" s="1"/>
      <c r="R24" s="1"/>
    </row>
    <row r="25">
      <c r="A25" s="1"/>
      <c r="B25" s="41">
        <v>3.0</v>
      </c>
      <c r="C25" s="42" t="s">
        <v>83</v>
      </c>
      <c r="D25" s="52">
        <v>-16000.0</v>
      </c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52</v>
      </c>
      <c r="P25" s="1"/>
      <c r="Q25" s="1"/>
      <c r="R25" s="1"/>
    </row>
    <row r="26">
      <c r="A26" s="1"/>
      <c r="B26" s="46">
        <v>4.0</v>
      </c>
      <c r="C26" s="47" t="s">
        <v>347</v>
      </c>
      <c r="D26" s="48">
        <v>-59000.0</v>
      </c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39</v>
      </c>
      <c r="P26" s="1"/>
      <c r="Q26" s="1"/>
      <c r="R26" s="1"/>
    </row>
    <row r="27">
      <c r="A27" s="1"/>
      <c r="B27" s="41"/>
      <c r="C27" s="42" t="s">
        <v>83</v>
      </c>
      <c r="D27" s="52">
        <v>-50000.0</v>
      </c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250000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DropDown="1" showErrorMessage="1" sqref="L4:L18 O23:O24">
      <formula1>"-,JIJANG,AXEL,PENTIL,FAHME,INDAH,ADIF"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0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346</v>
      </c>
      <c r="D4" s="16" t="s">
        <v>33</v>
      </c>
      <c r="E4" s="17"/>
      <c r="F4" s="18">
        <v>46110.0</v>
      </c>
      <c r="G4" s="19"/>
      <c r="H4" s="20">
        <v>100000.0</v>
      </c>
      <c r="I4" s="21" t="s">
        <v>24</v>
      </c>
      <c r="J4" s="21"/>
      <c r="K4" s="21"/>
      <c r="L4" s="21" t="s">
        <v>26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323</v>
      </c>
      <c r="D5" s="16" t="s">
        <v>33</v>
      </c>
      <c r="E5" s="17"/>
      <c r="F5" s="18">
        <v>46109.0</v>
      </c>
      <c r="G5" s="19">
        <v>275000.0</v>
      </c>
      <c r="H5" s="20"/>
      <c r="I5" s="21" t="s">
        <v>27</v>
      </c>
      <c r="J5" s="21" t="s">
        <v>36</v>
      </c>
      <c r="K5" s="21" t="s">
        <v>36</v>
      </c>
      <c r="L5" s="21" t="s">
        <v>26</v>
      </c>
      <c r="M5" s="21" t="s">
        <v>39</v>
      </c>
      <c r="N5" s="25"/>
      <c r="O5" s="25"/>
      <c r="P5" s="26"/>
      <c r="Q5" s="1"/>
      <c r="R5" s="1"/>
    </row>
    <row r="6">
      <c r="A6" s="1"/>
      <c r="B6" s="14">
        <v>3.0</v>
      </c>
      <c r="C6" s="15" t="s">
        <v>348</v>
      </c>
      <c r="D6" s="16" t="s">
        <v>33</v>
      </c>
      <c r="E6" s="17"/>
      <c r="F6" s="22">
        <v>46109.0</v>
      </c>
      <c r="G6" s="27"/>
      <c r="H6" s="20">
        <v>100000.0</v>
      </c>
      <c r="I6" s="21" t="s">
        <v>24</v>
      </c>
      <c r="J6" s="21"/>
      <c r="K6" s="21"/>
      <c r="L6" s="21" t="s">
        <v>26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349</v>
      </c>
      <c r="D7" s="16" t="s">
        <v>23</v>
      </c>
      <c r="E7" s="17"/>
      <c r="F7" s="22">
        <v>46109.0</v>
      </c>
      <c r="G7" s="19">
        <v>270000.0</v>
      </c>
      <c r="H7" s="33"/>
      <c r="I7" s="21" t="s">
        <v>27</v>
      </c>
      <c r="J7" s="21" t="s">
        <v>36</v>
      </c>
      <c r="K7" s="21" t="s">
        <v>36</v>
      </c>
      <c r="L7" s="21" t="s">
        <v>26</v>
      </c>
      <c r="M7" s="21" t="s">
        <v>39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350</v>
      </c>
      <c r="D8" s="16" t="s">
        <v>33</v>
      </c>
      <c r="E8" s="17"/>
      <c r="F8" s="22">
        <v>46109.0</v>
      </c>
      <c r="G8" s="19"/>
      <c r="H8" s="20">
        <v>100000.0</v>
      </c>
      <c r="I8" s="21" t="s">
        <v>24</v>
      </c>
      <c r="J8" s="21"/>
      <c r="K8" s="21"/>
      <c r="L8" s="21" t="s">
        <v>26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351</v>
      </c>
      <c r="D9" s="16" t="s">
        <v>23</v>
      </c>
      <c r="E9" s="17"/>
      <c r="F9" s="22">
        <v>46110.0</v>
      </c>
      <c r="G9" s="19"/>
      <c r="H9" s="20">
        <v>100000.0</v>
      </c>
      <c r="I9" s="21" t="s">
        <v>24</v>
      </c>
      <c r="J9" s="21"/>
      <c r="K9" s="21"/>
      <c r="L9" s="21" t="s">
        <v>26</v>
      </c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 t="s">
        <v>352</v>
      </c>
      <c r="D10" s="16" t="s">
        <v>34</v>
      </c>
      <c r="E10" s="17"/>
      <c r="F10" s="22">
        <v>46109.0</v>
      </c>
      <c r="G10" s="19"/>
      <c r="H10" s="20">
        <v>150000.0</v>
      </c>
      <c r="I10" s="21" t="s">
        <v>24</v>
      </c>
      <c r="J10" s="21"/>
      <c r="K10" s="21"/>
      <c r="L10" s="21" t="s">
        <v>26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354</v>
      </c>
      <c r="D11" s="16" t="s">
        <v>33</v>
      </c>
      <c r="E11" s="17"/>
      <c r="F11" s="22">
        <v>46109.0</v>
      </c>
      <c r="G11" s="19"/>
      <c r="H11" s="20">
        <v>100000.0</v>
      </c>
      <c r="I11" s="21" t="s">
        <v>24</v>
      </c>
      <c r="J11" s="21"/>
      <c r="K11" s="21"/>
      <c r="L11" s="21" t="s">
        <v>26</v>
      </c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355</v>
      </c>
      <c r="D12" s="16" t="s">
        <v>107</v>
      </c>
      <c r="E12" s="17"/>
      <c r="F12" s="22">
        <v>46109.0</v>
      </c>
      <c r="G12" s="19"/>
      <c r="H12" s="20">
        <v>200000.0</v>
      </c>
      <c r="I12" s="21" t="s">
        <v>27</v>
      </c>
      <c r="J12" s="21" t="s">
        <v>36</v>
      </c>
      <c r="K12" s="21" t="s">
        <v>36</v>
      </c>
      <c r="L12" s="21" t="s">
        <v>26</v>
      </c>
      <c r="M12" s="21" t="s">
        <v>39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341</v>
      </c>
      <c r="D13" s="16" t="s">
        <v>40</v>
      </c>
      <c r="E13" s="17"/>
      <c r="F13" s="30">
        <v>46109.0</v>
      </c>
      <c r="G13" s="19">
        <v>0.0</v>
      </c>
      <c r="H13" s="20">
        <v>0.0</v>
      </c>
      <c r="I13" s="21" t="s">
        <v>27</v>
      </c>
      <c r="J13" s="21" t="s">
        <v>36</v>
      </c>
      <c r="K13" s="21" t="s">
        <v>131</v>
      </c>
      <c r="L13" s="21" t="s">
        <v>29</v>
      </c>
      <c r="M13" s="21" t="s">
        <v>60</v>
      </c>
      <c r="N13" s="25"/>
      <c r="O13" s="26"/>
      <c r="P13" s="26"/>
      <c r="Q13" s="1"/>
      <c r="R13" s="1"/>
    </row>
    <row r="14">
      <c r="A14" s="1"/>
      <c r="B14" s="32"/>
      <c r="C14" s="15" t="s">
        <v>359</v>
      </c>
      <c r="D14" s="16" t="s">
        <v>20</v>
      </c>
      <c r="E14" s="17"/>
      <c r="F14" s="30">
        <v>46116.0</v>
      </c>
      <c r="G14" s="19"/>
      <c r="H14" s="20">
        <v>100000.0</v>
      </c>
      <c r="I14" s="21" t="s">
        <v>24</v>
      </c>
      <c r="J14" s="21"/>
      <c r="K14" s="21"/>
      <c r="L14" s="21" t="s">
        <v>29</v>
      </c>
      <c r="M14" s="28"/>
      <c r="N14" s="25"/>
      <c r="O14" s="26"/>
      <c r="P14" s="26"/>
      <c r="Q14" s="1"/>
      <c r="R14" s="1"/>
    </row>
    <row r="15">
      <c r="A15" s="1"/>
      <c r="B15" s="32"/>
      <c r="C15" s="15" t="s">
        <v>350</v>
      </c>
      <c r="D15" s="16" t="s">
        <v>33</v>
      </c>
      <c r="E15" s="17"/>
      <c r="F15" s="30">
        <v>46109.0</v>
      </c>
      <c r="G15" s="19"/>
      <c r="H15" s="20">
        <v>290000.0</v>
      </c>
      <c r="I15" s="21" t="s">
        <v>27</v>
      </c>
      <c r="J15" s="21" t="s">
        <v>36</v>
      </c>
      <c r="K15" s="21" t="s">
        <v>38</v>
      </c>
      <c r="L15" s="21" t="s">
        <v>29</v>
      </c>
      <c r="M15" s="21" t="s">
        <v>60</v>
      </c>
      <c r="N15" s="25"/>
      <c r="O15" s="26"/>
      <c r="P15" s="26"/>
      <c r="Q15" s="1"/>
      <c r="R15" s="1"/>
    </row>
    <row r="16">
      <c r="A16" s="1"/>
      <c r="B16" s="32"/>
      <c r="C16" s="15" t="s">
        <v>360</v>
      </c>
      <c r="D16" s="16" t="s">
        <v>33</v>
      </c>
      <c r="E16" s="17"/>
      <c r="F16" s="30">
        <v>46110.0</v>
      </c>
      <c r="G16" s="19"/>
      <c r="H16" s="20">
        <v>100000.0</v>
      </c>
      <c r="I16" s="21" t="s">
        <v>24</v>
      </c>
      <c r="J16" s="21"/>
      <c r="K16" s="21"/>
      <c r="L16" s="21" t="s">
        <v>29</v>
      </c>
      <c r="M16" s="28"/>
      <c r="N16" s="25"/>
      <c r="O16" s="26"/>
      <c r="P16" s="26"/>
      <c r="Q16" s="1"/>
      <c r="R16" s="1"/>
    </row>
    <row r="17">
      <c r="A17" s="1"/>
      <c r="B17" s="32"/>
      <c r="C17" s="15" t="s">
        <v>333</v>
      </c>
      <c r="D17" s="16" t="s">
        <v>33</v>
      </c>
      <c r="E17" s="17"/>
      <c r="F17" s="30">
        <v>46109.0</v>
      </c>
      <c r="G17" s="19"/>
      <c r="H17" s="20">
        <v>250000.0</v>
      </c>
      <c r="I17" s="21" t="s">
        <v>27</v>
      </c>
      <c r="J17" s="21" t="s">
        <v>36</v>
      </c>
      <c r="K17" s="21" t="s">
        <v>36</v>
      </c>
      <c r="L17" s="21" t="s">
        <v>29</v>
      </c>
      <c r="M17" s="21" t="s">
        <v>60</v>
      </c>
      <c r="N17" s="25"/>
      <c r="O17" s="26"/>
      <c r="P17" s="26"/>
      <c r="Q17" s="1"/>
      <c r="R17" s="1"/>
    </row>
    <row r="18">
      <c r="A18" s="1"/>
      <c r="B18" s="32"/>
      <c r="C18" s="15" t="s">
        <v>348</v>
      </c>
      <c r="D18" s="16" t="s">
        <v>34</v>
      </c>
      <c r="E18" s="17"/>
      <c r="F18" s="30">
        <v>46109.0</v>
      </c>
      <c r="G18" s="19">
        <v>370000.0</v>
      </c>
      <c r="H18" s="33"/>
      <c r="I18" s="21" t="s">
        <v>27</v>
      </c>
      <c r="J18" s="21" t="s">
        <v>36</v>
      </c>
      <c r="K18" s="21" t="s">
        <v>38</v>
      </c>
      <c r="L18" s="21" t="s">
        <v>29</v>
      </c>
      <c r="M18" s="21" t="s">
        <v>60</v>
      </c>
      <c r="N18" s="25"/>
      <c r="O18" s="26"/>
      <c r="P18" s="26"/>
      <c r="Q18" s="1"/>
      <c r="R18" s="1"/>
    </row>
    <row r="19">
      <c r="A19" s="1"/>
      <c r="B19" s="32"/>
      <c r="C19" s="15" t="s">
        <v>364</v>
      </c>
      <c r="D19" s="16" t="s">
        <v>40</v>
      </c>
      <c r="E19" s="17"/>
      <c r="F19" s="30">
        <v>46109.0</v>
      </c>
      <c r="G19" s="19">
        <v>200000.0</v>
      </c>
      <c r="H19" s="33"/>
      <c r="I19" s="21" t="s">
        <v>27</v>
      </c>
      <c r="J19" s="21" t="s">
        <v>36</v>
      </c>
      <c r="K19" s="21" t="s">
        <v>131</v>
      </c>
      <c r="L19" s="21" t="s">
        <v>29</v>
      </c>
      <c r="M19" s="21" t="s">
        <v>60</v>
      </c>
      <c r="N19" s="25"/>
      <c r="O19" s="26"/>
      <c r="P19" s="26"/>
      <c r="Q19" s="1"/>
      <c r="R19" s="1"/>
    </row>
    <row r="20">
      <c r="A20" s="1"/>
      <c r="B20" s="32"/>
      <c r="C20" s="87" t="s">
        <v>366</v>
      </c>
      <c r="D20" s="16" t="s">
        <v>99</v>
      </c>
      <c r="E20" s="17"/>
      <c r="F20" s="30">
        <v>46112.0</v>
      </c>
      <c r="G20" s="19"/>
      <c r="H20" s="20">
        <v>500000.0</v>
      </c>
      <c r="I20" s="21" t="s">
        <v>27</v>
      </c>
      <c r="J20" s="21"/>
      <c r="K20" s="21"/>
      <c r="L20" s="21" t="s">
        <v>29</v>
      </c>
      <c r="M20" s="28"/>
      <c r="N20" s="25"/>
      <c r="O20" s="26"/>
      <c r="P20" s="26"/>
      <c r="Q20" s="1"/>
      <c r="R20" s="1"/>
    </row>
    <row r="21">
      <c r="A21" s="1"/>
      <c r="B21" s="32"/>
      <c r="C21" s="87" t="s">
        <v>352</v>
      </c>
      <c r="D21" s="16" t="s">
        <v>34</v>
      </c>
      <c r="E21" s="17"/>
      <c r="F21" s="30">
        <v>46109.0</v>
      </c>
      <c r="G21" s="19"/>
      <c r="H21" s="20">
        <v>420000.0</v>
      </c>
      <c r="I21" s="21" t="s">
        <v>27</v>
      </c>
      <c r="J21" s="21" t="s">
        <v>36</v>
      </c>
      <c r="K21" s="21" t="s">
        <v>36</v>
      </c>
      <c r="L21" s="21" t="s">
        <v>29</v>
      </c>
      <c r="M21" s="21" t="s">
        <v>60</v>
      </c>
      <c r="N21" s="25"/>
      <c r="O21" s="26"/>
      <c r="P21" s="26"/>
      <c r="Q21" s="1"/>
      <c r="R21" s="1"/>
    </row>
    <row r="22">
      <c r="A22" s="1"/>
      <c r="B22" s="32"/>
      <c r="C22" s="15" t="s">
        <v>354</v>
      </c>
      <c r="D22" s="16" t="s">
        <v>33</v>
      </c>
      <c r="E22" s="17"/>
      <c r="F22" s="30">
        <v>46109.0</v>
      </c>
      <c r="G22" s="19">
        <v>630000.0</v>
      </c>
      <c r="H22" s="33"/>
      <c r="I22" s="21" t="s">
        <v>27</v>
      </c>
      <c r="J22" s="21" t="s">
        <v>36</v>
      </c>
      <c r="K22" s="21" t="s">
        <v>38</v>
      </c>
      <c r="L22" s="21" t="s">
        <v>29</v>
      </c>
      <c r="M22" s="21" t="s">
        <v>60</v>
      </c>
      <c r="N22" s="25"/>
      <c r="O22" s="26"/>
      <c r="P22" s="26"/>
      <c r="Q22" s="1"/>
      <c r="R22" s="1"/>
    </row>
    <row r="23">
      <c r="A23" s="1"/>
      <c r="B23" s="32"/>
      <c r="C23" s="34"/>
      <c r="D23" s="16"/>
      <c r="E23" s="17"/>
      <c r="F23" s="32"/>
      <c r="G23" s="27"/>
      <c r="H23" s="33"/>
      <c r="I23" s="28"/>
      <c r="J23" s="28"/>
      <c r="K23" s="28"/>
      <c r="L23" s="28"/>
      <c r="M23" s="28"/>
      <c r="N23" s="35"/>
      <c r="O23" s="35"/>
      <c r="P23" s="35"/>
      <c r="Q23" s="1"/>
      <c r="R23" s="1"/>
    </row>
    <row r="24" ht="18.75" customHeight="1">
      <c r="A24" s="1"/>
      <c r="B24" s="1"/>
      <c r="C24" s="2"/>
      <c r="D24" s="2"/>
      <c r="E24" s="1"/>
      <c r="F24" s="1"/>
      <c r="G24" s="36">
        <f t="shared" ref="G24:H24" si="1">SUM(G4:G23)</f>
        <v>1745000</v>
      </c>
      <c r="H24" s="37">
        <f t="shared" si="1"/>
        <v>2510000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23.25" customHeight="1">
      <c r="A25" s="1"/>
      <c r="B25" s="1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2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38" t="s">
        <v>0</v>
      </c>
      <c r="C27" s="39" t="s">
        <v>6</v>
      </c>
      <c r="D27" s="39" t="s">
        <v>72</v>
      </c>
      <c r="E27" s="40"/>
      <c r="F27" s="1"/>
      <c r="G27" s="1"/>
      <c r="H27" s="1"/>
      <c r="I27" s="1"/>
      <c r="J27" s="1"/>
      <c r="K27" s="1"/>
      <c r="L27" s="1"/>
      <c r="M27" s="1"/>
      <c r="N27" s="39" t="s">
        <v>73</v>
      </c>
      <c r="O27" s="39" t="s">
        <v>1</v>
      </c>
      <c r="P27" s="1"/>
      <c r="Q27" s="1"/>
      <c r="R27" s="1"/>
    </row>
    <row r="28">
      <c r="A28" s="1"/>
      <c r="B28" s="41">
        <v>1.0</v>
      </c>
      <c r="C28" s="42" t="s">
        <v>74</v>
      </c>
      <c r="D28" s="43">
        <f>SUM(G24)</f>
        <v>1745000</v>
      </c>
      <c r="E28" s="44"/>
      <c r="F28" s="1"/>
      <c r="G28" s="1"/>
      <c r="H28" s="1"/>
      <c r="I28" s="1"/>
      <c r="J28" s="1"/>
      <c r="K28" s="1"/>
      <c r="L28" s="1"/>
      <c r="M28" s="1"/>
      <c r="N28" s="45" t="s">
        <v>75</v>
      </c>
      <c r="O28" s="23" t="s">
        <v>26</v>
      </c>
      <c r="P28" s="1"/>
      <c r="Q28" s="1"/>
      <c r="R28" s="1"/>
    </row>
    <row r="29">
      <c r="A29" s="1"/>
      <c r="B29" s="46">
        <v>2.0</v>
      </c>
      <c r="C29" s="47" t="s">
        <v>78</v>
      </c>
      <c r="D29" s="48">
        <v>-100000.0</v>
      </c>
      <c r="E29" s="49"/>
      <c r="F29" s="1"/>
      <c r="G29" s="1"/>
      <c r="H29" s="1"/>
      <c r="I29" s="1"/>
      <c r="J29" s="1"/>
      <c r="K29" s="1"/>
      <c r="L29" s="1"/>
      <c r="M29" s="1"/>
      <c r="N29" s="50" t="s">
        <v>77</v>
      </c>
      <c r="O29" s="51" t="s">
        <v>29</v>
      </c>
      <c r="P29" s="1"/>
      <c r="Q29" s="1"/>
      <c r="R29" s="1"/>
    </row>
    <row r="30">
      <c r="A30" s="1"/>
      <c r="B30" s="41">
        <v>3.0</v>
      </c>
      <c r="C30" s="42" t="s">
        <v>139</v>
      </c>
      <c r="D30" s="52">
        <v>-25000.0</v>
      </c>
      <c r="E30" s="49"/>
      <c r="F30" s="1"/>
      <c r="G30" s="1"/>
      <c r="H30" s="1"/>
      <c r="I30" s="1"/>
      <c r="J30" s="1"/>
      <c r="K30" s="1"/>
      <c r="L30" s="1"/>
      <c r="M30" s="1"/>
      <c r="N30" s="53" t="s">
        <v>79</v>
      </c>
      <c r="O30" s="25" t="s">
        <v>39</v>
      </c>
      <c r="P30" s="1"/>
      <c r="Q30" s="1"/>
      <c r="R30" s="1"/>
    </row>
    <row r="31">
      <c r="A31" s="1"/>
      <c r="B31" s="46">
        <v>4.0</v>
      </c>
      <c r="C31" s="47" t="s">
        <v>81</v>
      </c>
      <c r="D31" s="48">
        <v>-50000.0</v>
      </c>
      <c r="E31" s="49"/>
      <c r="F31" s="1"/>
      <c r="G31" s="1"/>
      <c r="H31" s="1"/>
      <c r="I31" s="1"/>
      <c r="J31" s="1"/>
      <c r="K31" s="1"/>
      <c r="L31" s="1"/>
      <c r="M31" s="1"/>
      <c r="N31" s="54" t="s">
        <v>80</v>
      </c>
      <c r="O31" s="51" t="s">
        <v>60</v>
      </c>
      <c r="P31" s="1"/>
      <c r="Q31" s="1"/>
      <c r="R31" s="1"/>
    </row>
    <row r="32">
      <c r="A32" s="1"/>
      <c r="B32" s="41"/>
      <c r="C32" s="55"/>
      <c r="D32" s="43"/>
      <c r="E32" s="44"/>
      <c r="F32" s="1"/>
      <c r="G32" s="1"/>
      <c r="H32" s="1"/>
      <c r="I32" s="1"/>
      <c r="J32" s="1"/>
      <c r="K32" s="1"/>
      <c r="L32" s="1"/>
      <c r="M32" s="1"/>
      <c r="N32" s="56"/>
      <c r="O32" s="1"/>
      <c r="P32" s="1"/>
      <c r="Q32" s="1"/>
      <c r="R32" s="1"/>
    </row>
    <row r="33">
      <c r="A33" s="1"/>
      <c r="B33" s="46"/>
      <c r="C33" s="57"/>
      <c r="D33" s="58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1"/>
      <c r="C34" s="55"/>
      <c r="D34" s="43"/>
      <c r="E34" s="4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46"/>
      <c r="C35" s="57"/>
      <c r="D35" s="58"/>
      <c r="E35" s="4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41"/>
      <c r="C36" s="55"/>
      <c r="D36" s="43"/>
      <c r="E36" s="4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46"/>
      <c r="C37" s="57"/>
      <c r="D37" s="58"/>
      <c r="E37" s="4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59"/>
      <c r="C38" s="60"/>
      <c r="D38" s="61"/>
      <c r="E38" s="4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62">
        <f>SUM(D28:D38)</f>
        <v>1570000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23 O30:O31">
      <formula1>"-,VERO,FADEL,PENTIL,ADIF ,HANIF"</formula1>
    </dataValidation>
    <dataValidation type="list" allowBlank="1" showDropDown="1" showErrorMessage="1" sqref="L4:L23 O28:O29">
      <formula1>"-,JIJANG,AXEL,ADDEL,FAHME,INDAH"</formula1>
    </dataValidation>
    <dataValidation type="list" allowBlank="1" showErrorMessage="1" sqref="N4:N23">
      <formula1>"-,Pending,Progress,Uploaded"</formula1>
    </dataValidation>
    <dataValidation type="list" allowBlank="1" showDropDown="1" showErrorMessage="1" sqref="D4:D23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23">
      <formula1>"-,In Pikako,In Foxe"</formula1>
    </dataValidation>
    <dataValidation type="list" allowBlank="1" showDropDown="1" showErrorMessage="1" sqref="I4:I23">
      <formula1>"-,DP,Lunas"</formula1>
    </dataValidation>
    <dataValidation type="list" allowBlank="1" showDropDown="1" showErrorMessage="1" sqref="J4:K23">
      <formula1>"-,Pending,Uploaded"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0">
        <v>67.0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346</v>
      </c>
      <c r="D4" s="16" t="s">
        <v>33</v>
      </c>
      <c r="E4" s="17"/>
      <c r="F4" s="18">
        <v>46110.0</v>
      </c>
      <c r="G4" s="19"/>
      <c r="H4" s="20">
        <v>250000.0</v>
      </c>
      <c r="I4" s="21" t="s">
        <v>27</v>
      </c>
      <c r="J4" s="21" t="s">
        <v>36</v>
      </c>
      <c r="K4" s="21" t="s">
        <v>36</v>
      </c>
      <c r="L4" s="21" t="s">
        <v>29</v>
      </c>
      <c r="M4" s="21" t="s">
        <v>60</v>
      </c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37</v>
      </c>
      <c r="D5" s="16" t="s">
        <v>40</v>
      </c>
      <c r="E5" s="17"/>
      <c r="F5" s="18">
        <v>46110.0</v>
      </c>
      <c r="G5" s="19"/>
      <c r="H5" s="20">
        <v>200000.0</v>
      </c>
      <c r="I5" s="21" t="s">
        <v>27</v>
      </c>
      <c r="J5" s="21" t="s">
        <v>36</v>
      </c>
      <c r="K5" s="21" t="s">
        <v>131</v>
      </c>
      <c r="L5" s="21" t="s">
        <v>29</v>
      </c>
      <c r="M5" s="21" t="s">
        <v>60</v>
      </c>
      <c r="N5" s="25"/>
      <c r="O5" s="25"/>
      <c r="P5" s="26"/>
      <c r="Q5" s="1"/>
      <c r="R5" s="1"/>
    </row>
    <row r="6">
      <c r="A6" s="1"/>
      <c r="B6" s="14">
        <v>3.0</v>
      </c>
      <c r="C6" s="15" t="s">
        <v>353</v>
      </c>
      <c r="D6" s="16" t="s">
        <v>33</v>
      </c>
      <c r="E6" s="17"/>
      <c r="F6" s="30">
        <v>46110.0</v>
      </c>
      <c r="G6" s="27"/>
      <c r="H6" s="20">
        <v>270000.0</v>
      </c>
      <c r="I6" s="21" t="s">
        <v>27</v>
      </c>
      <c r="J6" s="21" t="s">
        <v>36</v>
      </c>
      <c r="K6" s="21" t="s">
        <v>38</v>
      </c>
      <c r="L6" s="21" t="s">
        <v>29</v>
      </c>
      <c r="M6" s="21" t="s">
        <v>60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351</v>
      </c>
      <c r="D7" s="16" t="s">
        <v>23</v>
      </c>
      <c r="E7" s="17"/>
      <c r="F7" s="30">
        <v>46110.0</v>
      </c>
      <c r="G7" s="19">
        <v>250000.0</v>
      </c>
      <c r="H7" s="33"/>
      <c r="I7" s="21" t="s">
        <v>27</v>
      </c>
      <c r="J7" s="21" t="s">
        <v>36</v>
      </c>
      <c r="K7" s="21" t="s">
        <v>36</v>
      </c>
      <c r="L7" s="21" t="s">
        <v>29</v>
      </c>
      <c r="M7" s="21" t="s">
        <v>60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357</v>
      </c>
      <c r="D8" s="16" t="s">
        <v>23</v>
      </c>
      <c r="E8" s="17"/>
      <c r="F8" s="30">
        <v>46112.0</v>
      </c>
      <c r="G8" s="19"/>
      <c r="H8" s="20">
        <v>100000.0</v>
      </c>
      <c r="I8" s="21" t="s">
        <v>24</v>
      </c>
      <c r="J8" s="21"/>
      <c r="K8" s="21"/>
      <c r="L8" s="21" t="s">
        <v>29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15" t="s">
        <v>360</v>
      </c>
      <c r="D9" s="16" t="s">
        <v>33</v>
      </c>
      <c r="E9" s="17"/>
      <c r="F9" s="30">
        <v>46110.0</v>
      </c>
      <c r="G9" s="19"/>
      <c r="H9" s="20">
        <v>250000.0</v>
      </c>
      <c r="I9" s="21" t="s">
        <v>27</v>
      </c>
      <c r="J9" s="21" t="s">
        <v>36</v>
      </c>
      <c r="K9" s="21" t="s">
        <v>38</v>
      </c>
      <c r="L9" s="21" t="s">
        <v>29</v>
      </c>
      <c r="M9" s="21" t="s">
        <v>60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361</v>
      </c>
      <c r="D10" s="16" t="s">
        <v>40</v>
      </c>
      <c r="E10" s="17"/>
      <c r="F10" s="30">
        <v>46110.0</v>
      </c>
      <c r="G10" s="19"/>
      <c r="H10" s="20">
        <v>100000.0</v>
      </c>
      <c r="I10" s="21" t="s">
        <v>27</v>
      </c>
      <c r="J10" s="21" t="s">
        <v>36</v>
      </c>
      <c r="K10" s="21" t="s">
        <v>131</v>
      </c>
      <c r="L10" s="21" t="s">
        <v>29</v>
      </c>
      <c r="M10" s="21" t="s">
        <v>60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362</v>
      </c>
      <c r="D11" s="16" t="s">
        <v>20</v>
      </c>
      <c r="E11" s="17"/>
      <c r="F11" s="30">
        <v>46114.0</v>
      </c>
      <c r="G11" s="19"/>
      <c r="H11" s="20">
        <v>100000.0</v>
      </c>
      <c r="I11" s="21" t="s">
        <v>24</v>
      </c>
      <c r="J11" s="21" t="s">
        <v>36</v>
      </c>
      <c r="K11" s="21" t="s">
        <v>38</v>
      </c>
      <c r="L11" s="21" t="s">
        <v>29</v>
      </c>
      <c r="M11" s="21" t="s">
        <v>60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363</v>
      </c>
      <c r="D12" s="16" t="s">
        <v>241</v>
      </c>
      <c r="E12" s="17"/>
      <c r="F12" s="30">
        <v>46110.0</v>
      </c>
      <c r="G12" s="19"/>
      <c r="H12" s="20">
        <v>350000.0</v>
      </c>
      <c r="I12" s="21" t="s">
        <v>27</v>
      </c>
      <c r="J12" s="21" t="s">
        <v>36</v>
      </c>
      <c r="K12" s="21" t="s">
        <v>36</v>
      </c>
      <c r="L12" s="21" t="s">
        <v>29</v>
      </c>
      <c r="M12" s="21" t="s">
        <v>60</v>
      </c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20"/>
      <c r="I13" s="21"/>
      <c r="J13" s="21"/>
      <c r="K13" s="21"/>
      <c r="L13" s="21"/>
      <c r="M13" s="28"/>
      <c r="N13" s="25"/>
      <c r="O13" s="26"/>
      <c r="P13" s="26"/>
      <c r="Q13" s="1"/>
      <c r="R13" s="1"/>
    </row>
    <row r="14">
      <c r="A14" s="1"/>
      <c r="B14" s="32"/>
      <c r="C14" s="15"/>
      <c r="D14" s="16"/>
      <c r="E14" s="17"/>
      <c r="F14" s="32"/>
      <c r="G14" s="19"/>
      <c r="H14" s="33"/>
      <c r="I14" s="21"/>
      <c r="J14" s="21"/>
      <c r="K14" s="21"/>
      <c r="L14" s="28"/>
      <c r="M14" s="28"/>
      <c r="N14" s="25"/>
      <c r="O14" s="26"/>
      <c r="P14" s="26"/>
      <c r="Q14" s="1"/>
      <c r="R14" s="1"/>
    </row>
    <row r="15">
      <c r="A15" s="1"/>
      <c r="B15" s="32"/>
      <c r="C15" s="15"/>
      <c r="D15" s="16"/>
      <c r="E15" s="17"/>
      <c r="F15" s="32"/>
      <c r="G15" s="19"/>
      <c r="H15" s="33"/>
      <c r="I15" s="21"/>
      <c r="J15" s="21"/>
      <c r="K15" s="21"/>
      <c r="L15" s="28"/>
      <c r="M15" s="28"/>
      <c r="N15" s="25"/>
      <c r="O15" s="26"/>
      <c r="P15" s="26"/>
      <c r="Q15" s="1"/>
      <c r="R15" s="1"/>
    </row>
    <row r="16">
      <c r="A16" s="1"/>
      <c r="B16" s="32"/>
      <c r="C16" s="15"/>
      <c r="D16" s="16"/>
      <c r="E16" s="17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250000</v>
      </c>
      <c r="H19" s="37">
        <f t="shared" si="1"/>
        <v>1620000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250000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29</v>
      </c>
      <c r="P23" s="1"/>
      <c r="Q23" s="1"/>
      <c r="R23" s="1"/>
    </row>
    <row r="24">
      <c r="A24" s="1"/>
      <c r="B24" s="46">
        <v>2.0</v>
      </c>
      <c r="C24" s="47" t="s">
        <v>386</v>
      </c>
      <c r="D24" s="48">
        <v>-33000.0</v>
      </c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29</v>
      </c>
      <c r="P24" s="1"/>
      <c r="Q24" s="1"/>
      <c r="R24" s="1"/>
    </row>
    <row r="25">
      <c r="A25" s="1"/>
      <c r="B25" s="41">
        <v>3.0</v>
      </c>
      <c r="C25" s="42" t="s">
        <v>389</v>
      </c>
      <c r="D25" s="52">
        <v>-67000.0</v>
      </c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60</v>
      </c>
      <c r="P25" s="1"/>
      <c r="Q25" s="1"/>
      <c r="R25" s="1"/>
    </row>
    <row r="26">
      <c r="A26" s="1"/>
      <c r="B26" s="46">
        <v>4.0</v>
      </c>
      <c r="C26" s="47" t="s">
        <v>76</v>
      </c>
      <c r="D26" s="48">
        <v>-50000.0</v>
      </c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60</v>
      </c>
      <c r="P26" s="1"/>
      <c r="Q26" s="1"/>
      <c r="R26" s="1"/>
    </row>
    <row r="27">
      <c r="A27" s="1"/>
      <c r="B27" s="41"/>
      <c r="C27" s="55"/>
      <c r="D27" s="43"/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100000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"-,VERO,FADEL,PENTIL,ADIF 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0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70" t="s">
        <v>356</v>
      </c>
      <c r="D4" s="71" t="s">
        <v>23</v>
      </c>
      <c r="E4" s="72"/>
      <c r="F4" s="86">
        <v>46112.0</v>
      </c>
      <c r="G4" s="74"/>
      <c r="H4" s="75">
        <v>100000.0</v>
      </c>
      <c r="I4" s="76" t="s">
        <v>24</v>
      </c>
      <c r="J4" s="78"/>
      <c r="K4" s="78"/>
      <c r="L4" s="76" t="s">
        <v>29</v>
      </c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367</v>
      </c>
      <c r="D5" s="16" t="s">
        <v>33</v>
      </c>
      <c r="E5" s="17"/>
      <c r="F5" s="18">
        <v>46118.0</v>
      </c>
      <c r="G5" s="19"/>
      <c r="H5" s="20">
        <v>100000.0</v>
      </c>
      <c r="I5" s="21" t="s">
        <v>24</v>
      </c>
      <c r="J5" s="21"/>
      <c r="K5" s="21"/>
      <c r="L5" s="21" t="s">
        <v>29</v>
      </c>
      <c r="M5" s="21"/>
      <c r="N5" s="25"/>
      <c r="O5" s="25"/>
      <c r="P5" s="26"/>
      <c r="Q5" s="1"/>
      <c r="R5" s="1"/>
    </row>
    <row r="6">
      <c r="A6" s="1"/>
      <c r="B6" s="14">
        <v>3.0</v>
      </c>
      <c r="C6" s="15" t="s">
        <v>369</v>
      </c>
      <c r="D6" s="16" t="s">
        <v>23</v>
      </c>
      <c r="E6" s="17"/>
      <c r="F6" s="30">
        <v>46112.0</v>
      </c>
      <c r="G6" s="27"/>
      <c r="H6" s="20">
        <v>100000.0</v>
      </c>
      <c r="I6" s="21" t="s">
        <v>24</v>
      </c>
      <c r="J6" s="21"/>
      <c r="K6" s="21"/>
      <c r="L6" s="21" t="s">
        <v>29</v>
      </c>
      <c r="M6" s="28"/>
      <c r="N6" s="25"/>
      <c r="O6" s="25"/>
      <c r="P6" s="26"/>
      <c r="Q6" s="1"/>
      <c r="R6" s="1"/>
    </row>
    <row r="7">
      <c r="A7" s="1"/>
      <c r="B7" s="14">
        <v>4.0</v>
      </c>
      <c r="C7" s="15" t="s">
        <v>277</v>
      </c>
      <c r="D7" s="16" t="s">
        <v>23</v>
      </c>
      <c r="E7" s="17"/>
      <c r="F7" s="30">
        <v>46111.0</v>
      </c>
      <c r="G7" s="19">
        <v>250000.0</v>
      </c>
      <c r="H7" s="33"/>
      <c r="I7" s="21" t="s">
        <v>27</v>
      </c>
      <c r="J7" s="21" t="s">
        <v>36</v>
      </c>
      <c r="K7" s="21" t="s">
        <v>38</v>
      </c>
      <c r="L7" s="21" t="s">
        <v>29</v>
      </c>
      <c r="M7" s="21" t="s">
        <v>85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373</v>
      </c>
      <c r="D8" s="16" t="s">
        <v>23</v>
      </c>
      <c r="E8" s="17"/>
      <c r="F8" s="30">
        <v>46116.0</v>
      </c>
      <c r="G8" s="19"/>
      <c r="H8" s="20">
        <v>100000.0</v>
      </c>
      <c r="I8" s="21" t="s">
        <v>24</v>
      </c>
      <c r="J8" s="21"/>
      <c r="K8" s="21"/>
      <c r="L8" s="21" t="s">
        <v>29</v>
      </c>
      <c r="M8" s="28"/>
      <c r="N8" s="25"/>
      <c r="O8" s="26"/>
      <c r="P8" s="26"/>
      <c r="Q8" s="1"/>
      <c r="R8" s="1"/>
    </row>
    <row r="9">
      <c r="A9" s="1"/>
      <c r="B9" s="14">
        <v>6.0</v>
      </c>
      <c r="C9" s="88" t="s">
        <v>156</v>
      </c>
      <c r="D9" s="16" t="s">
        <v>33</v>
      </c>
      <c r="E9" s="17"/>
      <c r="F9" s="30">
        <v>46142.0</v>
      </c>
      <c r="G9" s="19">
        <v>0.0</v>
      </c>
      <c r="H9" s="20">
        <v>0.0</v>
      </c>
      <c r="I9" s="21" t="s">
        <v>27</v>
      </c>
      <c r="J9" s="21" t="s">
        <v>36</v>
      </c>
      <c r="K9" s="21" t="s">
        <v>38</v>
      </c>
      <c r="L9" s="21" t="s">
        <v>29</v>
      </c>
      <c r="M9" s="21" t="s">
        <v>85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212</v>
      </c>
      <c r="D10" s="16" t="s">
        <v>33</v>
      </c>
      <c r="E10" s="17"/>
      <c r="F10" s="30">
        <v>46142.0</v>
      </c>
      <c r="G10" s="19"/>
      <c r="H10" s="20">
        <v>100000.0</v>
      </c>
      <c r="I10" s="21" t="s">
        <v>24</v>
      </c>
      <c r="J10" s="21"/>
      <c r="K10" s="21"/>
      <c r="L10" s="21" t="s">
        <v>29</v>
      </c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378</v>
      </c>
      <c r="D11" s="16" t="s">
        <v>51</v>
      </c>
      <c r="E11" s="17"/>
      <c r="F11" s="30">
        <v>46112.0</v>
      </c>
      <c r="G11" s="19"/>
      <c r="H11" s="20">
        <v>150000.0</v>
      </c>
      <c r="I11" s="21" t="s">
        <v>27</v>
      </c>
      <c r="J11" s="21"/>
      <c r="K11" s="21"/>
      <c r="L11" s="21" t="s">
        <v>29</v>
      </c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380</v>
      </c>
      <c r="D12" s="16" t="s">
        <v>99</v>
      </c>
      <c r="E12" s="17"/>
      <c r="F12" s="30">
        <v>46112.0</v>
      </c>
      <c r="G12" s="19"/>
      <c r="H12" s="20">
        <v>100000.0</v>
      </c>
      <c r="I12" s="21" t="s">
        <v>24</v>
      </c>
      <c r="J12" s="21"/>
      <c r="K12" s="21"/>
      <c r="L12" s="21" t="s">
        <v>29</v>
      </c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382</v>
      </c>
      <c r="D13" s="16" t="s">
        <v>23</v>
      </c>
      <c r="E13" s="17"/>
      <c r="F13" s="30">
        <v>46112.0</v>
      </c>
      <c r="G13" s="19"/>
      <c r="H13" s="20">
        <v>100000.0</v>
      </c>
      <c r="I13" s="21" t="s">
        <v>24</v>
      </c>
      <c r="J13" s="21"/>
      <c r="K13" s="21"/>
      <c r="L13" s="21" t="s">
        <v>29</v>
      </c>
      <c r="M13" s="28"/>
      <c r="N13" s="25"/>
      <c r="O13" s="26"/>
      <c r="P13" s="26"/>
      <c r="Q13" s="1"/>
      <c r="R13" s="1"/>
    </row>
    <row r="14">
      <c r="A14" s="1"/>
      <c r="B14" s="32"/>
      <c r="C14" s="15" t="s">
        <v>384</v>
      </c>
      <c r="D14" s="16" t="s">
        <v>99</v>
      </c>
      <c r="E14" s="17"/>
      <c r="F14" s="30">
        <v>46111.0</v>
      </c>
      <c r="G14" s="19">
        <v>450000.0</v>
      </c>
      <c r="H14" s="33"/>
      <c r="I14" s="21" t="s">
        <v>27</v>
      </c>
      <c r="J14" s="21" t="s">
        <v>36</v>
      </c>
      <c r="K14" s="21" t="s">
        <v>38</v>
      </c>
      <c r="L14" s="21" t="s">
        <v>29</v>
      </c>
      <c r="M14" s="21" t="s">
        <v>60</v>
      </c>
      <c r="N14" s="25"/>
      <c r="O14" s="26"/>
      <c r="P14" s="26"/>
      <c r="Q14" s="1"/>
      <c r="R14" s="1"/>
    </row>
    <row r="15">
      <c r="A15" s="1"/>
      <c r="B15" s="32"/>
      <c r="C15" s="15" t="s">
        <v>322</v>
      </c>
      <c r="D15" s="16" t="s">
        <v>99</v>
      </c>
      <c r="E15" s="17"/>
      <c r="F15" s="30">
        <v>46111.0</v>
      </c>
      <c r="G15" s="19"/>
      <c r="H15" s="20">
        <v>500000.0</v>
      </c>
      <c r="I15" s="21" t="s">
        <v>27</v>
      </c>
      <c r="J15" s="21"/>
      <c r="K15" s="21"/>
      <c r="L15" s="21" t="s">
        <v>29</v>
      </c>
      <c r="M15" s="28"/>
      <c r="N15" s="25"/>
      <c r="O15" s="26"/>
      <c r="P15" s="26"/>
      <c r="Q15" s="1"/>
      <c r="R15" s="1"/>
    </row>
    <row r="16">
      <c r="A16" s="1"/>
      <c r="B16" s="32"/>
      <c r="C16" s="15" t="s">
        <v>164</v>
      </c>
      <c r="D16" s="16" t="s">
        <v>23</v>
      </c>
      <c r="E16" s="17"/>
      <c r="F16" s="30">
        <v>46111.0</v>
      </c>
      <c r="G16" s="19"/>
      <c r="H16" s="20">
        <v>250000.0</v>
      </c>
      <c r="I16" s="21" t="s">
        <v>27</v>
      </c>
      <c r="J16" s="21" t="s">
        <v>36</v>
      </c>
      <c r="K16" s="21" t="s">
        <v>38</v>
      </c>
      <c r="L16" s="21" t="s">
        <v>29</v>
      </c>
      <c r="M16" s="21" t="s">
        <v>60</v>
      </c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34"/>
      <c r="D18" s="16"/>
      <c r="E18" s="17"/>
      <c r="F18" s="32"/>
      <c r="G18" s="27"/>
      <c r="H18" s="33"/>
      <c r="I18" s="28"/>
      <c r="J18" s="28"/>
      <c r="K18" s="28"/>
      <c r="L18" s="28"/>
      <c r="M18" s="28"/>
      <c r="N18" s="35"/>
      <c r="O18" s="35"/>
      <c r="P18" s="35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6">
        <f t="shared" ref="G19:H19" si="1">SUM(G4:G18)</f>
        <v>700000</v>
      </c>
      <c r="H19" s="37">
        <f t="shared" si="1"/>
        <v>1600000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8" t="s">
        <v>0</v>
      </c>
      <c r="C22" s="39" t="s">
        <v>6</v>
      </c>
      <c r="D22" s="39" t="s">
        <v>72</v>
      </c>
      <c r="E22" s="40"/>
      <c r="F22" s="1"/>
      <c r="G22" s="1"/>
      <c r="H22" s="1"/>
      <c r="I22" s="1"/>
      <c r="J22" s="1"/>
      <c r="K22" s="1"/>
      <c r="L22" s="1"/>
      <c r="M22" s="1"/>
      <c r="N22" s="39" t="s">
        <v>73</v>
      </c>
      <c r="O22" s="39" t="s">
        <v>1</v>
      </c>
      <c r="P22" s="1"/>
      <c r="Q22" s="1"/>
      <c r="R22" s="1"/>
    </row>
    <row r="23">
      <c r="A23" s="1"/>
      <c r="B23" s="41">
        <v>1.0</v>
      </c>
      <c r="C23" s="42" t="s">
        <v>74</v>
      </c>
      <c r="D23" s="43">
        <f>SUM(G19)</f>
        <v>700000</v>
      </c>
      <c r="E23" s="44"/>
      <c r="F23" s="1"/>
      <c r="G23" s="1"/>
      <c r="H23" s="1"/>
      <c r="I23" s="1"/>
      <c r="J23" s="1"/>
      <c r="K23" s="1"/>
      <c r="L23" s="1"/>
      <c r="M23" s="1"/>
      <c r="N23" s="45" t="s">
        <v>75</v>
      </c>
      <c r="O23" s="23" t="s">
        <v>29</v>
      </c>
      <c r="P23" s="1"/>
      <c r="Q23" s="1"/>
      <c r="R23" s="1"/>
    </row>
    <row r="24">
      <c r="A24" s="1"/>
      <c r="B24" s="46">
        <v>2.0</v>
      </c>
      <c r="C24" s="47" t="s">
        <v>81</v>
      </c>
      <c r="D24" s="48">
        <v>-50000.0</v>
      </c>
      <c r="E24" s="49"/>
      <c r="F24" s="1"/>
      <c r="G24" s="1"/>
      <c r="H24" s="1"/>
      <c r="I24" s="1"/>
      <c r="J24" s="1"/>
      <c r="K24" s="1"/>
      <c r="L24" s="1"/>
      <c r="M24" s="1"/>
      <c r="N24" s="50" t="s">
        <v>77</v>
      </c>
      <c r="O24" s="51" t="s">
        <v>29</v>
      </c>
      <c r="P24" s="1"/>
      <c r="Q24" s="1"/>
      <c r="R24" s="1"/>
    </row>
    <row r="25">
      <c r="A25" s="1"/>
      <c r="B25" s="41">
        <v>3.0</v>
      </c>
      <c r="C25" s="42"/>
      <c r="D25" s="52"/>
      <c r="E25" s="49"/>
      <c r="F25" s="1"/>
      <c r="G25" s="1"/>
      <c r="H25" s="1"/>
      <c r="I25" s="1"/>
      <c r="J25" s="1"/>
      <c r="K25" s="1"/>
      <c r="L25" s="1"/>
      <c r="M25" s="1"/>
      <c r="N25" s="53" t="s">
        <v>79</v>
      </c>
      <c r="O25" s="25" t="s">
        <v>85</v>
      </c>
      <c r="P25" s="1"/>
      <c r="Q25" s="1"/>
      <c r="R25" s="1"/>
    </row>
    <row r="26">
      <c r="A26" s="1"/>
      <c r="B26" s="46">
        <v>4.0</v>
      </c>
      <c r="C26" s="47" t="s">
        <v>76</v>
      </c>
      <c r="D26" s="48">
        <v>-50000.0</v>
      </c>
      <c r="E26" s="49"/>
      <c r="F26" s="1"/>
      <c r="G26" s="1"/>
      <c r="H26" s="1"/>
      <c r="I26" s="1"/>
      <c r="J26" s="1"/>
      <c r="K26" s="1"/>
      <c r="L26" s="1"/>
      <c r="M26" s="1"/>
      <c r="N26" s="54" t="s">
        <v>80</v>
      </c>
      <c r="O26" s="51" t="s">
        <v>60</v>
      </c>
      <c r="P26" s="1"/>
      <c r="Q26" s="1"/>
      <c r="R26" s="1"/>
    </row>
    <row r="27">
      <c r="A27" s="1"/>
      <c r="B27" s="41"/>
      <c r="C27" s="42" t="s">
        <v>399</v>
      </c>
      <c r="D27" s="52">
        <v>-140000.0</v>
      </c>
      <c r="E27" s="44"/>
      <c r="F27" s="1"/>
      <c r="G27" s="1"/>
      <c r="H27" s="1"/>
      <c r="I27" s="1"/>
      <c r="J27" s="1"/>
      <c r="K27" s="1"/>
      <c r="L27" s="1"/>
      <c r="M27" s="1"/>
      <c r="N27" s="56"/>
      <c r="O27" s="1"/>
      <c r="P27" s="1"/>
      <c r="Q27" s="1"/>
      <c r="R27" s="1"/>
    </row>
    <row r="28">
      <c r="A28" s="1"/>
      <c r="B28" s="46"/>
      <c r="C28" s="57"/>
      <c r="D28" s="58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1"/>
      <c r="C29" s="55"/>
      <c r="D29" s="43"/>
      <c r="E29" s="4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6"/>
      <c r="C30" s="57"/>
      <c r="D30" s="58"/>
      <c r="E30" s="4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1"/>
      <c r="C31" s="55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6"/>
      <c r="C32" s="57"/>
      <c r="D32" s="58"/>
      <c r="E32" s="4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9"/>
      <c r="C33" s="60"/>
      <c r="D33" s="61"/>
      <c r="E33" s="4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2">
        <f>SUM(D23:D33)</f>
        <v>460000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"-,VERO,ADIF ,HANIF ,FAHME"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20.13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0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358</v>
      </c>
      <c r="D4" s="16" t="s">
        <v>20</v>
      </c>
      <c r="E4" s="17"/>
      <c r="F4" s="18">
        <v>46113.0</v>
      </c>
      <c r="G4" s="19"/>
      <c r="H4" s="20">
        <v>100000.0</v>
      </c>
      <c r="I4" s="21" t="s">
        <v>24</v>
      </c>
      <c r="J4" s="21"/>
      <c r="K4" s="21"/>
      <c r="L4" s="21" t="s">
        <v>26</v>
      </c>
      <c r="M4" s="21"/>
      <c r="N4" s="23" t="s">
        <v>36</v>
      </c>
      <c r="O4" s="23" t="s">
        <v>365</v>
      </c>
      <c r="P4" s="24">
        <v>45231.0</v>
      </c>
      <c r="Q4" s="1"/>
      <c r="R4" s="1"/>
    </row>
    <row r="5">
      <c r="A5" s="1"/>
      <c r="B5" s="14">
        <v>2.0</v>
      </c>
      <c r="C5" s="15" t="s">
        <v>48</v>
      </c>
      <c r="D5" s="16" t="s">
        <v>23</v>
      </c>
      <c r="E5" s="17"/>
      <c r="F5" s="22">
        <v>46112.0</v>
      </c>
      <c r="G5" s="19">
        <v>250000.0</v>
      </c>
      <c r="H5" s="20"/>
      <c r="I5" s="21" t="s">
        <v>27</v>
      </c>
      <c r="J5" s="21" t="s">
        <v>36</v>
      </c>
      <c r="K5" s="21" t="s">
        <v>38</v>
      </c>
      <c r="L5" s="21" t="s">
        <v>29</v>
      </c>
      <c r="M5" s="21" t="s">
        <v>368</v>
      </c>
      <c r="N5" s="25"/>
      <c r="O5" s="25"/>
      <c r="P5" s="26"/>
      <c r="Q5" s="1"/>
      <c r="R5" s="1"/>
    </row>
    <row r="6">
      <c r="A6" s="1"/>
      <c r="B6" s="14">
        <v>3.0</v>
      </c>
      <c r="C6" s="15" t="s">
        <v>316</v>
      </c>
      <c r="D6" s="16" t="s">
        <v>23</v>
      </c>
      <c r="E6" s="17"/>
      <c r="F6" s="22">
        <v>46112.0</v>
      </c>
      <c r="G6" s="27"/>
      <c r="H6" s="20">
        <v>270000.0</v>
      </c>
      <c r="I6" s="21" t="s">
        <v>27</v>
      </c>
      <c r="J6" s="21" t="s">
        <v>36</v>
      </c>
      <c r="K6" s="21" t="s">
        <v>38</v>
      </c>
      <c r="L6" s="21" t="s">
        <v>29</v>
      </c>
      <c r="M6" s="21" t="s">
        <v>39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370</v>
      </c>
      <c r="D7" s="16" t="s">
        <v>99</v>
      </c>
      <c r="E7" s="17"/>
      <c r="F7" s="22">
        <v>46112.0</v>
      </c>
      <c r="G7" s="19"/>
      <c r="H7" s="20">
        <v>440000.0</v>
      </c>
      <c r="I7" s="21" t="s">
        <v>27</v>
      </c>
      <c r="J7" s="21" t="s">
        <v>36</v>
      </c>
      <c r="K7" s="21" t="s">
        <v>38</v>
      </c>
      <c r="L7" s="21" t="s">
        <v>29</v>
      </c>
      <c r="M7" s="21" t="s">
        <v>39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371</v>
      </c>
      <c r="D8" s="16" t="s">
        <v>23</v>
      </c>
      <c r="E8" s="17"/>
      <c r="F8" s="22">
        <v>46112.0</v>
      </c>
      <c r="G8" s="19"/>
      <c r="H8" s="20">
        <v>170000.0</v>
      </c>
      <c r="I8" s="21" t="s">
        <v>27</v>
      </c>
      <c r="J8" s="21" t="s">
        <v>36</v>
      </c>
      <c r="K8" s="21" t="s">
        <v>38</v>
      </c>
      <c r="L8" s="21" t="s">
        <v>29</v>
      </c>
      <c r="M8" s="21" t="s">
        <v>368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372</v>
      </c>
      <c r="D9" s="16" t="s">
        <v>23</v>
      </c>
      <c r="E9" s="17"/>
      <c r="F9" s="22">
        <v>46112.0</v>
      </c>
      <c r="G9" s="19"/>
      <c r="H9" s="20">
        <v>270000.0</v>
      </c>
      <c r="I9" s="21" t="s">
        <v>27</v>
      </c>
      <c r="J9" s="21" t="s">
        <v>36</v>
      </c>
      <c r="K9" s="21" t="s">
        <v>38</v>
      </c>
      <c r="L9" s="21" t="s">
        <v>29</v>
      </c>
      <c r="M9" s="21" t="s">
        <v>374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375</v>
      </c>
      <c r="D10" s="16" t="s">
        <v>99</v>
      </c>
      <c r="E10" s="17"/>
      <c r="F10" s="22">
        <v>46112.0</v>
      </c>
      <c r="G10" s="19">
        <v>400000.0</v>
      </c>
      <c r="H10" s="33"/>
      <c r="I10" s="21" t="s">
        <v>27</v>
      </c>
      <c r="J10" s="21" t="s">
        <v>36</v>
      </c>
      <c r="K10" s="21" t="s">
        <v>38</v>
      </c>
      <c r="L10" s="21" t="s">
        <v>29</v>
      </c>
      <c r="M10" s="21" t="s">
        <v>39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376</v>
      </c>
      <c r="D11" s="16" t="s">
        <v>23</v>
      </c>
      <c r="E11" s="17"/>
      <c r="F11" s="22">
        <v>46112.0</v>
      </c>
      <c r="G11" s="19"/>
      <c r="H11" s="20">
        <v>290000.0</v>
      </c>
      <c r="I11" s="21" t="s">
        <v>27</v>
      </c>
      <c r="J11" s="21" t="s">
        <v>36</v>
      </c>
      <c r="K11" s="21" t="s">
        <v>38</v>
      </c>
      <c r="L11" s="21" t="s">
        <v>29</v>
      </c>
      <c r="M11" s="21" t="s">
        <v>374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377</v>
      </c>
      <c r="D12" s="16" t="s">
        <v>23</v>
      </c>
      <c r="E12" s="17"/>
      <c r="F12" s="22">
        <v>46112.0</v>
      </c>
      <c r="G12" s="19"/>
      <c r="H12" s="20">
        <v>250000.0</v>
      </c>
      <c r="I12" s="21" t="s">
        <v>27</v>
      </c>
      <c r="J12" s="21" t="s">
        <v>36</v>
      </c>
      <c r="K12" s="21" t="s">
        <v>38</v>
      </c>
      <c r="L12" s="21" t="s">
        <v>29</v>
      </c>
      <c r="M12" s="21" t="s">
        <v>368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379</v>
      </c>
      <c r="D13" s="16" t="s">
        <v>23</v>
      </c>
      <c r="E13" s="17"/>
      <c r="F13" s="22">
        <v>46112.0</v>
      </c>
      <c r="G13" s="19">
        <v>250000.0</v>
      </c>
      <c r="H13" s="33"/>
      <c r="I13" s="21" t="s">
        <v>27</v>
      </c>
      <c r="J13" s="21" t="s">
        <v>36</v>
      </c>
      <c r="K13" s="21" t="s">
        <v>38</v>
      </c>
      <c r="L13" s="21" t="s">
        <v>29</v>
      </c>
      <c r="M13" s="21" t="s">
        <v>39</v>
      </c>
      <c r="N13" s="25"/>
      <c r="O13" s="26"/>
      <c r="P13" s="26"/>
      <c r="Q13" s="1"/>
      <c r="R13" s="1"/>
    </row>
    <row r="14">
      <c r="A14" s="1"/>
      <c r="B14" s="14">
        <v>11.0</v>
      </c>
      <c r="C14" s="15" t="s">
        <v>381</v>
      </c>
      <c r="D14" s="16" t="s">
        <v>23</v>
      </c>
      <c r="E14" s="17"/>
      <c r="F14" s="22">
        <v>46112.0</v>
      </c>
      <c r="G14" s="19">
        <v>250000.0</v>
      </c>
      <c r="H14" s="33"/>
      <c r="I14" s="21" t="s">
        <v>27</v>
      </c>
      <c r="J14" s="21" t="s">
        <v>36</v>
      </c>
      <c r="K14" s="21" t="s">
        <v>38</v>
      </c>
      <c r="L14" s="21" t="s">
        <v>29</v>
      </c>
      <c r="M14" s="21" t="s">
        <v>52</v>
      </c>
      <c r="N14" s="25"/>
      <c r="O14" s="26"/>
      <c r="P14" s="26"/>
      <c r="Q14" s="1"/>
      <c r="R14" s="1"/>
    </row>
    <row r="15">
      <c r="A15" s="1"/>
      <c r="B15" s="14">
        <v>12.0</v>
      </c>
      <c r="C15" s="15" t="s">
        <v>383</v>
      </c>
      <c r="D15" s="16" t="s">
        <v>23</v>
      </c>
      <c r="E15" s="17"/>
      <c r="F15" s="22">
        <v>46112.0</v>
      </c>
      <c r="G15" s="19">
        <v>250000.0</v>
      </c>
      <c r="H15" s="33"/>
      <c r="I15" s="21" t="s">
        <v>27</v>
      </c>
      <c r="J15" s="21" t="s">
        <v>36</v>
      </c>
      <c r="K15" s="21" t="s">
        <v>38</v>
      </c>
      <c r="L15" s="21" t="s">
        <v>29</v>
      </c>
      <c r="M15" s="21" t="s">
        <v>368</v>
      </c>
      <c r="N15" s="25"/>
      <c r="O15" s="26"/>
      <c r="P15" s="26"/>
      <c r="Q15" s="1"/>
      <c r="R15" s="1"/>
    </row>
    <row r="16">
      <c r="A16" s="1"/>
      <c r="B16" s="14">
        <v>13.0</v>
      </c>
      <c r="C16" s="15" t="s">
        <v>385</v>
      </c>
      <c r="D16" s="16" t="s">
        <v>23</v>
      </c>
      <c r="E16" s="17"/>
      <c r="F16" s="22">
        <v>46112.0</v>
      </c>
      <c r="G16" s="19">
        <v>290000.0</v>
      </c>
      <c r="H16" s="33"/>
      <c r="I16" s="21" t="s">
        <v>27</v>
      </c>
      <c r="J16" s="21" t="s">
        <v>36</v>
      </c>
      <c r="K16" s="21" t="s">
        <v>38</v>
      </c>
      <c r="L16" s="21" t="s">
        <v>29</v>
      </c>
      <c r="M16" s="21" t="s">
        <v>387</v>
      </c>
      <c r="N16" s="25"/>
      <c r="O16" s="26"/>
      <c r="P16" s="26"/>
      <c r="Q16" s="1"/>
      <c r="R16" s="1"/>
    </row>
    <row r="17">
      <c r="A17" s="1"/>
      <c r="B17" s="14">
        <v>14.0</v>
      </c>
      <c r="C17" s="15" t="s">
        <v>388</v>
      </c>
      <c r="D17" s="16" t="s">
        <v>23</v>
      </c>
      <c r="E17" s="17"/>
      <c r="F17" s="22">
        <v>46112.0</v>
      </c>
      <c r="G17" s="19"/>
      <c r="H17" s="20">
        <v>270000.0</v>
      </c>
      <c r="I17" s="21" t="s">
        <v>27</v>
      </c>
      <c r="J17" s="21" t="s">
        <v>36</v>
      </c>
      <c r="K17" s="21" t="s">
        <v>38</v>
      </c>
      <c r="L17" s="21" t="s">
        <v>29</v>
      </c>
      <c r="M17" s="21" t="s">
        <v>39</v>
      </c>
      <c r="N17" s="25"/>
      <c r="O17" s="26"/>
      <c r="P17" s="26"/>
      <c r="Q17" s="1"/>
      <c r="R17" s="1"/>
    </row>
    <row r="18">
      <c r="A18" s="1"/>
      <c r="B18" s="14">
        <v>15.0</v>
      </c>
      <c r="C18" s="15" t="s">
        <v>390</v>
      </c>
      <c r="D18" s="16" t="s">
        <v>23</v>
      </c>
      <c r="E18" s="17"/>
      <c r="F18" s="22">
        <v>46112.0</v>
      </c>
      <c r="G18" s="19"/>
      <c r="H18" s="20">
        <v>370000.0</v>
      </c>
      <c r="I18" s="21" t="s">
        <v>27</v>
      </c>
      <c r="J18" s="21" t="s">
        <v>36</v>
      </c>
      <c r="K18" s="21" t="s">
        <v>38</v>
      </c>
      <c r="L18" s="21" t="s">
        <v>29</v>
      </c>
      <c r="M18" s="21" t="s">
        <v>387</v>
      </c>
      <c r="N18" s="25"/>
      <c r="O18" s="26"/>
      <c r="P18" s="26"/>
      <c r="Q18" s="1"/>
      <c r="R18" s="1"/>
    </row>
    <row r="19">
      <c r="A19" s="1"/>
      <c r="B19" s="14">
        <v>16.0</v>
      </c>
      <c r="C19" s="15" t="s">
        <v>391</v>
      </c>
      <c r="D19" s="16" t="s">
        <v>23</v>
      </c>
      <c r="E19" s="17"/>
      <c r="F19" s="22">
        <v>46112.0</v>
      </c>
      <c r="G19" s="19">
        <v>250000.0</v>
      </c>
      <c r="H19" s="33"/>
      <c r="I19" s="21" t="s">
        <v>27</v>
      </c>
      <c r="J19" s="21" t="s">
        <v>36</v>
      </c>
      <c r="K19" s="21" t="s">
        <v>38</v>
      </c>
      <c r="L19" s="21" t="s">
        <v>29</v>
      </c>
      <c r="M19" s="21" t="s">
        <v>368</v>
      </c>
      <c r="N19" s="25"/>
      <c r="O19" s="26"/>
      <c r="P19" s="26"/>
      <c r="Q19" s="1"/>
      <c r="R19" s="1"/>
    </row>
    <row r="20">
      <c r="A20" s="1"/>
      <c r="B20" s="14">
        <v>17.0</v>
      </c>
      <c r="C20" s="15" t="s">
        <v>392</v>
      </c>
      <c r="D20" s="16" t="s">
        <v>23</v>
      </c>
      <c r="E20" s="17"/>
      <c r="F20" s="22">
        <v>46112.0</v>
      </c>
      <c r="G20" s="19">
        <v>270000.0</v>
      </c>
      <c r="H20" s="33"/>
      <c r="I20" s="21" t="s">
        <v>27</v>
      </c>
      <c r="J20" s="21" t="s">
        <v>36</v>
      </c>
      <c r="K20" s="21" t="s">
        <v>38</v>
      </c>
      <c r="L20" s="21" t="s">
        <v>29</v>
      </c>
      <c r="M20" s="21" t="s">
        <v>39</v>
      </c>
      <c r="N20" s="25"/>
      <c r="O20" s="26"/>
      <c r="P20" s="26"/>
      <c r="Q20" s="1"/>
      <c r="R20" s="1"/>
    </row>
    <row r="21">
      <c r="A21" s="1"/>
      <c r="B21" s="14">
        <v>18.0</v>
      </c>
      <c r="C21" s="15" t="s">
        <v>393</v>
      </c>
      <c r="D21" s="16" t="s">
        <v>23</v>
      </c>
      <c r="E21" s="17"/>
      <c r="F21" s="22">
        <v>46112.0</v>
      </c>
      <c r="G21" s="19"/>
      <c r="H21" s="20">
        <v>270000.0</v>
      </c>
      <c r="I21" s="21" t="s">
        <v>27</v>
      </c>
      <c r="J21" s="21" t="s">
        <v>36</v>
      </c>
      <c r="K21" s="21" t="s">
        <v>38</v>
      </c>
      <c r="L21" s="21" t="s">
        <v>29</v>
      </c>
      <c r="M21" s="21" t="s">
        <v>52</v>
      </c>
      <c r="N21" s="25"/>
      <c r="O21" s="26"/>
      <c r="P21" s="26"/>
      <c r="Q21" s="1"/>
      <c r="R21" s="1"/>
    </row>
    <row r="22">
      <c r="A22" s="1"/>
      <c r="B22" s="14">
        <v>19.0</v>
      </c>
      <c r="C22" s="15" t="s">
        <v>394</v>
      </c>
      <c r="D22" s="16" t="s">
        <v>23</v>
      </c>
      <c r="E22" s="17"/>
      <c r="F22" s="22">
        <v>46112.0</v>
      </c>
      <c r="G22" s="19"/>
      <c r="H22" s="20">
        <v>250000.0</v>
      </c>
      <c r="I22" s="21" t="s">
        <v>27</v>
      </c>
      <c r="J22" s="21" t="s">
        <v>36</v>
      </c>
      <c r="K22" s="21" t="s">
        <v>38</v>
      </c>
      <c r="L22" s="21" t="s">
        <v>29</v>
      </c>
      <c r="M22" s="21" t="s">
        <v>374</v>
      </c>
      <c r="N22" s="25"/>
      <c r="O22" s="26"/>
      <c r="P22" s="26"/>
      <c r="Q22" s="1"/>
      <c r="R22" s="1"/>
    </row>
    <row r="23">
      <c r="A23" s="1"/>
      <c r="B23" s="14">
        <v>20.0</v>
      </c>
      <c r="C23" s="15" t="s">
        <v>128</v>
      </c>
      <c r="D23" s="16" t="s">
        <v>23</v>
      </c>
      <c r="E23" s="17"/>
      <c r="F23" s="22">
        <v>46112.0</v>
      </c>
      <c r="G23" s="19">
        <v>400000.0</v>
      </c>
      <c r="H23" s="33"/>
      <c r="I23" s="21" t="s">
        <v>27</v>
      </c>
      <c r="J23" s="21" t="s">
        <v>36</v>
      </c>
      <c r="K23" s="21" t="s">
        <v>38</v>
      </c>
      <c r="L23" s="21" t="s">
        <v>29</v>
      </c>
      <c r="M23" s="21" t="s">
        <v>368</v>
      </c>
      <c r="N23" s="25"/>
      <c r="O23" s="26"/>
      <c r="P23" s="26"/>
      <c r="Q23" s="1"/>
      <c r="R23" s="1"/>
    </row>
    <row r="24">
      <c r="A24" s="1"/>
      <c r="B24" s="14">
        <v>21.0</v>
      </c>
      <c r="C24" s="15" t="s">
        <v>395</v>
      </c>
      <c r="D24" s="16" t="s">
        <v>23</v>
      </c>
      <c r="E24" s="17"/>
      <c r="F24" s="22">
        <v>46112.0</v>
      </c>
      <c r="G24" s="19">
        <v>250000.0</v>
      </c>
      <c r="H24" s="33"/>
      <c r="I24" s="21" t="s">
        <v>27</v>
      </c>
      <c r="J24" s="21" t="s">
        <v>36</v>
      </c>
      <c r="K24" s="21" t="s">
        <v>38</v>
      </c>
      <c r="L24" s="21" t="s">
        <v>29</v>
      </c>
      <c r="M24" s="21" t="s">
        <v>39</v>
      </c>
      <c r="N24" s="25"/>
      <c r="O24" s="26"/>
      <c r="P24" s="26"/>
      <c r="Q24" s="1"/>
      <c r="R24" s="1"/>
    </row>
    <row r="25">
      <c r="A25" s="1"/>
      <c r="B25" s="14">
        <v>22.0</v>
      </c>
      <c r="C25" s="15" t="s">
        <v>396</v>
      </c>
      <c r="D25" s="16" t="s">
        <v>23</v>
      </c>
      <c r="E25" s="17"/>
      <c r="F25" s="22">
        <v>46112.0</v>
      </c>
      <c r="G25" s="19">
        <v>250000.0</v>
      </c>
      <c r="H25" s="33"/>
      <c r="I25" s="21" t="s">
        <v>27</v>
      </c>
      <c r="J25" s="21" t="s">
        <v>36</v>
      </c>
      <c r="K25" s="21" t="s">
        <v>38</v>
      </c>
      <c r="L25" s="21" t="s">
        <v>29</v>
      </c>
      <c r="M25" s="21" t="s">
        <v>374</v>
      </c>
      <c r="N25" s="25"/>
      <c r="O25" s="26"/>
      <c r="P25" s="26"/>
      <c r="Q25" s="1"/>
      <c r="R25" s="1"/>
    </row>
    <row r="26">
      <c r="A26" s="1"/>
      <c r="B26" s="14">
        <v>23.0</v>
      </c>
      <c r="C26" s="15" t="s">
        <v>57</v>
      </c>
      <c r="D26" s="16" t="s">
        <v>23</v>
      </c>
      <c r="E26" s="17"/>
      <c r="F26" s="22">
        <v>46112.0</v>
      </c>
      <c r="G26" s="19"/>
      <c r="H26" s="20">
        <v>250000.0</v>
      </c>
      <c r="I26" s="21" t="s">
        <v>27</v>
      </c>
      <c r="J26" s="21" t="s">
        <v>36</v>
      </c>
      <c r="K26" s="21" t="s">
        <v>38</v>
      </c>
      <c r="L26" s="21" t="s">
        <v>29</v>
      </c>
      <c r="M26" s="21" t="s">
        <v>368</v>
      </c>
      <c r="N26" s="25"/>
      <c r="O26" s="26"/>
      <c r="P26" s="26"/>
      <c r="Q26" s="1"/>
      <c r="R26" s="1"/>
    </row>
    <row r="27">
      <c r="A27" s="1"/>
      <c r="B27" s="14">
        <v>24.0</v>
      </c>
      <c r="C27" s="15" t="s">
        <v>147</v>
      </c>
      <c r="D27" s="16" t="s">
        <v>99</v>
      </c>
      <c r="E27" s="17"/>
      <c r="F27" s="22">
        <v>46112.0</v>
      </c>
      <c r="G27" s="19">
        <v>300000.0</v>
      </c>
      <c r="H27" s="33"/>
      <c r="I27" s="21" t="s">
        <v>27</v>
      </c>
      <c r="J27" s="21" t="s">
        <v>36</v>
      </c>
      <c r="K27" s="21" t="s">
        <v>38</v>
      </c>
      <c r="L27" s="21" t="s">
        <v>29</v>
      </c>
      <c r="M27" s="21" t="s">
        <v>39</v>
      </c>
      <c r="N27" s="25"/>
      <c r="O27" s="26"/>
      <c r="P27" s="26"/>
      <c r="Q27" s="1"/>
      <c r="R27" s="1"/>
    </row>
    <row r="28">
      <c r="A28" s="1"/>
      <c r="B28" s="14">
        <v>25.0</v>
      </c>
      <c r="C28" s="15" t="s">
        <v>397</v>
      </c>
      <c r="D28" s="16" t="s">
        <v>23</v>
      </c>
      <c r="E28" s="17"/>
      <c r="F28" s="22">
        <v>46112.0</v>
      </c>
      <c r="G28" s="19"/>
      <c r="H28" s="20">
        <v>250000.0</v>
      </c>
      <c r="I28" s="21" t="s">
        <v>27</v>
      </c>
      <c r="J28" s="21" t="s">
        <v>36</v>
      </c>
      <c r="K28" s="21" t="s">
        <v>38</v>
      </c>
      <c r="L28" s="21" t="s">
        <v>29</v>
      </c>
      <c r="M28" s="21" t="s">
        <v>52</v>
      </c>
      <c r="N28" s="25"/>
      <c r="O28" s="26"/>
      <c r="P28" s="26"/>
      <c r="Q28" s="1"/>
      <c r="R28" s="1"/>
    </row>
    <row r="29">
      <c r="A29" s="1"/>
      <c r="B29" s="14">
        <v>26.0</v>
      </c>
      <c r="C29" s="15" t="s">
        <v>398</v>
      </c>
      <c r="D29" s="16" t="s">
        <v>23</v>
      </c>
      <c r="E29" s="17"/>
      <c r="F29" s="22">
        <v>46112.0</v>
      </c>
      <c r="G29" s="19">
        <v>270000.0</v>
      </c>
      <c r="H29" s="33"/>
      <c r="I29" s="21" t="s">
        <v>27</v>
      </c>
      <c r="J29" s="21" t="s">
        <v>36</v>
      </c>
      <c r="K29" s="21" t="s">
        <v>38</v>
      </c>
      <c r="L29" s="21" t="s">
        <v>29</v>
      </c>
      <c r="M29" s="21" t="s">
        <v>374</v>
      </c>
      <c r="N29" s="25"/>
      <c r="O29" s="26"/>
      <c r="P29" s="26"/>
      <c r="Q29" s="1"/>
      <c r="R29" s="1"/>
    </row>
    <row r="30">
      <c r="A30" s="1"/>
      <c r="B30" s="14">
        <v>27.0</v>
      </c>
      <c r="C30" s="15" t="s">
        <v>286</v>
      </c>
      <c r="D30" s="16" t="s">
        <v>23</v>
      </c>
      <c r="E30" s="17"/>
      <c r="F30" s="22">
        <v>46112.0</v>
      </c>
      <c r="G30" s="19"/>
      <c r="H30" s="20">
        <v>250000.0</v>
      </c>
      <c r="I30" s="21" t="s">
        <v>27</v>
      </c>
      <c r="J30" s="21" t="s">
        <v>36</v>
      </c>
      <c r="K30" s="21" t="s">
        <v>38</v>
      </c>
      <c r="L30" s="21" t="s">
        <v>29</v>
      </c>
      <c r="M30" s="21" t="s">
        <v>368</v>
      </c>
      <c r="N30" s="25"/>
      <c r="O30" s="26"/>
      <c r="P30" s="26"/>
      <c r="Q30" s="1"/>
      <c r="R30" s="1"/>
    </row>
    <row r="31">
      <c r="A31" s="1"/>
      <c r="B31" s="14">
        <v>28.0</v>
      </c>
      <c r="C31" s="15" t="s">
        <v>400</v>
      </c>
      <c r="D31" s="16" t="s">
        <v>23</v>
      </c>
      <c r="E31" s="17"/>
      <c r="F31" s="22">
        <v>46112.0</v>
      </c>
      <c r="G31" s="19">
        <v>210000.0</v>
      </c>
      <c r="H31" s="33"/>
      <c r="I31" s="21" t="s">
        <v>27</v>
      </c>
      <c r="J31" s="21" t="s">
        <v>36</v>
      </c>
      <c r="K31" s="21" t="s">
        <v>38</v>
      </c>
      <c r="L31" s="21" t="s">
        <v>29</v>
      </c>
      <c r="M31" s="21" t="s">
        <v>39</v>
      </c>
      <c r="N31" s="25"/>
      <c r="O31" s="26"/>
      <c r="P31" s="26"/>
      <c r="Q31" s="1"/>
      <c r="R31" s="1"/>
    </row>
    <row r="32">
      <c r="A32" s="1"/>
      <c r="B32" s="14">
        <v>29.0</v>
      </c>
      <c r="C32" s="15" t="s">
        <v>401</v>
      </c>
      <c r="D32" s="16" t="s">
        <v>23</v>
      </c>
      <c r="E32" s="17"/>
      <c r="F32" s="22">
        <v>46112.0</v>
      </c>
      <c r="G32" s="19"/>
      <c r="H32" s="20">
        <v>250000.0</v>
      </c>
      <c r="I32" s="21" t="s">
        <v>27</v>
      </c>
      <c r="J32" s="21" t="s">
        <v>36</v>
      </c>
      <c r="K32" s="21" t="s">
        <v>38</v>
      </c>
      <c r="L32" s="21" t="s">
        <v>29</v>
      </c>
      <c r="M32" s="21" t="s">
        <v>387</v>
      </c>
      <c r="N32" s="25"/>
      <c r="O32" s="26"/>
      <c r="P32" s="26"/>
      <c r="Q32" s="1"/>
      <c r="R32" s="1"/>
    </row>
    <row r="33">
      <c r="A33" s="1"/>
      <c r="B33" s="14">
        <v>30.0</v>
      </c>
      <c r="C33" s="15" t="s">
        <v>402</v>
      </c>
      <c r="D33" s="16" t="s">
        <v>23</v>
      </c>
      <c r="E33" s="17"/>
      <c r="F33" s="22">
        <v>46112.0</v>
      </c>
      <c r="G33" s="19"/>
      <c r="H33" s="20">
        <v>250000.0</v>
      </c>
      <c r="I33" s="21" t="s">
        <v>27</v>
      </c>
      <c r="J33" s="21" t="s">
        <v>36</v>
      </c>
      <c r="K33" s="21" t="s">
        <v>38</v>
      </c>
      <c r="L33" s="21" t="s">
        <v>29</v>
      </c>
      <c r="M33" s="21" t="s">
        <v>39</v>
      </c>
      <c r="N33" s="25"/>
      <c r="O33" s="26"/>
      <c r="P33" s="26"/>
      <c r="Q33" s="1"/>
      <c r="R33" s="1"/>
    </row>
    <row r="34">
      <c r="A34" s="1"/>
      <c r="B34" s="14">
        <v>31.0</v>
      </c>
      <c r="C34" s="15" t="s">
        <v>186</v>
      </c>
      <c r="D34" s="16" t="s">
        <v>23</v>
      </c>
      <c r="E34" s="17"/>
      <c r="F34" s="22">
        <v>46112.0</v>
      </c>
      <c r="G34" s="19"/>
      <c r="H34" s="20">
        <v>200000.0</v>
      </c>
      <c r="I34" s="21" t="s">
        <v>27</v>
      </c>
      <c r="J34" s="21" t="s">
        <v>36</v>
      </c>
      <c r="K34" s="21" t="s">
        <v>38</v>
      </c>
      <c r="L34" s="21" t="s">
        <v>29</v>
      </c>
      <c r="M34" s="21" t="s">
        <v>368</v>
      </c>
      <c r="N34" s="25"/>
      <c r="O34" s="26"/>
      <c r="P34" s="26"/>
      <c r="Q34" s="1"/>
      <c r="R34" s="1"/>
    </row>
    <row r="35">
      <c r="A35" s="1"/>
      <c r="B35" s="14">
        <v>32.0</v>
      </c>
      <c r="C35" s="15" t="s">
        <v>287</v>
      </c>
      <c r="D35" s="16" t="s">
        <v>23</v>
      </c>
      <c r="E35" s="17"/>
      <c r="F35" s="22">
        <v>46112.0</v>
      </c>
      <c r="G35" s="19"/>
      <c r="H35" s="20">
        <v>250000.0</v>
      </c>
      <c r="I35" s="21" t="s">
        <v>27</v>
      </c>
      <c r="J35" s="21" t="s">
        <v>36</v>
      </c>
      <c r="K35" s="21" t="s">
        <v>38</v>
      </c>
      <c r="L35" s="21" t="s">
        <v>29</v>
      </c>
      <c r="M35" s="21" t="s">
        <v>52</v>
      </c>
      <c r="N35" s="25"/>
      <c r="O35" s="26"/>
      <c r="P35" s="26"/>
      <c r="Q35" s="1"/>
      <c r="R35" s="1"/>
    </row>
    <row r="36">
      <c r="A36" s="1"/>
      <c r="B36" s="14">
        <v>33.0</v>
      </c>
      <c r="C36" s="15" t="s">
        <v>329</v>
      </c>
      <c r="D36" s="16" t="s">
        <v>23</v>
      </c>
      <c r="E36" s="17"/>
      <c r="F36" s="22">
        <v>46112.0</v>
      </c>
      <c r="G36" s="19"/>
      <c r="H36" s="20">
        <v>270000.0</v>
      </c>
      <c r="I36" s="21" t="s">
        <v>27</v>
      </c>
      <c r="J36" s="21" t="s">
        <v>36</v>
      </c>
      <c r="K36" s="21" t="s">
        <v>38</v>
      </c>
      <c r="L36" s="21" t="s">
        <v>29</v>
      </c>
      <c r="M36" s="21" t="s">
        <v>39</v>
      </c>
      <c r="N36" s="25"/>
      <c r="O36" s="26"/>
      <c r="P36" s="26"/>
      <c r="Q36" s="1"/>
      <c r="R36" s="1"/>
    </row>
    <row r="37">
      <c r="A37" s="1"/>
      <c r="B37" s="14">
        <v>34.0</v>
      </c>
      <c r="C37" s="15" t="s">
        <v>403</v>
      </c>
      <c r="D37" s="16" t="s">
        <v>99</v>
      </c>
      <c r="E37" s="17"/>
      <c r="F37" s="22">
        <v>46112.0</v>
      </c>
      <c r="G37" s="19">
        <v>440000.0</v>
      </c>
      <c r="H37" s="33"/>
      <c r="I37" s="21" t="s">
        <v>27</v>
      </c>
      <c r="J37" s="21" t="s">
        <v>36</v>
      </c>
      <c r="K37" s="21" t="s">
        <v>38</v>
      </c>
      <c r="L37" s="21" t="s">
        <v>29</v>
      </c>
      <c r="M37" s="21" t="s">
        <v>374</v>
      </c>
      <c r="N37" s="25"/>
      <c r="O37" s="26"/>
      <c r="P37" s="26"/>
      <c r="Q37" s="1"/>
      <c r="R37" s="1"/>
    </row>
    <row r="38">
      <c r="A38" s="1"/>
      <c r="B38" s="14">
        <v>35.0</v>
      </c>
      <c r="C38" s="15" t="s">
        <v>328</v>
      </c>
      <c r="D38" s="16" t="s">
        <v>23</v>
      </c>
      <c r="E38" s="17"/>
      <c r="F38" s="22">
        <v>46112.0</v>
      </c>
      <c r="G38" s="19"/>
      <c r="H38" s="20">
        <v>270000.0</v>
      </c>
      <c r="I38" s="21" t="s">
        <v>27</v>
      </c>
      <c r="J38" s="21" t="s">
        <v>36</v>
      </c>
      <c r="K38" s="21" t="s">
        <v>38</v>
      </c>
      <c r="L38" s="21" t="s">
        <v>29</v>
      </c>
      <c r="M38" s="21" t="s">
        <v>52</v>
      </c>
      <c r="N38" s="25"/>
      <c r="O38" s="26"/>
      <c r="P38" s="26"/>
      <c r="Q38" s="1"/>
      <c r="R38" s="1"/>
    </row>
    <row r="39">
      <c r="A39" s="1"/>
      <c r="B39" s="14">
        <v>36.0</v>
      </c>
      <c r="C39" s="15" t="s">
        <v>404</v>
      </c>
      <c r="D39" s="16" t="s">
        <v>23</v>
      </c>
      <c r="E39" s="17"/>
      <c r="F39" s="30">
        <v>46113.0</v>
      </c>
      <c r="G39" s="19"/>
      <c r="H39" s="20">
        <v>100000.0</v>
      </c>
      <c r="I39" s="21" t="s">
        <v>24</v>
      </c>
      <c r="J39" s="21"/>
      <c r="K39" s="21"/>
      <c r="L39" s="21" t="s">
        <v>29</v>
      </c>
      <c r="M39" s="28"/>
      <c r="N39" s="25"/>
      <c r="O39" s="26"/>
      <c r="P39" s="26"/>
      <c r="Q39" s="1"/>
      <c r="R39" s="1"/>
    </row>
    <row r="40">
      <c r="A40" s="1"/>
      <c r="B40" s="14">
        <v>37.0</v>
      </c>
      <c r="C40" s="15" t="s">
        <v>405</v>
      </c>
      <c r="D40" s="16" t="s">
        <v>43</v>
      </c>
      <c r="E40" s="17"/>
      <c r="F40" s="30">
        <v>46117.0</v>
      </c>
      <c r="G40" s="19"/>
      <c r="H40" s="20">
        <v>100000.0</v>
      </c>
      <c r="I40" s="21" t="s">
        <v>24</v>
      </c>
      <c r="J40" s="21"/>
      <c r="K40" s="21"/>
      <c r="L40" s="21" t="s">
        <v>29</v>
      </c>
      <c r="M40" s="28"/>
      <c r="N40" s="25"/>
      <c r="O40" s="26"/>
      <c r="P40" s="26"/>
      <c r="Q40" s="1"/>
      <c r="R40" s="1"/>
    </row>
    <row r="41">
      <c r="A41" s="1"/>
      <c r="B41" s="14">
        <v>38.0</v>
      </c>
      <c r="C41" s="15" t="s">
        <v>406</v>
      </c>
      <c r="D41" s="16" t="s">
        <v>23</v>
      </c>
      <c r="E41" s="17"/>
      <c r="F41" s="22">
        <v>46112.0</v>
      </c>
      <c r="G41" s="19">
        <v>250000.0</v>
      </c>
      <c r="H41" s="33"/>
      <c r="I41" s="21" t="s">
        <v>27</v>
      </c>
      <c r="J41" s="21" t="s">
        <v>36</v>
      </c>
      <c r="K41" s="21" t="s">
        <v>38</v>
      </c>
      <c r="L41" s="21" t="s">
        <v>29</v>
      </c>
      <c r="M41" s="21" t="s">
        <v>368</v>
      </c>
      <c r="N41" s="25"/>
      <c r="O41" s="26"/>
      <c r="P41" s="26"/>
      <c r="Q41" s="1"/>
      <c r="R41" s="1"/>
    </row>
    <row r="42">
      <c r="A42" s="1"/>
      <c r="B42" s="14">
        <v>39.0</v>
      </c>
      <c r="C42" s="15" t="s">
        <v>380</v>
      </c>
      <c r="D42" s="16" t="s">
        <v>99</v>
      </c>
      <c r="E42" s="17"/>
      <c r="F42" s="22">
        <v>46112.0</v>
      </c>
      <c r="G42" s="19"/>
      <c r="H42" s="20">
        <v>400000.0</v>
      </c>
      <c r="I42" s="21" t="s">
        <v>27</v>
      </c>
      <c r="J42" s="21" t="s">
        <v>36</v>
      </c>
      <c r="K42" s="21" t="s">
        <v>38</v>
      </c>
      <c r="L42" s="21" t="s">
        <v>29</v>
      </c>
      <c r="M42" s="21" t="s">
        <v>52</v>
      </c>
      <c r="N42" s="25"/>
      <c r="O42" s="26"/>
      <c r="P42" s="26"/>
      <c r="Q42" s="1"/>
      <c r="R42" s="1"/>
    </row>
    <row r="43">
      <c r="A43" s="1"/>
      <c r="B43" s="14">
        <v>40.0</v>
      </c>
      <c r="C43" s="15" t="s">
        <v>382</v>
      </c>
      <c r="D43" s="16" t="s">
        <v>23</v>
      </c>
      <c r="E43" s="17"/>
      <c r="F43" s="22">
        <v>46112.0</v>
      </c>
      <c r="G43" s="19"/>
      <c r="H43" s="20">
        <v>250000.0</v>
      </c>
      <c r="I43" s="21" t="s">
        <v>27</v>
      </c>
      <c r="J43" s="21" t="s">
        <v>36</v>
      </c>
      <c r="K43" s="21" t="s">
        <v>38</v>
      </c>
      <c r="L43" s="21" t="s">
        <v>29</v>
      </c>
      <c r="M43" s="21" t="s">
        <v>39</v>
      </c>
      <c r="N43" s="25"/>
      <c r="O43" s="26"/>
      <c r="P43" s="26"/>
      <c r="Q43" s="1"/>
      <c r="R43" s="1"/>
    </row>
    <row r="44">
      <c r="A44" s="1"/>
      <c r="B44" s="14">
        <v>41.0</v>
      </c>
      <c r="C44" s="15" t="s">
        <v>407</v>
      </c>
      <c r="D44" s="16" t="s">
        <v>23</v>
      </c>
      <c r="E44" s="17"/>
      <c r="F44" s="22">
        <v>46112.0</v>
      </c>
      <c r="G44" s="19"/>
      <c r="H44" s="20">
        <v>270000.0</v>
      </c>
      <c r="I44" s="21"/>
      <c r="J44" s="21"/>
      <c r="K44" s="21"/>
      <c r="L44" s="21" t="s">
        <v>29</v>
      </c>
      <c r="M44" s="21" t="s">
        <v>52</v>
      </c>
      <c r="N44" s="25"/>
      <c r="O44" s="26"/>
      <c r="P44" s="26"/>
      <c r="Q44" s="1"/>
      <c r="R44" s="1"/>
    </row>
    <row r="45">
      <c r="A45" s="1"/>
      <c r="B45" s="14">
        <v>42.0</v>
      </c>
      <c r="C45" s="15" t="s">
        <v>19</v>
      </c>
      <c r="D45" s="16" t="s">
        <v>23</v>
      </c>
      <c r="E45" s="17"/>
      <c r="F45" s="22">
        <v>46112.0</v>
      </c>
      <c r="G45" s="19">
        <v>0.0</v>
      </c>
      <c r="H45" s="20">
        <v>0.0</v>
      </c>
      <c r="I45" s="21" t="s">
        <v>27</v>
      </c>
      <c r="J45" s="21" t="s">
        <v>36</v>
      </c>
      <c r="K45" s="21" t="s">
        <v>38</v>
      </c>
      <c r="L45" s="21" t="s">
        <v>26</v>
      </c>
      <c r="M45" s="21" t="s">
        <v>368</v>
      </c>
      <c r="N45" s="25"/>
      <c r="O45" s="26"/>
      <c r="P45" s="26"/>
      <c r="Q45" s="1"/>
      <c r="R45" s="1"/>
    </row>
    <row r="46">
      <c r="A46" s="1"/>
      <c r="B46" s="14">
        <v>43.0</v>
      </c>
      <c r="C46" s="15" t="s">
        <v>408</v>
      </c>
      <c r="D46" s="16" t="s">
        <v>23</v>
      </c>
      <c r="E46" s="17"/>
      <c r="F46" s="22">
        <v>46112.0</v>
      </c>
      <c r="G46" s="19">
        <v>250000.0</v>
      </c>
      <c r="H46" s="33"/>
      <c r="I46" s="21" t="s">
        <v>27</v>
      </c>
      <c r="J46" s="21" t="s">
        <v>36</v>
      </c>
      <c r="K46" s="21" t="s">
        <v>38</v>
      </c>
      <c r="L46" s="21" t="s">
        <v>26</v>
      </c>
      <c r="M46" s="21" t="s">
        <v>39</v>
      </c>
      <c r="N46" s="25"/>
      <c r="O46" s="26"/>
      <c r="P46" s="26"/>
      <c r="Q46" s="1"/>
      <c r="R46" s="1"/>
    </row>
    <row r="47">
      <c r="A47" s="1"/>
      <c r="B47" s="14">
        <v>44.0</v>
      </c>
      <c r="C47" s="15" t="s">
        <v>409</v>
      </c>
      <c r="D47" s="16" t="s">
        <v>23</v>
      </c>
      <c r="E47" s="17"/>
      <c r="F47" s="22">
        <v>46112.0</v>
      </c>
      <c r="G47" s="19">
        <v>0.0</v>
      </c>
      <c r="H47" s="20">
        <v>0.0</v>
      </c>
      <c r="I47" s="21" t="s">
        <v>27</v>
      </c>
      <c r="J47" s="21" t="s">
        <v>36</v>
      </c>
      <c r="K47" s="21" t="s">
        <v>38</v>
      </c>
      <c r="L47" s="21" t="s">
        <v>26</v>
      </c>
      <c r="M47" s="21" t="s">
        <v>374</v>
      </c>
      <c r="N47" s="25"/>
      <c r="O47" s="26"/>
      <c r="P47" s="26"/>
      <c r="Q47" s="1"/>
      <c r="R47" s="1"/>
    </row>
    <row r="48">
      <c r="A48" s="1"/>
      <c r="B48" s="14">
        <v>45.0</v>
      </c>
      <c r="C48" s="15" t="s">
        <v>410</v>
      </c>
      <c r="D48" s="16" t="s">
        <v>23</v>
      </c>
      <c r="E48" s="17"/>
      <c r="F48" s="22">
        <v>46112.0</v>
      </c>
      <c r="G48" s="19">
        <v>290000.0</v>
      </c>
      <c r="H48" s="33"/>
      <c r="I48" s="21" t="s">
        <v>27</v>
      </c>
      <c r="J48" s="21" t="s">
        <v>36</v>
      </c>
      <c r="K48" s="21" t="s">
        <v>38</v>
      </c>
      <c r="L48" s="21" t="s">
        <v>26</v>
      </c>
      <c r="M48" s="21" t="s">
        <v>52</v>
      </c>
      <c r="N48" s="25"/>
      <c r="O48" s="26"/>
      <c r="P48" s="26"/>
      <c r="Q48" s="1"/>
      <c r="R48" s="1"/>
    </row>
    <row r="49">
      <c r="A49" s="1"/>
      <c r="B49" s="14">
        <v>46.0</v>
      </c>
      <c r="C49" s="15" t="s">
        <v>322</v>
      </c>
      <c r="D49" s="16" t="s">
        <v>99</v>
      </c>
      <c r="E49" s="17"/>
      <c r="F49" s="22">
        <v>46112.0</v>
      </c>
      <c r="G49" s="19">
        <v>0.0</v>
      </c>
      <c r="H49" s="20">
        <v>0.0</v>
      </c>
      <c r="I49" s="21" t="s">
        <v>27</v>
      </c>
      <c r="J49" s="21" t="s">
        <v>36</v>
      </c>
      <c r="K49" s="21" t="s">
        <v>38</v>
      </c>
      <c r="L49" s="21" t="s">
        <v>26</v>
      </c>
      <c r="M49" s="21" t="s">
        <v>39</v>
      </c>
      <c r="N49" s="25"/>
      <c r="O49" s="26"/>
      <c r="P49" s="26"/>
      <c r="Q49" s="1"/>
      <c r="R49" s="1"/>
    </row>
    <row r="50">
      <c r="A50" s="1"/>
      <c r="B50" s="14">
        <v>47.0</v>
      </c>
      <c r="C50" s="15" t="s">
        <v>411</v>
      </c>
      <c r="D50" s="16" t="s">
        <v>23</v>
      </c>
      <c r="E50" s="17"/>
      <c r="F50" s="22">
        <v>46112.0</v>
      </c>
      <c r="G50" s="19"/>
      <c r="H50" s="20">
        <v>290000.0</v>
      </c>
      <c r="I50" s="21" t="s">
        <v>27</v>
      </c>
      <c r="J50" s="21" t="s">
        <v>36</v>
      </c>
      <c r="K50" s="21" t="s">
        <v>38</v>
      </c>
      <c r="L50" s="21" t="s">
        <v>26</v>
      </c>
      <c r="M50" s="21" t="s">
        <v>52</v>
      </c>
      <c r="N50" s="25"/>
      <c r="O50" s="26"/>
      <c r="P50" s="26"/>
      <c r="Q50" s="1"/>
      <c r="R50" s="1"/>
    </row>
    <row r="51">
      <c r="A51" s="1"/>
      <c r="B51" s="14">
        <v>48.0</v>
      </c>
      <c r="C51" s="15" t="s">
        <v>324</v>
      </c>
      <c r="D51" s="16" t="s">
        <v>23</v>
      </c>
      <c r="E51" s="17"/>
      <c r="F51" s="22">
        <v>46112.0</v>
      </c>
      <c r="G51" s="19">
        <v>250000.0</v>
      </c>
      <c r="H51" s="20">
        <v>0.0</v>
      </c>
      <c r="I51" s="21" t="s">
        <v>27</v>
      </c>
      <c r="J51" s="21" t="s">
        <v>36</v>
      </c>
      <c r="K51" s="21" t="s">
        <v>38</v>
      </c>
      <c r="L51" s="21" t="s">
        <v>26</v>
      </c>
      <c r="M51" s="21" t="s">
        <v>39</v>
      </c>
      <c r="N51" s="25"/>
      <c r="O51" s="26"/>
      <c r="P51" s="26"/>
      <c r="Q51" s="1"/>
      <c r="R51" s="1"/>
    </row>
    <row r="52">
      <c r="A52" s="1"/>
      <c r="B52" s="14">
        <v>49.0</v>
      </c>
      <c r="C52" s="15" t="s">
        <v>412</v>
      </c>
      <c r="D52" s="16" t="s">
        <v>23</v>
      </c>
      <c r="E52" s="17"/>
      <c r="F52" s="22">
        <v>46112.0</v>
      </c>
      <c r="G52" s="19"/>
      <c r="H52" s="20">
        <v>290000.0</v>
      </c>
      <c r="I52" s="21" t="s">
        <v>27</v>
      </c>
      <c r="J52" s="21" t="s">
        <v>36</v>
      </c>
      <c r="K52" s="21" t="s">
        <v>38</v>
      </c>
      <c r="L52" s="21" t="s">
        <v>26</v>
      </c>
      <c r="M52" s="21" t="s">
        <v>39</v>
      </c>
      <c r="N52" s="25"/>
      <c r="O52" s="26"/>
      <c r="P52" s="26"/>
      <c r="Q52" s="1"/>
      <c r="R52" s="1"/>
    </row>
    <row r="53">
      <c r="A53" s="1"/>
      <c r="B53" s="14">
        <v>50.0</v>
      </c>
      <c r="C53" s="15" t="s">
        <v>413</v>
      </c>
      <c r="D53" s="16" t="s">
        <v>43</v>
      </c>
      <c r="E53" s="17"/>
      <c r="F53" s="22">
        <v>46113.0</v>
      </c>
      <c r="G53" s="19"/>
      <c r="H53" s="20">
        <v>100000.0</v>
      </c>
      <c r="I53" s="21" t="s">
        <v>24</v>
      </c>
      <c r="J53" s="21"/>
      <c r="K53" s="21"/>
      <c r="L53" s="21" t="s">
        <v>29</v>
      </c>
      <c r="M53" s="21"/>
      <c r="N53" s="25"/>
      <c r="O53" s="26"/>
      <c r="P53" s="26"/>
      <c r="Q53" s="1"/>
      <c r="R53" s="1"/>
    </row>
    <row r="54">
      <c r="A54" s="1"/>
      <c r="B54" s="14">
        <v>51.0</v>
      </c>
      <c r="C54" s="15" t="s">
        <v>414</v>
      </c>
      <c r="D54" s="16" t="s">
        <v>99</v>
      </c>
      <c r="E54" s="17"/>
      <c r="F54" s="22">
        <v>46112.0</v>
      </c>
      <c r="G54" s="19">
        <v>0.0</v>
      </c>
      <c r="H54" s="20">
        <v>0.0</v>
      </c>
      <c r="I54" s="21" t="s">
        <v>27</v>
      </c>
      <c r="J54" s="21" t="s">
        <v>36</v>
      </c>
      <c r="K54" s="21"/>
      <c r="L54" s="21" t="s">
        <v>415</v>
      </c>
      <c r="M54" s="21" t="s">
        <v>52</v>
      </c>
      <c r="N54" s="25"/>
      <c r="O54" s="26"/>
      <c r="P54" s="26"/>
      <c r="Q54" s="1"/>
      <c r="R54" s="1"/>
    </row>
    <row r="55">
      <c r="A55" s="1"/>
      <c r="B55" s="14">
        <v>52.0</v>
      </c>
      <c r="C55" s="15" t="s">
        <v>416</v>
      </c>
      <c r="D55" s="16" t="s">
        <v>20</v>
      </c>
      <c r="E55" s="17"/>
      <c r="F55" s="22">
        <v>46112.0</v>
      </c>
      <c r="G55" s="19"/>
      <c r="H55" s="20">
        <v>625000.0</v>
      </c>
      <c r="I55" s="21" t="s">
        <v>27</v>
      </c>
      <c r="J55" s="21" t="s">
        <v>36</v>
      </c>
      <c r="K55" s="21" t="s">
        <v>38</v>
      </c>
      <c r="L55" s="21" t="s">
        <v>26</v>
      </c>
      <c r="M55" s="21" t="s">
        <v>52</v>
      </c>
      <c r="N55" s="25"/>
      <c r="O55" s="26"/>
      <c r="P55" s="26"/>
      <c r="Q55" s="1"/>
      <c r="R55" s="1"/>
    </row>
    <row r="56">
      <c r="A56" s="1"/>
      <c r="B56" s="14">
        <v>53.0</v>
      </c>
      <c r="C56" s="15" t="s">
        <v>285</v>
      </c>
      <c r="D56" s="16" t="s">
        <v>20</v>
      </c>
      <c r="E56" s="17"/>
      <c r="F56" s="22">
        <v>46112.0</v>
      </c>
      <c r="G56" s="19"/>
      <c r="H56" s="20">
        <v>100000.0</v>
      </c>
      <c r="I56" s="21" t="s">
        <v>24</v>
      </c>
      <c r="J56" s="21"/>
      <c r="K56" s="21"/>
      <c r="L56" s="21" t="s">
        <v>26</v>
      </c>
      <c r="M56" s="21"/>
      <c r="N56" s="25"/>
      <c r="O56" s="26"/>
      <c r="P56" s="26"/>
      <c r="Q56" s="1"/>
      <c r="R56" s="1"/>
    </row>
    <row r="57">
      <c r="A57" s="1"/>
      <c r="B57" s="14">
        <v>54.0</v>
      </c>
      <c r="C57" s="15" t="s">
        <v>417</v>
      </c>
      <c r="D57" s="16" t="s">
        <v>23</v>
      </c>
      <c r="E57" s="17"/>
      <c r="F57" s="22">
        <v>46112.0</v>
      </c>
      <c r="G57" s="19"/>
      <c r="H57" s="20">
        <v>300000.0</v>
      </c>
      <c r="I57" s="21" t="s">
        <v>27</v>
      </c>
      <c r="J57" s="21" t="s">
        <v>36</v>
      </c>
      <c r="K57" s="21" t="s">
        <v>38</v>
      </c>
      <c r="L57" s="21" t="s">
        <v>29</v>
      </c>
      <c r="M57" s="21" t="s">
        <v>39</v>
      </c>
      <c r="N57" s="25"/>
      <c r="O57" s="26"/>
      <c r="P57" s="26"/>
      <c r="Q57" s="1"/>
      <c r="R57" s="1"/>
    </row>
    <row r="58">
      <c r="A58" s="1"/>
      <c r="B58" s="14">
        <v>55.0</v>
      </c>
      <c r="C58" s="89" t="s">
        <v>418</v>
      </c>
      <c r="D58" s="90" t="s">
        <v>23</v>
      </c>
      <c r="E58" s="91"/>
      <c r="F58" s="92">
        <v>46112.0</v>
      </c>
      <c r="G58" s="93"/>
      <c r="H58" s="94">
        <v>310000.0</v>
      </c>
      <c r="I58" s="95" t="s">
        <v>27</v>
      </c>
      <c r="J58" s="95" t="s">
        <v>36</v>
      </c>
      <c r="K58" s="95" t="s">
        <v>38</v>
      </c>
      <c r="L58" s="95" t="s">
        <v>419</v>
      </c>
      <c r="M58" s="95" t="s">
        <v>52</v>
      </c>
      <c r="N58" s="96"/>
      <c r="O58" s="97"/>
      <c r="P58" s="97"/>
      <c r="Q58" s="1"/>
      <c r="R58" s="1"/>
    </row>
    <row r="59">
      <c r="A59" s="1"/>
      <c r="B59" s="14">
        <v>56.0</v>
      </c>
      <c r="C59" s="89" t="s">
        <v>420</v>
      </c>
      <c r="D59" s="90" t="s">
        <v>23</v>
      </c>
      <c r="E59" s="91"/>
      <c r="F59" s="92">
        <v>46112.0</v>
      </c>
      <c r="G59" s="93"/>
      <c r="H59" s="94">
        <v>250000.0</v>
      </c>
      <c r="I59" s="95" t="s">
        <v>27</v>
      </c>
      <c r="J59" s="95" t="s">
        <v>36</v>
      </c>
      <c r="K59" s="95" t="s">
        <v>38</v>
      </c>
      <c r="L59" s="95" t="s">
        <v>419</v>
      </c>
      <c r="M59" s="95" t="s">
        <v>52</v>
      </c>
      <c r="N59" s="96"/>
      <c r="O59" s="97"/>
      <c r="P59" s="97"/>
      <c r="Q59" s="1"/>
      <c r="R59" s="1"/>
    </row>
    <row r="60">
      <c r="A60" s="1"/>
      <c r="B60" s="14">
        <v>57.0</v>
      </c>
      <c r="C60" s="89" t="s">
        <v>421</v>
      </c>
      <c r="D60" s="90" t="s">
        <v>23</v>
      </c>
      <c r="E60" s="91"/>
      <c r="F60" s="92">
        <v>46112.0</v>
      </c>
      <c r="G60" s="93">
        <v>410000.0</v>
      </c>
      <c r="H60" s="98"/>
      <c r="I60" s="95" t="s">
        <v>27</v>
      </c>
      <c r="J60" s="95" t="s">
        <v>36</v>
      </c>
      <c r="K60" s="95" t="s">
        <v>38</v>
      </c>
      <c r="L60" s="95" t="s">
        <v>419</v>
      </c>
      <c r="M60" s="95" t="s">
        <v>387</v>
      </c>
      <c r="N60" s="96"/>
      <c r="O60" s="97"/>
      <c r="P60" s="97"/>
      <c r="Q60" s="1"/>
      <c r="R60" s="1"/>
    </row>
    <row r="61">
      <c r="A61" s="1"/>
      <c r="B61" s="14">
        <v>58.0</v>
      </c>
      <c r="C61" s="89" t="s">
        <v>422</v>
      </c>
      <c r="D61" s="90" t="s">
        <v>23</v>
      </c>
      <c r="E61" s="91"/>
      <c r="F61" s="92">
        <v>46112.0</v>
      </c>
      <c r="G61" s="93">
        <v>120000.0</v>
      </c>
      <c r="H61" s="98"/>
      <c r="I61" s="95" t="s">
        <v>27</v>
      </c>
      <c r="J61" s="95" t="s">
        <v>38</v>
      </c>
      <c r="K61" s="95" t="s">
        <v>38</v>
      </c>
      <c r="L61" s="95" t="s">
        <v>419</v>
      </c>
      <c r="M61" s="95" t="s">
        <v>52</v>
      </c>
      <c r="N61" s="96"/>
      <c r="O61" s="97"/>
      <c r="P61" s="97"/>
      <c r="Q61" s="1"/>
      <c r="R61" s="1"/>
    </row>
    <row r="62">
      <c r="A62" s="1"/>
      <c r="B62" s="14">
        <v>59.0</v>
      </c>
      <c r="C62" s="89" t="s">
        <v>423</v>
      </c>
      <c r="D62" s="90" t="s">
        <v>23</v>
      </c>
      <c r="E62" s="91"/>
      <c r="F62" s="92">
        <v>46112.0</v>
      </c>
      <c r="G62" s="93">
        <v>290000.0</v>
      </c>
      <c r="H62" s="98"/>
      <c r="I62" s="95" t="s">
        <v>27</v>
      </c>
      <c r="J62" s="95" t="s">
        <v>38</v>
      </c>
      <c r="K62" s="95" t="s">
        <v>38</v>
      </c>
      <c r="L62" s="95" t="s">
        <v>419</v>
      </c>
      <c r="M62" s="95" t="s">
        <v>52</v>
      </c>
      <c r="N62" s="96"/>
      <c r="O62" s="97"/>
      <c r="P62" s="97"/>
      <c r="Q62" s="1"/>
      <c r="R62" s="1"/>
    </row>
    <row r="63">
      <c r="A63" s="1"/>
      <c r="B63" s="14">
        <v>60.0</v>
      </c>
      <c r="C63" s="89" t="s">
        <v>424</v>
      </c>
      <c r="D63" s="90" t="s">
        <v>23</v>
      </c>
      <c r="E63" s="91"/>
      <c r="F63" s="92">
        <v>46112.0</v>
      </c>
      <c r="G63" s="93">
        <v>250000.0</v>
      </c>
      <c r="H63" s="98"/>
      <c r="I63" s="95" t="s">
        <v>27</v>
      </c>
      <c r="J63" s="95" t="s">
        <v>36</v>
      </c>
      <c r="K63" s="95" t="s">
        <v>38</v>
      </c>
      <c r="L63" s="95" t="s">
        <v>419</v>
      </c>
      <c r="M63" s="95" t="s">
        <v>374</v>
      </c>
      <c r="N63" s="96"/>
      <c r="O63" s="97"/>
      <c r="P63" s="97"/>
      <c r="Q63" s="1"/>
      <c r="R63" s="1"/>
    </row>
    <row r="64">
      <c r="A64" s="1"/>
      <c r="B64" s="14">
        <v>61.0</v>
      </c>
      <c r="C64" s="89" t="s">
        <v>425</v>
      </c>
      <c r="D64" s="90" t="s">
        <v>23</v>
      </c>
      <c r="E64" s="91"/>
      <c r="F64" s="92">
        <v>46112.0</v>
      </c>
      <c r="G64" s="99"/>
      <c r="H64" s="94">
        <v>250000.0</v>
      </c>
      <c r="I64" s="95" t="s">
        <v>27</v>
      </c>
      <c r="J64" s="95" t="s">
        <v>36</v>
      </c>
      <c r="K64" s="95" t="s">
        <v>38</v>
      </c>
      <c r="L64" s="95" t="s">
        <v>419</v>
      </c>
      <c r="M64" s="95" t="s">
        <v>368</v>
      </c>
      <c r="N64" s="96"/>
      <c r="O64" s="97"/>
      <c r="P64" s="97"/>
      <c r="Q64" s="1"/>
      <c r="R64" s="1"/>
    </row>
    <row r="65">
      <c r="A65" s="1"/>
      <c r="B65" s="14">
        <v>62.0</v>
      </c>
      <c r="C65" s="89" t="s">
        <v>426</v>
      </c>
      <c r="D65" s="90" t="s">
        <v>99</v>
      </c>
      <c r="E65" s="91"/>
      <c r="F65" s="92">
        <v>46112.0</v>
      </c>
      <c r="G65" s="93"/>
      <c r="H65" s="94">
        <v>0.0</v>
      </c>
      <c r="I65" s="95" t="s">
        <v>27</v>
      </c>
      <c r="J65" s="95" t="s">
        <v>36</v>
      </c>
      <c r="K65" s="95" t="s">
        <v>38</v>
      </c>
      <c r="L65" s="95" t="s">
        <v>419</v>
      </c>
      <c r="M65" s="95" t="s">
        <v>368</v>
      </c>
      <c r="N65" s="96"/>
      <c r="O65" s="97"/>
      <c r="P65" s="97"/>
      <c r="Q65" s="1"/>
      <c r="R65" s="1"/>
    </row>
    <row r="66">
      <c r="A66" s="1"/>
      <c r="B66" s="14">
        <v>63.0</v>
      </c>
      <c r="C66" s="89" t="s">
        <v>427</v>
      </c>
      <c r="D66" s="90" t="s">
        <v>23</v>
      </c>
      <c r="E66" s="91"/>
      <c r="F66" s="92">
        <v>46112.0</v>
      </c>
      <c r="G66" s="93">
        <v>200000.0</v>
      </c>
      <c r="H66" s="98"/>
      <c r="I66" s="95" t="s">
        <v>27</v>
      </c>
      <c r="J66" s="95" t="s">
        <v>36</v>
      </c>
      <c r="K66" s="95" t="s">
        <v>38</v>
      </c>
      <c r="L66" s="95" t="s">
        <v>419</v>
      </c>
      <c r="M66" s="95" t="s">
        <v>374</v>
      </c>
      <c r="N66" s="96"/>
      <c r="O66" s="97"/>
      <c r="P66" s="97"/>
      <c r="Q66" s="1"/>
      <c r="R66" s="1"/>
    </row>
    <row r="67">
      <c r="A67" s="1"/>
      <c r="B67" s="1"/>
      <c r="C67" s="2"/>
      <c r="D67" s="2"/>
      <c r="E67" s="1"/>
      <c r="F67" s="1"/>
      <c r="G67" s="36">
        <f t="shared" ref="G67:H67" si="1">SUM(G4:G66)</f>
        <v>6640000</v>
      </c>
      <c r="H67" s="37">
        <f t="shared" si="1"/>
        <v>8825000</v>
      </c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8.75" customHeight="1">
      <c r="A68" s="1"/>
      <c r="Q68" s="1"/>
      <c r="R68" s="1"/>
    </row>
    <row r="69" ht="23.25" customHeight="1">
      <c r="A69" s="1"/>
      <c r="B69" s="1"/>
      <c r="C69" s="2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38" t="s">
        <v>0</v>
      </c>
      <c r="C71" s="39" t="s">
        <v>6</v>
      </c>
      <c r="D71" s="39" t="s">
        <v>72</v>
      </c>
      <c r="E71" s="40"/>
      <c r="F71" s="1"/>
      <c r="G71" s="1"/>
      <c r="H71" s="1"/>
      <c r="I71" s="1"/>
      <c r="J71" s="1"/>
      <c r="K71" s="1"/>
      <c r="L71" s="1"/>
      <c r="M71" s="1"/>
      <c r="N71" s="39" t="s">
        <v>73</v>
      </c>
      <c r="O71" s="39" t="s">
        <v>1</v>
      </c>
      <c r="P71" s="1"/>
      <c r="Q71" s="1"/>
      <c r="R71" s="1"/>
    </row>
    <row r="72">
      <c r="A72" s="1"/>
      <c r="B72" s="41">
        <v>1.0</v>
      </c>
      <c r="C72" s="42" t="s">
        <v>74</v>
      </c>
      <c r="D72" s="43">
        <f>SUM(G67)</f>
        <v>6640000</v>
      </c>
      <c r="E72" s="44"/>
      <c r="F72" s="1"/>
      <c r="G72" s="1"/>
      <c r="H72" s="1"/>
      <c r="I72" s="1"/>
      <c r="J72" s="1"/>
      <c r="K72" s="1"/>
      <c r="L72" s="1"/>
      <c r="M72" s="1"/>
      <c r="N72" s="45" t="s">
        <v>75</v>
      </c>
      <c r="O72" s="23"/>
      <c r="P72" s="1"/>
      <c r="Q72" s="1"/>
      <c r="R72" s="1"/>
    </row>
    <row r="73">
      <c r="A73" s="1"/>
      <c r="B73" s="46">
        <v>2.0</v>
      </c>
      <c r="C73" s="47" t="s">
        <v>428</v>
      </c>
      <c r="D73" s="48">
        <v>-55000.0</v>
      </c>
      <c r="E73" s="49"/>
      <c r="F73" s="1"/>
      <c r="G73" s="63">
        <f>SUM(G58:G66)</f>
        <v>1270000</v>
      </c>
      <c r="H73" s="1"/>
      <c r="I73" s="1"/>
      <c r="J73" s="1"/>
      <c r="K73" s="1"/>
      <c r="L73" s="1"/>
      <c r="M73" s="1"/>
      <c r="N73" s="50" t="s">
        <v>77</v>
      </c>
      <c r="O73" s="51"/>
      <c r="P73" s="1"/>
      <c r="Q73" s="1"/>
      <c r="R73" s="1"/>
    </row>
    <row r="74">
      <c r="A74" s="1"/>
      <c r="B74" s="41">
        <v>3.0</v>
      </c>
      <c r="C74" s="42" t="s">
        <v>429</v>
      </c>
      <c r="D74" s="52">
        <v>-205000.0</v>
      </c>
      <c r="E74" s="49"/>
      <c r="F74" s="1"/>
      <c r="G74" s="63">
        <f>sum(G4:G55)</f>
        <v>5370000</v>
      </c>
      <c r="H74" s="1"/>
      <c r="I74" s="1"/>
      <c r="J74" s="1"/>
      <c r="K74" s="1"/>
      <c r="L74" s="1"/>
      <c r="M74" s="1"/>
      <c r="N74" s="53" t="s">
        <v>79</v>
      </c>
      <c r="O74" s="25"/>
      <c r="P74" s="1"/>
      <c r="Q74" s="1"/>
      <c r="R74" s="1"/>
    </row>
    <row r="75">
      <c r="A75" s="1"/>
      <c r="B75" s="46">
        <v>4.0</v>
      </c>
      <c r="C75" s="47" t="s">
        <v>430</v>
      </c>
      <c r="D75" s="48">
        <v>-100000.0</v>
      </c>
      <c r="E75" s="49"/>
      <c r="F75" s="1"/>
      <c r="G75" s="1"/>
      <c r="H75" s="1"/>
      <c r="I75" s="1"/>
      <c r="J75" s="1"/>
      <c r="K75" s="1"/>
      <c r="L75" s="1"/>
      <c r="M75" s="1"/>
      <c r="N75" s="54" t="s">
        <v>80</v>
      </c>
      <c r="O75" s="51"/>
      <c r="P75" s="1"/>
      <c r="Q75" s="1"/>
      <c r="R75" s="1"/>
    </row>
    <row r="76">
      <c r="A76" s="1"/>
      <c r="B76" s="41"/>
      <c r="C76" s="42" t="s">
        <v>431</v>
      </c>
      <c r="D76" s="52">
        <v>-60000.0</v>
      </c>
      <c r="E76" s="44"/>
      <c r="F76" s="1"/>
      <c r="G76" s="1"/>
      <c r="H76" s="1"/>
      <c r="I76" s="1"/>
      <c r="J76" s="1"/>
      <c r="K76" s="1"/>
      <c r="L76" s="1"/>
      <c r="M76" s="1"/>
      <c r="N76" s="56"/>
      <c r="O76" s="1"/>
      <c r="P76" s="1"/>
      <c r="Q76" s="1"/>
      <c r="R76" s="1"/>
    </row>
    <row r="77">
      <c r="A77" s="1"/>
      <c r="B77" s="46"/>
      <c r="C77" s="57"/>
      <c r="D77" s="58"/>
      <c r="E77" s="44"/>
      <c r="F77" s="1"/>
      <c r="G77" s="1"/>
      <c r="H77" s="1"/>
      <c r="I77" s="1"/>
      <c r="J77" s="1"/>
      <c r="K77" s="1"/>
      <c r="L77" s="1"/>
      <c r="M77" s="1"/>
      <c r="N77" s="40" t="s">
        <v>432</v>
      </c>
      <c r="O77" s="1"/>
      <c r="P77" s="1"/>
      <c r="Q77" s="1"/>
      <c r="R77" s="1"/>
    </row>
    <row r="78">
      <c r="A78" s="1"/>
      <c r="B78" s="41"/>
      <c r="C78" s="55"/>
      <c r="D78" s="43"/>
      <c r="E78" s="44"/>
      <c r="F78" s="63">
        <f>sum(D73:D75)</f>
        <v>-360000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46"/>
      <c r="C79" s="57"/>
      <c r="D79" s="58"/>
      <c r="E79" s="4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41"/>
      <c r="C80" s="55"/>
      <c r="D80" s="43"/>
      <c r="E80" s="4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46"/>
      <c r="C81" s="57"/>
      <c r="D81" s="58"/>
      <c r="E81" s="4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59"/>
      <c r="C82" s="60"/>
      <c r="D82" s="61"/>
      <c r="E82" s="4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62">
        <f>SUM(D72:D82)</f>
        <v>6220000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66 O74:O75">
      <formula1>"-,VERO,FADEL,PENTIL,FAHME,ADIF,HANIF,ABROR"</formula1>
    </dataValidation>
    <dataValidation type="list" allowBlank="1" showErrorMessage="1" sqref="N4:N66">
      <formula1>"-,Pending,Progress,Uploaded"</formula1>
    </dataValidation>
    <dataValidation type="list" allowBlank="1" showErrorMessage="1" sqref="O4:O66">
      <formula1>"-,In Pikako,In Foxe"</formula1>
    </dataValidation>
    <dataValidation type="list" allowBlank="1" showDropDown="1" showErrorMessage="1" sqref="D4:D66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L4:L66 O72:O73">
      <formula1>"-,JIJANG,AXEL,PENTIL,FAHME,INDAH,ADDEL"</formula1>
    </dataValidation>
    <dataValidation type="list" allowBlank="1" showDropDown="1" showErrorMessage="1" sqref="I4:I66">
      <formula1>"-,DP,Lunas"</formula1>
    </dataValidation>
    <dataValidation type="list" allowBlank="1" showDropDown="1" showErrorMessage="1" sqref="J4:K66">
      <formula1>"-,Pending,Uploaded"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/>
      <c r="D4" s="16"/>
      <c r="E4" s="17"/>
      <c r="F4" s="18">
        <v>45231.0</v>
      </c>
      <c r="G4" s="19"/>
      <c r="H4" s="20"/>
      <c r="I4" s="21"/>
      <c r="J4" s="21"/>
      <c r="K4" s="21"/>
      <c r="L4" s="21"/>
      <c r="M4" s="21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/>
      <c r="D5" s="16"/>
      <c r="E5" s="17"/>
      <c r="F5" s="18"/>
      <c r="G5" s="19"/>
      <c r="H5" s="20"/>
      <c r="I5" s="21"/>
      <c r="J5" s="21"/>
      <c r="K5" s="21"/>
      <c r="L5" s="21"/>
      <c r="M5" s="21"/>
      <c r="N5" s="25"/>
      <c r="O5" s="25"/>
      <c r="P5" s="26"/>
      <c r="Q5" s="1"/>
      <c r="R5" s="1"/>
    </row>
    <row r="6">
      <c r="A6" s="1"/>
      <c r="B6" s="14">
        <v>3.0</v>
      </c>
      <c r="C6" s="15"/>
      <c r="D6" s="16"/>
      <c r="E6" s="17"/>
      <c r="F6" s="32"/>
      <c r="G6" s="27"/>
      <c r="H6" s="20"/>
      <c r="I6" s="21"/>
      <c r="J6" s="21"/>
      <c r="K6" s="21"/>
      <c r="L6" s="28"/>
      <c r="M6" s="28"/>
      <c r="N6" s="25"/>
      <c r="O6" s="25"/>
      <c r="P6" s="26"/>
      <c r="Q6" s="1"/>
      <c r="R6" s="1"/>
    </row>
    <row r="7">
      <c r="A7" s="1"/>
      <c r="B7" s="14">
        <v>4.0</v>
      </c>
      <c r="C7" s="15"/>
      <c r="D7" s="16"/>
      <c r="E7" s="17"/>
      <c r="F7" s="32"/>
      <c r="G7" s="19"/>
      <c r="H7" s="33"/>
      <c r="I7" s="21"/>
      <c r="J7" s="21"/>
      <c r="K7" s="21"/>
      <c r="L7" s="28"/>
      <c r="M7" s="28"/>
      <c r="N7" s="25"/>
      <c r="O7" s="25"/>
      <c r="P7" s="26"/>
      <c r="Q7" s="1"/>
      <c r="R7" s="1"/>
    </row>
    <row r="8">
      <c r="A8" s="1"/>
      <c r="B8" s="14">
        <v>5.0</v>
      </c>
      <c r="C8" s="15"/>
      <c r="D8" s="16"/>
      <c r="E8" s="17"/>
      <c r="F8" s="32"/>
      <c r="G8" s="19"/>
      <c r="H8" s="33"/>
      <c r="I8" s="21"/>
      <c r="J8" s="21"/>
      <c r="K8" s="21"/>
      <c r="L8" s="28"/>
      <c r="M8" s="28"/>
      <c r="N8" s="25"/>
      <c r="O8" s="26"/>
      <c r="P8" s="26"/>
      <c r="Q8" s="1"/>
      <c r="R8" s="1"/>
    </row>
    <row r="9">
      <c r="A9" s="1"/>
      <c r="B9" s="14">
        <v>6.0</v>
      </c>
      <c r="C9" s="15"/>
      <c r="D9" s="16"/>
      <c r="E9" s="17"/>
      <c r="F9" s="32"/>
      <c r="G9" s="19"/>
      <c r="H9" s="33"/>
      <c r="I9" s="21"/>
      <c r="J9" s="21"/>
      <c r="K9" s="21"/>
      <c r="L9" s="28"/>
      <c r="M9" s="28"/>
      <c r="N9" s="25"/>
      <c r="O9" s="26"/>
      <c r="P9" s="26"/>
      <c r="Q9" s="1"/>
      <c r="R9" s="1"/>
    </row>
    <row r="10">
      <c r="A10" s="1"/>
      <c r="B10" s="14">
        <v>7.0</v>
      </c>
      <c r="C10" s="15"/>
      <c r="D10" s="16"/>
      <c r="E10" s="17"/>
      <c r="F10" s="32"/>
      <c r="G10" s="19"/>
      <c r="H10" s="33"/>
      <c r="I10" s="21"/>
      <c r="J10" s="21"/>
      <c r="K10" s="21"/>
      <c r="L10" s="28"/>
      <c r="M10" s="28"/>
      <c r="N10" s="25"/>
      <c r="O10" s="26"/>
      <c r="P10" s="26"/>
      <c r="Q10" s="1"/>
      <c r="R10" s="1"/>
    </row>
    <row r="11">
      <c r="A11" s="1"/>
      <c r="B11" s="14">
        <v>8.0</v>
      </c>
      <c r="C11" s="15"/>
      <c r="D11" s="16"/>
      <c r="E11" s="17"/>
      <c r="F11" s="32"/>
      <c r="G11" s="19"/>
      <c r="H11" s="33"/>
      <c r="I11" s="21"/>
      <c r="J11" s="21"/>
      <c r="K11" s="21"/>
      <c r="L11" s="28"/>
      <c r="M11" s="28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2"/>
      <c r="G12" s="19"/>
      <c r="H12" s="33"/>
      <c r="I12" s="21"/>
      <c r="J12" s="21"/>
      <c r="K12" s="21"/>
      <c r="L12" s="28"/>
      <c r="M12" s="28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2"/>
      <c r="G13" s="19"/>
      <c r="H13" s="33"/>
      <c r="I13" s="21"/>
      <c r="J13" s="21"/>
      <c r="K13" s="21"/>
      <c r="L13" s="28"/>
      <c r="M13" s="28"/>
      <c r="N13" s="25"/>
      <c r="O13" s="26"/>
      <c r="P13" s="26"/>
      <c r="Q13" s="1"/>
      <c r="R13" s="1"/>
    </row>
    <row r="14">
      <c r="A14" s="1"/>
      <c r="B14" s="32"/>
      <c r="C14" s="15"/>
      <c r="D14" s="16"/>
      <c r="E14" s="17"/>
      <c r="F14" s="32"/>
      <c r="G14" s="19"/>
      <c r="H14" s="33"/>
      <c r="I14" s="21"/>
      <c r="J14" s="21"/>
      <c r="K14" s="21"/>
      <c r="L14" s="28"/>
      <c r="M14" s="28"/>
      <c r="N14" s="25"/>
      <c r="O14" s="26"/>
      <c r="P14" s="26"/>
      <c r="Q14" s="1"/>
      <c r="R14" s="1"/>
    </row>
    <row r="15">
      <c r="A15" s="1"/>
      <c r="B15" s="32"/>
      <c r="C15" s="15"/>
      <c r="D15" s="16"/>
      <c r="E15" s="17"/>
      <c r="F15" s="32"/>
      <c r="G15" s="19"/>
      <c r="H15" s="33"/>
      <c r="I15" s="21"/>
      <c r="J15" s="21"/>
      <c r="K15" s="21"/>
      <c r="L15" s="28"/>
      <c r="M15" s="28"/>
      <c r="N15" s="25"/>
      <c r="O15" s="26"/>
      <c r="P15" s="26"/>
      <c r="Q15" s="1"/>
      <c r="R15" s="1"/>
    </row>
    <row r="16">
      <c r="A16" s="1"/>
      <c r="B16" s="32"/>
      <c r="C16" s="15"/>
      <c r="D16" s="16"/>
      <c r="E16" s="17"/>
      <c r="F16" s="32"/>
      <c r="G16" s="19"/>
      <c r="H16" s="33"/>
      <c r="I16" s="21"/>
      <c r="J16" s="21"/>
      <c r="K16" s="21"/>
      <c r="L16" s="28"/>
      <c r="M16" s="28"/>
      <c r="N16" s="25"/>
      <c r="O16" s="26"/>
      <c r="P16" s="26"/>
      <c r="Q16" s="1"/>
      <c r="R16" s="1"/>
    </row>
    <row r="17">
      <c r="A17" s="1"/>
      <c r="B17" s="32"/>
      <c r="C17" s="15"/>
      <c r="D17" s="16"/>
      <c r="E17" s="17"/>
      <c r="F17" s="32"/>
      <c r="G17" s="19"/>
      <c r="H17" s="33"/>
      <c r="I17" s="21"/>
      <c r="J17" s="21"/>
      <c r="K17" s="21"/>
      <c r="L17" s="28"/>
      <c r="M17" s="28"/>
      <c r="N17" s="25"/>
      <c r="O17" s="26"/>
      <c r="P17" s="26"/>
      <c r="Q17" s="1"/>
      <c r="R17" s="1"/>
    </row>
    <row r="18">
      <c r="A18" s="1"/>
      <c r="B18" s="32"/>
      <c r="C18" s="15"/>
      <c r="D18" s="16"/>
      <c r="E18" s="17"/>
      <c r="F18" s="32"/>
      <c r="G18" s="19"/>
      <c r="H18" s="33"/>
      <c r="I18" s="21"/>
      <c r="J18" s="21"/>
      <c r="K18" s="21"/>
      <c r="L18" s="28"/>
      <c r="M18" s="28"/>
      <c r="N18" s="25"/>
      <c r="O18" s="26"/>
      <c r="P18" s="26"/>
      <c r="Q18" s="1"/>
      <c r="R18" s="1"/>
    </row>
    <row r="19">
      <c r="A19" s="1"/>
      <c r="B19" s="32"/>
      <c r="C19" s="15"/>
      <c r="D19" s="16"/>
      <c r="E19" s="17"/>
      <c r="F19" s="32"/>
      <c r="G19" s="19"/>
      <c r="H19" s="33"/>
      <c r="I19" s="21"/>
      <c r="J19" s="21"/>
      <c r="K19" s="21"/>
      <c r="L19" s="28"/>
      <c r="M19" s="28"/>
      <c r="N19" s="25"/>
      <c r="O19" s="26"/>
      <c r="P19" s="26"/>
      <c r="Q19" s="1"/>
      <c r="R19" s="1"/>
    </row>
    <row r="20">
      <c r="A20" s="1"/>
      <c r="B20" s="32"/>
      <c r="C20" s="15"/>
      <c r="D20" s="16"/>
      <c r="E20" s="17"/>
      <c r="F20" s="32"/>
      <c r="G20" s="19"/>
      <c r="H20" s="33"/>
      <c r="I20" s="21"/>
      <c r="J20" s="21"/>
      <c r="K20" s="21"/>
      <c r="L20" s="28"/>
      <c r="M20" s="28"/>
      <c r="N20" s="25"/>
      <c r="O20" s="26"/>
      <c r="P20" s="26"/>
      <c r="Q20" s="1"/>
      <c r="R20" s="1"/>
    </row>
    <row r="21">
      <c r="A21" s="1"/>
      <c r="B21" s="32"/>
      <c r="C21" s="15"/>
      <c r="D21" s="16"/>
      <c r="E21" s="17"/>
      <c r="F21" s="32"/>
      <c r="G21" s="19"/>
      <c r="H21" s="33"/>
      <c r="I21" s="21"/>
      <c r="J21" s="21"/>
      <c r="K21" s="21"/>
      <c r="L21" s="28"/>
      <c r="M21" s="28"/>
      <c r="N21" s="25"/>
      <c r="O21" s="26"/>
      <c r="P21" s="26"/>
      <c r="Q21" s="1"/>
      <c r="R21" s="1"/>
    </row>
    <row r="22">
      <c r="A22" s="1"/>
      <c r="B22" s="32"/>
      <c r="C22" s="15"/>
      <c r="D22" s="16"/>
      <c r="E22" s="17"/>
      <c r="F22" s="32"/>
      <c r="G22" s="19"/>
      <c r="H22" s="33"/>
      <c r="I22" s="21"/>
      <c r="J22" s="21"/>
      <c r="K22" s="21"/>
      <c r="L22" s="28"/>
      <c r="M22" s="28"/>
      <c r="N22" s="25"/>
      <c r="O22" s="26"/>
      <c r="P22" s="26"/>
      <c r="Q22" s="1"/>
      <c r="R22" s="1"/>
    </row>
    <row r="23">
      <c r="A23" s="1"/>
      <c r="B23" s="32"/>
      <c r="C23" s="15"/>
      <c r="D23" s="16"/>
      <c r="E23" s="17"/>
      <c r="F23" s="32"/>
      <c r="G23" s="27"/>
      <c r="H23" s="20"/>
      <c r="I23" s="21"/>
      <c r="J23" s="21"/>
      <c r="K23" s="21"/>
      <c r="L23" s="28"/>
      <c r="M23" s="28"/>
      <c r="N23" s="25"/>
      <c r="O23" s="26"/>
      <c r="P23" s="26"/>
      <c r="Q23" s="1"/>
      <c r="R23" s="1"/>
    </row>
    <row r="24">
      <c r="A24" s="1"/>
      <c r="B24" s="32"/>
      <c r="C24" s="34"/>
      <c r="D24" s="16"/>
      <c r="E24" s="17"/>
      <c r="F24" s="32"/>
      <c r="G24" s="27"/>
      <c r="H24" s="33"/>
      <c r="I24" s="28"/>
      <c r="J24" s="21"/>
      <c r="K24" s="21"/>
      <c r="L24" s="28"/>
      <c r="M24" s="28"/>
      <c r="N24" s="25"/>
      <c r="O24" s="26"/>
      <c r="P24" s="26"/>
      <c r="Q24" s="1"/>
      <c r="R24" s="1"/>
    </row>
    <row r="25">
      <c r="A25" s="1"/>
      <c r="B25" s="32"/>
      <c r="C25" s="34"/>
      <c r="D25" s="16"/>
      <c r="E25" s="17"/>
      <c r="F25" s="32"/>
      <c r="G25" s="27"/>
      <c r="H25" s="33"/>
      <c r="I25" s="28"/>
      <c r="J25" s="28"/>
      <c r="K25" s="28"/>
      <c r="L25" s="28"/>
      <c r="M25" s="28"/>
      <c r="N25" s="26"/>
      <c r="O25" s="26"/>
      <c r="P25" s="26"/>
      <c r="Q25" s="1"/>
      <c r="R25" s="1"/>
    </row>
    <row r="26">
      <c r="A26" s="1"/>
      <c r="B26" s="32"/>
      <c r="C26" s="34"/>
      <c r="D26" s="16"/>
      <c r="E26" s="17"/>
      <c r="F26" s="32"/>
      <c r="G26" s="27"/>
      <c r="H26" s="33"/>
      <c r="I26" s="28"/>
      <c r="J26" s="28"/>
      <c r="K26" s="28"/>
      <c r="L26" s="28"/>
      <c r="M26" s="28"/>
      <c r="N26" s="26"/>
      <c r="O26" s="26"/>
      <c r="P26" s="26"/>
      <c r="Q26" s="1"/>
      <c r="R26" s="1"/>
    </row>
    <row r="27">
      <c r="A27" s="1"/>
      <c r="B27" s="32"/>
      <c r="C27" s="34"/>
      <c r="D27" s="16"/>
      <c r="E27" s="17"/>
      <c r="F27" s="32"/>
      <c r="G27" s="27"/>
      <c r="H27" s="33"/>
      <c r="I27" s="28"/>
      <c r="J27" s="28"/>
      <c r="K27" s="28"/>
      <c r="L27" s="28"/>
      <c r="M27" s="28"/>
      <c r="N27" s="26"/>
      <c r="O27" s="26"/>
      <c r="P27" s="26"/>
      <c r="Q27" s="1"/>
      <c r="R27" s="1"/>
    </row>
    <row r="28">
      <c r="A28" s="1"/>
      <c r="B28" s="32"/>
      <c r="C28" s="34"/>
      <c r="D28" s="16"/>
      <c r="E28" s="17"/>
      <c r="F28" s="32"/>
      <c r="G28" s="27"/>
      <c r="H28" s="33"/>
      <c r="I28" s="28"/>
      <c r="J28" s="28"/>
      <c r="K28" s="28"/>
      <c r="L28" s="28"/>
      <c r="M28" s="28"/>
      <c r="N28" s="26"/>
      <c r="O28" s="26"/>
      <c r="P28" s="26"/>
      <c r="Q28" s="1"/>
      <c r="R28" s="1"/>
    </row>
    <row r="29">
      <c r="A29" s="1"/>
      <c r="B29" s="32"/>
      <c r="C29" s="34"/>
      <c r="D29" s="16"/>
      <c r="E29" s="17"/>
      <c r="F29" s="32"/>
      <c r="G29" s="27"/>
      <c r="H29" s="33"/>
      <c r="I29" s="28"/>
      <c r="J29" s="28"/>
      <c r="K29" s="28"/>
      <c r="L29" s="28"/>
      <c r="M29" s="28"/>
      <c r="N29" s="26"/>
      <c r="O29" s="26"/>
      <c r="P29" s="26"/>
      <c r="Q29" s="1"/>
      <c r="R29" s="1"/>
    </row>
    <row r="30">
      <c r="A30" s="1"/>
      <c r="B30" s="32"/>
      <c r="C30" s="15"/>
      <c r="D30" s="16"/>
      <c r="E30" s="17"/>
      <c r="F30" s="32"/>
      <c r="G30" s="19"/>
      <c r="H30" s="33"/>
      <c r="I30" s="28"/>
      <c r="J30" s="28"/>
      <c r="K30" s="28"/>
      <c r="L30" s="28"/>
      <c r="M30" s="28"/>
      <c r="N30" s="26"/>
      <c r="O30" s="26"/>
      <c r="P30" s="26"/>
      <c r="Q30" s="1"/>
      <c r="R30" s="1"/>
    </row>
    <row r="31">
      <c r="A31" s="1"/>
      <c r="B31" s="32"/>
      <c r="C31" s="15"/>
      <c r="D31" s="16"/>
      <c r="E31" s="17"/>
      <c r="F31" s="32"/>
      <c r="G31" s="19"/>
      <c r="H31" s="33"/>
      <c r="I31" s="28"/>
      <c r="J31" s="28"/>
      <c r="K31" s="28"/>
      <c r="L31" s="28"/>
      <c r="M31" s="28"/>
      <c r="N31" s="26"/>
      <c r="O31" s="26"/>
      <c r="P31" s="26"/>
      <c r="Q31" s="1"/>
      <c r="R31" s="1"/>
    </row>
    <row r="32">
      <c r="A32" s="1"/>
      <c r="B32" s="32"/>
      <c r="C32" s="34"/>
      <c r="D32" s="16"/>
      <c r="E32" s="17"/>
      <c r="F32" s="32"/>
      <c r="G32" s="27"/>
      <c r="H32" s="33"/>
      <c r="I32" s="28"/>
      <c r="J32" s="28"/>
      <c r="K32" s="28"/>
      <c r="L32" s="28"/>
      <c r="M32" s="28"/>
      <c r="N32" s="26"/>
      <c r="O32" s="26"/>
      <c r="P32" s="26"/>
      <c r="Q32" s="1"/>
      <c r="R32" s="1"/>
    </row>
    <row r="33">
      <c r="A33" s="1"/>
      <c r="B33" s="32"/>
      <c r="C33" s="34"/>
      <c r="D33" s="16"/>
      <c r="E33" s="17"/>
      <c r="F33" s="32"/>
      <c r="G33" s="27"/>
      <c r="H33" s="33"/>
      <c r="I33" s="28"/>
      <c r="J33" s="28"/>
      <c r="K33" s="28"/>
      <c r="L33" s="28"/>
      <c r="M33" s="28"/>
      <c r="N33" s="26"/>
      <c r="O33" s="26"/>
      <c r="P33" s="26"/>
      <c r="Q33" s="1"/>
      <c r="R33" s="1"/>
    </row>
    <row r="34">
      <c r="A34" s="1"/>
      <c r="B34" s="32"/>
      <c r="C34" s="34"/>
      <c r="D34" s="16"/>
      <c r="E34" s="17"/>
      <c r="F34" s="32"/>
      <c r="G34" s="27"/>
      <c r="H34" s="33"/>
      <c r="I34" s="28"/>
      <c r="J34" s="28"/>
      <c r="K34" s="28"/>
      <c r="L34" s="28"/>
      <c r="M34" s="28"/>
      <c r="N34" s="35"/>
      <c r="O34" s="35"/>
      <c r="P34" s="35"/>
      <c r="Q34" s="1"/>
      <c r="R34" s="1"/>
    </row>
    <row r="35" ht="18.75" customHeight="1">
      <c r="A35" s="1"/>
      <c r="B35" s="1"/>
      <c r="C35" s="2"/>
      <c r="D35" s="2"/>
      <c r="E35" s="1"/>
      <c r="F35" s="1"/>
      <c r="G35" s="36">
        <f t="shared" ref="G35:H35" si="1">SUM(G4:G34)</f>
        <v>0</v>
      </c>
      <c r="H35" s="37">
        <f t="shared" si="1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3.2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38" t="s">
        <v>0</v>
      </c>
      <c r="C38" s="39" t="s">
        <v>6</v>
      </c>
      <c r="D38" s="39" t="s">
        <v>72</v>
      </c>
      <c r="E38" s="40"/>
      <c r="F38" s="1"/>
      <c r="G38" s="1"/>
      <c r="H38" s="1"/>
      <c r="I38" s="1"/>
      <c r="J38" s="1"/>
      <c r="K38" s="1"/>
      <c r="L38" s="1"/>
      <c r="M38" s="1"/>
      <c r="N38" s="39" t="s">
        <v>73</v>
      </c>
      <c r="O38" s="39" t="s">
        <v>1</v>
      </c>
      <c r="P38" s="1"/>
      <c r="Q38" s="1"/>
      <c r="R38" s="1"/>
    </row>
    <row r="39">
      <c r="A39" s="1"/>
      <c r="B39" s="41">
        <v>1.0</v>
      </c>
      <c r="C39" s="42" t="s">
        <v>74</v>
      </c>
      <c r="D39" s="43">
        <f>SUM(G35)</f>
        <v>0</v>
      </c>
      <c r="E39" s="44"/>
      <c r="F39" s="1"/>
      <c r="G39" s="1"/>
      <c r="H39" s="1"/>
      <c r="I39" s="1"/>
      <c r="J39" s="1"/>
      <c r="K39" s="1"/>
      <c r="L39" s="1"/>
      <c r="M39" s="1"/>
      <c r="N39" s="45" t="s">
        <v>75</v>
      </c>
      <c r="O39" s="23"/>
      <c r="P39" s="1"/>
      <c r="Q39" s="1"/>
      <c r="R39" s="1"/>
    </row>
    <row r="40">
      <c r="A40" s="1"/>
      <c r="B40" s="46">
        <v>2.0</v>
      </c>
      <c r="C40" s="47"/>
      <c r="D40" s="48"/>
      <c r="E40" s="49"/>
      <c r="F40" s="1"/>
      <c r="G40" s="1"/>
      <c r="H40" s="1"/>
      <c r="I40" s="1"/>
      <c r="J40" s="1"/>
      <c r="K40" s="1"/>
      <c r="L40" s="1"/>
      <c r="M40" s="1"/>
      <c r="N40" s="50" t="s">
        <v>77</v>
      </c>
      <c r="O40" s="51"/>
      <c r="P40" s="1"/>
      <c r="Q40" s="1"/>
      <c r="R40" s="1"/>
    </row>
    <row r="41">
      <c r="A41" s="1"/>
      <c r="B41" s="41">
        <v>3.0</v>
      </c>
      <c r="C41" s="42"/>
      <c r="D41" s="52"/>
      <c r="E41" s="49"/>
      <c r="F41" s="1"/>
      <c r="G41" s="1"/>
      <c r="H41" s="1"/>
      <c r="I41" s="1"/>
      <c r="J41" s="1"/>
      <c r="K41" s="1"/>
      <c r="L41" s="1"/>
      <c r="M41" s="1"/>
      <c r="N41" s="53" t="s">
        <v>79</v>
      </c>
      <c r="O41" s="25"/>
      <c r="P41" s="1"/>
      <c r="Q41" s="1"/>
      <c r="R41" s="1"/>
    </row>
    <row r="42">
      <c r="A42" s="1"/>
      <c r="B42" s="46">
        <v>4.0</v>
      </c>
      <c r="C42" s="47"/>
      <c r="D42" s="48"/>
      <c r="E42" s="49"/>
      <c r="F42" s="1"/>
      <c r="G42" s="1"/>
      <c r="H42" s="1"/>
      <c r="I42" s="1"/>
      <c r="J42" s="1"/>
      <c r="K42" s="1"/>
      <c r="L42" s="1"/>
      <c r="M42" s="1"/>
      <c r="N42" s="54" t="s">
        <v>80</v>
      </c>
      <c r="O42" s="51"/>
      <c r="P42" s="1"/>
      <c r="Q42" s="1"/>
      <c r="R42" s="1"/>
    </row>
    <row r="43">
      <c r="A43" s="1"/>
      <c r="B43" s="41"/>
      <c r="C43" s="55"/>
      <c r="D43" s="43"/>
      <c r="E43" s="44"/>
      <c r="F43" s="1"/>
      <c r="G43" s="1"/>
      <c r="H43" s="1"/>
      <c r="I43" s="1"/>
      <c r="J43" s="1"/>
      <c r="K43" s="1"/>
      <c r="L43" s="1"/>
      <c r="M43" s="1"/>
      <c r="N43" s="56"/>
      <c r="O43" s="1"/>
      <c r="P43" s="1"/>
      <c r="Q43" s="1"/>
      <c r="R43" s="1"/>
    </row>
    <row r="44">
      <c r="A44" s="1"/>
      <c r="B44" s="46"/>
      <c r="C44" s="57"/>
      <c r="D44" s="58"/>
      <c r="E44" s="4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41"/>
      <c r="C45" s="55"/>
      <c r="D45" s="43"/>
      <c r="E45" s="4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46"/>
      <c r="C46" s="57"/>
      <c r="D46" s="58"/>
      <c r="E46" s="4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41"/>
      <c r="C47" s="55"/>
      <c r="D47" s="43"/>
      <c r="E47" s="4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46"/>
      <c r="C48" s="57"/>
      <c r="D48" s="58"/>
      <c r="E48" s="4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59"/>
      <c r="C49" s="60"/>
      <c r="D49" s="61"/>
      <c r="E49" s="4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62">
        <f>SUM(D39:D49)</f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34">
      <formula1>"-,Pending,Progress,Uploaded"</formula1>
    </dataValidation>
    <dataValidation type="list" allowBlank="1" showDropDown="1" showErrorMessage="1" sqref="D4:D34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34">
      <formula1>"-,In Pikako,In Foxe"</formula1>
    </dataValidation>
    <dataValidation type="list" allowBlank="1" showDropDown="1" showErrorMessage="1" sqref="M4:M34 O41:O42">
      <formula1>"-,VERO,FADEL,PENTIL,FAHME"</formula1>
    </dataValidation>
    <dataValidation type="list" allowBlank="1" showDropDown="1" showErrorMessage="1" sqref="L4:L34 O39:O40">
      <formula1>"-,JIJANG,AXEL,PENTIL,FAHME"</formula1>
    </dataValidation>
    <dataValidation type="list" allowBlank="1" showDropDown="1" showErrorMessage="1" sqref="I4:I34">
      <formula1>"-,DP,Lunas"</formula1>
    </dataValidation>
    <dataValidation type="list" allowBlank="1" showDropDown="1" showErrorMessage="1" sqref="J4:K34">
      <formula1>"-,Pending,Uploaded"</formula1>
    </dataValidation>
  </dataValidations>
  <drawing r:id="rId1"/>
</worksheet>
</file>