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V4WqVIanaZMnHwf4aVXzLJdj1cAV8sE9SxI9s/WUN0="/>
    </ext>
  </extLst>
</workbook>
</file>

<file path=xl/sharedStrings.xml><?xml version="1.0" encoding="utf-8"?>
<sst xmlns="http://schemas.openxmlformats.org/spreadsheetml/2006/main" count="1907" uniqueCount="151">
  <si>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</si>
  <si>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</si>
  <si>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</si>
  <si>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</si>
  <si>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</si>
  <si>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</si>
  <si>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</si>
  <si>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</si>
  <si>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</si>
  <si>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</si>
  <si>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</si>
  <si>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</si>
  <si>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</si>
  <si>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</si>
  <si>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</si>
  <si>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</si>
  <si>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</si>
  <si>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</si>
  <si>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</si>
  <si>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</si>
  <si>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</t>
  </si>
  <si>
    <t>Graduation Premium</t>
  </si>
  <si>
    <t>6 okt</t>
  </si>
  <si>
    <t>17 okt</t>
  </si>
  <si>
    <t>DP</t>
  </si>
  <si>
    <t>AMEL</t>
  </si>
  <si>
    <t>Iqis</t>
  </si>
  <si>
    <t>Large Group</t>
  </si>
  <si>
    <t>Rara</t>
  </si>
  <si>
    <t>Photofox</t>
  </si>
  <si>
    <t>1 okt</t>
  </si>
  <si>
    <t>2 okt</t>
  </si>
  <si>
    <t>Lunas</t>
  </si>
  <si>
    <t>Uploaded</t>
  </si>
  <si>
    <t>-</t>
  </si>
  <si>
    <t>ADIF</t>
  </si>
  <si>
    <t>Nadia</t>
  </si>
  <si>
    <t>22 okt</t>
  </si>
  <si>
    <t>Ulfa Nurul</t>
  </si>
  <si>
    <t>Add Edit</t>
  </si>
  <si>
    <t>27 sept</t>
  </si>
  <si>
    <t>Rotho</t>
  </si>
  <si>
    <t>Utia</t>
  </si>
  <si>
    <t>3 okt</t>
  </si>
  <si>
    <t>Uji</t>
  </si>
  <si>
    <t>Liaamalia</t>
  </si>
  <si>
    <t>Bilqis</t>
  </si>
  <si>
    <t>Photo Fox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</si>
  <si>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</si>
  <si>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</si>
  <si>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</si>
  <si>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</si>
  <si>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</si>
  <si>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</si>
  <si>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</si>
  <si>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</si>
  <si>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</si>
  <si>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</si>
  <si>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</si>
  <si>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 xml:space="preserve"> Bilqis</t>
  </si>
  <si>
    <t>Nominal</t>
  </si>
  <si>
    <t>Shift</t>
  </si>
  <si>
    <t>All file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</si>
  <si>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</si>
  <si>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</si>
  <si>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</si>
  <si>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</si>
  <si>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</si>
  <si>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</si>
  <si>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</si>
  <si>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</si>
  <si>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</si>
  <si>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</si>
  <si>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</si>
  <si>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</si>
  <si>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</si>
  <si>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</si>
  <si>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</si>
  <si>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</si>
  <si>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</si>
  <si>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</si>
  <si>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</si>
  <si>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</si>
  <si>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</si>
  <si>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</si>
  <si>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</si>
  <si>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</si>
  <si>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</si>
  <si>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Direct RO</t>
  </si>
  <si>
    <t>Conversion Rate</t>
  </si>
  <si>
    <t>5R</t>
  </si>
  <si>
    <t>INDAH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</si>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</sst>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2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vertical="center"/>
    </xf>
    <xf borderId="2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vertical="center"/>
    </xf>
    <xf borderId="6" fillId="0" fontId="1" numFmtId="0" xfId="0" applyBorder="1" applyFont="1"/>
    <xf borderId="2" fillId="0" fontId="6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6" fillId="0" fontId="6" numFmtId="164" xfId="0" applyAlignment="1" applyBorder="1" applyFont="1" applyNumberFormat="1">
      <alignment horizontal="right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1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164" xfId="0" applyBorder="1" applyFont="1" applyNumberFormat="1"/>
    <xf borderId="2" fillId="0" fontId="2" numFmtId="164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horizontal="center" vertical="bottom"/>
    </xf>
    <xf borderId="9" fillId="0" fontId="7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/>
    </xf>
    <xf borderId="0" fillId="0" fontId="2" numFmtId="0" xfId="0" applyFont="1"/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5" fillId="5" fontId="6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1" numFmtId="167" xfId="0" applyAlignment="1" applyBorder="1" applyFont="1" applyNumberFormat="1">
      <alignment horizont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1" fillId="0" fontId="1" numFmtId="0" xfId="0" applyAlignment="1" applyBorder="1" applyFont="1">
      <alignment horizontal="center" readingOrder="0" vertical="center"/>
    </xf>
    <xf borderId="5" fillId="6" fontId="1" numFmtId="0" xfId="0" applyAlignment="1" applyBorder="1" applyFill="1" applyFont="1">
      <alignment horizontal="left" vertical="center"/>
    </xf>
    <xf borderId="7" fillId="7" fontId="2" numFmtId="0" xfId="0" applyBorder="1" applyFill="1" applyFont="1"/>
    <xf borderId="5" fillId="0" fontId="1" numFmtId="0" xfId="0" applyAlignment="1" applyBorder="1" applyFont="1">
      <alignment horizontal="center" vertical="center"/>
    </xf>
    <xf borderId="7" fillId="7" fontId="2" numFmtId="164" xfId="0" applyAlignment="1" applyBorder="1" applyFill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164" xfId="0" applyAlignment="1" applyFont="1" applyNumberFormat="1">
      <alignment horizontal="center" vertic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14" fontId="1" numFmtId="0" xfId="0" applyFill="1" applyFont="1"/>
    <xf borderId="0" fillId="0" fontId="15" numFmtId="0" xfId="0" applyAlignment="1" applyFont="1">
      <alignment horizontal="left" shrinkToFit="0" vertical="center" wrapText="0"/>
    </xf>
    <xf borderId="0" fillId="14" fontId="2" numFmtId="0" xfId="0" applyAlignment="1" applyFill="1" applyFont="1">
      <alignment vertical="bottom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5" fontId="10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8" fillId="16" fontId="1" numFmtId="0" xfId="0" applyAlignment="1" applyBorder="1" applyFill="1" applyFont="1">
      <alignment horizontal="center" vertical="bottom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0" fillId="11" fontId="10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17" fontId="16" numFmtId="0" xfId="0" applyAlignment="1" applyFill="1" applyFont="1">
      <alignment horizontal="left" shrinkToFit="0" vertical="bottom" wrapText="0"/>
    </xf>
    <xf borderId="0" fillId="18" fontId="17" numFmtId="0" xfId="0" applyAlignment="1" applyFill="1" applyFont="1">
      <alignment shrinkToFit="0" vertical="bottom" wrapText="0"/>
    </xf>
    <xf borderId="0" fillId="17" fontId="18" numFmtId="0" xfId="0" applyAlignment="1" applyFill="1" applyFont="1">
      <alignment horizontal="left" shrinkToFit="0" vertical="center" wrapText="0"/>
    </xf>
    <xf borderId="0" fillId="19" fontId="19" numFmtId="0" xfId="0" applyAlignment="1" applyFill="1" applyFont="1">
      <alignment horizontal="center" shrinkToFit="0" vertical="center" wrapText="1"/>
    </xf>
    <xf borderId="0" fillId="8" fontId="20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21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7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23045617"/>
        <c:axId val="1187979638"/>
      </c:barChart>
      <c:catAx>
        <c:axId val="2230456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87979638"/>
      </c:catAx>
      <c:valAx>
        <c:axId val="11879796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230456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554021676"/>
        <c:axId val="23006628"/>
      </c:lineChart>
      <c:catAx>
        <c:axId val="15540216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3006628"/>
      </c:catAx>
      <c:valAx>
        <c:axId val="2300662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5402167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9" t="s">
        <v>20</v>
      </c>
      <c r="E4" s="20"/>
      <c r="F4" s="22" t="s">
        <v>22</v>
      </c>
      <c r="G4" s="27"/>
      <c r="H4" s="26">
        <v>100000.0</v>
      </c>
      <c r="I4" s="22" t="s">
        <v>24</v>
      </c>
      <c r="J4" s="15"/>
      <c r="K4" s="15"/>
      <c r="L4" s="22" t="s">
        <v>25</v>
      </c>
      <c r="M4" s="15"/>
      <c r="N4" s="32"/>
      <c r="O4" s="32"/>
      <c r="P4" s="34"/>
      <c r="Q4" s="1"/>
      <c r="R4" s="1"/>
    </row>
    <row r="5" ht="15.75" customHeight="1">
      <c r="A5" s="1"/>
      <c r="B5" s="15">
        <v>2.0</v>
      </c>
      <c r="C5" s="17" t="s">
        <v>28</v>
      </c>
      <c r="D5" s="19" t="s">
        <v>29</v>
      </c>
      <c r="E5" s="20"/>
      <c r="F5" s="22" t="s">
        <v>30</v>
      </c>
      <c r="G5" s="37">
        <v>125000.0</v>
      </c>
      <c r="H5" s="28"/>
      <c r="I5" s="22" t="s">
        <v>32</v>
      </c>
      <c r="J5" s="22" t="s">
        <v>33</v>
      </c>
      <c r="K5" s="22" t="s">
        <v>34</v>
      </c>
      <c r="L5" s="22" t="s">
        <v>25</v>
      </c>
      <c r="M5" s="22" t="s">
        <v>35</v>
      </c>
      <c r="N5" s="40"/>
      <c r="O5" s="40"/>
      <c r="P5" s="40"/>
      <c r="Q5" s="1"/>
      <c r="R5" s="1"/>
    </row>
    <row r="6" ht="15.75" customHeight="1">
      <c r="A6" s="1"/>
      <c r="B6" s="15">
        <v>3.0</v>
      </c>
      <c r="C6" s="17" t="s">
        <v>36</v>
      </c>
      <c r="D6" s="19" t="s">
        <v>20</v>
      </c>
      <c r="E6" s="20"/>
      <c r="F6" s="22" t="s">
        <v>37</v>
      </c>
      <c r="G6" s="41"/>
      <c r="H6" s="26">
        <v>100000.0</v>
      </c>
      <c r="I6" s="22" t="s">
        <v>24</v>
      </c>
      <c r="J6" s="15"/>
      <c r="K6" s="15"/>
      <c r="L6" s="22" t="s">
        <v>25</v>
      </c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7" t="s">
        <v>41</v>
      </c>
      <c r="D7" s="19" t="s">
        <v>27</v>
      </c>
      <c r="E7" s="20"/>
      <c r="F7" s="22" t="s">
        <v>30</v>
      </c>
      <c r="G7" s="41"/>
      <c r="H7" s="43">
        <v>200000.0</v>
      </c>
      <c r="I7" s="22" t="s">
        <v>32</v>
      </c>
      <c r="J7" s="22" t="s">
        <v>33</v>
      </c>
      <c r="K7" s="22" t="s">
        <v>33</v>
      </c>
      <c r="L7" s="22" t="s">
        <v>25</v>
      </c>
      <c r="M7" s="22" t="s">
        <v>35</v>
      </c>
      <c r="N7" s="40"/>
      <c r="O7" s="40"/>
      <c r="P7" s="40"/>
      <c r="Q7" s="1"/>
      <c r="R7" s="1"/>
    </row>
    <row r="8" ht="15.75" customHeight="1">
      <c r="A8" s="1"/>
      <c r="B8" s="15">
        <v>5.0</v>
      </c>
      <c r="C8" s="17" t="s">
        <v>44</v>
      </c>
      <c r="D8" s="19" t="s">
        <v>20</v>
      </c>
      <c r="E8" s="20"/>
      <c r="F8" s="22" t="s">
        <v>43</v>
      </c>
      <c r="G8" s="27"/>
      <c r="H8" s="26">
        <v>100000.0</v>
      </c>
      <c r="I8" s="22" t="s">
        <v>24</v>
      </c>
      <c r="J8" s="15"/>
      <c r="K8" s="15"/>
      <c r="L8" s="22" t="s">
        <v>25</v>
      </c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45" t="s">
        <v>45</v>
      </c>
      <c r="D9" s="19" t="s">
        <v>48</v>
      </c>
      <c r="E9" s="48"/>
      <c r="F9" s="22" t="s">
        <v>30</v>
      </c>
      <c r="G9" s="41"/>
      <c r="H9" s="43">
        <v>450000.0</v>
      </c>
      <c r="I9" s="22" t="s">
        <v>32</v>
      </c>
      <c r="J9" s="15"/>
      <c r="K9" s="15"/>
      <c r="L9" s="22" t="s">
        <v>25</v>
      </c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7" t="s">
        <v>49</v>
      </c>
      <c r="D10" s="19" t="s">
        <v>27</v>
      </c>
      <c r="E10" s="48"/>
      <c r="F10" s="22" t="s">
        <v>30</v>
      </c>
      <c r="G10" s="41"/>
      <c r="H10" s="43">
        <v>100000.0</v>
      </c>
      <c r="I10" s="22" t="s">
        <v>32</v>
      </c>
      <c r="J10" s="22" t="s">
        <v>33</v>
      </c>
      <c r="K10" s="22" t="s">
        <v>50</v>
      </c>
      <c r="L10" s="22" t="s">
        <v>25</v>
      </c>
      <c r="M10" s="22" t="s">
        <v>35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7" t="s">
        <v>51</v>
      </c>
      <c r="D11" s="19" t="s">
        <v>52</v>
      </c>
      <c r="E11" s="48"/>
      <c r="F11" s="22" t="s">
        <v>30</v>
      </c>
      <c r="G11" s="37">
        <v>150000.0</v>
      </c>
      <c r="H11" s="28"/>
      <c r="I11" s="22" t="s">
        <v>32</v>
      </c>
      <c r="J11" s="22" t="s">
        <v>33</v>
      </c>
      <c r="K11" s="22" t="s">
        <v>33</v>
      </c>
      <c r="L11" s="22" t="s">
        <v>25</v>
      </c>
      <c r="M11" s="22" t="s">
        <v>35</v>
      </c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45" t="s">
        <v>53</v>
      </c>
      <c r="D12" s="19" t="s">
        <v>54</v>
      </c>
      <c r="E12" s="48"/>
      <c r="F12" s="22" t="s">
        <v>30</v>
      </c>
      <c r="G12" s="41"/>
      <c r="H12" s="26">
        <v>100000.0</v>
      </c>
      <c r="I12" s="22" t="s">
        <v>32</v>
      </c>
      <c r="J12" s="22" t="s">
        <v>33</v>
      </c>
      <c r="K12" s="22" t="s">
        <v>33</v>
      </c>
      <c r="L12" s="22" t="s">
        <v>25</v>
      </c>
      <c r="M12" s="22" t="s">
        <v>35</v>
      </c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45" t="s">
        <v>55</v>
      </c>
      <c r="D13" s="19" t="s">
        <v>56</v>
      </c>
      <c r="E13" s="48"/>
      <c r="F13" s="22" t="s">
        <v>57</v>
      </c>
      <c r="G13" s="55">
        <v>25000.0</v>
      </c>
      <c r="H13" s="28"/>
      <c r="I13" s="22" t="s">
        <v>32</v>
      </c>
      <c r="J13" s="22" t="s">
        <v>34</v>
      </c>
      <c r="K13" s="22" t="s">
        <v>34</v>
      </c>
      <c r="L13" s="22" t="s">
        <v>25</v>
      </c>
      <c r="M13" s="15"/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45" t="s">
        <v>58</v>
      </c>
      <c r="D14" s="19" t="s">
        <v>27</v>
      </c>
      <c r="E14" s="48"/>
      <c r="F14" s="22" t="s">
        <v>30</v>
      </c>
      <c r="G14" s="55">
        <v>105000.0</v>
      </c>
      <c r="H14" s="26">
        <v>220000.0</v>
      </c>
      <c r="I14" s="22" t="s">
        <v>32</v>
      </c>
      <c r="J14" s="22" t="s">
        <v>33</v>
      </c>
      <c r="K14" s="22" t="s">
        <v>33</v>
      </c>
      <c r="L14" s="22" t="s">
        <v>25</v>
      </c>
      <c r="M14" s="22" t="s">
        <v>35</v>
      </c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45" t="s">
        <v>59</v>
      </c>
      <c r="D15" s="19" t="s">
        <v>29</v>
      </c>
      <c r="E15" s="48"/>
      <c r="F15" s="22" t="s">
        <v>31</v>
      </c>
      <c r="G15" s="41"/>
      <c r="H15" s="26">
        <v>100000.0</v>
      </c>
      <c r="I15" s="22" t="s">
        <v>24</v>
      </c>
      <c r="J15" s="15"/>
      <c r="K15" s="15"/>
      <c r="L15" s="22" t="s">
        <v>25</v>
      </c>
      <c r="M15" s="15"/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45" t="s">
        <v>53</v>
      </c>
      <c r="D16" s="19" t="s">
        <v>62</v>
      </c>
      <c r="E16" s="48"/>
      <c r="F16" s="22" t="s">
        <v>30</v>
      </c>
      <c r="G16" s="41"/>
      <c r="H16" s="26">
        <v>50000.0</v>
      </c>
      <c r="I16" s="22" t="s">
        <v>32</v>
      </c>
      <c r="J16" s="22" t="s">
        <v>33</v>
      </c>
      <c r="K16" s="22" t="s">
        <v>33</v>
      </c>
      <c r="L16" s="22" t="s">
        <v>25</v>
      </c>
      <c r="M16" s="22" t="s">
        <v>35</v>
      </c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18"/>
      <c r="D17" s="21"/>
      <c r="E17" s="48"/>
      <c r="F17" s="63"/>
      <c r="G17" s="27"/>
      <c r="H17" s="2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8">
        <f>SUM(G5:G17)</f>
        <v>405000</v>
      </c>
      <c r="H18" s="5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7" t="s">
        <v>0</v>
      </c>
      <c r="C21" s="59" t="s">
        <v>6</v>
      </c>
      <c r="D21" s="59" t="s">
        <v>60</v>
      </c>
      <c r="E21" s="1"/>
      <c r="F21" s="1"/>
      <c r="G21" s="1"/>
      <c r="H21" s="1"/>
      <c r="I21" s="1"/>
      <c r="J21" s="1"/>
      <c r="K21" s="1"/>
      <c r="L21" s="1"/>
      <c r="M21" s="1"/>
      <c r="N21" s="59" t="s">
        <v>61</v>
      </c>
      <c r="O21" s="59" t="s">
        <v>1</v>
      </c>
      <c r="P21" s="1"/>
      <c r="Q21" s="1"/>
      <c r="R21" s="1"/>
    </row>
    <row r="22" ht="15.75" customHeight="1">
      <c r="A22" s="1"/>
      <c r="B22" s="60">
        <v>1.0</v>
      </c>
      <c r="C22" s="62" t="s">
        <v>63</v>
      </c>
      <c r="D22" s="64">
        <f>SUM(G18)</f>
        <v>405000</v>
      </c>
      <c r="E22" s="65"/>
      <c r="F22" s="1"/>
      <c r="G22" s="1"/>
      <c r="H22" s="1"/>
      <c r="I22" s="1"/>
      <c r="J22" s="1"/>
      <c r="K22" s="1"/>
      <c r="L22" s="1"/>
      <c r="M22" s="1"/>
      <c r="N22" s="66" t="s">
        <v>64</v>
      </c>
      <c r="O22" s="70" t="s">
        <v>25</v>
      </c>
      <c r="P22" s="1"/>
      <c r="Q22" s="1"/>
      <c r="R22" s="1"/>
    </row>
    <row r="23" ht="15.75" customHeight="1">
      <c r="A23" s="1"/>
      <c r="B23" s="67">
        <v>2.0</v>
      </c>
      <c r="C23" s="72"/>
      <c r="D23" s="74"/>
      <c r="E23" s="65"/>
      <c r="F23" s="1"/>
      <c r="G23" s="1"/>
      <c r="H23" s="1"/>
      <c r="I23" s="1"/>
      <c r="J23" s="1"/>
      <c r="K23" s="1"/>
      <c r="L23" s="1"/>
      <c r="M23" s="1"/>
      <c r="N23" s="71" t="s">
        <v>65</v>
      </c>
      <c r="O23" s="81" t="s">
        <v>25</v>
      </c>
      <c r="P23" s="1"/>
      <c r="Q23" s="1"/>
      <c r="R23" s="1"/>
    </row>
    <row r="24" ht="15.75" customHeight="1">
      <c r="A24" s="1"/>
      <c r="B24" s="60">
        <v>3.0</v>
      </c>
      <c r="C24" s="62"/>
      <c r="D24" s="64"/>
      <c r="E24" s="65"/>
      <c r="F24" s="1"/>
      <c r="G24" s="1"/>
      <c r="H24" s="1"/>
      <c r="I24" s="1"/>
      <c r="J24" s="1"/>
      <c r="K24" s="1"/>
      <c r="L24" s="1"/>
      <c r="M24" s="1"/>
      <c r="N24" s="75" t="s">
        <v>66</v>
      </c>
      <c r="O24" s="79" t="s">
        <v>35</v>
      </c>
      <c r="P24" s="1"/>
      <c r="Q24" s="1"/>
      <c r="R24" s="1"/>
    </row>
    <row r="25" ht="15.75" customHeight="1">
      <c r="A25" s="1"/>
      <c r="B25" s="67">
        <v>4.0</v>
      </c>
      <c r="C25" s="68"/>
      <c r="D25" s="69"/>
      <c r="E25" s="65"/>
      <c r="F25" s="84"/>
      <c r="G25" s="1"/>
      <c r="H25" s="1"/>
      <c r="I25" s="1"/>
      <c r="J25" s="1"/>
      <c r="K25" s="1"/>
      <c r="L25" s="1"/>
      <c r="M25" s="1"/>
      <c r="N25" s="78" t="s">
        <v>67</v>
      </c>
      <c r="O25" s="81" t="s">
        <v>35</v>
      </c>
      <c r="P25" s="1"/>
      <c r="Q25" s="1"/>
      <c r="R25" s="1"/>
    </row>
    <row r="26" ht="15.75" customHeight="1">
      <c r="A26" s="1"/>
      <c r="B26" s="60">
        <v>5.0</v>
      </c>
      <c r="C26" s="62"/>
      <c r="D26" s="64"/>
      <c r="E26" s="65"/>
      <c r="F26" s="1"/>
      <c r="G26" s="1"/>
      <c r="H26" s="1"/>
      <c r="I26" s="1"/>
      <c r="J26" s="1"/>
      <c r="K26" s="1"/>
      <c r="L26" s="1"/>
      <c r="M26" s="1"/>
      <c r="N26" s="80"/>
      <c r="O26" s="1"/>
      <c r="P26" s="1"/>
      <c r="Q26" s="1"/>
      <c r="R26" s="1"/>
    </row>
    <row r="27" ht="15.75" customHeight="1">
      <c r="A27" s="1"/>
      <c r="B27" s="67">
        <v>6.0</v>
      </c>
      <c r="C27" s="68"/>
      <c r="D27" s="69"/>
      <c r="E27" s="65"/>
      <c r="F27" s="1"/>
      <c r="G27" s="1"/>
      <c r="H27" s="1"/>
      <c r="I27" s="1"/>
      <c r="J27" s="1"/>
      <c r="K27" s="82" t="s">
        <v>68</v>
      </c>
      <c r="Q27" s="1"/>
      <c r="R27" s="1"/>
    </row>
    <row r="28" ht="15.75" customHeight="1">
      <c r="A28" s="1"/>
      <c r="B28" s="60">
        <v>7.0</v>
      </c>
      <c r="C28" s="62"/>
      <c r="D28" s="64"/>
      <c r="E28" s="65"/>
      <c r="F28" s="1"/>
      <c r="G28" s="1"/>
      <c r="H28" s="1"/>
      <c r="I28" s="1"/>
      <c r="J28" s="1"/>
      <c r="K28" s="83" t="s">
        <v>1</v>
      </c>
      <c r="L28" s="83" t="s">
        <v>69</v>
      </c>
      <c r="M28" s="83" t="s">
        <v>70</v>
      </c>
      <c r="N28" s="83" t="s">
        <v>71</v>
      </c>
      <c r="O28" s="83" t="s">
        <v>72</v>
      </c>
      <c r="P28" s="83" t="s">
        <v>73</v>
      </c>
      <c r="Q28" s="1"/>
      <c r="R28" s="1"/>
      <c r="AC28" s="85" t="s">
        <v>74</v>
      </c>
      <c r="AD28" s="85" t="s">
        <v>75</v>
      </c>
      <c r="AE28" s="85" t="s">
        <v>76</v>
      </c>
      <c r="AF28" s="85" t="s">
        <v>77</v>
      </c>
      <c r="AG28" s="85" t="s">
        <v>78</v>
      </c>
    </row>
    <row r="29" ht="15.75" customHeight="1">
      <c r="A29" s="1"/>
      <c r="B29" s="67">
        <v>8.0</v>
      </c>
      <c r="C29" s="68"/>
      <c r="D29" s="69"/>
      <c r="E29" s="65"/>
      <c r="F29" s="1"/>
      <c r="G29" s="1"/>
      <c r="H29" s="1"/>
      <c r="I29" s="1"/>
      <c r="J29" s="1"/>
      <c r="K29" s="86" t="str">
        <f t="shared" ref="K29:K32" si="1">IF(O22="","",O22)</f>
        <v>AMEL</v>
      </c>
      <c r="L29" s="88">
        <v>4.0</v>
      </c>
      <c r="M29" s="88">
        <v>4.0</v>
      </c>
      <c r="N29" s="88">
        <v>4.0</v>
      </c>
      <c r="O29" s="88">
        <v>4.0</v>
      </c>
      <c r="P29" s="88">
        <v>4.0</v>
      </c>
      <c r="Q29" s="1"/>
      <c r="R29" s="1"/>
      <c r="AC29" s="85">
        <f t="shared" ref="AC29:AC34" si="2">IF(AG29="","",IF(COUNT(L29:P29)&lt;5,"",L29/5*20+M29/5*25+N29/5*25+O29/5*15+P29/5*15))</f>
        <v>80</v>
      </c>
      <c r="AD29" s="85" t="str">
        <f t="shared" ref="AD29:AD34" si="3">IF(AC29="","",IF(AC29&gt;=90,"Sangat Baik",IF(AC29&gt;=80,"Baik",IF(AC29&gt;=70,"Coaching","Underperform"))))</f>
        <v>Baik</v>
      </c>
      <c r="AE29" s="85" t="str">
        <f t="shared" ref="AE29:AE34" si="4">IF(AG29="","",IF(OR(AG29="INDAH",AG29="ADDEL",AG29="AMEL",AG29="PENTIL",AG29="JIJANG"),"Admin/CS","Fotografer"))</f>
        <v>Admin/CS</v>
      </c>
      <c r="AF29" s="85">
        <f t="shared" ref="AF29:AF34" si="5">IF(OR(AG29="",COUNT(L29:P29)&lt;5),"",1)</f>
        <v>1</v>
      </c>
      <c r="AG29" s="85" t="str">
        <f t="shared" ref="AG29:AG34" si="6">IFERROR(K29,"")</f>
        <v>AMEL</v>
      </c>
    </row>
    <row r="30" ht="15.75" customHeight="1">
      <c r="A30" s="1"/>
      <c r="B30" s="60">
        <v>9.0</v>
      </c>
      <c r="C30" s="62"/>
      <c r="D30" s="64"/>
      <c r="E30" s="65"/>
      <c r="F30" s="1"/>
      <c r="G30" s="1"/>
      <c r="H30" s="1"/>
      <c r="I30" s="1"/>
      <c r="J30" s="1"/>
      <c r="K30" s="86" t="str">
        <f t="shared" si="1"/>
        <v>AMEL</v>
      </c>
      <c r="L30" s="87"/>
      <c r="M30" s="87"/>
      <c r="N30" s="87"/>
      <c r="O30" s="87"/>
      <c r="P30" s="87"/>
      <c r="Q30" s="1"/>
      <c r="R30" s="1"/>
      <c r="AC30" s="85" t="str">
        <f t="shared" si="2"/>
        <v/>
      </c>
      <c r="AD30" s="85" t="str">
        <f t="shared" si="3"/>
        <v/>
      </c>
      <c r="AE30" s="85" t="str">
        <f t="shared" si="4"/>
        <v>Admin/CS</v>
      </c>
      <c r="AF30" s="85" t="str">
        <f t="shared" si="5"/>
        <v/>
      </c>
      <c r="AG30" s="85" t="str">
        <f t="shared" si="6"/>
        <v>AMEL</v>
      </c>
    </row>
    <row r="31" ht="15.75" customHeight="1">
      <c r="A31" s="1"/>
      <c r="B31" s="67">
        <v>10.0</v>
      </c>
      <c r="C31" s="68"/>
      <c r="D31" s="69"/>
      <c r="E31" s="65"/>
      <c r="F31" s="1"/>
      <c r="G31" s="1"/>
      <c r="H31" s="1"/>
      <c r="I31" s="1"/>
      <c r="J31" s="1"/>
      <c r="K31" s="86" t="str">
        <f t="shared" si="1"/>
        <v>ADIF</v>
      </c>
      <c r="L31" s="88">
        <v>4.0</v>
      </c>
      <c r="M31" s="88">
        <v>5.0</v>
      </c>
      <c r="N31" s="88">
        <v>5.0</v>
      </c>
      <c r="O31" s="88">
        <v>5.0</v>
      </c>
      <c r="P31" s="88">
        <v>5.0</v>
      </c>
      <c r="Q31" s="1"/>
      <c r="R31" s="1"/>
      <c r="AC31" s="85">
        <f t="shared" si="2"/>
        <v>96</v>
      </c>
      <c r="AD31" s="85" t="str">
        <f t="shared" si="3"/>
        <v>Sangat Baik</v>
      </c>
      <c r="AE31" s="85" t="str">
        <f t="shared" si="4"/>
        <v>Fotografer</v>
      </c>
      <c r="AF31" s="85">
        <f t="shared" si="5"/>
        <v>1</v>
      </c>
      <c r="AG31" s="85" t="str">
        <f t="shared" si="6"/>
        <v>ADIF</v>
      </c>
    </row>
    <row r="32" ht="15.75" customHeight="1">
      <c r="A32" s="1"/>
      <c r="B32" s="89">
        <v>11.0</v>
      </c>
      <c r="C32" s="90"/>
      <c r="D32" s="91"/>
      <c r="E32" s="65"/>
      <c r="F32" s="1"/>
      <c r="G32" s="1"/>
      <c r="H32" s="1"/>
      <c r="I32" s="1"/>
      <c r="J32" s="1"/>
      <c r="K32" s="86" t="str">
        <f t="shared" si="1"/>
        <v>ADIF</v>
      </c>
      <c r="L32" s="87"/>
      <c r="M32" s="87"/>
      <c r="N32" s="87"/>
      <c r="O32" s="87"/>
      <c r="P32" s="87"/>
      <c r="Q32" s="1"/>
      <c r="R32" s="1"/>
      <c r="AC32" s="85" t="str">
        <f t="shared" si="2"/>
        <v/>
      </c>
      <c r="AD32" s="85" t="str">
        <f t="shared" si="3"/>
        <v/>
      </c>
      <c r="AE32" s="85" t="str">
        <f t="shared" si="4"/>
        <v>Fotografer</v>
      </c>
      <c r="AF32" s="85" t="str">
        <f t="shared" si="5"/>
        <v/>
      </c>
      <c r="AG32" s="85" t="str">
        <f t="shared" si="6"/>
        <v>ADIF</v>
      </c>
    </row>
    <row r="33" ht="15.75" customHeight="1">
      <c r="A33" s="1"/>
      <c r="B33" s="1"/>
      <c r="C33" s="2"/>
      <c r="D33" s="92">
        <f>SUM(D22:D32)</f>
        <v>405000</v>
      </c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5" t="str">
        <f t="shared" si="2"/>
        <v/>
      </c>
      <c r="AD33" s="85" t="str">
        <f t="shared" si="3"/>
        <v/>
      </c>
      <c r="AE33" s="85" t="str">
        <f t="shared" si="4"/>
        <v/>
      </c>
      <c r="AF33" s="85" t="str">
        <f t="shared" si="5"/>
        <v/>
      </c>
      <c r="AG33" s="8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5" t="str">
        <f t="shared" si="2"/>
        <v/>
      </c>
      <c r="AD34" s="85" t="str">
        <f t="shared" si="3"/>
        <v/>
      </c>
      <c r="AE34" s="85" t="str">
        <f t="shared" si="4"/>
        <v/>
      </c>
      <c r="AF34" s="85" t="str">
        <f t="shared" si="5"/>
        <v/>
      </c>
      <c r="AG34" s="8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 t="s">
        <v>79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4" t="s">
        <v>80</v>
      </c>
      <c r="N37" s="102"/>
      <c r="O37" s="1"/>
      <c r="P37" s="1"/>
      <c r="Q37" s="1"/>
      <c r="R37" s="1"/>
    </row>
    <row r="38" ht="15.75" customHeight="1">
      <c r="K38" s="95" t="s">
        <v>7</v>
      </c>
      <c r="L38" s="95" t="s">
        <v>81</v>
      </c>
      <c r="M38" s="95" t="s">
        <v>82</v>
      </c>
      <c r="N38" s="104" t="s">
        <v>88</v>
      </c>
    </row>
    <row r="39" ht="15.75" customHeight="1">
      <c r="K39" s="96" t="str">
        <f t="shared" ref="K39:K40" si="7">IF(O22="","",O22)</f>
        <v>AMEL</v>
      </c>
      <c r="L39" s="105">
        <v>5.0</v>
      </c>
      <c r="M39" s="105" t="s">
        <v>90</v>
      </c>
      <c r="N39" s="106">
        <v>4.0</v>
      </c>
    </row>
    <row r="40" ht="15.75" customHeight="1">
      <c r="K40" s="96" t="str">
        <f t="shared" si="7"/>
        <v>AMEL</v>
      </c>
      <c r="L40" s="97"/>
      <c r="M40" s="97"/>
      <c r="N40" s="108"/>
    </row>
    <row r="41" ht="15.75" customHeight="1"/>
    <row r="42" ht="19.5" customHeight="1">
      <c r="K42" s="98" t="s">
        <v>83</v>
      </c>
    </row>
    <row r="43" ht="19.5" customHeight="1">
      <c r="K43" s="99" t="s">
        <v>84</v>
      </c>
      <c r="M43" s="105">
        <v>34.0</v>
      </c>
    </row>
    <row r="44" ht="19.5" customHeight="1">
      <c r="K44" s="100" t="s">
        <v>85</v>
      </c>
      <c r="M44" s="101">
        <f>COUNTIF($I$4:$I$20,"DP")</f>
        <v>4</v>
      </c>
    </row>
    <row r="45" ht="19.5" customHeight="1">
      <c r="K45" s="100" t="s">
        <v>86</v>
      </c>
      <c r="M45" s="101">
        <f>COUNTIFS($I$4:$I$20,"&lt;&gt;DP",$I$4:$I$20,"&lt;&gt;")</f>
        <v>9</v>
      </c>
    </row>
    <row r="46" ht="19.5" customHeight="1">
      <c r="K46" s="103" t="s">
        <v>87</v>
      </c>
      <c r="M46" s="101">
        <f>M44+M45</f>
        <v>13</v>
      </c>
    </row>
    <row r="47" ht="19.5" customHeight="1">
      <c r="K47" s="99" t="s">
        <v>89</v>
      </c>
      <c r="M47" s="10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21</v>
      </c>
      <c r="E4" s="23"/>
      <c r="F4" s="22" t="s">
        <v>23</v>
      </c>
      <c r="G4" s="25"/>
      <c r="H4" s="26">
        <v>100000.0</v>
      </c>
      <c r="I4" s="22" t="s">
        <v>24</v>
      </c>
      <c r="J4" s="15"/>
      <c r="K4" s="15"/>
      <c r="L4" s="22" t="s">
        <v>25</v>
      </c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35" t="s">
        <v>26</v>
      </c>
      <c r="D5" s="19" t="s">
        <v>27</v>
      </c>
      <c r="E5" s="36"/>
      <c r="F5" s="22" t="s">
        <v>31</v>
      </c>
      <c r="G5" s="38"/>
      <c r="H5" s="39">
        <v>100000.0</v>
      </c>
      <c r="I5" s="22" t="s">
        <v>24</v>
      </c>
      <c r="J5" s="15"/>
      <c r="K5" s="15"/>
      <c r="L5" s="22" t="s">
        <v>25</v>
      </c>
      <c r="M5" s="15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7" t="s">
        <v>38</v>
      </c>
      <c r="D6" s="19" t="s">
        <v>39</v>
      </c>
      <c r="E6" s="23"/>
      <c r="F6" s="22" t="s">
        <v>40</v>
      </c>
      <c r="G6" s="25"/>
      <c r="H6" s="26">
        <v>50000.0</v>
      </c>
      <c r="I6" s="22" t="s">
        <v>32</v>
      </c>
      <c r="J6" s="22" t="s">
        <v>33</v>
      </c>
      <c r="K6" s="22" t="s">
        <v>33</v>
      </c>
      <c r="L6" s="22" t="s">
        <v>25</v>
      </c>
      <c r="M6" s="15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7" t="s">
        <v>42</v>
      </c>
      <c r="D7" s="19" t="s">
        <v>20</v>
      </c>
      <c r="E7" s="36"/>
      <c r="F7" s="22" t="s">
        <v>43</v>
      </c>
      <c r="G7" s="25"/>
      <c r="H7" s="26">
        <v>100000.0</v>
      </c>
      <c r="I7" s="22" t="s">
        <v>24</v>
      </c>
      <c r="J7" s="15"/>
      <c r="K7" s="15"/>
      <c r="L7" s="22" t="s">
        <v>25</v>
      </c>
      <c r="M7" s="15"/>
      <c r="N7" s="40"/>
      <c r="O7" s="40"/>
      <c r="P7" s="40"/>
      <c r="Q7" s="1"/>
      <c r="R7" s="1"/>
    </row>
    <row r="8" ht="15.75" customHeight="1">
      <c r="A8" s="1"/>
      <c r="B8" s="14">
        <v>5.0</v>
      </c>
      <c r="C8" s="45" t="s">
        <v>46</v>
      </c>
      <c r="D8" s="19" t="s">
        <v>47</v>
      </c>
      <c r="E8" s="23"/>
      <c r="F8" s="22" t="s">
        <v>31</v>
      </c>
      <c r="G8" s="47"/>
      <c r="H8" s="39">
        <v>125000.0</v>
      </c>
      <c r="I8" s="22" t="s">
        <v>32</v>
      </c>
      <c r="J8" s="22" t="s">
        <v>33</v>
      </c>
      <c r="K8" s="22" t="s">
        <v>34</v>
      </c>
      <c r="L8" s="22" t="s">
        <v>25</v>
      </c>
      <c r="M8" s="22" t="s">
        <v>35</v>
      </c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5"/>
      <c r="G9" s="38"/>
      <c r="H9" s="46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3"/>
      <c r="F10" s="15"/>
      <c r="G10" s="25"/>
      <c r="H10" s="2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51"/>
      <c r="D11" s="21"/>
      <c r="E11" s="23"/>
      <c r="F11" s="15"/>
      <c r="G11" s="25"/>
      <c r="H11" s="28"/>
      <c r="I11" s="15"/>
      <c r="J11" s="15"/>
      <c r="K11" s="15"/>
      <c r="L11" s="15"/>
      <c r="M11" s="15"/>
      <c r="N11" s="40"/>
      <c r="O11" s="40"/>
      <c r="P11" s="40"/>
      <c r="Q11" s="1"/>
      <c r="R11" s="1"/>
      <c r="S11" s="52"/>
    </row>
    <row r="12" ht="15.75" customHeight="1">
      <c r="A12" s="1"/>
      <c r="B12" s="14">
        <v>9.0</v>
      </c>
      <c r="C12" s="18"/>
      <c r="D12" s="21"/>
      <c r="E12" s="23"/>
      <c r="F12" s="15"/>
      <c r="G12" s="25"/>
      <c r="H12" s="2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5"/>
      <c r="D13" s="21"/>
      <c r="E13" s="23"/>
      <c r="F13" s="15"/>
      <c r="G13" s="25"/>
      <c r="H13" s="2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8">
        <f>SUM(G3:G13)</f>
        <v>0</v>
      </c>
      <c r="H14" s="61">
        <f>SUM(H4:H13)</f>
        <v>475000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N18" s="66" t="s">
        <v>64</v>
      </c>
      <c r="O18" s="70" t="s">
        <v>25</v>
      </c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79" t="s">
        <v>35</v>
      </c>
      <c r="P20" s="1"/>
      <c r="Q20" s="1"/>
      <c r="R20" s="1"/>
    </row>
    <row r="21" ht="15.75" customHeight="1">
      <c r="A21" s="1"/>
      <c r="B21" s="67">
        <v>4.0</v>
      </c>
      <c r="C21" s="72"/>
      <c r="D21" s="74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76"/>
      <c r="D22" s="77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72"/>
      <c r="D23" s="74"/>
      <c r="E23" s="65"/>
      <c r="F23" s="84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84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1">IF(O18="","",O18)</f>
        <v>AMEL</v>
      </c>
      <c r="L25" s="87"/>
      <c r="M25" s="87"/>
      <c r="N25" s="87"/>
      <c r="O25" s="87"/>
      <c r="P25" s="87"/>
      <c r="Q25" s="1"/>
      <c r="R25" s="1"/>
      <c r="AC25" s="85" t="str">
        <f t="shared" ref="AC25:AC30" si="2">IF(AG25="","",IF(COUNT(L25:P25)&lt;5,"",L25/5*20+M25/5*25+N25/5*25+O25/5*15+P25/5*15))</f>
        <v/>
      </c>
      <c r="AD25" s="85" t="str">
        <f t="shared" ref="AD25:AD30" si="3">IF(AC25="","",IF(AC25&gt;=90,"Sangat Baik",IF(AC25&gt;=80,"Baik",IF(AC25&gt;=70,"Coaching","Underperform"))))</f>
        <v/>
      </c>
      <c r="AE25" s="85" t="str">
        <f t="shared" ref="AE25:AE30" si="4">IF(AG25="","",IF(OR(AG25="INDAH",AG25="ADDEL",AG25="AMEL",AG25="PENTIL",AG25="JIJANG"),"Admin/CS","Fotografer"))</f>
        <v>Admin/CS</v>
      </c>
      <c r="AF25" s="85" t="str">
        <f t="shared" ref="AF25:AF30" si="5">IF(OR(AG25="",COUNT(L25:P25)&lt;5),"",1)</f>
        <v/>
      </c>
      <c r="AG25" s="85" t="str">
        <f t="shared" ref="AG25:AG30" si="6">IFERROR(K25,"")</f>
        <v>AMEL</v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1"/>
        <v/>
      </c>
      <c r="L26" s="87"/>
      <c r="M26" s="87"/>
      <c r="N26" s="87"/>
      <c r="O26" s="87"/>
      <c r="P26" s="87"/>
      <c r="Q26" s="1"/>
      <c r="R26" s="1"/>
      <c r="AC26" s="85" t="str">
        <f t="shared" si="2"/>
        <v/>
      </c>
      <c r="AD26" s="85" t="str">
        <f t="shared" si="3"/>
        <v/>
      </c>
      <c r="AE26" s="85" t="str">
        <f t="shared" si="4"/>
        <v/>
      </c>
      <c r="AF26" s="85" t="str">
        <f t="shared" si="5"/>
        <v/>
      </c>
      <c r="AG26" s="85" t="str">
        <f t="shared" si="6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1"/>
        <v>ADIF</v>
      </c>
      <c r="L27" s="87"/>
      <c r="M27" s="87"/>
      <c r="N27" s="87"/>
      <c r="O27" s="87"/>
      <c r="P27" s="87"/>
      <c r="Q27" s="1"/>
      <c r="R27" s="1"/>
      <c r="AC27" s="85" t="str">
        <f t="shared" si="2"/>
        <v/>
      </c>
      <c r="AD27" s="85" t="str">
        <f t="shared" si="3"/>
        <v/>
      </c>
      <c r="AE27" s="85" t="str">
        <f t="shared" si="4"/>
        <v>Fotografer</v>
      </c>
      <c r="AF27" s="85" t="str">
        <f t="shared" si="5"/>
        <v/>
      </c>
      <c r="AG27" s="85" t="str">
        <f t="shared" si="6"/>
        <v>ADIF</v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1"/>
        <v/>
      </c>
      <c r="L28" s="87"/>
      <c r="M28" s="87"/>
      <c r="N28" s="87"/>
      <c r="O28" s="87"/>
      <c r="P28" s="87"/>
      <c r="Q28" s="1"/>
      <c r="R28" s="1"/>
      <c r="AC28" s="85" t="str">
        <f t="shared" si="2"/>
        <v/>
      </c>
      <c r="AD28" s="85" t="str">
        <f t="shared" si="3"/>
        <v/>
      </c>
      <c r="AE28" s="85" t="str">
        <f t="shared" si="4"/>
        <v/>
      </c>
      <c r="AF28" s="85" t="str">
        <f t="shared" si="5"/>
        <v/>
      </c>
      <c r="AG28" s="85" t="str">
        <f t="shared" si="6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2"/>
        <v/>
      </c>
      <c r="AD29" s="85" t="str">
        <f t="shared" si="3"/>
        <v/>
      </c>
      <c r="AE29" s="85" t="str">
        <f t="shared" si="4"/>
        <v/>
      </c>
      <c r="AF29" s="85" t="str">
        <f t="shared" si="5"/>
        <v/>
      </c>
      <c r="AG29" s="85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2"/>
        <v/>
      </c>
      <c r="AD30" s="85" t="str">
        <f t="shared" si="3"/>
        <v/>
      </c>
      <c r="AE30" s="85" t="str">
        <f t="shared" si="4"/>
        <v/>
      </c>
      <c r="AF30" s="85" t="str">
        <f t="shared" si="5"/>
        <v/>
      </c>
      <c r="AG30" s="85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7">IF(O18="","",O18)</f>
        <v>AMEL</v>
      </c>
      <c r="L35" s="97"/>
      <c r="M35" s="97"/>
    </row>
    <row r="36" ht="15.75" customHeight="1">
      <c r="K36" s="96" t="str">
        <f t="shared" si="7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3</v>
      </c>
    </row>
    <row r="41" ht="19.5" customHeight="1">
      <c r="K41" s="100" t="s">
        <v>86</v>
      </c>
      <c r="M41" s="101">
        <f>COUNTIFS($I$4:$I$16,"&lt;&gt;DP",$I$4:$I$16,"&lt;&gt;")</f>
        <v>2</v>
      </c>
    </row>
    <row r="42" ht="19.5" customHeight="1">
      <c r="K42" s="103" t="s">
        <v>87</v>
      </c>
      <c r="M42" s="101">
        <f>M40+M41</f>
        <v>5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5"/>
      <c r="G4" s="25"/>
      <c r="H4" s="28"/>
      <c r="I4" s="15"/>
      <c r="J4" s="30"/>
      <c r="K4" s="30"/>
      <c r="L4" s="15"/>
      <c r="M4" s="30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23"/>
      <c r="F5" s="15"/>
      <c r="G5" s="25"/>
      <c r="H5" s="28"/>
      <c r="I5" s="15"/>
      <c r="J5" s="30"/>
      <c r="K5" s="30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23"/>
      <c r="F6" s="15"/>
      <c r="G6" s="25"/>
      <c r="H6" s="28"/>
      <c r="I6" s="15"/>
      <c r="J6" s="30"/>
      <c r="K6" s="30"/>
      <c r="L6" s="15"/>
      <c r="M6" s="30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3"/>
      <c r="F7" s="15"/>
      <c r="G7" s="25"/>
      <c r="H7" s="2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36"/>
      <c r="F8" s="15"/>
      <c r="G8" s="38"/>
      <c r="H8" s="46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21"/>
      <c r="E9" s="15"/>
      <c r="F9" s="14"/>
      <c r="G9" s="50"/>
      <c r="H9" s="33"/>
      <c r="I9" s="14"/>
      <c r="J9" s="14"/>
      <c r="K9" s="14"/>
      <c r="L9" s="15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5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53"/>
      <c r="F11" s="14"/>
      <c r="G11" s="50"/>
      <c r="H11" s="33"/>
      <c r="I11" s="14"/>
      <c r="J11" s="14"/>
      <c r="K11" s="14"/>
      <c r="L11" s="15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4">
        <f t="shared" ref="G13:H13" si="1">SUM(G4:G12)</f>
        <v>0</v>
      </c>
      <c r="H13" s="56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7" t="s">
        <v>0</v>
      </c>
      <c r="C16" s="59" t="s">
        <v>6</v>
      </c>
      <c r="D16" s="59" t="s">
        <v>60</v>
      </c>
      <c r="E16" s="1"/>
      <c r="F16" s="1"/>
      <c r="G16" s="1"/>
      <c r="H16" s="1"/>
      <c r="I16" s="1"/>
      <c r="J16" s="1"/>
      <c r="K16" s="1"/>
      <c r="L16" s="1"/>
      <c r="M16" s="1"/>
      <c r="N16" s="59" t="s">
        <v>61</v>
      </c>
      <c r="O16" s="59" t="s">
        <v>1</v>
      </c>
      <c r="P16" s="1"/>
      <c r="Q16" s="1"/>
      <c r="R16" s="1"/>
    </row>
    <row r="17" ht="15.75" customHeight="1">
      <c r="A17" s="1"/>
      <c r="B17" s="60">
        <v>1.0</v>
      </c>
      <c r="C17" s="62" t="s">
        <v>63</v>
      </c>
      <c r="D17" s="64">
        <f>SUM(G13)</f>
        <v>0</v>
      </c>
      <c r="E17" s="65"/>
      <c r="F17" s="1"/>
      <c r="G17" s="1"/>
      <c r="H17" s="1"/>
      <c r="I17" s="1"/>
      <c r="J17" s="1"/>
      <c r="K17" s="1"/>
      <c r="L17" s="1"/>
      <c r="M17" s="1"/>
      <c r="N17" s="66" t="s">
        <v>64</v>
      </c>
      <c r="O17" s="32"/>
      <c r="P17" s="1"/>
      <c r="Q17" s="1"/>
      <c r="R17" s="1"/>
    </row>
    <row r="18" ht="15.75" customHeight="1">
      <c r="A18" s="1"/>
      <c r="B18" s="67">
        <v>2.0</v>
      </c>
      <c r="C18" s="68"/>
      <c r="D18" s="69"/>
      <c r="E18" s="65"/>
      <c r="F18" s="1"/>
      <c r="G18" s="1"/>
      <c r="H18" s="1"/>
      <c r="I18" s="1"/>
      <c r="J18" s="1"/>
      <c r="K18" s="1"/>
      <c r="L18" s="1"/>
      <c r="M18" s="1"/>
      <c r="N18" s="71" t="s">
        <v>65</v>
      </c>
      <c r="O18" s="73"/>
      <c r="P18" s="1"/>
      <c r="Q18" s="1"/>
      <c r="R18" s="1"/>
    </row>
    <row r="19" ht="15.75" customHeight="1">
      <c r="A19" s="1"/>
      <c r="B19" s="60">
        <v>3.0</v>
      </c>
      <c r="C19" s="62"/>
      <c r="D19" s="64"/>
      <c r="E19" s="65"/>
      <c r="F19" s="1"/>
      <c r="G19" s="1"/>
      <c r="H19" s="1"/>
      <c r="I19" s="1"/>
      <c r="J19" s="1"/>
      <c r="K19" s="1"/>
      <c r="L19" s="1"/>
      <c r="M19" s="1"/>
      <c r="N19" s="75" t="s">
        <v>66</v>
      </c>
      <c r="O19" s="40"/>
      <c r="P19" s="1"/>
      <c r="Q19" s="1"/>
      <c r="R19" s="1"/>
    </row>
    <row r="20" ht="15.75" customHeight="1">
      <c r="A20" s="1"/>
      <c r="B20" s="67">
        <v>4.0</v>
      </c>
      <c r="C20" s="68"/>
      <c r="D20" s="69"/>
      <c r="E20" s="65"/>
      <c r="F20" s="1"/>
      <c r="G20" s="1"/>
      <c r="H20" s="1"/>
      <c r="I20" s="1"/>
      <c r="J20" s="1"/>
      <c r="K20" s="1"/>
      <c r="L20" s="1"/>
      <c r="M20" s="1"/>
      <c r="N20" s="78" t="s">
        <v>67</v>
      </c>
      <c r="O20" s="73"/>
      <c r="P20" s="1"/>
      <c r="Q20" s="1"/>
      <c r="R20" s="1"/>
    </row>
    <row r="21" ht="15.75" customHeight="1">
      <c r="A21" s="1"/>
      <c r="B21" s="60">
        <v>5.0</v>
      </c>
      <c r="C21" s="62"/>
      <c r="D21" s="64"/>
      <c r="E21" s="65"/>
      <c r="F21" s="1"/>
      <c r="G21" s="1"/>
      <c r="H21" s="1"/>
      <c r="I21" s="1"/>
      <c r="J21" s="1"/>
      <c r="K21" s="1"/>
      <c r="L21" s="1"/>
      <c r="M21" s="1"/>
      <c r="N21" s="80"/>
      <c r="O21" s="1"/>
      <c r="P21" s="1"/>
      <c r="Q21" s="1"/>
      <c r="R21" s="1"/>
    </row>
    <row r="22" ht="15.75" customHeight="1">
      <c r="A22" s="1"/>
      <c r="B22" s="67">
        <v>6.0</v>
      </c>
      <c r="C22" s="68"/>
      <c r="D22" s="69"/>
      <c r="E22" s="65"/>
      <c r="F22" s="1"/>
      <c r="G22" s="1"/>
      <c r="H22" s="1"/>
      <c r="I22" s="1"/>
      <c r="J22" s="1"/>
      <c r="K22" s="82" t="s">
        <v>68</v>
      </c>
      <c r="Q22" s="1"/>
      <c r="R22" s="1"/>
    </row>
    <row r="23" ht="15.75" customHeight="1">
      <c r="A23" s="1"/>
      <c r="B23" s="60">
        <v>7.0</v>
      </c>
      <c r="C23" s="62"/>
      <c r="D23" s="64"/>
      <c r="E23" s="65"/>
      <c r="F23" s="1"/>
      <c r="G23" s="1"/>
      <c r="H23" s="1"/>
      <c r="I23" s="1"/>
      <c r="J23" s="1"/>
      <c r="K23" s="83" t="s">
        <v>1</v>
      </c>
      <c r="L23" s="83" t="s">
        <v>69</v>
      </c>
      <c r="M23" s="83" t="s">
        <v>70</v>
      </c>
      <c r="N23" s="83" t="s">
        <v>71</v>
      </c>
      <c r="O23" s="83" t="s">
        <v>72</v>
      </c>
      <c r="P23" s="83" t="s">
        <v>73</v>
      </c>
      <c r="Q23" s="1"/>
      <c r="R23" s="1"/>
      <c r="AC23" s="85" t="s">
        <v>74</v>
      </c>
      <c r="AD23" s="85" t="s">
        <v>75</v>
      </c>
      <c r="AE23" s="85" t="s">
        <v>76</v>
      </c>
      <c r="AF23" s="85" t="s">
        <v>77</v>
      </c>
      <c r="AG23" s="85" t="s">
        <v>78</v>
      </c>
    </row>
    <row r="24" ht="15.75" customHeight="1">
      <c r="A24" s="1"/>
      <c r="B24" s="67">
        <v>8.0</v>
      </c>
      <c r="C24" s="68"/>
      <c r="D24" s="69"/>
      <c r="E24" s="65"/>
      <c r="F24" s="1"/>
      <c r="G24" s="1"/>
      <c r="H24" s="1"/>
      <c r="I24" s="1"/>
      <c r="J24" s="1"/>
      <c r="K24" s="86" t="str">
        <f t="shared" ref="K24:K27" si="2">IF(O17="","",O17)</f>
        <v/>
      </c>
      <c r="L24" s="87"/>
      <c r="M24" s="87"/>
      <c r="N24" s="87"/>
      <c r="O24" s="87"/>
      <c r="P24" s="87"/>
      <c r="Q24" s="1"/>
      <c r="R24" s="1"/>
      <c r="AC24" s="85" t="str">
        <f t="shared" ref="AC24:AC29" si="3">IF(AG24="","",IF(COUNT(L24:P24)&lt;5,"",L24/5*20+M24/5*25+N24/5*25+O24/5*15+P24/5*15))</f>
        <v/>
      </c>
      <c r="AD24" s="85" t="str">
        <f t="shared" ref="AD24:AD29" si="4">IF(AC24="","",IF(AC24&gt;=90,"Sangat Baik",IF(AC24&gt;=80,"Baik",IF(AC24&gt;=70,"Coaching","Underperform"))))</f>
        <v/>
      </c>
      <c r="AE24" s="85" t="str">
        <f t="shared" ref="AE24:AE29" si="5">IF(AG24="","",IF(OR(AG24="INDAH",AG24="ADDEL",AG24="AMEL",AG24="PENTIL",AG24="JIJANG"),"Admin/CS","Fotografer"))</f>
        <v/>
      </c>
      <c r="AF24" s="85" t="str">
        <f t="shared" ref="AF24:AF29" si="6">IF(OR(AG24="",COUNT(L24:P24)&lt;5),"",1)</f>
        <v/>
      </c>
      <c r="AG24" s="85" t="str">
        <f t="shared" ref="AG24:AG29" si="7">IFERROR(K24,"")</f>
        <v/>
      </c>
    </row>
    <row r="25" ht="15.75" customHeight="1">
      <c r="A25" s="1"/>
      <c r="B25" s="60">
        <v>9.0</v>
      </c>
      <c r="C25" s="62"/>
      <c r="D25" s="64"/>
      <c r="E25" s="65"/>
      <c r="F25" s="1"/>
      <c r="G25" s="1"/>
      <c r="H25" s="1"/>
      <c r="I25" s="1"/>
      <c r="J25" s="1"/>
      <c r="K25" s="86" t="str">
        <f t="shared" si="2"/>
        <v/>
      </c>
      <c r="L25" s="87"/>
      <c r="M25" s="87"/>
      <c r="N25" s="87"/>
      <c r="O25" s="87"/>
      <c r="P25" s="87"/>
      <c r="Q25" s="1"/>
      <c r="R25" s="1"/>
      <c r="AC25" s="85" t="str">
        <f t="shared" si="3"/>
        <v/>
      </c>
      <c r="AD25" s="85" t="str">
        <f t="shared" si="4"/>
        <v/>
      </c>
      <c r="AE25" s="85" t="str">
        <f t="shared" si="5"/>
        <v/>
      </c>
      <c r="AF25" s="85" t="str">
        <f t="shared" si="6"/>
        <v/>
      </c>
      <c r="AG25" s="85" t="str">
        <f t="shared" si="7"/>
        <v/>
      </c>
    </row>
    <row r="26" ht="15.75" customHeight="1">
      <c r="A26" s="1"/>
      <c r="B26" s="67">
        <v>10.0</v>
      </c>
      <c r="C26" s="68"/>
      <c r="D26" s="69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89">
        <v>11.0</v>
      </c>
      <c r="C27" s="90"/>
      <c r="D27" s="91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1"/>
      <c r="C28" s="2"/>
      <c r="D28" s="92">
        <f>SUM(D17:D27)</f>
        <v>0</v>
      </c>
      <c r="E28" s="1"/>
      <c r="F28" s="1"/>
      <c r="G28" s="1"/>
      <c r="H28" s="1"/>
      <c r="I28" s="1"/>
      <c r="J28" s="1"/>
      <c r="K28" s="86"/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3" t="s">
        <v>79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4" t="s">
        <v>80</v>
      </c>
      <c r="N32" s="1"/>
      <c r="O32" s="1"/>
      <c r="P32" s="1"/>
      <c r="Q32" s="1"/>
      <c r="R32" s="1"/>
    </row>
    <row r="33" ht="15.75" customHeight="1">
      <c r="K33" s="95" t="s">
        <v>7</v>
      </c>
      <c r="L33" s="95" t="s">
        <v>81</v>
      </c>
      <c r="M33" s="95" t="s">
        <v>82</v>
      </c>
    </row>
    <row r="34" ht="15.75" customHeight="1">
      <c r="K34" s="96" t="str">
        <f t="shared" ref="K34:K35" si="8">IF(O17="","",O17)</f>
        <v/>
      </c>
      <c r="L34" s="97"/>
      <c r="M34" s="97"/>
    </row>
    <row r="35" ht="15.75" customHeight="1">
      <c r="K35" s="96" t="str">
        <f t="shared" si="8"/>
        <v/>
      </c>
      <c r="L35" s="97"/>
      <c r="M35" s="97"/>
    </row>
    <row r="36" ht="15.75" customHeight="1"/>
    <row r="37" ht="19.5" customHeight="1">
      <c r="K37" s="98" t="s">
        <v>83</v>
      </c>
    </row>
    <row r="38" ht="19.5" customHeight="1">
      <c r="K38" s="99" t="s">
        <v>84</v>
      </c>
      <c r="M38" s="97"/>
    </row>
    <row r="39" ht="19.5" customHeight="1">
      <c r="K39" s="100" t="s">
        <v>85</v>
      </c>
      <c r="M39" s="101">
        <f>COUNTIF($I$4:$I$15,"DP")</f>
        <v>0</v>
      </c>
    </row>
    <row r="40" ht="19.5" customHeight="1">
      <c r="K40" s="100" t="s">
        <v>86</v>
      </c>
      <c r="M40" s="101">
        <f>COUNTIFS($I$4:$I$15,"&lt;&gt;DP",$I$4:$I$15,"&lt;&gt;")</f>
        <v>0</v>
      </c>
    </row>
    <row r="41" ht="19.5" customHeight="1">
      <c r="K41" s="103" t="s">
        <v>87</v>
      </c>
      <c r="M41" s="101">
        <f>M39+M40</f>
        <v>0</v>
      </c>
    </row>
    <row r="42" ht="19.5" customHeight="1">
      <c r="K42" s="99" t="s">
        <v>89</v>
      </c>
      <c r="M42" s="107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24"/>
      <c r="E4" s="14"/>
      <c r="F4" s="29"/>
      <c r="G4" s="31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24"/>
      <c r="E5" s="14"/>
      <c r="F5" s="29"/>
      <c r="G5" s="31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24"/>
      <c r="E6" s="14"/>
      <c r="F6" s="42"/>
      <c r="G6" s="31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24"/>
      <c r="E7" s="14"/>
      <c r="F7" s="42"/>
      <c r="G7" s="31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24"/>
      <c r="E8" s="14"/>
      <c r="F8" s="44"/>
      <c r="G8" s="31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24"/>
      <c r="E9" s="14"/>
      <c r="F9" s="44"/>
      <c r="G9" s="31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24"/>
      <c r="E10" s="14"/>
      <c r="F10" s="44"/>
      <c r="G10" s="31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49"/>
      <c r="D11" s="24"/>
      <c r="E11" s="14"/>
      <c r="F11" s="42"/>
      <c r="G11" s="31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24"/>
      <c r="E12" s="14"/>
      <c r="F12" s="44"/>
      <c r="G12" s="31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24"/>
      <c r="E13" s="14"/>
      <c r="F13" s="42"/>
      <c r="G13" s="31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</row>
    <row r="4" ht="15.75" customHeight="1">
      <c r="A4" s="1"/>
      <c r="B4" s="14">
        <v>1.0</v>
      </c>
      <c r="C4" s="24"/>
      <c r="D4" s="24"/>
      <c r="E4" s="110"/>
      <c r="F4" s="29"/>
      <c r="G4" s="111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</row>
    <row r="5" ht="15.75" customHeight="1">
      <c r="A5" s="1"/>
      <c r="B5" s="14">
        <v>2.0</v>
      </c>
      <c r="C5" s="24"/>
      <c r="D5" s="24"/>
      <c r="E5" s="110"/>
      <c r="F5" s="29"/>
      <c r="G5" s="111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</row>
    <row r="6" ht="15.75" customHeight="1">
      <c r="A6" s="1"/>
      <c r="B6" s="14">
        <v>3.0</v>
      </c>
      <c r="C6" s="24"/>
      <c r="D6" s="24"/>
      <c r="E6" s="110"/>
      <c r="F6" s="42"/>
      <c r="G6" s="111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</row>
    <row r="7" ht="15.75" customHeight="1">
      <c r="A7" s="1"/>
      <c r="B7" s="14">
        <v>4.0</v>
      </c>
      <c r="C7" s="24"/>
      <c r="D7" s="24"/>
      <c r="E7" s="110"/>
      <c r="F7" s="42"/>
      <c r="G7" s="111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</row>
    <row r="8" ht="15.75" customHeight="1">
      <c r="A8" s="1"/>
      <c r="B8" s="14">
        <v>5.0</v>
      </c>
      <c r="C8" s="24"/>
      <c r="D8" s="24"/>
      <c r="E8" s="113"/>
      <c r="F8" s="42"/>
      <c r="G8" s="111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</row>
    <row r="9" ht="15.75" customHeight="1">
      <c r="A9" s="1"/>
      <c r="B9" s="14">
        <v>6.0</v>
      </c>
      <c r="C9" s="24"/>
      <c r="D9" s="24"/>
      <c r="E9" s="110"/>
      <c r="F9" s="42"/>
      <c r="G9" s="111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</row>
    <row r="10" ht="15.75" customHeight="1">
      <c r="A10" s="1"/>
      <c r="B10" s="14">
        <v>7.0</v>
      </c>
      <c r="C10" s="24"/>
      <c r="D10" s="24"/>
      <c r="E10" s="110"/>
      <c r="F10" s="42"/>
      <c r="G10" s="111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</row>
    <row r="11" ht="15.75" customHeight="1">
      <c r="A11" s="1"/>
      <c r="B11" s="14">
        <v>8.0</v>
      </c>
      <c r="C11" s="114"/>
      <c r="D11" s="24"/>
      <c r="E11" s="113"/>
      <c r="F11" s="115"/>
      <c r="G11" s="111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</row>
    <row r="12" ht="15.75" customHeight="1">
      <c r="A12" s="1"/>
      <c r="B12" s="14">
        <v>9.0</v>
      </c>
      <c r="C12" s="24"/>
      <c r="D12" s="24"/>
      <c r="E12" s="113"/>
      <c r="F12" s="44"/>
      <c r="G12" s="111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</row>
    <row r="13" ht="15.75" customHeight="1">
      <c r="A13" s="1"/>
      <c r="B13" s="14">
        <v>10.0</v>
      </c>
      <c r="C13" s="24"/>
      <c r="D13" s="24"/>
      <c r="E13" s="14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 t="s">
        <v>74</v>
      </c>
      <c r="AD24" s="109" t="s">
        <v>75</v>
      </c>
      <c r="AE24" s="109" t="s">
        <v>76</v>
      </c>
      <c r="AF24" s="109" t="s">
        <v>77</v>
      </c>
      <c r="AG24" s="109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 t="str">
        <f t="shared" ref="AC25:AC30" si="3">IF(AG25="","",IF(COUNT(L25:P25)&lt;5,"",L25/5*20+M25/5*25+N25/5*25+O25/5*15+P25/5*15))</f>
        <v/>
      </c>
      <c r="AD25" s="109" t="str">
        <f t="shared" ref="AD25:AD30" si="4">IF(AC25="","",IF(AC25&gt;=90,"Sangat Baik",IF(AC25&gt;=80,"Baik",IF(AC25&gt;=70,"Coaching","Underperform"))))</f>
        <v/>
      </c>
      <c r="AE25" s="109" t="str">
        <f t="shared" ref="AE25:AE30" si="5">IF(AG25="","",IF(OR(AG25="INDAH",AG25="ADDEL",AG25="AMEL",AG25="PENTIL",AG25="JIJANG"),"Admin/CS","Fotografer"))</f>
        <v/>
      </c>
      <c r="AF25" s="109" t="str">
        <f t="shared" ref="AF25:AF30" si="6">IF(OR(AG25="",COUNT(L25:P25)&lt;5),"",1)</f>
        <v/>
      </c>
      <c r="AG25" s="109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 t="str">
        <f t="shared" si="3"/>
        <v/>
      </c>
      <c r="AD26" s="109" t="str">
        <f t="shared" si="4"/>
        <v/>
      </c>
      <c r="AE26" s="109" t="str">
        <f t="shared" si="5"/>
        <v/>
      </c>
      <c r="AF26" s="109" t="str">
        <f t="shared" si="6"/>
        <v/>
      </c>
      <c r="AG26" s="109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 t="str">
        <f t="shared" si="3"/>
        <v/>
      </c>
      <c r="AD27" s="109" t="str">
        <f t="shared" si="4"/>
        <v/>
      </c>
      <c r="AE27" s="109" t="str">
        <f t="shared" si="5"/>
        <v/>
      </c>
      <c r="AF27" s="109" t="str">
        <f t="shared" si="6"/>
        <v/>
      </c>
      <c r="AG27" s="109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 t="str">
        <f t="shared" si="3"/>
        <v/>
      </c>
      <c r="AD28" s="109" t="str">
        <f t="shared" si="4"/>
        <v/>
      </c>
      <c r="AE28" s="109" t="str">
        <f t="shared" si="5"/>
        <v/>
      </c>
      <c r="AF28" s="109" t="str">
        <f t="shared" si="6"/>
        <v/>
      </c>
      <c r="AG28" s="109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 t="str">
        <f t="shared" si="3"/>
        <v/>
      </c>
      <c r="AD29" s="109" t="str">
        <f t="shared" si="4"/>
        <v/>
      </c>
      <c r="AE29" s="109" t="str">
        <f t="shared" si="5"/>
        <v/>
      </c>
      <c r="AF29" s="109" t="str">
        <f t="shared" si="6"/>
        <v/>
      </c>
      <c r="AG29" s="109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 t="str">
        <f t="shared" si="3"/>
        <v/>
      </c>
      <c r="AD30" s="109" t="str">
        <f t="shared" si="4"/>
        <v/>
      </c>
      <c r="AE30" s="109" t="str">
        <f t="shared" si="5"/>
        <v/>
      </c>
      <c r="AF30" s="109" t="str">
        <f t="shared" si="6"/>
        <v/>
      </c>
      <c r="AG30" s="109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</row>
    <row r="34" ht="15.75" customHeight="1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95" t="s">
        <v>7</v>
      </c>
      <c r="L34" s="95" t="s">
        <v>81</v>
      </c>
      <c r="M34" s="95" t="s">
        <v>82</v>
      </c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</row>
    <row r="35" ht="15.75" customHeight="1">
      <c r="A35" s="109"/>
      <c r="B35" s="109"/>
      <c r="C35" s="109"/>
      <c r="D35" s="109"/>
      <c r="E35" s="109"/>
      <c r="F35" s="109"/>
      <c r="G35" s="109"/>
      <c r="H35" s="109"/>
      <c r="I35" s="109"/>
      <c r="J35" s="109"/>
      <c r="K35" s="96" t="str">
        <f t="shared" ref="K35:K36" si="8">IF(O18="","",O18)</f>
        <v/>
      </c>
      <c r="L35" s="97"/>
      <c r="M35" s="97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</row>
    <row r="36" ht="15.75" customHeight="1">
      <c r="A36" s="109"/>
      <c r="B36" s="109"/>
      <c r="C36" s="109"/>
      <c r="D36" s="109"/>
      <c r="E36" s="109"/>
      <c r="F36" s="109"/>
      <c r="G36" s="109"/>
      <c r="H36" s="109"/>
      <c r="I36" s="109"/>
      <c r="J36" s="109"/>
      <c r="K36" s="96" t="str">
        <f t="shared" si="8"/>
        <v/>
      </c>
      <c r="L36" s="97"/>
      <c r="M36" s="97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</row>
    <row r="37" ht="15.75" customHeight="1">
      <c r="A37" s="109"/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</row>
    <row r="38" ht="19.5" customHeight="1">
      <c r="A38" s="109"/>
      <c r="B38" s="109"/>
      <c r="C38" s="109"/>
      <c r="D38" s="109"/>
      <c r="E38" s="109"/>
      <c r="F38" s="109"/>
      <c r="G38" s="109"/>
      <c r="H38" s="109"/>
      <c r="I38" s="109"/>
      <c r="J38" s="109"/>
      <c r="K38" s="98" t="s">
        <v>83</v>
      </c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</row>
    <row r="39" ht="19.5" customHeight="1">
      <c r="A39" s="109"/>
      <c r="B39" s="109"/>
      <c r="C39" s="109"/>
      <c r="D39" s="109"/>
      <c r="E39" s="109"/>
      <c r="F39" s="109"/>
      <c r="G39" s="109"/>
      <c r="H39" s="109"/>
      <c r="I39" s="109"/>
      <c r="J39" s="109"/>
      <c r="K39" s="99" t="s">
        <v>84</v>
      </c>
      <c r="M39" s="97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</row>
    <row r="40" ht="19.5" customHeight="1">
      <c r="A40" s="109"/>
      <c r="B40" s="109"/>
      <c r="C40" s="109"/>
      <c r="D40" s="109"/>
      <c r="E40" s="109"/>
      <c r="F40" s="109"/>
      <c r="G40" s="109"/>
      <c r="H40" s="109"/>
      <c r="I40" s="109"/>
      <c r="J40" s="109"/>
      <c r="K40" s="100" t="s">
        <v>85</v>
      </c>
      <c r="M40" s="101">
        <f>COUNTIF($I$4:$I$16,"DP")</f>
        <v>0</v>
      </c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</row>
    <row r="41" ht="19.5" customHeight="1">
      <c r="A41" s="109"/>
      <c r="B41" s="109"/>
      <c r="C41" s="109"/>
      <c r="D41" s="109"/>
      <c r="E41" s="109"/>
      <c r="F41" s="109"/>
      <c r="G41" s="109"/>
      <c r="H41" s="109"/>
      <c r="I41" s="109"/>
      <c r="J41" s="109"/>
      <c r="K41" s="100" t="s">
        <v>86</v>
      </c>
      <c r="M41" s="101">
        <f>COUNTIFS($I$4:$I$16,"&lt;&gt;DP",$I$4:$I$16,"&lt;&gt;")</f>
        <v>0</v>
      </c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</row>
    <row r="42" ht="19.5" customHeight="1">
      <c r="A42" s="109"/>
      <c r="B42" s="109"/>
      <c r="C42" s="109"/>
      <c r="D42" s="109"/>
      <c r="E42" s="109"/>
      <c r="F42" s="109"/>
      <c r="G42" s="109"/>
      <c r="H42" s="109"/>
      <c r="I42" s="109"/>
      <c r="J42" s="109"/>
      <c r="K42" s="103" t="s">
        <v>87</v>
      </c>
      <c r="M42" s="101">
        <f>M40+M41</f>
        <v>0</v>
      </c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</row>
    <row r="43" ht="19.5" customHeight="1">
      <c r="A43" s="109"/>
      <c r="B43" s="109"/>
      <c r="C43" s="109"/>
      <c r="D43" s="109"/>
      <c r="E43" s="109"/>
      <c r="F43" s="109"/>
      <c r="G43" s="109"/>
      <c r="H43" s="109"/>
      <c r="I43" s="109"/>
      <c r="J43" s="109"/>
      <c r="K43" s="99" t="s">
        <v>89</v>
      </c>
      <c r="M43" s="107" t="str">
        <f>IF(OR(M39="",M39=0),"",M40/M39)</f>
        <v/>
      </c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</row>
    <row r="44" ht="15.75" customHeight="1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</row>
    <row r="45" ht="15.75" customHeight="1">
      <c r="A45" s="109"/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</row>
    <row r="46" ht="15.75" customHeight="1">
      <c r="A46" s="109"/>
      <c r="B46" s="109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</row>
    <row r="47" ht="15.75" customHeight="1">
      <c r="A47" s="109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</row>
    <row r="48" ht="15.75" customHeight="1">
      <c r="A48" s="109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</row>
    <row r="49" ht="15.75" customHeight="1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</row>
    <row r="50" ht="15.75" customHeight="1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</row>
    <row r="51" ht="15.75" customHeight="1">
      <c r="A51" s="109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</row>
    <row r="52" ht="15.75" customHeight="1">
      <c r="A52" s="109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</row>
    <row r="53" ht="15.75" customHeight="1">
      <c r="A53" s="109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</row>
    <row r="54" ht="15.75" customHeight="1">
      <c r="A54" s="109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</row>
    <row r="55" ht="15.75" customHeight="1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</row>
    <row r="56" ht="15.75" customHeight="1">
      <c r="A56" s="109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</row>
    <row r="57" ht="15.75" customHeight="1">
      <c r="A57" s="109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</row>
    <row r="58" ht="15.75" customHeight="1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</row>
    <row r="59" ht="15.75" customHeight="1">
      <c r="A59" s="109"/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</row>
    <row r="60" ht="15.75" customHeight="1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</row>
    <row r="61" ht="15.75" customHeight="1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</row>
    <row r="62" ht="15.75" customHeight="1">
      <c r="A62" s="109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</row>
    <row r="63" ht="15.75" customHeight="1">
      <c r="A63" s="109"/>
      <c r="B63" s="109"/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</row>
    <row r="64" ht="15.75" customHeight="1">
      <c r="A64" s="109"/>
      <c r="B64" s="109"/>
      <c r="C64" s="109"/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</row>
    <row r="65" ht="15.75" customHeight="1">
      <c r="A65" s="109"/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</row>
    <row r="66" ht="15.75" customHeight="1">
      <c r="A66" s="109"/>
      <c r="B66" s="109"/>
      <c r="C66" s="109"/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</row>
    <row r="67" ht="15.75" customHeight="1">
      <c r="A67" s="109"/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</row>
    <row r="68" ht="15.75" customHeight="1">
      <c r="A68" s="109"/>
      <c r="B68" s="109"/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</row>
    <row r="69" ht="15.75" customHeight="1">
      <c r="A69" s="109"/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</row>
    <row r="70" ht="15.75" customHeight="1">
      <c r="A70" s="109"/>
      <c r="B70" s="109"/>
      <c r="C70" s="109"/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</row>
    <row r="71" ht="15.75" customHeight="1">
      <c r="A71" s="109"/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</row>
    <row r="72" ht="15.75" customHeight="1">
      <c r="A72" s="109"/>
      <c r="B72" s="109"/>
      <c r="C72" s="109"/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</row>
    <row r="73" ht="15.75" customHeight="1">
      <c r="A73" s="109"/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</row>
    <row r="74" ht="15.75" customHeight="1">
      <c r="A74" s="109"/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</row>
    <row r="75" ht="15.75" customHeight="1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</row>
    <row r="76" ht="15.75" customHeight="1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</row>
    <row r="77" ht="15.75" customHeight="1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</row>
    <row r="78" ht="15.75" customHeight="1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</row>
    <row r="79" ht="15.75" customHeight="1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</row>
    <row r="80" ht="15.75" customHeight="1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</row>
    <row r="81" ht="15.75" customHeight="1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</row>
    <row r="82" ht="15.75" customHeight="1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</row>
    <row r="83" ht="15.75" customHeight="1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</row>
    <row r="84" ht="15.75" customHeight="1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</row>
    <row r="85" ht="15.75" customHeight="1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</row>
    <row r="86" ht="15.75" customHeight="1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</row>
    <row r="87" ht="15.75" customHeight="1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</row>
    <row r="88" ht="15.75" customHeight="1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</row>
    <row r="89" ht="15.75" customHeight="1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</row>
    <row r="90" ht="15.75" customHeight="1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</row>
    <row r="91" ht="15.75" customHeight="1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</row>
    <row r="92" ht="15.75" customHeight="1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</row>
    <row r="93" ht="15.75" customHeight="1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</row>
    <row r="94" ht="15.75" customHeight="1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</row>
    <row r="95" ht="15.75" customHeight="1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</row>
    <row r="96" ht="15.75" customHeight="1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</row>
    <row r="97" ht="15.75" customHeight="1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</row>
    <row r="98" ht="15.75" customHeight="1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</row>
    <row r="99" ht="15.75" customHeight="1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</row>
    <row r="100" ht="15.75" customHeight="1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</row>
    <row r="101" ht="15.75" customHeight="1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</row>
    <row r="102" ht="15.75" customHeight="1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</row>
    <row r="103" ht="15.75" customHeight="1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</row>
    <row r="104" ht="15.75" customHeight="1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</row>
    <row r="105" ht="15.75" customHeight="1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</row>
    <row r="106" ht="15.75" customHeight="1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</row>
    <row r="107" ht="15.75" customHeight="1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</row>
    <row r="108" ht="15.75" customHeight="1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</row>
    <row r="109" ht="15.75" customHeight="1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</row>
    <row r="110" ht="15.75" customHeight="1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</row>
    <row r="111" ht="15.75" customHeight="1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</row>
    <row r="112" ht="15.75" customHeight="1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</row>
    <row r="113" ht="15.75" customHeight="1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</row>
    <row r="114" ht="15.75" customHeight="1">
      <c r="A114" s="109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</row>
    <row r="115" ht="15.75" customHeight="1">
      <c r="A115" s="109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</row>
    <row r="116" ht="15.75" customHeight="1">
      <c r="A116" s="109"/>
      <c r="B116" s="10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</row>
    <row r="117" ht="15.75" customHeight="1">
      <c r="A117" s="109"/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</row>
    <row r="118" ht="15.75" customHeight="1">
      <c r="A118" s="109"/>
      <c r="B118" s="10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</row>
    <row r="119" ht="15.75" customHeight="1">
      <c r="A119" s="109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</row>
    <row r="120" ht="15.75" customHeight="1">
      <c r="A120" s="109"/>
      <c r="B120" s="10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/>
      <c r="AB120" s="109"/>
      <c r="AC120" s="109"/>
      <c r="AD120" s="109"/>
      <c r="AE120" s="109"/>
      <c r="AF120" s="109"/>
      <c r="AG120" s="109"/>
    </row>
    <row r="121" ht="15.75" customHeight="1">
      <c r="A121" s="109"/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</row>
    <row r="122" ht="15.75" customHeight="1">
      <c r="A122" s="109"/>
      <c r="B122" s="10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</row>
    <row r="123" ht="15.75" customHeight="1">
      <c r="A123" s="109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</row>
    <row r="124" ht="15.75" customHeight="1">
      <c r="A124" s="109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</row>
    <row r="125" ht="15.75" customHeight="1">
      <c r="A125" s="109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</row>
    <row r="126" ht="15.75" customHeight="1">
      <c r="A126" s="109"/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</row>
    <row r="127" ht="15.75" customHeight="1">
      <c r="A127" s="109"/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</row>
    <row r="128" ht="15.75" customHeight="1">
      <c r="A128" s="109"/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</row>
    <row r="129" ht="15.75" customHeight="1">
      <c r="A129" s="109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</row>
    <row r="130" ht="15.75" customHeight="1">
      <c r="A130" s="109"/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</row>
    <row r="131" ht="15.75" customHeight="1">
      <c r="A131" s="109"/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</row>
    <row r="132" ht="15.75" customHeight="1">
      <c r="A132" s="109"/>
      <c r="B132" s="10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</row>
    <row r="133" ht="15.75" customHeight="1">
      <c r="A133" s="109"/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</row>
    <row r="134" ht="15.75" customHeight="1">
      <c r="A134" s="109"/>
      <c r="B134" s="10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</row>
    <row r="135" ht="15.75" customHeight="1">
      <c r="A135" s="109"/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</row>
    <row r="136" ht="15.75" customHeight="1">
      <c r="A136" s="109"/>
      <c r="B136" s="10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</row>
    <row r="137" ht="15.75" customHeight="1">
      <c r="A137" s="109"/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</row>
    <row r="138" ht="15.75" customHeight="1">
      <c r="A138" s="109"/>
      <c r="B138" s="10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</row>
    <row r="139" ht="15.75" customHeight="1">
      <c r="A139" s="109"/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</row>
    <row r="140" ht="15.75" customHeight="1">
      <c r="A140" s="109"/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</row>
    <row r="141" ht="15.75" customHeight="1">
      <c r="A141" s="109"/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</row>
    <row r="142" ht="15.75" customHeight="1">
      <c r="A142" s="109"/>
      <c r="B142" s="10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</row>
    <row r="143" ht="15.75" customHeight="1">
      <c r="A143" s="109"/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</row>
    <row r="144" ht="15.75" customHeight="1">
      <c r="A144" s="109"/>
      <c r="B144" s="10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</row>
    <row r="145" ht="15.75" customHeight="1">
      <c r="A145" s="109"/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</row>
    <row r="146" ht="15.75" customHeight="1">
      <c r="A146" s="109"/>
      <c r="B146" s="10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</row>
    <row r="147" ht="15.75" customHeight="1">
      <c r="A147" s="109"/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</row>
    <row r="148" ht="15.75" customHeight="1">
      <c r="A148" s="109"/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</row>
    <row r="149" ht="15.75" customHeight="1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</row>
    <row r="150" ht="15.75" customHeight="1">
      <c r="A150" s="109"/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</row>
    <row r="151" ht="15.75" customHeight="1">
      <c r="A151" s="109"/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</row>
    <row r="152" ht="15.75" customHeight="1">
      <c r="A152" s="109"/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</row>
    <row r="153" ht="15.75" customHeight="1">
      <c r="A153" s="109"/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</row>
    <row r="154" ht="15.75" customHeight="1">
      <c r="A154" s="109"/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</row>
    <row r="155" ht="15.75" customHeight="1">
      <c r="A155" s="109"/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</row>
    <row r="156" ht="15.75" customHeight="1">
      <c r="A156" s="109"/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</row>
    <row r="157" ht="15.75" customHeight="1">
      <c r="A157" s="109"/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</row>
    <row r="158" ht="15.75" customHeight="1">
      <c r="A158" s="109"/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</row>
    <row r="159" ht="15.75" customHeight="1">
      <c r="A159" s="109"/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</row>
    <row r="160" ht="15.75" customHeight="1">
      <c r="A160" s="109"/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</row>
    <row r="161" ht="15.75" customHeight="1">
      <c r="A161" s="109"/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</row>
    <row r="162" ht="15.75" customHeight="1">
      <c r="A162" s="109"/>
      <c r="B162" s="10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</row>
    <row r="163" ht="15.75" customHeight="1">
      <c r="A163" s="109"/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</row>
    <row r="164" ht="15.75" customHeight="1">
      <c r="A164" s="109"/>
      <c r="B164" s="10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</row>
    <row r="165" ht="15.75" customHeight="1">
      <c r="A165" s="109"/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</row>
    <row r="166" ht="15.75" customHeight="1">
      <c r="A166" s="109"/>
      <c r="B166" s="10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</row>
    <row r="167" ht="15.75" customHeight="1">
      <c r="A167" s="109"/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</row>
    <row r="168" ht="15.75" customHeight="1">
      <c r="A168" s="109"/>
      <c r="B168" s="10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</row>
    <row r="169" ht="15.75" customHeight="1">
      <c r="A169" s="109"/>
      <c r="B169" s="10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</row>
    <row r="170" ht="15.75" customHeight="1">
      <c r="A170" s="109"/>
      <c r="B170" s="10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</row>
    <row r="171" ht="15.75" customHeight="1">
      <c r="A171" s="109"/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</row>
    <row r="172" ht="15.75" customHeight="1">
      <c r="A172" s="109"/>
      <c r="B172" s="10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</row>
    <row r="173" ht="15.75" customHeight="1">
      <c r="A173" s="109"/>
      <c r="B173" s="10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</row>
    <row r="174" ht="15.75" customHeight="1">
      <c r="A174" s="109"/>
      <c r="B174" s="10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</row>
    <row r="175" ht="15.75" customHeight="1">
      <c r="A175" s="109"/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/>
      <c r="Y175" s="109"/>
      <c r="Z175" s="109"/>
      <c r="AA175" s="109"/>
      <c r="AB175" s="109"/>
      <c r="AC175" s="109"/>
      <c r="AD175" s="109"/>
      <c r="AE175" s="109"/>
      <c r="AF175" s="109"/>
      <c r="AG175" s="109"/>
    </row>
    <row r="176" ht="15.75" customHeight="1">
      <c r="A176" s="109"/>
      <c r="B176" s="10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</row>
    <row r="177" ht="15.75" customHeight="1">
      <c r="A177" s="109"/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</row>
    <row r="178" ht="15.75" customHeight="1">
      <c r="A178" s="109"/>
      <c r="B178" s="10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</row>
    <row r="179" ht="15.75" customHeight="1">
      <c r="A179" s="109"/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</row>
    <row r="180" ht="15.75" customHeight="1">
      <c r="A180" s="109"/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</row>
    <row r="181" ht="15.75" customHeight="1">
      <c r="A181" s="109"/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</row>
    <row r="182" ht="15.75" customHeight="1">
      <c r="A182" s="109"/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</row>
    <row r="183" ht="15.75" customHeight="1">
      <c r="A183" s="109"/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</row>
    <row r="184" ht="15.75" customHeight="1">
      <c r="A184" s="109"/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</row>
    <row r="185" ht="15.75" customHeight="1">
      <c r="A185" s="109"/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</row>
    <row r="186" ht="15.75" customHeight="1">
      <c r="A186" s="109"/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</row>
    <row r="187" ht="15.75" customHeight="1">
      <c r="A187" s="109"/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</row>
    <row r="188" ht="15.75" customHeight="1">
      <c r="A188" s="109"/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</row>
    <row r="189" ht="15.75" customHeight="1">
      <c r="A189" s="109"/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</row>
    <row r="190" ht="15.75" customHeight="1">
      <c r="A190" s="109"/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</row>
    <row r="191" ht="15.75" customHeight="1">
      <c r="A191" s="109"/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</row>
    <row r="192" ht="15.75" customHeight="1">
      <c r="A192" s="109"/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</row>
    <row r="193" ht="15.75" customHeight="1">
      <c r="A193" s="109"/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</row>
    <row r="194" ht="15.75" customHeight="1">
      <c r="A194" s="109"/>
      <c r="B194" s="10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</row>
    <row r="195" ht="15.75" customHeight="1">
      <c r="A195" s="109"/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</row>
    <row r="196" ht="15.75" customHeight="1">
      <c r="A196" s="109"/>
      <c r="B196" s="10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</row>
    <row r="197" ht="15.75" customHeight="1">
      <c r="A197" s="109"/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</row>
    <row r="198" ht="15.75" customHeight="1">
      <c r="A198" s="109"/>
      <c r="B198" s="10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</row>
    <row r="199" ht="15.75" customHeight="1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</row>
    <row r="200" ht="15.75" customHeight="1">
      <c r="A200" s="109"/>
      <c r="B200" s="10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</row>
    <row r="201" ht="15.75" customHeight="1">
      <c r="A201" s="109"/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</row>
    <row r="202" ht="15.75" customHeight="1">
      <c r="A202" s="109"/>
      <c r="B202" s="10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</row>
    <row r="203" ht="15.75" customHeight="1">
      <c r="A203" s="109"/>
      <c r="B203" s="10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</row>
    <row r="204" ht="15.75" customHeight="1">
      <c r="A204" s="109"/>
      <c r="B204" s="10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/>
      <c r="AG204" s="109"/>
    </row>
    <row r="205" ht="15.75" customHeight="1">
      <c r="A205" s="109"/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</row>
    <row r="206" ht="15.75" customHeight="1">
      <c r="A206" s="109"/>
      <c r="B206" s="10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</row>
    <row r="207" ht="15.75" customHeight="1">
      <c r="A207" s="109"/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</row>
    <row r="208" ht="15.75" customHeight="1">
      <c r="A208" s="109"/>
      <c r="B208" s="10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</row>
    <row r="209" ht="15.75" customHeight="1">
      <c r="A209" s="109"/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/>
      <c r="Y209" s="109"/>
      <c r="Z209" s="109"/>
      <c r="AA209" s="109"/>
      <c r="AB209" s="109"/>
      <c r="AC209" s="109"/>
      <c r="AD209" s="109"/>
      <c r="AE209" s="109"/>
      <c r="AF209" s="109"/>
      <c r="AG209" s="109"/>
    </row>
    <row r="210" ht="15.75" customHeight="1">
      <c r="A210" s="109"/>
      <c r="B210" s="10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</row>
    <row r="211" ht="15.75" customHeight="1">
      <c r="A211" s="109"/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</row>
    <row r="212" ht="15.75" customHeight="1">
      <c r="A212" s="109"/>
      <c r="B212" s="10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</row>
    <row r="213" ht="15.75" customHeight="1">
      <c r="A213" s="109"/>
      <c r="B213" s="10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</row>
    <row r="214" ht="15.75" customHeight="1">
      <c r="A214" s="109"/>
      <c r="B214" s="10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</row>
    <row r="215" ht="15.75" customHeight="1">
      <c r="A215" s="109"/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</row>
    <row r="216" ht="15.75" customHeight="1">
      <c r="A216" s="109"/>
      <c r="B216" s="10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</row>
    <row r="217" ht="15.75" customHeight="1">
      <c r="A217" s="109"/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</row>
    <row r="218" ht="15.75" customHeight="1">
      <c r="A218" s="109"/>
      <c r="B218" s="10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</row>
    <row r="219" ht="15.75" customHeight="1">
      <c r="A219" s="109"/>
      <c r="B219" s="10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</row>
    <row r="220" ht="15.75" customHeight="1">
      <c r="A220" s="109"/>
      <c r="B220" s="10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</row>
    <row r="221" ht="15.75" customHeight="1">
      <c r="A221" s="109"/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</row>
    <row r="222" ht="15.75" customHeight="1">
      <c r="A222" s="109"/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</row>
    <row r="223" ht="15.75" customHeight="1">
      <c r="A223" s="109"/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</row>
    <row r="224" ht="15.75" customHeight="1">
      <c r="A224" s="109"/>
      <c r="B224" s="10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</row>
    <row r="225" ht="15.75" customHeight="1">
      <c r="A225" s="109"/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</row>
    <row r="226" ht="15.75" customHeight="1">
      <c r="A226" s="109"/>
      <c r="B226" s="10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</row>
    <row r="227" ht="15.75" customHeight="1">
      <c r="A227" s="109"/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</row>
    <row r="228" ht="15.75" customHeight="1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/>
    </row>
    <row r="229" ht="15.75" customHeight="1">
      <c r="A229" s="109"/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</row>
    <row r="230" ht="15.75" customHeight="1">
      <c r="A230" s="109"/>
      <c r="B230" s="10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</row>
    <row r="231" ht="15.75" customHeight="1">
      <c r="A231" s="109"/>
      <c r="B231" s="109"/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</row>
    <row r="232" ht="15.75" customHeight="1">
      <c r="A232" s="109"/>
      <c r="B232" s="109"/>
      <c r="C232" s="109"/>
      <c r="D232" s="109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</row>
    <row r="233" ht="15.75" customHeight="1">
      <c r="A233" s="109"/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</row>
    <row r="234" ht="15.75" customHeight="1">
      <c r="A234" s="109"/>
      <c r="B234" s="109"/>
      <c r="C234" s="109"/>
      <c r="D234" s="109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</row>
    <row r="235" ht="15.75" customHeight="1">
      <c r="A235" s="109"/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</row>
    <row r="236" ht="15.75" customHeight="1">
      <c r="A236" s="109"/>
      <c r="B236" s="109"/>
      <c r="C236" s="109"/>
      <c r="D236" s="109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</row>
    <row r="237" ht="15.75" customHeight="1">
      <c r="A237" s="109"/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</row>
    <row r="238" ht="15.75" customHeight="1">
      <c r="A238" s="109"/>
      <c r="B238" s="109"/>
      <c r="C238" s="109"/>
      <c r="D238" s="109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</row>
    <row r="239" ht="15.75" customHeight="1">
      <c r="A239" s="109"/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</row>
    <row r="240" ht="15.75" customHeight="1">
      <c r="A240" s="109"/>
      <c r="B240" s="109"/>
      <c r="C240" s="109"/>
      <c r="D240" s="109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</row>
    <row r="241" ht="15.75" customHeight="1">
      <c r="A241" s="109"/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</row>
    <row r="242" ht="15.75" customHeight="1">
      <c r="A242" s="109"/>
      <c r="B242" s="109"/>
      <c r="C242" s="109"/>
      <c r="D242" s="109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</row>
    <row r="243" ht="15.75" customHeight="1">
      <c r="A243" s="109"/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  <c r="X243" s="109"/>
      <c r="Y243" s="109"/>
      <c r="Z243" s="109"/>
      <c r="AA243" s="109"/>
      <c r="AB243" s="109"/>
      <c r="AC243" s="109"/>
      <c r="AD243" s="109"/>
      <c r="AE243" s="109"/>
      <c r="AF243" s="109"/>
      <c r="AG243" s="109"/>
    </row>
    <row r="244" ht="15.75" customHeight="1">
      <c r="A244" s="109"/>
      <c r="B244" s="109"/>
      <c r="C244" s="109"/>
      <c r="D244" s="109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</row>
    <row r="245" ht="15.75" customHeight="1">
      <c r="A245" s="109"/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</row>
    <row r="246" ht="15.75" customHeight="1">
      <c r="A246" s="109"/>
      <c r="B246" s="109"/>
      <c r="C246" s="109"/>
      <c r="D246" s="109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</row>
    <row r="247" ht="15.75" customHeight="1">
      <c r="A247" s="109"/>
      <c r="B247" s="109"/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</row>
    <row r="248" ht="15.75" customHeight="1">
      <c r="A248" s="109"/>
      <c r="B248" s="109"/>
      <c r="C248" s="109"/>
      <c r="D248" s="109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</row>
    <row r="249" ht="15.75" customHeight="1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</row>
    <row r="250" ht="15.75" customHeight="1">
      <c r="A250" s="109"/>
      <c r="B250" s="109"/>
      <c r="C250" s="109"/>
      <c r="D250" s="109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</row>
    <row r="251" ht="15.75" customHeight="1">
      <c r="A251" s="109"/>
      <c r="B251" s="10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</row>
    <row r="252" ht="15.75" customHeight="1">
      <c r="A252" s="109"/>
      <c r="B252" s="109"/>
      <c r="C252" s="109"/>
      <c r="D252" s="109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</row>
    <row r="253" ht="15.75" customHeight="1">
      <c r="A253" s="109"/>
      <c r="B253" s="10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</row>
    <row r="254" ht="15.75" customHeight="1">
      <c r="A254" s="109"/>
      <c r="B254" s="109"/>
      <c r="C254" s="109"/>
      <c r="D254" s="109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</row>
    <row r="255" ht="15.75" customHeight="1">
      <c r="A255" s="109"/>
      <c r="B255" s="10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</row>
    <row r="256" ht="15.75" customHeight="1">
      <c r="A256" s="109"/>
      <c r="B256" s="109"/>
      <c r="C256" s="109"/>
      <c r="D256" s="109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</row>
    <row r="257" ht="15.75" customHeight="1">
      <c r="A257" s="109"/>
      <c r="B257" s="10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</row>
    <row r="258" ht="15.75" customHeight="1">
      <c r="A258" s="109"/>
      <c r="B258" s="109"/>
      <c r="C258" s="109"/>
      <c r="D258" s="109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</row>
    <row r="259" ht="15.75" customHeight="1">
      <c r="A259" s="109"/>
      <c r="B259" s="10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</row>
    <row r="260" ht="15.75" customHeight="1">
      <c r="A260" s="109"/>
      <c r="B260" s="109"/>
      <c r="C260" s="109"/>
      <c r="D260" s="109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</row>
    <row r="261" ht="15.75" customHeight="1">
      <c r="A261" s="109"/>
      <c r="B261" s="10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</row>
    <row r="262" ht="15.75" customHeight="1">
      <c r="A262" s="109"/>
      <c r="B262" s="109"/>
      <c r="C262" s="109"/>
      <c r="D262" s="109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</row>
    <row r="263" ht="15.75" customHeight="1">
      <c r="A263" s="109"/>
      <c r="B263" s="10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</row>
    <row r="264" ht="15.75" customHeight="1">
      <c r="A264" s="109"/>
      <c r="B264" s="109"/>
      <c r="C264" s="109"/>
      <c r="D264" s="109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</row>
    <row r="265" ht="15.75" customHeight="1">
      <c r="A265" s="109"/>
      <c r="B265" s="10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</row>
    <row r="266" ht="15.75" customHeight="1">
      <c r="A266" s="109"/>
      <c r="B266" s="109"/>
      <c r="C266" s="109"/>
      <c r="D266" s="109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</row>
    <row r="267" ht="15.75" customHeight="1">
      <c r="A267" s="109"/>
      <c r="B267" s="10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</row>
    <row r="268" ht="15.75" customHeight="1">
      <c r="A268" s="109"/>
      <c r="B268" s="109"/>
      <c r="C268" s="109"/>
      <c r="D268" s="109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</row>
    <row r="269" ht="15.75" customHeight="1">
      <c r="A269" s="109"/>
      <c r="B269" s="10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</row>
    <row r="270" ht="15.75" customHeight="1">
      <c r="A270" s="109"/>
      <c r="B270" s="109"/>
      <c r="C270" s="109"/>
      <c r="D270" s="109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</row>
    <row r="271" ht="15.75" customHeight="1">
      <c r="A271" s="109"/>
      <c r="B271" s="10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/>
      <c r="Y271" s="109"/>
      <c r="Z271" s="109"/>
      <c r="AA271" s="109"/>
      <c r="AB271" s="109"/>
      <c r="AC271" s="109"/>
      <c r="AD271" s="109"/>
      <c r="AE271" s="109"/>
      <c r="AF271" s="109"/>
      <c r="AG271" s="109"/>
    </row>
    <row r="272" ht="15.75" customHeight="1">
      <c r="A272" s="109"/>
      <c r="B272" s="109"/>
      <c r="C272" s="109"/>
      <c r="D272" s="109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</row>
    <row r="273" ht="15.75" customHeight="1">
      <c r="A273" s="109"/>
      <c r="B273" s="10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</row>
    <row r="274" ht="15.75" customHeight="1">
      <c r="A274" s="109"/>
      <c r="B274" s="109"/>
      <c r="C274" s="109"/>
      <c r="D274" s="109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</row>
    <row r="275" ht="15.75" customHeight="1">
      <c r="A275" s="109"/>
      <c r="B275" s="109"/>
      <c r="C275" s="109"/>
      <c r="D275" s="109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</row>
    <row r="276" ht="15.75" customHeight="1">
      <c r="A276" s="109"/>
      <c r="B276" s="109"/>
      <c r="C276" s="109"/>
      <c r="D276" s="109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</row>
    <row r="277" ht="15.75" customHeight="1">
      <c r="A277" s="109"/>
      <c r="B277" s="10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</row>
    <row r="278" ht="15.75" customHeight="1">
      <c r="A278" s="109"/>
      <c r="B278" s="109"/>
      <c r="C278" s="109"/>
      <c r="D278" s="109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</row>
    <row r="279" ht="15.75" customHeight="1">
      <c r="A279" s="109"/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</row>
    <row r="280" ht="15.75" customHeight="1">
      <c r="A280" s="109"/>
      <c r="B280" s="109"/>
      <c r="C280" s="109"/>
      <c r="D280" s="109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</row>
    <row r="281" ht="15.75" customHeight="1">
      <c r="A281" s="109"/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</row>
    <row r="282" ht="15.75" customHeight="1">
      <c r="A282" s="109"/>
      <c r="B282" s="109"/>
      <c r="C282" s="109"/>
      <c r="D282" s="109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</row>
    <row r="283" ht="15.75" customHeight="1">
      <c r="A283" s="109"/>
      <c r="B283" s="10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</row>
    <row r="284" ht="15.75" customHeight="1">
      <c r="A284" s="109"/>
      <c r="B284" s="109"/>
      <c r="C284" s="109"/>
      <c r="D284" s="109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</row>
    <row r="285" ht="15.75" customHeight="1">
      <c r="A285" s="109"/>
      <c r="B285" s="10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</row>
    <row r="286" ht="15.75" customHeight="1">
      <c r="A286" s="109"/>
      <c r="B286" s="109"/>
      <c r="C286" s="109"/>
      <c r="D286" s="109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</row>
    <row r="287" ht="15.75" customHeight="1">
      <c r="A287" s="109"/>
      <c r="B287" s="10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</row>
    <row r="288" ht="15.75" customHeight="1">
      <c r="A288" s="109"/>
      <c r="B288" s="109"/>
      <c r="C288" s="109"/>
      <c r="D288" s="109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</row>
    <row r="289" ht="15.75" customHeight="1">
      <c r="A289" s="109"/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</row>
    <row r="290" ht="15.75" customHeight="1">
      <c r="A290" s="109"/>
      <c r="B290" s="109"/>
      <c r="C290" s="109"/>
      <c r="D290" s="109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</row>
    <row r="291" ht="15.75" customHeight="1">
      <c r="A291" s="109"/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</row>
    <row r="292" ht="15.75" customHeight="1">
      <c r="A292" s="109"/>
      <c r="B292" s="109"/>
      <c r="C292" s="109"/>
      <c r="D292" s="109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</row>
    <row r="293" ht="15.75" customHeight="1">
      <c r="A293" s="109"/>
      <c r="B293" s="10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</row>
    <row r="294" ht="15.75" customHeight="1">
      <c r="A294" s="109"/>
      <c r="B294" s="109"/>
      <c r="C294" s="109"/>
      <c r="D294" s="109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</row>
    <row r="295" ht="15.75" customHeight="1">
      <c r="A295" s="109"/>
      <c r="B295" s="10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</row>
    <row r="296" ht="15.75" customHeight="1">
      <c r="A296" s="109"/>
      <c r="B296" s="109"/>
      <c r="C296" s="109"/>
      <c r="D296" s="109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</row>
    <row r="297" ht="15.75" customHeight="1">
      <c r="A297" s="109"/>
      <c r="B297" s="10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</row>
    <row r="298" ht="15.75" customHeight="1">
      <c r="A298" s="109"/>
      <c r="B298" s="109"/>
      <c r="C298" s="109"/>
      <c r="D298" s="109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</row>
    <row r="299" ht="15.75" customHeight="1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</row>
    <row r="300" ht="15.75" customHeight="1">
      <c r="A300" s="109"/>
      <c r="B300" s="109"/>
      <c r="C300" s="109"/>
      <c r="D300" s="109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</row>
    <row r="301" ht="15.75" customHeight="1">
      <c r="A301" s="109"/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</row>
    <row r="302" ht="15.75" customHeight="1">
      <c r="A302" s="109"/>
      <c r="B302" s="109"/>
      <c r="C302" s="109"/>
      <c r="D302" s="109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</row>
    <row r="303" ht="15.75" customHeight="1">
      <c r="A303" s="109"/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</row>
    <row r="304" ht="15.75" customHeight="1">
      <c r="A304" s="109"/>
      <c r="B304" s="109"/>
      <c r="C304" s="109"/>
      <c r="D304" s="109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</row>
    <row r="305" ht="15.75" customHeight="1">
      <c r="A305" s="109"/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</row>
    <row r="306" ht="15.75" customHeight="1">
      <c r="A306" s="109"/>
      <c r="B306" s="109"/>
      <c r="C306" s="109"/>
      <c r="D306" s="109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/>
      <c r="AB306" s="109"/>
      <c r="AC306" s="109"/>
      <c r="AD306" s="109"/>
      <c r="AE306" s="109"/>
      <c r="AF306" s="109"/>
      <c r="AG306" s="109"/>
    </row>
    <row r="307" ht="15.75" customHeight="1">
      <c r="A307" s="109"/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</row>
    <row r="308" ht="15.75" customHeight="1">
      <c r="A308" s="109"/>
      <c r="B308" s="109"/>
      <c r="C308" s="109"/>
      <c r="D308" s="109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</row>
    <row r="309" ht="15.75" customHeight="1">
      <c r="A309" s="109"/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</row>
    <row r="310" ht="15.75" customHeight="1">
      <c r="A310" s="109"/>
      <c r="B310" s="109"/>
      <c r="C310" s="109"/>
      <c r="D310" s="109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</row>
    <row r="311" ht="15.75" customHeight="1">
      <c r="A311" s="109"/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</row>
    <row r="312" ht="15.75" customHeight="1">
      <c r="A312" s="109"/>
      <c r="B312" s="109"/>
      <c r="C312" s="109"/>
      <c r="D312" s="109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</row>
    <row r="313" ht="15.75" customHeight="1">
      <c r="A313" s="109"/>
      <c r="B313" s="10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</row>
    <row r="314" ht="15.75" customHeight="1">
      <c r="A314" s="109"/>
      <c r="B314" s="109"/>
      <c r="C314" s="109"/>
      <c r="D314" s="109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</row>
    <row r="315" ht="15.75" customHeight="1">
      <c r="A315" s="109"/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</row>
    <row r="316" ht="15.75" customHeight="1">
      <c r="A316" s="109"/>
      <c r="B316" s="109"/>
      <c r="C316" s="109"/>
      <c r="D316" s="109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</row>
    <row r="317" ht="15.75" customHeight="1">
      <c r="A317" s="109"/>
      <c r="B317" s="109"/>
      <c r="C317" s="109"/>
      <c r="D317" s="109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</row>
    <row r="318" ht="15.75" customHeight="1">
      <c r="A318" s="109"/>
      <c r="B318" s="109"/>
      <c r="C318" s="109"/>
      <c r="D318" s="109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</row>
    <row r="319" ht="15.75" customHeight="1">
      <c r="A319" s="109"/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</row>
    <row r="320" ht="15.75" customHeight="1">
      <c r="A320" s="109"/>
      <c r="B320" s="109"/>
      <c r="C320" s="109"/>
      <c r="D320" s="109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</row>
    <row r="321" ht="15.75" customHeight="1">
      <c r="A321" s="109"/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</row>
    <row r="322" ht="15.75" customHeight="1">
      <c r="A322" s="109"/>
      <c r="B322" s="109"/>
      <c r="C322" s="109"/>
      <c r="D322" s="109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</row>
    <row r="323" ht="15.75" customHeight="1">
      <c r="A323" s="109"/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</row>
    <row r="324" ht="15.75" customHeight="1">
      <c r="A324" s="109"/>
      <c r="B324" s="109"/>
      <c r="C324" s="109"/>
      <c r="D324" s="109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</row>
    <row r="325" ht="15.75" customHeight="1">
      <c r="A325" s="109"/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/>
      <c r="AB325" s="109"/>
      <c r="AC325" s="109"/>
      <c r="AD325" s="109"/>
      <c r="AE325" s="109"/>
      <c r="AF325" s="109"/>
      <c r="AG325" s="109"/>
    </row>
    <row r="326" ht="15.75" customHeight="1">
      <c r="A326" s="109"/>
      <c r="B326" s="109"/>
      <c r="C326" s="109"/>
      <c r="D326" s="109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</row>
    <row r="327" ht="15.75" customHeight="1">
      <c r="A327" s="109"/>
      <c r="B327" s="10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</row>
    <row r="328" ht="15.75" customHeight="1">
      <c r="A328" s="109"/>
      <c r="B328" s="109"/>
      <c r="C328" s="109"/>
      <c r="D328" s="109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</row>
    <row r="329" ht="15.75" customHeight="1">
      <c r="A329" s="109"/>
      <c r="B329" s="10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</row>
    <row r="330" ht="15.75" customHeight="1">
      <c r="A330" s="109"/>
      <c r="B330" s="109"/>
      <c r="C330" s="109"/>
      <c r="D330" s="109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</row>
    <row r="331" ht="15.75" customHeight="1">
      <c r="A331" s="109"/>
      <c r="B331" s="109"/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</row>
    <row r="332" ht="15.75" customHeight="1">
      <c r="A332" s="109"/>
      <c r="B332" s="109"/>
      <c r="C332" s="109"/>
      <c r="D332" s="109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</row>
    <row r="333" ht="15.75" customHeight="1">
      <c r="A333" s="109"/>
      <c r="B333" s="10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/>
      <c r="Y333" s="109"/>
      <c r="Z333" s="109"/>
      <c r="AA333" s="109"/>
      <c r="AB333" s="109"/>
      <c r="AC333" s="109"/>
      <c r="AD333" s="109"/>
      <c r="AE333" s="109"/>
      <c r="AF333" s="109"/>
      <c r="AG333" s="109"/>
    </row>
    <row r="334" ht="15.75" customHeight="1">
      <c r="A334" s="109"/>
      <c r="B334" s="109"/>
      <c r="C334" s="109"/>
      <c r="D334" s="109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</row>
    <row r="335" ht="15.75" customHeight="1">
      <c r="A335" s="109"/>
      <c r="B335" s="10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/>
    </row>
    <row r="336" ht="15.75" customHeight="1">
      <c r="A336" s="109"/>
      <c r="B336" s="109"/>
      <c r="C336" s="109"/>
      <c r="D336" s="109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</row>
    <row r="337" ht="15.75" customHeight="1">
      <c r="A337" s="109"/>
      <c r="B337" s="10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</row>
    <row r="338" ht="15.75" customHeight="1">
      <c r="A338" s="109"/>
      <c r="B338" s="109"/>
      <c r="C338" s="109"/>
      <c r="D338" s="109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</row>
    <row r="339" ht="15.75" customHeight="1">
      <c r="A339" s="109"/>
      <c r="B339" s="10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</row>
    <row r="340" ht="15.75" customHeight="1">
      <c r="A340" s="109"/>
      <c r="B340" s="109"/>
      <c r="C340" s="109"/>
      <c r="D340" s="109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</row>
    <row r="341" ht="15.75" customHeight="1">
      <c r="A341" s="109"/>
      <c r="B341" s="10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</row>
    <row r="342" ht="15.75" customHeight="1">
      <c r="A342" s="109"/>
      <c r="B342" s="109"/>
      <c r="C342" s="109"/>
      <c r="D342" s="109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</row>
    <row r="343" ht="15.75" customHeight="1">
      <c r="A343" s="109"/>
      <c r="B343" s="10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</row>
    <row r="344" ht="15.75" customHeight="1">
      <c r="A344" s="109"/>
      <c r="B344" s="109"/>
      <c r="C344" s="109"/>
      <c r="D344" s="109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</row>
    <row r="345" ht="15.75" customHeight="1">
      <c r="A345" s="109"/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</row>
    <row r="346" ht="15.75" customHeight="1">
      <c r="A346" s="109"/>
      <c r="B346" s="109"/>
      <c r="C346" s="109"/>
      <c r="D346" s="109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</row>
    <row r="347" ht="15.75" customHeight="1">
      <c r="A347" s="109"/>
      <c r="B347" s="109"/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</row>
    <row r="348" ht="15.75" customHeight="1">
      <c r="A348" s="109"/>
      <c r="B348" s="109"/>
      <c r="C348" s="109"/>
      <c r="D348" s="109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</row>
    <row r="349" ht="15.75" customHeight="1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</row>
    <row r="350" ht="15.75" customHeight="1">
      <c r="A350" s="109"/>
      <c r="B350" s="109"/>
      <c r="C350" s="109"/>
      <c r="D350" s="109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/>
      <c r="Y350" s="109"/>
      <c r="Z350" s="109"/>
      <c r="AA350" s="109"/>
      <c r="AB350" s="109"/>
      <c r="AC350" s="109"/>
      <c r="AD350" s="109"/>
      <c r="AE350" s="109"/>
      <c r="AF350" s="109"/>
      <c r="AG350" s="109"/>
    </row>
    <row r="351" ht="15.75" customHeight="1">
      <c r="A351" s="109"/>
      <c r="B351" s="10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</row>
    <row r="352" ht="15.75" customHeight="1">
      <c r="A352" s="109"/>
      <c r="B352" s="109"/>
      <c r="C352" s="109"/>
      <c r="D352" s="109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</row>
    <row r="353" ht="15.75" customHeight="1">
      <c r="A353" s="109"/>
      <c r="B353" s="10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</row>
    <row r="354" ht="15.75" customHeight="1">
      <c r="A354" s="109"/>
      <c r="B354" s="109"/>
      <c r="C354" s="109"/>
      <c r="D354" s="109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</row>
    <row r="355" ht="15.75" customHeight="1">
      <c r="A355" s="109"/>
      <c r="B355" s="10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</row>
    <row r="356" ht="15.75" customHeight="1">
      <c r="A356" s="109"/>
      <c r="B356" s="109"/>
      <c r="C356" s="109"/>
      <c r="D356" s="109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</row>
    <row r="357" ht="15.75" customHeight="1">
      <c r="A357" s="109"/>
      <c r="B357" s="10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</row>
    <row r="358" ht="15.75" customHeight="1">
      <c r="A358" s="109"/>
      <c r="B358" s="109"/>
      <c r="C358" s="109"/>
      <c r="D358" s="109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</row>
    <row r="359" ht="15.75" customHeight="1">
      <c r="A359" s="109"/>
      <c r="B359" s="10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</row>
    <row r="360" ht="15.75" customHeight="1">
      <c r="A360" s="109"/>
      <c r="B360" s="109"/>
      <c r="C360" s="109"/>
      <c r="D360" s="109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</row>
    <row r="361" ht="15.75" customHeight="1">
      <c r="A361" s="109"/>
      <c r="B361" s="10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</row>
    <row r="362" ht="15.75" customHeight="1">
      <c r="A362" s="109"/>
      <c r="B362" s="109"/>
      <c r="C362" s="109"/>
      <c r="D362" s="109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</row>
    <row r="363" ht="15.75" customHeight="1">
      <c r="A363" s="109"/>
      <c r="B363" s="10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</row>
    <row r="364" ht="15.75" customHeight="1">
      <c r="A364" s="109"/>
      <c r="B364" s="109"/>
      <c r="C364" s="109"/>
      <c r="D364" s="109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</row>
    <row r="365" ht="15.75" customHeight="1">
      <c r="A365" s="109"/>
      <c r="B365" s="10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</row>
    <row r="366" ht="15.75" customHeight="1">
      <c r="A366" s="109"/>
      <c r="B366" s="109"/>
      <c r="C366" s="109"/>
      <c r="D366" s="109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</row>
    <row r="367" ht="15.75" customHeight="1">
      <c r="A367" s="109"/>
      <c r="B367" s="10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</row>
    <row r="368" ht="15.75" customHeight="1">
      <c r="A368" s="109"/>
      <c r="B368" s="109"/>
      <c r="C368" s="109"/>
      <c r="D368" s="109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</row>
    <row r="369" ht="15.75" customHeight="1">
      <c r="A369" s="109"/>
      <c r="B369" s="10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</row>
    <row r="370" ht="15.75" customHeight="1">
      <c r="A370" s="109"/>
      <c r="B370" s="109"/>
      <c r="C370" s="109"/>
      <c r="D370" s="109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</row>
    <row r="371" ht="15.75" customHeight="1">
      <c r="A371" s="109"/>
      <c r="B371" s="109"/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</row>
    <row r="372" ht="15.75" customHeight="1">
      <c r="A372" s="109"/>
      <c r="B372" s="109"/>
      <c r="C372" s="109"/>
      <c r="D372" s="109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</row>
    <row r="373" ht="15.75" customHeight="1">
      <c r="A373" s="109"/>
      <c r="B373" s="10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</row>
    <row r="374" ht="15.75" customHeight="1">
      <c r="A374" s="109"/>
      <c r="B374" s="109"/>
      <c r="C374" s="109"/>
      <c r="D374" s="109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</row>
    <row r="375" ht="15.75" customHeight="1">
      <c r="A375" s="109"/>
      <c r="B375" s="10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</row>
    <row r="376" ht="15.75" customHeight="1">
      <c r="A376" s="109"/>
      <c r="B376" s="109"/>
      <c r="C376" s="109"/>
      <c r="D376" s="109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</row>
    <row r="377" ht="15.75" customHeight="1">
      <c r="A377" s="109"/>
      <c r="B377" s="10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</row>
    <row r="378" ht="15.75" customHeight="1">
      <c r="A378" s="109"/>
      <c r="B378" s="109"/>
      <c r="C378" s="109"/>
      <c r="D378" s="109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</row>
    <row r="379" ht="15.75" customHeight="1">
      <c r="A379" s="109"/>
      <c r="B379" s="10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</row>
    <row r="380" ht="15.75" customHeight="1">
      <c r="A380" s="109"/>
      <c r="B380" s="109"/>
      <c r="C380" s="109"/>
      <c r="D380" s="109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</row>
    <row r="381" ht="15.75" customHeight="1">
      <c r="A381" s="109"/>
      <c r="B381" s="10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</row>
    <row r="382" ht="15.75" customHeight="1">
      <c r="A382" s="109"/>
      <c r="B382" s="109"/>
      <c r="C382" s="109"/>
      <c r="D382" s="109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</row>
    <row r="383" ht="15.75" customHeight="1">
      <c r="A383" s="109"/>
      <c r="B383" s="10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</row>
    <row r="384" ht="15.75" customHeight="1">
      <c r="A384" s="109"/>
      <c r="B384" s="109"/>
      <c r="C384" s="109"/>
      <c r="D384" s="109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</row>
    <row r="385" ht="15.75" customHeight="1">
      <c r="A385" s="109"/>
      <c r="B385" s="10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</row>
    <row r="386" ht="15.75" customHeight="1">
      <c r="A386" s="109"/>
      <c r="B386" s="109"/>
      <c r="C386" s="109"/>
      <c r="D386" s="109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</row>
    <row r="387" ht="15.75" customHeight="1">
      <c r="A387" s="109"/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</row>
    <row r="388" ht="15.75" customHeight="1">
      <c r="A388" s="109"/>
      <c r="B388" s="109"/>
      <c r="C388" s="109"/>
      <c r="D388" s="109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</row>
    <row r="389" ht="15.75" customHeight="1">
      <c r="A389" s="109"/>
      <c r="B389" s="10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</row>
    <row r="390" ht="15.75" customHeight="1">
      <c r="A390" s="109"/>
      <c r="B390" s="109"/>
      <c r="C390" s="109"/>
      <c r="D390" s="109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</row>
    <row r="391" ht="15.75" customHeight="1">
      <c r="A391" s="109"/>
      <c r="B391" s="10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/>
      <c r="Y391" s="109"/>
      <c r="Z391" s="109"/>
      <c r="AA391" s="109"/>
      <c r="AB391" s="109"/>
      <c r="AC391" s="109"/>
      <c r="AD391" s="109"/>
      <c r="AE391" s="109"/>
      <c r="AF391" s="109"/>
      <c r="AG391" s="109"/>
    </row>
    <row r="392" ht="15.75" customHeight="1">
      <c r="A392" s="109"/>
      <c r="B392" s="109"/>
      <c r="C392" s="109"/>
      <c r="D392" s="109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</row>
    <row r="393" ht="15.75" customHeight="1">
      <c r="A393" s="109"/>
      <c r="B393" s="10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</row>
    <row r="394" ht="15.75" customHeight="1">
      <c r="A394" s="109"/>
      <c r="B394" s="109"/>
      <c r="C394" s="109"/>
      <c r="D394" s="109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</row>
    <row r="395" ht="15.75" customHeight="1">
      <c r="A395" s="109"/>
      <c r="B395" s="10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</row>
    <row r="396" ht="15.75" customHeight="1">
      <c r="A396" s="109"/>
      <c r="B396" s="109"/>
      <c r="C396" s="109"/>
      <c r="D396" s="109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</row>
    <row r="397" ht="15.75" customHeight="1">
      <c r="A397" s="109"/>
      <c r="B397" s="10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</row>
    <row r="398" ht="15.75" customHeight="1">
      <c r="A398" s="109"/>
      <c r="B398" s="109"/>
      <c r="C398" s="109"/>
      <c r="D398" s="109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</row>
    <row r="399" ht="15.75" customHeight="1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/>
      <c r="AB399" s="109"/>
      <c r="AC399" s="109"/>
      <c r="AD399" s="109"/>
      <c r="AE399" s="109"/>
      <c r="AF399" s="109"/>
      <c r="AG399" s="109"/>
    </row>
    <row r="400" ht="15.75" customHeight="1">
      <c r="A400" s="109"/>
      <c r="B400" s="109"/>
      <c r="C400" s="109"/>
      <c r="D400" s="109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</row>
    <row r="401" ht="15.75" customHeight="1">
      <c r="A401" s="109"/>
      <c r="B401" s="10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</row>
    <row r="402" ht="15.75" customHeight="1">
      <c r="A402" s="109"/>
      <c r="B402" s="109"/>
      <c r="C402" s="109"/>
      <c r="D402" s="109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</row>
    <row r="403" ht="15.75" customHeight="1">
      <c r="A403" s="109"/>
      <c r="B403" s="10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</row>
    <row r="404" ht="15.75" customHeight="1">
      <c r="A404" s="109"/>
      <c r="B404" s="109"/>
      <c r="C404" s="109"/>
      <c r="D404" s="109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</row>
    <row r="405" ht="15.75" customHeight="1">
      <c r="A405" s="109"/>
      <c r="B405" s="10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</row>
    <row r="406" ht="15.75" customHeight="1">
      <c r="A406" s="109"/>
      <c r="B406" s="109"/>
      <c r="C406" s="109"/>
      <c r="D406" s="109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9"/>
      <c r="R406" s="109"/>
      <c r="S406" s="109"/>
      <c r="T406" s="109"/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</row>
    <row r="407" ht="15.75" customHeight="1">
      <c r="A407" s="109"/>
      <c r="B407" s="10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</row>
    <row r="408" ht="15.75" customHeight="1">
      <c r="A408" s="109"/>
      <c r="B408" s="109"/>
      <c r="C408" s="109"/>
      <c r="D408" s="109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</row>
    <row r="409" ht="15.75" customHeight="1">
      <c r="A409" s="109"/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</row>
    <row r="410" ht="15.75" customHeight="1">
      <c r="A410" s="109"/>
      <c r="B410" s="109"/>
      <c r="C410" s="109"/>
      <c r="D410" s="109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</row>
    <row r="411" ht="15.75" customHeight="1">
      <c r="A411" s="109"/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</row>
    <row r="412" ht="15.75" customHeight="1">
      <c r="A412" s="109"/>
      <c r="B412" s="109"/>
      <c r="C412" s="109"/>
      <c r="D412" s="109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</row>
    <row r="413" ht="15.75" customHeight="1">
      <c r="A413" s="109"/>
      <c r="B413" s="10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</row>
    <row r="414" ht="15.75" customHeight="1">
      <c r="A414" s="109"/>
      <c r="B414" s="109"/>
      <c r="C414" s="109"/>
      <c r="D414" s="109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</row>
    <row r="415" ht="15.75" customHeight="1">
      <c r="A415" s="109"/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</row>
    <row r="416" ht="15.75" customHeight="1">
      <c r="A416" s="109"/>
      <c r="B416" s="109"/>
      <c r="C416" s="109"/>
      <c r="D416" s="109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/>
      <c r="AG416" s="109"/>
    </row>
    <row r="417" ht="15.75" customHeight="1">
      <c r="A417" s="109"/>
      <c r="B417" s="109"/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</row>
    <row r="418" ht="15.75" customHeight="1">
      <c r="A418" s="109"/>
      <c r="B418" s="109"/>
      <c r="C418" s="109"/>
      <c r="D418" s="109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</row>
    <row r="419" ht="15.75" customHeight="1">
      <c r="A419" s="109"/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</row>
    <row r="420" ht="15.75" customHeight="1">
      <c r="A420" s="109"/>
      <c r="B420" s="109"/>
      <c r="C420" s="109"/>
      <c r="D420" s="109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</row>
    <row r="421" ht="15.75" customHeight="1">
      <c r="A421" s="109"/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9"/>
      <c r="R421" s="109"/>
      <c r="S421" s="109"/>
      <c r="T421" s="109"/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</row>
    <row r="422" ht="15.75" customHeight="1">
      <c r="A422" s="109"/>
      <c r="B422" s="109"/>
      <c r="C422" s="109"/>
      <c r="D422" s="109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</row>
    <row r="423" ht="15.75" customHeight="1">
      <c r="A423" s="109"/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/>
      <c r="Y423" s="109"/>
      <c r="Z423" s="109"/>
      <c r="AA423" s="109"/>
      <c r="AB423" s="109"/>
      <c r="AC423" s="109"/>
      <c r="AD423" s="109"/>
      <c r="AE423" s="109"/>
      <c r="AF423" s="109"/>
      <c r="AG423" s="109"/>
    </row>
    <row r="424" ht="15.75" customHeight="1">
      <c r="A424" s="109"/>
      <c r="B424" s="109"/>
      <c r="C424" s="109"/>
      <c r="D424" s="109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</row>
    <row r="425" ht="15.75" customHeight="1">
      <c r="A425" s="109"/>
      <c r="B425" s="10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</row>
    <row r="426" ht="15.75" customHeight="1">
      <c r="A426" s="109"/>
      <c r="B426" s="109"/>
      <c r="C426" s="109"/>
      <c r="D426" s="109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</row>
    <row r="427" ht="15.75" customHeight="1">
      <c r="A427" s="109"/>
      <c r="B427" s="109"/>
      <c r="C427" s="109"/>
      <c r="D427" s="109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9"/>
      <c r="R427" s="109"/>
      <c r="S427" s="109"/>
      <c r="T427" s="109"/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</row>
    <row r="428" ht="15.75" customHeight="1">
      <c r="A428" s="109"/>
      <c r="B428" s="109"/>
      <c r="C428" s="109"/>
      <c r="D428" s="109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</row>
    <row r="429" ht="15.75" customHeight="1">
      <c r="A429" s="109"/>
      <c r="B429" s="109"/>
      <c r="C429" s="109"/>
      <c r="D429" s="109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9"/>
      <c r="R429" s="109"/>
      <c r="S429" s="109"/>
      <c r="T429" s="109"/>
      <c r="U429" s="109"/>
      <c r="V429" s="109"/>
      <c r="W429" s="109"/>
      <c r="X429" s="109"/>
      <c r="Y429" s="109"/>
      <c r="Z429" s="109"/>
      <c r="AA429" s="109"/>
      <c r="AB429" s="109"/>
      <c r="AC429" s="109"/>
      <c r="AD429" s="109"/>
      <c r="AE429" s="109"/>
      <c r="AF429" s="109"/>
      <c r="AG429" s="109"/>
    </row>
    <row r="430" ht="15.75" customHeight="1">
      <c r="A430" s="109"/>
      <c r="B430" s="109"/>
      <c r="C430" s="109"/>
      <c r="D430" s="109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</row>
    <row r="431" ht="15.75" customHeight="1">
      <c r="A431" s="109"/>
      <c r="B431" s="109"/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</row>
    <row r="432" ht="15.75" customHeight="1">
      <c r="A432" s="109"/>
      <c r="B432" s="109"/>
      <c r="C432" s="109"/>
      <c r="D432" s="109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</row>
    <row r="433" ht="15.75" customHeight="1">
      <c r="A433" s="109"/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</row>
    <row r="434" ht="15.75" customHeight="1">
      <c r="A434" s="109"/>
      <c r="B434" s="109"/>
      <c r="C434" s="109"/>
      <c r="D434" s="109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</row>
    <row r="435" ht="15.75" customHeight="1">
      <c r="A435" s="109"/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</row>
    <row r="436" ht="15.75" customHeight="1">
      <c r="A436" s="109"/>
      <c r="B436" s="109"/>
      <c r="C436" s="109"/>
      <c r="D436" s="109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</row>
    <row r="437" ht="15.75" customHeight="1">
      <c r="A437" s="109"/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9"/>
      <c r="R437" s="109"/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</row>
    <row r="438" ht="15.75" customHeight="1">
      <c r="A438" s="109"/>
      <c r="B438" s="109"/>
      <c r="C438" s="109"/>
      <c r="D438" s="109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</row>
    <row r="439" ht="15.75" customHeight="1">
      <c r="A439" s="109"/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</row>
    <row r="440" ht="15.75" customHeight="1">
      <c r="A440" s="109"/>
      <c r="B440" s="109"/>
      <c r="C440" s="109"/>
      <c r="D440" s="109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</row>
    <row r="441" ht="15.75" customHeight="1">
      <c r="A441" s="109"/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</row>
    <row r="442" ht="15.75" customHeight="1">
      <c r="A442" s="109"/>
      <c r="B442" s="109"/>
      <c r="C442" s="109"/>
      <c r="D442" s="109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</row>
    <row r="443" ht="15.75" customHeight="1">
      <c r="A443" s="109"/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</row>
    <row r="444" ht="15.75" customHeight="1">
      <c r="A444" s="109"/>
      <c r="B444" s="109"/>
      <c r="C444" s="109"/>
      <c r="D444" s="109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9"/>
      <c r="R444" s="109"/>
      <c r="S444" s="109"/>
      <c r="T444" s="109"/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</row>
    <row r="445" ht="15.75" customHeight="1">
      <c r="A445" s="109"/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</row>
    <row r="446" ht="15.75" customHeight="1">
      <c r="A446" s="109"/>
      <c r="B446" s="109"/>
      <c r="C446" s="109"/>
      <c r="D446" s="109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/>
      <c r="AB446" s="109"/>
      <c r="AC446" s="109"/>
      <c r="AD446" s="109"/>
      <c r="AE446" s="109"/>
      <c r="AF446" s="109"/>
      <c r="AG446" s="109"/>
    </row>
    <row r="447" ht="15.75" customHeight="1">
      <c r="A447" s="109"/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</row>
    <row r="448" ht="15.75" customHeight="1">
      <c r="A448" s="109"/>
      <c r="B448" s="109"/>
      <c r="C448" s="109"/>
      <c r="D448" s="109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</row>
    <row r="449" ht="15.75" customHeight="1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</row>
    <row r="450" ht="15.75" customHeight="1">
      <c r="A450" s="109"/>
      <c r="B450" s="109"/>
      <c r="C450" s="109"/>
      <c r="D450" s="109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</row>
    <row r="451" ht="15.75" customHeight="1">
      <c r="A451" s="109"/>
      <c r="B451" s="10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</row>
    <row r="452" ht="15.75" customHeight="1">
      <c r="A452" s="109"/>
      <c r="B452" s="109"/>
      <c r="C452" s="109"/>
      <c r="D452" s="109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</row>
    <row r="453" ht="15.75" customHeight="1">
      <c r="A453" s="109"/>
      <c r="B453" s="109"/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</row>
    <row r="454" ht="15.75" customHeight="1">
      <c r="A454" s="109"/>
      <c r="B454" s="109"/>
      <c r="C454" s="109"/>
      <c r="D454" s="109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9"/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</row>
    <row r="455" ht="15.75" customHeight="1">
      <c r="A455" s="109"/>
      <c r="B455" s="10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</row>
    <row r="456" ht="15.75" customHeight="1">
      <c r="A456" s="109"/>
      <c r="B456" s="109"/>
      <c r="C456" s="109"/>
      <c r="D456" s="109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</row>
    <row r="457" ht="15.75" customHeight="1">
      <c r="A457" s="109"/>
      <c r="B457" s="10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</row>
    <row r="458" ht="15.75" customHeight="1">
      <c r="A458" s="109"/>
      <c r="B458" s="109"/>
      <c r="C458" s="109"/>
      <c r="D458" s="109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</row>
    <row r="459" ht="15.75" customHeight="1">
      <c r="A459" s="109"/>
      <c r="B459" s="10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</row>
    <row r="460" ht="15.75" customHeight="1">
      <c r="A460" s="109"/>
      <c r="B460" s="109"/>
      <c r="C460" s="109"/>
      <c r="D460" s="109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/>
      <c r="Y460" s="109"/>
      <c r="Z460" s="109"/>
      <c r="AA460" s="109"/>
      <c r="AB460" s="109"/>
      <c r="AC460" s="109"/>
      <c r="AD460" s="109"/>
      <c r="AE460" s="109"/>
      <c r="AF460" s="109"/>
      <c r="AG460" s="109"/>
    </row>
    <row r="461" ht="15.75" customHeight="1">
      <c r="A461" s="109"/>
      <c r="B461" s="10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</row>
    <row r="462" ht="15.75" customHeight="1">
      <c r="A462" s="109"/>
      <c r="B462" s="109"/>
      <c r="C462" s="109"/>
      <c r="D462" s="109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</row>
    <row r="463" ht="15.75" customHeight="1">
      <c r="A463" s="109"/>
      <c r="B463" s="10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</row>
    <row r="464" ht="15.75" customHeight="1">
      <c r="A464" s="109"/>
      <c r="B464" s="109"/>
      <c r="C464" s="109"/>
      <c r="D464" s="109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</row>
    <row r="465" ht="15.75" customHeight="1">
      <c r="A465" s="109"/>
      <c r="B465" s="10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</row>
    <row r="466" ht="15.75" customHeight="1">
      <c r="A466" s="109"/>
      <c r="B466" s="109"/>
      <c r="C466" s="109"/>
      <c r="D466" s="109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</row>
    <row r="467" ht="15.75" customHeight="1">
      <c r="A467" s="109"/>
      <c r="B467" s="10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</row>
    <row r="468" ht="15.75" customHeight="1">
      <c r="A468" s="109"/>
      <c r="B468" s="109"/>
      <c r="C468" s="109"/>
      <c r="D468" s="109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</row>
    <row r="469" ht="15.75" customHeight="1">
      <c r="A469" s="109"/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</row>
    <row r="470" ht="15.75" customHeight="1">
      <c r="A470" s="109"/>
      <c r="B470" s="109"/>
      <c r="C470" s="109"/>
      <c r="D470" s="109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</row>
    <row r="471" ht="15.75" customHeight="1">
      <c r="A471" s="109"/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</row>
    <row r="472" ht="15.75" customHeight="1">
      <c r="A472" s="109"/>
      <c r="B472" s="109"/>
      <c r="C472" s="109"/>
      <c r="D472" s="109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</row>
    <row r="473" ht="15.75" customHeight="1">
      <c r="A473" s="109"/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</row>
    <row r="474" ht="15.75" customHeight="1">
      <c r="A474" s="109"/>
      <c r="B474" s="109"/>
      <c r="C474" s="109"/>
      <c r="D474" s="109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</row>
    <row r="475" ht="15.75" customHeight="1">
      <c r="A475" s="109"/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</row>
    <row r="476" ht="15.75" customHeight="1">
      <c r="A476" s="109"/>
      <c r="B476" s="109"/>
      <c r="C476" s="109"/>
      <c r="D476" s="109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</row>
    <row r="477" ht="15.75" customHeight="1">
      <c r="A477" s="109"/>
      <c r="B477" s="10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</row>
    <row r="478" ht="15.75" customHeight="1">
      <c r="A478" s="109"/>
      <c r="B478" s="109"/>
      <c r="C478" s="109"/>
      <c r="D478" s="109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</row>
    <row r="479" ht="15.75" customHeight="1">
      <c r="A479" s="109"/>
      <c r="B479" s="10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</row>
    <row r="480" ht="15.75" customHeight="1">
      <c r="A480" s="109"/>
      <c r="B480" s="109"/>
      <c r="C480" s="109"/>
      <c r="D480" s="109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/>
      <c r="AB480" s="109"/>
      <c r="AC480" s="109"/>
      <c r="AD480" s="109"/>
      <c r="AE480" s="109"/>
      <c r="AF480" s="109"/>
      <c r="AG480" s="109"/>
    </row>
    <row r="481" ht="15.75" customHeight="1">
      <c r="A481" s="109"/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</row>
    <row r="482" ht="15.75" customHeight="1">
      <c r="A482" s="109"/>
      <c r="B482" s="109"/>
      <c r="C482" s="109"/>
      <c r="D482" s="109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</row>
    <row r="483" ht="15.75" customHeight="1">
      <c r="A483" s="109"/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</row>
    <row r="484" ht="15.75" customHeight="1">
      <c r="A484" s="109"/>
      <c r="B484" s="109"/>
      <c r="C484" s="109"/>
      <c r="D484" s="109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</row>
    <row r="485" ht="15.75" customHeight="1">
      <c r="A485" s="109"/>
      <c r="B485" s="10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/>
      <c r="AC485" s="109"/>
      <c r="AD485" s="109"/>
      <c r="AE485" s="109"/>
      <c r="AF485" s="109"/>
      <c r="AG485" s="109"/>
    </row>
    <row r="486" ht="15.75" customHeight="1">
      <c r="A486" s="109"/>
      <c r="B486" s="109"/>
      <c r="C486" s="109"/>
      <c r="D486" s="109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09"/>
      <c r="AD486" s="109"/>
      <c r="AE486" s="109"/>
      <c r="AF486" s="109"/>
      <c r="AG486" s="109"/>
    </row>
    <row r="487" ht="15.75" customHeight="1">
      <c r="A487" s="109"/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</row>
    <row r="488" ht="15.75" customHeight="1">
      <c r="A488" s="109"/>
      <c r="B488" s="109"/>
      <c r="C488" s="109"/>
      <c r="D488" s="109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9"/>
      <c r="R488" s="109"/>
      <c r="S488" s="109"/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</row>
    <row r="489" ht="15.75" customHeight="1">
      <c r="A489" s="109"/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</row>
    <row r="490" ht="15.75" customHeight="1">
      <c r="A490" s="109"/>
      <c r="B490" s="109"/>
      <c r="C490" s="109"/>
      <c r="D490" s="109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9"/>
      <c r="R490" s="109"/>
      <c r="S490" s="109"/>
      <c r="T490" s="109"/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</row>
    <row r="491" ht="15.75" customHeight="1">
      <c r="A491" s="109"/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</row>
    <row r="492" ht="15.75" customHeight="1">
      <c r="A492" s="109"/>
      <c r="B492" s="109"/>
      <c r="C492" s="109"/>
      <c r="D492" s="109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</row>
    <row r="493" ht="15.75" customHeight="1">
      <c r="A493" s="109"/>
      <c r="B493" s="10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</row>
    <row r="494" ht="15.75" customHeight="1">
      <c r="A494" s="109"/>
      <c r="B494" s="109"/>
      <c r="C494" s="109"/>
      <c r="D494" s="109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</row>
    <row r="495" ht="15.75" customHeight="1">
      <c r="A495" s="109"/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</row>
    <row r="496" ht="15.75" customHeight="1">
      <c r="A496" s="109"/>
      <c r="B496" s="109"/>
      <c r="C496" s="109"/>
      <c r="D496" s="109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/>
      <c r="Y496" s="109"/>
      <c r="Z496" s="109"/>
      <c r="AA496" s="109"/>
      <c r="AB496" s="109"/>
      <c r="AC496" s="109"/>
      <c r="AD496" s="109"/>
      <c r="AE496" s="109"/>
      <c r="AF496" s="109"/>
      <c r="AG496" s="109"/>
    </row>
    <row r="497" ht="15.75" customHeight="1">
      <c r="A497" s="109"/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</row>
    <row r="498" ht="15.75" customHeight="1">
      <c r="A498" s="109"/>
      <c r="B498" s="109"/>
      <c r="C498" s="109"/>
      <c r="D498" s="109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</row>
    <row r="499" ht="15.75" customHeight="1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</row>
    <row r="500" ht="15.75" customHeight="1">
      <c r="A500" s="109"/>
      <c r="B500" s="109"/>
      <c r="C500" s="109"/>
      <c r="D500" s="109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</row>
    <row r="501" ht="15.75" customHeight="1">
      <c r="A501" s="109"/>
      <c r="B501" s="10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</row>
    <row r="502" ht="15.75" customHeight="1">
      <c r="A502" s="109"/>
      <c r="B502" s="109"/>
      <c r="C502" s="109"/>
      <c r="D502" s="109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</row>
    <row r="503" ht="15.75" customHeight="1">
      <c r="A503" s="109"/>
      <c r="B503" s="109"/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</row>
    <row r="504" ht="15.75" customHeight="1">
      <c r="A504" s="109"/>
      <c r="B504" s="109"/>
      <c r="C504" s="109"/>
      <c r="D504" s="109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</row>
    <row r="505" ht="15.75" customHeight="1">
      <c r="A505" s="109"/>
      <c r="B505" s="109"/>
      <c r="C505" s="109"/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</row>
    <row r="506" ht="15.75" customHeight="1">
      <c r="A506" s="109"/>
      <c r="B506" s="109"/>
      <c r="C506" s="109"/>
      <c r="D506" s="109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9"/>
      <c r="R506" s="109"/>
      <c r="S506" s="109"/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</row>
    <row r="507" ht="15.75" customHeight="1">
      <c r="A507" s="109"/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</row>
    <row r="508" ht="15.75" customHeight="1">
      <c r="A508" s="109"/>
      <c r="B508" s="109"/>
      <c r="C508" s="109"/>
      <c r="D508" s="109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</row>
    <row r="509" ht="15.75" customHeight="1">
      <c r="A509" s="109"/>
      <c r="B509" s="10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</row>
    <row r="510" ht="15.75" customHeight="1">
      <c r="A510" s="109"/>
      <c r="B510" s="109"/>
      <c r="C510" s="109"/>
      <c r="D510" s="109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</row>
    <row r="511" ht="15.75" customHeight="1">
      <c r="A511" s="109"/>
      <c r="B511" s="109"/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</row>
    <row r="512" ht="15.75" customHeight="1">
      <c r="A512" s="109"/>
      <c r="B512" s="109"/>
      <c r="C512" s="109"/>
      <c r="D512" s="109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</row>
    <row r="513" ht="15.75" customHeight="1">
      <c r="A513" s="109"/>
      <c r="B513" s="10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</row>
    <row r="514" ht="15.75" customHeight="1">
      <c r="A514" s="109"/>
      <c r="B514" s="109"/>
      <c r="C514" s="109"/>
      <c r="D514" s="109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</row>
    <row r="515" ht="15.75" customHeight="1">
      <c r="A515" s="109"/>
      <c r="B515" s="109"/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</row>
    <row r="516" ht="15.75" customHeight="1">
      <c r="A516" s="109"/>
      <c r="B516" s="109"/>
      <c r="C516" s="109"/>
      <c r="D516" s="109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</row>
    <row r="517" ht="15.75" customHeight="1">
      <c r="A517" s="109"/>
      <c r="B517" s="10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</row>
    <row r="518" ht="15.75" customHeight="1">
      <c r="A518" s="109"/>
      <c r="B518" s="109"/>
      <c r="C518" s="109"/>
      <c r="D518" s="109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</row>
    <row r="519" ht="15.75" customHeight="1">
      <c r="A519" s="109"/>
      <c r="B519" s="10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</row>
    <row r="520" ht="15.75" customHeight="1">
      <c r="A520" s="109"/>
      <c r="B520" s="109"/>
      <c r="C520" s="109"/>
      <c r="D520" s="109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</row>
    <row r="521" ht="15.75" customHeight="1">
      <c r="A521" s="109"/>
      <c r="B521" s="10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</row>
    <row r="522" ht="15.75" customHeight="1">
      <c r="A522" s="109"/>
      <c r="B522" s="109"/>
      <c r="C522" s="109"/>
      <c r="D522" s="109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</row>
    <row r="523" ht="15.75" customHeight="1">
      <c r="A523" s="109"/>
      <c r="B523" s="10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</row>
    <row r="524" ht="15.75" customHeight="1">
      <c r="A524" s="109"/>
      <c r="B524" s="109"/>
      <c r="C524" s="109"/>
      <c r="D524" s="109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</row>
    <row r="525" ht="15.75" customHeight="1">
      <c r="A525" s="109"/>
      <c r="B525" s="109"/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</row>
    <row r="526" ht="15.75" customHeight="1">
      <c r="A526" s="109"/>
      <c r="B526" s="109"/>
      <c r="C526" s="109"/>
      <c r="D526" s="109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</row>
    <row r="527" ht="15.75" customHeight="1">
      <c r="A527" s="109"/>
      <c r="B527" s="10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</row>
    <row r="528" ht="15.75" customHeight="1">
      <c r="A528" s="109"/>
      <c r="B528" s="109"/>
      <c r="C528" s="109"/>
      <c r="D528" s="109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</row>
    <row r="529" ht="15.75" customHeight="1">
      <c r="A529" s="109"/>
      <c r="B529" s="10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</row>
    <row r="530" ht="15.75" customHeight="1">
      <c r="A530" s="109"/>
      <c r="B530" s="109"/>
      <c r="C530" s="109"/>
      <c r="D530" s="109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</row>
    <row r="531" ht="15.75" customHeight="1">
      <c r="A531" s="109"/>
      <c r="B531" s="10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9"/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</row>
    <row r="532" ht="15.75" customHeight="1">
      <c r="A532" s="109"/>
      <c r="B532" s="109"/>
      <c r="C532" s="109"/>
      <c r="D532" s="109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</row>
    <row r="533" ht="15.75" customHeight="1">
      <c r="A533" s="109"/>
      <c r="B533" s="109"/>
      <c r="C533" s="109"/>
      <c r="D533" s="109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</row>
    <row r="534" ht="15.75" customHeight="1">
      <c r="A534" s="109"/>
      <c r="B534" s="109"/>
      <c r="C534" s="109"/>
      <c r="D534" s="109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9"/>
      <c r="R534" s="109"/>
      <c r="S534" s="109"/>
      <c r="T534" s="109"/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</row>
    <row r="535" ht="15.75" customHeight="1">
      <c r="A535" s="109"/>
      <c r="B535" s="10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</row>
    <row r="536" ht="15.75" customHeight="1">
      <c r="A536" s="109"/>
      <c r="B536" s="109"/>
      <c r="C536" s="109"/>
      <c r="D536" s="109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</row>
    <row r="537" ht="15.75" customHeight="1">
      <c r="A537" s="109"/>
      <c r="B537" s="10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</row>
    <row r="538" ht="15.75" customHeight="1">
      <c r="A538" s="109"/>
      <c r="B538" s="109"/>
      <c r="C538" s="109"/>
      <c r="D538" s="109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</row>
    <row r="539" ht="15.75" customHeight="1">
      <c r="A539" s="109"/>
      <c r="B539" s="109"/>
      <c r="C539" s="109"/>
      <c r="D539" s="109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9"/>
      <c r="R539" s="109"/>
      <c r="S539" s="109"/>
      <c r="T539" s="109"/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</row>
    <row r="540" ht="15.75" customHeight="1">
      <c r="A540" s="109"/>
      <c r="B540" s="109"/>
      <c r="C540" s="109"/>
      <c r="D540" s="109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</row>
    <row r="541" ht="15.75" customHeight="1">
      <c r="A541" s="109"/>
      <c r="B541" s="10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</row>
    <row r="542" ht="15.75" customHeight="1">
      <c r="A542" s="109"/>
      <c r="B542" s="109"/>
      <c r="C542" s="109"/>
      <c r="D542" s="109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</row>
    <row r="543" ht="15.75" customHeight="1">
      <c r="A543" s="109"/>
      <c r="B543" s="10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</row>
    <row r="544" ht="15.75" customHeight="1">
      <c r="A544" s="109"/>
      <c r="B544" s="109"/>
      <c r="C544" s="109"/>
      <c r="D544" s="109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</row>
    <row r="545" ht="15.75" customHeight="1">
      <c r="A545" s="109"/>
      <c r="B545" s="10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</row>
    <row r="546" ht="15.75" customHeight="1">
      <c r="A546" s="109"/>
      <c r="B546" s="109"/>
      <c r="C546" s="109"/>
      <c r="D546" s="109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</row>
    <row r="547" ht="15.75" customHeight="1">
      <c r="A547" s="109"/>
      <c r="B547" s="10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</row>
    <row r="548" ht="15.75" customHeight="1">
      <c r="A548" s="109"/>
      <c r="B548" s="109"/>
      <c r="C548" s="109"/>
      <c r="D548" s="109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</row>
    <row r="549" ht="15.75" customHeight="1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</row>
    <row r="550" ht="15.75" customHeight="1">
      <c r="A550" s="109"/>
      <c r="B550" s="109"/>
      <c r="C550" s="109"/>
      <c r="D550" s="109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</row>
    <row r="551" ht="15.75" customHeight="1">
      <c r="A551" s="109"/>
      <c r="B551" s="10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</row>
    <row r="552" ht="15.75" customHeight="1">
      <c r="A552" s="109"/>
      <c r="B552" s="109"/>
      <c r="C552" s="109"/>
      <c r="D552" s="109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</row>
    <row r="553" ht="15.75" customHeight="1">
      <c r="A553" s="109"/>
      <c r="B553" s="10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</row>
    <row r="554" ht="15.75" customHeight="1">
      <c r="A554" s="109"/>
      <c r="B554" s="109"/>
      <c r="C554" s="109"/>
      <c r="D554" s="109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</row>
    <row r="555" ht="15.75" customHeight="1">
      <c r="A555" s="109"/>
      <c r="B555" s="10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</row>
    <row r="556" ht="15.75" customHeight="1">
      <c r="A556" s="109"/>
      <c r="B556" s="109"/>
      <c r="C556" s="109"/>
      <c r="D556" s="109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</row>
    <row r="557" ht="15.75" customHeight="1">
      <c r="A557" s="109"/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</row>
    <row r="558" ht="15.75" customHeight="1">
      <c r="A558" s="109"/>
      <c r="B558" s="109"/>
      <c r="C558" s="109"/>
      <c r="D558" s="109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</row>
    <row r="559" ht="15.75" customHeight="1">
      <c r="A559" s="109"/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</row>
    <row r="560" ht="15.75" customHeight="1">
      <c r="A560" s="109"/>
      <c r="B560" s="109"/>
      <c r="C560" s="109"/>
      <c r="D560" s="109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</row>
    <row r="561" ht="15.75" customHeight="1">
      <c r="A561" s="109"/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</row>
    <row r="562" ht="15.75" customHeight="1">
      <c r="A562" s="109"/>
      <c r="B562" s="109"/>
      <c r="C562" s="109"/>
      <c r="D562" s="109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</row>
    <row r="563" ht="15.75" customHeight="1">
      <c r="A563" s="109"/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</row>
    <row r="564" ht="15.75" customHeight="1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</row>
    <row r="565" ht="15.75" customHeight="1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</row>
    <row r="566" ht="15.75" customHeight="1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/>
    </row>
    <row r="567" ht="15.75" customHeight="1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</row>
    <row r="568" ht="15.75" customHeight="1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</row>
    <row r="569" ht="15.75" customHeight="1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</row>
    <row r="570" ht="15.75" customHeight="1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</row>
    <row r="571" ht="15.75" customHeight="1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</row>
    <row r="572" ht="15.75" customHeight="1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</row>
    <row r="573" ht="15.75" customHeight="1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</row>
    <row r="574" ht="15.75" customHeight="1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s="109"/>
      <c r="S574" s="109"/>
      <c r="T574" s="109"/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</row>
    <row r="575" ht="15.75" customHeight="1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</row>
    <row r="576" ht="15.75" customHeight="1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</row>
    <row r="577" ht="15.75" customHeight="1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</row>
    <row r="578" ht="15.75" customHeight="1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</row>
    <row r="579" ht="15.75" customHeight="1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</row>
    <row r="580" ht="15.75" customHeight="1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</row>
    <row r="581" ht="15.75" customHeight="1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</row>
    <row r="582" ht="15.75" customHeight="1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</row>
    <row r="583" ht="15.75" customHeight="1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</row>
    <row r="584" ht="15.75" customHeight="1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</row>
    <row r="585" ht="15.75" customHeight="1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</row>
    <row r="586" ht="15.75" customHeight="1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</row>
    <row r="587" ht="15.75" customHeight="1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</row>
    <row r="588" ht="15.75" customHeight="1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</row>
    <row r="589" ht="15.75" customHeight="1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s="109"/>
      <c r="S589" s="109"/>
      <c r="T589" s="109"/>
      <c r="U589" s="109"/>
      <c r="V589" s="109"/>
      <c r="W589" s="109"/>
      <c r="X589" s="109"/>
      <c r="Y589" s="109"/>
      <c r="Z589" s="109"/>
      <c r="AA589" s="109"/>
      <c r="AB589" s="109"/>
      <c r="AC589" s="109"/>
      <c r="AD589" s="109"/>
      <c r="AE589" s="109"/>
      <c r="AF589" s="109"/>
      <c r="AG589" s="109"/>
    </row>
    <row r="590" ht="15.75" customHeight="1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s="109"/>
      <c r="S590" s="109"/>
      <c r="T590" s="109"/>
      <c r="U590" s="109"/>
      <c r="V590" s="109"/>
      <c r="W590" s="109"/>
      <c r="X590" s="109"/>
      <c r="Y590" s="109"/>
      <c r="Z590" s="109"/>
      <c r="AA590" s="109"/>
      <c r="AB590" s="109"/>
      <c r="AC590" s="109"/>
      <c r="AD590" s="109"/>
      <c r="AE590" s="109"/>
      <c r="AF590" s="109"/>
      <c r="AG590" s="109"/>
    </row>
    <row r="591" ht="15.75" customHeight="1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s="109"/>
      <c r="S591" s="109"/>
      <c r="T591" s="109"/>
      <c r="U591" s="109"/>
      <c r="V591" s="109"/>
      <c r="W591" s="109"/>
      <c r="X591" s="109"/>
      <c r="Y591" s="109"/>
      <c r="Z591" s="109"/>
      <c r="AA591" s="109"/>
      <c r="AB591" s="109"/>
      <c r="AC591" s="109"/>
      <c r="AD591" s="109"/>
      <c r="AE591" s="109"/>
      <c r="AF591" s="109"/>
      <c r="AG591" s="109"/>
    </row>
    <row r="592" ht="15.75" customHeight="1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s="109"/>
      <c r="S592" s="109"/>
      <c r="T592" s="109"/>
      <c r="U592" s="109"/>
      <c r="V592" s="109"/>
      <c r="W592" s="109"/>
      <c r="X592" s="109"/>
      <c r="Y592" s="109"/>
      <c r="Z592" s="109"/>
      <c r="AA592" s="109"/>
      <c r="AB592" s="109"/>
      <c r="AC592" s="109"/>
      <c r="AD592" s="109"/>
      <c r="AE592" s="109"/>
      <c r="AF592" s="109"/>
      <c r="AG592" s="109"/>
    </row>
    <row r="593" ht="15.75" customHeight="1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s="109"/>
      <c r="S593" s="109"/>
      <c r="T593" s="109"/>
      <c r="U593" s="109"/>
      <c r="V593" s="109"/>
      <c r="W593" s="109"/>
      <c r="X593" s="109"/>
      <c r="Y593" s="109"/>
      <c r="Z593" s="109"/>
      <c r="AA593" s="109"/>
      <c r="AB593" s="109"/>
      <c r="AC593" s="109"/>
      <c r="AD593" s="109"/>
      <c r="AE593" s="109"/>
      <c r="AF593" s="109"/>
      <c r="AG593" s="109"/>
    </row>
    <row r="594" ht="15.75" customHeight="1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s="109"/>
      <c r="S594" s="109"/>
      <c r="T594" s="109"/>
      <c r="U594" s="109"/>
      <c r="V594" s="109"/>
      <c r="W594" s="109"/>
      <c r="X594" s="109"/>
      <c r="Y594" s="109"/>
      <c r="Z594" s="109"/>
      <c r="AA594" s="109"/>
      <c r="AB594" s="109"/>
      <c r="AC594" s="109"/>
      <c r="AD594" s="109"/>
      <c r="AE594" s="109"/>
      <c r="AF594" s="109"/>
      <c r="AG594" s="109"/>
    </row>
    <row r="595" ht="15.75" customHeight="1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s="109"/>
      <c r="S595" s="109"/>
      <c r="T595" s="109"/>
      <c r="U595" s="109"/>
      <c r="V595" s="109"/>
      <c r="W595" s="109"/>
      <c r="X595" s="109"/>
      <c r="Y595" s="109"/>
      <c r="Z595" s="109"/>
      <c r="AA595" s="109"/>
      <c r="AB595" s="109"/>
      <c r="AC595" s="109"/>
      <c r="AD595" s="109"/>
      <c r="AE595" s="109"/>
      <c r="AF595" s="109"/>
      <c r="AG595" s="109"/>
    </row>
    <row r="596" ht="15.75" customHeight="1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s="109"/>
      <c r="S596" s="109"/>
      <c r="T596" s="109"/>
      <c r="U596" s="109"/>
      <c r="V596" s="109"/>
      <c r="W596" s="109"/>
      <c r="X596" s="109"/>
      <c r="Y596" s="109"/>
      <c r="Z596" s="109"/>
      <c r="AA596" s="109"/>
      <c r="AB596" s="109"/>
      <c r="AC596" s="109"/>
      <c r="AD596" s="109"/>
      <c r="AE596" s="109"/>
      <c r="AF596" s="109"/>
      <c r="AG596" s="109"/>
    </row>
    <row r="597" ht="15.75" customHeight="1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s="109"/>
      <c r="S597" s="109"/>
      <c r="T597" s="109"/>
      <c r="U597" s="109"/>
      <c r="V597" s="109"/>
      <c r="W597" s="109"/>
      <c r="X597" s="109"/>
      <c r="Y597" s="109"/>
      <c r="Z597" s="109"/>
      <c r="AA597" s="109"/>
      <c r="AB597" s="109"/>
      <c r="AC597" s="109"/>
      <c r="AD597" s="109"/>
      <c r="AE597" s="109"/>
      <c r="AF597" s="109"/>
      <c r="AG597" s="109"/>
    </row>
    <row r="598" ht="15.75" customHeight="1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s="109"/>
      <c r="S598" s="109"/>
      <c r="T598" s="109"/>
      <c r="U598" s="109"/>
      <c r="V598" s="109"/>
      <c r="W598" s="109"/>
      <c r="X598" s="109"/>
      <c r="Y598" s="109"/>
      <c r="Z598" s="109"/>
      <c r="AA598" s="109"/>
      <c r="AB598" s="109"/>
      <c r="AC598" s="109"/>
      <c r="AD598" s="109"/>
      <c r="AE598" s="109"/>
      <c r="AF598" s="109"/>
      <c r="AG598" s="109"/>
    </row>
    <row r="599" ht="15.75" customHeight="1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  <c r="W599" s="109"/>
      <c r="X599" s="109"/>
      <c r="Y599" s="109"/>
      <c r="Z599" s="109"/>
      <c r="AA599" s="109"/>
      <c r="AB599" s="109"/>
      <c r="AC599" s="109"/>
      <c r="AD599" s="109"/>
      <c r="AE599" s="109"/>
      <c r="AF599" s="109"/>
      <c r="AG599" s="109"/>
    </row>
    <row r="600" ht="15.75" customHeight="1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s="109"/>
      <c r="S600" s="109"/>
      <c r="T600" s="109"/>
      <c r="U600" s="109"/>
      <c r="V600" s="109"/>
      <c r="W600" s="109"/>
      <c r="X600" s="109"/>
      <c r="Y600" s="109"/>
      <c r="Z600" s="109"/>
      <c r="AA600" s="109"/>
      <c r="AB600" s="109"/>
      <c r="AC600" s="109"/>
      <c r="AD600" s="109"/>
      <c r="AE600" s="109"/>
      <c r="AF600" s="109"/>
      <c r="AG600" s="109"/>
    </row>
    <row r="601" ht="15.75" customHeight="1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  <c r="R601" s="109"/>
      <c r="S601" s="109"/>
      <c r="T601" s="109"/>
      <c r="U601" s="109"/>
      <c r="V601" s="109"/>
      <c r="W601" s="109"/>
      <c r="X601" s="109"/>
      <c r="Y601" s="109"/>
      <c r="Z601" s="109"/>
      <c r="AA601" s="109"/>
      <c r="AB601" s="109"/>
      <c r="AC601" s="109"/>
      <c r="AD601" s="109"/>
      <c r="AE601" s="109"/>
      <c r="AF601" s="109"/>
      <c r="AG601" s="109"/>
    </row>
    <row r="602" ht="15.75" customHeight="1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  <c r="R602" s="109"/>
      <c r="S602" s="109"/>
      <c r="T602" s="109"/>
      <c r="U602" s="109"/>
      <c r="V602" s="109"/>
      <c r="W602" s="109"/>
      <c r="X602" s="109"/>
      <c r="Y602" s="109"/>
      <c r="Z602" s="109"/>
      <c r="AA602" s="109"/>
      <c r="AB602" s="109"/>
      <c r="AC602" s="109"/>
      <c r="AD602" s="109"/>
      <c r="AE602" s="109"/>
      <c r="AF602" s="109"/>
      <c r="AG602" s="109"/>
    </row>
    <row r="603" ht="15.75" customHeight="1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  <c r="R603" s="109"/>
      <c r="S603" s="109"/>
      <c r="T603" s="109"/>
      <c r="U603" s="109"/>
      <c r="V603" s="109"/>
      <c r="W603" s="109"/>
      <c r="X603" s="109"/>
      <c r="Y603" s="109"/>
      <c r="Z603" s="109"/>
      <c r="AA603" s="109"/>
      <c r="AB603" s="109"/>
      <c r="AC603" s="109"/>
      <c r="AD603" s="109"/>
      <c r="AE603" s="109"/>
      <c r="AF603" s="109"/>
      <c r="AG603" s="109"/>
    </row>
    <row r="604" ht="15.75" customHeight="1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  <c r="R604" s="109"/>
      <c r="S604" s="109"/>
      <c r="T604" s="109"/>
      <c r="U604" s="109"/>
      <c r="V604" s="109"/>
      <c r="W604" s="109"/>
      <c r="X604" s="109"/>
      <c r="Y604" s="109"/>
      <c r="Z604" s="109"/>
      <c r="AA604" s="109"/>
      <c r="AB604" s="109"/>
      <c r="AC604" s="109"/>
      <c r="AD604" s="109"/>
      <c r="AE604" s="109"/>
      <c r="AF604" s="109"/>
      <c r="AG604" s="109"/>
    </row>
    <row r="605" ht="15.75" customHeight="1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  <c r="R605" s="109"/>
      <c r="S605" s="109"/>
      <c r="T605" s="109"/>
      <c r="U605" s="109"/>
      <c r="V605" s="109"/>
      <c r="W605" s="109"/>
      <c r="X605" s="109"/>
      <c r="Y605" s="109"/>
      <c r="Z605" s="109"/>
      <c r="AA605" s="109"/>
      <c r="AB605" s="109"/>
      <c r="AC605" s="109"/>
      <c r="AD605" s="109"/>
      <c r="AE605" s="109"/>
      <c r="AF605" s="109"/>
      <c r="AG605" s="109"/>
    </row>
    <row r="606" ht="15.75" customHeight="1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  <c r="R606" s="109"/>
      <c r="S606" s="109"/>
      <c r="T606" s="109"/>
      <c r="U606" s="109"/>
      <c r="V606" s="109"/>
      <c r="W606" s="109"/>
      <c r="X606" s="109"/>
      <c r="Y606" s="109"/>
      <c r="Z606" s="109"/>
      <c r="AA606" s="109"/>
      <c r="AB606" s="109"/>
      <c r="AC606" s="109"/>
      <c r="AD606" s="109"/>
      <c r="AE606" s="109"/>
      <c r="AF606" s="109"/>
      <c r="AG606" s="109"/>
    </row>
    <row r="607" ht="15.75" customHeight="1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  <c r="R607" s="109"/>
      <c r="S607" s="109"/>
      <c r="T607" s="109"/>
      <c r="U607" s="109"/>
      <c r="V607" s="109"/>
      <c r="W607" s="109"/>
      <c r="X607" s="109"/>
      <c r="Y607" s="109"/>
      <c r="Z607" s="109"/>
      <c r="AA607" s="109"/>
      <c r="AB607" s="109"/>
      <c r="AC607" s="109"/>
      <c r="AD607" s="109"/>
      <c r="AE607" s="109"/>
      <c r="AF607" s="109"/>
      <c r="AG607" s="109"/>
    </row>
    <row r="608" ht="15.75" customHeight="1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  <c r="R608" s="109"/>
      <c r="S608" s="109"/>
      <c r="T608" s="109"/>
      <c r="U608" s="109"/>
      <c r="V608" s="109"/>
      <c r="W608" s="109"/>
      <c r="X608" s="109"/>
      <c r="Y608" s="109"/>
      <c r="Z608" s="109"/>
      <c r="AA608" s="109"/>
      <c r="AB608" s="109"/>
      <c r="AC608" s="109"/>
      <c r="AD608" s="109"/>
      <c r="AE608" s="109"/>
      <c r="AF608" s="109"/>
      <c r="AG608" s="109"/>
    </row>
    <row r="609" ht="15.75" customHeight="1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  <c r="R609" s="109"/>
      <c r="S609" s="109"/>
      <c r="T609" s="109"/>
      <c r="U609" s="109"/>
      <c r="V609" s="109"/>
      <c r="W609" s="109"/>
      <c r="X609" s="109"/>
      <c r="Y609" s="109"/>
      <c r="Z609" s="109"/>
      <c r="AA609" s="109"/>
      <c r="AB609" s="109"/>
      <c r="AC609" s="109"/>
      <c r="AD609" s="109"/>
      <c r="AE609" s="109"/>
      <c r="AF609" s="109"/>
      <c r="AG609" s="109"/>
    </row>
    <row r="610" ht="15.75" customHeight="1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  <c r="R610" s="109"/>
      <c r="S610" s="109"/>
      <c r="T610" s="109"/>
      <c r="U610" s="109"/>
      <c r="V610" s="109"/>
      <c r="W610" s="109"/>
      <c r="X610" s="109"/>
      <c r="Y610" s="109"/>
      <c r="Z610" s="109"/>
      <c r="AA610" s="109"/>
      <c r="AB610" s="109"/>
      <c r="AC610" s="109"/>
      <c r="AD610" s="109"/>
      <c r="AE610" s="109"/>
      <c r="AF610" s="109"/>
      <c r="AG610" s="109"/>
    </row>
    <row r="611" ht="15.75" customHeight="1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  <c r="R611" s="109"/>
      <c r="S611" s="109"/>
      <c r="T611" s="109"/>
      <c r="U611" s="109"/>
      <c r="V611" s="109"/>
      <c r="W611" s="109"/>
      <c r="X611" s="109"/>
      <c r="Y611" s="109"/>
      <c r="Z611" s="109"/>
      <c r="AA611" s="109"/>
      <c r="AB611" s="109"/>
      <c r="AC611" s="109"/>
      <c r="AD611" s="109"/>
      <c r="AE611" s="109"/>
      <c r="AF611" s="109"/>
      <c r="AG611" s="109"/>
    </row>
    <row r="612" ht="15.75" customHeight="1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  <c r="R612" s="109"/>
      <c r="S612" s="109"/>
      <c r="T612" s="109"/>
      <c r="U612" s="109"/>
      <c r="V612" s="109"/>
      <c r="W612" s="109"/>
      <c r="X612" s="109"/>
      <c r="Y612" s="109"/>
      <c r="Z612" s="109"/>
      <c r="AA612" s="109"/>
      <c r="AB612" s="109"/>
      <c r="AC612" s="109"/>
      <c r="AD612" s="109"/>
      <c r="AE612" s="109"/>
      <c r="AF612" s="109"/>
      <c r="AG612" s="109"/>
    </row>
    <row r="613" ht="15.75" customHeight="1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  <c r="R613" s="109"/>
      <c r="S613" s="109"/>
      <c r="T613" s="109"/>
      <c r="U613" s="109"/>
      <c r="V613" s="109"/>
      <c r="W613" s="109"/>
      <c r="X613" s="109"/>
      <c r="Y613" s="109"/>
      <c r="Z613" s="109"/>
      <c r="AA613" s="109"/>
      <c r="AB613" s="109"/>
      <c r="AC613" s="109"/>
      <c r="AD613" s="109"/>
      <c r="AE613" s="109"/>
      <c r="AF613" s="109"/>
      <c r="AG613" s="109"/>
    </row>
    <row r="614" ht="15.75" customHeight="1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  <c r="R614" s="109"/>
      <c r="S614" s="109"/>
      <c r="T614" s="109"/>
      <c r="U614" s="109"/>
      <c r="V614" s="109"/>
      <c r="W614" s="109"/>
      <c r="X614" s="109"/>
      <c r="Y614" s="109"/>
      <c r="Z614" s="109"/>
      <c r="AA614" s="109"/>
      <c r="AB614" s="109"/>
      <c r="AC614" s="109"/>
      <c r="AD614" s="109"/>
      <c r="AE614" s="109"/>
      <c r="AF614" s="109"/>
      <c r="AG614" s="109"/>
    </row>
    <row r="615" ht="15.75" customHeight="1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  <c r="R615" s="109"/>
      <c r="S615" s="109"/>
      <c r="T615" s="109"/>
      <c r="U615" s="109"/>
      <c r="V615" s="109"/>
      <c r="W615" s="109"/>
      <c r="X615" s="109"/>
      <c r="Y615" s="109"/>
      <c r="Z615" s="109"/>
      <c r="AA615" s="109"/>
      <c r="AB615" s="109"/>
      <c r="AC615" s="109"/>
      <c r="AD615" s="109"/>
      <c r="AE615" s="109"/>
      <c r="AF615" s="109"/>
      <c r="AG615" s="109"/>
    </row>
    <row r="616" ht="15.75" customHeight="1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  <c r="R616" s="109"/>
      <c r="S616" s="109"/>
      <c r="T616" s="109"/>
      <c r="U616" s="109"/>
      <c r="V616" s="109"/>
      <c r="W616" s="109"/>
      <c r="X616" s="109"/>
      <c r="Y616" s="109"/>
      <c r="Z616" s="109"/>
      <c r="AA616" s="109"/>
      <c r="AB616" s="109"/>
      <c r="AC616" s="109"/>
      <c r="AD616" s="109"/>
      <c r="AE616" s="109"/>
      <c r="AF616" s="109"/>
      <c r="AG616" s="109"/>
    </row>
    <row r="617" ht="15.75" customHeight="1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  <c r="R617" s="109"/>
      <c r="S617" s="109"/>
      <c r="T617" s="109"/>
      <c r="U617" s="109"/>
      <c r="V617" s="109"/>
      <c r="W617" s="109"/>
      <c r="X617" s="109"/>
      <c r="Y617" s="109"/>
      <c r="Z617" s="109"/>
      <c r="AA617" s="109"/>
      <c r="AB617" s="109"/>
      <c r="AC617" s="109"/>
      <c r="AD617" s="109"/>
      <c r="AE617" s="109"/>
      <c r="AF617" s="109"/>
      <c r="AG617" s="109"/>
    </row>
    <row r="618" ht="15.75" customHeight="1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  <c r="R618" s="109"/>
      <c r="S618" s="109"/>
      <c r="T618" s="109"/>
      <c r="U618" s="109"/>
      <c r="V618" s="109"/>
      <c r="W618" s="109"/>
      <c r="X618" s="109"/>
      <c r="Y618" s="109"/>
      <c r="Z618" s="109"/>
      <c r="AA618" s="109"/>
      <c r="AB618" s="109"/>
      <c r="AC618" s="109"/>
      <c r="AD618" s="109"/>
      <c r="AE618" s="109"/>
      <c r="AF618" s="109"/>
      <c r="AG618" s="109"/>
    </row>
    <row r="619" ht="15.75" customHeight="1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  <c r="R619" s="109"/>
      <c r="S619" s="109"/>
      <c r="T619" s="109"/>
      <c r="U619" s="109"/>
      <c r="V619" s="109"/>
      <c r="W619" s="109"/>
      <c r="X619" s="109"/>
      <c r="Y619" s="109"/>
      <c r="Z619" s="109"/>
      <c r="AA619" s="109"/>
      <c r="AB619" s="109"/>
      <c r="AC619" s="109"/>
      <c r="AD619" s="109"/>
      <c r="AE619" s="109"/>
      <c r="AF619" s="109"/>
      <c r="AG619" s="109"/>
    </row>
    <row r="620" ht="15.75" customHeight="1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  <c r="R620" s="109"/>
      <c r="S620" s="109"/>
      <c r="T620" s="109"/>
      <c r="U620" s="109"/>
      <c r="V620" s="109"/>
      <c r="W620" s="109"/>
      <c r="X620" s="109"/>
      <c r="Y620" s="109"/>
      <c r="Z620" s="109"/>
      <c r="AA620" s="109"/>
      <c r="AB620" s="109"/>
      <c r="AC620" s="109"/>
      <c r="AD620" s="109"/>
      <c r="AE620" s="109"/>
      <c r="AF620" s="109"/>
      <c r="AG620" s="109"/>
    </row>
    <row r="621" ht="15.75" customHeight="1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  <c r="R621" s="109"/>
      <c r="S621" s="109"/>
      <c r="T621" s="109"/>
      <c r="U621" s="109"/>
      <c r="V621" s="109"/>
      <c r="W621" s="109"/>
      <c r="X621" s="109"/>
      <c r="Y621" s="109"/>
      <c r="Z621" s="109"/>
      <c r="AA621" s="109"/>
      <c r="AB621" s="109"/>
      <c r="AC621" s="109"/>
      <c r="AD621" s="109"/>
      <c r="AE621" s="109"/>
      <c r="AF621" s="109"/>
      <c r="AG621" s="109"/>
    </row>
    <row r="622" ht="15.75" customHeight="1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09"/>
      <c r="AE622" s="109"/>
      <c r="AF622" s="109"/>
      <c r="AG622" s="109"/>
    </row>
    <row r="623" ht="15.75" customHeight="1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  <c r="R623" s="109"/>
      <c r="S623" s="109"/>
      <c r="T623" s="109"/>
      <c r="U623" s="109"/>
      <c r="V623" s="109"/>
      <c r="W623" s="109"/>
      <c r="X623" s="109"/>
      <c r="Y623" s="109"/>
      <c r="Z623" s="109"/>
      <c r="AA623" s="109"/>
      <c r="AB623" s="109"/>
      <c r="AC623" s="109"/>
      <c r="AD623" s="109"/>
      <c r="AE623" s="109"/>
      <c r="AF623" s="109"/>
      <c r="AG623" s="109"/>
    </row>
    <row r="624" ht="15.75" customHeight="1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  <c r="R624" s="109"/>
      <c r="S624" s="109"/>
      <c r="T624" s="109"/>
      <c r="U624" s="109"/>
      <c r="V624" s="109"/>
      <c r="W624" s="109"/>
      <c r="X624" s="109"/>
      <c r="Y624" s="109"/>
      <c r="Z624" s="109"/>
      <c r="AA624" s="109"/>
      <c r="AB624" s="109"/>
      <c r="AC624" s="109"/>
      <c r="AD624" s="109"/>
      <c r="AE624" s="109"/>
      <c r="AF624" s="109"/>
      <c r="AG624" s="109"/>
    </row>
    <row r="625" ht="15.75" customHeight="1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  <c r="R625" s="109"/>
      <c r="S625" s="109"/>
      <c r="T625" s="109"/>
      <c r="U625" s="109"/>
      <c r="V625" s="109"/>
      <c r="W625" s="109"/>
      <c r="X625" s="109"/>
      <c r="Y625" s="109"/>
      <c r="Z625" s="109"/>
      <c r="AA625" s="109"/>
      <c r="AB625" s="109"/>
      <c r="AC625" s="109"/>
      <c r="AD625" s="109"/>
      <c r="AE625" s="109"/>
      <c r="AF625" s="109"/>
      <c r="AG625" s="109"/>
    </row>
    <row r="626" ht="15.75" customHeight="1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  <c r="R626" s="109"/>
      <c r="S626" s="109"/>
      <c r="T626" s="109"/>
      <c r="U626" s="109"/>
      <c r="V626" s="109"/>
      <c r="W626" s="109"/>
      <c r="X626" s="109"/>
      <c r="Y626" s="109"/>
      <c r="Z626" s="109"/>
      <c r="AA626" s="109"/>
      <c r="AB626" s="109"/>
      <c r="AC626" s="109"/>
      <c r="AD626" s="109"/>
      <c r="AE626" s="109"/>
      <c r="AF626" s="109"/>
      <c r="AG626" s="109"/>
    </row>
    <row r="627" ht="15.75" customHeight="1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  <c r="R627" s="109"/>
      <c r="S627" s="109"/>
      <c r="T627" s="109"/>
      <c r="U627" s="109"/>
      <c r="V627" s="109"/>
      <c r="W627" s="109"/>
      <c r="X627" s="109"/>
      <c r="Y627" s="109"/>
      <c r="Z627" s="109"/>
      <c r="AA627" s="109"/>
      <c r="AB627" s="109"/>
      <c r="AC627" s="109"/>
      <c r="AD627" s="109"/>
      <c r="AE627" s="109"/>
      <c r="AF627" s="109"/>
      <c r="AG627" s="109"/>
    </row>
    <row r="628" ht="15.75" customHeight="1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  <c r="R628" s="109"/>
      <c r="S628" s="109"/>
      <c r="T628" s="109"/>
      <c r="U628" s="109"/>
      <c r="V628" s="109"/>
      <c r="W628" s="109"/>
      <c r="X628" s="109"/>
      <c r="Y628" s="109"/>
      <c r="Z628" s="109"/>
      <c r="AA628" s="109"/>
      <c r="AB628" s="109"/>
      <c r="AC628" s="109"/>
      <c r="AD628" s="109"/>
      <c r="AE628" s="109"/>
      <c r="AF628" s="109"/>
      <c r="AG628" s="109"/>
    </row>
    <row r="629" ht="15.75" customHeight="1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  <c r="R629" s="109"/>
      <c r="S629" s="109"/>
      <c r="T629" s="109"/>
      <c r="U629" s="109"/>
      <c r="V629" s="109"/>
      <c r="W629" s="109"/>
      <c r="X629" s="109"/>
      <c r="Y629" s="109"/>
      <c r="Z629" s="109"/>
      <c r="AA629" s="109"/>
      <c r="AB629" s="109"/>
      <c r="AC629" s="109"/>
      <c r="AD629" s="109"/>
      <c r="AE629" s="109"/>
      <c r="AF629" s="109"/>
      <c r="AG629" s="109"/>
    </row>
    <row r="630" ht="15.75" customHeight="1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  <c r="R630" s="109"/>
      <c r="S630" s="109"/>
      <c r="T630" s="109"/>
      <c r="U630" s="109"/>
      <c r="V630" s="109"/>
      <c r="W630" s="109"/>
      <c r="X630" s="109"/>
      <c r="Y630" s="109"/>
      <c r="Z630" s="109"/>
      <c r="AA630" s="109"/>
      <c r="AB630" s="109"/>
      <c r="AC630" s="109"/>
      <c r="AD630" s="109"/>
      <c r="AE630" s="109"/>
      <c r="AF630" s="109"/>
      <c r="AG630" s="109"/>
    </row>
    <row r="631" ht="15.75" customHeight="1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  <c r="R631" s="109"/>
      <c r="S631" s="109"/>
      <c r="T631" s="109"/>
      <c r="U631" s="109"/>
      <c r="V631" s="109"/>
      <c r="W631" s="109"/>
      <c r="X631" s="109"/>
      <c r="Y631" s="109"/>
      <c r="Z631" s="109"/>
      <c r="AA631" s="109"/>
      <c r="AB631" s="109"/>
      <c r="AC631" s="109"/>
      <c r="AD631" s="109"/>
      <c r="AE631" s="109"/>
      <c r="AF631" s="109"/>
      <c r="AG631" s="109"/>
    </row>
    <row r="632" ht="15.75" customHeight="1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  <c r="R632" s="109"/>
      <c r="S632" s="109"/>
      <c r="T632" s="109"/>
      <c r="U632" s="109"/>
      <c r="V632" s="109"/>
      <c r="W632" s="109"/>
      <c r="X632" s="109"/>
      <c r="Y632" s="109"/>
      <c r="Z632" s="109"/>
      <c r="AA632" s="109"/>
      <c r="AB632" s="109"/>
      <c r="AC632" s="109"/>
      <c r="AD632" s="109"/>
      <c r="AE632" s="109"/>
      <c r="AF632" s="109"/>
      <c r="AG632" s="109"/>
    </row>
    <row r="633" ht="15.75" customHeight="1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  <c r="R633" s="109"/>
      <c r="S633" s="109"/>
      <c r="T633" s="109"/>
      <c r="U633" s="109"/>
      <c r="V633" s="109"/>
      <c r="W633" s="109"/>
      <c r="X633" s="109"/>
      <c r="Y633" s="109"/>
      <c r="Z633" s="109"/>
      <c r="AA633" s="109"/>
      <c r="AB633" s="109"/>
      <c r="AC633" s="109"/>
      <c r="AD633" s="109"/>
      <c r="AE633" s="109"/>
      <c r="AF633" s="109"/>
      <c r="AG633" s="109"/>
    </row>
    <row r="634" ht="15.75" customHeight="1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  <c r="R634" s="109"/>
      <c r="S634" s="109"/>
      <c r="T634" s="109"/>
      <c r="U634" s="109"/>
      <c r="V634" s="109"/>
      <c r="W634" s="109"/>
      <c r="X634" s="109"/>
      <c r="Y634" s="109"/>
      <c r="Z634" s="109"/>
      <c r="AA634" s="109"/>
      <c r="AB634" s="109"/>
      <c r="AC634" s="109"/>
      <c r="AD634" s="109"/>
      <c r="AE634" s="109"/>
      <c r="AF634" s="109"/>
      <c r="AG634" s="109"/>
    </row>
    <row r="635" ht="15.75" customHeight="1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  <c r="R635" s="109"/>
      <c r="S635" s="109"/>
      <c r="T635" s="109"/>
      <c r="U635" s="109"/>
      <c r="V635" s="109"/>
      <c r="W635" s="109"/>
      <c r="X635" s="109"/>
      <c r="Y635" s="109"/>
      <c r="Z635" s="109"/>
      <c r="AA635" s="109"/>
      <c r="AB635" s="109"/>
      <c r="AC635" s="109"/>
      <c r="AD635" s="109"/>
      <c r="AE635" s="109"/>
      <c r="AF635" s="109"/>
      <c r="AG635" s="109"/>
    </row>
    <row r="636" ht="15.75" customHeight="1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  <c r="R636" s="109"/>
      <c r="S636" s="109"/>
      <c r="T636" s="109"/>
      <c r="U636" s="109"/>
      <c r="V636" s="109"/>
      <c r="W636" s="109"/>
      <c r="X636" s="109"/>
      <c r="Y636" s="109"/>
      <c r="Z636" s="109"/>
      <c r="AA636" s="109"/>
      <c r="AB636" s="109"/>
      <c r="AC636" s="109"/>
      <c r="AD636" s="109"/>
      <c r="AE636" s="109"/>
      <c r="AF636" s="109"/>
      <c r="AG636" s="109"/>
    </row>
    <row r="637" ht="15.75" customHeight="1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  <c r="R637" s="109"/>
      <c r="S637" s="109"/>
      <c r="T637" s="109"/>
      <c r="U637" s="109"/>
      <c r="V637" s="109"/>
      <c r="W637" s="109"/>
      <c r="X637" s="109"/>
      <c r="Y637" s="109"/>
      <c r="Z637" s="109"/>
      <c r="AA637" s="109"/>
      <c r="AB637" s="109"/>
      <c r="AC637" s="109"/>
      <c r="AD637" s="109"/>
      <c r="AE637" s="109"/>
      <c r="AF637" s="109"/>
      <c r="AG637" s="109"/>
    </row>
    <row r="638" ht="15.75" customHeight="1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  <c r="R638" s="109"/>
      <c r="S638" s="109"/>
      <c r="T638" s="109"/>
      <c r="U638" s="109"/>
      <c r="V638" s="109"/>
      <c r="W638" s="109"/>
      <c r="X638" s="109"/>
      <c r="Y638" s="109"/>
      <c r="Z638" s="109"/>
      <c r="AA638" s="109"/>
      <c r="AB638" s="109"/>
      <c r="AC638" s="109"/>
      <c r="AD638" s="109"/>
      <c r="AE638" s="109"/>
      <c r="AF638" s="109"/>
      <c r="AG638" s="109"/>
    </row>
    <row r="639" ht="15.75" customHeight="1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  <c r="R639" s="109"/>
      <c r="S639" s="109"/>
      <c r="T639" s="109"/>
      <c r="U639" s="109"/>
      <c r="V639" s="109"/>
      <c r="W639" s="109"/>
      <c r="X639" s="109"/>
      <c r="Y639" s="109"/>
      <c r="Z639" s="109"/>
      <c r="AA639" s="109"/>
      <c r="AB639" s="109"/>
      <c r="AC639" s="109"/>
      <c r="AD639" s="109"/>
      <c r="AE639" s="109"/>
      <c r="AF639" s="109"/>
      <c r="AG639" s="109"/>
    </row>
    <row r="640" ht="15.75" customHeight="1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  <c r="R640" s="109"/>
      <c r="S640" s="109"/>
      <c r="T640" s="109"/>
      <c r="U640" s="109"/>
      <c r="V640" s="109"/>
      <c r="W640" s="109"/>
      <c r="X640" s="109"/>
      <c r="Y640" s="109"/>
      <c r="Z640" s="109"/>
      <c r="AA640" s="109"/>
      <c r="AB640" s="109"/>
      <c r="AC640" s="109"/>
      <c r="AD640" s="109"/>
      <c r="AE640" s="109"/>
      <c r="AF640" s="109"/>
      <c r="AG640" s="109"/>
    </row>
    <row r="641" ht="15.75" customHeight="1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  <c r="R641" s="109"/>
      <c r="S641" s="109"/>
      <c r="T641" s="109"/>
      <c r="U641" s="109"/>
      <c r="V641" s="109"/>
      <c r="W641" s="109"/>
      <c r="X641" s="109"/>
      <c r="Y641" s="109"/>
      <c r="Z641" s="109"/>
      <c r="AA641" s="109"/>
      <c r="AB641" s="109"/>
      <c r="AC641" s="109"/>
      <c r="AD641" s="109"/>
      <c r="AE641" s="109"/>
      <c r="AF641" s="109"/>
      <c r="AG641" s="109"/>
    </row>
    <row r="642" ht="15.75" customHeight="1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  <c r="R642" s="109"/>
      <c r="S642" s="109"/>
      <c r="T642" s="109"/>
      <c r="U642" s="109"/>
      <c r="V642" s="109"/>
      <c r="W642" s="109"/>
      <c r="X642" s="109"/>
      <c r="Y642" s="109"/>
      <c r="Z642" s="109"/>
      <c r="AA642" s="109"/>
      <c r="AB642" s="109"/>
      <c r="AC642" s="109"/>
      <c r="AD642" s="109"/>
      <c r="AE642" s="109"/>
      <c r="AF642" s="109"/>
      <c r="AG642" s="109"/>
    </row>
    <row r="643" ht="15.75" customHeight="1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  <c r="R643" s="109"/>
      <c r="S643" s="109"/>
      <c r="T643" s="109"/>
      <c r="U643" s="109"/>
      <c r="V643" s="109"/>
      <c r="W643" s="109"/>
      <c r="X643" s="109"/>
      <c r="Y643" s="109"/>
      <c r="Z643" s="109"/>
      <c r="AA643" s="109"/>
      <c r="AB643" s="109"/>
      <c r="AC643" s="109"/>
      <c r="AD643" s="109"/>
      <c r="AE643" s="109"/>
      <c r="AF643" s="109"/>
      <c r="AG643" s="109"/>
    </row>
    <row r="644" ht="15.75" customHeight="1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  <c r="R644" s="109"/>
      <c r="S644" s="109"/>
      <c r="T644" s="109"/>
      <c r="U644" s="109"/>
      <c r="V644" s="109"/>
      <c r="W644" s="109"/>
      <c r="X644" s="109"/>
      <c r="Y644" s="109"/>
      <c r="Z644" s="109"/>
      <c r="AA644" s="109"/>
      <c r="AB644" s="109"/>
      <c r="AC644" s="109"/>
      <c r="AD644" s="109"/>
      <c r="AE644" s="109"/>
      <c r="AF644" s="109"/>
      <c r="AG644" s="109"/>
    </row>
    <row r="645" ht="15.75" customHeight="1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  <c r="R645" s="109"/>
      <c r="S645" s="109"/>
      <c r="T645" s="109"/>
      <c r="U645" s="109"/>
      <c r="V645" s="109"/>
      <c r="W645" s="109"/>
      <c r="X645" s="109"/>
      <c r="Y645" s="109"/>
      <c r="Z645" s="109"/>
      <c r="AA645" s="109"/>
      <c r="AB645" s="109"/>
      <c r="AC645" s="109"/>
      <c r="AD645" s="109"/>
      <c r="AE645" s="109"/>
      <c r="AF645" s="109"/>
      <c r="AG645" s="109"/>
    </row>
    <row r="646" ht="15.75" customHeight="1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  <c r="R646" s="109"/>
      <c r="S646" s="109"/>
      <c r="T646" s="109"/>
      <c r="U646" s="109"/>
      <c r="V646" s="109"/>
      <c r="W646" s="109"/>
      <c r="X646" s="109"/>
      <c r="Y646" s="109"/>
      <c r="Z646" s="109"/>
      <c r="AA646" s="109"/>
      <c r="AB646" s="109"/>
      <c r="AC646" s="109"/>
      <c r="AD646" s="109"/>
      <c r="AE646" s="109"/>
      <c r="AF646" s="109"/>
      <c r="AG646" s="109"/>
    </row>
    <row r="647" ht="15.75" customHeight="1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  <c r="R647" s="109"/>
      <c r="S647" s="109"/>
      <c r="T647" s="109"/>
      <c r="U647" s="109"/>
      <c r="V647" s="109"/>
      <c r="W647" s="109"/>
      <c r="X647" s="109"/>
      <c r="Y647" s="109"/>
      <c r="Z647" s="109"/>
      <c r="AA647" s="109"/>
      <c r="AB647" s="109"/>
      <c r="AC647" s="109"/>
      <c r="AD647" s="109"/>
      <c r="AE647" s="109"/>
      <c r="AF647" s="109"/>
      <c r="AG647" s="109"/>
    </row>
    <row r="648" ht="15.75" customHeight="1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  <c r="R648" s="109"/>
      <c r="S648" s="109"/>
      <c r="T648" s="109"/>
      <c r="U648" s="109"/>
      <c r="V648" s="109"/>
      <c r="W648" s="109"/>
      <c r="X648" s="109"/>
      <c r="Y648" s="109"/>
      <c r="Z648" s="109"/>
      <c r="AA648" s="109"/>
      <c r="AB648" s="109"/>
      <c r="AC648" s="109"/>
      <c r="AD648" s="109"/>
      <c r="AE648" s="109"/>
      <c r="AF648" s="109"/>
      <c r="AG648" s="109"/>
    </row>
    <row r="649" ht="15.75" customHeight="1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  <c r="W649" s="109"/>
      <c r="X649" s="109"/>
      <c r="Y649" s="109"/>
      <c r="Z649" s="109"/>
      <c r="AA649" s="109"/>
      <c r="AB649" s="109"/>
      <c r="AC649" s="109"/>
      <c r="AD649" s="109"/>
      <c r="AE649" s="109"/>
      <c r="AF649" s="109"/>
      <c r="AG649" s="109"/>
    </row>
    <row r="650" ht="15.75" customHeight="1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  <c r="R650" s="109"/>
      <c r="S650" s="109"/>
      <c r="T650" s="109"/>
      <c r="U650" s="109"/>
      <c r="V650" s="109"/>
      <c r="W650" s="109"/>
      <c r="X650" s="109"/>
      <c r="Y650" s="109"/>
      <c r="Z650" s="109"/>
      <c r="AA650" s="109"/>
      <c r="AB650" s="109"/>
      <c r="AC650" s="109"/>
      <c r="AD650" s="109"/>
      <c r="AE650" s="109"/>
      <c r="AF650" s="109"/>
      <c r="AG650" s="109"/>
    </row>
    <row r="651" ht="15.75" customHeight="1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  <c r="R651" s="109"/>
      <c r="S651" s="109"/>
      <c r="T651" s="109"/>
      <c r="U651" s="109"/>
      <c r="V651" s="109"/>
      <c r="W651" s="109"/>
      <c r="X651" s="109"/>
      <c r="Y651" s="109"/>
      <c r="Z651" s="109"/>
      <c r="AA651" s="109"/>
      <c r="AB651" s="109"/>
      <c r="AC651" s="109"/>
      <c r="AD651" s="109"/>
      <c r="AE651" s="109"/>
      <c r="AF651" s="109"/>
      <c r="AG651" s="109"/>
    </row>
    <row r="652" ht="15.75" customHeight="1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  <c r="R652" s="109"/>
      <c r="S652" s="109"/>
      <c r="T652" s="109"/>
      <c r="U652" s="109"/>
      <c r="V652" s="109"/>
      <c r="W652" s="109"/>
      <c r="X652" s="109"/>
      <c r="Y652" s="109"/>
      <c r="Z652" s="109"/>
      <c r="AA652" s="109"/>
      <c r="AB652" s="109"/>
      <c r="AC652" s="109"/>
      <c r="AD652" s="109"/>
      <c r="AE652" s="109"/>
      <c r="AF652" s="109"/>
      <c r="AG652" s="109"/>
    </row>
    <row r="653" ht="15.75" customHeight="1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  <c r="R653" s="109"/>
      <c r="S653" s="109"/>
      <c r="T653" s="109"/>
      <c r="U653" s="109"/>
      <c r="V653" s="109"/>
      <c r="W653" s="109"/>
      <c r="X653" s="109"/>
      <c r="Y653" s="109"/>
      <c r="Z653" s="109"/>
      <c r="AA653" s="109"/>
      <c r="AB653" s="109"/>
      <c r="AC653" s="109"/>
      <c r="AD653" s="109"/>
      <c r="AE653" s="109"/>
      <c r="AF653" s="109"/>
      <c r="AG653" s="109"/>
    </row>
    <row r="654" ht="15.75" customHeight="1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  <c r="R654" s="109"/>
      <c r="S654" s="109"/>
      <c r="T654" s="109"/>
      <c r="U654" s="109"/>
      <c r="V654" s="109"/>
      <c r="W654" s="109"/>
      <c r="X654" s="109"/>
      <c r="Y654" s="109"/>
      <c r="Z654" s="109"/>
      <c r="AA654" s="109"/>
      <c r="AB654" s="109"/>
      <c r="AC654" s="109"/>
      <c r="AD654" s="109"/>
      <c r="AE654" s="109"/>
      <c r="AF654" s="109"/>
      <c r="AG654" s="109"/>
    </row>
    <row r="655" ht="15.75" customHeight="1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  <c r="R655" s="109"/>
      <c r="S655" s="109"/>
      <c r="T655" s="109"/>
      <c r="U655" s="109"/>
      <c r="V655" s="109"/>
      <c r="W655" s="109"/>
      <c r="X655" s="109"/>
      <c r="Y655" s="109"/>
      <c r="Z655" s="109"/>
      <c r="AA655" s="109"/>
      <c r="AB655" s="109"/>
      <c r="AC655" s="109"/>
      <c r="AD655" s="109"/>
      <c r="AE655" s="109"/>
      <c r="AF655" s="109"/>
      <c r="AG655" s="109"/>
    </row>
    <row r="656" ht="15.75" customHeight="1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  <c r="R656" s="109"/>
      <c r="S656" s="109"/>
      <c r="T656" s="109"/>
      <c r="U656" s="109"/>
      <c r="V656" s="109"/>
      <c r="W656" s="109"/>
      <c r="X656" s="109"/>
      <c r="Y656" s="109"/>
      <c r="Z656" s="109"/>
      <c r="AA656" s="109"/>
      <c r="AB656" s="109"/>
      <c r="AC656" s="109"/>
      <c r="AD656" s="109"/>
      <c r="AE656" s="109"/>
      <c r="AF656" s="109"/>
      <c r="AG656" s="109"/>
    </row>
    <row r="657" ht="15.75" customHeight="1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  <c r="R657" s="109"/>
      <c r="S657" s="109"/>
      <c r="T657" s="109"/>
      <c r="U657" s="109"/>
      <c r="V657" s="109"/>
      <c r="W657" s="109"/>
      <c r="X657" s="109"/>
      <c r="Y657" s="109"/>
      <c r="Z657" s="109"/>
      <c r="AA657" s="109"/>
      <c r="AB657" s="109"/>
      <c r="AC657" s="109"/>
      <c r="AD657" s="109"/>
      <c r="AE657" s="109"/>
      <c r="AF657" s="109"/>
      <c r="AG657" s="109"/>
    </row>
    <row r="658" ht="15.75" customHeight="1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  <c r="R658" s="109"/>
      <c r="S658" s="109"/>
      <c r="T658" s="109"/>
      <c r="U658" s="109"/>
      <c r="V658" s="109"/>
      <c r="W658" s="109"/>
      <c r="X658" s="109"/>
      <c r="Y658" s="109"/>
      <c r="Z658" s="109"/>
      <c r="AA658" s="109"/>
      <c r="AB658" s="109"/>
      <c r="AC658" s="109"/>
      <c r="AD658" s="109"/>
      <c r="AE658" s="109"/>
      <c r="AF658" s="109"/>
      <c r="AG658" s="109"/>
    </row>
    <row r="659" ht="15.75" customHeight="1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  <c r="R659" s="109"/>
      <c r="S659" s="109"/>
      <c r="T659" s="109"/>
      <c r="U659" s="109"/>
      <c r="V659" s="109"/>
      <c r="W659" s="109"/>
      <c r="X659" s="109"/>
      <c r="Y659" s="109"/>
      <c r="Z659" s="109"/>
      <c r="AA659" s="109"/>
      <c r="AB659" s="109"/>
      <c r="AC659" s="109"/>
      <c r="AD659" s="109"/>
      <c r="AE659" s="109"/>
      <c r="AF659" s="109"/>
      <c r="AG659" s="109"/>
    </row>
    <row r="660" ht="15.75" customHeight="1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  <c r="R660" s="109"/>
      <c r="S660" s="109"/>
      <c r="T660" s="109"/>
      <c r="U660" s="109"/>
      <c r="V660" s="109"/>
      <c r="W660" s="109"/>
      <c r="X660" s="109"/>
      <c r="Y660" s="109"/>
      <c r="Z660" s="109"/>
      <c r="AA660" s="109"/>
      <c r="AB660" s="109"/>
      <c r="AC660" s="109"/>
      <c r="AD660" s="109"/>
      <c r="AE660" s="109"/>
      <c r="AF660" s="109"/>
      <c r="AG660" s="109"/>
    </row>
    <row r="661" ht="15.75" customHeight="1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  <c r="R661" s="109"/>
      <c r="S661" s="109"/>
      <c r="T661" s="109"/>
      <c r="U661" s="109"/>
      <c r="V661" s="109"/>
      <c r="W661" s="109"/>
      <c r="X661" s="109"/>
      <c r="Y661" s="109"/>
      <c r="Z661" s="109"/>
      <c r="AA661" s="109"/>
      <c r="AB661" s="109"/>
      <c r="AC661" s="109"/>
      <c r="AD661" s="109"/>
      <c r="AE661" s="109"/>
      <c r="AF661" s="109"/>
      <c r="AG661" s="109"/>
    </row>
    <row r="662" ht="15.75" customHeight="1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  <c r="R662" s="109"/>
      <c r="S662" s="109"/>
      <c r="T662" s="109"/>
      <c r="U662" s="109"/>
      <c r="V662" s="109"/>
      <c r="W662" s="109"/>
      <c r="X662" s="109"/>
      <c r="Y662" s="109"/>
      <c r="Z662" s="109"/>
      <c r="AA662" s="109"/>
      <c r="AB662" s="109"/>
      <c r="AC662" s="109"/>
      <c r="AD662" s="109"/>
      <c r="AE662" s="109"/>
      <c r="AF662" s="109"/>
      <c r="AG662" s="109"/>
    </row>
    <row r="663" ht="15.75" customHeight="1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  <c r="R663" s="109"/>
      <c r="S663" s="109"/>
      <c r="T663" s="109"/>
      <c r="U663" s="109"/>
      <c r="V663" s="109"/>
      <c r="W663" s="109"/>
      <c r="X663" s="109"/>
      <c r="Y663" s="109"/>
      <c r="Z663" s="109"/>
      <c r="AA663" s="109"/>
      <c r="AB663" s="109"/>
      <c r="AC663" s="109"/>
      <c r="AD663" s="109"/>
      <c r="AE663" s="109"/>
      <c r="AF663" s="109"/>
      <c r="AG663" s="109"/>
    </row>
    <row r="664" ht="15.75" customHeight="1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  <c r="R664" s="109"/>
      <c r="S664" s="109"/>
      <c r="T664" s="109"/>
      <c r="U664" s="109"/>
      <c r="V664" s="109"/>
      <c r="W664" s="109"/>
      <c r="X664" s="109"/>
      <c r="Y664" s="109"/>
      <c r="Z664" s="109"/>
      <c r="AA664" s="109"/>
      <c r="AB664" s="109"/>
      <c r="AC664" s="109"/>
      <c r="AD664" s="109"/>
      <c r="AE664" s="109"/>
      <c r="AF664" s="109"/>
      <c r="AG664" s="109"/>
    </row>
    <row r="665" ht="15.75" customHeight="1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  <c r="R665" s="109"/>
      <c r="S665" s="109"/>
      <c r="T665" s="109"/>
      <c r="U665" s="109"/>
      <c r="V665" s="109"/>
      <c r="W665" s="109"/>
      <c r="X665" s="109"/>
      <c r="Y665" s="109"/>
      <c r="Z665" s="109"/>
      <c r="AA665" s="109"/>
      <c r="AB665" s="109"/>
      <c r="AC665" s="109"/>
      <c r="AD665" s="109"/>
      <c r="AE665" s="109"/>
      <c r="AF665" s="109"/>
      <c r="AG665" s="109"/>
    </row>
    <row r="666" ht="15.75" customHeight="1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  <c r="R666" s="109"/>
      <c r="S666" s="109"/>
      <c r="T666" s="109"/>
      <c r="U666" s="109"/>
      <c r="V666" s="109"/>
      <c r="W666" s="109"/>
      <c r="X666" s="109"/>
      <c r="Y666" s="109"/>
      <c r="Z666" s="109"/>
      <c r="AA666" s="109"/>
      <c r="AB666" s="109"/>
      <c r="AC666" s="109"/>
      <c r="AD666" s="109"/>
      <c r="AE666" s="109"/>
      <c r="AF666" s="109"/>
      <c r="AG666" s="109"/>
    </row>
    <row r="667" ht="15.75" customHeight="1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  <c r="R667" s="109"/>
      <c r="S667" s="109"/>
      <c r="T667" s="109"/>
      <c r="U667" s="109"/>
      <c r="V667" s="109"/>
      <c r="W667" s="109"/>
      <c r="X667" s="109"/>
      <c r="Y667" s="109"/>
      <c r="Z667" s="109"/>
      <c r="AA667" s="109"/>
      <c r="AB667" s="109"/>
      <c r="AC667" s="109"/>
      <c r="AD667" s="109"/>
      <c r="AE667" s="109"/>
      <c r="AF667" s="109"/>
      <c r="AG667" s="109"/>
    </row>
    <row r="668" ht="15.75" customHeight="1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  <c r="R668" s="109"/>
      <c r="S668" s="109"/>
      <c r="T668" s="109"/>
      <c r="U668" s="109"/>
      <c r="V668" s="109"/>
      <c r="W668" s="109"/>
      <c r="X668" s="109"/>
      <c r="Y668" s="109"/>
      <c r="Z668" s="109"/>
      <c r="AA668" s="109"/>
      <c r="AB668" s="109"/>
      <c r="AC668" s="109"/>
      <c r="AD668" s="109"/>
      <c r="AE668" s="109"/>
      <c r="AF668" s="109"/>
      <c r="AG668" s="109"/>
    </row>
    <row r="669" ht="15.75" customHeight="1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  <c r="R669" s="109"/>
      <c r="S669" s="109"/>
      <c r="T669" s="109"/>
      <c r="U669" s="109"/>
      <c r="V669" s="109"/>
      <c r="W669" s="109"/>
      <c r="X669" s="109"/>
      <c r="Y669" s="109"/>
      <c r="Z669" s="109"/>
      <c r="AA669" s="109"/>
      <c r="AB669" s="109"/>
      <c r="AC669" s="109"/>
      <c r="AD669" s="109"/>
      <c r="AE669" s="109"/>
      <c r="AF669" s="109"/>
      <c r="AG669" s="109"/>
    </row>
    <row r="670" ht="15.75" customHeight="1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  <c r="R670" s="109"/>
      <c r="S670" s="109"/>
      <c r="T670" s="109"/>
      <c r="U670" s="109"/>
      <c r="V670" s="109"/>
      <c r="W670" s="109"/>
      <c r="X670" s="109"/>
      <c r="Y670" s="109"/>
      <c r="Z670" s="109"/>
      <c r="AA670" s="109"/>
      <c r="AB670" s="109"/>
      <c r="AC670" s="109"/>
      <c r="AD670" s="109"/>
      <c r="AE670" s="109"/>
      <c r="AF670" s="109"/>
      <c r="AG670" s="109"/>
    </row>
    <row r="671" ht="15.75" customHeight="1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  <c r="R671" s="109"/>
      <c r="S671" s="109"/>
      <c r="T671" s="109"/>
      <c r="U671" s="109"/>
      <c r="V671" s="109"/>
      <c r="W671" s="109"/>
      <c r="X671" s="109"/>
      <c r="Y671" s="109"/>
      <c r="Z671" s="109"/>
      <c r="AA671" s="109"/>
      <c r="AB671" s="109"/>
      <c r="AC671" s="109"/>
      <c r="AD671" s="109"/>
      <c r="AE671" s="109"/>
      <c r="AF671" s="109"/>
      <c r="AG671" s="109"/>
    </row>
    <row r="672" ht="15.75" customHeight="1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  <c r="R672" s="109"/>
      <c r="S672" s="109"/>
      <c r="T672" s="109"/>
      <c r="U672" s="109"/>
      <c r="V672" s="109"/>
      <c r="W672" s="109"/>
      <c r="X672" s="109"/>
      <c r="Y672" s="109"/>
      <c r="Z672" s="109"/>
      <c r="AA672" s="109"/>
      <c r="AB672" s="109"/>
      <c r="AC672" s="109"/>
      <c r="AD672" s="109"/>
      <c r="AE672" s="109"/>
      <c r="AF672" s="109"/>
      <c r="AG672" s="109"/>
    </row>
    <row r="673" ht="15.75" customHeight="1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  <c r="R673" s="109"/>
      <c r="S673" s="109"/>
      <c r="T673" s="109"/>
      <c r="U673" s="109"/>
      <c r="V673" s="109"/>
      <c r="W673" s="109"/>
      <c r="X673" s="109"/>
      <c r="Y673" s="109"/>
      <c r="Z673" s="109"/>
      <c r="AA673" s="109"/>
      <c r="AB673" s="109"/>
      <c r="AC673" s="109"/>
      <c r="AD673" s="109"/>
      <c r="AE673" s="109"/>
      <c r="AF673" s="109"/>
      <c r="AG673" s="109"/>
    </row>
    <row r="674" ht="15.75" customHeight="1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  <c r="R674" s="109"/>
      <c r="S674" s="109"/>
      <c r="T674" s="109"/>
      <c r="U674" s="109"/>
      <c r="V674" s="109"/>
      <c r="W674" s="109"/>
      <c r="X674" s="109"/>
      <c r="Y674" s="109"/>
      <c r="Z674" s="109"/>
      <c r="AA674" s="109"/>
      <c r="AB674" s="109"/>
      <c r="AC674" s="109"/>
      <c r="AD674" s="109"/>
      <c r="AE674" s="109"/>
      <c r="AF674" s="109"/>
      <c r="AG674" s="109"/>
    </row>
    <row r="675" ht="15.75" customHeight="1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  <c r="R675" s="109"/>
      <c r="S675" s="109"/>
      <c r="T675" s="109"/>
      <c r="U675" s="109"/>
      <c r="V675" s="109"/>
      <c r="W675" s="109"/>
      <c r="X675" s="109"/>
      <c r="Y675" s="109"/>
      <c r="Z675" s="109"/>
      <c r="AA675" s="109"/>
      <c r="AB675" s="109"/>
      <c r="AC675" s="109"/>
      <c r="AD675" s="109"/>
      <c r="AE675" s="109"/>
      <c r="AF675" s="109"/>
      <c r="AG675" s="109"/>
    </row>
    <row r="676" ht="15.75" customHeight="1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  <c r="R676" s="109"/>
      <c r="S676" s="109"/>
      <c r="T676" s="109"/>
      <c r="U676" s="109"/>
      <c r="V676" s="109"/>
      <c r="W676" s="109"/>
      <c r="X676" s="109"/>
      <c r="Y676" s="109"/>
      <c r="Z676" s="109"/>
      <c r="AA676" s="109"/>
      <c r="AB676" s="109"/>
      <c r="AC676" s="109"/>
      <c r="AD676" s="109"/>
      <c r="AE676" s="109"/>
      <c r="AF676" s="109"/>
      <c r="AG676" s="109"/>
    </row>
    <row r="677" ht="15.75" customHeight="1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  <c r="R677" s="109"/>
      <c r="S677" s="109"/>
      <c r="T677" s="109"/>
      <c r="U677" s="109"/>
      <c r="V677" s="109"/>
      <c r="W677" s="109"/>
      <c r="X677" s="109"/>
      <c r="Y677" s="109"/>
      <c r="Z677" s="109"/>
      <c r="AA677" s="109"/>
      <c r="AB677" s="109"/>
      <c r="AC677" s="109"/>
      <c r="AD677" s="109"/>
      <c r="AE677" s="109"/>
      <c r="AF677" s="109"/>
      <c r="AG677" s="109"/>
    </row>
    <row r="678" ht="15.75" customHeight="1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  <c r="R678" s="109"/>
      <c r="S678" s="109"/>
      <c r="T678" s="109"/>
      <c r="U678" s="109"/>
      <c r="V678" s="109"/>
      <c r="W678" s="109"/>
      <c r="X678" s="109"/>
      <c r="Y678" s="109"/>
      <c r="Z678" s="109"/>
      <c r="AA678" s="109"/>
      <c r="AB678" s="109"/>
      <c r="AC678" s="109"/>
      <c r="AD678" s="109"/>
      <c r="AE678" s="109"/>
      <c r="AF678" s="109"/>
      <c r="AG678" s="109"/>
    </row>
    <row r="679" ht="15.75" customHeight="1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  <c r="R679" s="109"/>
      <c r="S679" s="109"/>
      <c r="T679" s="109"/>
      <c r="U679" s="109"/>
      <c r="V679" s="109"/>
      <c r="W679" s="109"/>
      <c r="X679" s="109"/>
      <c r="Y679" s="109"/>
      <c r="Z679" s="109"/>
      <c r="AA679" s="109"/>
      <c r="AB679" s="109"/>
      <c r="AC679" s="109"/>
      <c r="AD679" s="109"/>
      <c r="AE679" s="109"/>
      <c r="AF679" s="109"/>
      <c r="AG679" s="109"/>
    </row>
    <row r="680" ht="15.75" customHeight="1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  <c r="R680" s="109"/>
      <c r="S680" s="109"/>
      <c r="T680" s="109"/>
      <c r="U680" s="109"/>
      <c r="V680" s="109"/>
      <c r="W680" s="109"/>
      <c r="X680" s="109"/>
      <c r="Y680" s="109"/>
      <c r="Z680" s="109"/>
      <c r="AA680" s="109"/>
      <c r="AB680" s="109"/>
      <c r="AC680" s="109"/>
      <c r="AD680" s="109"/>
      <c r="AE680" s="109"/>
      <c r="AF680" s="109"/>
      <c r="AG680" s="109"/>
    </row>
    <row r="681" ht="15.75" customHeight="1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  <c r="R681" s="109"/>
      <c r="S681" s="109"/>
      <c r="T681" s="109"/>
      <c r="U681" s="109"/>
      <c r="V681" s="109"/>
      <c r="W681" s="109"/>
      <c r="X681" s="109"/>
      <c r="Y681" s="109"/>
      <c r="Z681" s="109"/>
      <c r="AA681" s="109"/>
      <c r="AB681" s="109"/>
      <c r="AC681" s="109"/>
      <c r="AD681" s="109"/>
      <c r="AE681" s="109"/>
      <c r="AF681" s="109"/>
      <c r="AG681" s="109"/>
    </row>
    <row r="682" ht="15.75" customHeight="1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  <c r="R682" s="109"/>
      <c r="S682" s="109"/>
      <c r="T682" s="109"/>
      <c r="U682" s="109"/>
      <c r="V682" s="109"/>
      <c r="W682" s="109"/>
      <c r="X682" s="109"/>
      <c r="Y682" s="109"/>
      <c r="Z682" s="109"/>
      <c r="AA682" s="109"/>
      <c r="AB682" s="109"/>
      <c r="AC682" s="109"/>
      <c r="AD682" s="109"/>
      <c r="AE682" s="109"/>
      <c r="AF682" s="109"/>
      <c r="AG682" s="109"/>
    </row>
    <row r="683" ht="15.75" customHeight="1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  <c r="R683" s="109"/>
      <c r="S683" s="109"/>
      <c r="T683" s="109"/>
      <c r="U683" s="109"/>
      <c r="V683" s="109"/>
      <c r="W683" s="109"/>
      <c r="X683" s="109"/>
      <c r="Y683" s="109"/>
      <c r="Z683" s="109"/>
      <c r="AA683" s="109"/>
      <c r="AB683" s="109"/>
      <c r="AC683" s="109"/>
      <c r="AD683" s="109"/>
      <c r="AE683" s="109"/>
      <c r="AF683" s="109"/>
      <c r="AG683" s="109"/>
    </row>
    <row r="684" ht="15.75" customHeight="1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  <c r="R684" s="109"/>
      <c r="S684" s="109"/>
      <c r="T684" s="109"/>
      <c r="U684" s="109"/>
      <c r="V684" s="109"/>
      <c r="W684" s="109"/>
      <c r="X684" s="109"/>
      <c r="Y684" s="109"/>
      <c r="Z684" s="109"/>
      <c r="AA684" s="109"/>
      <c r="AB684" s="109"/>
      <c r="AC684" s="109"/>
      <c r="AD684" s="109"/>
      <c r="AE684" s="109"/>
      <c r="AF684" s="109"/>
      <c r="AG684" s="109"/>
    </row>
    <row r="685" ht="15.75" customHeight="1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  <c r="R685" s="109"/>
      <c r="S685" s="109"/>
      <c r="T685" s="109"/>
      <c r="U685" s="109"/>
      <c r="V685" s="109"/>
      <c r="W685" s="109"/>
      <c r="X685" s="109"/>
      <c r="Y685" s="109"/>
      <c r="Z685" s="109"/>
      <c r="AA685" s="109"/>
      <c r="AB685" s="109"/>
      <c r="AC685" s="109"/>
      <c r="AD685" s="109"/>
      <c r="AE685" s="109"/>
      <c r="AF685" s="109"/>
      <c r="AG685" s="109"/>
    </row>
    <row r="686" ht="15.75" customHeight="1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  <c r="R686" s="109"/>
      <c r="S686" s="109"/>
      <c r="T686" s="109"/>
      <c r="U686" s="109"/>
      <c r="V686" s="109"/>
      <c r="W686" s="109"/>
      <c r="X686" s="109"/>
      <c r="Y686" s="109"/>
      <c r="Z686" s="109"/>
      <c r="AA686" s="109"/>
      <c r="AB686" s="109"/>
      <c r="AC686" s="109"/>
      <c r="AD686" s="109"/>
      <c r="AE686" s="109"/>
      <c r="AF686" s="109"/>
      <c r="AG686" s="109"/>
    </row>
    <row r="687" ht="15.75" customHeight="1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  <c r="R687" s="109"/>
      <c r="S687" s="109"/>
      <c r="T687" s="109"/>
      <c r="U687" s="109"/>
      <c r="V687" s="109"/>
      <c r="W687" s="109"/>
      <c r="X687" s="109"/>
      <c r="Y687" s="109"/>
      <c r="Z687" s="109"/>
      <c r="AA687" s="109"/>
      <c r="AB687" s="109"/>
      <c r="AC687" s="109"/>
      <c r="AD687" s="109"/>
      <c r="AE687" s="109"/>
      <c r="AF687" s="109"/>
      <c r="AG687" s="109"/>
    </row>
    <row r="688" ht="15.75" customHeight="1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  <c r="R688" s="109"/>
      <c r="S688" s="109"/>
      <c r="T688" s="109"/>
      <c r="U688" s="109"/>
      <c r="V688" s="109"/>
      <c r="W688" s="109"/>
      <c r="X688" s="109"/>
      <c r="Y688" s="109"/>
      <c r="Z688" s="109"/>
      <c r="AA688" s="109"/>
      <c r="AB688" s="109"/>
      <c r="AC688" s="109"/>
      <c r="AD688" s="109"/>
      <c r="AE688" s="109"/>
      <c r="AF688" s="109"/>
      <c r="AG688" s="109"/>
    </row>
    <row r="689" ht="15.75" customHeight="1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  <c r="R689" s="109"/>
      <c r="S689" s="109"/>
      <c r="T689" s="109"/>
      <c r="U689" s="109"/>
      <c r="V689" s="109"/>
      <c r="W689" s="109"/>
      <c r="X689" s="109"/>
      <c r="Y689" s="109"/>
      <c r="Z689" s="109"/>
      <c r="AA689" s="109"/>
      <c r="AB689" s="109"/>
      <c r="AC689" s="109"/>
      <c r="AD689" s="109"/>
      <c r="AE689" s="109"/>
      <c r="AF689" s="109"/>
      <c r="AG689" s="109"/>
    </row>
    <row r="690" ht="15.75" customHeight="1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  <c r="R690" s="109"/>
      <c r="S690" s="109"/>
      <c r="T690" s="109"/>
      <c r="U690" s="109"/>
      <c r="V690" s="109"/>
      <c r="W690" s="109"/>
      <c r="X690" s="109"/>
      <c r="Y690" s="109"/>
      <c r="Z690" s="109"/>
      <c r="AA690" s="109"/>
      <c r="AB690" s="109"/>
      <c r="AC690" s="109"/>
      <c r="AD690" s="109"/>
      <c r="AE690" s="109"/>
      <c r="AF690" s="109"/>
      <c r="AG690" s="109"/>
    </row>
    <row r="691" ht="15.75" customHeight="1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  <c r="R691" s="109"/>
      <c r="S691" s="109"/>
      <c r="T691" s="109"/>
      <c r="U691" s="109"/>
      <c r="V691" s="109"/>
      <c r="W691" s="109"/>
      <c r="X691" s="109"/>
      <c r="Y691" s="109"/>
      <c r="Z691" s="109"/>
      <c r="AA691" s="109"/>
      <c r="AB691" s="109"/>
      <c r="AC691" s="109"/>
      <c r="AD691" s="109"/>
      <c r="AE691" s="109"/>
      <c r="AF691" s="109"/>
      <c r="AG691" s="109"/>
    </row>
    <row r="692" ht="15.75" customHeight="1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  <c r="R692" s="109"/>
      <c r="S692" s="109"/>
      <c r="T692" s="109"/>
      <c r="U692" s="109"/>
      <c r="V692" s="109"/>
      <c r="W692" s="109"/>
      <c r="X692" s="109"/>
      <c r="Y692" s="109"/>
      <c r="Z692" s="109"/>
      <c r="AA692" s="109"/>
      <c r="AB692" s="109"/>
      <c r="AC692" s="109"/>
      <c r="AD692" s="109"/>
      <c r="AE692" s="109"/>
      <c r="AF692" s="109"/>
      <c r="AG692" s="109"/>
    </row>
    <row r="693" ht="15.75" customHeight="1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  <c r="R693" s="109"/>
      <c r="S693" s="109"/>
      <c r="T693" s="109"/>
      <c r="U693" s="109"/>
      <c r="V693" s="109"/>
      <c r="W693" s="109"/>
      <c r="X693" s="109"/>
      <c r="Y693" s="109"/>
      <c r="Z693" s="109"/>
      <c r="AA693" s="109"/>
      <c r="AB693" s="109"/>
      <c r="AC693" s="109"/>
      <c r="AD693" s="109"/>
      <c r="AE693" s="109"/>
      <c r="AF693" s="109"/>
      <c r="AG693" s="109"/>
    </row>
    <row r="694" ht="15.75" customHeight="1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  <c r="R694" s="109"/>
      <c r="S694" s="109"/>
      <c r="T694" s="109"/>
      <c r="U694" s="109"/>
      <c r="V694" s="109"/>
      <c r="W694" s="109"/>
      <c r="X694" s="109"/>
      <c r="Y694" s="109"/>
      <c r="Z694" s="109"/>
      <c r="AA694" s="109"/>
      <c r="AB694" s="109"/>
      <c r="AC694" s="109"/>
      <c r="AD694" s="109"/>
      <c r="AE694" s="109"/>
      <c r="AF694" s="109"/>
      <c r="AG694" s="109"/>
    </row>
    <row r="695" ht="15.75" customHeight="1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  <c r="R695" s="109"/>
      <c r="S695" s="109"/>
      <c r="T695" s="109"/>
      <c r="U695" s="109"/>
      <c r="V695" s="109"/>
      <c r="W695" s="109"/>
      <c r="X695" s="109"/>
      <c r="Y695" s="109"/>
      <c r="Z695" s="109"/>
      <c r="AA695" s="109"/>
      <c r="AB695" s="109"/>
      <c r="AC695" s="109"/>
      <c r="AD695" s="109"/>
      <c r="AE695" s="109"/>
      <c r="AF695" s="109"/>
      <c r="AG695" s="109"/>
    </row>
    <row r="696" ht="15.75" customHeight="1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  <c r="R696" s="109"/>
      <c r="S696" s="109"/>
      <c r="T696" s="109"/>
      <c r="U696" s="109"/>
      <c r="V696" s="109"/>
      <c r="W696" s="109"/>
      <c r="X696" s="109"/>
      <c r="Y696" s="109"/>
      <c r="Z696" s="109"/>
      <c r="AA696" s="109"/>
      <c r="AB696" s="109"/>
      <c r="AC696" s="109"/>
      <c r="AD696" s="109"/>
      <c r="AE696" s="109"/>
      <c r="AF696" s="109"/>
      <c r="AG696" s="109"/>
    </row>
    <row r="697" ht="15.75" customHeight="1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  <c r="R697" s="109"/>
      <c r="S697" s="109"/>
      <c r="T697" s="109"/>
      <c r="U697" s="109"/>
      <c r="V697" s="109"/>
      <c r="W697" s="109"/>
      <c r="X697" s="109"/>
      <c r="Y697" s="109"/>
      <c r="Z697" s="109"/>
      <c r="AA697" s="109"/>
      <c r="AB697" s="109"/>
      <c r="AC697" s="109"/>
      <c r="AD697" s="109"/>
      <c r="AE697" s="109"/>
      <c r="AF697" s="109"/>
      <c r="AG697" s="109"/>
    </row>
    <row r="698" ht="15.75" customHeight="1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  <c r="R698" s="109"/>
      <c r="S698" s="109"/>
      <c r="T698" s="109"/>
      <c r="U698" s="109"/>
      <c r="V698" s="109"/>
      <c r="W698" s="109"/>
      <c r="X698" s="109"/>
      <c r="Y698" s="109"/>
      <c r="Z698" s="109"/>
      <c r="AA698" s="109"/>
      <c r="AB698" s="109"/>
      <c r="AC698" s="109"/>
      <c r="AD698" s="109"/>
      <c r="AE698" s="109"/>
      <c r="AF698" s="109"/>
      <c r="AG698" s="109"/>
    </row>
    <row r="699" ht="15.75" customHeight="1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  <c r="W699" s="109"/>
      <c r="X699" s="109"/>
      <c r="Y699" s="109"/>
      <c r="Z699" s="109"/>
      <c r="AA699" s="109"/>
      <c r="AB699" s="109"/>
      <c r="AC699" s="109"/>
      <c r="AD699" s="109"/>
      <c r="AE699" s="109"/>
      <c r="AF699" s="109"/>
      <c r="AG699" s="109"/>
    </row>
    <row r="700" ht="15.75" customHeight="1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  <c r="R700" s="109"/>
      <c r="S700" s="109"/>
      <c r="T700" s="109"/>
      <c r="U700" s="109"/>
      <c r="V700" s="109"/>
      <c r="W700" s="109"/>
      <c r="X700" s="109"/>
      <c r="Y700" s="109"/>
      <c r="Z700" s="109"/>
      <c r="AA700" s="109"/>
      <c r="AB700" s="109"/>
      <c r="AC700" s="109"/>
      <c r="AD700" s="109"/>
      <c r="AE700" s="109"/>
      <c r="AF700" s="109"/>
      <c r="AG700" s="109"/>
    </row>
    <row r="701" ht="15.75" customHeight="1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  <c r="R701" s="109"/>
      <c r="S701" s="109"/>
      <c r="T701" s="109"/>
      <c r="U701" s="109"/>
      <c r="V701" s="109"/>
      <c r="W701" s="109"/>
      <c r="X701" s="109"/>
      <c r="Y701" s="109"/>
      <c r="Z701" s="109"/>
      <c r="AA701" s="109"/>
      <c r="AB701" s="109"/>
      <c r="AC701" s="109"/>
      <c r="AD701" s="109"/>
      <c r="AE701" s="109"/>
      <c r="AF701" s="109"/>
      <c r="AG701" s="109"/>
    </row>
    <row r="702" ht="15.75" customHeight="1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  <c r="R702" s="109"/>
      <c r="S702" s="109"/>
      <c r="T702" s="109"/>
      <c r="U702" s="109"/>
      <c r="V702" s="109"/>
      <c r="W702" s="109"/>
      <c r="X702" s="109"/>
      <c r="Y702" s="109"/>
      <c r="Z702" s="109"/>
      <c r="AA702" s="109"/>
      <c r="AB702" s="109"/>
      <c r="AC702" s="109"/>
      <c r="AD702" s="109"/>
      <c r="AE702" s="109"/>
      <c r="AF702" s="109"/>
      <c r="AG702" s="109"/>
    </row>
    <row r="703" ht="15.75" customHeight="1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  <c r="R703" s="109"/>
      <c r="S703" s="109"/>
      <c r="T703" s="109"/>
      <c r="U703" s="109"/>
      <c r="V703" s="109"/>
      <c r="W703" s="109"/>
      <c r="X703" s="109"/>
      <c r="Y703" s="109"/>
      <c r="Z703" s="109"/>
      <c r="AA703" s="109"/>
      <c r="AB703" s="109"/>
      <c r="AC703" s="109"/>
      <c r="AD703" s="109"/>
      <c r="AE703" s="109"/>
      <c r="AF703" s="109"/>
      <c r="AG703" s="109"/>
    </row>
    <row r="704" ht="15.75" customHeight="1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  <c r="R704" s="109"/>
      <c r="S704" s="109"/>
      <c r="T704" s="109"/>
      <c r="U704" s="109"/>
      <c r="V704" s="109"/>
      <c r="W704" s="109"/>
      <c r="X704" s="109"/>
      <c r="Y704" s="109"/>
      <c r="Z704" s="109"/>
      <c r="AA704" s="109"/>
      <c r="AB704" s="109"/>
      <c r="AC704" s="109"/>
      <c r="AD704" s="109"/>
      <c r="AE704" s="109"/>
      <c r="AF704" s="109"/>
      <c r="AG704" s="109"/>
    </row>
    <row r="705" ht="15.75" customHeight="1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  <c r="R705" s="109"/>
      <c r="S705" s="109"/>
      <c r="T705" s="109"/>
      <c r="U705" s="109"/>
      <c r="V705" s="109"/>
      <c r="W705" s="109"/>
      <c r="X705" s="109"/>
      <c r="Y705" s="109"/>
      <c r="Z705" s="109"/>
      <c r="AA705" s="109"/>
      <c r="AB705" s="109"/>
      <c r="AC705" s="109"/>
      <c r="AD705" s="109"/>
      <c r="AE705" s="109"/>
      <c r="AF705" s="109"/>
      <c r="AG705" s="109"/>
    </row>
    <row r="706" ht="15.75" customHeight="1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  <c r="R706" s="109"/>
      <c r="S706" s="109"/>
      <c r="T706" s="109"/>
      <c r="U706" s="109"/>
      <c r="V706" s="109"/>
      <c r="W706" s="109"/>
      <c r="X706" s="109"/>
      <c r="Y706" s="109"/>
      <c r="Z706" s="109"/>
      <c r="AA706" s="109"/>
      <c r="AB706" s="109"/>
      <c r="AC706" s="109"/>
      <c r="AD706" s="109"/>
      <c r="AE706" s="109"/>
      <c r="AF706" s="109"/>
      <c r="AG706" s="109"/>
    </row>
    <row r="707" ht="15.75" customHeight="1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  <c r="R707" s="109"/>
      <c r="S707" s="109"/>
      <c r="T707" s="109"/>
      <c r="U707" s="109"/>
      <c r="V707" s="109"/>
      <c r="W707" s="109"/>
      <c r="X707" s="109"/>
      <c r="Y707" s="109"/>
      <c r="Z707" s="109"/>
      <c r="AA707" s="109"/>
      <c r="AB707" s="109"/>
      <c r="AC707" s="109"/>
      <c r="AD707" s="109"/>
      <c r="AE707" s="109"/>
      <c r="AF707" s="109"/>
      <c r="AG707" s="109"/>
    </row>
    <row r="708" ht="15.75" customHeight="1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  <c r="R708" s="109"/>
      <c r="S708" s="109"/>
      <c r="T708" s="109"/>
      <c r="U708" s="109"/>
      <c r="V708" s="109"/>
      <c r="W708" s="109"/>
      <c r="X708" s="109"/>
      <c r="Y708" s="109"/>
      <c r="Z708" s="109"/>
      <c r="AA708" s="109"/>
      <c r="AB708" s="109"/>
      <c r="AC708" s="109"/>
      <c r="AD708" s="109"/>
      <c r="AE708" s="109"/>
      <c r="AF708" s="109"/>
      <c r="AG708" s="109"/>
    </row>
    <row r="709" ht="15.75" customHeight="1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  <c r="R709" s="109"/>
      <c r="S709" s="109"/>
      <c r="T709" s="109"/>
      <c r="U709" s="109"/>
      <c r="V709" s="109"/>
      <c r="W709" s="109"/>
      <c r="X709" s="109"/>
      <c r="Y709" s="109"/>
      <c r="Z709" s="109"/>
      <c r="AA709" s="109"/>
      <c r="AB709" s="109"/>
      <c r="AC709" s="109"/>
      <c r="AD709" s="109"/>
      <c r="AE709" s="109"/>
      <c r="AF709" s="109"/>
      <c r="AG709" s="109"/>
    </row>
    <row r="710" ht="15.75" customHeight="1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  <c r="R710" s="109"/>
      <c r="S710" s="109"/>
      <c r="T710" s="109"/>
      <c r="U710" s="109"/>
      <c r="V710" s="109"/>
      <c r="W710" s="109"/>
      <c r="X710" s="109"/>
      <c r="Y710" s="109"/>
      <c r="Z710" s="109"/>
      <c r="AA710" s="109"/>
      <c r="AB710" s="109"/>
      <c r="AC710" s="109"/>
      <c r="AD710" s="109"/>
      <c r="AE710" s="109"/>
      <c r="AF710" s="109"/>
      <c r="AG710" s="109"/>
    </row>
    <row r="711" ht="15.75" customHeight="1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  <c r="R711" s="109"/>
      <c r="S711" s="109"/>
      <c r="T711" s="109"/>
      <c r="U711" s="109"/>
      <c r="V711" s="109"/>
      <c r="W711" s="109"/>
      <c r="X711" s="109"/>
      <c r="Y711" s="109"/>
      <c r="Z711" s="109"/>
      <c r="AA711" s="109"/>
      <c r="AB711" s="109"/>
      <c r="AC711" s="109"/>
      <c r="AD711" s="109"/>
      <c r="AE711" s="109"/>
      <c r="AF711" s="109"/>
      <c r="AG711" s="109"/>
    </row>
    <row r="712" ht="15.75" customHeight="1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  <c r="R712" s="109"/>
      <c r="S712" s="109"/>
      <c r="T712" s="109"/>
      <c r="U712" s="109"/>
      <c r="V712" s="109"/>
      <c r="W712" s="109"/>
      <c r="X712" s="109"/>
      <c r="Y712" s="109"/>
      <c r="Z712" s="109"/>
      <c r="AA712" s="109"/>
      <c r="AB712" s="109"/>
      <c r="AC712" s="109"/>
      <c r="AD712" s="109"/>
      <c r="AE712" s="109"/>
      <c r="AF712" s="109"/>
      <c r="AG712" s="109"/>
    </row>
    <row r="713" ht="15.75" customHeight="1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  <c r="R713" s="109"/>
      <c r="S713" s="109"/>
      <c r="T713" s="109"/>
      <c r="U713" s="109"/>
      <c r="V713" s="109"/>
      <c r="W713" s="109"/>
      <c r="X713" s="109"/>
      <c r="Y713" s="109"/>
      <c r="Z713" s="109"/>
      <c r="AA713" s="109"/>
      <c r="AB713" s="109"/>
      <c r="AC713" s="109"/>
      <c r="AD713" s="109"/>
      <c r="AE713" s="109"/>
      <c r="AF713" s="109"/>
      <c r="AG713" s="109"/>
    </row>
    <row r="714" ht="15.75" customHeight="1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  <c r="R714" s="109"/>
      <c r="S714" s="109"/>
      <c r="T714" s="109"/>
      <c r="U714" s="109"/>
      <c r="V714" s="109"/>
      <c r="W714" s="109"/>
      <c r="X714" s="109"/>
      <c r="Y714" s="109"/>
      <c r="Z714" s="109"/>
      <c r="AA714" s="109"/>
      <c r="AB714" s="109"/>
      <c r="AC714" s="109"/>
      <c r="AD714" s="109"/>
      <c r="AE714" s="109"/>
      <c r="AF714" s="109"/>
      <c r="AG714" s="109"/>
    </row>
    <row r="715" ht="15.75" customHeight="1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  <c r="R715" s="109"/>
      <c r="S715" s="109"/>
      <c r="T715" s="109"/>
      <c r="U715" s="109"/>
      <c r="V715" s="109"/>
      <c r="W715" s="109"/>
      <c r="X715" s="109"/>
      <c r="Y715" s="109"/>
      <c r="Z715" s="109"/>
      <c r="AA715" s="109"/>
      <c r="AB715" s="109"/>
      <c r="AC715" s="109"/>
      <c r="AD715" s="109"/>
      <c r="AE715" s="109"/>
      <c r="AF715" s="109"/>
      <c r="AG715" s="109"/>
    </row>
    <row r="716" ht="15.75" customHeight="1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  <c r="R716" s="109"/>
      <c r="S716" s="109"/>
      <c r="T716" s="109"/>
      <c r="U716" s="109"/>
      <c r="V716" s="109"/>
      <c r="W716" s="109"/>
      <c r="X716" s="109"/>
      <c r="Y716" s="109"/>
      <c r="Z716" s="109"/>
      <c r="AA716" s="109"/>
      <c r="AB716" s="109"/>
      <c r="AC716" s="109"/>
      <c r="AD716" s="109"/>
      <c r="AE716" s="109"/>
      <c r="AF716" s="109"/>
      <c r="AG716" s="109"/>
    </row>
    <row r="717" ht="15.75" customHeight="1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  <c r="R717" s="109"/>
      <c r="S717" s="109"/>
      <c r="T717" s="109"/>
      <c r="U717" s="109"/>
      <c r="V717" s="109"/>
      <c r="W717" s="109"/>
      <c r="X717" s="109"/>
      <c r="Y717" s="109"/>
      <c r="Z717" s="109"/>
      <c r="AA717" s="109"/>
      <c r="AB717" s="109"/>
      <c r="AC717" s="109"/>
      <c r="AD717" s="109"/>
      <c r="AE717" s="109"/>
      <c r="AF717" s="109"/>
      <c r="AG717" s="109"/>
    </row>
    <row r="718" ht="15.75" customHeight="1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  <c r="R718" s="109"/>
      <c r="S718" s="109"/>
      <c r="T718" s="109"/>
      <c r="U718" s="109"/>
      <c r="V718" s="109"/>
      <c r="W718" s="109"/>
      <c r="X718" s="109"/>
      <c r="Y718" s="109"/>
      <c r="Z718" s="109"/>
      <c r="AA718" s="109"/>
      <c r="AB718" s="109"/>
      <c r="AC718" s="109"/>
      <c r="AD718" s="109"/>
      <c r="AE718" s="109"/>
      <c r="AF718" s="109"/>
      <c r="AG718" s="109"/>
    </row>
    <row r="719" ht="15.75" customHeight="1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  <c r="R719" s="109"/>
      <c r="S719" s="109"/>
      <c r="T719" s="109"/>
      <c r="U719" s="109"/>
      <c r="V719" s="109"/>
      <c r="W719" s="109"/>
      <c r="X719" s="109"/>
      <c r="Y719" s="109"/>
      <c r="Z719" s="109"/>
      <c r="AA719" s="109"/>
      <c r="AB719" s="109"/>
      <c r="AC719" s="109"/>
      <c r="AD719" s="109"/>
      <c r="AE719" s="109"/>
      <c r="AF719" s="109"/>
      <c r="AG719" s="109"/>
    </row>
    <row r="720" ht="15.75" customHeight="1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  <c r="R720" s="109"/>
      <c r="S720" s="109"/>
      <c r="T720" s="109"/>
      <c r="U720" s="109"/>
      <c r="V720" s="109"/>
      <c r="W720" s="109"/>
      <c r="X720" s="109"/>
      <c r="Y720" s="109"/>
      <c r="Z720" s="109"/>
      <c r="AA720" s="109"/>
      <c r="AB720" s="109"/>
      <c r="AC720" s="109"/>
      <c r="AD720" s="109"/>
      <c r="AE720" s="109"/>
      <c r="AF720" s="109"/>
      <c r="AG720" s="109"/>
    </row>
    <row r="721" ht="15.75" customHeight="1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  <c r="R721" s="109"/>
      <c r="S721" s="109"/>
      <c r="T721" s="109"/>
      <c r="U721" s="109"/>
      <c r="V721" s="109"/>
      <c r="W721" s="109"/>
      <c r="X721" s="109"/>
      <c r="Y721" s="109"/>
      <c r="Z721" s="109"/>
      <c r="AA721" s="109"/>
      <c r="AB721" s="109"/>
      <c r="AC721" s="109"/>
      <c r="AD721" s="109"/>
      <c r="AE721" s="109"/>
      <c r="AF721" s="109"/>
      <c r="AG721" s="109"/>
    </row>
    <row r="722" ht="15.75" customHeight="1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  <c r="R722" s="109"/>
      <c r="S722" s="109"/>
      <c r="T722" s="109"/>
      <c r="U722" s="109"/>
      <c r="V722" s="109"/>
      <c r="W722" s="109"/>
      <c r="X722" s="109"/>
      <c r="Y722" s="109"/>
      <c r="Z722" s="109"/>
      <c r="AA722" s="109"/>
      <c r="AB722" s="109"/>
      <c r="AC722" s="109"/>
      <c r="AD722" s="109"/>
      <c r="AE722" s="109"/>
      <c r="AF722" s="109"/>
      <c r="AG722" s="109"/>
    </row>
    <row r="723" ht="15.75" customHeight="1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  <c r="R723" s="109"/>
      <c r="S723" s="109"/>
      <c r="T723" s="109"/>
      <c r="U723" s="109"/>
      <c r="V723" s="109"/>
      <c r="W723" s="109"/>
      <c r="X723" s="109"/>
      <c r="Y723" s="109"/>
      <c r="Z723" s="109"/>
      <c r="AA723" s="109"/>
      <c r="AB723" s="109"/>
      <c r="AC723" s="109"/>
      <c r="AD723" s="109"/>
      <c r="AE723" s="109"/>
      <c r="AF723" s="109"/>
      <c r="AG723" s="109"/>
    </row>
    <row r="724" ht="15.75" customHeight="1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  <c r="R724" s="109"/>
      <c r="S724" s="109"/>
      <c r="T724" s="109"/>
      <c r="U724" s="109"/>
      <c r="V724" s="109"/>
      <c r="W724" s="109"/>
      <c r="X724" s="109"/>
      <c r="Y724" s="109"/>
      <c r="Z724" s="109"/>
      <c r="AA724" s="109"/>
      <c r="AB724" s="109"/>
      <c r="AC724" s="109"/>
      <c r="AD724" s="109"/>
      <c r="AE724" s="109"/>
      <c r="AF724" s="109"/>
      <c r="AG724" s="109"/>
    </row>
    <row r="725" ht="15.75" customHeight="1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  <c r="R725" s="109"/>
      <c r="S725" s="109"/>
      <c r="T725" s="109"/>
      <c r="U725" s="109"/>
      <c r="V725" s="109"/>
      <c r="W725" s="109"/>
      <c r="X725" s="109"/>
      <c r="Y725" s="109"/>
      <c r="Z725" s="109"/>
      <c r="AA725" s="109"/>
      <c r="AB725" s="109"/>
      <c r="AC725" s="109"/>
      <c r="AD725" s="109"/>
      <c r="AE725" s="109"/>
      <c r="AF725" s="109"/>
      <c r="AG725" s="109"/>
    </row>
    <row r="726" ht="15.75" customHeight="1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  <c r="R726" s="109"/>
      <c r="S726" s="109"/>
      <c r="T726" s="109"/>
      <c r="U726" s="109"/>
      <c r="V726" s="109"/>
      <c r="W726" s="109"/>
      <c r="X726" s="109"/>
      <c r="Y726" s="109"/>
      <c r="Z726" s="109"/>
      <c r="AA726" s="109"/>
      <c r="AB726" s="109"/>
      <c r="AC726" s="109"/>
      <c r="AD726" s="109"/>
      <c r="AE726" s="109"/>
      <c r="AF726" s="109"/>
      <c r="AG726" s="109"/>
    </row>
    <row r="727" ht="15.75" customHeight="1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  <c r="R727" s="109"/>
      <c r="S727" s="109"/>
      <c r="T727" s="109"/>
      <c r="U727" s="109"/>
      <c r="V727" s="109"/>
      <c r="W727" s="109"/>
      <c r="X727" s="109"/>
      <c r="Y727" s="109"/>
      <c r="Z727" s="109"/>
      <c r="AA727" s="109"/>
      <c r="AB727" s="109"/>
      <c r="AC727" s="109"/>
      <c r="AD727" s="109"/>
      <c r="AE727" s="109"/>
      <c r="AF727" s="109"/>
      <c r="AG727" s="109"/>
    </row>
    <row r="728" ht="15.75" customHeight="1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  <c r="R728" s="109"/>
      <c r="S728" s="109"/>
      <c r="T728" s="109"/>
      <c r="U728" s="109"/>
      <c r="V728" s="109"/>
      <c r="W728" s="109"/>
      <c r="X728" s="109"/>
      <c r="Y728" s="109"/>
      <c r="Z728" s="109"/>
      <c r="AA728" s="109"/>
      <c r="AB728" s="109"/>
      <c r="AC728" s="109"/>
      <c r="AD728" s="109"/>
      <c r="AE728" s="109"/>
      <c r="AF728" s="109"/>
      <c r="AG728" s="109"/>
    </row>
    <row r="729" ht="15.75" customHeight="1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  <c r="R729" s="109"/>
      <c r="S729" s="109"/>
      <c r="T729" s="109"/>
      <c r="U729" s="109"/>
      <c r="V729" s="109"/>
      <c r="W729" s="109"/>
      <c r="X729" s="109"/>
      <c r="Y729" s="109"/>
      <c r="Z729" s="109"/>
      <c r="AA729" s="109"/>
      <c r="AB729" s="109"/>
      <c r="AC729" s="109"/>
      <c r="AD729" s="109"/>
      <c r="AE729" s="109"/>
      <c r="AF729" s="109"/>
      <c r="AG729" s="109"/>
    </row>
    <row r="730" ht="15.75" customHeight="1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  <c r="R730" s="109"/>
      <c r="S730" s="109"/>
      <c r="T730" s="109"/>
      <c r="U730" s="109"/>
      <c r="V730" s="109"/>
      <c r="W730" s="109"/>
      <c r="X730" s="109"/>
      <c r="Y730" s="109"/>
      <c r="Z730" s="109"/>
      <c r="AA730" s="109"/>
      <c r="AB730" s="109"/>
      <c r="AC730" s="109"/>
      <c r="AD730" s="109"/>
      <c r="AE730" s="109"/>
      <c r="AF730" s="109"/>
      <c r="AG730" s="109"/>
    </row>
    <row r="731" ht="15.75" customHeight="1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  <c r="R731" s="109"/>
      <c r="S731" s="109"/>
      <c r="T731" s="109"/>
      <c r="U731" s="109"/>
      <c r="V731" s="109"/>
      <c r="W731" s="109"/>
      <c r="X731" s="109"/>
      <c r="Y731" s="109"/>
      <c r="Z731" s="109"/>
      <c r="AA731" s="109"/>
      <c r="AB731" s="109"/>
      <c r="AC731" s="109"/>
      <c r="AD731" s="109"/>
      <c r="AE731" s="109"/>
      <c r="AF731" s="109"/>
      <c r="AG731" s="109"/>
    </row>
    <row r="732" ht="15.75" customHeight="1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  <c r="R732" s="109"/>
      <c r="S732" s="109"/>
      <c r="T732" s="109"/>
      <c r="U732" s="109"/>
      <c r="V732" s="109"/>
      <c r="W732" s="109"/>
      <c r="X732" s="109"/>
      <c r="Y732" s="109"/>
      <c r="Z732" s="109"/>
      <c r="AA732" s="109"/>
      <c r="AB732" s="109"/>
      <c r="AC732" s="109"/>
      <c r="AD732" s="109"/>
      <c r="AE732" s="109"/>
      <c r="AF732" s="109"/>
      <c r="AG732" s="109"/>
    </row>
    <row r="733" ht="15.75" customHeight="1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  <c r="R733" s="109"/>
      <c r="S733" s="109"/>
      <c r="T733" s="109"/>
      <c r="U733" s="109"/>
      <c r="V733" s="109"/>
      <c r="W733" s="109"/>
      <c r="X733" s="109"/>
      <c r="Y733" s="109"/>
      <c r="Z733" s="109"/>
      <c r="AA733" s="109"/>
      <c r="AB733" s="109"/>
      <c r="AC733" s="109"/>
      <c r="AD733" s="109"/>
      <c r="AE733" s="109"/>
      <c r="AF733" s="109"/>
      <c r="AG733" s="109"/>
    </row>
    <row r="734" ht="15.75" customHeight="1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  <c r="R734" s="109"/>
      <c r="S734" s="109"/>
      <c r="T734" s="109"/>
      <c r="U734" s="109"/>
      <c r="V734" s="109"/>
      <c r="W734" s="109"/>
      <c r="X734" s="109"/>
      <c r="Y734" s="109"/>
      <c r="Z734" s="109"/>
      <c r="AA734" s="109"/>
      <c r="AB734" s="109"/>
      <c r="AC734" s="109"/>
      <c r="AD734" s="109"/>
      <c r="AE734" s="109"/>
      <c r="AF734" s="109"/>
      <c r="AG734" s="109"/>
    </row>
    <row r="735" ht="15.75" customHeight="1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  <c r="R735" s="109"/>
      <c r="S735" s="109"/>
      <c r="T735" s="109"/>
      <c r="U735" s="109"/>
      <c r="V735" s="109"/>
      <c r="W735" s="109"/>
      <c r="X735" s="109"/>
      <c r="Y735" s="109"/>
      <c r="Z735" s="109"/>
      <c r="AA735" s="109"/>
      <c r="AB735" s="109"/>
      <c r="AC735" s="109"/>
      <c r="AD735" s="109"/>
      <c r="AE735" s="109"/>
      <c r="AF735" s="109"/>
      <c r="AG735" s="109"/>
    </row>
    <row r="736" ht="15.75" customHeight="1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  <c r="R736" s="109"/>
      <c r="S736" s="109"/>
      <c r="T736" s="109"/>
      <c r="U736" s="109"/>
      <c r="V736" s="109"/>
      <c r="W736" s="109"/>
      <c r="X736" s="109"/>
      <c r="Y736" s="109"/>
      <c r="Z736" s="109"/>
      <c r="AA736" s="109"/>
      <c r="AB736" s="109"/>
      <c r="AC736" s="109"/>
      <c r="AD736" s="109"/>
      <c r="AE736" s="109"/>
      <c r="AF736" s="109"/>
      <c r="AG736" s="109"/>
    </row>
    <row r="737" ht="15.75" customHeight="1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  <c r="R737" s="109"/>
      <c r="S737" s="109"/>
      <c r="T737" s="109"/>
      <c r="U737" s="109"/>
      <c r="V737" s="109"/>
      <c r="W737" s="109"/>
      <c r="X737" s="109"/>
      <c r="Y737" s="109"/>
      <c r="Z737" s="109"/>
      <c r="AA737" s="109"/>
      <c r="AB737" s="109"/>
      <c r="AC737" s="109"/>
      <c r="AD737" s="109"/>
      <c r="AE737" s="109"/>
      <c r="AF737" s="109"/>
      <c r="AG737" s="109"/>
    </row>
    <row r="738" ht="15.75" customHeight="1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  <c r="R738" s="109"/>
      <c r="S738" s="109"/>
      <c r="T738" s="109"/>
      <c r="U738" s="109"/>
      <c r="V738" s="109"/>
      <c r="W738" s="109"/>
      <c r="X738" s="109"/>
      <c r="Y738" s="109"/>
      <c r="Z738" s="109"/>
      <c r="AA738" s="109"/>
      <c r="AB738" s="109"/>
      <c r="AC738" s="109"/>
      <c r="AD738" s="109"/>
      <c r="AE738" s="109"/>
      <c r="AF738" s="109"/>
      <c r="AG738" s="109"/>
    </row>
    <row r="739" ht="15.75" customHeight="1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  <c r="R739" s="109"/>
      <c r="S739" s="109"/>
      <c r="T739" s="109"/>
      <c r="U739" s="109"/>
      <c r="V739" s="109"/>
      <c r="W739" s="109"/>
      <c r="X739" s="109"/>
      <c r="Y739" s="109"/>
      <c r="Z739" s="109"/>
      <c r="AA739" s="109"/>
      <c r="AB739" s="109"/>
      <c r="AC739" s="109"/>
      <c r="AD739" s="109"/>
      <c r="AE739" s="109"/>
      <c r="AF739" s="109"/>
      <c r="AG739" s="109"/>
    </row>
    <row r="740" ht="15.75" customHeight="1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  <c r="R740" s="109"/>
      <c r="S740" s="109"/>
      <c r="T740" s="109"/>
      <c r="U740" s="109"/>
      <c r="V740" s="109"/>
      <c r="W740" s="109"/>
      <c r="X740" s="109"/>
      <c r="Y740" s="109"/>
      <c r="Z740" s="109"/>
      <c r="AA740" s="109"/>
      <c r="AB740" s="109"/>
      <c r="AC740" s="109"/>
      <c r="AD740" s="109"/>
      <c r="AE740" s="109"/>
      <c r="AF740" s="109"/>
      <c r="AG740" s="109"/>
    </row>
    <row r="741" ht="15.75" customHeight="1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  <c r="R741" s="109"/>
      <c r="S741" s="109"/>
      <c r="T741" s="109"/>
      <c r="U741" s="109"/>
      <c r="V741" s="109"/>
      <c r="W741" s="109"/>
      <c r="X741" s="109"/>
      <c r="Y741" s="109"/>
      <c r="Z741" s="109"/>
      <c r="AA741" s="109"/>
      <c r="AB741" s="109"/>
      <c r="AC741" s="109"/>
      <c r="AD741" s="109"/>
      <c r="AE741" s="109"/>
      <c r="AF741" s="109"/>
      <c r="AG741" s="109"/>
    </row>
    <row r="742" ht="15.75" customHeight="1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  <c r="R742" s="109"/>
      <c r="S742" s="109"/>
      <c r="T742" s="109"/>
      <c r="U742" s="109"/>
      <c r="V742" s="109"/>
      <c r="W742" s="109"/>
      <c r="X742" s="109"/>
      <c r="Y742" s="109"/>
      <c r="Z742" s="109"/>
      <c r="AA742" s="109"/>
      <c r="AB742" s="109"/>
      <c r="AC742" s="109"/>
      <c r="AD742" s="109"/>
      <c r="AE742" s="109"/>
      <c r="AF742" s="109"/>
      <c r="AG742" s="109"/>
    </row>
    <row r="743" ht="15.75" customHeight="1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  <c r="R743" s="109"/>
      <c r="S743" s="109"/>
      <c r="T743" s="109"/>
      <c r="U743" s="109"/>
      <c r="V743" s="109"/>
      <c r="W743" s="109"/>
      <c r="X743" s="109"/>
      <c r="Y743" s="109"/>
      <c r="Z743" s="109"/>
      <c r="AA743" s="109"/>
      <c r="AB743" s="109"/>
      <c r="AC743" s="109"/>
      <c r="AD743" s="109"/>
      <c r="AE743" s="109"/>
      <c r="AF743" s="109"/>
      <c r="AG743" s="109"/>
    </row>
    <row r="744" ht="15.75" customHeight="1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  <c r="R744" s="109"/>
      <c r="S744" s="109"/>
      <c r="T744" s="109"/>
      <c r="U744" s="109"/>
      <c r="V744" s="109"/>
      <c r="W744" s="109"/>
      <c r="X744" s="109"/>
      <c r="Y744" s="109"/>
      <c r="Z744" s="109"/>
      <c r="AA744" s="109"/>
      <c r="AB744" s="109"/>
      <c r="AC744" s="109"/>
      <c r="AD744" s="109"/>
      <c r="AE744" s="109"/>
      <c r="AF744" s="109"/>
      <c r="AG744" s="109"/>
    </row>
    <row r="745" ht="15.75" customHeight="1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  <c r="R745" s="109"/>
      <c r="S745" s="109"/>
      <c r="T745" s="109"/>
      <c r="U745" s="109"/>
      <c r="V745" s="109"/>
      <c r="W745" s="109"/>
      <c r="X745" s="109"/>
      <c r="Y745" s="109"/>
      <c r="Z745" s="109"/>
      <c r="AA745" s="109"/>
      <c r="AB745" s="109"/>
      <c r="AC745" s="109"/>
      <c r="AD745" s="109"/>
      <c r="AE745" s="109"/>
      <c r="AF745" s="109"/>
      <c r="AG745" s="109"/>
    </row>
    <row r="746" ht="15.75" customHeight="1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  <c r="R746" s="109"/>
      <c r="S746" s="109"/>
      <c r="T746" s="109"/>
      <c r="U746" s="109"/>
      <c r="V746" s="109"/>
      <c r="W746" s="109"/>
      <c r="X746" s="109"/>
      <c r="Y746" s="109"/>
      <c r="Z746" s="109"/>
      <c r="AA746" s="109"/>
      <c r="AB746" s="109"/>
      <c r="AC746" s="109"/>
      <c r="AD746" s="109"/>
      <c r="AE746" s="109"/>
      <c r="AF746" s="109"/>
      <c r="AG746" s="109"/>
    </row>
    <row r="747" ht="15.75" customHeight="1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  <c r="R747" s="109"/>
      <c r="S747" s="109"/>
      <c r="T747" s="109"/>
      <c r="U747" s="109"/>
      <c r="V747" s="109"/>
      <c r="W747" s="109"/>
      <c r="X747" s="109"/>
      <c r="Y747" s="109"/>
      <c r="Z747" s="109"/>
      <c r="AA747" s="109"/>
      <c r="AB747" s="109"/>
      <c r="AC747" s="109"/>
      <c r="AD747" s="109"/>
      <c r="AE747" s="109"/>
      <c r="AF747" s="109"/>
      <c r="AG747" s="109"/>
    </row>
    <row r="748" ht="15.75" customHeight="1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  <c r="R748" s="109"/>
      <c r="S748" s="109"/>
      <c r="T748" s="109"/>
      <c r="U748" s="109"/>
      <c r="V748" s="109"/>
      <c r="W748" s="109"/>
      <c r="X748" s="109"/>
      <c r="Y748" s="109"/>
      <c r="Z748" s="109"/>
      <c r="AA748" s="109"/>
      <c r="AB748" s="109"/>
      <c r="AC748" s="109"/>
      <c r="AD748" s="109"/>
      <c r="AE748" s="109"/>
      <c r="AF748" s="109"/>
      <c r="AG748" s="109"/>
    </row>
    <row r="749" ht="15.75" customHeight="1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  <c r="W749" s="109"/>
      <c r="X749" s="109"/>
      <c r="Y749" s="109"/>
      <c r="Z749" s="109"/>
      <c r="AA749" s="109"/>
      <c r="AB749" s="109"/>
      <c r="AC749" s="109"/>
      <c r="AD749" s="109"/>
      <c r="AE749" s="109"/>
      <c r="AF749" s="109"/>
      <c r="AG749" s="109"/>
    </row>
    <row r="750" ht="15.75" customHeight="1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  <c r="R750" s="109"/>
      <c r="S750" s="109"/>
      <c r="T750" s="109"/>
      <c r="U750" s="109"/>
      <c r="V750" s="109"/>
      <c r="W750" s="109"/>
      <c r="X750" s="109"/>
      <c r="Y750" s="109"/>
      <c r="Z750" s="109"/>
      <c r="AA750" s="109"/>
      <c r="AB750" s="109"/>
      <c r="AC750" s="109"/>
      <c r="AD750" s="109"/>
      <c r="AE750" s="109"/>
      <c r="AF750" s="109"/>
      <c r="AG750" s="109"/>
    </row>
    <row r="751" ht="15.75" customHeight="1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  <c r="R751" s="109"/>
      <c r="S751" s="109"/>
      <c r="T751" s="109"/>
      <c r="U751" s="109"/>
      <c r="V751" s="109"/>
      <c r="W751" s="109"/>
      <c r="X751" s="109"/>
      <c r="Y751" s="109"/>
      <c r="Z751" s="109"/>
      <c r="AA751" s="109"/>
      <c r="AB751" s="109"/>
      <c r="AC751" s="109"/>
      <c r="AD751" s="109"/>
      <c r="AE751" s="109"/>
      <c r="AF751" s="109"/>
      <c r="AG751" s="109"/>
    </row>
    <row r="752" ht="15.75" customHeight="1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  <c r="R752" s="109"/>
      <c r="S752" s="109"/>
      <c r="T752" s="109"/>
      <c r="U752" s="109"/>
      <c r="V752" s="109"/>
      <c r="W752" s="109"/>
      <c r="X752" s="109"/>
      <c r="Y752" s="109"/>
      <c r="Z752" s="109"/>
      <c r="AA752" s="109"/>
      <c r="AB752" s="109"/>
      <c r="AC752" s="109"/>
      <c r="AD752" s="109"/>
      <c r="AE752" s="109"/>
      <c r="AF752" s="109"/>
      <c r="AG752" s="109"/>
    </row>
    <row r="753" ht="15.75" customHeight="1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  <c r="R753" s="109"/>
      <c r="S753" s="109"/>
      <c r="T753" s="109"/>
      <c r="U753" s="109"/>
      <c r="V753" s="109"/>
      <c r="W753" s="109"/>
      <c r="X753" s="109"/>
      <c r="Y753" s="109"/>
      <c r="Z753" s="109"/>
      <c r="AA753" s="109"/>
      <c r="AB753" s="109"/>
      <c r="AC753" s="109"/>
      <c r="AD753" s="109"/>
      <c r="AE753" s="109"/>
      <c r="AF753" s="109"/>
      <c r="AG753" s="109"/>
    </row>
    <row r="754" ht="15.75" customHeight="1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  <c r="R754" s="109"/>
      <c r="S754" s="109"/>
      <c r="T754" s="109"/>
      <c r="U754" s="109"/>
      <c r="V754" s="109"/>
      <c r="W754" s="109"/>
      <c r="X754" s="109"/>
      <c r="Y754" s="109"/>
      <c r="Z754" s="109"/>
      <c r="AA754" s="109"/>
      <c r="AB754" s="109"/>
      <c r="AC754" s="109"/>
      <c r="AD754" s="109"/>
      <c r="AE754" s="109"/>
      <c r="AF754" s="109"/>
      <c r="AG754" s="109"/>
    </row>
    <row r="755" ht="15.75" customHeight="1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  <c r="R755" s="109"/>
      <c r="S755" s="109"/>
      <c r="T755" s="109"/>
      <c r="U755" s="109"/>
      <c r="V755" s="109"/>
      <c r="W755" s="109"/>
      <c r="X755" s="109"/>
      <c r="Y755" s="109"/>
      <c r="Z755" s="109"/>
      <c r="AA755" s="109"/>
      <c r="AB755" s="109"/>
      <c r="AC755" s="109"/>
      <c r="AD755" s="109"/>
      <c r="AE755" s="109"/>
      <c r="AF755" s="109"/>
      <c r="AG755" s="109"/>
    </row>
    <row r="756" ht="15.75" customHeight="1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  <c r="R756" s="109"/>
      <c r="S756" s="109"/>
      <c r="T756" s="109"/>
      <c r="U756" s="109"/>
      <c r="V756" s="109"/>
      <c r="W756" s="109"/>
      <c r="X756" s="109"/>
      <c r="Y756" s="109"/>
      <c r="Z756" s="109"/>
      <c r="AA756" s="109"/>
      <c r="AB756" s="109"/>
      <c r="AC756" s="109"/>
      <c r="AD756" s="109"/>
      <c r="AE756" s="109"/>
      <c r="AF756" s="109"/>
      <c r="AG756" s="109"/>
    </row>
    <row r="757" ht="15.75" customHeight="1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  <c r="R757" s="109"/>
      <c r="S757" s="109"/>
      <c r="T757" s="109"/>
      <c r="U757" s="109"/>
      <c r="V757" s="109"/>
      <c r="W757" s="109"/>
      <c r="X757" s="109"/>
      <c r="Y757" s="109"/>
      <c r="Z757" s="109"/>
      <c r="AA757" s="109"/>
      <c r="AB757" s="109"/>
      <c r="AC757" s="109"/>
      <c r="AD757" s="109"/>
      <c r="AE757" s="109"/>
      <c r="AF757" s="109"/>
      <c r="AG757" s="109"/>
    </row>
    <row r="758" ht="15.75" customHeight="1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  <c r="R758" s="109"/>
      <c r="S758" s="109"/>
      <c r="T758" s="109"/>
      <c r="U758" s="109"/>
      <c r="V758" s="109"/>
      <c r="W758" s="109"/>
      <c r="X758" s="109"/>
      <c r="Y758" s="109"/>
      <c r="Z758" s="109"/>
      <c r="AA758" s="109"/>
      <c r="AB758" s="109"/>
      <c r="AC758" s="109"/>
      <c r="AD758" s="109"/>
      <c r="AE758" s="109"/>
      <c r="AF758" s="109"/>
      <c r="AG758" s="109"/>
    </row>
    <row r="759" ht="15.75" customHeight="1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  <c r="R759" s="109"/>
      <c r="S759" s="109"/>
      <c r="T759" s="109"/>
      <c r="U759" s="109"/>
      <c r="V759" s="109"/>
      <c r="W759" s="109"/>
      <c r="X759" s="109"/>
      <c r="Y759" s="109"/>
      <c r="Z759" s="109"/>
      <c r="AA759" s="109"/>
      <c r="AB759" s="109"/>
      <c r="AC759" s="109"/>
      <c r="AD759" s="109"/>
      <c r="AE759" s="109"/>
      <c r="AF759" s="109"/>
      <c r="AG759" s="109"/>
    </row>
    <row r="760" ht="15.75" customHeight="1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  <c r="R760" s="109"/>
      <c r="S760" s="109"/>
      <c r="T760" s="109"/>
      <c r="U760" s="109"/>
      <c r="V760" s="109"/>
      <c r="W760" s="109"/>
      <c r="X760" s="109"/>
      <c r="Y760" s="109"/>
      <c r="Z760" s="109"/>
      <c r="AA760" s="109"/>
      <c r="AB760" s="109"/>
      <c r="AC760" s="109"/>
      <c r="AD760" s="109"/>
      <c r="AE760" s="109"/>
      <c r="AF760" s="109"/>
      <c r="AG760" s="109"/>
    </row>
    <row r="761" ht="15.75" customHeight="1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  <c r="R761" s="109"/>
      <c r="S761" s="109"/>
      <c r="T761" s="109"/>
      <c r="U761" s="109"/>
      <c r="V761" s="109"/>
      <c r="W761" s="109"/>
      <c r="X761" s="109"/>
      <c r="Y761" s="109"/>
      <c r="Z761" s="109"/>
      <c r="AA761" s="109"/>
      <c r="AB761" s="109"/>
      <c r="AC761" s="109"/>
      <c r="AD761" s="109"/>
      <c r="AE761" s="109"/>
      <c r="AF761" s="109"/>
      <c r="AG761" s="109"/>
    </row>
    <row r="762" ht="15.75" customHeight="1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  <c r="R762" s="109"/>
      <c r="S762" s="109"/>
      <c r="T762" s="109"/>
      <c r="U762" s="109"/>
      <c r="V762" s="109"/>
      <c r="W762" s="109"/>
      <c r="X762" s="109"/>
      <c r="Y762" s="109"/>
      <c r="Z762" s="109"/>
      <c r="AA762" s="109"/>
      <c r="AB762" s="109"/>
      <c r="AC762" s="109"/>
      <c r="AD762" s="109"/>
      <c r="AE762" s="109"/>
      <c r="AF762" s="109"/>
      <c r="AG762" s="109"/>
    </row>
    <row r="763" ht="15.75" customHeight="1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  <c r="R763" s="109"/>
      <c r="S763" s="109"/>
      <c r="T763" s="109"/>
      <c r="U763" s="109"/>
      <c r="V763" s="109"/>
      <c r="W763" s="109"/>
      <c r="X763" s="109"/>
      <c r="Y763" s="109"/>
      <c r="Z763" s="109"/>
      <c r="AA763" s="109"/>
      <c r="AB763" s="109"/>
      <c r="AC763" s="109"/>
      <c r="AD763" s="109"/>
      <c r="AE763" s="109"/>
      <c r="AF763" s="109"/>
      <c r="AG763" s="109"/>
    </row>
    <row r="764" ht="15.75" customHeight="1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  <c r="R764" s="109"/>
      <c r="S764" s="109"/>
      <c r="T764" s="109"/>
      <c r="U764" s="109"/>
      <c r="V764" s="109"/>
      <c r="W764" s="109"/>
      <c r="X764" s="109"/>
      <c r="Y764" s="109"/>
      <c r="Z764" s="109"/>
      <c r="AA764" s="109"/>
      <c r="AB764" s="109"/>
      <c r="AC764" s="109"/>
      <c r="AD764" s="109"/>
      <c r="AE764" s="109"/>
      <c r="AF764" s="109"/>
      <c r="AG764" s="109"/>
    </row>
    <row r="765" ht="15.75" customHeight="1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  <c r="R765" s="109"/>
      <c r="S765" s="109"/>
      <c r="T765" s="109"/>
      <c r="U765" s="109"/>
      <c r="V765" s="109"/>
      <c r="W765" s="109"/>
      <c r="X765" s="109"/>
      <c r="Y765" s="109"/>
      <c r="Z765" s="109"/>
      <c r="AA765" s="109"/>
      <c r="AB765" s="109"/>
      <c r="AC765" s="109"/>
      <c r="AD765" s="109"/>
      <c r="AE765" s="109"/>
      <c r="AF765" s="109"/>
      <c r="AG765" s="109"/>
    </row>
    <row r="766" ht="15.75" customHeight="1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  <c r="R766" s="109"/>
      <c r="S766" s="109"/>
      <c r="T766" s="109"/>
      <c r="U766" s="109"/>
      <c r="V766" s="109"/>
      <c r="W766" s="109"/>
      <c r="X766" s="109"/>
      <c r="Y766" s="109"/>
      <c r="Z766" s="109"/>
      <c r="AA766" s="109"/>
      <c r="AB766" s="109"/>
      <c r="AC766" s="109"/>
      <c r="AD766" s="109"/>
      <c r="AE766" s="109"/>
      <c r="AF766" s="109"/>
      <c r="AG766" s="109"/>
    </row>
    <row r="767" ht="15.75" customHeight="1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  <c r="R767" s="109"/>
      <c r="S767" s="109"/>
      <c r="T767" s="109"/>
      <c r="U767" s="109"/>
      <c r="V767" s="109"/>
      <c r="W767" s="109"/>
      <c r="X767" s="109"/>
      <c r="Y767" s="109"/>
      <c r="Z767" s="109"/>
      <c r="AA767" s="109"/>
      <c r="AB767" s="109"/>
      <c r="AC767" s="109"/>
      <c r="AD767" s="109"/>
      <c r="AE767" s="109"/>
      <c r="AF767" s="109"/>
      <c r="AG767" s="109"/>
    </row>
    <row r="768" ht="15.75" customHeight="1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  <c r="R768" s="109"/>
      <c r="S768" s="109"/>
      <c r="T768" s="109"/>
      <c r="U768" s="109"/>
      <c r="V768" s="109"/>
      <c r="W768" s="109"/>
      <c r="X768" s="109"/>
      <c r="Y768" s="109"/>
      <c r="Z768" s="109"/>
      <c r="AA768" s="109"/>
      <c r="AB768" s="109"/>
      <c r="AC768" s="109"/>
      <c r="AD768" s="109"/>
      <c r="AE768" s="109"/>
      <c r="AF768" s="109"/>
      <c r="AG768" s="109"/>
    </row>
    <row r="769" ht="15.75" customHeight="1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  <c r="R769" s="109"/>
      <c r="S769" s="109"/>
      <c r="T769" s="109"/>
      <c r="U769" s="109"/>
      <c r="V769" s="109"/>
      <c r="W769" s="109"/>
      <c r="X769" s="109"/>
      <c r="Y769" s="109"/>
      <c r="Z769" s="109"/>
      <c r="AA769" s="109"/>
      <c r="AB769" s="109"/>
      <c r="AC769" s="109"/>
      <c r="AD769" s="109"/>
      <c r="AE769" s="109"/>
      <c r="AF769" s="109"/>
      <c r="AG769" s="109"/>
    </row>
    <row r="770" ht="15.75" customHeight="1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  <c r="R770" s="109"/>
      <c r="S770" s="109"/>
      <c r="T770" s="109"/>
      <c r="U770" s="109"/>
      <c r="V770" s="109"/>
      <c r="W770" s="109"/>
      <c r="X770" s="109"/>
      <c r="Y770" s="109"/>
      <c r="Z770" s="109"/>
      <c r="AA770" s="109"/>
      <c r="AB770" s="109"/>
      <c r="AC770" s="109"/>
      <c r="AD770" s="109"/>
      <c r="AE770" s="109"/>
      <c r="AF770" s="109"/>
      <c r="AG770" s="109"/>
    </row>
    <row r="771" ht="15.75" customHeight="1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  <c r="R771" s="109"/>
      <c r="S771" s="109"/>
      <c r="T771" s="109"/>
      <c r="U771" s="109"/>
      <c r="V771" s="109"/>
      <c r="W771" s="109"/>
      <c r="X771" s="109"/>
      <c r="Y771" s="109"/>
      <c r="Z771" s="109"/>
      <c r="AA771" s="109"/>
      <c r="AB771" s="109"/>
      <c r="AC771" s="109"/>
      <c r="AD771" s="109"/>
      <c r="AE771" s="109"/>
      <c r="AF771" s="109"/>
      <c r="AG771" s="109"/>
    </row>
    <row r="772" ht="15.75" customHeight="1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  <c r="R772" s="109"/>
      <c r="S772" s="109"/>
      <c r="T772" s="109"/>
      <c r="U772" s="109"/>
      <c r="V772" s="109"/>
      <c r="W772" s="109"/>
      <c r="X772" s="109"/>
      <c r="Y772" s="109"/>
      <c r="Z772" s="109"/>
      <c r="AA772" s="109"/>
      <c r="AB772" s="109"/>
      <c r="AC772" s="109"/>
      <c r="AD772" s="109"/>
      <c r="AE772" s="109"/>
      <c r="AF772" s="109"/>
      <c r="AG772" s="109"/>
    </row>
    <row r="773" ht="15.75" customHeight="1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  <c r="R773" s="109"/>
      <c r="S773" s="109"/>
      <c r="T773" s="109"/>
      <c r="U773" s="109"/>
      <c r="V773" s="109"/>
      <c r="W773" s="109"/>
      <c r="X773" s="109"/>
      <c r="Y773" s="109"/>
      <c r="Z773" s="109"/>
      <c r="AA773" s="109"/>
      <c r="AB773" s="109"/>
      <c r="AC773" s="109"/>
      <c r="AD773" s="109"/>
      <c r="AE773" s="109"/>
      <c r="AF773" s="109"/>
      <c r="AG773" s="109"/>
    </row>
    <row r="774" ht="15.75" customHeight="1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  <c r="R774" s="109"/>
      <c r="S774" s="109"/>
      <c r="T774" s="109"/>
      <c r="U774" s="109"/>
      <c r="V774" s="109"/>
      <c r="W774" s="109"/>
      <c r="X774" s="109"/>
      <c r="Y774" s="109"/>
      <c r="Z774" s="109"/>
      <c r="AA774" s="109"/>
      <c r="AB774" s="109"/>
      <c r="AC774" s="109"/>
      <c r="AD774" s="109"/>
      <c r="AE774" s="109"/>
      <c r="AF774" s="109"/>
      <c r="AG774" s="109"/>
    </row>
    <row r="775" ht="15.75" customHeight="1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  <c r="R775" s="109"/>
      <c r="S775" s="109"/>
      <c r="T775" s="109"/>
      <c r="U775" s="109"/>
      <c r="V775" s="109"/>
      <c r="W775" s="109"/>
      <c r="X775" s="109"/>
      <c r="Y775" s="109"/>
      <c r="Z775" s="109"/>
      <c r="AA775" s="109"/>
      <c r="AB775" s="109"/>
      <c r="AC775" s="109"/>
      <c r="AD775" s="109"/>
      <c r="AE775" s="109"/>
      <c r="AF775" s="109"/>
      <c r="AG775" s="109"/>
    </row>
    <row r="776" ht="15.75" customHeight="1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  <c r="R776" s="109"/>
      <c r="S776" s="109"/>
      <c r="T776" s="109"/>
      <c r="U776" s="109"/>
      <c r="V776" s="109"/>
      <c r="W776" s="109"/>
      <c r="X776" s="109"/>
      <c r="Y776" s="109"/>
      <c r="Z776" s="109"/>
      <c r="AA776" s="109"/>
      <c r="AB776" s="109"/>
      <c r="AC776" s="109"/>
      <c r="AD776" s="109"/>
      <c r="AE776" s="109"/>
      <c r="AF776" s="109"/>
      <c r="AG776" s="109"/>
    </row>
    <row r="777" ht="15.75" customHeight="1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  <c r="R777" s="109"/>
      <c r="S777" s="109"/>
      <c r="T777" s="109"/>
      <c r="U777" s="109"/>
      <c r="V777" s="109"/>
      <c r="W777" s="109"/>
      <c r="X777" s="109"/>
      <c r="Y777" s="109"/>
      <c r="Z777" s="109"/>
      <c r="AA777" s="109"/>
      <c r="AB777" s="109"/>
      <c r="AC777" s="109"/>
      <c r="AD777" s="109"/>
      <c r="AE777" s="109"/>
      <c r="AF777" s="109"/>
      <c r="AG777" s="109"/>
    </row>
    <row r="778" ht="15.75" customHeight="1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  <c r="R778" s="109"/>
      <c r="S778" s="109"/>
      <c r="T778" s="109"/>
      <c r="U778" s="109"/>
      <c r="V778" s="109"/>
      <c r="W778" s="109"/>
      <c r="X778" s="109"/>
      <c r="Y778" s="109"/>
      <c r="Z778" s="109"/>
      <c r="AA778" s="109"/>
      <c r="AB778" s="109"/>
      <c r="AC778" s="109"/>
      <c r="AD778" s="109"/>
      <c r="AE778" s="109"/>
      <c r="AF778" s="109"/>
      <c r="AG778" s="109"/>
    </row>
    <row r="779" ht="15.75" customHeight="1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  <c r="R779" s="109"/>
      <c r="S779" s="109"/>
      <c r="T779" s="109"/>
      <c r="U779" s="109"/>
      <c r="V779" s="109"/>
      <c r="W779" s="109"/>
      <c r="X779" s="109"/>
      <c r="Y779" s="109"/>
      <c r="Z779" s="109"/>
      <c r="AA779" s="109"/>
      <c r="AB779" s="109"/>
      <c r="AC779" s="109"/>
      <c r="AD779" s="109"/>
      <c r="AE779" s="109"/>
      <c r="AF779" s="109"/>
      <c r="AG779" s="109"/>
    </row>
    <row r="780" ht="15.75" customHeight="1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  <c r="R780" s="109"/>
      <c r="S780" s="109"/>
      <c r="T780" s="109"/>
      <c r="U780" s="109"/>
      <c r="V780" s="109"/>
      <c r="W780" s="109"/>
      <c r="X780" s="109"/>
      <c r="Y780" s="109"/>
      <c r="Z780" s="109"/>
      <c r="AA780" s="109"/>
      <c r="AB780" s="109"/>
      <c r="AC780" s="109"/>
      <c r="AD780" s="109"/>
      <c r="AE780" s="109"/>
      <c r="AF780" s="109"/>
      <c r="AG780" s="109"/>
    </row>
    <row r="781" ht="15.75" customHeight="1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  <c r="R781" s="109"/>
      <c r="S781" s="109"/>
      <c r="T781" s="109"/>
      <c r="U781" s="109"/>
      <c r="V781" s="109"/>
      <c r="W781" s="109"/>
      <c r="X781" s="109"/>
      <c r="Y781" s="109"/>
      <c r="Z781" s="109"/>
      <c r="AA781" s="109"/>
      <c r="AB781" s="109"/>
      <c r="AC781" s="109"/>
      <c r="AD781" s="109"/>
      <c r="AE781" s="109"/>
      <c r="AF781" s="109"/>
      <c r="AG781" s="109"/>
    </row>
    <row r="782" ht="15.75" customHeight="1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  <c r="R782" s="109"/>
      <c r="S782" s="109"/>
      <c r="T782" s="109"/>
      <c r="U782" s="109"/>
      <c r="V782" s="109"/>
      <c r="W782" s="109"/>
      <c r="X782" s="109"/>
      <c r="Y782" s="109"/>
      <c r="Z782" s="109"/>
      <c r="AA782" s="109"/>
      <c r="AB782" s="109"/>
      <c r="AC782" s="109"/>
      <c r="AD782" s="109"/>
      <c r="AE782" s="109"/>
      <c r="AF782" s="109"/>
      <c r="AG782" s="109"/>
    </row>
    <row r="783" ht="15.75" customHeight="1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  <c r="R783" s="109"/>
      <c r="S783" s="109"/>
      <c r="T783" s="109"/>
      <c r="U783" s="109"/>
      <c r="V783" s="109"/>
      <c r="W783" s="109"/>
      <c r="X783" s="109"/>
      <c r="Y783" s="109"/>
      <c r="Z783" s="109"/>
      <c r="AA783" s="109"/>
      <c r="AB783" s="109"/>
      <c r="AC783" s="109"/>
      <c r="AD783" s="109"/>
      <c r="AE783" s="109"/>
      <c r="AF783" s="109"/>
      <c r="AG783" s="109"/>
    </row>
    <row r="784" ht="15.75" customHeight="1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  <c r="R784" s="109"/>
      <c r="S784" s="109"/>
      <c r="T784" s="109"/>
      <c r="U784" s="109"/>
      <c r="V784" s="109"/>
      <c r="W784" s="109"/>
      <c r="X784" s="109"/>
      <c r="Y784" s="109"/>
      <c r="Z784" s="109"/>
      <c r="AA784" s="109"/>
      <c r="AB784" s="109"/>
      <c r="AC784" s="109"/>
      <c r="AD784" s="109"/>
      <c r="AE784" s="109"/>
      <c r="AF784" s="109"/>
      <c r="AG784" s="109"/>
    </row>
    <row r="785" ht="15.75" customHeight="1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  <c r="R785" s="109"/>
      <c r="S785" s="109"/>
      <c r="T785" s="109"/>
      <c r="U785" s="109"/>
      <c r="V785" s="109"/>
      <c r="W785" s="109"/>
      <c r="X785" s="109"/>
      <c r="Y785" s="109"/>
      <c r="Z785" s="109"/>
      <c r="AA785" s="109"/>
      <c r="AB785" s="109"/>
      <c r="AC785" s="109"/>
      <c r="AD785" s="109"/>
      <c r="AE785" s="109"/>
      <c r="AF785" s="109"/>
      <c r="AG785" s="109"/>
    </row>
    <row r="786" ht="15.75" customHeight="1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  <c r="R786" s="109"/>
      <c r="S786" s="109"/>
      <c r="T786" s="109"/>
      <c r="U786" s="109"/>
      <c r="V786" s="109"/>
      <c r="W786" s="109"/>
      <c r="X786" s="109"/>
      <c r="Y786" s="109"/>
      <c r="Z786" s="109"/>
      <c r="AA786" s="109"/>
      <c r="AB786" s="109"/>
      <c r="AC786" s="109"/>
      <c r="AD786" s="109"/>
      <c r="AE786" s="109"/>
      <c r="AF786" s="109"/>
      <c r="AG786" s="109"/>
    </row>
    <row r="787" ht="15.75" customHeight="1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  <c r="R787" s="109"/>
      <c r="S787" s="109"/>
      <c r="T787" s="109"/>
      <c r="U787" s="109"/>
      <c r="V787" s="109"/>
      <c r="W787" s="109"/>
      <c r="X787" s="109"/>
      <c r="Y787" s="109"/>
      <c r="Z787" s="109"/>
      <c r="AA787" s="109"/>
      <c r="AB787" s="109"/>
      <c r="AC787" s="109"/>
      <c r="AD787" s="109"/>
      <c r="AE787" s="109"/>
      <c r="AF787" s="109"/>
      <c r="AG787" s="109"/>
    </row>
    <row r="788" ht="15.75" customHeight="1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  <c r="R788" s="109"/>
      <c r="S788" s="109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</row>
    <row r="789" ht="15.75" customHeight="1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  <c r="R789" s="109"/>
      <c r="S789" s="109"/>
      <c r="T789" s="109"/>
      <c r="U789" s="109"/>
      <c r="V789" s="109"/>
      <c r="W789" s="109"/>
      <c r="X789" s="109"/>
      <c r="Y789" s="109"/>
      <c r="Z789" s="109"/>
      <c r="AA789" s="109"/>
      <c r="AB789" s="109"/>
      <c r="AC789" s="109"/>
      <c r="AD789" s="109"/>
      <c r="AE789" s="109"/>
      <c r="AF789" s="109"/>
      <c r="AG789" s="109"/>
    </row>
    <row r="790" ht="15.75" customHeight="1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  <c r="R790" s="109"/>
      <c r="S790" s="109"/>
      <c r="T790" s="109"/>
      <c r="U790" s="109"/>
      <c r="V790" s="109"/>
      <c r="W790" s="109"/>
      <c r="X790" s="109"/>
      <c r="Y790" s="109"/>
      <c r="Z790" s="109"/>
      <c r="AA790" s="109"/>
      <c r="AB790" s="109"/>
      <c r="AC790" s="109"/>
      <c r="AD790" s="109"/>
      <c r="AE790" s="109"/>
      <c r="AF790" s="109"/>
      <c r="AG790" s="109"/>
    </row>
    <row r="791" ht="15.75" customHeight="1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  <c r="R791" s="109"/>
      <c r="S791" s="109"/>
      <c r="T791" s="109"/>
      <c r="U791" s="109"/>
      <c r="V791" s="109"/>
      <c r="W791" s="109"/>
      <c r="X791" s="109"/>
      <c r="Y791" s="109"/>
      <c r="Z791" s="109"/>
      <c r="AA791" s="109"/>
      <c r="AB791" s="109"/>
      <c r="AC791" s="109"/>
      <c r="AD791" s="109"/>
      <c r="AE791" s="109"/>
      <c r="AF791" s="109"/>
      <c r="AG791" s="109"/>
    </row>
    <row r="792" ht="15.75" customHeight="1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  <c r="R792" s="109"/>
      <c r="S792" s="109"/>
      <c r="T792" s="109"/>
      <c r="U792" s="109"/>
      <c r="V792" s="109"/>
      <c r="W792" s="109"/>
      <c r="X792" s="109"/>
      <c r="Y792" s="109"/>
      <c r="Z792" s="109"/>
      <c r="AA792" s="109"/>
      <c r="AB792" s="109"/>
      <c r="AC792" s="109"/>
      <c r="AD792" s="109"/>
      <c r="AE792" s="109"/>
      <c r="AF792" s="109"/>
      <c r="AG792" s="109"/>
    </row>
    <row r="793" ht="15.75" customHeight="1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  <c r="R793" s="109"/>
      <c r="S793" s="109"/>
      <c r="T793" s="109"/>
      <c r="U793" s="109"/>
      <c r="V793" s="109"/>
      <c r="W793" s="109"/>
      <c r="X793" s="109"/>
      <c r="Y793" s="109"/>
      <c r="Z793" s="109"/>
      <c r="AA793" s="109"/>
      <c r="AB793" s="109"/>
      <c r="AC793" s="109"/>
      <c r="AD793" s="109"/>
      <c r="AE793" s="109"/>
      <c r="AF793" s="109"/>
      <c r="AG793" s="109"/>
    </row>
    <row r="794" ht="15.75" customHeight="1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  <c r="R794" s="109"/>
      <c r="S794" s="109"/>
      <c r="T794" s="109"/>
      <c r="U794" s="109"/>
      <c r="V794" s="109"/>
      <c r="W794" s="109"/>
      <c r="X794" s="109"/>
      <c r="Y794" s="109"/>
      <c r="Z794" s="109"/>
      <c r="AA794" s="109"/>
      <c r="AB794" s="109"/>
      <c r="AC794" s="109"/>
      <c r="AD794" s="109"/>
      <c r="AE794" s="109"/>
      <c r="AF794" s="109"/>
      <c r="AG794" s="109"/>
    </row>
    <row r="795" ht="15.75" customHeight="1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  <c r="R795" s="109"/>
      <c r="S795" s="109"/>
      <c r="T795" s="109"/>
      <c r="U795" s="109"/>
      <c r="V795" s="109"/>
      <c r="W795" s="109"/>
      <c r="X795" s="109"/>
      <c r="Y795" s="109"/>
      <c r="Z795" s="109"/>
      <c r="AA795" s="109"/>
      <c r="AB795" s="109"/>
      <c r="AC795" s="109"/>
      <c r="AD795" s="109"/>
      <c r="AE795" s="109"/>
      <c r="AF795" s="109"/>
      <c r="AG795" s="109"/>
    </row>
    <row r="796" ht="15.75" customHeight="1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  <c r="R796" s="109"/>
      <c r="S796" s="109"/>
      <c r="T796" s="109"/>
      <c r="U796" s="109"/>
      <c r="V796" s="109"/>
      <c r="W796" s="109"/>
      <c r="X796" s="109"/>
      <c r="Y796" s="109"/>
      <c r="Z796" s="109"/>
      <c r="AA796" s="109"/>
      <c r="AB796" s="109"/>
      <c r="AC796" s="109"/>
      <c r="AD796" s="109"/>
      <c r="AE796" s="109"/>
      <c r="AF796" s="109"/>
      <c r="AG796" s="109"/>
    </row>
    <row r="797" ht="15.75" customHeight="1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  <c r="R797" s="109"/>
      <c r="S797" s="109"/>
      <c r="T797" s="109"/>
      <c r="U797" s="109"/>
      <c r="V797" s="109"/>
      <c r="W797" s="109"/>
      <c r="X797" s="109"/>
      <c r="Y797" s="109"/>
      <c r="Z797" s="109"/>
      <c r="AA797" s="109"/>
      <c r="AB797" s="109"/>
      <c r="AC797" s="109"/>
      <c r="AD797" s="109"/>
      <c r="AE797" s="109"/>
      <c r="AF797" s="109"/>
      <c r="AG797" s="109"/>
    </row>
    <row r="798" ht="15.75" customHeight="1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  <c r="R798" s="109"/>
      <c r="S798" s="109"/>
      <c r="T798" s="109"/>
      <c r="U798" s="109"/>
      <c r="V798" s="109"/>
      <c r="W798" s="109"/>
      <c r="X798" s="109"/>
      <c r="Y798" s="109"/>
      <c r="Z798" s="109"/>
      <c r="AA798" s="109"/>
      <c r="AB798" s="109"/>
      <c r="AC798" s="109"/>
      <c r="AD798" s="109"/>
      <c r="AE798" s="109"/>
      <c r="AF798" s="109"/>
      <c r="AG798" s="109"/>
    </row>
    <row r="799" ht="15.75" customHeight="1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  <c r="W799" s="109"/>
      <c r="X799" s="109"/>
      <c r="Y799" s="109"/>
      <c r="Z799" s="109"/>
      <c r="AA799" s="109"/>
      <c r="AB799" s="109"/>
      <c r="AC799" s="109"/>
      <c r="AD799" s="109"/>
      <c r="AE799" s="109"/>
      <c r="AF799" s="109"/>
      <c r="AG799" s="109"/>
    </row>
    <row r="800" ht="15.75" customHeight="1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  <c r="R800" s="109"/>
      <c r="S800" s="109"/>
      <c r="T800" s="109"/>
      <c r="U800" s="109"/>
      <c r="V800" s="109"/>
      <c r="W800" s="109"/>
      <c r="X800" s="109"/>
      <c r="Y800" s="109"/>
      <c r="Z800" s="109"/>
      <c r="AA800" s="109"/>
      <c r="AB800" s="109"/>
      <c r="AC800" s="109"/>
      <c r="AD800" s="109"/>
      <c r="AE800" s="109"/>
      <c r="AF800" s="109"/>
      <c r="AG800" s="109"/>
    </row>
    <row r="801" ht="15.75" customHeight="1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  <c r="R801" s="109"/>
      <c r="S801" s="109"/>
      <c r="T801" s="109"/>
      <c r="U801" s="109"/>
      <c r="V801" s="109"/>
      <c r="W801" s="109"/>
      <c r="X801" s="109"/>
      <c r="Y801" s="109"/>
      <c r="Z801" s="109"/>
      <c r="AA801" s="109"/>
      <c r="AB801" s="109"/>
      <c r="AC801" s="109"/>
      <c r="AD801" s="109"/>
      <c r="AE801" s="109"/>
      <c r="AF801" s="109"/>
      <c r="AG801" s="109"/>
    </row>
    <row r="802" ht="15.75" customHeight="1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  <c r="R802" s="109"/>
      <c r="S802" s="109"/>
      <c r="T802" s="109"/>
      <c r="U802" s="109"/>
      <c r="V802" s="109"/>
      <c r="W802" s="109"/>
      <c r="X802" s="109"/>
      <c r="Y802" s="109"/>
      <c r="Z802" s="109"/>
      <c r="AA802" s="109"/>
      <c r="AB802" s="109"/>
      <c r="AC802" s="109"/>
      <c r="AD802" s="109"/>
      <c r="AE802" s="109"/>
      <c r="AF802" s="109"/>
      <c r="AG802" s="109"/>
    </row>
    <row r="803" ht="15.75" customHeight="1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  <c r="R803" s="109"/>
      <c r="S803" s="109"/>
      <c r="T803" s="109"/>
      <c r="U803" s="109"/>
      <c r="V803" s="109"/>
      <c r="W803" s="109"/>
      <c r="X803" s="109"/>
      <c r="Y803" s="109"/>
      <c r="Z803" s="109"/>
      <c r="AA803" s="109"/>
      <c r="AB803" s="109"/>
      <c r="AC803" s="109"/>
      <c r="AD803" s="109"/>
      <c r="AE803" s="109"/>
      <c r="AF803" s="109"/>
      <c r="AG803" s="109"/>
    </row>
    <row r="804" ht="15.75" customHeight="1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  <c r="R804" s="109"/>
      <c r="S804" s="109"/>
      <c r="T804" s="109"/>
      <c r="U804" s="109"/>
      <c r="V804" s="109"/>
      <c r="W804" s="109"/>
      <c r="X804" s="109"/>
      <c r="Y804" s="109"/>
      <c r="Z804" s="109"/>
      <c r="AA804" s="109"/>
      <c r="AB804" s="109"/>
      <c r="AC804" s="109"/>
      <c r="AD804" s="109"/>
      <c r="AE804" s="109"/>
      <c r="AF804" s="109"/>
      <c r="AG804" s="109"/>
    </row>
    <row r="805" ht="15.75" customHeight="1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  <c r="R805" s="109"/>
      <c r="S805" s="109"/>
      <c r="T805" s="109"/>
      <c r="U805" s="109"/>
      <c r="V805" s="109"/>
      <c r="W805" s="109"/>
      <c r="X805" s="109"/>
      <c r="Y805" s="109"/>
      <c r="Z805" s="109"/>
      <c r="AA805" s="109"/>
      <c r="AB805" s="109"/>
      <c r="AC805" s="109"/>
      <c r="AD805" s="109"/>
      <c r="AE805" s="109"/>
      <c r="AF805" s="109"/>
      <c r="AG805" s="109"/>
    </row>
    <row r="806" ht="15.75" customHeight="1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  <c r="R806" s="109"/>
      <c r="S806" s="109"/>
      <c r="T806" s="109"/>
      <c r="U806" s="109"/>
      <c r="V806" s="109"/>
      <c r="W806" s="109"/>
      <c r="X806" s="109"/>
      <c r="Y806" s="109"/>
      <c r="Z806" s="109"/>
      <c r="AA806" s="109"/>
      <c r="AB806" s="109"/>
      <c r="AC806" s="109"/>
      <c r="AD806" s="109"/>
      <c r="AE806" s="109"/>
      <c r="AF806" s="109"/>
      <c r="AG806" s="109"/>
    </row>
    <row r="807" ht="15.75" customHeight="1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  <c r="R807" s="109"/>
      <c r="S807" s="109"/>
      <c r="T807" s="109"/>
      <c r="U807" s="109"/>
      <c r="V807" s="109"/>
      <c r="W807" s="109"/>
      <c r="X807" s="109"/>
      <c r="Y807" s="109"/>
      <c r="Z807" s="109"/>
      <c r="AA807" s="109"/>
      <c r="AB807" s="109"/>
      <c r="AC807" s="109"/>
      <c r="AD807" s="109"/>
      <c r="AE807" s="109"/>
      <c r="AF807" s="109"/>
      <c r="AG807" s="109"/>
    </row>
    <row r="808" ht="15.75" customHeight="1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  <c r="R808" s="109"/>
      <c r="S808" s="109"/>
      <c r="T808" s="109"/>
      <c r="U808" s="109"/>
      <c r="V808" s="109"/>
      <c r="W808" s="109"/>
      <c r="X808" s="109"/>
      <c r="Y808" s="109"/>
      <c r="Z808" s="109"/>
      <c r="AA808" s="109"/>
      <c r="AB808" s="109"/>
      <c r="AC808" s="109"/>
      <c r="AD808" s="109"/>
      <c r="AE808" s="109"/>
      <c r="AF808" s="109"/>
      <c r="AG808" s="109"/>
    </row>
    <row r="809" ht="15.75" customHeight="1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  <c r="R809" s="109"/>
      <c r="S809" s="109"/>
      <c r="T809" s="109"/>
      <c r="U809" s="109"/>
      <c r="V809" s="109"/>
      <c r="W809" s="109"/>
      <c r="X809" s="109"/>
      <c r="Y809" s="109"/>
      <c r="Z809" s="109"/>
      <c r="AA809" s="109"/>
      <c r="AB809" s="109"/>
      <c r="AC809" s="109"/>
      <c r="AD809" s="109"/>
      <c r="AE809" s="109"/>
      <c r="AF809" s="109"/>
      <c r="AG809" s="109"/>
    </row>
    <row r="810" ht="15.75" customHeight="1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  <c r="R810" s="109"/>
      <c r="S810" s="109"/>
      <c r="T810" s="109"/>
      <c r="U810" s="109"/>
      <c r="V810" s="109"/>
      <c r="W810" s="109"/>
      <c r="X810" s="109"/>
      <c r="Y810" s="109"/>
      <c r="Z810" s="109"/>
      <c r="AA810" s="109"/>
      <c r="AB810" s="109"/>
      <c r="AC810" s="109"/>
      <c r="AD810" s="109"/>
      <c r="AE810" s="109"/>
      <c r="AF810" s="109"/>
      <c r="AG810" s="109"/>
    </row>
    <row r="811" ht="15.75" customHeight="1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  <c r="R811" s="109"/>
      <c r="S811" s="109"/>
      <c r="T811" s="109"/>
      <c r="U811" s="109"/>
      <c r="V811" s="109"/>
      <c r="W811" s="109"/>
      <c r="X811" s="109"/>
      <c r="Y811" s="109"/>
      <c r="Z811" s="109"/>
      <c r="AA811" s="109"/>
      <c r="AB811" s="109"/>
      <c r="AC811" s="109"/>
      <c r="AD811" s="109"/>
      <c r="AE811" s="109"/>
      <c r="AF811" s="109"/>
      <c r="AG811" s="109"/>
    </row>
    <row r="812" ht="15.75" customHeight="1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  <c r="R812" s="109"/>
      <c r="S812" s="109"/>
      <c r="T812" s="109"/>
      <c r="U812" s="109"/>
      <c r="V812" s="109"/>
      <c r="W812" s="109"/>
      <c r="X812" s="109"/>
      <c r="Y812" s="109"/>
      <c r="Z812" s="109"/>
      <c r="AA812" s="109"/>
      <c r="AB812" s="109"/>
      <c r="AC812" s="109"/>
      <c r="AD812" s="109"/>
      <c r="AE812" s="109"/>
      <c r="AF812" s="109"/>
      <c r="AG812" s="109"/>
    </row>
    <row r="813" ht="15.75" customHeight="1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  <c r="R813" s="109"/>
      <c r="S813" s="109"/>
      <c r="T813" s="109"/>
      <c r="U813" s="109"/>
      <c r="V813" s="109"/>
      <c r="W813" s="109"/>
      <c r="X813" s="109"/>
      <c r="Y813" s="109"/>
      <c r="Z813" s="109"/>
      <c r="AA813" s="109"/>
      <c r="AB813" s="109"/>
      <c r="AC813" s="109"/>
      <c r="AD813" s="109"/>
      <c r="AE813" s="109"/>
      <c r="AF813" s="109"/>
      <c r="AG813" s="109"/>
    </row>
    <row r="814" ht="15.75" customHeight="1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  <c r="R814" s="109"/>
      <c r="S814" s="109"/>
      <c r="T814" s="109"/>
      <c r="U814" s="109"/>
      <c r="V814" s="109"/>
      <c r="W814" s="109"/>
      <c r="X814" s="109"/>
      <c r="Y814" s="109"/>
      <c r="Z814" s="109"/>
      <c r="AA814" s="109"/>
      <c r="AB814" s="109"/>
      <c r="AC814" s="109"/>
      <c r="AD814" s="109"/>
      <c r="AE814" s="109"/>
      <c r="AF814" s="109"/>
      <c r="AG814" s="109"/>
    </row>
    <row r="815" ht="15.75" customHeight="1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  <c r="R815" s="109"/>
      <c r="S815" s="109"/>
      <c r="T815" s="109"/>
      <c r="U815" s="109"/>
      <c r="V815" s="109"/>
      <c r="W815" s="109"/>
      <c r="X815" s="109"/>
      <c r="Y815" s="109"/>
      <c r="Z815" s="109"/>
      <c r="AA815" s="109"/>
      <c r="AB815" s="109"/>
      <c r="AC815" s="109"/>
      <c r="AD815" s="109"/>
      <c r="AE815" s="109"/>
      <c r="AF815" s="109"/>
      <c r="AG815" s="109"/>
    </row>
    <row r="816" ht="15.75" customHeight="1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  <c r="R816" s="109"/>
      <c r="S816" s="109"/>
      <c r="T816" s="109"/>
      <c r="U816" s="109"/>
      <c r="V816" s="109"/>
      <c r="W816" s="109"/>
      <c r="X816" s="109"/>
      <c r="Y816" s="109"/>
      <c r="Z816" s="109"/>
      <c r="AA816" s="109"/>
      <c r="AB816" s="109"/>
      <c r="AC816" s="109"/>
      <c r="AD816" s="109"/>
      <c r="AE816" s="109"/>
      <c r="AF816" s="109"/>
      <c r="AG816" s="109"/>
    </row>
    <row r="817" ht="15.75" customHeight="1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  <c r="R817" s="109"/>
      <c r="S817" s="109"/>
      <c r="T817" s="109"/>
      <c r="U817" s="109"/>
      <c r="V817" s="109"/>
      <c r="W817" s="109"/>
      <c r="X817" s="109"/>
      <c r="Y817" s="109"/>
      <c r="Z817" s="109"/>
      <c r="AA817" s="109"/>
      <c r="AB817" s="109"/>
      <c r="AC817" s="109"/>
      <c r="AD817" s="109"/>
      <c r="AE817" s="109"/>
      <c r="AF817" s="109"/>
      <c r="AG817" s="109"/>
    </row>
    <row r="818" ht="15.75" customHeight="1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  <c r="R818" s="109"/>
      <c r="S818" s="109"/>
      <c r="T818" s="109"/>
      <c r="U818" s="109"/>
      <c r="V818" s="109"/>
      <c r="W818" s="109"/>
      <c r="X818" s="109"/>
      <c r="Y818" s="109"/>
      <c r="Z818" s="109"/>
      <c r="AA818" s="109"/>
      <c r="AB818" s="109"/>
      <c r="AC818" s="109"/>
      <c r="AD818" s="109"/>
      <c r="AE818" s="109"/>
      <c r="AF818" s="109"/>
      <c r="AG818" s="109"/>
    </row>
    <row r="819" ht="15.75" customHeight="1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  <c r="R819" s="109"/>
      <c r="S819" s="109"/>
      <c r="T819" s="109"/>
      <c r="U819" s="109"/>
      <c r="V819" s="109"/>
      <c r="W819" s="109"/>
      <c r="X819" s="109"/>
      <c r="Y819" s="109"/>
      <c r="Z819" s="109"/>
      <c r="AA819" s="109"/>
      <c r="AB819" s="109"/>
      <c r="AC819" s="109"/>
      <c r="AD819" s="109"/>
      <c r="AE819" s="109"/>
      <c r="AF819" s="109"/>
      <c r="AG819" s="109"/>
    </row>
    <row r="820" ht="15.75" customHeight="1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  <c r="R820" s="109"/>
      <c r="S820" s="109"/>
      <c r="T820" s="109"/>
      <c r="U820" s="109"/>
      <c r="V820" s="109"/>
      <c r="W820" s="109"/>
      <c r="X820" s="109"/>
      <c r="Y820" s="109"/>
      <c r="Z820" s="109"/>
      <c r="AA820" s="109"/>
      <c r="AB820" s="109"/>
      <c r="AC820" s="109"/>
      <c r="AD820" s="109"/>
      <c r="AE820" s="109"/>
      <c r="AF820" s="109"/>
      <c r="AG820" s="109"/>
    </row>
    <row r="821" ht="15.75" customHeight="1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  <c r="R821" s="109"/>
      <c r="S821" s="109"/>
      <c r="T821" s="109"/>
      <c r="U821" s="109"/>
      <c r="V821" s="109"/>
      <c r="W821" s="109"/>
      <c r="X821" s="109"/>
      <c r="Y821" s="109"/>
      <c r="Z821" s="109"/>
      <c r="AA821" s="109"/>
      <c r="AB821" s="109"/>
      <c r="AC821" s="109"/>
      <c r="AD821" s="109"/>
      <c r="AE821" s="109"/>
      <c r="AF821" s="109"/>
      <c r="AG821" s="109"/>
    </row>
    <row r="822" ht="15.75" customHeight="1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  <c r="R822" s="109"/>
      <c r="S822" s="109"/>
      <c r="T822" s="109"/>
      <c r="U822" s="109"/>
      <c r="V822" s="109"/>
      <c r="W822" s="109"/>
      <c r="X822" s="109"/>
      <c r="Y822" s="109"/>
      <c r="Z822" s="109"/>
      <c r="AA822" s="109"/>
      <c r="AB822" s="109"/>
      <c r="AC822" s="109"/>
      <c r="AD822" s="109"/>
      <c r="AE822" s="109"/>
      <c r="AF822" s="109"/>
      <c r="AG822" s="109"/>
    </row>
    <row r="823" ht="15.75" customHeight="1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  <c r="R823" s="109"/>
      <c r="S823" s="109"/>
      <c r="T823" s="109"/>
      <c r="U823" s="109"/>
      <c r="V823" s="109"/>
      <c r="W823" s="109"/>
      <c r="X823" s="109"/>
      <c r="Y823" s="109"/>
      <c r="Z823" s="109"/>
      <c r="AA823" s="109"/>
      <c r="AB823" s="109"/>
      <c r="AC823" s="109"/>
      <c r="AD823" s="109"/>
      <c r="AE823" s="109"/>
      <c r="AF823" s="109"/>
      <c r="AG823" s="109"/>
    </row>
    <row r="824" ht="15.75" customHeight="1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  <c r="R824" s="109"/>
      <c r="S824" s="109"/>
      <c r="T824" s="109"/>
      <c r="U824" s="109"/>
      <c r="V824" s="109"/>
      <c r="W824" s="109"/>
      <c r="X824" s="109"/>
      <c r="Y824" s="109"/>
      <c r="Z824" s="109"/>
      <c r="AA824" s="109"/>
      <c r="AB824" s="109"/>
      <c r="AC824" s="109"/>
      <c r="AD824" s="109"/>
      <c r="AE824" s="109"/>
      <c r="AF824" s="109"/>
      <c r="AG824" s="109"/>
    </row>
    <row r="825" ht="15.75" customHeight="1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  <c r="R825" s="109"/>
      <c r="S825" s="109"/>
      <c r="T825" s="109"/>
      <c r="U825" s="109"/>
      <c r="V825" s="109"/>
      <c r="W825" s="109"/>
      <c r="X825" s="109"/>
      <c r="Y825" s="109"/>
      <c r="Z825" s="109"/>
      <c r="AA825" s="109"/>
      <c r="AB825" s="109"/>
      <c r="AC825" s="109"/>
      <c r="AD825" s="109"/>
      <c r="AE825" s="109"/>
      <c r="AF825" s="109"/>
      <c r="AG825" s="109"/>
    </row>
    <row r="826" ht="15.75" customHeight="1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  <c r="R826" s="109"/>
      <c r="S826" s="109"/>
      <c r="T826" s="109"/>
      <c r="U826" s="109"/>
      <c r="V826" s="109"/>
      <c r="W826" s="109"/>
      <c r="X826" s="109"/>
      <c r="Y826" s="109"/>
      <c r="Z826" s="109"/>
      <c r="AA826" s="109"/>
      <c r="AB826" s="109"/>
      <c r="AC826" s="109"/>
      <c r="AD826" s="109"/>
      <c r="AE826" s="109"/>
      <c r="AF826" s="109"/>
      <c r="AG826" s="109"/>
    </row>
    <row r="827" ht="15.75" customHeight="1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  <c r="R827" s="109"/>
      <c r="S827" s="109"/>
      <c r="T827" s="109"/>
      <c r="U827" s="109"/>
      <c r="V827" s="109"/>
      <c r="W827" s="109"/>
      <c r="X827" s="109"/>
      <c r="Y827" s="109"/>
      <c r="Z827" s="109"/>
      <c r="AA827" s="109"/>
      <c r="AB827" s="109"/>
      <c r="AC827" s="109"/>
      <c r="AD827" s="109"/>
      <c r="AE827" s="109"/>
      <c r="AF827" s="109"/>
      <c r="AG827" s="109"/>
    </row>
    <row r="828" ht="15.75" customHeight="1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  <c r="R828" s="109"/>
      <c r="S828" s="109"/>
      <c r="T828" s="109"/>
      <c r="U828" s="109"/>
      <c r="V828" s="109"/>
      <c r="W828" s="109"/>
      <c r="X828" s="109"/>
      <c r="Y828" s="109"/>
      <c r="Z828" s="109"/>
      <c r="AA828" s="109"/>
      <c r="AB828" s="109"/>
      <c r="AC828" s="109"/>
      <c r="AD828" s="109"/>
      <c r="AE828" s="109"/>
      <c r="AF828" s="109"/>
      <c r="AG828" s="109"/>
    </row>
    <row r="829" ht="15.75" customHeight="1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  <c r="R829" s="109"/>
      <c r="S829" s="109"/>
      <c r="T829" s="109"/>
      <c r="U829" s="109"/>
      <c r="V829" s="109"/>
      <c r="W829" s="109"/>
      <c r="X829" s="109"/>
      <c r="Y829" s="109"/>
      <c r="Z829" s="109"/>
      <c r="AA829" s="109"/>
      <c r="AB829" s="109"/>
      <c r="AC829" s="109"/>
      <c r="AD829" s="109"/>
      <c r="AE829" s="109"/>
      <c r="AF829" s="109"/>
      <c r="AG829" s="109"/>
    </row>
    <row r="830" ht="15.75" customHeight="1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  <c r="R830" s="109"/>
      <c r="S830" s="109"/>
      <c r="T830" s="109"/>
      <c r="U830" s="109"/>
      <c r="V830" s="109"/>
      <c r="W830" s="109"/>
      <c r="X830" s="109"/>
      <c r="Y830" s="109"/>
      <c r="Z830" s="109"/>
      <c r="AA830" s="109"/>
      <c r="AB830" s="109"/>
      <c r="AC830" s="109"/>
      <c r="AD830" s="109"/>
      <c r="AE830" s="109"/>
      <c r="AF830" s="109"/>
      <c r="AG830" s="109"/>
    </row>
    <row r="831" ht="15.75" customHeight="1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  <c r="R831" s="109"/>
      <c r="S831" s="109"/>
      <c r="T831" s="109"/>
      <c r="U831" s="109"/>
      <c r="V831" s="109"/>
      <c r="W831" s="109"/>
      <c r="X831" s="109"/>
      <c r="Y831" s="109"/>
      <c r="Z831" s="109"/>
      <c r="AA831" s="109"/>
      <c r="AB831" s="109"/>
      <c r="AC831" s="109"/>
      <c r="AD831" s="109"/>
      <c r="AE831" s="109"/>
      <c r="AF831" s="109"/>
      <c r="AG831" s="109"/>
    </row>
    <row r="832" ht="15.75" customHeight="1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  <c r="R832" s="109"/>
      <c r="S832" s="109"/>
      <c r="T832" s="109"/>
      <c r="U832" s="109"/>
      <c r="V832" s="109"/>
      <c r="W832" s="109"/>
      <c r="X832" s="109"/>
      <c r="Y832" s="109"/>
      <c r="Z832" s="109"/>
      <c r="AA832" s="109"/>
      <c r="AB832" s="109"/>
      <c r="AC832" s="109"/>
      <c r="AD832" s="109"/>
      <c r="AE832" s="109"/>
      <c r="AF832" s="109"/>
      <c r="AG832" s="109"/>
    </row>
    <row r="833" ht="15.75" customHeight="1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  <c r="R833" s="109"/>
      <c r="S833" s="109"/>
      <c r="T833" s="109"/>
      <c r="U833" s="109"/>
      <c r="V833" s="109"/>
      <c r="W833" s="109"/>
      <c r="X833" s="109"/>
      <c r="Y833" s="109"/>
      <c r="Z833" s="109"/>
      <c r="AA833" s="109"/>
      <c r="AB833" s="109"/>
      <c r="AC833" s="109"/>
      <c r="AD833" s="109"/>
      <c r="AE833" s="109"/>
      <c r="AF833" s="109"/>
      <c r="AG833" s="109"/>
    </row>
    <row r="834" ht="15.75" customHeight="1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  <c r="R834" s="109"/>
      <c r="S834" s="109"/>
      <c r="T834" s="109"/>
      <c r="U834" s="109"/>
      <c r="V834" s="109"/>
      <c r="W834" s="109"/>
      <c r="X834" s="109"/>
      <c r="Y834" s="109"/>
      <c r="Z834" s="109"/>
      <c r="AA834" s="109"/>
      <c r="AB834" s="109"/>
      <c r="AC834" s="109"/>
      <c r="AD834" s="109"/>
      <c r="AE834" s="109"/>
      <c r="AF834" s="109"/>
      <c r="AG834" s="109"/>
    </row>
    <row r="835" ht="15.75" customHeight="1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  <c r="R835" s="109"/>
      <c r="S835" s="109"/>
      <c r="T835" s="109"/>
      <c r="U835" s="109"/>
      <c r="V835" s="109"/>
      <c r="W835" s="109"/>
      <c r="X835" s="109"/>
      <c r="Y835" s="109"/>
      <c r="Z835" s="109"/>
      <c r="AA835" s="109"/>
      <c r="AB835" s="109"/>
      <c r="AC835" s="109"/>
      <c r="AD835" s="109"/>
      <c r="AE835" s="109"/>
      <c r="AF835" s="109"/>
      <c r="AG835" s="109"/>
    </row>
    <row r="836" ht="15.75" customHeight="1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  <c r="R836" s="109"/>
      <c r="S836" s="109"/>
      <c r="T836" s="109"/>
      <c r="U836" s="109"/>
      <c r="V836" s="109"/>
      <c r="W836" s="109"/>
      <c r="X836" s="109"/>
      <c r="Y836" s="109"/>
      <c r="Z836" s="109"/>
      <c r="AA836" s="109"/>
      <c r="AB836" s="109"/>
      <c r="AC836" s="109"/>
      <c r="AD836" s="109"/>
      <c r="AE836" s="109"/>
      <c r="AF836" s="109"/>
      <c r="AG836" s="109"/>
    </row>
    <row r="837" ht="15.75" customHeight="1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  <c r="R837" s="109"/>
      <c r="S837" s="109"/>
      <c r="T837" s="109"/>
      <c r="U837" s="109"/>
      <c r="V837" s="109"/>
      <c r="W837" s="109"/>
      <c r="X837" s="109"/>
      <c r="Y837" s="109"/>
      <c r="Z837" s="109"/>
      <c r="AA837" s="109"/>
      <c r="AB837" s="109"/>
      <c r="AC837" s="109"/>
      <c r="AD837" s="109"/>
      <c r="AE837" s="109"/>
      <c r="AF837" s="109"/>
      <c r="AG837" s="109"/>
    </row>
    <row r="838" ht="15.75" customHeight="1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  <c r="R838" s="109"/>
      <c r="S838" s="109"/>
      <c r="T838" s="109"/>
      <c r="U838" s="109"/>
      <c r="V838" s="109"/>
      <c r="W838" s="109"/>
      <c r="X838" s="109"/>
      <c r="Y838" s="109"/>
      <c r="Z838" s="109"/>
      <c r="AA838" s="109"/>
      <c r="AB838" s="109"/>
      <c r="AC838" s="109"/>
      <c r="AD838" s="109"/>
      <c r="AE838" s="109"/>
      <c r="AF838" s="109"/>
      <c r="AG838" s="109"/>
    </row>
    <row r="839" ht="15.75" customHeight="1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  <c r="R839" s="109"/>
      <c r="S839" s="109"/>
      <c r="T839" s="109"/>
      <c r="U839" s="109"/>
      <c r="V839" s="109"/>
      <c r="W839" s="109"/>
      <c r="X839" s="109"/>
      <c r="Y839" s="109"/>
      <c r="Z839" s="109"/>
      <c r="AA839" s="109"/>
      <c r="AB839" s="109"/>
      <c r="AC839" s="109"/>
      <c r="AD839" s="109"/>
      <c r="AE839" s="109"/>
      <c r="AF839" s="109"/>
      <c r="AG839" s="109"/>
    </row>
    <row r="840" ht="15.75" customHeight="1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  <c r="R840" s="109"/>
      <c r="S840" s="109"/>
      <c r="T840" s="109"/>
      <c r="U840" s="109"/>
      <c r="V840" s="109"/>
      <c r="W840" s="109"/>
      <c r="X840" s="109"/>
      <c r="Y840" s="109"/>
      <c r="Z840" s="109"/>
      <c r="AA840" s="109"/>
      <c r="AB840" s="109"/>
      <c r="AC840" s="109"/>
      <c r="AD840" s="109"/>
      <c r="AE840" s="109"/>
      <c r="AF840" s="109"/>
      <c r="AG840" s="109"/>
    </row>
    <row r="841" ht="15.75" customHeight="1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  <c r="R841" s="109"/>
      <c r="S841" s="109"/>
      <c r="T841" s="109"/>
      <c r="U841" s="109"/>
      <c r="V841" s="109"/>
      <c r="W841" s="109"/>
      <c r="X841" s="109"/>
      <c r="Y841" s="109"/>
      <c r="Z841" s="109"/>
      <c r="AA841" s="109"/>
      <c r="AB841" s="109"/>
      <c r="AC841" s="109"/>
      <c r="AD841" s="109"/>
      <c r="AE841" s="109"/>
      <c r="AF841" s="109"/>
      <c r="AG841" s="109"/>
    </row>
    <row r="842" ht="15.75" customHeight="1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  <c r="R842" s="109"/>
      <c r="S842" s="109"/>
      <c r="T842" s="109"/>
      <c r="U842" s="109"/>
      <c r="V842" s="109"/>
      <c r="W842" s="109"/>
      <c r="X842" s="109"/>
      <c r="Y842" s="109"/>
      <c r="Z842" s="109"/>
      <c r="AA842" s="109"/>
      <c r="AB842" s="109"/>
      <c r="AC842" s="109"/>
      <c r="AD842" s="109"/>
      <c r="AE842" s="109"/>
      <c r="AF842" s="109"/>
      <c r="AG842" s="109"/>
    </row>
    <row r="843" ht="15.75" customHeight="1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  <c r="R843" s="109"/>
      <c r="S843" s="109"/>
      <c r="T843" s="109"/>
      <c r="U843" s="109"/>
      <c r="V843" s="109"/>
      <c r="W843" s="109"/>
      <c r="X843" s="109"/>
      <c r="Y843" s="109"/>
      <c r="Z843" s="109"/>
      <c r="AA843" s="109"/>
      <c r="AB843" s="109"/>
      <c r="AC843" s="109"/>
      <c r="AD843" s="109"/>
      <c r="AE843" s="109"/>
      <c r="AF843" s="109"/>
      <c r="AG843" s="109"/>
    </row>
    <row r="844" ht="15.75" customHeight="1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  <c r="R844" s="109"/>
      <c r="S844" s="109"/>
      <c r="T844" s="109"/>
      <c r="U844" s="109"/>
      <c r="V844" s="109"/>
      <c r="W844" s="109"/>
      <c r="X844" s="109"/>
      <c r="Y844" s="109"/>
      <c r="Z844" s="109"/>
      <c r="AA844" s="109"/>
      <c r="AB844" s="109"/>
      <c r="AC844" s="109"/>
      <c r="AD844" s="109"/>
      <c r="AE844" s="109"/>
      <c r="AF844" s="109"/>
      <c r="AG844" s="109"/>
    </row>
    <row r="845" ht="15.75" customHeight="1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  <c r="R845" s="109"/>
      <c r="S845" s="109"/>
      <c r="T845" s="109"/>
      <c r="U845" s="109"/>
      <c r="V845" s="109"/>
      <c r="W845" s="109"/>
      <c r="X845" s="109"/>
      <c r="Y845" s="109"/>
      <c r="Z845" s="109"/>
      <c r="AA845" s="109"/>
      <c r="AB845" s="109"/>
      <c r="AC845" s="109"/>
      <c r="AD845" s="109"/>
      <c r="AE845" s="109"/>
      <c r="AF845" s="109"/>
      <c r="AG845" s="109"/>
    </row>
    <row r="846" ht="15.75" customHeight="1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  <c r="R846" s="109"/>
      <c r="S846" s="109"/>
      <c r="T846" s="109"/>
      <c r="U846" s="109"/>
      <c r="V846" s="109"/>
      <c r="W846" s="109"/>
      <c r="X846" s="109"/>
      <c r="Y846" s="109"/>
      <c r="Z846" s="109"/>
      <c r="AA846" s="109"/>
      <c r="AB846" s="109"/>
      <c r="AC846" s="109"/>
      <c r="AD846" s="109"/>
      <c r="AE846" s="109"/>
      <c r="AF846" s="109"/>
      <c r="AG846" s="109"/>
    </row>
    <row r="847" ht="15.75" customHeight="1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  <c r="R847" s="109"/>
      <c r="S847" s="109"/>
      <c r="T847" s="109"/>
      <c r="U847" s="109"/>
      <c r="V847" s="109"/>
      <c r="W847" s="109"/>
      <c r="X847" s="109"/>
      <c r="Y847" s="109"/>
      <c r="Z847" s="109"/>
      <c r="AA847" s="109"/>
      <c r="AB847" s="109"/>
      <c r="AC847" s="109"/>
      <c r="AD847" s="109"/>
      <c r="AE847" s="109"/>
      <c r="AF847" s="109"/>
      <c r="AG847" s="109"/>
    </row>
    <row r="848" ht="15.75" customHeight="1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  <c r="R848" s="109"/>
      <c r="S848" s="109"/>
      <c r="T848" s="109"/>
      <c r="U848" s="109"/>
      <c r="V848" s="109"/>
      <c r="W848" s="109"/>
      <c r="X848" s="109"/>
      <c r="Y848" s="109"/>
      <c r="Z848" s="109"/>
      <c r="AA848" s="109"/>
      <c r="AB848" s="109"/>
      <c r="AC848" s="109"/>
      <c r="AD848" s="109"/>
      <c r="AE848" s="109"/>
      <c r="AF848" s="109"/>
      <c r="AG848" s="109"/>
    </row>
    <row r="849" ht="15.75" customHeight="1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  <c r="W849" s="109"/>
      <c r="X849" s="109"/>
      <c r="Y849" s="109"/>
      <c r="Z849" s="109"/>
      <c r="AA849" s="109"/>
      <c r="AB849" s="109"/>
      <c r="AC849" s="109"/>
      <c r="AD849" s="109"/>
      <c r="AE849" s="109"/>
      <c r="AF849" s="109"/>
      <c r="AG849" s="109"/>
    </row>
    <row r="850" ht="15.75" customHeight="1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  <c r="R850" s="109"/>
      <c r="S850" s="109"/>
      <c r="T850" s="109"/>
      <c r="U850" s="109"/>
      <c r="V850" s="109"/>
      <c r="W850" s="109"/>
      <c r="X850" s="109"/>
      <c r="Y850" s="109"/>
      <c r="Z850" s="109"/>
      <c r="AA850" s="109"/>
      <c r="AB850" s="109"/>
      <c r="AC850" s="109"/>
      <c r="AD850" s="109"/>
      <c r="AE850" s="109"/>
      <c r="AF850" s="109"/>
      <c r="AG850" s="109"/>
    </row>
    <row r="851" ht="15.75" customHeight="1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  <c r="R851" s="109"/>
      <c r="S851" s="109"/>
      <c r="T851" s="109"/>
      <c r="U851" s="109"/>
      <c r="V851" s="109"/>
      <c r="W851" s="109"/>
      <c r="X851" s="109"/>
      <c r="Y851" s="109"/>
      <c r="Z851" s="109"/>
      <c r="AA851" s="109"/>
      <c r="AB851" s="109"/>
      <c r="AC851" s="109"/>
      <c r="AD851" s="109"/>
      <c r="AE851" s="109"/>
      <c r="AF851" s="109"/>
      <c r="AG851" s="109"/>
    </row>
    <row r="852" ht="15.75" customHeight="1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  <c r="R852" s="109"/>
      <c r="S852" s="109"/>
      <c r="T852" s="109"/>
      <c r="U852" s="109"/>
      <c r="V852" s="109"/>
      <c r="W852" s="109"/>
      <c r="X852" s="109"/>
      <c r="Y852" s="109"/>
      <c r="Z852" s="109"/>
      <c r="AA852" s="109"/>
      <c r="AB852" s="109"/>
      <c r="AC852" s="109"/>
      <c r="AD852" s="109"/>
      <c r="AE852" s="109"/>
      <c r="AF852" s="109"/>
      <c r="AG852" s="109"/>
    </row>
    <row r="853" ht="15.75" customHeight="1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  <c r="R853" s="109"/>
      <c r="S853" s="109"/>
      <c r="T853" s="109"/>
      <c r="U853" s="109"/>
      <c r="V853" s="109"/>
      <c r="W853" s="109"/>
      <c r="X853" s="109"/>
      <c r="Y853" s="109"/>
      <c r="Z853" s="109"/>
      <c r="AA853" s="109"/>
      <c r="AB853" s="109"/>
      <c r="AC853" s="109"/>
      <c r="AD853" s="109"/>
      <c r="AE853" s="109"/>
      <c r="AF853" s="109"/>
      <c r="AG853" s="109"/>
    </row>
    <row r="854" ht="15.75" customHeight="1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  <c r="R854" s="109"/>
      <c r="S854" s="109"/>
      <c r="T854" s="109"/>
      <c r="U854" s="109"/>
      <c r="V854" s="109"/>
      <c r="W854" s="109"/>
      <c r="X854" s="109"/>
      <c r="Y854" s="109"/>
      <c r="Z854" s="109"/>
      <c r="AA854" s="109"/>
      <c r="AB854" s="109"/>
      <c r="AC854" s="109"/>
      <c r="AD854" s="109"/>
      <c r="AE854" s="109"/>
      <c r="AF854" s="109"/>
      <c r="AG854" s="109"/>
    </row>
    <row r="855" ht="15.75" customHeight="1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  <c r="R855" s="109"/>
      <c r="S855" s="109"/>
      <c r="T855" s="109"/>
      <c r="U855" s="109"/>
      <c r="V855" s="109"/>
      <c r="W855" s="109"/>
      <c r="X855" s="109"/>
      <c r="Y855" s="109"/>
      <c r="Z855" s="109"/>
      <c r="AA855" s="109"/>
      <c r="AB855" s="109"/>
      <c r="AC855" s="109"/>
      <c r="AD855" s="109"/>
      <c r="AE855" s="109"/>
      <c r="AF855" s="109"/>
      <c r="AG855" s="109"/>
    </row>
    <row r="856" ht="15.75" customHeight="1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  <c r="R856" s="109"/>
      <c r="S856" s="109"/>
      <c r="T856" s="109"/>
      <c r="U856" s="109"/>
      <c r="V856" s="109"/>
      <c r="W856" s="109"/>
      <c r="X856" s="109"/>
      <c r="Y856" s="109"/>
      <c r="Z856" s="109"/>
      <c r="AA856" s="109"/>
      <c r="AB856" s="109"/>
      <c r="AC856" s="109"/>
      <c r="AD856" s="109"/>
      <c r="AE856" s="109"/>
      <c r="AF856" s="109"/>
      <c r="AG856" s="109"/>
    </row>
    <row r="857" ht="15.75" customHeight="1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  <c r="R857" s="109"/>
      <c r="S857" s="109"/>
      <c r="T857" s="109"/>
      <c r="U857" s="109"/>
      <c r="V857" s="109"/>
      <c r="W857" s="109"/>
      <c r="X857" s="109"/>
      <c r="Y857" s="109"/>
      <c r="Z857" s="109"/>
      <c r="AA857" s="109"/>
      <c r="AB857" s="109"/>
      <c r="AC857" s="109"/>
      <c r="AD857" s="109"/>
      <c r="AE857" s="109"/>
      <c r="AF857" s="109"/>
      <c r="AG857" s="109"/>
    </row>
    <row r="858" ht="15.75" customHeight="1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  <c r="R858" s="109"/>
      <c r="S858" s="109"/>
      <c r="T858" s="109"/>
      <c r="U858" s="109"/>
      <c r="V858" s="109"/>
      <c r="W858" s="109"/>
      <c r="X858" s="109"/>
      <c r="Y858" s="109"/>
      <c r="Z858" s="109"/>
      <c r="AA858" s="109"/>
      <c r="AB858" s="109"/>
      <c r="AC858" s="109"/>
      <c r="AD858" s="109"/>
      <c r="AE858" s="109"/>
      <c r="AF858" s="109"/>
      <c r="AG858" s="109"/>
    </row>
    <row r="859" ht="15.75" customHeight="1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  <c r="R859" s="109"/>
      <c r="S859" s="109"/>
      <c r="T859" s="109"/>
      <c r="U859" s="109"/>
      <c r="V859" s="109"/>
      <c r="W859" s="109"/>
      <c r="X859" s="109"/>
      <c r="Y859" s="109"/>
      <c r="Z859" s="109"/>
      <c r="AA859" s="109"/>
      <c r="AB859" s="109"/>
      <c r="AC859" s="109"/>
      <c r="AD859" s="109"/>
      <c r="AE859" s="109"/>
      <c r="AF859" s="109"/>
      <c r="AG859" s="109"/>
    </row>
    <row r="860" ht="15.75" customHeight="1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  <c r="R860" s="109"/>
      <c r="S860" s="109"/>
      <c r="T860" s="109"/>
      <c r="U860" s="109"/>
      <c r="V860" s="109"/>
      <c r="W860" s="109"/>
      <c r="X860" s="109"/>
      <c r="Y860" s="109"/>
      <c r="Z860" s="109"/>
      <c r="AA860" s="109"/>
      <c r="AB860" s="109"/>
      <c r="AC860" s="109"/>
      <c r="AD860" s="109"/>
      <c r="AE860" s="109"/>
      <c r="AF860" s="109"/>
      <c r="AG860" s="109"/>
    </row>
    <row r="861" ht="15.75" customHeight="1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  <c r="R861" s="109"/>
      <c r="S861" s="109"/>
      <c r="T861" s="109"/>
      <c r="U861" s="109"/>
      <c r="V861" s="109"/>
      <c r="W861" s="109"/>
      <c r="X861" s="109"/>
      <c r="Y861" s="109"/>
      <c r="Z861" s="109"/>
      <c r="AA861" s="109"/>
      <c r="AB861" s="109"/>
      <c r="AC861" s="109"/>
      <c r="AD861" s="109"/>
      <c r="AE861" s="109"/>
      <c r="AF861" s="109"/>
      <c r="AG861" s="109"/>
    </row>
    <row r="862" ht="15.75" customHeight="1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  <c r="R862" s="109"/>
      <c r="S862" s="109"/>
      <c r="T862" s="109"/>
      <c r="U862" s="109"/>
      <c r="V862" s="109"/>
      <c r="W862" s="109"/>
      <c r="X862" s="109"/>
      <c r="Y862" s="109"/>
      <c r="Z862" s="109"/>
      <c r="AA862" s="109"/>
      <c r="AB862" s="109"/>
      <c r="AC862" s="109"/>
      <c r="AD862" s="109"/>
      <c r="AE862" s="109"/>
      <c r="AF862" s="109"/>
      <c r="AG862" s="109"/>
    </row>
    <row r="863" ht="15.75" customHeight="1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  <c r="R863" s="109"/>
      <c r="S863" s="109"/>
      <c r="T863" s="109"/>
      <c r="U863" s="109"/>
      <c r="V863" s="109"/>
      <c r="W863" s="109"/>
      <c r="X863" s="109"/>
      <c r="Y863" s="109"/>
      <c r="Z863" s="109"/>
      <c r="AA863" s="109"/>
      <c r="AB863" s="109"/>
      <c r="AC863" s="109"/>
      <c r="AD863" s="109"/>
      <c r="AE863" s="109"/>
      <c r="AF863" s="109"/>
      <c r="AG863" s="109"/>
    </row>
    <row r="864" ht="15.75" customHeight="1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  <c r="R864" s="109"/>
      <c r="S864" s="109"/>
      <c r="T864" s="109"/>
      <c r="U864" s="109"/>
      <c r="V864" s="109"/>
      <c r="W864" s="109"/>
      <c r="X864" s="109"/>
      <c r="Y864" s="109"/>
      <c r="Z864" s="109"/>
      <c r="AA864" s="109"/>
      <c r="AB864" s="109"/>
      <c r="AC864" s="109"/>
      <c r="AD864" s="109"/>
      <c r="AE864" s="109"/>
      <c r="AF864" s="109"/>
      <c r="AG864" s="109"/>
    </row>
    <row r="865" ht="15.75" customHeight="1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  <c r="R865" s="109"/>
      <c r="S865" s="109"/>
      <c r="T865" s="109"/>
      <c r="U865" s="109"/>
      <c r="V865" s="109"/>
      <c r="W865" s="109"/>
      <c r="X865" s="109"/>
      <c r="Y865" s="109"/>
      <c r="Z865" s="109"/>
      <c r="AA865" s="109"/>
      <c r="AB865" s="109"/>
      <c r="AC865" s="109"/>
      <c r="AD865" s="109"/>
      <c r="AE865" s="109"/>
      <c r="AF865" s="109"/>
      <c r="AG865" s="109"/>
    </row>
    <row r="866" ht="15.75" customHeight="1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  <c r="R866" s="109"/>
      <c r="S866" s="109"/>
      <c r="T866" s="109"/>
      <c r="U866" s="109"/>
      <c r="V866" s="109"/>
      <c r="W866" s="109"/>
      <c r="X866" s="109"/>
      <c r="Y866" s="109"/>
      <c r="Z866" s="109"/>
      <c r="AA866" s="109"/>
      <c r="AB866" s="109"/>
      <c r="AC866" s="109"/>
      <c r="AD866" s="109"/>
      <c r="AE866" s="109"/>
      <c r="AF866" s="109"/>
      <c r="AG866" s="109"/>
    </row>
    <row r="867" ht="15.75" customHeight="1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  <c r="R867" s="109"/>
      <c r="S867" s="109"/>
      <c r="T867" s="109"/>
      <c r="U867" s="109"/>
      <c r="V867" s="109"/>
      <c r="W867" s="109"/>
      <c r="X867" s="109"/>
      <c r="Y867" s="109"/>
      <c r="Z867" s="109"/>
      <c r="AA867" s="109"/>
      <c r="AB867" s="109"/>
      <c r="AC867" s="109"/>
      <c r="AD867" s="109"/>
      <c r="AE867" s="109"/>
      <c r="AF867" s="109"/>
      <c r="AG867" s="109"/>
    </row>
    <row r="868" ht="15.75" customHeight="1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  <c r="R868" s="109"/>
      <c r="S868" s="109"/>
      <c r="T868" s="109"/>
      <c r="U868" s="109"/>
      <c r="V868" s="109"/>
      <c r="W868" s="109"/>
      <c r="X868" s="109"/>
      <c r="Y868" s="109"/>
      <c r="Z868" s="109"/>
      <c r="AA868" s="109"/>
      <c r="AB868" s="109"/>
      <c r="AC868" s="109"/>
      <c r="AD868" s="109"/>
      <c r="AE868" s="109"/>
      <c r="AF868" s="109"/>
      <c r="AG868" s="109"/>
    </row>
    <row r="869" ht="15.75" customHeight="1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  <c r="R869" s="109"/>
      <c r="S869" s="109"/>
      <c r="T869" s="109"/>
      <c r="U869" s="109"/>
      <c r="V869" s="109"/>
      <c r="W869" s="109"/>
      <c r="X869" s="109"/>
      <c r="Y869" s="109"/>
      <c r="Z869" s="109"/>
      <c r="AA869" s="109"/>
      <c r="AB869" s="109"/>
      <c r="AC869" s="109"/>
      <c r="AD869" s="109"/>
      <c r="AE869" s="109"/>
      <c r="AF869" s="109"/>
      <c r="AG869" s="109"/>
    </row>
    <row r="870" ht="15.75" customHeight="1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  <c r="R870" s="109"/>
      <c r="S870" s="109"/>
      <c r="T870" s="109"/>
      <c r="U870" s="109"/>
      <c r="V870" s="109"/>
      <c r="W870" s="109"/>
      <c r="X870" s="109"/>
      <c r="Y870" s="109"/>
      <c r="Z870" s="109"/>
      <c r="AA870" s="109"/>
      <c r="AB870" s="109"/>
      <c r="AC870" s="109"/>
      <c r="AD870" s="109"/>
      <c r="AE870" s="109"/>
      <c r="AF870" s="109"/>
      <c r="AG870" s="109"/>
    </row>
    <row r="871" ht="15.75" customHeight="1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  <c r="R871" s="109"/>
      <c r="S871" s="109"/>
      <c r="T871" s="109"/>
      <c r="U871" s="109"/>
      <c r="V871" s="109"/>
      <c r="W871" s="109"/>
      <c r="X871" s="109"/>
      <c r="Y871" s="109"/>
      <c r="Z871" s="109"/>
      <c r="AA871" s="109"/>
      <c r="AB871" s="109"/>
      <c r="AC871" s="109"/>
      <c r="AD871" s="109"/>
      <c r="AE871" s="109"/>
      <c r="AF871" s="109"/>
      <c r="AG871" s="109"/>
    </row>
    <row r="872" ht="15.75" customHeight="1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  <c r="R872" s="109"/>
      <c r="S872" s="109"/>
      <c r="T872" s="109"/>
      <c r="U872" s="109"/>
      <c r="V872" s="109"/>
      <c r="W872" s="109"/>
      <c r="X872" s="109"/>
      <c r="Y872" s="109"/>
      <c r="Z872" s="109"/>
      <c r="AA872" s="109"/>
      <c r="AB872" s="109"/>
      <c r="AC872" s="109"/>
      <c r="AD872" s="109"/>
      <c r="AE872" s="109"/>
      <c r="AF872" s="109"/>
      <c r="AG872" s="109"/>
    </row>
    <row r="873" ht="15.75" customHeight="1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  <c r="R873" s="109"/>
      <c r="S873" s="109"/>
      <c r="T873" s="109"/>
      <c r="U873" s="109"/>
      <c r="V873" s="109"/>
      <c r="W873" s="109"/>
      <c r="X873" s="109"/>
      <c r="Y873" s="109"/>
      <c r="Z873" s="109"/>
      <c r="AA873" s="109"/>
      <c r="AB873" s="109"/>
      <c r="AC873" s="109"/>
      <c r="AD873" s="109"/>
      <c r="AE873" s="109"/>
      <c r="AF873" s="109"/>
      <c r="AG873" s="109"/>
    </row>
    <row r="874" ht="15.75" customHeight="1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  <c r="R874" s="109"/>
      <c r="S874" s="109"/>
      <c r="T874" s="109"/>
      <c r="U874" s="109"/>
      <c r="V874" s="109"/>
      <c r="W874" s="109"/>
      <c r="X874" s="109"/>
      <c r="Y874" s="109"/>
      <c r="Z874" s="109"/>
      <c r="AA874" s="109"/>
      <c r="AB874" s="109"/>
      <c r="AC874" s="109"/>
      <c r="AD874" s="109"/>
      <c r="AE874" s="109"/>
      <c r="AF874" s="109"/>
      <c r="AG874" s="109"/>
    </row>
    <row r="875" ht="15.75" customHeight="1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  <c r="R875" s="109"/>
      <c r="S875" s="109"/>
      <c r="T875" s="109"/>
      <c r="U875" s="109"/>
      <c r="V875" s="109"/>
      <c r="W875" s="109"/>
      <c r="X875" s="109"/>
      <c r="Y875" s="109"/>
      <c r="Z875" s="109"/>
      <c r="AA875" s="109"/>
      <c r="AB875" s="109"/>
      <c r="AC875" s="109"/>
      <c r="AD875" s="109"/>
      <c r="AE875" s="109"/>
      <c r="AF875" s="109"/>
      <c r="AG875" s="109"/>
    </row>
    <row r="876" ht="15.75" customHeight="1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  <c r="R876" s="109"/>
      <c r="S876" s="109"/>
      <c r="T876" s="109"/>
      <c r="U876" s="109"/>
      <c r="V876" s="109"/>
      <c r="W876" s="109"/>
      <c r="X876" s="109"/>
      <c r="Y876" s="109"/>
      <c r="Z876" s="109"/>
      <c r="AA876" s="109"/>
      <c r="AB876" s="109"/>
      <c r="AC876" s="109"/>
      <c r="AD876" s="109"/>
      <c r="AE876" s="109"/>
      <c r="AF876" s="109"/>
      <c r="AG876" s="109"/>
    </row>
    <row r="877" ht="15.75" customHeight="1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  <c r="R877" s="109"/>
      <c r="S877" s="109"/>
      <c r="T877" s="109"/>
      <c r="U877" s="109"/>
      <c r="V877" s="109"/>
      <c r="W877" s="109"/>
      <c r="X877" s="109"/>
      <c r="Y877" s="109"/>
      <c r="Z877" s="109"/>
      <c r="AA877" s="109"/>
      <c r="AB877" s="109"/>
      <c r="AC877" s="109"/>
      <c r="AD877" s="109"/>
      <c r="AE877" s="109"/>
      <c r="AF877" s="109"/>
      <c r="AG877" s="109"/>
    </row>
    <row r="878" ht="15.75" customHeight="1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  <c r="R878" s="109"/>
      <c r="S878" s="109"/>
      <c r="T878" s="109"/>
      <c r="U878" s="109"/>
      <c r="V878" s="109"/>
      <c r="W878" s="109"/>
      <c r="X878" s="109"/>
      <c r="Y878" s="109"/>
      <c r="Z878" s="109"/>
      <c r="AA878" s="109"/>
      <c r="AB878" s="109"/>
      <c r="AC878" s="109"/>
      <c r="AD878" s="109"/>
      <c r="AE878" s="109"/>
      <c r="AF878" s="109"/>
      <c r="AG878" s="109"/>
    </row>
    <row r="879" ht="15.75" customHeight="1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  <c r="R879" s="109"/>
      <c r="S879" s="109"/>
      <c r="T879" s="109"/>
      <c r="U879" s="109"/>
      <c r="V879" s="109"/>
      <c r="W879" s="109"/>
      <c r="X879" s="109"/>
      <c r="Y879" s="109"/>
      <c r="Z879" s="109"/>
      <c r="AA879" s="109"/>
      <c r="AB879" s="109"/>
      <c r="AC879" s="109"/>
      <c r="AD879" s="109"/>
      <c r="AE879" s="109"/>
      <c r="AF879" s="109"/>
      <c r="AG879" s="109"/>
    </row>
    <row r="880" ht="15.75" customHeight="1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  <c r="R880" s="109"/>
      <c r="S880" s="109"/>
      <c r="T880" s="109"/>
      <c r="U880" s="109"/>
      <c r="V880" s="109"/>
      <c r="W880" s="109"/>
      <c r="X880" s="109"/>
      <c r="Y880" s="109"/>
      <c r="Z880" s="109"/>
      <c r="AA880" s="109"/>
      <c r="AB880" s="109"/>
      <c r="AC880" s="109"/>
      <c r="AD880" s="109"/>
      <c r="AE880" s="109"/>
      <c r="AF880" s="109"/>
      <c r="AG880" s="109"/>
    </row>
    <row r="881" ht="15.75" customHeight="1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  <c r="R881" s="109"/>
      <c r="S881" s="109"/>
      <c r="T881" s="109"/>
      <c r="U881" s="109"/>
      <c r="V881" s="109"/>
      <c r="W881" s="109"/>
      <c r="X881" s="109"/>
      <c r="Y881" s="109"/>
      <c r="Z881" s="109"/>
      <c r="AA881" s="109"/>
      <c r="AB881" s="109"/>
      <c r="AC881" s="109"/>
      <c r="AD881" s="109"/>
      <c r="AE881" s="109"/>
      <c r="AF881" s="109"/>
      <c r="AG881" s="109"/>
    </row>
    <row r="882" ht="15.75" customHeight="1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  <c r="R882" s="109"/>
      <c r="S882" s="109"/>
      <c r="T882" s="109"/>
      <c r="U882" s="109"/>
      <c r="V882" s="109"/>
      <c r="W882" s="109"/>
      <c r="X882" s="109"/>
      <c r="Y882" s="109"/>
      <c r="Z882" s="109"/>
      <c r="AA882" s="109"/>
      <c r="AB882" s="109"/>
      <c r="AC882" s="109"/>
      <c r="AD882" s="109"/>
      <c r="AE882" s="109"/>
      <c r="AF882" s="109"/>
      <c r="AG882" s="109"/>
    </row>
    <row r="883" ht="15.75" customHeight="1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  <c r="R883" s="109"/>
      <c r="S883" s="109"/>
      <c r="T883" s="109"/>
      <c r="U883" s="109"/>
      <c r="V883" s="109"/>
      <c r="W883" s="109"/>
      <c r="X883" s="109"/>
      <c r="Y883" s="109"/>
      <c r="Z883" s="109"/>
      <c r="AA883" s="109"/>
      <c r="AB883" s="109"/>
      <c r="AC883" s="109"/>
      <c r="AD883" s="109"/>
      <c r="AE883" s="109"/>
      <c r="AF883" s="109"/>
      <c r="AG883" s="109"/>
    </row>
    <row r="884" ht="15.75" customHeight="1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  <c r="R884" s="109"/>
      <c r="S884" s="109"/>
      <c r="T884" s="109"/>
      <c r="U884" s="109"/>
      <c r="V884" s="109"/>
      <c r="W884" s="109"/>
      <c r="X884" s="109"/>
      <c r="Y884" s="109"/>
      <c r="Z884" s="109"/>
      <c r="AA884" s="109"/>
      <c r="AB884" s="109"/>
      <c r="AC884" s="109"/>
      <c r="AD884" s="109"/>
      <c r="AE884" s="109"/>
      <c r="AF884" s="109"/>
      <c r="AG884" s="109"/>
    </row>
    <row r="885" ht="15.75" customHeight="1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  <c r="R885" s="109"/>
      <c r="S885" s="109"/>
      <c r="T885" s="109"/>
      <c r="U885" s="109"/>
      <c r="V885" s="109"/>
      <c r="W885" s="109"/>
      <c r="X885" s="109"/>
      <c r="Y885" s="109"/>
      <c r="Z885" s="109"/>
      <c r="AA885" s="109"/>
      <c r="AB885" s="109"/>
      <c r="AC885" s="109"/>
      <c r="AD885" s="109"/>
      <c r="AE885" s="109"/>
      <c r="AF885" s="109"/>
      <c r="AG885" s="109"/>
    </row>
    <row r="886" ht="15.75" customHeight="1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  <c r="R886" s="109"/>
      <c r="S886" s="109"/>
      <c r="T886" s="109"/>
      <c r="U886" s="109"/>
      <c r="V886" s="109"/>
      <c r="W886" s="109"/>
      <c r="X886" s="109"/>
      <c r="Y886" s="109"/>
      <c r="Z886" s="109"/>
      <c r="AA886" s="109"/>
      <c r="AB886" s="109"/>
      <c r="AC886" s="109"/>
      <c r="AD886" s="109"/>
      <c r="AE886" s="109"/>
      <c r="AF886" s="109"/>
      <c r="AG886" s="109"/>
    </row>
    <row r="887" ht="15.75" customHeight="1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  <c r="R887" s="109"/>
      <c r="S887" s="109"/>
      <c r="T887" s="109"/>
      <c r="U887" s="109"/>
      <c r="V887" s="109"/>
      <c r="W887" s="109"/>
      <c r="X887" s="109"/>
      <c r="Y887" s="109"/>
      <c r="Z887" s="109"/>
      <c r="AA887" s="109"/>
      <c r="AB887" s="109"/>
      <c r="AC887" s="109"/>
      <c r="AD887" s="109"/>
      <c r="AE887" s="109"/>
      <c r="AF887" s="109"/>
      <c r="AG887" s="109"/>
    </row>
    <row r="888" ht="15.75" customHeight="1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  <c r="R888" s="109"/>
      <c r="S888" s="109"/>
      <c r="T888" s="109"/>
      <c r="U888" s="109"/>
      <c r="V888" s="109"/>
      <c r="W888" s="109"/>
      <c r="X888" s="109"/>
      <c r="Y888" s="109"/>
      <c r="Z888" s="109"/>
      <c r="AA888" s="109"/>
      <c r="AB888" s="109"/>
      <c r="AC888" s="109"/>
      <c r="AD888" s="109"/>
      <c r="AE888" s="109"/>
      <c r="AF888" s="109"/>
      <c r="AG888" s="109"/>
    </row>
    <row r="889" ht="15.75" customHeight="1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  <c r="R889" s="109"/>
      <c r="S889" s="109"/>
      <c r="T889" s="109"/>
      <c r="U889" s="109"/>
      <c r="V889" s="109"/>
      <c r="W889" s="109"/>
      <c r="X889" s="109"/>
      <c r="Y889" s="109"/>
      <c r="Z889" s="109"/>
      <c r="AA889" s="109"/>
      <c r="AB889" s="109"/>
      <c r="AC889" s="109"/>
      <c r="AD889" s="109"/>
      <c r="AE889" s="109"/>
      <c r="AF889" s="109"/>
      <c r="AG889" s="109"/>
    </row>
    <row r="890" ht="15.75" customHeight="1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  <c r="R890" s="109"/>
      <c r="S890" s="109"/>
      <c r="T890" s="109"/>
      <c r="U890" s="109"/>
      <c r="V890" s="109"/>
      <c r="W890" s="109"/>
      <c r="X890" s="109"/>
      <c r="Y890" s="109"/>
      <c r="Z890" s="109"/>
      <c r="AA890" s="109"/>
      <c r="AB890" s="109"/>
      <c r="AC890" s="109"/>
      <c r="AD890" s="109"/>
      <c r="AE890" s="109"/>
      <c r="AF890" s="109"/>
      <c r="AG890" s="109"/>
    </row>
    <row r="891" ht="15.75" customHeight="1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  <c r="R891" s="109"/>
      <c r="S891" s="109"/>
      <c r="T891" s="109"/>
      <c r="U891" s="109"/>
      <c r="V891" s="109"/>
      <c r="W891" s="109"/>
      <c r="X891" s="109"/>
      <c r="Y891" s="109"/>
      <c r="Z891" s="109"/>
      <c r="AA891" s="109"/>
      <c r="AB891" s="109"/>
      <c r="AC891" s="109"/>
      <c r="AD891" s="109"/>
      <c r="AE891" s="109"/>
      <c r="AF891" s="109"/>
      <c r="AG891" s="109"/>
    </row>
    <row r="892" ht="15.75" customHeight="1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  <c r="R892" s="109"/>
      <c r="S892" s="109"/>
      <c r="T892" s="109"/>
      <c r="U892" s="109"/>
      <c r="V892" s="109"/>
      <c r="W892" s="109"/>
      <c r="X892" s="109"/>
      <c r="Y892" s="109"/>
      <c r="Z892" s="109"/>
      <c r="AA892" s="109"/>
      <c r="AB892" s="109"/>
      <c r="AC892" s="109"/>
      <c r="AD892" s="109"/>
      <c r="AE892" s="109"/>
      <c r="AF892" s="109"/>
      <c r="AG892" s="109"/>
    </row>
    <row r="893" ht="15.75" customHeight="1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  <c r="R893" s="109"/>
      <c r="S893" s="109"/>
      <c r="T893" s="109"/>
      <c r="U893" s="109"/>
      <c r="V893" s="109"/>
      <c r="W893" s="109"/>
      <c r="X893" s="109"/>
      <c r="Y893" s="109"/>
      <c r="Z893" s="109"/>
      <c r="AA893" s="109"/>
      <c r="AB893" s="109"/>
      <c r="AC893" s="109"/>
      <c r="AD893" s="109"/>
      <c r="AE893" s="109"/>
      <c r="AF893" s="109"/>
      <c r="AG893" s="109"/>
    </row>
    <row r="894" ht="15.75" customHeight="1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  <c r="R894" s="109"/>
      <c r="S894" s="109"/>
      <c r="T894" s="109"/>
      <c r="U894" s="109"/>
      <c r="V894" s="109"/>
      <c r="W894" s="109"/>
      <c r="X894" s="109"/>
      <c r="Y894" s="109"/>
      <c r="Z894" s="109"/>
      <c r="AA894" s="109"/>
      <c r="AB894" s="109"/>
      <c r="AC894" s="109"/>
      <c r="AD894" s="109"/>
      <c r="AE894" s="109"/>
      <c r="AF894" s="109"/>
      <c r="AG894" s="109"/>
    </row>
    <row r="895" ht="15.75" customHeight="1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  <c r="R895" s="109"/>
      <c r="S895" s="109"/>
      <c r="T895" s="109"/>
      <c r="U895" s="109"/>
      <c r="V895" s="109"/>
      <c r="W895" s="109"/>
      <c r="X895" s="109"/>
      <c r="Y895" s="109"/>
      <c r="Z895" s="109"/>
      <c r="AA895" s="109"/>
      <c r="AB895" s="109"/>
      <c r="AC895" s="109"/>
      <c r="AD895" s="109"/>
      <c r="AE895" s="109"/>
      <c r="AF895" s="109"/>
      <c r="AG895" s="109"/>
    </row>
    <row r="896" ht="15.75" customHeight="1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  <c r="R896" s="109"/>
      <c r="S896" s="109"/>
      <c r="T896" s="109"/>
      <c r="U896" s="109"/>
      <c r="V896" s="109"/>
      <c r="W896" s="109"/>
      <c r="X896" s="109"/>
      <c r="Y896" s="109"/>
      <c r="Z896" s="109"/>
      <c r="AA896" s="109"/>
      <c r="AB896" s="109"/>
      <c r="AC896" s="109"/>
      <c r="AD896" s="109"/>
      <c r="AE896" s="109"/>
      <c r="AF896" s="109"/>
      <c r="AG896" s="109"/>
    </row>
    <row r="897" ht="15.75" customHeight="1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  <c r="R897" s="109"/>
      <c r="S897" s="109"/>
      <c r="T897" s="109"/>
      <c r="U897" s="109"/>
      <c r="V897" s="109"/>
      <c r="W897" s="109"/>
      <c r="X897" s="109"/>
      <c r="Y897" s="109"/>
      <c r="Z897" s="109"/>
      <c r="AA897" s="109"/>
      <c r="AB897" s="109"/>
      <c r="AC897" s="109"/>
      <c r="AD897" s="109"/>
      <c r="AE897" s="109"/>
      <c r="AF897" s="109"/>
      <c r="AG897" s="109"/>
    </row>
    <row r="898" ht="15.75" customHeight="1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  <c r="R898" s="109"/>
      <c r="S898" s="109"/>
      <c r="T898" s="109"/>
      <c r="U898" s="109"/>
      <c r="V898" s="109"/>
      <c r="W898" s="109"/>
      <c r="X898" s="109"/>
      <c r="Y898" s="109"/>
      <c r="Z898" s="109"/>
      <c r="AA898" s="109"/>
      <c r="AB898" s="109"/>
      <c r="AC898" s="109"/>
      <c r="AD898" s="109"/>
      <c r="AE898" s="109"/>
      <c r="AF898" s="109"/>
      <c r="AG898" s="109"/>
    </row>
    <row r="899" ht="15.75" customHeight="1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  <c r="W899" s="109"/>
      <c r="X899" s="109"/>
      <c r="Y899" s="109"/>
      <c r="Z899" s="109"/>
      <c r="AA899" s="109"/>
      <c r="AB899" s="109"/>
      <c r="AC899" s="109"/>
      <c r="AD899" s="109"/>
      <c r="AE899" s="109"/>
      <c r="AF899" s="109"/>
      <c r="AG899" s="109"/>
    </row>
    <row r="900" ht="15.75" customHeight="1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  <c r="R900" s="109"/>
      <c r="S900" s="109"/>
      <c r="T900" s="109"/>
      <c r="U900" s="109"/>
      <c r="V900" s="109"/>
      <c r="W900" s="109"/>
      <c r="X900" s="109"/>
      <c r="Y900" s="109"/>
      <c r="Z900" s="109"/>
      <c r="AA900" s="109"/>
      <c r="AB900" s="109"/>
      <c r="AC900" s="109"/>
      <c r="AD900" s="109"/>
      <c r="AE900" s="109"/>
      <c r="AF900" s="109"/>
      <c r="AG900" s="109"/>
    </row>
    <row r="901" ht="15.75" customHeight="1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  <c r="R901" s="109"/>
      <c r="S901" s="109"/>
      <c r="T901" s="109"/>
      <c r="U901" s="109"/>
      <c r="V901" s="109"/>
      <c r="W901" s="109"/>
      <c r="X901" s="109"/>
      <c r="Y901" s="109"/>
      <c r="Z901" s="109"/>
      <c r="AA901" s="109"/>
      <c r="AB901" s="109"/>
      <c r="AC901" s="109"/>
      <c r="AD901" s="109"/>
      <c r="AE901" s="109"/>
      <c r="AF901" s="109"/>
      <c r="AG901" s="109"/>
    </row>
    <row r="902" ht="15.75" customHeight="1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  <c r="R902" s="109"/>
      <c r="S902" s="109"/>
      <c r="T902" s="109"/>
      <c r="U902" s="109"/>
      <c r="V902" s="109"/>
      <c r="W902" s="109"/>
      <c r="X902" s="109"/>
      <c r="Y902" s="109"/>
      <c r="Z902" s="109"/>
      <c r="AA902" s="109"/>
      <c r="AB902" s="109"/>
      <c r="AC902" s="109"/>
      <c r="AD902" s="109"/>
      <c r="AE902" s="109"/>
      <c r="AF902" s="109"/>
      <c r="AG902" s="109"/>
    </row>
    <row r="903" ht="15.75" customHeight="1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  <c r="R903" s="109"/>
      <c r="S903" s="109"/>
      <c r="T903" s="109"/>
      <c r="U903" s="109"/>
      <c r="V903" s="109"/>
      <c r="W903" s="109"/>
      <c r="X903" s="109"/>
      <c r="Y903" s="109"/>
      <c r="Z903" s="109"/>
      <c r="AA903" s="109"/>
      <c r="AB903" s="109"/>
      <c r="AC903" s="109"/>
      <c r="AD903" s="109"/>
      <c r="AE903" s="109"/>
      <c r="AF903" s="109"/>
      <c r="AG903" s="109"/>
    </row>
    <row r="904" ht="15.75" customHeight="1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  <c r="R904" s="109"/>
      <c r="S904" s="109"/>
      <c r="T904" s="109"/>
      <c r="U904" s="109"/>
      <c r="V904" s="109"/>
      <c r="W904" s="109"/>
      <c r="X904" s="109"/>
      <c r="Y904" s="109"/>
      <c r="Z904" s="109"/>
      <c r="AA904" s="109"/>
      <c r="AB904" s="109"/>
      <c r="AC904" s="109"/>
      <c r="AD904" s="109"/>
      <c r="AE904" s="109"/>
      <c r="AF904" s="109"/>
      <c r="AG904" s="109"/>
    </row>
    <row r="905" ht="15.75" customHeight="1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  <c r="R905" s="109"/>
      <c r="S905" s="109"/>
      <c r="T905" s="109"/>
      <c r="U905" s="109"/>
      <c r="V905" s="109"/>
      <c r="W905" s="109"/>
      <c r="X905" s="109"/>
      <c r="Y905" s="109"/>
      <c r="Z905" s="109"/>
      <c r="AA905" s="109"/>
      <c r="AB905" s="109"/>
      <c r="AC905" s="109"/>
      <c r="AD905" s="109"/>
      <c r="AE905" s="109"/>
      <c r="AF905" s="109"/>
      <c r="AG905" s="109"/>
    </row>
    <row r="906" ht="15.75" customHeight="1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  <c r="R906" s="109"/>
      <c r="S906" s="109"/>
      <c r="T906" s="109"/>
      <c r="U906" s="109"/>
      <c r="V906" s="109"/>
      <c r="W906" s="109"/>
      <c r="X906" s="109"/>
      <c r="Y906" s="109"/>
      <c r="Z906" s="109"/>
      <c r="AA906" s="109"/>
      <c r="AB906" s="109"/>
      <c r="AC906" s="109"/>
      <c r="AD906" s="109"/>
      <c r="AE906" s="109"/>
      <c r="AF906" s="109"/>
      <c r="AG906" s="109"/>
    </row>
    <row r="907" ht="15.75" customHeight="1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  <c r="R907" s="109"/>
      <c r="S907" s="109"/>
      <c r="T907" s="109"/>
      <c r="U907" s="109"/>
      <c r="V907" s="109"/>
      <c r="W907" s="109"/>
      <c r="X907" s="109"/>
      <c r="Y907" s="109"/>
      <c r="Z907" s="109"/>
      <c r="AA907" s="109"/>
      <c r="AB907" s="109"/>
      <c r="AC907" s="109"/>
      <c r="AD907" s="109"/>
      <c r="AE907" s="109"/>
      <c r="AF907" s="109"/>
      <c r="AG907" s="109"/>
    </row>
    <row r="908" ht="15.75" customHeight="1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  <c r="R908" s="109"/>
      <c r="S908" s="109"/>
      <c r="T908" s="109"/>
      <c r="U908" s="109"/>
      <c r="V908" s="109"/>
      <c r="W908" s="109"/>
      <c r="X908" s="109"/>
      <c r="Y908" s="109"/>
      <c r="Z908" s="109"/>
      <c r="AA908" s="109"/>
      <c r="AB908" s="109"/>
      <c r="AC908" s="109"/>
      <c r="AD908" s="109"/>
      <c r="AE908" s="109"/>
      <c r="AF908" s="109"/>
      <c r="AG908" s="109"/>
    </row>
    <row r="909" ht="15.75" customHeight="1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  <c r="R909" s="109"/>
      <c r="S909" s="109"/>
      <c r="T909" s="109"/>
      <c r="U909" s="109"/>
      <c r="V909" s="109"/>
      <c r="W909" s="109"/>
      <c r="X909" s="109"/>
      <c r="Y909" s="109"/>
      <c r="Z909" s="109"/>
      <c r="AA909" s="109"/>
      <c r="AB909" s="109"/>
      <c r="AC909" s="109"/>
      <c r="AD909" s="109"/>
      <c r="AE909" s="109"/>
      <c r="AF909" s="109"/>
      <c r="AG909" s="109"/>
    </row>
    <row r="910" ht="15.75" customHeight="1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  <c r="R910" s="109"/>
      <c r="S910" s="109"/>
      <c r="T910" s="109"/>
      <c r="U910" s="109"/>
      <c r="V910" s="109"/>
      <c r="W910" s="109"/>
      <c r="X910" s="109"/>
      <c r="Y910" s="109"/>
      <c r="Z910" s="109"/>
      <c r="AA910" s="109"/>
      <c r="AB910" s="109"/>
      <c r="AC910" s="109"/>
      <c r="AD910" s="109"/>
      <c r="AE910" s="109"/>
      <c r="AF910" s="109"/>
      <c r="AG910" s="109"/>
    </row>
    <row r="911" ht="15.75" customHeight="1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  <c r="R911" s="109"/>
      <c r="S911" s="109"/>
      <c r="T911" s="109"/>
      <c r="U911" s="109"/>
      <c r="V911" s="109"/>
      <c r="W911" s="109"/>
      <c r="X911" s="109"/>
      <c r="Y911" s="109"/>
      <c r="Z911" s="109"/>
      <c r="AA911" s="109"/>
      <c r="AB911" s="109"/>
      <c r="AC911" s="109"/>
      <c r="AD911" s="109"/>
      <c r="AE911" s="109"/>
      <c r="AF911" s="109"/>
      <c r="AG911" s="109"/>
    </row>
    <row r="912" ht="15.75" customHeight="1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  <c r="R912" s="109"/>
      <c r="S912" s="109"/>
      <c r="T912" s="109"/>
      <c r="U912" s="109"/>
      <c r="V912" s="109"/>
      <c r="W912" s="109"/>
      <c r="X912" s="109"/>
      <c r="Y912" s="109"/>
      <c r="Z912" s="109"/>
      <c r="AA912" s="109"/>
      <c r="AB912" s="109"/>
      <c r="AC912" s="109"/>
      <c r="AD912" s="109"/>
      <c r="AE912" s="109"/>
      <c r="AF912" s="109"/>
      <c r="AG912" s="109"/>
    </row>
    <row r="913" ht="15.75" customHeight="1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  <c r="R913" s="109"/>
      <c r="S913" s="109"/>
      <c r="T913" s="109"/>
      <c r="U913" s="109"/>
      <c r="V913" s="109"/>
      <c r="W913" s="109"/>
      <c r="X913" s="109"/>
      <c r="Y913" s="109"/>
      <c r="Z913" s="109"/>
      <c r="AA913" s="109"/>
      <c r="AB913" s="109"/>
      <c r="AC913" s="109"/>
      <c r="AD913" s="109"/>
      <c r="AE913" s="109"/>
      <c r="AF913" s="109"/>
      <c r="AG913" s="109"/>
    </row>
    <row r="914" ht="15.75" customHeight="1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  <c r="R914" s="109"/>
      <c r="S914" s="109"/>
      <c r="T914" s="109"/>
      <c r="U914" s="109"/>
      <c r="V914" s="109"/>
      <c r="W914" s="109"/>
      <c r="X914" s="109"/>
      <c r="Y914" s="109"/>
      <c r="Z914" s="109"/>
      <c r="AA914" s="109"/>
      <c r="AB914" s="109"/>
      <c r="AC914" s="109"/>
      <c r="AD914" s="109"/>
      <c r="AE914" s="109"/>
      <c r="AF914" s="109"/>
      <c r="AG914" s="109"/>
    </row>
    <row r="915" ht="15.75" customHeight="1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  <c r="R915" s="109"/>
      <c r="S915" s="109"/>
      <c r="T915" s="109"/>
      <c r="U915" s="109"/>
      <c r="V915" s="109"/>
      <c r="W915" s="109"/>
      <c r="X915" s="109"/>
      <c r="Y915" s="109"/>
      <c r="Z915" s="109"/>
      <c r="AA915" s="109"/>
      <c r="AB915" s="109"/>
      <c r="AC915" s="109"/>
      <c r="AD915" s="109"/>
      <c r="AE915" s="109"/>
      <c r="AF915" s="109"/>
      <c r="AG915" s="109"/>
    </row>
    <row r="916" ht="15.75" customHeight="1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  <c r="R916" s="109"/>
      <c r="S916" s="109"/>
      <c r="T916" s="109"/>
      <c r="U916" s="109"/>
      <c r="V916" s="109"/>
      <c r="W916" s="109"/>
      <c r="X916" s="109"/>
      <c r="Y916" s="109"/>
      <c r="Z916" s="109"/>
      <c r="AA916" s="109"/>
      <c r="AB916" s="109"/>
      <c r="AC916" s="109"/>
      <c r="AD916" s="109"/>
      <c r="AE916" s="109"/>
      <c r="AF916" s="109"/>
      <c r="AG916" s="109"/>
    </row>
    <row r="917" ht="15.75" customHeight="1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  <c r="R917" s="109"/>
      <c r="S917" s="109"/>
      <c r="T917" s="109"/>
      <c r="U917" s="109"/>
      <c r="V917" s="109"/>
      <c r="W917" s="109"/>
      <c r="X917" s="109"/>
      <c r="Y917" s="109"/>
      <c r="Z917" s="109"/>
      <c r="AA917" s="109"/>
      <c r="AB917" s="109"/>
      <c r="AC917" s="109"/>
      <c r="AD917" s="109"/>
      <c r="AE917" s="109"/>
      <c r="AF917" s="109"/>
      <c r="AG917" s="109"/>
    </row>
    <row r="918" ht="15.75" customHeight="1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  <c r="R918" s="109"/>
      <c r="S918" s="109"/>
      <c r="T918" s="109"/>
      <c r="U918" s="109"/>
      <c r="V918" s="109"/>
      <c r="W918" s="109"/>
      <c r="X918" s="109"/>
      <c r="Y918" s="109"/>
      <c r="Z918" s="109"/>
      <c r="AA918" s="109"/>
      <c r="AB918" s="109"/>
      <c r="AC918" s="109"/>
      <c r="AD918" s="109"/>
      <c r="AE918" s="109"/>
      <c r="AF918" s="109"/>
      <c r="AG918" s="109"/>
    </row>
    <row r="919" ht="15.75" customHeight="1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  <c r="R919" s="109"/>
      <c r="S919" s="109"/>
      <c r="T919" s="109"/>
      <c r="U919" s="109"/>
      <c r="V919" s="109"/>
      <c r="W919" s="109"/>
      <c r="X919" s="109"/>
      <c r="Y919" s="109"/>
      <c r="Z919" s="109"/>
      <c r="AA919" s="109"/>
      <c r="AB919" s="109"/>
      <c r="AC919" s="109"/>
      <c r="AD919" s="109"/>
      <c r="AE919" s="109"/>
      <c r="AF919" s="109"/>
      <c r="AG919" s="109"/>
    </row>
    <row r="920" ht="15.75" customHeight="1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  <c r="R920" s="109"/>
      <c r="S920" s="109"/>
      <c r="T920" s="109"/>
      <c r="U920" s="109"/>
      <c r="V920" s="109"/>
      <c r="W920" s="109"/>
      <c r="X920" s="109"/>
      <c r="Y920" s="109"/>
      <c r="Z920" s="109"/>
      <c r="AA920" s="109"/>
      <c r="AB920" s="109"/>
      <c r="AC920" s="109"/>
      <c r="AD920" s="109"/>
      <c r="AE920" s="109"/>
      <c r="AF920" s="109"/>
      <c r="AG920" s="109"/>
    </row>
    <row r="921" ht="15.75" customHeight="1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  <c r="R921" s="109"/>
      <c r="S921" s="109"/>
      <c r="T921" s="109"/>
      <c r="U921" s="109"/>
      <c r="V921" s="109"/>
      <c r="W921" s="109"/>
      <c r="X921" s="109"/>
      <c r="Y921" s="109"/>
      <c r="Z921" s="109"/>
      <c r="AA921" s="109"/>
      <c r="AB921" s="109"/>
      <c r="AC921" s="109"/>
      <c r="AD921" s="109"/>
      <c r="AE921" s="109"/>
      <c r="AF921" s="109"/>
      <c r="AG921" s="109"/>
    </row>
    <row r="922" ht="15.75" customHeight="1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  <c r="R922" s="109"/>
      <c r="S922" s="109"/>
      <c r="T922" s="109"/>
      <c r="U922" s="109"/>
      <c r="V922" s="109"/>
      <c r="W922" s="109"/>
      <c r="X922" s="109"/>
      <c r="Y922" s="109"/>
      <c r="Z922" s="109"/>
      <c r="AA922" s="109"/>
      <c r="AB922" s="109"/>
      <c r="AC922" s="109"/>
      <c r="AD922" s="109"/>
      <c r="AE922" s="109"/>
      <c r="AF922" s="109"/>
      <c r="AG922" s="109"/>
    </row>
    <row r="923" ht="15.75" customHeight="1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  <c r="R923" s="109"/>
      <c r="S923" s="109"/>
      <c r="T923" s="109"/>
      <c r="U923" s="109"/>
      <c r="V923" s="109"/>
      <c r="W923" s="109"/>
      <c r="X923" s="109"/>
      <c r="Y923" s="109"/>
      <c r="Z923" s="109"/>
      <c r="AA923" s="109"/>
      <c r="AB923" s="109"/>
      <c r="AC923" s="109"/>
      <c r="AD923" s="109"/>
      <c r="AE923" s="109"/>
      <c r="AF923" s="109"/>
      <c r="AG923" s="109"/>
    </row>
    <row r="924" ht="15.75" customHeight="1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  <c r="R924" s="109"/>
      <c r="S924" s="109"/>
      <c r="T924" s="109"/>
      <c r="U924" s="109"/>
      <c r="V924" s="109"/>
      <c r="W924" s="109"/>
      <c r="X924" s="109"/>
      <c r="Y924" s="109"/>
      <c r="Z924" s="109"/>
      <c r="AA924" s="109"/>
      <c r="AB924" s="109"/>
      <c r="AC924" s="109"/>
      <c r="AD924" s="109"/>
      <c r="AE924" s="109"/>
      <c r="AF924" s="109"/>
      <c r="AG924" s="109"/>
    </row>
    <row r="925" ht="15.75" customHeight="1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  <c r="R925" s="109"/>
      <c r="S925" s="109"/>
      <c r="T925" s="109"/>
      <c r="U925" s="109"/>
      <c r="V925" s="109"/>
      <c r="W925" s="109"/>
      <c r="X925" s="109"/>
      <c r="Y925" s="109"/>
      <c r="Z925" s="109"/>
      <c r="AA925" s="109"/>
      <c r="AB925" s="109"/>
      <c r="AC925" s="109"/>
      <c r="AD925" s="109"/>
      <c r="AE925" s="109"/>
      <c r="AF925" s="109"/>
      <c r="AG925" s="109"/>
    </row>
    <row r="926" ht="15.75" customHeight="1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  <c r="R926" s="109"/>
      <c r="S926" s="109"/>
      <c r="T926" s="109"/>
      <c r="U926" s="109"/>
      <c r="V926" s="109"/>
      <c r="W926" s="109"/>
      <c r="X926" s="109"/>
      <c r="Y926" s="109"/>
      <c r="Z926" s="109"/>
      <c r="AA926" s="109"/>
      <c r="AB926" s="109"/>
      <c r="AC926" s="109"/>
      <c r="AD926" s="109"/>
      <c r="AE926" s="109"/>
      <c r="AF926" s="109"/>
      <c r="AG926" s="109"/>
    </row>
    <row r="927" ht="15.75" customHeight="1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  <c r="R927" s="109"/>
      <c r="S927" s="109"/>
      <c r="T927" s="109"/>
      <c r="U927" s="109"/>
      <c r="V927" s="109"/>
      <c r="W927" s="109"/>
      <c r="X927" s="109"/>
      <c r="Y927" s="109"/>
      <c r="Z927" s="109"/>
      <c r="AA927" s="109"/>
      <c r="AB927" s="109"/>
      <c r="AC927" s="109"/>
      <c r="AD927" s="109"/>
      <c r="AE927" s="109"/>
      <c r="AF927" s="109"/>
      <c r="AG927" s="109"/>
    </row>
    <row r="928" ht="15.75" customHeight="1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  <c r="R928" s="109"/>
      <c r="S928" s="109"/>
      <c r="T928" s="109"/>
      <c r="U928" s="109"/>
      <c r="V928" s="109"/>
      <c r="W928" s="109"/>
      <c r="X928" s="109"/>
      <c r="Y928" s="109"/>
      <c r="Z928" s="109"/>
      <c r="AA928" s="109"/>
      <c r="AB928" s="109"/>
      <c r="AC928" s="109"/>
      <c r="AD928" s="109"/>
      <c r="AE928" s="109"/>
      <c r="AF928" s="109"/>
      <c r="AG928" s="109"/>
    </row>
    <row r="929" ht="15.75" customHeight="1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  <c r="R929" s="109"/>
      <c r="S929" s="109"/>
      <c r="T929" s="109"/>
      <c r="U929" s="109"/>
      <c r="V929" s="109"/>
      <c r="W929" s="109"/>
      <c r="X929" s="109"/>
      <c r="Y929" s="109"/>
      <c r="Z929" s="109"/>
      <c r="AA929" s="109"/>
      <c r="AB929" s="109"/>
      <c r="AC929" s="109"/>
      <c r="AD929" s="109"/>
      <c r="AE929" s="109"/>
      <c r="AF929" s="109"/>
      <c r="AG929" s="109"/>
    </row>
    <row r="930" ht="15.75" customHeight="1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  <c r="R930" s="109"/>
      <c r="S930" s="109"/>
      <c r="T930" s="109"/>
      <c r="U930" s="109"/>
      <c r="V930" s="109"/>
      <c r="W930" s="109"/>
      <c r="X930" s="109"/>
      <c r="Y930" s="109"/>
      <c r="Z930" s="109"/>
      <c r="AA930" s="109"/>
      <c r="AB930" s="109"/>
      <c r="AC930" s="109"/>
      <c r="AD930" s="109"/>
      <c r="AE930" s="109"/>
      <c r="AF930" s="109"/>
      <c r="AG930" s="109"/>
    </row>
    <row r="931" ht="15.75" customHeight="1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  <c r="R931" s="109"/>
      <c r="S931" s="109"/>
      <c r="T931" s="109"/>
      <c r="U931" s="109"/>
      <c r="V931" s="109"/>
      <c r="W931" s="109"/>
      <c r="X931" s="109"/>
      <c r="Y931" s="109"/>
      <c r="Z931" s="109"/>
      <c r="AA931" s="109"/>
      <c r="AB931" s="109"/>
      <c r="AC931" s="109"/>
      <c r="AD931" s="109"/>
      <c r="AE931" s="109"/>
      <c r="AF931" s="109"/>
      <c r="AG931" s="109"/>
    </row>
    <row r="932" ht="15.75" customHeight="1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  <c r="R932" s="109"/>
      <c r="S932" s="109"/>
      <c r="T932" s="109"/>
      <c r="U932" s="109"/>
      <c r="V932" s="109"/>
      <c r="W932" s="109"/>
      <c r="X932" s="109"/>
      <c r="Y932" s="109"/>
      <c r="Z932" s="109"/>
      <c r="AA932" s="109"/>
      <c r="AB932" s="109"/>
      <c r="AC932" s="109"/>
      <c r="AD932" s="109"/>
      <c r="AE932" s="109"/>
      <c r="AF932" s="109"/>
      <c r="AG932" s="109"/>
    </row>
    <row r="933" ht="15.75" customHeight="1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  <c r="R933" s="109"/>
      <c r="S933" s="109"/>
      <c r="T933" s="109"/>
      <c r="U933" s="109"/>
      <c r="V933" s="109"/>
      <c r="W933" s="109"/>
      <c r="X933" s="109"/>
      <c r="Y933" s="109"/>
      <c r="Z933" s="109"/>
      <c r="AA933" s="109"/>
      <c r="AB933" s="109"/>
      <c r="AC933" s="109"/>
      <c r="AD933" s="109"/>
      <c r="AE933" s="109"/>
      <c r="AF933" s="109"/>
      <c r="AG933" s="109"/>
    </row>
    <row r="934" ht="15.75" customHeight="1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  <c r="R934" s="109"/>
      <c r="S934" s="109"/>
      <c r="T934" s="109"/>
      <c r="U934" s="109"/>
      <c r="V934" s="109"/>
      <c r="W934" s="109"/>
      <c r="X934" s="109"/>
      <c r="Y934" s="109"/>
      <c r="Z934" s="109"/>
      <c r="AA934" s="109"/>
      <c r="AB934" s="109"/>
      <c r="AC934" s="109"/>
      <c r="AD934" s="109"/>
      <c r="AE934" s="109"/>
      <c r="AF934" s="109"/>
      <c r="AG934" s="109"/>
    </row>
    <row r="935" ht="15.75" customHeight="1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  <c r="R935" s="109"/>
      <c r="S935" s="109"/>
      <c r="T935" s="109"/>
      <c r="U935" s="109"/>
      <c r="V935" s="109"/>
      <c r="W935" s="109"/>
      <c r="X935" s="109"/>
      <c r="Y935" s="109"/>
      <c r="Z935" s="109"/>
      <c r="AA935" s="109"/>
      <c r="AB935" s="109"/>
      <c r="AC935" s="109"/>
      <c r="AD935" s="109"/>
      <c r="AE935" s="109"/>
      <c r="AF935" s="109"/>
      <c r="AG935" s="109"/>
    </row>
    <row r="936" ht="15.75" customHeight="1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  <c r="R936" s="109"/>
      <c r="S936" s="109"/>
      <c r="T936" s="109"/>
      <c r="U936" s="109"/>
      <c r="V936" s="109"/>
      <c r="W936" s="109"/>
      <c r="X936" s="109"/>
      <c r="Y936" s="109"/>
      <c r="Z936" s="109"/>
      <c r="AA936" s="109"/>
      <c r="AB936" s="109"/>
      <c r="AC936" s="109"/>
      <c r="AD936" s="109"/>
      <c r="AE936" s="109"/>
      <c r="AF936" s="109"/>
      <c r="AG936" s="109"/>
    </row>
    <row r="937" ht="15.75" customHeight="1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  <c r="R937" s="109"/>
      <c r="S937" s="109"/>
      <c r="T937" s="109"/>
      <c r="U937" s="109"/>
      <c r="V937" s="109"/>
      <c r="W937" s="109"/>
      <c r="X937" s="109"/>
      <c r="Y937" s="109"/>
      <c r="Z937" s="109"/>
      <c r="AA937" s="109"/>
      <c r="AB937" s="109"/>
      <c r="AC937" s="109"/>
      <c r="AD937" s="109"/>
      <c r="AE937" s="109"/>
      <c r="AF937" s="109"/>
      <c r="AG937" s="109"/>
    </row>
    <row r="938" ht="15.75" customHeight="1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  <c r="R938" s="109"/>
      <c r="S938" s="109"/>
      <c r="T938" s="109"/>
      <c r="U938" s="109"/>
      <c r="V938" s="109"/>
      <c r="W938" s="109"/>
      <c r="X938" s="109"/>
      <c r="Y938" s="109"/>
      <c r="Z938" s="109"/>
      <c r="AA938" s="109"/>
      <c r="AB938" s="109"/>
      <c r="AC938" s="109"/>
      <c r="AD938" s="109"/>
      <c r="AE938" s="109"/>
      <c r="AF938" s="109"/>
      <c r="AG938" s="109"/>
    </row>
    <row r="939" ht="15.75" customHeight="1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  <c r="R939" s="109"/>
      <c r="S939" s="109"/>
      <c r="T939" s="109"/>
      <c r="U939" s="109"/>
      <c r="V939" s="109"/>
      <c r="W939" s="109"/>
      <c r="X939" s="109"/>
      <c r="Y939" s="109"/>
      <c r="Z939" s="109"/>
      <c r="AA939" s="109"/>
      <c r="AB939" s="109"/>
      <c r="AC939" s="109"/>
      <c r="AD939" s="109"/>
      <c r="AE939" s="109"/>
      <c r="AF939" s="109"/>
      <c r="AG939" s="109"/>
    </row>
    <row r="940" ht="15.75" customHeight="1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  <c r="R940" s="109"/>
      <c r="S940" s="109"/>
      <c r="T940" s="109"/>
      <c r="U940" s="109"/>
      <c r="V940" s="109"/>
      <c r="W940" s="109"/>
      <c r="X940" s="109"/>
      <c r="Y940" s="109"/>
      <c r="Z940" s="109"/>
      <c r="AA940" s="109"/>
      <c r="AB940" s="109"/>
      <c r="AC940" s="109"/>
      <c r="AD940" s="109"/>
      <c r="AE940" s="109"/>
      <c r="AF940" s="109"/>
      <c r="AG940" s="109"/>
    </row>
    <row r="941" ht="15.75" customHeight="1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  <c r="R941" s="109"/>
      <c r="S941" s="109"/>
      <c r="T941" s="109"/>
      <c r="U941" s="109"/>
      <c r="V941" s="109"/>
      <c r="W941" s="109"/>
      <c r="X941" s="109"/>
      <c r="Y941" s="109"/>
      <c r="Z941" s="109"/>
      <c r="AA941" s="109"/>
      <c r="AB941" s="109"/>
      <c r="AC941" s="109"/>
      <c r="AD941" s="109"/>
      <c r="AE941" s="109"/>
      <c r="AF941" s="109"/>
      <c r="AG941" s="109"/>
    </row>
    <row r="942" ht="15.75" customHeight="1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  <c r="R942" s="109"/>
      <c r="S942" s="109"/>
      <c r="T942" s="109"/>
      <c r="U942" s="109"/>
      <c r="V942" s="109"/>
      <c r="W942" s="109"/>
      <c r="X942" s="109"/>
      <c r="Y942" s="109"/>
      <c r="Z942" s="109"/>
      <c r="AA942" s="109"/>
      <c r="AB942" s="109"/>
      <c r="AC942" s="109"/>
      <c r="AD942" s="109"/>
      <c r="AE942" s="109"/>
      <c r="AF942" s="109"/>
      <c r="AG942" s="109"/>
    </row>
    <row r="943" ht="15.75" customHeight="1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  <c r="R943" s="109"/>
      <c r="S943" s="109"/>
      <c r="T943" s="109"/>
      <c r="U943" s="109"/>
      <c r="V943" s="109"/>
      <c r="W943" s="109"/>
      <c r="X943" s="109"/>
      <c r="Y943" s="109"/>
      <c r="Z943" s="109"/>
      <c r="AA943" s="109"/>
      <c r="AB943" s="109"/>
      <c r="AC943" s="109"/>
      <c r="AD943" s="109"/>
      <c r="AE943" s="109"/>
      <c r="AF943" s="109"/>
      <c r="AG943" s="109"/>
    </row>
    <row r="944" ht="15.75" customHeight="1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  <c r="R944" s="109"/>
      <c r="S944" s="109"/>
      <c r="T944" s="109"/>
      <c r="U944" s="109"/>
      <c r="V944" s="109"/>
      <c r="W944" s="109"/>
      <c r="X944" s="109"/>
      <c r="Y944" s="109"/>
      <c r="Z944" s="109"/>
      <c r="AA944" s="109"/>
      <c r="AB944" s="109"/>
      <c r="AC944" s="109"/>
      <c r="AD944" s="109"/>
      <c r="AE944" s="109"/>
      <c r="AF944" s="109"/>
      <c r="AG944" s="109"/>
    </row>
    <row r="945" ht="15.75" customHeight="1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  <c r="R945" s="109"/>
      <c r="S945" s="109"/>
      <c r="T945" s="109"/>
      <c r="U945" s="109"/>
      <c r="V945" s="109"/>
      <c r="W945" s="109"/>
      <c r="X945" s="109"/>
      <c r="Y945" s="109"/>
      <c r="Z945" s="109"/>
      <c r="AA945" s="109"/>
      <c r="AB945" s="109"/>
      <c r="AC945" s="109"/>
      <c r="AD945" s="109"/>
      <c r="AE945" s="109"/>
      <c r="AF945" s="109"/>
      <c r="AG945" s="109"/>
    </row>
    <row r="946" ht="15.75" customHeight="1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  <c r="R946" s="109"/>
      <c r="S946" s="109"/>
      <c r="T946" s="109"/>
      <c r="U946" s="109"/>
      <c r="V946" s="109"/>
      <c r="W946" s="109"/>
      <c r="X946" s="109"/>
      <c r="Y946" s="109"/>
      <c r="Z946" s="109"/>
      <c r="AA946" s="109"/>
      <c r="AB946" s="109"/>
      <c r="AC946" s="109"/>
      <c r="AD946" s="109"/>
      <c r="AE946" s="109"/>
      <c r="AF946" s="109"/>
      <c r="AG946" s="109"/>
    </row>
    <row r="947" ht="15.75" customHeight="1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  <c r="R947" s="109"/>
      <c r="S947" s="109"/>
      <c r="T947" s="109"/>
      <c r="U947" s="109"/>
      <c r="V947" s="109"/>
      <c r="W947" s="109"/>
      <c r="X947" s="109"/>
      <c r="Y947" s="109"/>
      <c r="Z947" s="109"/>
      <c r="AA947" s="109"/>
      <c r="AB947" s="109"/>
      <c r="AC947" s="109"/>
      <c r="AD947" s="109"/>
      <c r="AE947" s="109"/>
      <c r="AF947" s="109"/>
      <c r="AG947" s="109"/>
    </row>
    <row r="948" ht="15.75" customHeight="1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  <c r="R948" s="109"/>
      <c r="S948" s="109"/>
      <c r="T948" s="109"/>
      <c r="U948" s="109"/>
      <c r="V948" s="109"/>
      <c r="W948" s="109"/>
      <c r="X948" s="109"/>
      <c r="Y948" s="109"/>
      <c r="Z948" s="109"/>
      <c r="AA948" s="109"/>
      <c r="AB948" s="109"/>
      <c r="AC948" s="109"/>
      <c r="AD948" s="109"/>
      <c r="AE948" s="109"/>
      <c r="AF948" s="109"/>
      <c r="AG948" s="109"/>
    </row>
    <row r="949" ht="15.75" customHeight="1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  <c r="W949" s="109"/>
      <c r="X949" s="109"/>
      <c r="Y949" s="109"/>
      <c r="Z949" s="109"/>
      <c r="AA949" s="109"/>
      <c r="AB949" s="109"/>
      <c r="AC949" s="109"/>
      <c r="AD949" s="109"/>
      <c r="AE949" s="109"/>
      <c r="AF949" s="109"/>
      <c r="AG949" s="109"/>
    </row>
    <row r="950" ht="15.75" customHeight="1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  <c r="R950" s="109"/>
      <c r="S950" s="109"/>
      <c r="T950" s="109"/>
      <c r="U950" s="109"/>
      <c r="V950" s="109"/>
      <c r="W950" s="109"/>
      <c r="X950" s="109"/>
      <c r="Y950" s="109"/>
      <c r="Z950" s="109"/>
      <c r="AA950" s="109"/>
      <c r="AB950" s="109"/>
      <c r="AC950" s="109"/>
      <c r="AD950" s="109"/>
      <c r="AE950" s="109"/>
      <c r="AF950" s="109"/>
      <c r="AG950" s="109"/>
    </row>
    <row r="951" ht="15.75" customHeight="1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  <c r="R951" s="109"/>
      <c r="S951" s="109"/>
      <c r="T951" s="109"/>
      <c r="U951" s="109"/>
      <c r="V951" s="109"/>
      <c r="W951" s="109"/>
      <c r="X951" s="109"/>
      <c r="Y951" s="109"/>
      <c r="Z951" s="109"/>
      <c r="AA951" s="109"/>
      <c r="AB951" s="109"/>
      <c r="AC951" s="109"/>
      <c r="AD951" s="109"/>
      <c r="AE951" s="109"/>
      <c r="AF951" s="109"/>
      <c r="AG951" s="109"/>
    </row>
    <row r="952" ht="15.75" customHeight="1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  <c r="R952" s="109"/>
      <c r="S952" s="109"/>
      <c r="T952" s="109"/>
      <c r="U952" s="109"/>
      <c r="V952" s="109"/>
      <c r="W952" s="109"/>
      <c r="X952" s="109"/>
      <c r="Y952" s="109"/>
      <c r="Z952" s="109"/>
      <c r="AA952" s="109"/>
      <c r="AB952" s="109"/>
      <c r="AC952" s="109"/>
      <c r="AD952" s="109"/>
      <c r="AE952" s="109"/>
      <c r="AF952" s="109"/>
      <c r="AG952" s="109"/>
    </row>
    <row r="953" ht="15.75" customHeight="1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  <c r="R953" s="109"/>
      <c r="S953" s="109"/>
      <c r="T953" s="109"/>
      <c r="U953" s="109"/>
      <c r="V953" s="109"/>
      <c r="W953" s="109"/>
      <c r="X953" s="109"/>
      <c r="Y953" s="109"/>
      <c r="Z953" s="109"/>
      <c r="AA953" s="109"/>
      <c r="AB953" s="109"/>
      <c r="AC953" s="109"/>
      <c r="AD953" s="109"/>
      <c r="AE953" s="109"/>
      <c r="AF953" s="109"/>
      <c r="AG953" s="109"/>
    </row>
    <row r="954" ht="15.75" customHeight="1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  <c r="R954" s="109"/>
      <c r="S954" s="109"/>
      <c r="T954" s="109"/>
      <c r="U954" s="109"/>
      <c r="V954" s="109"/>
      <c r="W954" s="109"/>
      <c r="X954" s="109"/>
      <c r="Y954" s="109"/>
      <c r="Z954" s="109"/>
      <c r="AA954" s="109"/>
      <c r="AB954" s="109"/>
      <c r="AC954" s="109"/>
      <c r="AD954" s="109"/>
      <c r="AE954" s="109"/>
      <c r="AF954" s="109"/>
      <c r="AG954" s="109"/>
    </row>
    <row r="955" ht="15.75" customHeight="1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  <c r="R955" s="109"/>
      <c r="S955" s="109"/>
      <c r="T955" s="109"/>
      <c r="U955" s="109"/>
      <c r="V955" s="109"/>
      <c r="W955" s="109"/>
      <c r="X955" s="109"/>
      <c r="Y955" s="109"/>
      <c r="Z955" s="109"/>
      <c r="AA955" s="109"/>
      <c r="AB955" s="109"/>
      <c r="AC955" s="109"/>
      <c r="AD955" s="109"/>
      <c r="AE955" s="109"/>
      <c r="AF955" s="109"/>
      <c r="AG955" s="109"/>
    </row>
    <row r="956" ht="15.75" customHeight="1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  <c r="R956" s="109"/>
      <c r="S956" s="109"/>
      <c r="T956" s="109"/>
      <c r="U956" s="109"/>
      <c r="V956" s="109"/>
      <c r="W956" s="109"/>
      <c r="X956" s="109"/>
      <c r="Y956" s="109"/>
      <c r="Z956" s="109"/>
      <c r="AA956" s="109"/>
      <c r="AB956" s="109"/>
      <c r="AC956" s="109"/>
      <c r="AD956" s="109"/>
      <c r="AE956" s="109"/>
      <c r="AF956" s="109"/>
      <c r="AG956" s="109"/>
    </row>
    <row r="957" ht="15.75" customHeight="1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  <c r="R957" s="109"/>
      <c r="S957" s="109"/>
      <c r="T957" s="109"/>
      <c r="U957" s="109"/>
      <c r="V957" s="109"/>
      <c r="W957" s="109"/>
      <c r="X957" s="109"/>
      <c r="Y957" s="109"/>
      <c r="Z957" s="109"/>
      <c r="AA957" s="109"/>
      <c r="AB957" s="109"/>
      <c r="AC957" s="109"/>
      <c r="AD957" s="109"/>
      <c r="AE957" s="109"/>
      <c r="AF957" s="109"/>
      <c r="AG957" s="109"/>
    </row>
    <row r="958" ht="15.75" customHeight="1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  <c r="R958" s="109"/>
      <c r="S958" s="109"/>
      <c r="T958" s="109"/>
      <c r="U958" s="109"/>
      <c r="V958" s="109"/>
      <c r="W958" s="109"/>
      <c r="X958" s="109"/>
      <c r="Y958" s="109"/>
      <c r="Z958" s="109"/>
      <c r="AA958" s="109"/>
      <c r="AB958" s="109"/>
      <c r="AC958" s="109"/>
      <c r="AD958" s="109"/>
      <c r="AE958" s="109"/>
      <c r="AF958" s="109"/>
      <c r="AG958" s="109"/>
    </row>
    <row r="959" ht="15.75" customHeight="1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  <c r="R959" s="109"/>
      <c r="S959" s="109"/>
      <c r="T959" s="109"/>
      <c r="U959" s="109"/>
      <c r="V959" s="109"/>
      <c r="W959" s="109"/>
      <c r="X959" s="109"/>
      <c r="Y959" s="109"/>
      <c r="Z959" s="109"/>
      <c r="AA959" s="109"/>
      <c r="AB959" s="109"/>
      <c r="AC959" s="109"/>
      <c r="AD959" s="109"/>
      <c r="AE959" s="109"/>
      <c r="AF959" s="109"/>
      <c r="AG959" s="109"/>
    </row>
    <row r="960" ht="15.75" customHeight="1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  <c r="R960" s="109"/>
      <c r="S960" s="109"/>
      <c r="T960" s="109"/>
      <c r="U960" s="109"/>
      <c r="V960" s="109"/>
      <c r="W960" s="109"/>
      <c r="X960" s="109"/>
      <c r="Y960" s="109"/>
      <c r="Z960" s="109"/>
      <c r="AA960" s="109"/>
      <c r="AB960" s="109"/>
      <c r="AC960" s="109"/>
      <c r="AD960" s="109"/>
      <c r="AE960" s="109"/>
      <c r="AF960" s="109"/>
      <c r="AG960" s="109"/>
    </row>
    <row r="961" ht="15.75" customHeight="1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  <c r="R961" s="109"/>
      <c r="S961" s="109"/>
      <c r="T961" s="109"/>
      <c r="U961" s="109"/>
      <c r="V961" s="109"/>
      <c r="W961" s="109"/>
      <c r="X961" s="109"/>
      <c r="Y961" s="109"/>
      <c r="Z961" s="109"/>
      <c r="AA961" s="109"/>
      <c r="AB961" s="109"/>
      <c r="AC961" s="109"/>
      <c r="AD961" s="109"/>
      <c r="AE961" s="109"/>
      <c r="AF961" s="109"/>
      <c r="AG961" s="109"/>
    </row>
    <row r="962" ht="15.75" customHeight="1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  <c r="R962" s="109"/>
      <c r="S962" s="109"/>
      <c r="T962" s="109"/>
      <c r="U962" s="109"/>
      <c r="V962" s="109"/>
      <c r="W962" s="109"/>
      <c r="X962" s="109"/>
      <c r="Y962" s="109"/>
      <c r="Z962" s="109"/>
      <c r="AA962" s="109"/>
      <c r="AB962" s="109"/>
      <c r="AC962" s="109"/>
      <c r="AD962" s="109"/>
      <c r="AE962" s="109"/>
      <c r="AF962" s="109"/>
      <c r="AG962" s="109"/>
    </row>
    <row r="963" ht="15.75" customHeight="1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  <c r="R963" s="109"/>
      <c r="S963" s="109"/>
      <c r="T963" s="109"/>
      <c r="U963" s="109"/>
      <c r="V963" s="109"/>
      <c r="W963" s="109"/>
      <c r="X963" s="109"/>
      <c r="Y963" s="109"/>
      <c r="Z963" s="109"/>
      <c r="AA963" s="109"/>
      <c r="AB963" s="109"/>
      <c r="AC963" s="109"/>
      <c r="AD963" s="109"/>
      <c r="AE963" s="109"/>
      <c r="AF963" s="109"/>
      <c r="AG963" s="109"/>
    </row>
    <row r="964" ht="15.75" customHeight="1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  <c r="R964" s="109"/>
      <c r="S964" s="109"/>
      <c r="T964" s="109"/>
      <c r="U964" s="109"/>
      <c r="V964" s="109"/>
      <c r="W964" s="109"/>
      <c r="X964" s="109"/>
      <c r="Y964" s="109"/>
      <c r="Z964" s="109"/>
      <c r="AA964" s="109"/>
      <c r="AB964" s="109"/>
      <c r="AC964" s="109"/>
      <c r="AD964" s="109"/>
      <c r="AE964" s="109"/>
      <c r="AF964" s="109"/>
      <c r="AG964" s="109"/>
    </row>
    <row r="965" ht="15.75" customHeight="1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  <c r="R965" s="109"/>
      <c r="S965" s="109"/>
      <c r="T965" s="109"/>
      <c r="U965" s="109"/>
      <c r="V965" s="109"/>
      <c r="W965" s="109"/>
      <c r="X965" s="109"/>
      <c r="Y965" s="109"/>
      <c r="Z965" s="109"/>
      <c r="AA965" s="109"/>
      <c r="AB965" s="109"/>
      <c r="AC965" s="109"/>
      <c r="AD965" s="109"/>
      <c r="AE965" s="109"/>
      <c r="AF965" s="109"/>
      <c r="AG965" s="109"/>
    </row>
    <row r="966" ht="15.75" customHeight="1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  <c r="R966" s="109"/>
      <c r="S966" s="109"/>
      <c r="T966" s="109"/>
      <c r="U966" s="109"/>
      <c r="V966" s="109"/>
      <c r="W966" s="109"/>
      <c r="X966" s="109"/>
      <c r="Y966" s="109"/>
      <c r="Z966" s="109"/>
      <c r="AA966" s="109"/>
      <c r="AB966" s="109"/>
      <c r="AC966" s="109"/>
      <c r="AD966" s="109"/>
      <c r="AE966" s="109"/>
      <c r="AF966" s="109"/>
      <c r="AG966" s="109"/>
    </row>
    <row r="967" ht="15.75" customHeight="1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  <c r="R967" s="109"/>
      <c r="S967" s="109"/>
      <c r="T967" s="109"/>
      <c r="U967" s="109"/>
      <c r="V967" s="109"/>
      <c r="W967" s="109"/>
      <c r="X967" s="109"/>
      <c r="Y967" s="109"/>
      <c r="Z967" s="109"/>
      <c r="AA967" s="109"/>
      <c r="AB967" s="109"/>
      <c r="AC967" s="109"/>
      <c r="AD967" s="109"/>
      <c r="AE967" s="109"/>
      <c r="AF967" s="109"/>
      <c r="AG967" s="109"/>
    </row>
    <row r="968" ht="15.75" customHeight="1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  <c r="R968" s="109"/>
      <c r="S968" s="109"/>
      <c r="T968" s="109"/>
      <c r="U968" s="109"/>
      <c r="V968" s="109"/>
      <c r="W968" s="109"/>
      <c r="X968" s="109"/>
      <c r="Y968" s="109"/>
      <c r="Z968" s="109"/>
      <c r="AA968" s="109"/>
      <c r="AB968" s="109"/>
      <c r="AC968" s="109"/>
      <c r="AD968" s="109"/>
      <c r="AE968" s="109"/>
      <c r="AF968" s="109"/>
      <c r="AG968" s="109"/>
    </row>
    <row r="969" ht="15.75" customHeight="1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  <c r="R969" s="109"/>
      <c r="S969" s="109"/>
      <c r="T969" s="109"/>
      <c r="U969" s="109"/>
      <c r="V969" s="109"/>
      <c r="W969" s="109"/>
      <c r="X969" s="109"/>
      <c r="Y969" s="109"/>
      <c r="Z969" s="109"/>
      <c r="AA969" s="109"/>
      <c r="AB969" s="109"/>
      <c r="AC969" s="109"/>
      <c r="AD969" s="109"/>
      <c r="AE969" s="109"/>
      <c r="AF969" s="109"/>
      <c r="AG969" s="109"/>
    </row>
    <row r="970" ht="15.75" customHeight="1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  <c r="R970" s="109"/>
      <c r="S970" s="109"/>
      <c r="T970" s="109"/>
      <c r="U970" s="109"/>
      <c r="V970" s="109"/>
      <c r="W970" s="109"/>
      <c r="X970" s="109"/>
      <c r="Y970" s="109"/>
      <c r="Z970" s="109"/>
      <c r="AA970" s="109"/>
      <c r="AB970" s="109"/>
      <c r="AC970" s="109"/>
      <c r="AD970" s="109"/>
      <c r="AE970" s="109"/>
      <c r="AF970" s="109"/>
      <c r="AG970" s="109"/>
    </row>
    <row r="971" ht="15.75" customHeight="1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  <c r="R971" s="109"/>
      <c r="S971" s="109"/>
      <c r="T971" s="109"/>
      <c r="U971" s="109"/>
      <c r="V971" s="109"/>
      <c r="W971" s="109"/>
      <c r="X971" s="109"/>
      <c r="Y971" s="109"/>
      <c r="Z971" s="109"/>
      <c r="AA971" s="109"/>
      <c r="AB971" s="109"/>
      <c r="AC971" s="109"/>
      <c r="AD971" s="109"/>
      <c r="AE971" s="109"/>
      <c r="AF971" s="109"/>
      <c r="AG971" s="109"/>
    </row>
    <row r="972" ht="15.75" customHeight="1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  <c r="R972" s="109"/>
      <c r="S972" s="109"/>
      <c r="T972" s="109"/>
      <c r="U972" s="109"/>
      <c r="V972" s="109"/>
      <c r="W972" s="109"/>
      <c r="X972" s="109"/>
      <c r="Y972" s="109"/>
      <c r="Z972" s="109"/>
      <c r="AA972" s="109"/>
      <c r="AB972" s="109"/>
      <c r="AC972" s="109"/>
      <c r="AD972" s="109"/>
      <c r="AE972" s="109"/>
      <c r="AF972" s="109"/>
      <c r="AG972" s="109"/>
    </row>
    <row r="973" ht="15.75" customHeight="1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  <c r="R973" s="109"/>
      <c r="S973" s="109"/>
      <c r="T973" s="109"/>
      <c r="U973" s="109"/>
      <c r="V973" s="109"/>
      <c r="W973" s="109"/>
      <c r="X973" s="109"/>
      <c r="Y973" s="109"/>
      <c r="Z973" s="109"/>
      <c r="AA973" s="109"/>
      <c r="AB973" s="109"/>
      <c r="AC973" s="109"/>
      <c r="AD973" s="109"/>
      <c r="AE973" s="109"/>
      <c r="AF973" s="109"/>
      <c r="AG973" s="109"/>
    </row>
    <row r="974" ht="15.75" customHeight="1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  <c r="R974" s="109"/>
      <c r="S974" s="109"/>
      <c r="T974" s="109"/>
      <c r="U974" s="109"/>
      <c r="V974" s="109"/>
      <c r="W974" s="109"/>
      <c r="X974" s="109"/>
      <c r="Y974" s="109"/>
      <c r="Z974" s="109"/>
      <c r="AA974" s="109"/>
      <c r="AB974" s="109"/>
      <c r="AC974" s="109"/>
      <c r="AD974" s="109"/>
      <c r="AE974" s="109"/>
      <c r="AF974" s="109"/>
      <c r="AG974" s="109"/>
    </row>
    <row r="975" ht="15.75" customHeight="1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  <c r="R975" s="109"/>
      <c r="S975" s="109"/>
      <c r="T975" s="109"/>
      <c r="U975" s="109"/>
      <c r="V975" s="109"/>
      <c r="W975" s="109"/>
      <c r="X975" s="109"/>
      <c r="Y975" s="109"/>
      <c r="Z975" s="109"/>
      <c r="AA975" s="109"/>
      <c r="AB975" s="109"/>
      <c r="AC975" s="109"/>
      <c r="AD975" s="109"/>
      <c r="AE975" s="109"/>
      <c r="AF975" s="109"/>
      <c r="AG975" s="109"/>
    </row>
    <row r="976" ht="15.75" customHeight="1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  <c r="R976" s="109"/>
      <c r="S976" s="109"/>
      <c r="T976" s="109"/>
      <c r="U976" s="109"/>
      <c r="V976" s="109"/>
      <c r="W976" s="109"/>
      <c r="X976" s="109"/>
      <c r="Y976" s="109"/>
      <c r="Z976" s="109"/>
      <c r="AA976" s="109"/>
      <c r="AB976" s="109"/>
      <c r="AC976" s="109"/>
      <c r="AD976" s="109"/>
      <c r="AE976" s="109"/>
      <c r="AF976" s="109"/>
      <c r="AG976" s="109"/>
    </row>
    <row r="977" ht="15.75" customHeight="1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  <c r="R977" s="109"/>
      <c r="S977" s="109"/>
      <c r="T977" s="109"/>
      <c r="U977" s="109"/>
      <c r="V977" s="109"/>
      <c r="W977" s="109"/>
      <c r="X977" s="109"/>
      <c r="Y977" s="109"/>
      <c r="Z977" s="109"/>
      <c r="AA977" s="109"/>
      <c r="AB977" s="109"/>
      <c r="AC977" s="109"/>
      <c r="AD977" s="109"/>
      <c r="AE977" s="109"/>
      <c r="AF977" s="109"/>
      <c r="AG977" s="109"/>
    </row>
    <row r="978" ht="15.75" customHeight="1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</row>
    <row r="979" ht="15.75" customHeight="1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  <c r="R979" s="109"/>
      <c r="S979" s="109"/>
      <c r="T979" s="109"/>
      <c r="U979" s="109"/>
      <c r="V979" s="109"/>
      <c r="W979" s="109"/>
      <c r="X979" s="109"/>
      <c r="Y979" s="109"/>
      <c r="Z979" s="109"/>
      <c r="AA979" s="109"/>
      <c r="AB979" s="109"/>
      <c r="AC979" s="109"/>
      <c r="AD979" s="109"/>
      <c r="AE979" s="109"/>
      <c r="AF979" s="109"/>
      <c r="AG979" s="109"/>
    </row>
    <row r="980" ht="15.75" customHeight="1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  <c r="R980" s="109"/>
      <c r="S980" s="109"/>
      <c r="T980" s="109"/>
      <c r="U980" s="109"/>
      <c r="V980" s="109"/>
      <c r="W980" s="109"/>
      <c r="X980" s="109"/>
      <c r="Y980" s="109"/>
      <c r="Z980" s="109"/>
      <c r="AA980" s="109"/>
      <c r="AB980" s="109"/>
      <c r="AC980" s="109"/>
      <c r="AD980" s="109"/>
      <c r="AE980" s="109"/>
      <c r="AF980" s="109"/>
      <c r="AG980" s="109"/>
    </row>
    <row r="981" ht="15.75" customHeight="1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  <c r="R981" s="109"/>
      <c r="S981" s="109"/>
      <c r="T981" s="109"/>
      <c r="U981" s="109"/>
      <c r="V981" s="109"/>
      <c r="W981" s="109"/>
      <c r="X981" s="109"/>
      <c r="Y981" s="109"/>
      <c r="Z981" s="109"/>
      <c r="AA981" s="109"/>
      <c r="AB981" s="109"/>
      <c r="AC981" s="109"/>
      <c r="AD981" s="109"/>
      <c r="AE981" s="109"/>
      <c r="AF981" s="109"/>
      <c r="AG981" s="109"/>
    </row>
    <row r="982" ht="15.75" customHeight="1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  <c r="R982" s="109"/>
      <c r="S982" s="109"/>
      <c r="T982" s="109"/>
      <c r="U982" s="109"/>
      <c r="V982" s="109"/>
      <c r="W982" s="109"/>
      <c r="X982" s="109"/>
      <c r="Y982" s="109"/>
      <c r="Z982" s="109"/>
      <c r="AA982" s="109"/>
      <c r="AB982" s="109"/>
      <c r="AC982" s="109"/>
      <c r="AD982" s="109"/>
      <c r="AE982" s="109"/>
      <c r="AF982" s="109"/>
      <c r="AG982" s="109"/>
    </row>
    <row r="983" ht="15.75" customHeight="1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  <c r="R983" s="109"/>
      <c r="S983" s="109"/>
      <c r="T983" s="109"/>
      <c r="U983" s="109"/>
      <c r="V983" s="109"/>
      <c r="W983" s="109"/>
      <c r="X983" s="109"/>
      <c r="Y983" s="109"/>
      <c r="Z983" s="109"/>
      <c r="AA983" s="109"/>
      <c r="AB983" s="109"/>
      <c r="AC983" s="109"/>
      <c r="AD983" s="109"/>
      <c r="AE983" s="109"/>
      <c r="AF983" s="109"/>
      <c r="AG983" s="109"/>
    </row>
    <row r="984" ht="15.75" customHeight="1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  <c r="R984" s="109"/>
      <c r="S984" s="109"/>
      <c r="T984" s="109"/>
      <c r="U984" s="109"/>
      <c r="V984" s="109"/>
      <c r="W984" s="109"/>
      <c r="X984" s="109"/>
      <c r="Y984" s="109"/>
      <c r="Z984" s="109"/>
      <c r="AA984" s="109"/>
      <c r="AB984" s="109"/>
      <c r="AC984" s="109"/>
      <c r="AD984" s="109"/>
      <c r="AE984" s="109"/>
      <c r="AF984" s="109"/>
      <c r="AG984" s="109"/>
    </row>
    <row r="985" ht="15.75" customHeight="1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  <c r="R985" s="109"/>
      <c r="S985" s="109"/>
      <c r="T985" s="109"/>
      <c r="U985" s="109"/>
      <c r="V985" s="109"/>
      <c r="W985" s="109"/>
      <c r="X985" s="109"/>
      <c r="Y985" s="109"/>
      <c r="Z985" s="109"/>
      <c r="AA985" s="109"/>
      <c r="AB985" s="109"/>
      <c r="AC985" s="109"/>
      <c r="AD985" s="109"/>
      <c r="AE985" s="109"/>
      <c r="AF985" s="109"/>
      <c r="AG985" s="109"/>
    </row>
    <row r="986" ht="15.75" customHeight="1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  <c r="R986" s="109"/>
      <c r="S986" s="109"/>
      <c r="T986" s="109"/>
      <c r="U986" s="109"/>
      <c r="V986" s="109"/>
      <c r="W986" s="109"/>
      <c r="X986" s="109"/>
      <c r="Y986" s="109"/>
      <c r="Z986" s="109"/>
      <c r="AA986" s="109"/>
      <c r="AB986" s="109"/>
      <c r="AC986" s="109"/>
      <c r="AD986" s="109"/>
      <c r="AE986" s="109"/>
      <c r="AF986" s="109"/>
      <c r="AG986" s="109"/>
    </row>
    <row r="987" ht="15.75" customHeight="1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  <c r="R987" s="109"/>
      <c r="S987" s="109"/>
      <c r="T987" s="109"/>
      <c r="U987" s="109"/>
      <c r="V987" s="109"/>
      <c r="W987" s="109"/>
      <c r="X987" s="109"/>
      <c r="Y987" s="109"/>
      <c r="Z987" s="109"/>
      <c r="AA987" s="109"/>
      <c r="AB987" s="109"/>
      <c r="AC987" s="109"/>
      <c r="AD987" s="109"/>
      <c r="AE987" s="109"/>
      <c r="AF987" s="109"/>
      <c r="AG987" s="109"/>
    </row>
    <row r="988" ht="15.75" customHeight="1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  <c r="R988" s="109"/>
      <c r="S988" s="109"/>
      <c r="T988" s="109"/>
      <c r="U988" s="109"/>
      <c r="V988" s="109"/>
      <c r="W988" s="109"/>
      <c r="X988" s="109"/>
      <c r="Y988" s="109"/>
      <c r="Z988" s="109"/>
      <c r="AA988" s="109"/>
      <c r="AB988" s="109"/>
      <c r="AC988" s="109"/>
      <c r="AD988" s="109"/>
      <c r="AE988" s="109"/>
      <c r="AF988" s="109"/>
      <c r="AG988" s="109"/>
    </row>
    <row r="989" ht="15.75" customHeight="1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  <c r="R989" s="109"/>
      <c r="S989" s="109"/>
      <c r="T989" s="109"/>
      <c r="U989" s="109"/>
      <c r="V989" s="109"/>
      <c r="W989" s="109"/>
      <c r="X989" s="109"/>
      <c r="Y989" s="109"/>
      <c r="Z989" s="109"/>
      <c r="AA989" s="109"/>
      <c r="AB989" s="109"/>
      <c r="AC989" s="109"/>
      <c r="AD989" s="109"/>
      <c r="AE989" s="109"/>
      <c r="AF989" s="109"/>
      <c r="AG989" s="109"/>
    </row>
    <row r="990" ht="15.75" customHeight="1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  <c r="R990" s="109"/>
      <c r="S990" s="109"/>
      <c r="T990" s="109"/>
      <c r="U990" s="109"/>
      <c r="V990" s="109"/>
      <c r="W990" s="109"/>
      <c r="X990" s="109"/>
      <c r="Y990" s="109"/>
      <c r="Z990" s="109"/>
      <c r="AA990" s="109"/>
      <c r="AB990" s="109"/>
      <c r="AC990" s="109"/>
      <c r="AD990" s="109"/>
      <c r="AE990" s="109"/>
      <c r="AF990" s="109"/>
      <c r="AG990" s="109"/>
    </row>
    <row r="991" ht="15.75" customHeight="1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  <c r="R991" s="109"/>
      <c r="S991" s="109"/>
      <c r="T991" s="109"/>
      <c r="U991" s="109"/>
      <c r="V991" s="109"/>
      <c r="W991" s="109"/>
      <c r="X991" s="109"/>
      <c r="Y991" s="109"/>
      <c r="Z991" s="109"/>
      <c r="AA991" s="109"/>
      <c r="AB991" s="109"/>
      <c r="AC991" s="109"/>
      <c r="AD991" s="109"/>
      <c r="AE991" s="109"/>
      <c r="AF991" s="109"/>
      <c r="AG991" s="109"/>
    </row>
    <row r="992" ht="15.75" customHeight="1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  <c r="R992" s="109"/>
      <c r="S992" s="109"/>
      <c r="T992" s="109"/>
      <c r="U992" s="109"/>
      <c r="V992" s="109"/>
      <c r="W992" s="109"/>
      <c r="X992" s="109"/>
      <c r="Y992" s="109"/>
      <c r="Z992" s="109"/>
      <c r="AA992" s="109"/>
      <c r="AB992" s="109"/>
      <c r="AC992" s="109"/>
      <c r="AD992" s="109"/>
      <c r="AE992" s="109"/>
      <c r="AF992" s="109"/>
      <c r="AG992" s="109"/>
    </row>
    <row r="993" ht="15.75" customHeight="1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  <c r="R993" s="109"/>
      <c r="S993" s="109"/>
      <c r="T993" s="109"/>
      <c r="U993" s="109"/>
      <c r="V993" s="109"/>
      <c r="W993" s="109"/>
      <c r="X993" s="109"/>
      <c r="Y993" s="109"/>
      <c r="Z993" s="109"/>
      <c r="AA993" s="109"/>
      <c r="AB993" s="109"/>
      <c r="AC993" s="109"/>
      <c r="AD993" s="109"/>
      <c r="AE993" s="109"/>
      <c r="AF993" s="109"/>
      <c r="AG993" s="109"/>
    </row>
    <row r="994" ht="15.75" customHeight="1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  <c r="R994" s="109"/>
      <c r="S994" s="109"/>
      <c r="T994" s="109"/>
      <c r="U994" s="109"/>
      <c r="V994" s="109"/>
      <c r="W994" s="109"/>
      <c r="X994" s="109"/>
      <c r="Y994" s="109"/>
      <c r="Z994" s="109"/>
      <c r="AA994" s="109"/>
      <c r="AB994" s="109"/>
      <c r="AC994" s="109"/>
      <c r="AD994" s="109"/>
      <c r="AE994" s="109"/>
      <c r="AF994" s="109"/>
      <c r="AG994" s="109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5"/>
      <c r="G4" s="25"/>
      <c r="H4" s="28"/>
      <c r="I4" s="15"/>
      <c r="J4" s="30"/>
      <c r="K4" s="30"/>
      <c r="L4" s="15"/>
      <c r="M4" s="30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23"/>
      <c r="F5" s="15"/>
      <c r="G5" s="25"/>
      <c r="H5" s="28"/>
      <c r="I5" s="15"/>
      <c r="J5" s="30"/>
      <c r="K5" s="30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23"/>
      <c r="F6" s="15"/>
      <c r="G6" s="25"/>
      <c r="H6" s="2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12"/>
      <c r="D7" s="21"/>
      <c r="E7" s="23"/>
      <c r="F7" s="15"/>
      <c r="G7" s="38"/>
      <c r="H7" s="46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3"/>
      <c r="F8" s="63"/>
      <c r="G8" s="25"/>
      <c r="H8" s="28"/>
      <c r="I8" s="15"/>
      <c r="J8" s="30"/>
      <c r="K8" s="30"/>
      <c r="L8" s="15"/>
      <c r="M8" s="30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5"/>
      <c r="G9" s="38"/>
      <c r="H9" s="46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0"/>
      <c r="F10" s="15"/>
      <c r="G10" s="38"/>
      <c r="H10" s="46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50"/>
      <c r="H11" s="33"/>
      <c r="I11" s="14"/>
      <c r="J11" s="14"/>
      <c r="K11" s="14"/>
      <c r="L11" s="15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5"/>
      <c r="G4" s="25"/>
      <c r="H4" s="28"/>
      <c r="I4" s="15"/>
      <c r="J4" s="30"/>
      <c r="K4" s="30"/>
      <c r="L4" s="15"/>
      <c r="M4" s="30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23"/>
      <c r="F5" s="15"/>
      <c r="G5" s="25"/>
      <c r="H5" s="28"/>
      <c r="I5" s="15"/>
      <c r="J5" s="30"/>
      <c r="K5" s="30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48"/>
      <c r="F6" s="15"/>
      <c r="G6" s="38"/>
      <c r="H6" s="2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3"/>
      <c r="F7" s="15"/>
      <c r="G7" s="25"/>
      <c r="H7" s="28"/>
      <c r="I7" s="15"/>
      <c r="J7" s="30"/>
      <c r="K7" s="30"/>
      <c r="L7" s="15"/>
      <c r="M7" s="30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3"/>
      <c r="F8" s="116"/>
      <c r="G8" s="25"/>
      <c r="H8" s="28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16"/>
      <c r="G9" s="25"/>
      <c r="H9" s="28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36"/>
      <c r="F10" s="116"/>
      <c r="G10" s="25"/>
      <c r="H10" s="28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8"/>
      <c r="D11" s="21"/>
      <c r="E11" s="20"/>
      <c r="F11" s="116"/>
      <c r="G11" s="25"/>
      <c r="H11" s="28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21"/>
      <c r="E12" s="23"/>
      <c r="F12" s="116"/>
      <c r="G12" s="25"/>
      <c r="H12" s="28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8"/>
      <c r="D13" s="21"/>
      <c r="E13" s="23"/>
      <c r="F13" s="116"/>
      <c r="G13" s="25"/>
      <c r="H13" s="28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5.75" customHeight="1">
      <c r="A14" s="1"/>
      <c r="B14" s="14">
        <v>11.0</v>
      </c>
      <c r="C14" s="18"/>
      <c r="D14" s="21"/>
      <c r="E14" s="23"/>
      <c r="F14" s="116"/>
      <c r="G14" s="25"/>
      <c r="H14" s="28"/>
      <c r="I14" s="14"/>
      <c r="J14" s="14"/>
      <c r="K14" s="14"/>
      <c r="L14" s="14"/>
      <c r="M14" s="14"/>
      <c r="N14" s="40"/>
      <c r="O14" s="40"/>
      <c r="P14" s="40"/>
      <c r="Q14" s="1"/>
      <c r="R14" s="1"/>
    </row>
    <row r="15" ht="15.75" customHeight="1">
      <c r="A15" s="1"/>
      <c r="B15" s="14">
        <v>12.0</v>
      </c>
      <c r="C15" s="18"/>
      <c r="D15" s="21"/>
      <c r="E15" s="23"/>
      <c r="F15" s="116"/>
      <c r="G15" s="25"/>
      <c r="H15" s="28"/>
      <c r="I15" s="14"/>
      <c r="J15" s="14"/>
      <c r="K15" s="14"/>
      <c r="L15" s="14"/>
      <c r="M15" s="14"/>
      <c r="N15" s="40"/>
      <c r="O15" s="40"/>
      <c r="P15" s="40"/>
      <c r="Q15" s="1"/>
      <c r="R15" s="1"/>
    </row>
    <row r="16" ht="15.75" customHeight="1">
      <c r="A16" s="1"/>
      <c r="B16" s="14">
        <v>13.0</v>
      </c>
      <c r="C16" s="18"/>
      <c r="D16" s="21"/>
      <c r="E16" s="23"/>
      <c r="F16" s="116"/>
      <c r="G16" s="25"/>
      <c r="H16" s="28"/>
      <c r="I16" s="14"/>
      <c r="J16" s="14"/>
      <c r="K16" s="14"/>
      <c r="L16" s="14"/>
      <c r="M16" s="14"/>
      <c r="N16" s="40"/>
      <c r="O16" s="40"/>
      <c r="P16" s="40"/>
      <c r="Q16" s="1"/>
      <c r="R16" s="1"/>
    </row>
    <row r="17" ht="15.75" customHeight="1">
      <c r="A17" s="1"/>
      <c r="B17" s="14">
        <v>14.0</v>
      </c>
      <c r="C17" s="18"/>
      <c r="D17" s="21"/>
      <c r="E17" s="20"/>
      <c r="F17" s="116"/>
      <c r="G17" s="38"/>
      <c r="H17" s="46"/>
      <c r="I17" s="14"/>
      <c r="J17" s="14"/>
      <c r="K17" s="14"/>
      <c r="L17" s="14"/>
      <c r="M17" s="14"/>
      <c r="N17" s="40"/>
      <c r="O17" s="40"/>
      <c r="P17" s="40"/>
      <c r="Q17" s="1"/>
      <c r="R17" s="1"/>
    </row>
    <row r="18" ht="15.75" customHeight="1">
      <c r="A18" s="1"/>
      <c r="B18" s="14">
        <v>15.0</v>
      </c>
      <c r="C18" s="24"/>
      <c r="D18" s="18"/>
      <c r="E18" s="15"/>
      <c r="F18" s="14"/>
      <c r="G18" s="50"/>
      <c r="H18" s="33"/>
      <c r="I18" s="14"/>
      <c r="J18" s="14"/>
      <c r="K18" s="14"/>
      <c r="L18" s="14"/>
      <c r="M18" s="14"/>
      <c r="N18" s="73"/>
      <c r="O18" s="73"/>
      <c r="P18" s="7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4">
        <f t="shared" ref="G19:H19" si="1">SUM(G4:G18)</f>
        <v>0</v>
      </c>
      <c r="H19" s="5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7" t="s">
        <v>0</v>
      </c>
      <c r="C22" s="59" t="s">
        <v>6</v>
      </c>
      <c r="D22" s="59" t="s">
        <v>60</v>
      </c>
      <c r="E22" s="1"/>
      <c r="F22" s="1"/>
      <c r="G22" s="1"/>
      <c r="H22" s="1"/>
      <c r="I22" s="1"/>
      <c r="J22" s="1"/>
      <c r="K22" s="1"/>
      <c r="L22" s="1"/>
      <c r="M22" s="1"/>
      <c r="N22" s="59" t="s">
        <v>61</v>
      </c>
      <c r="O22" s="59" t="s">
        <v>1</v>
      </c>
      <c r="P22" s="1"/>
      <c r="Q22" s="1"/>
      <c r="R22" s="1"/>
    </row>
    <row r="23" ht="15.75" customHeight="1">
      <c r="A23" s="1"/>
      <c r="B23" s="60">
        <v>1.0</v>
      </c>
      <c r="C23" s="62" t="s">
        <v>63</v>
      </c>
      <c r="D23" s="64">
        <f>SUM(G19)</f>
        <v>0</v>
      </c>
      <c r="E23" s="65"/>
      <c r="F23" s="1"/>
      <c r="G23" s="1"/>
      <c r="H23" s="1"/>
      <c r="I23" s="1"/>
      <c r="J23" s="1"/>
      <c r="K23" s="1"/>
      <c r="L23" s="1"/>
      <c r="M23" s="1"/>
      <c r="N23" s="66" t="s">
        <v>64</v>
      </c>
      <c r="O23" s="32"/>
      <c r="P23" s="1"/>
      <c r="Q23" s="1"/>
      <c r="R23" s="1"/>
    </row>
    <row r="24" ht="15.75" customHeight="1">
      <c r="A24" s="1"/>
      <c r="B24" s="67">
        <v>2.0</v>
      </c>
      <c r="C24" s="72"/>
      <c r="D24" s="74"/>
      <c r="E24" s="65"/>
      <c r="F24" s="1"/>
      <c r="G24" s="1"/>
      <c r="H24" s="1"/>
      <c r="I24" s="1"/>
      <c r="J24" s="1"/>
      <c r="K24" s="1"/>
      <c r="L24" s="1"/>
      <c r="M24" s="1"/>
      <c r="N24" s="71" t="s">
        <v>65</v>
      </c>
      <c r="O24" s="73"/>
      <c r="P24" s="1"/>
      <c r="Q24" s="1"/>
      <c r="R24" s="1"/>
    </row>
    <row r="25" ht="15.75" customHeight="1">
      <c r="A25" s="1"/>
      <c r="B25" s="60">
        <v>3.0</v>
      </c>
      <c r="C25" s="76"/>
      <c r="D25" s="77"/>
      <c r="E25" s="65"/>
      <c r="F25" s="1"/>
      <c r="G25" s="1"/>
      <c r="H25" s="1"/>
      <c r="I25" s="1"/>
      <c r="J25" s="1"/>
      <c r="K25" s="1"/>
      <c r="L25" s="1"/>
      <c r="M25" s="1"/>
      <c r="N25" s="75" t="s">
        <v>66</v>
      </c>
      <c r="O25" s="40"/>
      <c r="P25" s="1"/>
      <c r="Q25" s="1"/>
      <c r="R25" s="1"/>
    </row>
    <row r="26" ht="15.75" customHeight="1">
      <c r="A26" s="1"/>
      <c r="B26" s="67">
        <v>4.0</v>
      </c>
      <c r="C26" s="68"/>
      <c r="D26" s="69"/>
      <c r="E26" s="65"/>
      <c r="F26" s="1"/>
      <c r="G26" s="1"/>
      <c r="H26" s="1"/>
      <c r="I26" s="1"/>
      <c r="J26" s="1"/>
      <c r="K26" s="1"/>
      <c r="L26" s="1"/>
      <c r="M26" s="1"/>
      <c r="N26" s="78" t="s">
        <v>67</v>
      </c>
      <c r="O26" s="73"/>
      <c r="P26" s="1"/>
      <c r="Q26" s="1"/>
      <c r="R26" s="1"/>
    </row>
    <row r="27" ht="15.75" customHeight="1">
      <c r="A27" s="1"/>
      <c r="B27" s="60">
        <v>5.0</v>
      </c>
      <c r="C27" s="62"/>
      <c r="D27" s="64"/>
      <c r="E27" s="65"/>
      <c r="F27" s="84"/>
      <c r="G27" s="2"/>
      <c r="H27" s="1"/>
      <c r="I27" s="1"/>
      <c r="J27" s="1"/>
      <c r="K27" s="1"/>
      <c r="L27" s="1"/>
      <c r="M27" s="1"/>
      <c r="N27" s="80"/>
      <c r="O27" s="1"/>
      <c r="P27" s="1"/>
      <c r="Q27" s="1"/>
      <c r="R27" s="1"/>
    </row>
    <row r="28" ht="15.75" customHeight="1">
      <c r="A28" s="1"/>
      <c r="B28" s="67">
        <v>6.0</v>
      </c>
      <c r="C28" s="68"/>
      <c r="D28" s="69"/>
      <c r="E28" s="65"/>
      <c r="F28" s="1"/>
      <c r="G28" s="1"/>
      <c r="H28" s="1"/>
      <c r="I28" s="1"/>
      <c r="J28" s="1"/>
      <c r="K28" s="82" t="s">
        <v>68</v>
      </c>
      <c r="Q28" s="1"/>
      <c r="R28" s="1"/>
    </row>
    <row r="29" ht="15.75" customHeight="1">
      <c r="A29" s="1"/>
      <c r="B29" s="60">
        <v>7.0</v>
      </c>
      <c r="C29" s="62"/>
      <c r="D29" s="64"/>
      <c r="E29" s="65"/>
      <c r="F29" s="1"/>
      <c r="G29" s="1"/>
      <c r="H29" s="1"/>
      <c r="I29" s="1"/>
      <c r="J29" s="1"/>
      <c r="K29" s="83" t="s">
        <v>1</v>
      </c>
      <c r="L29" s="83" t="s">
        <v>69</v>
      </c>
      <c r="M29" s="83" t="s">
        <v>70</v>
      </c>
      <c r="N29" s="83" t="s">
        <v>71</v>
      </c>
      <c r="O29" s="83" t="s">
        <v>72</v>
      </c>
      <c r="P29" s="83" t="s">
        <v>73</v>
      </c>
      <c r="Q29" s="1"/>
      <c r="R29" s="1"/>
      <c r="AC29" s="85" t="s">
        <v>74</v>
      </c>
      <c r="AD29" s="85" t="s">
        <v>75</v>
      </c>
      <c r="AE29" s="85" t="s">
        <v>76</v>
      </c>
      <c r="AF29" s="85" t="s">
        <v>77</v>
      </c>
      <c r="AG29" s="85" t="s">
        <v>78</v>
      </c>
    </row>
    <row r="30" ht="15.75" customHeight="1">
      <c r="A30" s="1"/>
      <c r="B30" s="67">
        <v>8.0</v>
      </c>
      <c r="C30" s="68"/>
      <c r="D30" s="69"/>
      <c r="E30" s="65"/>
      <c r="F30" s="1"/>
      <c r="G30" s="1"/>
      <c r="H30" s="1"/>
      <c r="I30" s="1"/>
      <c r="J30" s="1"/>
      <c r="K30" s="86" t="str">
        <f t="shared" ref="K30:K33" si="2">IF(O23="","",O23)</f>
        <v/>
      </c>
      <c r="L30" s="87"/>
      <c r="M30" s="87"/>
      <c r="N30" s="87"/>
      <c r="O30" s="87"/>
      <c r="P30" s="87"/>
      <c r="Q30" s="1"/>
      <c r="R30" s="1"/>
      <c r="AC30" s="85" t="str">
        <f t="shared" ref="AC30:AC35" si="3">IF(AG30="","",IF(COUNT(L30:P30)&lt;5,"",L30/5*20+M30/5*25+N30/5*25+O30/5*15+P30/5*15))</f>
        <v/>
      </c>
      <c r="AD30" s="85" t="str">
        <f t="shared" ref="AD30:AD35" si="4">IF(AC30="","",IF(AC30&gt;=90,"Sangat Baik",IF(AC30&gt;=80,"Baik",IF(AC30&gt;=70,"Coaching","Underperform"))))</f>
        <v/>
      </c>
      <c r="AE30" s="85" t="str">
        <f t="shared" ref="AE30:AE35" si="5">IF(AG30="","",IF(OR(AG30="INDAH",AG30="ADDEL",AG30="AMEL",AG30="PENTIL",AG30="JIJANG"),"Admin/CS","Fotografer"))</f>
        <v/>
      </c>
      <c r="AF30" s="85" t="str">
        <f t="shared" ref="AF30:AF35" si="6">IF(OR(AG30="",COUNT(L30:P30)&lt;5),"",1)</f>
        <v/>
      </c>
      <c r="AG30" s="85" t="str">
        <f t="shared" ref="AG30:AG35" si="7">IFERROR(K30,"")</f>
        <v/>
      </c>
    </row>
    <row r="31" ht="15.75" customHeight="1">
      <c r="A31" s="1"/>
      <c r="B31" s="60">
        <v>9.0</v>
      </c>
      <c r="C31" s="62"/>
      <c r="D31" s="64"/>
      <c r="E31" s="65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5" t="str">
        <f t="shared" si="3"/>
        <v/>
      </c>
      <c r="AD31" s="85" t="str">
        <f t="shared" si="4"/>
        <v/>
      </c>
      <c r="AE31" s="85" t="str">
        <f t="shared" si="5"/>
        <v/>
      </c>
      <c r="AF31" s="85" t="str">
        <f t="shared" si="6"/>
        <v/>
      </c>
      <c r="AG31" s="85" t="str">
        <f t="shared" si="7"/>
        <v/>
      </c>
    </row>
    <row r="32" ht="15.75" customHeight="1">
      <c r="A32" s="1"/>
      <c r="B32" s="67">
        <v>10.0</v>
      </c>
      <c r="C32" s="68"/>
      <c r="D32" s="69"/>
      <c r="E32" s="65"/>
      <c r="F32" s="1"/>
      <c r="G32" s="1"/>
      <c r="H32" s="1"/>
      <c r="I32" s="1"/>
      <c r="J32" s="1"/>
      <c r="K32" s="86" t="str">
        <f t="shared" si="2"/>
        <v/>
      </c>
      <c r="L32" s="87"/>
      <c r="M32" s="87"/>
      <c r="N32" s="87"/>
      <c r="O32" s="87"/>
      <c r="P32" s="87"/>
      <c r="Q32" s="1"/>
      <c r="R32" s="1"/>
      <c r="AC32" s="85" t="str">
        <f t="shared" si="3"/>
        <v/>
      </c>
      <c r="AD32" s="85" t="str">
        <f t="shared" si="4"/>
        <v/>
      </c>
      <c r="AE32" s="85" t="str">
        <f t="shared" si="5"/>
        <v/>
      </c>
      <c r="AF32" s="85" t="str">
        <f t="shared" si="6"/>
        <v/>
      </c>
      <c r="AG32" s="85" t="str">
        <f t="shared" si="7"/>
        <v/>
      </c>
    </row>
    <row r="33" ht="15.75" customHeight="1">
      <c r="A33" s="1"/>
      <c r="B33" s="89">
        <v>11.0</v>
      </c>
      <c r="C33" s="90"/>
      <c r="D33" s="91"/>
      <c r="E33" s="65"/>
      <c r="F33" s="1"/>
      <c r="G33" s="1"/>
      <c r="H33" s="1"/>
      <c r="I33" s="1"/>
      <c r="J33" s="1"/>
      <c r="K33" s="86" t="str">
        <f t="shared" si="2"/>
        <v/>
      </c>
      <c r="L33" s="87"/>
      <c r="M33" s="87"/>
      <c r="N33" s="87"/>
      <c r="O33" s="87"/>
      <c r="P33" s="87"/>
      <c r="Q33" s="1"/>
      <c r="R33" s="1"/>
      <c r="AC33" s="85" t="str">
        <f t="shared" si="3"/>
        <v/>
      </c>
      <c r="AD33" s="85" t="str">
        <f t="shared" si="4"/>
        <v/>
      </c>
      <c r="AE33" s="85" t="str">
        <f t="shared" si="5"/>
        <v/>
      </c>
      <c r="AF33" s="85" t="str">
        <f t="shared" si="6"/>
        <v/>
      </c>
      <c r="AG33" s="85" t="str">
        <f t="shared" si="7"/>
        <v/>
      </c>
    </row>
    <row r="34" ht="15.75" customHeight="1">
      <c r="A34" s="1"/>
      <c r="B34" s="1"/>
      <c r="C34" s="2"/>
      <c r="D34" s="92">
        <f>SUM(D23:D33)</f>
        <v>0</v>
      </c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5" t="str">
        <f t="shared" si="3"/>
        <v/>
      </c>
      <c r="AD34" s="85" t="str">
        <f t="shared" si="4"/>
        <v/>
      </c>
      <c r="AE34" s="85" t="str">
        <f t="shared" si="5"/>
        <v/>
      </c>
      <c r="AF34" s="85" t="str">
        <f t="shared" si="6"/>
        <v/>
      </c>
      <c r="AG34" s="8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6"/>
      <c r="L35" s="87"/>
      <c r="M35" s="87"/>
      <c r="N35" s="87"/>
      <c r="O35" s="87"/>
      <c r="P35" s="87"/>
      <c r="Q35" s="1"/>
      <c r="R35" s="1"/>
      <c r="AC35" s="85" t="str">
        <f t="shared" si="3"/>
        <v/>
      </c>
      <c r="AD35" s="85" t="str">
        <f t="shared" si="4"/>
        <v/>
      </c>
      <c r="AE35" s="85" t="str">
        <f t="shared" si="5"/>
        <v/>
      </c>
      <c r="AF35" s="85" t="str">
        <f t="shared" si="6"/>
        <v/>
      </c>
      <c r="AG35" s="8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3" t="s">
        <v>79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4" t="s">
        <v>80</v>
      </c>
      <c r="N38" s="1"/>
      <c r="O38" s="1"/>
      <c r="P38" s="1"/>
      <c r="Q38" s="1"/>
      <c r="R38" s="1"/>
    </row>
    <row r="39" ht="15.75" customHeight="1">
      <c r="K39" s="95" t="s">
        <v>7</v>
      </c>
      <c r="L39" s="95" t="s">
        <v>81</v>
      </c>
      <c r="M39" s="95" t="s">
        <v>82</v>
      </c>
    </row>
    <row r="40" ht="15.75" customHeight="1">
      <c r="K40" s="96" t="str">
        <f t="shared" ref="K40:K41" si="8">IF(O23="","",O23)</f>
        <v/>
      </c>
      <c r="L40" s="97"/>
      <c r="M40" s="97"/>
    </row>
    <row r="41" ht="15.75" customHeight="1">
      <c r="K41" s="96" t="str">
        <f t="shared" si="8"/>
        <v/>
      </c>
      <c r="L41" s="97">
        <v>4.0</v>
      </c>
      <c r="M41" s="97"/>
    </row>
    <row r="42" ht="15.75" customHeight="1"/>
    <row r="43" ht="19.5" customHeight="1">
      <c r="K43" s="98" t="s">
        <v>83</v>
      </c>
    </row>
    <row r="44" ht="19.5" customHeight="1">
      <c r="K44" s="99" t="s">
        <v>84</v>
      </c>
      <c r="M44" s="97">
        <v>49.0</v>
      </c>
    </row>
    <row r="45" ht="19.5" customHeight="1">
      <c r="K45" s="100" t="s">
        <v>85</v>
      </c>
      <c r="M45" s="101">
        <f>COUNTIF($I$4:$I$21,"DP")</f>
        <v>0</v>
      </c>
    </row>
    <row r="46" ht="19.5" customHeight="1">
      <c r="K46" s="100" t="s">
        <v>86</v>
      </c>
      <c r="M46" s="101">
        <f>COUNTIFS($I$4:$I$21,"&lt;&gt;DP",$I$4:$I$21,"&lt;&gt;")</f>
        <v>0</v>
      </c>
    </row>
    <row r="47" ht="19.5" customHeight="1">
      <c r="K47" s="103" t="s">
        <v>87</v>
      </c>
      <c r="M47" s="101">
        <f>M45+M46</f>
        <v>0</v>
      </c>
    </row>
    <row r="48" ht="19.5" customHeight="1">
      <c r="K48" s="99" t="s">
        <v>89</v>
      </c>
      <c r="M48" s="10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0"/>
      <c r="F4" s="117"/>
      <c r="G4" s="27"/>
      <c r="H4" s="118"/>
      <c r="I4" s="15"/>
      <c r="J4" s="15"/>
      <c r="K4" s="15"/>
      <c r="L4" s="15"/>
      <c r="M4" s="15"/>
      <c r="N4" s="14"/>
      <c r="O4" s="14"/>
      <c r="P4" s="29"/>
      <c r="Q4" s="1"/>
      <c r="R4" s="1"/>
    </row>
    <row r="5" ht="15.75" customHeight="1">
      <c r="A5" s="1"/>
      <c r="B5" s="14">
        <v>2.0</v>
      </c>
      <c r="C5" s="18"/>
      <c r="D5" s="21"/>
      <c r="E5" s="20"/>
      <c r="F5" s="117"/>
      <c r="G5" s="27"/>
      <c r="H5" s="118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8"/>
      <c r="D6" s="21"/>
      <c r="E6" s="20"/>
      <c r="F6" s="116"/>
      <c r="G6" s="27"/>
      <c r="H6" s="118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8"/>
      <c r="D7" s="21"/>
      <c r="E7" s="20"/>
      <c r="F7" s="116"/>
      <c r="G7" s="27"/>
      <c r="H7" s="118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8"/>
      <c r="D8" s="21"/>
      <c r="E8" s="20"/>
      <c r="F8" s="15"/>
      <c r="G8" s="41"/>
      <c r="H8" s="119"/>
      <c r="I8" s="15"/>
      <c r="J8" s="15"/>
      <c r="K8" s="15"/>
      <c r="L8" s="15"/>
      <c r="M8" s="15"/>
      <c r="N8" s="14"/>
      <c r="O8" s="14"/>
      <c r="P8" s="14"/>
      <c r="Q8" s="1"/>
      <c r="R8" s="1"/>
      <c r="S8" s="51"/>
    </row>
    <row r="9" ht="15.75" customHeight="1">
      <c r="A9" s="1"/>
      <c r="B9" s="14">
        <v>6.0</v>
      </c>
      <c r="C9" s="18"/>
      <c r="D9" s="21"/>
      <c r="E9" s="48"/>
      <c r="F9" s="15"/>
      <c r="G9" s="27"/>
      <c r="H9" s="118"/>
      <c r="I9" s="15"/>
      <c r="J9" s="15"/>
      <c r="K9" s="15"/>
      <c r="L9" s="15"/>
      <c r="M9" s="15"/>
      <c r="N9" s="14"/>
      <c r="O9" s="14"/>
      <c r="P9" s="14"/>
      <c r="Q9" s="1"/>
      <c r="R9" s="1"/>
      <c r="S9" s="51"/>
    </row>
    <row r="10" ht="15.75" customHeight="1">
      <c r="A10" s="1"/>
      <c r="B10" s="14">
        <v>7.0</v>
      </c>
      <c r="C10" s="18"/>
      <c r="D10" s="21"/>
      <c r="E10" s="48"/>
      <c r="F10" s="15"/>
      <c r="G10" s="27"/>
      <c r="H10" s="118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51"/>
      <c r="U10" s="51"/>
    </row>
    <row r="11" ht="15.75" customHeight="1">
      <c r="A11" s="1"/>
      <c r="B11" s="14">
        <v>8.0</v>
      </c>
      <c r="C11" s="18"/>
      <c r="D11" s="21"/>
      <c r="E11" s="20"/>
      <c r="F11" s="15"/>
      <c r="G11" s="27"/>
      <c r="H11" s="118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51"/>
      <c r="U11" s="51"/>
    </row>
    <row r="12" ht="15.75" customHeight="1">
      <c r="A12" s="1"/>
      <c r="B12" s="14">
        <v>9.0</v>
      </c>
      <c r="C12" s="18"/>
      <c r="D12" s="21"/>
      <c r="E12" s="20"/>
      <c r="F12" s="15"/>
      <c r="G12" s="27"/>
      <c r="H12" s="118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51"/>
      <c r="U12" s="51"/>
    </row>
    <row r="13" ht="15.75" customHeight="1">
      <c r="A13" s="1"/>
      <c r="B13" s="14">
        <v>10.0</v>
      </c>
      <c r="C13" s="15"/>
      <c r="D13" s="21"/>
      <c r="E13" s="20"/>
      <c r="F13" s="15"/>
      <c r="G13" s="27"/>
      <c r="H13" s="118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51"/>
      <c r="U13" s="5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0"/>
      <c r="F4" s="15"/>
      <c r="G4" s="27"/>
      <c r="H4" s="118"/>
      <c r="I4" s="15"/>
      <c r="J4" s="15"/>
      <c r="K4" s="15"/>
      <c r="L4" s="15"/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48"/>
      <c r="F5" s="15"/>
      <c r="G5" s="27"/>
      <c r="H5" s="11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20"/>
      <c r="F6" s="15"/>
      <c r="G6" s="27"/>
      <c r="H6" s="11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0"/>
      <c r="F7" s="15"/>
      <c r="G7" s="27"/>
      <c r="H7" s="11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0"/>
      <c r="F8" s="15"/>
      <c r="G8" s="27"/>
      <c r="H8" s="11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0"/>
      <c r="F9" s="15"/>
      <c r="G9" s="27"/>
      <c r="H9" s="11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0"/>
      <c r="F10" s="15"/>
      <c r="G10" s="41"/>
      <c r="H10" s="119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8"/>
      <c r="D11" s="21"/>
      <c r="E11" s="20"/>
      <c r="F11" s="15"/>
      <c r="G11" s="41"/>
      <c r="H11" s="119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21"/>
      <c r="E12" s="20"/>
      <c r="F12" s="15"/>
      <c r="G12" s="41"/>
      <c r="H12" s="119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8"/>
      <c r="D13" s="21"/>
      <c r="E13" s="20"/>
      <c r="F13" s="15"/>
      <c r="G13" s="27"/>
      <c r="H13" s="11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5"/>
      <c r="G4" s="25"/>
      <c r="H4" s="28"/>
      <c r="I4" s="15"/>
      <c r="J4" s="30"/>
      <c r="K4" s="30"/>
      <c r="L4" s="15"/>
      <c r="M4" s="30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23"/>
      <c r="F5" s="15"/>
      <c r="G5" s="25"/>
      <c r="H5" s="28"/>
      <c r="I5" s="15"/>
      <c r="J5" s="30"/>
      <c r="K5" s="30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23"/>
      <c r="F6" s="15"/>
      <c r="G6" s="38"/>
      <c r="H6" s="2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0"/>
      <c r="F7" s="15"/>
      <c r="G7" s="25"/>
      <c r="H7" s="28"/>
      <c r="I7" s="15"/>
      <c r="J7" s="30"/>
      <c r="K7" s="30"/>
      <c r="L7" s="15"/>
      <c r="M7" s="30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3"/>
      <c r="F8" s="15"/>
      <c r="G8" s="25"/>
      <c r="H8" s="28"/>
      <c r="I8" s="15"/>
      <c r="J8" s="30"/>
      <c r="K8" s="30"/>
      <c r="L8" s="15"/>
      <c r="M8" s="30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5"/>
      <c r="G9" s="25"/>
      <c r="H9" s="28"/>
      <c r="I9" s="15"/>
      <c r="J9" s="30"/>
      <c r="K9" s="30"/>
      <c r="L9" s="15"/>
      <c r="M9" s="30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0"/>
      <c r="F10" s="15"/>
      <c r="G10" s="38"/>
      <c r="H10" s="46"/>
      <c r="I10" s="15"/>
      <c r="J10" s="30"/>
      <c r="K10" s="30"/>
      <c r="L10" s="15"/>
      <c r="M10" s="30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8"/>
      <c r="D11" s="21"/>
      <c r="E11" s="23"/>
      <c r="F11" s="15"/>
      <c r="G11" s="38"/>
      <c r="H11" s="46"/>
      <c r="I11" s="15"/>
      <c r="J11" s="30"/>
      <c r="K11" s="30"/>
      <c r="L11" s="15"/>
      <c r="M11" s="30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21"/>
      <c r="E12" s="23"/>
      <c r="F12" s="15"/>
      <c r="G12" s="25"/>
      <c r="H12" s="2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8"/>
      <c r="D13" s="21"/>
      <c r="E13" s="20"/>
      <c r="F13" s="63"/>
      <c r="G13" s="25"/>
      <c r="H13" s="2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72"/>
      <c r="D21" s="74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76"/>
      <c r="D22" s="77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5"/>
      <c r="G4" s="25"/>
      <c r="H4" s="28"/>
      <c r="I4" s="15"/>
      <c r="J4" s="30"/>
      <c r="K4" s="30"/>
      <c r="L4" s="15"/>
      <c r="M4" s="15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8"/>
      <c r="D5" s="21"/>
      <c r="E5" s="23"/>
      <c r="F5" s="15"/>
      <c r="G5" s="25"/>
      <c r="H5" s="28"/>
      <c r="I5" s="15"/>
      <c r="J5" s="30"/>
      <c r="K5" s="30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8"/>
      <c r="D6" s="21"/>
      <c r="E6" s="23"/>
      <c r="F6" s="15"/>
      <c r="G6" s="25"/>
      <c r="H6" s="28"/>
      <c r="I6" s="15"/>
      <c r="J6" s="30"/>
      <c r="K6" s="30"/>
      <c r="L6" s="15"/>
      <c r="M6" s="30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0"/>
      <c r="F7" s="15"/>
      <c r="G7" s="25"/>
      <c r="H7" s="2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3"/>
      <c r="F8" s="15"/>
      <c r="G8" s="25"/>
      <c r="H8" s="28"/>
      <c r="I8" s="15"/>
      <c r="J8" s="30"/>
      <c r="K8" s="30"/>
      <c r="L8" s="15"/>
      <c r="M8" s="30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5"/>
      <c r="G9" s="25"/>
      <c r="H9" s="28"/>
      <c r="I9" s="15"/>
      <c r="J9" s="30"/>
      <c r="K9" s="30"/>
      <c r="L9" s="15"/>
      <c r="M9" s="30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3"/>
      <c r="F10" s="15"/>
      <c r="G10" s="25"/>
      <c r="H10" s="28"/>
      <c r="I10" s="15"/>
      <c r="J10" s="30"/>
      <c r="K10" s="30"/>
      <c r="L10" s="15"/>
      <c r="M10" s="30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8"/>
      <c r="D11" s="21"/>
      <c r="E11" s="23"/>
      <c r="F11" s="116"/>
      <c r="G11" s="25"/>
      <c r="H11" s="28"/>
      <c r="I11" s="15"/>
      <c r="J11" s="30"/>
      <c r="K11" s="30"/>
      <c r="L11" s="15"/>
      <c r="M11" s="30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21"/>
      <c r="E12" s="23"/>
      <c r="F12" s="116"/>
      <c r="G12" s="25"/>
      <c r="H12" s="28"/>
      <c r="I12" s="15"/>
      <c r="J12" s="30"/>
      <c r="K12" s="30"/>
      <c r="L12" s="15"/>
      <c r="M12" s="30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8"/>
      <c r="D13" s="21"/>
      <c r="E13" s="23"/>
      <c r="F13" s="116"/>
      <c r="G13" s="25"/>
      <c r="H13" s="28"/>
      <c r="I13" s="15"/>
      <c r="J13" s="15"/>
      <c r="K13" s="15"/>
      <c r="L13" s="15"/>
      <c r="M13" s="30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/>
    </row>
    <row r="41" ht="19.5" customHeight="1">
      <c r="K41" s="100" t="s">
        <v>86</v>
      </c>
      <c r="M41" s="101"/>
    </row>
    <row r="42" ht="19.5" customHeight="1">
      <c r="K42" s="103" t="s">
        <v>87</v>
      </c>
      <c r="M42" s="101"/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21"/>
      <c r="E4" s="23"/>
      <c r="F4" s="15"/>
      <c r="G4" s="25"/>
      <c r="H4" s="28"/>
      <c r="I4" s="15"/>
      <c r="J4" s="15"/>
      <c r="K4" s="15"/>
      <c r="L4" s="15"/>
      <c r="M4" s="30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5"/>
      <c r="D5" s="21"/>
      <c r="E5" s="23"/>
      <c r="F5" s="15"/>
      <c r="G5" s="25"/>
      <c r="H5" s="28"/>
      <c r="I5" s="15"/>
      <c r="J5" s="15"/>
      <c r="K5" s="15"/>
      <c r="L5" s="15"/>
      <c r="M5" s="30"/>
      <c r="N5" s="40"/>
      <c r="O5" s="40"/>
      <c r="P5" s="40"/>
      <c r="Q5" s="1"/>
      <c r="R5" s="1"/>
    </row>
    <row r="6" ht="15.75" customHeight="1">
      <c r="A6" s="1"/>
      <c r="B6" s="14">
        <v>3.0</v>
      </c>
      <c r="C6" s="51"/>
      <c r="D6" s="21"/>
      <c r="E6" s="23"/>
      <c r="F6" s="15"/>
      <c r="G6" s="25"/>
      <c r="H6" s="28"/>
      <c r="I6" s="15"/>
      <c r="J6" s="15"/>
      <c r="K6" s="15"/>
      <c r="L6" s="121"/>
      <c r="M6" s="30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8"/>
      <c r="D7" s="21"/>
      <c r="E7" s="20"/>
      <c r="F7" s="15"/>
      <c r="G7" s="25"/>
      <c r="H7" s="28"/>
      <c r="I7" s="15"/>
      <c r="J7" s="15"/>
      <c r="K7" s="15"/>
      <c r="L7" s="15"/>
      <c r="M7" s="30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8"/>
      <c r="D8" s="21"/>
      <c r="E8" s="23"/>
      <c r="F8" s="15"/>
      <c r="G8" s="25"/>
      <c r="H8" s="2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8"/>
      <c r="D9" s="21"/>
      <c r="E9" s="23"/>
      <c r="F9" s="15"/>
      <c r="G9" s="25"/>
      <c r="H9" s="2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8"/>
      <c r="D10" s="21"/>
      <c r="E10" s="23"/>
      <c r="F10" s="15"/>
      <c r="G10" s="25"/>
      <c r="H10" s="2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18"/>
      <c r="D11" s="21"/>
      <c r="E11" s="23"/>
      <c r="F11" s="15"/>
      <c r="G11" s="38"/>
      <c r="H11" s="46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8"/>
      <c r="D12" s="21"/>
      <c r="E12" s="23"/>
      <c r="F12" s="15"/>
      <c r="G12" s="25"/>
      <c r="H12" s="28"/>
      <c r="I12" s="15"/>
      <c r="J12" s="15"/>
      <c r="K12" s="15"/>
      <c r="L12" s="15"/>
      <c r="M12" s="30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18"/>
      <c r="D13" s="21"/>
      <c r="E13" s="23"/>
      <c r="F13" s="15"/>
      <c r="G13" s="25"/>
      <c r="H13" s="28"/>
      <c r="I13" s="15"/>
      <c r="J13" s="15"/>
      <c r="K13" s="15"/>
      <c r="L13" s="15"/>
      <c r="M13" s="30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72"/>
      <c r="D19" s="74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76"/>
      <c r="D20" s="77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116"/>
      <c r="G4" s="25"/>
      <c r="H4" s="28"/>
      <c r="I4" s="15"/>
      <c r="J4" s="15"/>
      <c r="K4" s="15"/>
      <c r="L4" s="15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15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2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12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/>
    </row>
    <row r="41" ht="19.5" customHeight="1">
      <c r="K41" s="100" t="s">
        <v>86</v>
      </c>
      <c r="M41" s="101"/>
    </row>
    <row r="42" ht="19.5" customHeight="1">
      <c r="K42" s="103" t="s">
        <v>87</v>
      </c>
      <c r="M42" s="101"/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29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4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12"/>
      <c r="D6" s="18"/>
      <c r="E6" s="15"/>
      <c r="F6" s="42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2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22"/>
      <c r="D8" s="18"/>
      <c r="E8" s="15"/>
      <c r="F8" s="42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2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112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4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4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2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2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2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">
        <v>91</v>
      </c>
      <c r="L35" s="97"/>
      <c r="M35" s="97"/>
      <c r="N35" s="126"/>
    </row>
    <row r="36" ht="15.75" customHeight="1">
      <c r="K36" s="96" t="s">
        <v>91</v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123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33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84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84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15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2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2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2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4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4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2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2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2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29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27"/>
    </row>
    <row r="41" ht="19.5" customHeight="1">
      <c r="K41" s="100" t="s">
        <v>86</v>
      </c>
      <c r="M41" s="101"/>
    </row>
    <row r="42" ht="19.5" customHeight="1">
      <c r="K42" s="103" t="s">
        <v>87</v>
      </c>
      <c r="M42" s="101"/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29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128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123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112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44"/>
      <c r="G4" s="50"/>
      <c r="H4" s="33"/>
      <c r="I4" s="14"/>
      <c r="J4" s="14"/>
      <c r="K4" s="14"/>
      <c r="L4" s="14"/>
      <c r="M4" s="14"/>
      <c r="N4" s="32"/>
      <c r="O4" s="32"/>
      <c r="P4" s="32"/>
      <c r="Q4" s="1"/>
      <c r="R4" s="1"/>
    </row>
    <row r="5" ht="15.75" customHeight="1">
      <c r="A5" s="1"/>
      <c r="B5" s="14">
        <v>2.0</v>
      </c>
      <c r="C5" s="24"/>
      <c r="D5" s="18"/>
      <c r="E5" s="15"/>
      <c r="F5" s="4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51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2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33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29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2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2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2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2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84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1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14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29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</row>
    <row r="35" ht="15.75" customHeight="1">
      <c r="K35" s="96" t="str">
        <f t="shared" ref="K35:K36" si="8">IF(O18="","",O18)</f>
        <v/>
      </c>
      <c r="L35" s="97"/>
      <c r="M35" s="97"/>
    </row>
    <row r="36" ht="15.75" customHeight="1">
      <c r="K36" s="96" t="str">
        <f t="shared" si="8"/>
        <v/>
      </c>
      <c r="L36" s="97"/>
      <c r="M36" s="97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3"/>
      <c r="F4" s="63"/>
      <c r="G4" s="25"/>
      <c r="H4" s="28"/>
      <c r="I4" s="15"/>
      <c r="J4" s="30"/>
      <c r="K4" s="30"/>
      <c r="L4" s="15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4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112"/>
      <c r="D9" s="18"/>
      <c r="E9" s="15"/>
      <c r="F9" s="4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7" t="s">
        <v>0</v>
      </c>
      <c r="C17" s="59" t="s">
        <v>6</v>
      </c>
      <c r="D17" s="59" t="s">
        <v>60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61</v>
      </c>
      <c r="O17" s="59" t="s">
        <v>1</v>
      </c>
      <c r="P17" s="1"/>
      <c r="Q17" s="1"/>
      <c r="R17" s="1"/>
    </row>
    <row r="18" ht="15.75" customHeight="1">
      <c r="A18" s="1"/>
      <c r="B18" s="60">
        <v>1.0</v>
      </c>
      <c r="C18" s="62" t="s">
        <v>63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64</v>
      </c>
      <c r="O18" s="32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65</v>
      </c>
      <c r="O19" s="73"/>
      <c r="P19" s="1"/>
      <c r="Q19" s="1"/>
      <c r="R19" s="1"/>
    </row>
    <row r="20" ht="15.75" customHeight="1">
      <c r="A20" s="1"/>
      <c r="B20" s="60">
        <v>3.0</v>
      </c>
      <c r="C20" s="62"/>
      <c r="D20" s="64"/>
      <c r="E20" s="65"/>
      <c r="F20" s="1"/>
      <c r="G20" s="1"/>
      <c r="H20" s="1"/>
      <c r="I20" s="1"/>
      <c r="J20" s="1"/>
      <c r="K20" s="1"/>
      <c r="L20" s="1"/>
      <c r="M20" s="1"/>
      <c r="N20" s="75" t="s">
        <v>66</v>
      </c>
      <c r="O20" s="40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3"/>
      <c r="P21" s="1"/>
      <c r="Q21" s="1"/>
      <c r="R21" s="1"/>
    </row>
    <row r="22" ht="15.75" customHeight="1">
      <c r="A22" s="1"/>
      <c r="B22" s="60">
        <v>5.0</v>
      </c>
      <c r="C22" s="62"/>
      <c r="D22" s="64"/>
      <c r="E22" s="65"/>
      <c r="F22" s="1"/>
      <c r="G22" s="1"/>
      <c r="H22" s="1"/>
      <c r="I22" s="1"/>
      <c r="J22" s="1"/>
      <c r="K22" s="1"/>
      <c r="L22" s="1"/>
      <c r="M22" s="1"/>
      <c r="N22" s="80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2" t="s">
        <v>68</v>
      </c>
      <c r="Q23" s="1"/>
      <c r="R23" s="1"/>
    </row>
    <row r="24" ht="15.75" customHeight="1">
      <c r="A24" s="1"/>
      <c r="B24" s="60">
        <v>7.0</v>
      </c>
      <c r="C24" s="62"/>
      <c r="D24" s="64"/>
      <c r="E24" s="65"/>
      <c r="F24" s="1"/>
      <c r="G24" s="1"/>
      <c r="H24" s="1"/>
      <c r="I24" s="1"/>
      <c r="J24" s="1"/>
      <c r="K24" s="83" t="s">
        <v>1</v>
      </c>
      <c r="L24" s="83" t="s">
        <v>69</v>
      </c>
      <c r="M24" s="83" t="s">
        <v>70</v>
      </c>
      <c r="N24" s="83" t="s">
        <v>71</v>
      </c>
      <c r="O24" s="83" t="s">
        <v>72</v>
      </c>
      <c r="P24" s="83" t="s">
        <v>73</v>
      </c>
      <c r="Q24" s="1"/>
      <c r="R24" s="1"/>
      <c r="AC24" s="85" t="s">
        <v>74</v>
      </c>
      <c r="AD24" s="85" t="s">
        <v>75</v>
      </c>
      <c r="AE24" s="85" t="s">
        <v>76</v>
      </c>
      <c r="AF24" s="85" t="s">
        <v>77</v>
      </c>
      <c r="AG24" s="85" t="s">
        <v>78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5" t="str">
        <f t="shared" ref="AC25:AC30" si="3">IF(AG25="","",IF(COUNT(L25:P25)&lt;5,"",L25/5*20+M25/5*25+N25/5*25+O25/5*15+P25/5*15))</f>
        <v/>
      </c>
      <c r="AD25" s="85" t="str">
        <f t="shared" ref="AD25:AD30" si="4">IF(AC25="","",IF(AC25&gt;=90,"Sangat Baik",IF(AC25&gt;=80,"Baik",IF(AC25&gt;=70,"Coaching","Underperform"))))</f>
        <v/>
      </c>
      <c r="AE25" s="85" t="str">
        <f t="shared" ref="AE25:AE30" si="5">IF(AG25="","",IF(OR(AG25="INDAH",AG25="ADDEL",AG25="AMEL",AG25="PENTIL",AG25="JIJANG"),"Admin/CS","Fotografer"))</f>
        <v/>
      </c>
      <c r="AF25" s="85" t="str">
        <f t="shared" ref="AF25:AF30" si="6">IF(OR(AG25="",COUNT(L25:P25)&lt;5),"",1)</f>
        <v/>
      </c>
      <c r="AG25" s="85" t="str">
        <f t="shared" ref="AG25:AG30" si="7">IFERROR(K25,"")</f>
        <v/>
      </c>
    </row>
    <row r="26" ht="15.75" customHeight="1">
      <c r="A26" s="1"/>
      <c r="B26" s="60">
        <v>9.0</v>
      </c>
      <c r="C26" s="62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5" t="str">
        <f t="shared" si="3"/>
        <v/>
      </c>
      <c r="AD26" s="85" t="str">
        <f t="shared" si="4"/>
        <v/>
      </c>
      <c r="AE26" s="85" t="str">
        <f t="shared" si="5"/>
        <v/>
      </c>
      <c r="AF26" s="85" t="str">
        <f t="shared" si="6"/>
        <v/>
      </c>
      <c r="AG26" s="85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5" t="str">
        <f t="shared" si="3"/>
        <v/>
      </c>
      <c r="AD27" s="85" t="str">
        <f t="shared" si="4"/>
        <v/>
      </c>
      <c r="AE27" s="85" t="str">
        <f t="shared" si="5"/>
        <v/>
      </c>
      <c r="AF27" s="85" t="str">
        <f t="shared" si="6"/>
        <v/>
      </c>
      <c r="AG27" s="85" t="str">
        <f t="shared" si="7"/>
        <v/>
      </c>
    </row>
    <row r="28" ht="15.75" customHeight="1">
      <c r="A28" s="1"/>
      <c r="B28" s="89">
        <v>11.0</v>
      </c>
      <c r="C28" s="90"/>
      <c r="D28" s="91"/>
      <c r="E28" s="65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5" t="str">
        <f t="shared" si="3"/>
        <v/>
      </c>
      <c r="AD28" s="85" t="str">
        <f t="shared" si="4"/>
        <v/>
      </c>
      <c r="AE28" s="85" t="str">
        <f t="shared" si="5"/>
        <v/>
      </c>
      <c r="AF28" s="85" t="str">
        <f t="shared" si="6"/>
        <v/>
      </c>
      <c r="AG28" s="85" t="str">
        <f t="shared" si="7"/>
        <v/>
      </c>
    </row>
    <row r="29" ht="15.75" customHeight="1">
      <c r="A29" s="1"/>
      <c r="B29" s="1"/>
      <c r="C29" s="2"/>
      <c r="D29" s="92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3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4" t="s">
        <v>80</v>
      </c>
      <c r="N33" s="124"/>
      <c r="O33" s="1"/>
      <c r="P33" s="1"/>
      <c r="Q33" s="1"/>
      <c r="R33" s="1"/>
    </row>
    <row r="34" ht="15.75" customHeight="1">
      <c r="K34" s="95" t="s">
        <v>7</v>
      </c>
      <c r="L34" s="95" t="s">
        <v>81</v>
      </c>
      <c r="M34" s="95" t="s">
        <v>82</v>
      </c>
      <c r="N34" s="125" t="s">
        <v>88</v>
      </c>
    </row>
    <row r="35" ht="15.75" customHeight="1">
      <c r="K35" s="96" t="str">
        <f t="shared" ref="K35:K36" si="8">IF(O18="","",O18)</f>
        <v/>
      </c>
      <c r="L35" s="97"/>
      <c r="M35" s="97"/>
      <c r="N35" s="126"/>
    </row>
    <row r="36" ht="15.75" customHeight="1">
      <c r="K36" s="96" t="str">
        <f t="shared" si="8"/>
        <v/>
      </c>
      <c r="L36" s="97"/>
      <c r="M36" s="97"/>
      <c r="N36" s="126"/>
    </row>
    <row r="37" ht="15.75" customHeight="1"/>
    <row r="38" ht="19.5" customHeight="1">
      <c r="K38" s="98" t="s">
        <v>83</v>
      </c>
    </row>
    <row r="39" ht="19.5" customHeight="1">
      <c r="K39" s="99" t="s">
        <v>84</v>
      </c>
      <c r="M39" s="97"/>
    </row>
    <row r="40" ht="19.5" customHeight="1">
      <c r="K40" s="100" t="s">
        <v>85</v>
      </c>
      <c r="M40" s="101">
        <f>COUNTIF($I$4:$I$16,"DP")</f>
        <v>0</v>
      </c>
    </row>
    <row r="41" ht="19.5" customHeight="1">
      <c r="K41" s="100" t="s">
        <v>86</v>
      </c>
      <c r="M41" s="101">
        <f>COUNTIFS($I$4:$I$16,"&lt;&gt;DP",$I$4:$I$16,"&lt;&gt;")</f>
        <v>0</v>
      </c>
    </row>
    <row r="42" ht="19.5" customHeight="1">
      <c r="K42" s="103" t="s">
        <v>87</v>
      </c>
      <c r="M42" s="101">
        <f>M40+M41</f>
        <v>0</v>
      </c>
    </row>
    <row r="43" ht="19.5" customHeight="1">
      <c r="K43" s="99" t="s">
        <v>89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44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42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4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42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42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42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42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42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42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7" t="s">
        <v>0</v>
      </c>
      <c r="C18" s="59" t="s">
        <v>6</v>
      </c>
      <c r="D18" s="59" t="s">
        <v>60</v>
      </c>
      <c r="E18" s="1"/>
      <c r="F18" s="1"/>
      <c r="G18" s="1"/>
      <c r="H18" s="1"/>
      <c r="I18" s="1"/>
      <c r="J18" s="1"/>
      <c r="K18" s="1"/>
      <c r="L18" s="1"/>
      <c r="M18" s="1"/>
      <c r="N18" s="59" t="s">
        <v>61</v>
      </c>
      <c r="O18" s="59" t="s">
        <v>1</v>
      </c>
      <c r="P18" s="1"/>
      <c r="Q18" s="1"/>
      <c r="R18" s="1"/>
    </row>
    <row r="19" ht="15.75" customHeight="1">
      <c r="A19" s="1"/>
      <c r="B19" s="60">
        <v>1.0</v>
      </c>
      <c r="C19" s="62" t="s">
        <v>63</v>
      </c>
      <c r="D19" s="64">
        <f>SUM(G14)</f>
        <v>0</v>
      </c>
      <c r="E19" s="65"/>
      <c r="F19" s="1"/>
      <c r="G19" s="1"/>
      <c r="H19" s="1"/>
      <c r="I19" s="1"/>
      <c r="J19" s="1"/>
      <c r="K19" s="1"/>
      <c r="L19" s="1"/>
      <c r="M19" s="1"/>
      <c r="N19" s="66" t="s">
        <v>64</v>
      </c>
      <c r="O19" s="32"/>
      <c r="P19" s="1"/>
      <c r="Q19" s="1"/>
      <c r="R19" s="1"/>
    </row>
    <row r="20" ht="15.75" customHeight="1">
      <c r="A20" s="1"/>
      <c r="B20" s="67">
        <v>2.0</v>
      </c>
      <c r="C20" s="68"/>
      <c r="D20" s="69"/>
      <c r="E20" s="65"/>
      <c r="F20" s="1"/>
      <c r="G20" s="84"/>
      <c r="H20" s="1"/>
      <c r="I20" s="1"/>
      <c r="J20" s="1"/>
      <c r="K20" s="1"/>
      <c r="L20" s="1"/>
      <c r="M20" s="1"/>
      <c r="N20" s="71" t="s">
        <v>65</v>
      </c>
      <c r="O20" s="73"/>
      <c r="P20" s="1"/>
      <c r="Q20" s="1"/>
      <c r="R20" s="1"/>
    </row>
    <row r="21" ht="15.75" customHeight="1">
      <c r="A21" s="1"/>
      <c r="B21" s="60">
        <v>3.0</v>
      </c>
      <c r="C21" s="62"/>
      <c r="D21" s="64"/>
      <c r="E21" s="65"/>
      <c r="F21" s="1"/>
      <c r="G21" s="84"/>
      <c r="H21" s="1"/>
      <c r="I21" s="1"/>
      <c r="J21" s="1"/>
      <c r="K21" s="1"/>
      <c r="L21" s="1"/>
      <c r="M21" s="1"/>
      <c r="N21" s="75" t="s">
        <v>66</v>
      </c>
      <c r="O21" s="40"/>
      <c r="P21" s="1"/>
      <c r="Q21" s="1"/>
      <c r="R21" s="1"/>
    </row>
    <row r="22" ht="15.75" customHeight="1">
      <c r="A22" s="1"/>
      <c r="B22" s="67">
        <v>4.0</v>
      </c>
      <c r="C22" s="68"/>
      <c r="D22" s="69"/>
      <c r="E22" s="65"/>
      <c r="F22" s="1"/>
      <c r="G22" s="1"/>
      <c r="H22" s="1"/>
      <c r="I22" s="1"/>
      <c r="J22" s="1"/>
      <c r="K22" s="1"/>
      <c r="L22" s="1"/>
      <c r="M22" s="1"/>
      <c r="N22" s="78" t="s">
        <v>67</v>
      </c>
      <c r="O22" s="73"/>
      <c r="P22" s="1"/>
      <c r="Q22" s="1"/>
      <c r="R22" s="1"/>
    </row>
    <row r="23" ht="15.75" customHeight="1">
      <c r="A23" s="1"/>
      <c r="B23" s="60">
        <v>5.0</v>
      </c>
      <c r="C23" s="62"/>
      <c r="D23" s="64"/>
      <c r="E23" s="65"/>
      <c r="F23" s="1"/>
      <c r="G23" s="1"/>
      <c r="H23" s="1"/>
      <c r="I23" s="1"/>
      <c r="J23" s="1"/>
      <c r="K23" s="1"/>
      <c r="L23" s="1"/>
      <c r="M23" s="1"/>
      <c r="N23" s="80"/>
      <c r="O23" s="1"/>
      <c r="P23" s="1"/>
      <c r="Q23" s="1"/>
      <c r="R23" s="1"/>
    </row>
    <row r="24" ht="15.75" customHeight="1">
      <c r="A24" s="1"/>
      <c r="B24" s="67">
        <v>6.0</v>
      </c>
      <c r="C24" s="68"/>
      <c r="D24" s="69"/>
      <c r="E24" s="6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>
        <v>7.0</v>
      </c>
      <c r="C25" s="62"/>
      <c r="D25" s="64"/>
      <c r="E25" s="65"/>
      <c r="F25" s="8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>
        <v>8.0</v>
      </c>
      <c r="C26" s="68"/>
      <c r="D26" s="69"/>
      <c r="E26" s="65"/>
      <c r="F26" s="1"/>
      <c r="G26" s="1"/>
      <c r="H26" s="1"/>
      <c r="I26" s="1"/>
      <c r="J26" s="1"/>
      <c r="K26" s="82" t="s">
        <v>68</v>
      </c>
      <c r="Q26" s="1"/>
      <c r="R26" s="1"/>
    </row>
    <row r="27" ht="15.75" customHeight="1">
      <c r="A27" s="1"/>
      <c r="B27" s="60">
        <v>9.0</v>
      </c>
      <c r="C27" s="62"/>
      <c r="D27" s="64"/>
      <c r="E27" s="65"/>
      <c r="F27" s="1"/>
      <c r="G27" s="1"/>
      <c r="H27" s="1"/>
      <c r="I27" s="1"/>
      <c r="J27" s="1"/>
      <c r="K27" s="83" t="s">
        <v>1</v>
      </c>
      <c r="L27" s="83" t="s">
        <v>69</v>
      </c>
      <c r="M27" s="83" t="s">
        <v>70</v>
      </c>
      <c r="N27" s="83" t="s">
        <v>71</v>
      </c>
      <c r="O27" s="83" t="s">
        <v>72</v>
      </c>
      <c r="P27" s="83" t="s">
        <v>73</v>
      </c>
      <c r="Q27" s="1"/>
      <c r="R27" s="1"/>
      <c r="AC27" s="85" t="s">
        <v>74</v>
      </c>
      <c r="AD27" s="85" t="s">
        <v>75</v>
      </c>
      <c r="AE27" s="85" t="s">
        <v>76</v>
      </c>
      <c r="AF27" s="85" t="s">
        <v>77</v>
      </c>
      <c r="AG27" s="85" t="s">
        <v>78</v>
      </c>
    </row>
    <row r="28" ht="15.75" customHeight="1">
      <c r="A28" s="1"/>
      <c r="B28" s="67">
        <v>10.0</v>
      </c>
      <c r="C28" s="68"/>
      <c r="D28" s="69"/>
      <c r="E28" s="65"/>
      <c r="F28" s="1"/>
      <c r="G28" s="1"/>
      <c r="H28" s="1"/>
      <c r="I28" s="1"/>
      <c r="J28" s="1"/>
      <c r="K28" s="86" t="str">
        <f t="shared" ref="K28:K31" si="2">IF(O19="","",O19)</f>
        <v/>
      </c>
      <c r="L28" s="87"/>
      <c r="M28" s="87"/>
      <c r="N28" s="87"/>
      <c r="O28" s="87"/>
      <c r="P28" s="87"/>
      <c r="Q28" s="1"/>
      <c r="R28" s="1"/>
      <c r="AC28" s="85" t="str">
        <f t="shared" ref="AC28:AC33" si="3">IF(AG28="","",IF(COUNT(L28:P28)&lt;5,"",L28/5*20+M28/5*25+N28/5*25+O28/5*15+P28/5*15))</f>
        <v/>
      </c>
      <c r="AD28" s="85" t="str">
        <f t="shared" ref="AD28:AD33" si="4">IF(AC28="","",IF(AC28&gt;=90,"Sangat Baik",IF(AC28&gt;=80,"Baik",IF(AC28&gt;=70,"Coaching","Underperform"))))</f>
        <v/>
      </c>
      <c r="AE28" s="85" t="str">
        <f t="shared" ref="AE28:AE33" si="5">IF(AG28="","",IF(OR(AG28="INDAH",AG28="ADDEL",AG28="AMEL",AG28="PENTIL",AG28="JIJANG"),"Admin/CS","Fotografer"))</f>
        <v/>
      </c>
      <c r="AF28" s="85" t="str">
        <f t="shared" ref="AF28:AF33" si="6">IF(OR(AG28="",COUNT(L28:P28)&lt;5),"",1)</f>
        <v/>
      </c>
      <c r="AG28" s="85" t="str">
        <f t="shared" ref="AG28:AG33" si="7">IFERROR(K28,"")</f>
        <v/>
      </c>
    </row>
    <row r="29" ht="15.75" customHeight="1">
      <c r="A29" s="1"/>
      <c r="B29" s="89">
        <v>11.0</v>
      </c>
      <c r="C29" s="90"/>
      <c r="D29" s="91"/>
      <c r="E29" s="65"/>
      <c r="F29" s="1"/>
      <c r="G29" s="1"/>
      <c r="H29" s="1"/>
      <c r="I29" s="1"/>
      <c r="J29" s="1"/>
      <c r="K29" s="86" t="str">
        <f t="shared" si="2"/>
        <v/>
      </c>
      <c r="L29" s="87"/>
      <c r="M29" s="87"/>
      <c r="N29" s="87"/>
      <c r="O29" s="87"/>
      <c r="P29" s="87"/>
      <c r="Q29" s="1"/>
      <c r="R29" s="1"/>
      <c r="AC29" s="85" t="str">
        <f t="shared" si="3"/>
        <v/>
      </c>
      <c r="AD29" s="85" t="str">
        <f t="shared" si="4"/>
        <v/>
      </c>
      <c r="AE29" s="85" t="str">
        <f t="shared" si="5"/>
        <v/>
      </c>
      <c r="AF29" s="85" t="str">
        <f t="shared" si="6"/>
        <v/>
      </c>
      <c r="AG29" s="85" t="str">
        <f t="shared" si="7"/>
        <v/>
      </c>
    </row>
    <row r="30" ht="15.75" customHeight="1">
      <c r="A30" s="1"/>
      <c r="B30" s="1"/>
      <c r="C30" s="2"/>
      <c r="D30" s="92">
        <f>SUM(D19:D29)</f>
        <v>0</v>
      </c>
      <c r="E30" s="1"/>
      <c r="F30" s="1"/>
      <c r="G30" s="1"/>
      <c r="H30" s="1"/>
      <c r="I30" s="1"/>
      <c r="J30" s="1"/>
      <c r="K30" s="86" t="str">
        <f t="shared" si="2"/>
        <v/>
      </c>
      <c r="L30" s="87"/>
      <c r="M30" s="87"/>
      <c r="N30" s="87"/>
      <c r="O30" s="87"/>
      <c r="P30" s="87"/>
      <c r="Q30" s="1"/>
      <c r="R30" s="1"/>
      <c r="AC30" s="85" t="str">
        <f t="shared" si="3"/>
        <v/>
      </c>
      <c r="AD30" s="85" t="str">
        <f t="shared" si="4"/>
        <v/>
      </c>
      <c r="AE30" s="85" t="str">
        <f t="shared" si="5"/>
        <v/>
      </c>
      <c r="AF30" s="85" t="str">
        <f t="shared" si="6"/>
        <v/>
      </c>
      <c r="AG30" s="8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5" t="str">
        <f t="shared" si="3"/>
        <v/>
      </c>
      <c r="AD31" s="85" t="str">
        <f t="shared" si="4"/>
        <v/>
      </c>
      <c r="AE31" s="85" t="str">
        <f t="shared" si="5"/>
        <v/>
      </c>
      <c r="AF31" s="85" t="str">
        <f t="shared" si="6"/>
        <v/>
      </c>
      <c r="AG31" s="8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6"/>
      <c r="L32" s="87"/>
      <c r="M32" s="87"/>
      <c r="N32" s="87"/>
      <c r="O32" s="87"/>
      <c r="P32" s="87"/>
      <c r="Q32" s="1"/>
      <c r="R32" s="1"/>
      <c r="AC32" s="85" t="str">
        <f t="shared" si="3"/>
        <v/>
      </c>
      <c r="AD32" s="85" t="str">
        <f t="shared" si="4"/>
        <v/>
      </c>
      <c r="AE32" s="85" t="str">
        <f t="shared" si="5"/>
        <v/>
      </c>
      <c r="AF32" s="85" t="str">
        <f t="shared" si="6"/>
        <v/>
      </c>
      <c r="AG32" s="8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5" t="str">
        <f t="shared" si="3"/>
        <v/>
      </c>
      <c r="AD33" s="85" t="str">
        <f t="shared" si="4"/>
        <v/>
      </c>
      <c r="AE33" s="85" t="str">
        <f t="shared" si="5"/>
        <v/>
      </c>
      <c r="AF33" s="85" t="str">
        <f t="shared" si="6"/>
        <v/>
      </c>
      <c r="AG33" s="8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3" t="s">
        <v>79</v>
      </c>
      <c r="Q34" s="1"/>
      <c r="R34" s="1"/>
    </row>
    <row r="35" ht="15.75" customHeight="1"/>
    <row r="36" ht="15.75" customHeight="1">
      <c r="K36" s="130" t="s">
        <v>80</v>
      </c>
    </row>
    <row r="37" ht="15.75" customHeight="1">
      <c r="K37" s="95" t="s">
        <v>7</v>
      </c>
      <c r="L37" s="95" t="s">
        <v>81</v>
      </c>
      <c r="M37" s="95" t="s">
        <v>82</v>
      </c>
    </row>
    <row r="38" ht="15.75" customHeight="1">
      <c r="K38" s="96" t="str">
        <f t="shared" ref="K38:K39" si="8">IF(O19="","",O19)</f>
        <v/>
      </c>
      <c r="L38" s="97"/>
      <c r="M38" s="97"/>
    </row>
    <row r="39" ht="15.75" customHeight="1">
      <c r="K39" s="96" t="str">
        <f t="shared" si="8"/>
        <v/>
      </c>
      <c r="L39" s="97"/>
      <c r="M39" s="97"/>
    </row>
    <row r="40" ht="15.75" customHeight="1"/>
    <row r="41" ht="19.5" customHeight="1">
      <c r="K41" s="98" t="s">
        <v>83</v>
      </c>
    </row>
    <row r="42" ht="19.5" customHeight="1">
      <c r="K42" s="99" t="s">
        <v>84</v>
      </c>
      <c r="M42" s="97"/>
    </row>
    <row r="43" ht="19.5" customHeight="1">
      <c r="K43" s="100" t="s">
        <v>85</v>
      </c>
      <c r="M43" s="101">
        <f>COUNTIF($I$4:$I$17,"DP")</f>
        <v>0</v>
      </c>
    </row>
    <row r="44" ht="19.5" customHeight="1">
      <c r="K44" s="100" t="s">
        <v>86</v>
      </c>
      <c r="M44" s="101">
        <f>COUNTIFS($I$4:$I$17,"&lt;&gt;DP",$I$4:$I$17,"&lt;&gt;")</f>
        <v>0</v>
      </c>
    </row>
    <row r="45" ht="19.5" customHeight="1">
      <c r="K45" s="103" t="s">
        <v>87</v>
      </c>
      <c r="M45" s="101">
        <f>M43+M44</f>
        <v>0</v>
      </c>
    </row>
    <row r="46" ht="19.5" customHeight="1">
      <c r="K46" s="99" t="s">
        <v>89</v>
      </c>
      <c r="M46" s="107" t="str">
        <f>IF(OR(M42="",M42=0),"",M43/M42)</f>
        <v/>
      </c>
    </row>
    <row r="47" ht="15.75" customHeight="1">
      <c r="A47" s="13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6" t="s">
        <v>102</v>
      </c>
      <c r="E49" s="136" t="s">
        <v>103</v>
      </c>
      <c r="I49" s="136" t="s">
        <v>104</v>
      </c>
      <c r="M49" s="136" t="s">
        <v>105</v>
      </c>
    </row>
    <row r="50" ht="15.75" customHeight="1">
      <c r="A50" s="137">
        <f>IFERROR(SUMIFS($D$56:$D$68,$C$56:$C$68,"&gt;0")/COUNTIFS($C$56:$C$68,"&gt;0"),0)</f>
        <v>88</v>
      </c>
      <c r="E50" s="137">
        <f>IFERROR(SUMIFS($D$56:$D$68,$B$56:$B$68,"Admin/CS",$C$56:$C$68,"&gt;0")/COUNTIFS($B$56:$B$68,"Admin/CS",$C$56:$C$68,"&gt;0"),0)</f>
        <v>80</v>
      </c>
      <c r="I50" s="137">
        <f>IFERROR(SUMIFS($D$56:$D$68,$B$56:$B$68,"Fotografer",$C$56:$C$68,"&gt;0")/COUNTIFS($B$56:$B$68,"Fotografer",$C$56:$C$68,"&gt;0"),0)</f>
        <v>96</v>
      </c>
      <c r="M50" s="137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8" t="s">
        <v>1</v>
      </c>
      <c r="B55" s="138" t="s">
        <v>106</v>
      </c>
      <c r="C55" s="138" t="s">
        <v>107</v>
      </c>
      <c r="D55" s="138" t="s">
        <v>108</v>
      </c>
      <c r="E55" s="138" t="s">
        <v>109</v>
      </c>
      <c r="F55" s="138" t="s">
        <v>110</v>
      </c>
      <c r="G55" s="138" t="s">
        <v>111</v>
      </c>
    </row>
    <row r="56" ht="15.75" customHeight="1">
      <c r="A56" s="139" t="str">
        <f>IF($A$78="","",$A$78)</f>
        <v>INDAH</v>
      </c>
      <c r="B56" s="139" t="str">
        <f>IF(A56="","",$B$78)</f>
        <v>Admin/CS</v>
      </c>
      <c r="C56" s="140">
        <f>IF(A56="","",SUMIF('1'!$AG$29:$AG$34,A56,'1'!$AF$29:$AF$34)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41" t="str">
        <f>IF(OR(A56="",C56=0),"",(SUMIF('1'!$AG$29:$AG$34,A56,'1'!$AC$29:$AC$34)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40">
        <f>IF(A56="","",COUNTIFS('1'!$AG$29:$AG$34,A56,'1'!$AD$29:$AD$34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9" t="str">
        <f t="shared" ref="F56:F68" si="9">IF(D56="","",IF(D56&gt;=90,"Sangat Baik",IF(D56&gt;=80,"Baik",IF(D56&gt;=70,"Coaching","Underperform"))))</f>
        <v/>
      </c>
      <c r="G56" s="142"/>
    </row>
    <row r="57" ht="15.75" customHeight="1">
      <c r="A57" s="139" t="str">
        <f>IF($A$79="","",$A$79)</f>
        <v>ADDEL</v>
      </c>
      <c r="B57" s="139" t="str">
        <f>IF(A57="","",$B$79)</f>
        <v>Admin/CS</v>
      </c>
      <c r="C57" s="140">
        <f>IF(A57="","",SUMIF('1'!$AG$29:$AG$34,A57,'1'!$AF$29:$AF$34)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1" t="str">
        <f>IF(OR(A57="",C57=0),"",(SUMIF('1'!$AG$29:$AG$34,A57,'1'!$AC$29:$AC$34)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40">
        <f>IF(A57="","",COUNTIFS('1'!$AG$29:$AG$34,A57,'1'!$AD$29:$AD$34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9" t="str">
        <f t="shared" si="9"/>
        <v/>
      </c>
      <c r="G57" s="142"/>
    </row>
    <row r="58" ht="15.75" customHeight="1">
      <c r="A58" s="139" t="str">
        <f>IF($A$80="","",$A$80)</f>
        <v>AMEL</v>
      </c>
      <c r="B58" s="139" t="str">
        <f>IF(A58="","",$B$80)</f>
        <v>Admin/CS</v>
      </c>
      <c r="C58" s="140">
        <f>IF(A58="","",SUMIF('1'!$AG$29:$AG$34,A58,'1'!$AF$29:$AF$34)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1">
        <f>IF(OR(A58="",C58=0),"",(SUMIF('1'!$AG$29:$AG$34,A58,'1'!$AC$29:$AC$34)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40">
        <f>IF(A58="","",COUNTIFS('1'!$AG$29:$AG$34,A58,'1'!$AD$29:$AD$34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9" t="str">
        <f t="shared" si="9"/>
        <v>Baik</v>
      </c>
      <c r="G58" s="142"/>
    </row>
    <row r="59" ht="15.75" customHeight="1">
      <c r="A59" s="139" t="str">
        <f>IF($A$81="","",$A$81)</f>
        <v>PENTIL</v>
      </c>
      <c r="B59" s="139" t="str">
        <f>IF(A59="","",$B$81)</f>
        <v>Admin/CS</v>
      </c>
      <c r="C59" s="140">
        <f>IF(A59="","",SUMIF('1'!$AG$29:$AG$34,A59,'1'!$AF$29:$AF$34)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1" t="str">
        <f>IF(OR(A59="",C59=0),"",(SUMIF('1'!$AG$29:$AG$34,A59,'1'!$AC$29:$AC$34)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40">
        <f>IF(A59="","",COUNTIFS('1'!$AG$29:$AG$34,A59,'1'!$AD$29:$AD$34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9" t="str">
        <f t="shared" si="9"/>
        <v/>
      </c>
      <c r="G59" s="142"/>
    </row>
    <row r="60" ht="15.75" customHeight="1">
      <c r="A60" s="139" t="str">
        <f>IF($A$82="","",$A$82)</f>
        <v>JIJANG</v>
      </c>
      <c r="B60" s="139" t="str">
        <f>IF(A60="","",$B$82)</f>
        <v>Admin/CS</v>
      </c>
      <c r="C60" s="140">
        <f>IF(A60="","",SUMIF('1'!$AG$29:$AG$34,A60,'1'!$AF$29:$AF$34)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1" t="str">
        <f>IF(OR(A60="",C60=0),"",(SUMIF('1'!$AG$29:$AG$34,A60,'1'!$AC$29:$AC$34)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40">
        <f>IF(A60="","",COUNTIFS('1'!$AG$29:$AG$34,A60,'1'!$AD$29:$AD$34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9" t="str">
        <f t="shared" si="9"/>
        <v/>
      </c>
      <c r="G60" s="142"/>
    </row>
    <row r="61" ht="15.75" customHeight="1">
      <c r="A61" s="139" t="str">
        <f>IF($A$83="","",$A$83)</f>
        <v>HANIF</v>
      </c>
      <c r="B61" s="139" t="str">
        <f>IF(A61="","",$B$83)</f>
        <v>Fotografer</v>
      </c>
      <c r="C61" s="140">
        <f>IF(A61="","",SUMIF('1'!$AG$29:$AG$34,A61,'1'!$AF$29:$AF$34)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1" t="str">
        <f>IF(OR(A61="",C61=0),"",(SUMIF('1'!$AG$29:$AG$34,A61,'1'!$AC$29:$AC$34)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40">
        <f>IF(A61="","",COUNTIFS('1'!$AG$29:$AG$34,A61,'1'!$AD$29:$AD$34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9" t="str">
        <f t="shared" si="9"/>
        <v/>
      </c>
      <c r="G61" s="142"/>
    </row>
    <row r="62" ht="15.75" customHeight="1">
      <c r="A62" s="139" t="str">
        <f>IF($A$84="","",$A$84)</f>
        <v>FAHME</v>
      </c>
      <c r="B62" s="139" t="str">
        <f>IF(A62="","",$B$84)</f>
        <v>Fotografer</v>
      </c>
      <c r="C62" s="140">
        <f>IF(A62="","",SUMIF('1'!$AG$29:$AG$34,A62,'1'!$AF$29:$AF$34)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1" t="str">
        <f>IF(OR(A62="",C62=0),"",(SUMIF('1'!$AG$29:$AG$34,A62,'1'!$AC$29:$AC$34)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40">
        <f>IF(A62="","",COUNTIFS('1'!$AG$29:$AG$34,A62,'1'!$AD$29:$AD$34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9" t="str">
        <f t="shared" si="9"/>
        <v/>
      </c>
      <c r="G62" s="142"/>
    </row>
    <row r="63" ht="15.75" customHeight="1">
      <c r="A63" s="139" t="str">
        <f>IF($A$85="","",$A$85)</f>
        <v>ADIF</v>
      </c>
      <c r="B63" s="139" t="str">
        <f>IF(A63="","",$B$85)</f>
        <v>Fotografer</v>
      </c>
      <c r="C63" s="140">
        <f>IF(A63="","",SUMIF('1'!$AG$29:$AG$34,A63,'1'!$AF$29:$AF$34)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1">
        <f>IF(OR(A63="",C63=0),"",(SUMIF('1'!$AG$29:$AG$34,A63,'1'!$AC$29:$AC$34)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40">
        <f>IF(A63="","",COUNTIFS('1'!$AG$29:$AG$34,A63,'1'!$AD$29:$AD$34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9" t="str">
        <f t="shared" si="9"/>
        <v>Sangat Baik</v>
      </c>
      <c r="G63" s="142"/>
    </row>
    <row r="64" ht="15.75" customHeight="1">
      <c r="A64" s="139" t="str">
        <f>IF($A$86="","",$A$86)</f>
        <v>ABROR</v>
      </c>
      <c r="B64" s="139" t="str">
        <f>IF(A64="","",$B$86)</f>
        <v>Fotografer</v>
      </c>
      <c r="C64" s="140">
        <f>IF(A64="","",SUMIF('1'!$AG$29:$AG$34,A64,'1'!$AF$29:$AF$34)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1" t="str">
        <f>IF(OR(A64="",C64=0),"",(SUMIF('1'!$AG$29:$AG$34,A64,'1'!$AC$29:$AC$34)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40">
        <f>IF(A64="","",COUNTIFS('1'!$AG$29:$AG$34,A64,'1'!$AD$29:$AD$34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9" t="str">
        <f t="shared" si="9"/>
        <v/>
      </c>
      <c r="G64" s="142"/>
    </row>
    <row r="65" ht="15.75" customHeight="1">
      <c r="A65" s="139" t="str">
        <f>IF($A$87="","",$A$87)</f>
        <v>FADEL</v>
      </c>
      <c r="B65" s="139" t="str">
        <f>IF(A65="","",$B$87)</f>
        <v>Fotografer</v>
      </c>
      <c r="C65" s="140">
        <f>IF(A65="","",SUMIF('1'!$AG$29:$AG$34,A65,'1'!$AF$29:$AF$34)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1" t="str">
        <f>IF(OR(A65="",C65=0),"",(SUMIF('1'!$AG$29:$AG$34,A65,'1'!$AC$29:$AC$34)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40">
        <f>IF(A65="","",COUNTIFS('1'!$AG$29:$AG$34,A65,'1'!$AD$29:$AD$34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9" t="str">
        <f t="shared" si="9"/>
        <v/>
      </c>
      <c r="G65" s="142"/>
    </row>
    <row r="66" ht="15.75" customHeight="1">
      <c r="A66" s="139" t="str">
        <f>IF($A$88="","",$A$88)</f>
        <v>SAKA</v>
      </c>
      <c r="B66" s="139" t="str">
        <f>IF(A66="","",$B$88)</f>
        <v>Fotografer</v>
      </c>
      <c r="C66" s="140">
        <f>IF(A66="","",SUMIF('1'!$AG$29:$AG$34,A66,'1'!$AF$29:$AF$34)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41" t="str">
        <f>IF(OR(A66="",C66=0),"",(SUMIF('1'!$AG$29:$AG$34,A66,'1'!$AC$29:$AC$34)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40">
        <f>IF(A66="","",COUNTIFS('1'!$AG$29:$AG$34,A66,'1'!$AD$29:$AD$34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9" t="str">
        <f t="shared" si="9"/>
        <v/>
      </c>
      <c r="G66" s="142"/>
    </row>
    <row r="67" ht="15.75" customHeight="1">
      <c r="A67" s="139" t="str">
        <f>IF($A$89="","",$A$89)</f>
        <v/>
      </c>
      <c r="B67" s="139" t="str">
        <f>IF(A67="","",$B$89)</f>
        <v/>
      </c>
      <c r="C67" s="140" t="str">
        <f>IF(A67="","",SUMIF('1'!$K$29:$K$34,A67,'1'!$AF$29:$AF$34)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1" t="str">
        <f>IF(OR(A67="",C67=0),"",(SUMIF('1'!$K$29:$K$34,A67,'1'!$AC$29:$AC$34)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40" t="str">
        <f>IF(A67="","",COUNTIFS('1'!$K$29:$K$34,A67,'1'!$AD$29:$AD$34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9" t="str">
        <f t="shared" si="9"/>
        <v/>
      </c>
      <c r="G67" s="142"/>
    </row>
    <row r="68" ht="15.75" customHeight="1">
      <c r="A68" s="139" t="str">
        <f>IF($A$90="","",$A$90)</f>
        <v/>
      </c>
      <c r="B68" s="139" t="str">
        <f>IF(A68="","",$B$90)</f>
        <v/>
      </c>
      <c r="C68" s="140" t="str">
        <f>IF(A68="","",SUMIF('1'!$K$29:$K$34,A68,'1'!$AF$29:$AF$34)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1" t="str">
        <f>IF(OR(A68="",C68=0),"",(SUMIF('1'!$K$29:$K$34,A68,'1'!$AC$29:$AC$34)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40" t="str">
        <f>IF(A68="","",COUNTIFS('1'!$K$29:$K$34,A68,'1'!$AD$29:$AD$34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9" t="str">
        <f t="shared" si="9"/>
        <v/>
      </c>
      <c r="G68" s="142"/>
    </row>
    <row r="69" ht="15.75" customHeight="1"/>
    <row r="70" ht="15.75" customHeight="1">
      <c r="A70" s="145" t="s">
        <v>118</v>
      </c>
    </row>
    <row r="71" ht="15.75" customHeight="1">
      <c r="A71" s="14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7" t="s">
        <v>119</v>
      </c>
      <c r="B77" s="147" t="s">
        <v>120</v>
      </c>
      <c r="D77" s="130" t="s">
        <v>121</v>
      </c>
    </row>
    <row r="78" ht="15.75" customHeight="1">
      <c r="A78" s="143" t="s">
        <v>91</v>
      </c>
      <c r="B78" s="143" t="s">
        <v>112</v>
      </c>
      <c r="D78" s="148" t="s">
        <v>81</v>
      </c>
      <c r="E78" s="101">
        <f>SUM('1'!$L$39:$L$40)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</v>
      </c>
    </row>
    <row r="79" ht="15.75" customHeight="1">
      <c r="A79" s="143" t="s">
        <v>115</v>
      </c>
      <c r="B79" s="143" t="s">
        <v>112</v>
      </c>
      <c r="D79" s="148" t="s">
        <v>82</v>
      </c>
      <c r="E79" s="101">
        <f>SUM('1'!$M$39:$M$40)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3" t="s">
        <v>25</v>
      </c>
      <c r="B80" s="143" t="s">
        <v>112</v>
      </c>
      <c r="D80" s="148" t="s">
        <v>84</v>
      </c>
      <c r="E80" s="101">
        <f>SUM('1'!$M$43)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3" t="s">
        <v>122</v>
      </c>
      <c r="B81" s="143" t="s">
        <v>112</v>
      </c>
      <c r="D81" s="148" t="s">
        <v>85</v>
      </c>
      <c r="E81" s="101">
        <f>SUM('1'!$M$44)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7</v>
      </c>
    </row>
    <row r="82" ht="15.75" customHeight="1">
      <c r="A82" s="143" t="s">
        <v>123</v>
      </c>
      <c r="B82" s="143" t="s">
        <v>112</v>
      </c>
      <c r="D82" s="148" t="s">
        <v>86</v>
      </c>
      <c r="E82" s="101">
        <f>SUM('1'!$M$45)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11</v>
      </c>
    </row>
    <row r="83" ht="15.75" customHeight="1">
      <c r="A83" s="143" t="s">
        <v>113</v>
      </c>
      <c r="B83" s="143" t="s">
        <v>124</v>
      </c>
      <c r="D83" s="148" t="s">
        <v>87</v>
      </c>
      <c r="E83" s="101">
        <f>SUM('1'!$M$46)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18</v>
      </c>
    </row>
    <row r="84" ht="15.75" customHeight="1">
      <c r="A84" s="143" t="s">
        <v>116</v>
      </c>
      <c r="B84" s="143" t="s">
        <v>124</v>
      </c>
      <c r="D84" s="148" t="s">
        <v>89</v>
      </c>
      <c r="E84" s="107">
        <f>IFERROR(E81/E80,0)</f>
        <v>0.0843373494</v>
      </c>
    </row>
    <row r="85" ht="15.75" customHeight="1">
      <c r="A85" s="143" t="s">
        <v>35</v>
      </c>
      <c r="B85" s="143" t="s">
        <v>124</v>
      </c>
    </row>
    <row r="86" ht="15.75" customHeight="1">
      <c r="A86" s="143" t="s">
        <v>125</v>
      </c>
      <c r="B86" s="143" t="s">
        <v>124</v>
      </c>
    </row>
    <row r="87" ht="15.75" customHeight="1">
      <c r="A87" s="143" t="s">
        <v>126</v>
      </c>
      <c r="B87" s="143" t="s">
        <v>124</v>
      </c>
    </row>
    <row r="88" ht="15.75" customHeight="1">
      <c r="A88" s="143" t="s">
        <v>127</v>
      </c>
      <c r="B88" s="143" t="s">
        <v>124</v>
      </c>
    </row>
    <row r="89" ht="15.75" customHeight="1">
      <c r="A89" s="143"/>
      <c r="B89" s="143"/>
    </row>
    <row r="90" ht="15.75" customHeight="1">
      <c r="A90" s="143"/>
      <c r="B90" s="14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4"/>
      <c r="D4" s="18"/>
      <c r="E4" s="15"/>
      <c r="F4" s="29"/>
      <c r="G4" s="50"/>
      <c r="H4" s="33"/>
      <c r="I4" s="14"/>
      <c r="J4" s="14"/>
      <c r="K4" s="14"/>
      <c r="L4" s="14"/>
      <c r="M4" s="14"/>
      <c r="N4" s="32"/>
      <c r="O4" s="32"/>
      <c r="P4" s="34"/>
      <c r="Q4" s="1"/>
      <c r="R4" s="1"/>
    </row>
    <row r="5" ht="15.75" customHeight="1">
      <c r="A5" s="1"/>
      <c r="B5" s="14">
        <v>2.0</v>
      </c>
      <c r="C5" s="24"/>
      <c r="D5" s="18"/>
      <c r="E5" s="15"/>
      <c r="F5" s="29"/>
      <c r="G5" s="50"/>
      <c r="H5" s="33"/>
      <c r="I5" s="14"/>
      <c r="J5" s="14"/>
      <c r="K5" s="14"/>
      <c r="L5" s="14"/>
      <c r="M5" s="14"/>
      <c r="N5" s="40"/>
      <c r="O5" s="40"/>
      <c r="P5" s="40"/>
      <c r="Q5" s="1"/>
      <c r="R5" s="1"/>
    </row>
    <row r="6" ht="15.75" customHeight="1">
      <c r="A6" s="1"/>
      <c r="B6" s="14">
        <v>3.0</v>
      </c>
      <c r="C6" s="24"/>
      <c r="D6" s="18"/>
      <c r="E6" s="15"/>
      <c r="F6" s="14"/>
      <c r="G6" s="50"/>
      <c r="H6" s="33"/>
      <c r="I6" s="14"/>
      <c r="J6" s="14"/>
      <c r="K6" s="14"/>
      <c r="L6" s="14"/>
      <c r="M6" s="14"/>
      <c r="N6" s="40"/>
      <c r="O6" s="40"/>
      <c r="P6" s="40"/>
      <c r="Q6" s="1"/>
      <c r="R6" s="1"/>
    </row>
    <row r="7" ht="15.75" customHeight="1">
      <c r="A7" s="1"/>
      <c r="B7" s="14">
        <v>4.0</v>
      </c>
      <c r="C7" s="24"/>
      <c r="D7" s="18"/>
      <c r="E7" s="15"/>
      <c r="F7" s="14"/>
      <c r="G7" s="50"/>
      <c r="H7" s="33"/>
      <c r="I7" s="14"/>
      <c r="J7" s="14"/>
      <c r="K7" s="14"/>
      <c r="L7" s="14"/>
      <c r="M7" s="14"/>
      <c r="N7" s="40"/>
      <c r="O7" s="40"/>
      <c r="P7" s="40"/>
      <c r="Q7" s="1"/>
      <c r="R7" s="1"/>
    </row>
    <row r="8" ht="15.75" customHeight="1">
      <c r="A8" s="1"/>
      <c r="B8" s="14">
        <v>5.0</v>
      </c>
      <c r="C8" s="24"/>
      <c r="D8" s="18"/>
      <c r="E8" s="15"/>
      <c r="F8" s="14"/>
      <c r="G8" s="50"/>
      <c r="H8" s="33"/>
      <c r="I8" s="14"/>
      <c r="J8" s="14"/>
      <c r="K8" s="14"/>
      <c r="L8" s="14"/>
      <c r="M8" s="14"/>
      <c r="N8" s="40"/>
      <c r="O8" s="40"/>
      <c r="P8" s="40"/>
      <c r="Q8" s="1"/>
      <c r="R8" s="1"/>
    </row>
    <row r="9" ht="15.75" customHeight="1">
      <c r="A9" s="1"/>
      <c r="B9" s="14">
        <v>6.0</v>
      </c>
      <c r="C9" s="24"/>
      <c r="D9" s="18"/>
      <c r="E9" s="15"/>
      <c r="F9" s="14"/>
      <c r="G9" s="50"/>
      <c r="H9" s="33"/>
      <c r="I9" s="14"/>
      <c r="J9" s="14"/>
      <c r="K9" s="14"/>
      <c r="L9" s="14"/>
      <c r="M9" s="14"/>
      <c r="N9" s="40"/>
      <c r="O9" s="40"/>
      <c r="P9" s="40"/>
      <c r="Q9" s="1"/>
      <c r="R9" s="1"/>
    </row>
    <row r="10" ht="15.75" customHeight="1">
      <c r="A10" s="1"/>
      <c r="B10" s="14">
        <v>7.0</v>
      </c>
      <c r="C10" s="24"/>
      <c r="D10" s="18"/>
      <c r="E10" s="15"/>
      <c r="F10" s="14"/>
      <c r="G10" s="50"/>
      <c r="H10" s="33"/>
      <c r="I10" s="14"/>
      <c r="J10" s="14"/>
      <c r="K10" s="14"/>
      <c r="L10" s="14"/>
      <c r="M10" s="14"/>
      <c r="N10" s="40"/>
      <c r="O10" s="40"/>
      <c r="P10" s="40"/>
      <c r="Q10" s="1"/>
      <c r="R10" s="1"/>
    </row>
    <row r="11" ht="15.75" customHeight="1">
      <c r="A11" s="1"/>
      <c r="B11" s="14">
        <v>8.0</v>
      </c>
      <c r="C11" s="24"/>
      <c r="D11" s="18"/>
      <c r="E11" s="15"/>
      <c r="F11" s="14"/>
      <c r="G11" s="50"/>
      <c r="H11" s="33"/>
      <c r="I11" s="14"/>
      <c r="J11" s="14"/>
      <c r="K11" s="14"/>
      <c r="L11" s="14"/>
      <c r="M11" s="14"/>
      <c r="N11" s="40"/>
      <c r="O11" s="40"/>
      <c r="P11" s="40"/>
      <c r="Q11" s="1"/>
      <c r="R11" s="1"/>
    </row>
    <row r="12" ht="15.75" customHeight="1">
      <c r="A12" s="1"/>
      <c r="B12" s="14">
        <v>9.0</v>
      </c>
      <c r="C12" s="24"/>
      <c r="D12" s="18"/>
      <c r="E12" s="15"/>
      <c r="F12" s="14"/>
      <c r="G12" s="50"/>
      <c r="H12" s="33"/>
      <c r="I12" s="14"/>
      <c r="J12" s="14"/>
      <c r="K12" s="14"/>
      <c r="L12" s="14"/>
      <c r="M12" s="14"/>
      <c r="N12" s="40"/>
      <c r="O12" s="40"/>
      <c r="P12" s="40"/>
      <c r="Q12" s="1"/>
      <c r="R12" s="1"/>
    </row>
    <row r="13" ht="15.75" customHeight="1">
      <c r="A13" s="1"/>
      <c r="B13" s="14">
        <v>10.0</v>
      </c>
      <c r="C13" s="24"/>
      <c r="D13" s="18"/>
      <c r="E13" s="15"/>
      <c r="F13" s="14"/>
      <c r="G13" s="50"/>
      <c r="H13" s="33"/>
      <c r="I13" s="14"/>
      <c r="J13" s="14"/>
      <c r="K13" s="14"/>
      <c r="L13" s="14"/>
      <c r="M13" s="14"/>
      <c r="N13" s="40"/>
      <c r="O13" s="40"/>
      <c r="P13" s="40"/>
      <c r="Q13" s="1"/>
      <c r="R13" s="1"/>
    </row>
    <row r="14" ht="15.75" customHeight="1">
      <c r="A14" s="1"/>
      <c r="B14" s="14"/>
      <c r="C14" s="24"/>
      <c r="D14" s="18"/>
      <c r="E14" s="15"/>
      <c r="F14" s="14"/>
      <c r="G14" s="50"/>
      <c r="H14" s="33"/>
      <c r="I14" s="14"/>
      <c r="J14" s="14"/>
      <c r="K14" s="14"/>
      <c r="L14" s="14"/>
      <c r="M14" s="14"/>
      <c r="N14" s="40"/>
      <c r="O14" s="40"/>
      <c r="P14" s="40"/>
      <c r="Q14" s="1"/>
      <c r="R14" s="1"/>
    </row>
    <row r="15" ht="15.75" customHeight="1">
      <c r="A15" s="1"/>
      <c r="B15" s="14"/>
      <c r="C15" s="24"/>
      <c r="D15" s="18"/>
      <c r="E15" s="15"/>
      <c r="F15" s="14"/>
      <c r="G15" s="50"/>
      <c r="H15" s="33"/>
      <c r="I15" s="14"/>
      <c r="J15" s="14"/>
      <c r="K15" s="14"/>
      <c r="L15" s="14"/>
      <c r="M15" s="14"/>
      <c r="N15" s="40"/>
      <c r="O15" s="40"/>
      <c r="P15" s="40"/>
      <c r="Q15" s="1"/>
      <c r="R15" s="1"/>
    </row>
    <row r="16" ht="15.75" customHeight="1">
      <c r="A16" s="1"/>
      <c r="B16" s="14"/>
      <c r="C16" s="24"/>
      <c r="D16" s="18"/>
      <c r="E16" s="15"/>
      <c r="F16" s="14"/>
      <c r="G16" s="50"/>
      <c r="H16" s="33"/>
      <c r="I16" s="14"/>
      <c r="J16" s="14"/>
      <c r="K16" s="14"/>
      <c r="L16" s="14"/>
      <c r="M16" s="14"/>
      <c r="N16" s="40"/>
      <c r="O16" s="40"/>
      <c r="P16" s="40"/>
      <c r="Q16" s="1"/>
      <c r="R16" s="1"/>
    </row>
    <row r="17" ht="15.75" customHeight="1">
      <c r="A17" s="1"/>
      <c r="B17" s="14"/>
      <c r="C17" s="24"/>
      <c r="D17" s="18"/>
      <c r="E17" s="15"/>
      <c r="F17" s="14"/>
      <c r="G17" s="50"/>
      <c r="H17" s="33"/>
      <c r="I17" s="14"/>
      <c r="J17" s="14"/>
      <c r="K17" s="14"/>
      <c r="L17" s="14"/>
      <c r="M17" s="14"/>
      <c r="N17" s="40"/>
      <c r="O17" s="40"/>
      <c r="P17" s="40"/>
      <c r="Q17" s="1"/>
      <c r="R17" s="1"/>
    </row>
    <row r="18" ht="15.75" customHeight="1">
      <c r="A18" s="1"/>
      <c r="B18" s="14"/>
      <c r="C18" s="24"/>
      <c r="D18" s="18"/>
      <c r="E18" s="15"/>
      <c r="F18" s="14"/>
      <c r="G18" s="50"/>
      <c r="H18" s="33"/>
      <c r="I18" s="14"/>
      <c r="J18" s="14"/>
      <c r="K18" s="14"/>
      <c r="L18" s="14"/>
      <c r="M18" s="14"/>
      <c r="N18" s="40"/>
      <c r="O18" s="40"/>
      <c r="P18" s="40"/>
      <c r="Q18" s="1"/>
      <c r="R18" s="1"/>
    </row>
    <row r="19" ht="15.75" customHeight="1">
      <c r="A19" s="1"/>
      <c r="B19" s="14"/>
      <c r="C19" s="24"/>
      <c r="D19" s="18"/>
      <c r="E19" s="15"/>
      <c r="F19" s="14"/>
      <c r="G19" s="50"/>
      <c r="H19" s="33"/>
      <c r="I19" s="14"/>
      <c r="J19" s="14"/>
      <c r="K19" s="14"/>
      <c r="L19" s="14"/>
      <c r="M19" s="14"/>
      <c r="N19" s="40"/>
      <c r="O19" s="40"/>
      <c r="P19" s="40"/>
      <c r="Q19" s="1"/>
      <c r="R19" s="1"/>
    </row>
    <row r="20" ht="15.75" customHeight="1">
      <c r="A20" s="1"/>
      <c r="B20" s="14"/>
      <c r="C20" s="24"/>
      <c r="D20" s="18"/>
      <c r="E20" s="15"/>
      <c r="F20" s="14"/>
      <c r="G20" s="50"/>
      <c r="H20" s="33"/>
      <c r="I20" s="14"/>
      <c r="J20" s="14"/>
      <c r="K20" s="14"/>
      <c r="L20" s="14"/>
      <c r="M20" s="14"/>
      <c r="N20" s="40"/>
      <c r="O20" s="40"/>
      <c r="P20" s="40"/>
      <c r="Q20" s="1"/>
      <c r="R20" s="1"/>
    </row>
    <row r="21" ht="15.75" customHeight="1">
      <c r="A21" s="1"/>
      <c r="B21" s="14"/>
      <c r="C21" s="24"/>
      <c r="D21" s="18"/>
      <c r="E21" s="15"/>
      <c r="F21" s="14"/>
      <c r="G21" s="50"/>
      <c r="H21" s="33"/>
      <c r="I21" s="14"/>
      <c r="J21" s="14"/>
      <c r="K21" s="14"/>
      <c r="L21" s="14"/>
      <c r="M21" s="14"/>
      <c r="N21" s="40"/>
      <c r="O21" s="40"/>
      <c r="P21" s="40"/>
      <c r="Q21" s="1"/>
      <c r="R21" s="1"/>
    </row>
    <row r="22" ht="15.75" customHeight="1">
      <c r="A22" s="1"/>
      <c r="B22" s="14"/>
      <c r="C22" s="24"/>
      <c r="D22" s="18"/>
      <c r="E22" s="15"/>
      <c r="F22" s="14"/>
      <c r="G22" s="50"/>
      <c r="H22" s="33"/>
      <c r="I22" s="14"/>
      <c r="J22" s="14"/>
      <c r="K22" s="14"/>
      <c r="L22" s="14"/>
      <c r="M22" s="14"/>
      <c r="N22" s="40"/>
      <c r="O22" s="40"/>
      <c r="P22" s="40"/>
      <c r="Q22" s="1"/>
      <c r="R22" s="1"/>
    </row>
    <row r="23" ht="15.75" customHeight="1">
      <c r="A23" s="1"/>
      <c r="B23" s="14"/>
      <c r="C23" s="24"/>
      <c r="D23" s="18"/>
      <c r="E23" s="15"/>
      <c r="F23" s="14"/>
      <c r="G23" s="50"/>
      <c r="H23" s="33"/>
      <c r="I23" s="14"/>
      <c r="J23" s="14"/>
      <c r="K23" s="14"/>
      <c r="L23" s="14"/>
      <c r="M23" s="14"/>
      <c r="N23" s="40"/>
      <c r="O23" s="40"/>
      <c r="P23" s="40"/>
      <c r="Q23" s="1"/>
      <c r="R23" s="1"/>
    </row>
    <row r="24" ht="15.75" customHeight="1">
      <c r="A24" s="1"/>
      <c r="B24" s="14"/>
      <c r="C24" s="24"/>
      <c r="D24" s="18"/>
      <c r="E24" s="15"/>
      <c r="F24" s="14"/>
      <c r="G24" s="50"/>
      <c r="H24" s="33"/>
      <c r="I24" s="14"/>
      <c r="J24" s="14"/>
      <c r="K24" s="14"/>
      <c r="L24" s="14"/>
      <c r="M24" s="14"/>
      <c r="N24" s="40"/>
      <c r="O24" s="40"/>
      <c r="P24" s="40"/>
      <c r="Q24" s="1"/>
      <c r="R24" s="1"/>
    </row>
    <row r="25" ht="15.75" customHeight="1">
      <c r="A25" s="1"/>
      <c r="B25" s="14"/>
      <c r="C25" s="24"/>
      <c r="D25" s="18"/>
      <c r="E25" s="15"/>
      <c r="F25" s="14"/>
      <c r="G25" s="50"/>
      <c r="H25" s="33"/>
      <c r="I25" s="14"/>
      <c r="J25" s="14"/>
      <c r="K25" s="14"/>
      <c r="L25" s="14"/>
      <c r="M25" s="14"/>
      <c r="N25" s="40"/>
      <c r="O25" s="40"/>
      <c r="P25" s="40"/>
      <c r="Q25" s="1"/>
      <c r="R25" s="1"/>
    </row>
    <row r="26" ht="15.75" customHeight="1">
      <c r="A26" s="1"/>
      <c r="B26" s="14"/>
      <c r="C26" s="24"/>
      <c r="D26" s="18"/>
      <c r="E26" s="15"/>
      <c r="F26" s="14"/>
      <c r="G26" s="50"/>
      <c r="H26" s="33"/>
      <c r="I26" s="14"/>
      <c r="J26" s="14"/>
      <c r="K26" s="14"/>
      <c r="L26" s="14"/>
      <c r="M26" s="14"/>
      <c r="N26" s="40"/>
      <c r="O26" s="40"/>
      <c r="P26" s="40"/>
      <c r="Q26" s="1"/>
      <c r="R26" s="1"/>
    </row>
    <row r="27" ht="15.75" customHeight="1">
      <c r="A27" s="1"/>
      <c r="B27" s="14"/>
      <c r="C27" s="24"/>
      <c r="D27" s="18"/>
      <c r="E27" s="15"/>
      <c r="F27" s="14"/>
      <c r="G27" s="50"/>
      <c r="H27" s="33"/>
      <c r="I27" s="14"/>
      <c r="J27" s="14"/>
      <c r="K27" s="14"/>
      <c r="L27" s="14"/>
      <c r="M27" s="14"/>
      <c r="N27" s="40"/>
      <c r="O27" s="40"/>
      <c r="P27" s="40"/>
      <c r="Q27" s="1"/>
      <c r="R27" s="1"/>
    </row>
    <row r="28" ht="15.75" customHeight="1">
      <c r="A28" s="1"/>
      <c r="B28" s="14"/>
      <c r="C28" s="24"/>
      <c r="D28" s="18"/>
      <c r="E28" s="15"/>
      <c r="F28" s="14"/>
      <c r="G28" s="50"/>
      <c r="H28" s="33"/>
      <c r="I28" s="14"/>
      <c r="J28" s="14"/>
      <c r="K28" s="14"/>
      <c r="L28" s="14"/>
      <c r="M28" s="14"/>
      <c r="N28" s="40"/>
      <c r="O28" s="40"/>
      <c r="P28" s="40"/>
      <c r="Q28" s="1"/>
      <c r="R28" s="1"/>
    </row>
    <row r="29" ht="15.75" customHeight="1">
      <c r="A29" s="1"/>
      <c r="B29" s="14"/>
      <c r="C29" s="24"/>
      <c r="D29" s="18"/>
      <c r="E29" s="15"/>
      <c r="F29" s="14"/>
      <c r="G29" s="50"/>
      <c r="H29" s="33"/>
      <c r="I29" s="14"/>
      <c r="J29" s="14"/>
      <c r="K29" s="14"/>
      <c r="L29" s="14"/>
      <c r="M29" s="14"/>
      <c r="N29" s="40"/>
      <c r="O29" s="40"/>
      <c r="P29" s="40"/>
      <c r="Q29" s="1"/>
      <c r="R29" s="1"/>
    </row>
    <row r="30" ht="15.75" customHeight="1">
      <c r="A30" s="1"/>
      <c r="B30" s="14"/>
      <c r="C30" s="24"/>
      <c r="D30" s="18"/>
      <c r="E30" s="15"/>
      <c r="F30" s="14"/>
      <c r="G30" s="50"/>
      <c r="H30" s="33"/>
      <c r="I30" s="14"/>
      <c r="J30" s="14"/>
      <c r="K30" s="14"/>
      <c r="L30" s="14"/>
      <c r="M30" s="14"/>
      <c r="N30" s="40"/>
      <c r="O30" s="40"/>
      <c r="P30" s="40"/>
      <c r="Q30" s="1"/>
      <c r="R30" s="1"/>
    </row>
    <row r="31" ht="15.75" customHeight="1">
      <c r="A31" s="1"/>
      <c r="B31" s="14"/>
      <c r="C31" s="24"/>
      <c r="D31" s="18"/>
      <c r="E31" s="15"/>
      <c r="F31" s="14"/>
      <c r="G31" s="50"/>
      <c r="H31" s="33"/>
      <c r="I31" s="14"/>
      <c r="J31" s="14"/>
      <c r="K31" s="14"/>
      <c r="L31" s="14"/>
      <c r="M31" s="14"/>
      <c r="N31" s="40"/>
      <c r="O31" s="40"/>
      <c r="P31" s="40"/>
      <c r="Q31" s="1"/>
      <c r="R31" s="1"/>
    </row>
    <row r="32" ht="15.75" customHeight="1">
      <c r="A32" s="1"/>
      <c r="B32" s="14"/>
      <c r="C32" s="24"/>
      <c r="D32" s="18"/>
      <c r="E32" s="15"/>
      <c r="F32" s="14"/>
      <c r="G32" s="50"/>
      <c r="H32" s="33"/>
      <c r="I32" s="14"/>
      <c r="J32" s="14"/>
      <c r="K32" s="14"/>
      <c r="L32" s="14"/>
      <c r="M32" s="14"/>
      <c r="N32" s="40"/>
      <c r="O32" s="40"/>
      <c r="P32" s="40"/>
      <c r="Q32" s="1"/>
      <c r="R32" s="1"/>
    </row>
    <row r="33" ht="15.75" customHeight="1">
      <c r="A33" s="1"/>
      <c r="B33" s="14"/>
      <c r="C33" s="24"/>
      <c r="D33" s="18"/>
      <c r="E33" s="15"/>
      <c r="F33" s="14"/>
      <c r="G33" s="50"/>
      <c r="H33" s="33"/>
      <c r="I33" s="14"/>
      <c r="J33" s="14"/>
      <c r="K33" s="14"/>
      <c r="L33" s="14"/>
      <c r="M33" s="14"/>
      <c r="N33" s="40"/>
      <c r="O33" s="40"/>
      <c r="P33" s="40"/>
      <c r="Q33" s="1"/>
      <c r="R33" s="1"/>
    </row>
    <row r="34" ht="15.75" customHeight="1">
      <c r="A34" s="1"/>
      <c r="B34" s="14"/>
      <c r="C34" s="24"/>
      <c r="D34" s="18"/>
      <c r="E34" s="15"/>
      <c r="F34" s="14"/>
      <c r="G34" s="50"/>
      <c r="H34" s="33"/>
      <c r="I34" s="14"/>
      <c r="J34" s="14"/>
      <c r="K34" s="14"/>
      <c r="L34" s="14"/>
      <c r="M34" s="14"/>
      <c r="N34" s="73"/>
      <c r="O34" s="73"/>
      <c r="P34" s="7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4">
        <f t="shared" ref="G35:H35" si="1">SUM(G4:G34)</f>
        <v>0</v>
      </c>
      <c r="H35" s="5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7" t="s">
        <v>0</v>
      </c>
      <c r="C38" s="59" t="s">
        <v>6</v>
      </c>
      <c r="D38" s="59" t="s">
        <v>60</v>
      </c>
      <c r="E38" s="1"/>
      <c r="F38" s="1"/>
      <c r="G38" s="1"/>
      <c r="H38" s="1"/>
      <c r="I38" s="1"/>
      <c r="J38" s="1"/>
      <c r="K38" s="1"/>
      <c r="L38" s="1"/>
      <c r="M38" s="1"/>
      <c r="N38" s="59" t="s">
        <v>61</v>
      </c>
      <c r="O38" s="59" t="s">
        <v>1</v>
      </c>
      <c r="P38" s="1"/>
      <c r="Q38" s="1"/>
      <c r="R38" s="1"/>
    </row>
    <row r="39" ht="15.75" customHeight="1">
      <c r="A39" s="1"/>
      <c r="B39" s="60">
        <v>1.0</v>
      </c>
      <c r="C39" s="62" t="s">
        <v>63</v>
      </c>
      <c r="D39" s="64">
        <f>SUM(G35)</f>
        <v>0</v>
      </c>
      <c r="E39" s="65"/>
      <c r="F39" s="1"/>
      <c r="G39" s="1"/>
      <c r="H39" s="1"/>
      <c r="I39" s="1"/>
      <c r="J39" s="1"/>
      <c r="K39" s="1"/>
      <c r="L39" s="1"/>
      <c r="M39" s="1"/>
      <c r="N39" s="66" t="s">
        <v>64</v>
      </c>
      <c r="O39" s="32"/>
      <c r="P39" s="1"/>
      <c r="Q39" s="1"/>
      <c r="R39" s="1"/>
    </row>
    <row r="40" ht="15.75" customHeight="1">
      <c r="A40" s="1"/>
      <c r="B40" s="67">
        <v>2.0</v>
      </c>
      <c r="C40" s="68"/>
      <c r="D40" s="69"/>
      <c r="E40" s="65"/>
      <c r="F40" s="1"/>
      <c r="G40" s="1"/>
      <c r="H40" s="1"/>
      <c r="I40" s="1"/>
      <c r="J40" s="1"/>
      <c r="K40" s="1"/>
      <c r="L40" s="1"/>
      <c r="M40" s="1"/>
      <c r="N40" s="71" t="s">
        <v>65</v>
      </c>
      <c r="O40" s="73"/>
      <c r="P40" s="1"/>
      <c r="Q40" s="1"/>
      <c r="R40" s="1"/>
    </row>
    <row r="41" ht="15.75" customHeight="1">
      <c r="A41" s="1"/>
      <c r="B41" s="60">
        <v>3.0</v>
      </c>
      <c r="C41" s="62"/>
      <c r="D41" s="64"/>
      <c r="E41" s="65"/>
      <c r="F41" s="1"/>
      <c r="G41" s="1"/>
      <c r="H41" s="1"/>
      <c r="I41" s="1"/>
      <c r="J41" s="1"/>
      <c r="K41" s="1"/>
      <c r="L41" s="1"/>
      <c r="M41" s="1"/>
      <c r="N41" s="75" t="s">
        <v>66</v>
      </c>
      <c r="O41" s="40"/>
      <c r="P41" s="1"/>
      <c r="Q41" s="1"/>
      <c r="R41" s="1"/>
    </row>
    <row r="42" ht="15.75" customHeight="1">
      <c r="A42" s="1"/>
      <c r="B42" s="67">
        <v>4.0</v>
      </c>
      <c r="C42" s="68"/>
      <c r="D42" s="69"/>
      <c r="E42" s="65"/>
      <c r="F42" s="1"/>
      <c r="G42" s="1"/>
      <c r="H42" s="1"/>
      <c r="I42" s="1"/>
      <c r="J42" s="1"/>
      <c r="K42" s="1"/>
      <c r="L42" s="1"/>
      <c r="M42" s="1"/>
      <c r="N42" s="78" t="s">
        <v>67</v>
      </c>
      <c r="O42" s="73"/>
      <c r="P42" s="1"/>
      <c r="Q42" s="1"/>
      <c r="R42" s="1"/>
    </row>
    <row r="43" ht="15.75" customHeight="1">
      <c r="A43" s="1"/>
      <c r="B43" s="60"/>
      <c r="C43" s="62"/>
      <c r="D43" s="64"/>
      <c r="E43" s="65"/>
      <c r="F43" s="1"/>
      <c r="G43" s="1"/>
      <c r="H43" s="1"/>
      <c r="I43" s="1"/>
      <c r="J43" s="1"/>
      <c r="K43" s="1"/>
      <c r="L43" s="1"/>
      <c r="M43" s="1"/>
      <c r="N43" s="80"/>
      <c r="O43" s="1"/>
      <c r="P43" s="1"/>
      <c r="Q43" s="1"/>
      <c r="R43" s="1"/>
    </row>
    <row r="44" ht="15.75" customHeight="1">
      <c r="A44" s="1"/>
      <c r="B44" s="67"/>
      <c r="C44" s="68"/>
      <c r="D44" s="69"/>
      <c r="E44" s="6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0"/>
      <c r="C45" s="62"/>
      <c r="D45" s="64"/>
      <c r="E45" s="6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/>
      <c r="C46" s="68"/>
      <c r="D46" s="69"/>
      <c r="E46" s="6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0"/>
      <c r="C47" s="62"/>
      <c r="D47" s="64"/>
      <c r="E47" s="6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7"/>
      <c r="C48" s="68"/>
      <c r="D48" s="69"/>
      <c r="E48" s="6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9"/>
      <c r="C49" s="90"/>
      <c r="D49" s="91"/>
      <c r="E49" s="6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1" t="s">
        <v>92</v>
      </c>
      <c r="AU1" s="85" t="s">
        <v>93</v>
      </c>
    </row>
    <row r="2">
      <c r="A2" s="132" t="s">
        <v>94</v>
      </c>
      <c r="AU2" s="85">
        <v>1.0</v>
      </c>
    </row>
    <row r="3">
      <c r="AU3" s="85">
        <v>2.0</v>
      </c>
    </row>
    <row r="4">
      <c r="A4" s="133" t="s">
        <v>95</v>
      </c>
      <c r="AU4" s="85">
        <v>3.0</v>
      </c>
      <c r="AV4" s="85">
        <v>1.0</v>
      </c>
      <c r="AW4" s="85">
        <v>2.0</v>
      </c>
      <c r="AX4" s="85">
        <v>3.0</v>
      </c>
      <c r="AY4" s="85">
        <v>4.0</v>
      </c>
      <c r="AZ4" s="85">
        <v>5.0</v>
      </c>
      <c r="BA4" s="85">
        <v>6.0</v>
      </c>
      <c r="BB4" s="85">
        <v>7.0</v>
      </c>
      <c r="BC4" s="85">
        <v>8.0</v>
      </c>
      <c r="BD4" s="85">
        <v>9.0</v>
      </c>
      <c r="BE4" s="85">
        <v>10.0</v>
      </c>
      <c r="BF4" s="85">
        <v>11.0</v>
      </c>
      <c r="BG4" s="85">
        <v>12.0</v>
      </c>
      <c r="BH4" s="85">
        <v>13.0</v>
      </c>
      <c r="BI4" s="85">
        <v>14.0</v>
      </c>
      <c r="BJ4" s="85">
        <v>15.0</v>
      </c>
      <c r="BK4" s="85">
        <v>16.0</v>
      </c>
      <c r="BL4" s="85">
        <v>17.0</v>
      </c>
      <c r="BM4" s="85">
        <v>18.0</v>
      </c>
      <c r="BN4" s="85">
        <v>19.0</v>
      </c>
      <c r="BO4" s="85">
        <v>20.0</v>
      </c>
      <c r="BP4" s="85">
        <v>21.0</v>
      </c>
      <c r="BQ4" s="85">
        <v>22.0</v>
      </c>
      <c r="BR4" s="85">
        <v>23.0</v>
      </c>
      <c r="BS4" s="85">
        <v>24.0</v>
      </c>
      <c r="BT4" s="85">
        <v>25.0</v>
      </c>
      <c r="BU4" s="85">
        <v>26.0</v>
      </c>
      <c r="BV4" s="85">
        <v>27.0</v>
      </c>
      <c r="BW4" s="85">
        <v>28.0</v>
      </c>
      <c r="BX4" s="85">
        <v>29.0</v>
      </c>
      <c r="BY4" s="85">
        <v>30.0</v>
      </c>
      <c r="BZ4" s="85">
        <v>31.0</v>
      </c>
      <c r="CA4" s="85" t="s">
        <v>96</v>
      </c>
      <c r="CB4" s="85" t="s">
        <v>97</v>
      </c>
    </row>
    <row r="5">
      <c r="A5" s="134" t="s">
        <v>98</v>
      </c>
      <c r="B5" s="134" t="s">
        <v>2</v>
      </c>
      <c r="C5" s="134" t="s">
        <v>99</v>
      </c>
      <c r="D5" s="134" t="s">
        <v>100</v>
      </c>
      <c r="E5" s="134" t="s">
        <v>101</v>
      </c>
      <c r="X5" s="85" t="s">
        <v>27</v>
      </c>
      <c r="Y5" s="85">
        <f>COUNTIF('1'!$D$4:$D$20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</v>
      </c>
      <c r="Z5" s="85">
        <f t="shared" ref="Z5:Z17" si="1">Y5+(18-ROW())/100000</f>
        <v>4.00013</v>
      </c>
      <c r="AA5" s="85" t="s">
        <v>91</v>
      </c>
      <c r="AB5" s="85" t="s">
        <v>112</v>
      </c>
      <c r="AC5" s="85">
        <f>COUNTIF('1'!$O$22:$O$25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5">
        <f t="shared" ref="AD5:AD15" si="2">AC5+(16-ROW())/100000</f>
        <v>0.00011</v>
      </c>
      <c r="AE5" s="85" t="s">
        <v>91</v>
      </c>
      <c r="AF5" s="85">
        <f>COUNTIF('1'!$L$4:$L$20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5">
        <f t="shared" ref="AG5:AG9" si="3">AF5+(10-ROW())/100000</f>
        <v>0.00005</v>
      </c>
      <c r="AH5" s="85" t="s">
        <v>113</v>
      </c>
      <c r="AI5" s="85">
        <f>COUNTIF('1'!$M$4:$M$20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5">
        <f t="shared" ref="AJ5:AJ10" si="4">AI5+(11-ROW())/100000</f>
        <v>0.00006</v>
      </c>
      <c r="AK5" s="85" t="s">
        <v>91</v>
      </c>
      <c r="AL5" s="85" t="s">
        <v>112</v>
      </c>
      <c r="AM5" s="85">
        <f>COUNTIFS('1'!$AG$29:$AG$34,AK5,'1'!$AF$29:$AF$34,1)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5" t="str">
        <f t="shared" ref="AN5:AN15" si="5">IF(AM5=0,"",AO5/5*20+AP5/5*25+AQ5/5*25+AR5/5*15+AS5/5*15)</f>
        <v/>
      </c>
      <c r="AO5" s="85" t="str">
        <f>IF(AM5=0,"",(SUMIFS('1'!$L$29:$L$34,'1'!$AG$29:$AG$34,AK5,'1'!$AF$29:$AF$34,1)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5" t="str">
        <f>IF(AM5=0,"",(SUMIFS('1'!$M$29:$M$34,'1'!$AG$29:$AG$34,AK5,'1'!$AF$29:$AF$34,1)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5" t="str">
        <f>IF(AM5=0,"",(SUMIFS('1'!$N$29:$N$34,'1'!$AG$29:$AG$34,AK5,'1'!$AF$29:$AF$34,1)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5" t="str">
        <f>IF(AM5=0,"",(SUMIFS('1'!$O$29:$O$34,'1'!$AG$29:$AG$34,AK5,'1'!$AF$29:$AF$34,1)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5" t="str">
        <f>IF(AM5=0,"",(SUMIFS('1'!$P$29:$P$34,'1'!$AG$29:$AG$34,AK5,'1'!$AF$29:$AF$34,1)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5">
        <v>4.0</v>
      </c>
      <c r="AV5" s="85" t="str">
        <f>IF(COUNTIFS('1'!$AG$29:$AG$34,$AK5,'1'!$AF$29:$AF$34,1)=0,"",SUMIFS('1'!$AC$29:$AC$34,'1'!$AG$29:$AG$34,$AK5,'1'!$AF$29:$AF$34,1)/COUNTIFS('1'!$AG$29:$AG$34,$AK5,'1'!$AF$29:$AF$34,1))</f>
        <v/>
      </c>
      <c r="AW5" s="85" t="str">
        <f>IF(COUNTIFS('2'!$AG$25:$AG$30,$AK5,'2'!$AF$25:$AF$30,1)=0,"",SUMIFS('2'!$AC$25:$AC$30,'2'!$AG$25:$AG$30,$AK5,'2'!$AF$25:$AF$30,1)/COUNTIFS('2'!$AG$25:$AG$30,$AK5,'2'!$AF$25:$AF$30,1))</f>
        <v/>
      </c>
      <c r="AX5" s="85" t="str">
        <f>IF(COUNTIFS('3'!$AG$24:$AG$29,$AK5,'3'!$AF$24:$AF$29,1)=0,"",SUMIFS('3'!$AC$24:$AC$29,'3'!$AG$24:$AG$29,$AK5,'3'!$AF$24:$AF$29,1)/COUNTIFS('3'!$AG$24:$AG$29,$AK5,'3'!$AF$24:$AF$29,1))</f>
        <v/>
      </c>
      <c r="AY5" s="85" t="str">
        <f>IF(COUNTIFS('4'!$AG$25:$AG$30,$AK5,'4'!$AF$25:$AF$30,1)=0,"",SUMIFS('4'!$AC$25:$AC$30,'4'!$AG$25:$AG$30,$AK5,'4'!$AF$25:$AF$30,1)/COUNTIFS('4'!$AG$25:$AG$30,$AK5,'4'!$AF$25:$AF$30,1))</f>
        <v/>
      </c>
      <c r="AZ5" s="85" t="str">
        <f>IF(COUNTIFS('5'!$AG$25:$AG$30,$AK5,'5'!$AF$25:$AF$30,1)=0,"",SUMIFS('5'!$AC$25:$AC$30,'5'!$AG$25:$AG$30,$AK5,'5'!$AF$25:$AF$30,1)/COUNTIFS('5'!$AG$25:$AG$30,$AK5,'5'!$AF$25:$AF$30,1))</f>
        <v/>
      </c>
      <c r="BA5" s="85" t="str">
        <f>IF(COUNTIFS('6'!$AG$25:$AG$30,$AK5,'6'!$AF$25:$AF$30,1)=0,"",SUMIFS('6'!$AC$25:$AC$30,'6'!$AG$25:$AG$30,$AK5,'6'!$AF$25:$AF$30,1)/COUNTIFS('6'!$AG$25:$AG$30,$AK5,'6'!$AF$25:$AF$30,1))</f>
        <v/>
      </c>
      <c r="BB5" s="85" t="str">
        <f>IF(COUNTIFS('7'!$AG$30:$AG$35,$AK5,'7'!$AF$30:$AF$35,1)=0,"",SUMIFS('7'!$AC$30:$AC$35,'7'!$AG$30:$AG$35,$AK5,'7'!$AF$30:$AF$35,1)/COUNTIFS('7'!$AG$30:$AG$35,$AK5,'7'!$AF$30:$AF$35,1))</f>
        <v/>
      </c>
      <c r="BC5" s="85" t="str">
        <f>IF(COUNTIFS('8'!$AG$25:$AG$30,$AK5,'8'!$AF$25:$AF$30,1)=0,"",SUMIFS('8'!$AC$25:$AC$30,'8'!$AG$25:$AG$30,$AK5,'8'!$AF$25:$AF$30,1)/COUNTIFS('8'!$AG$25:$AG$30,$AK5,'8'!$AF$25:$AF$30,1))</f>
        <v/>
      </c>
      <c r="BD5" s="85" t="str">
        <f>IF(COUNTIFS('9'!$AG$25:$AG$30,$AK5,'9'!$AF$25:$AF$30,1)=0,"",SUMIFS('9'!$AC$25:$AC$30,'9'!$AG$25:$AG$30,$AK5,'9'!$AF$25:$AF$30,1)/COUNTIFS('9'!$AG$25:$AG$30,$AK5,'9'!$AF$25:$AF$30,1))</f>
        <v/>
      </c>
      <c r="BE5" s="85" t="str">
        <f>IF(COUNTIFS('10'!$AG$25:$AG$30,$AK5,'10'!$AF$25:$AF$30,1)=0,"",SUMIFS('10'!$AC$25:$AC$30,'10'!$AG$25:$AG$30,$AK5,'10'!$AF$25:$AF$30,1)/COUNTIFS('10'!$AG$25:$AG$30,$AK5,'10'!$AF$25:$AF$30,1))</f>
        <v/>
      </c>
      <c r="BF5" s="85" t="str">
        <f>IF(COUNTIFS('11'!$AG$25:$AG$30,$AK5,'11'!$AF$25:$AF$30,1)=0,"",SUMIFS('11'!$AC$25:$AC$30,'11'!$AG$25:$AG$30,$AK5,'11'!$AF$25:$AF$30,1)/COUNTIFS('11'!$AG$25:$AG$30,$AK5,'11'!$AF$25:$AF$30,1))</f>
        <v/>
      </c>
      <c r="BG5" s="85" t="str">
        <f>IF(COUNTIFS('12'!$AG$25:$AG$30,$AK5,'12'!$AF$25:$AF$30,1)=0,"",SUMIFS('12'!$AC$25:$AC$30,'12'!$AG$25:$AG$30,$AK5,'12'!$AF$25:$AF$30,1)/COUNTIFS('12'!$AG$25:$AG$30,$AK5,'12'!$AF$25:$AF$30,1))</f>
        <v/>
      </c>
      <c r="BH5" s="85" t="str">
        <f>IF(COUNTIFS('13'!$AG$25:$AG$30,$AK5,'13'!$AF$25:$AF$30,1)=0,"",SUMIFS('13'!$AC$25:$AC$30,'13'!$AG$25:$AG$30,$AK5,'13'!$AF$25:$AF$30,1)/COUNTIFS('13'!$AG$25:$AG$30,$AK5,'13'!$AF$25:$AF$30,1))</f>
        <v/>
      </c>
      <c r="BI5" s="85" t="str">
        <f>IF(COUNTIFS('14'!$AG$25:$AG$30,$AK5,'14'!$AF$25:$AF$30,1)=0,"",SUMIFS('14'!$AC$25:$AC$30,'14'!$AG$25:$AG$30,$AK5,'14'!$AF$25:$AF$30,1)/COUNTIFS('14'!$AG$25:$AG$30,$AK5,'14'!$AF$25:$AF$30,1))</f>
        <v/>
      </c>
      <c r="BJ5" s="85" t="str">
        <f>IF(COUNTIFS('15'!$AG$25:$AG$30,$AK5,'15'!$AF$25:$AF$30,1)=0,"",SUMIFS('15'!$AC$25:$AC$30,'15'!$AG$25:$AG$30,$AK5,'15'!$AF$25:$AF$30,1)/COUNTIFS('15'!$AG$25:$AG$30,$AK5,'15'!$AF$25:$AF$30,1))</f>
        <v/>
      </c>
      <c r="BK5" s="85" t="str">
        <f>IF(COUNTIFS('16'!$AG$25:$AG$30,$AK5,'16'!$AF$25:$AF$30,1)=0,"",SUMIFS('16'!$AC$25:$AC$30,'16'!$AG$25:$AG$30,$AK5,'16'!$AF$25:$AF$30,1)/COUNTIFS('16'!$AG$25:$AG$30,$AK5,'16'!$AF$25:$AF$30,1))</f>
        <v/>
      </c>
      <c r="BL5" s="85" t="str">
        <f>IF(COUNTIFS('17'!$AG$25:$AG$30,$AK5,'17'!$AF$25:$AF$30,1)=0,"",SUMIFS('17'!$AC$25:$AC$30,'17'!$AG$25:$AG$30,$AK5,'17'!$AF$25:$AF$30,1)/COUNTIFS('17'!$AG$25:$AG$30,$AK5,'17'!$AF$25:$AF$30,1))</f>
        <v/>
      </c>
      <c r="BM5" s="85" t="str">
        <f>IF(COUNTIFS('18'!$AG$25:$AG$30,$AK5,'18'!$AF$25:$AF$30,1)=0,"",SUMIFS('18'!$AC$25:$AC$30,'18'!$AG$25:$AG$30,$AK5,'18'!$AF$25:$AF$30,1)/COUNTIFS('18'!$AG$25:$AG$30,$AK5,'18'!$AF$25:$AF$30,1))</f>
        <v/>
      </c>
      <c r="BN5" s="85" t="str">
        <f>IF(COUNTIFS('19'!$AG$25:$AG$30,$AK5,'19'!$AF$25:$AF$30,1)=0,"",SUMIFS('19'!$AC$25:$AC$30,'19'!$AG$25:$AG$30,$AK5,'19'!$AF$25:$AF$30,1)/COUNTIFS('19'!$AG$25:$AG$30,$AK5,'19'!$AF$25:$AF$30,1))</f>
        <v/>
      </c>
      <c r="BO5" s="85" t="str">
        <f>IF(COUNTIFS('20'!$AG$25:$AG$30,$AK5,'20'!$AF$25:$AF$30,1)=0,"",SUMIFS('20'!$AC$25:$AC$30,'20'!$AG$25:$AG$30,$AK5,'20'!$AF$25:$AF$30,1)/COUNTIFS('20'!$AG$25:$AG$30,$AK5,'20'!$AF$25:$AF$30,1))</f>
        <v/>
      </c>
      <c r="BP5" s="85" t="str">
        <f>IF(COUNTIFS('21'!$AG$25:$AG$30,$AK5,'21'!$AF$25:$AF$30,1)=0,"",SUMIFS('21'!$AC$25:$AC$30,'21'!$AG$25:$AG$30,$AK5,'21'!$AF$25:$AF$30,1)/COUNTIFS('21'!$AG$25:$AG$30,$AK5,'21'!$AF$25:$AF$30,1))</f>
        <v/>
      </c>
      <c r="BQ5" s="85" t="str">
        <f>IF(COUNTIFS('22'!$AG$25:$AG$30,$AK5,'22'!$AF$25:$AF$30,1)=0,"",SUMIFS('22'!$AC$25:$AC$30,'22'!$AG$25:$AG$30,$AK5,'22'!$AF$25:$AF$30,1)/COUNTIFS('22'!$AG$25:$AG$30,$AK5,'22'!$AF$25:$AF$30,1))</f>
        <v/>
      </c>
      <c r="BR5" s="85" t="str">
        <f>IF(COUNTIFS('23'!$AG$25:$AG$30,$AK5,'23'!$AF$25:$AF$30,1)=0,"",SUMIFS('23'!$AC$25:$AC$30,'23'!$AG$25:$AG$30,$AK5,'23'!$AF$25:$AF$30,1)/COUNTIFS('23'!$AG$25:$AG$30,$AK5,'23'!$AF$25:$AF$30,1))</f>
        <v/>
      </c>
      <c r="BS5" s="85" t="str">
        <f>IF(COUNTIFS('24'!$AG$25:$AG$30,$AK5,'24'!$AF$25:$AF$30,1)=0,"",SUMIFS('24'!$AC$25:$AC$30,'24'!$AG$25:$AG$30,$AK5,'24'!$AF$25:$AF$30,1)/COUNTIFS('24'!$AG$25:$AG$30,$AK5,'24'!$AF$25:$AF$30,1))</f>
        <v/>
      </c>
      <c r="BT5" s="85" t="str">
        <f>IF(COUNTIFS('25'!$AG$25:$AG$30,$AK5,'25'!$AF$25:$AF$30,1)=0,"",SUMIFS('25'!$AC$25:$AC$30,'25'!$AG$25:$AG$30,$AK5,'25'!$AF$25:$AF$30,1)/COUNTIFS('25'!$AG$25:$AG$30,$AK5,'25'!$AF$25:$AF$30,1))</f>
        <v/>
      </c>
      <c r="BU5" s="85" t="str">
        <f>IF(COUNTIFS('26'!$AG$25:$AG$30,$AK5,'26'!$AF$25:$AF$30,1)=0,"",SUMIFS('26'!$AC$25:$AC$30,'26'!$AG$25:$AG$30,$AK5,'26'!$AF$25:$AF$30,1)/COUNTIFS('26'!$AG$25:$AG$30,$AK5,'26'!$AF$25:$AF$30,1))</f>
        <v/>
      </c>
      <c r="BV5" s="85" t="str">
        <f>IF(COUNTIFS('27'!$AG$25:$AG$30,$AK5,'27'!$AF$25:$AF$30,1)=0,"",SUMIFS('27'!$AC$25:$AC$30,'27'!$AG$25:$AG$30,$AK5,'27'!$AF$25:$AF$30,1)/COUNTIFS('27'!$AG$25:$AG$30,$AK5,'27'!$AF$25:$AF$30,1))</f>
        <v/>
      </c>
      <c r="BW5" s="85" t="str">
        <f>IF(COUNTIFS('28'!$AG$25:$AG$30,$AK5,'28'!$AF$25:$AF$30,1)=0,"",SUMIFS('28'!$AC$25:$AC$30,'28'!$AG$25:$AG$30,$AK5,'28'!$AF$25:$AF$30,1)/COUNTIFS('28'!$AG$25:$AG$30,$AK5,'28'!$AF$25:$AF$30,1))</f>
        <v/>
      </c>
      <c r="BX5" s="85" t="str">
        <f>IF(COUNTIFS('29'!$AG$25:$AG$30,$AK5,'29'!$AF$25:$AF$30,1)=0,"",SUMIFS('29'!$AC$25:$AC$30,'29'!$AG$25:$AG$30,$AK5,'29'!$AF$25:$AF$30,1)/COUNTIFS('29'!$AG$25:$AG$30,$AK5,'29'!$AF$25:$AF$30,1))</f>
        <v/>
      </c>
      <c r="BY5" s="85" t="str">
        <f>IF(COUNTIFS('30'!$AG$25:$AG$30,$AK5,'30'!$AF$25:$AF$30,1)=0,"",SUMIFS('30'!$AC$25:$AC$30,'30'!$AG$25:$AG$30,$AK5,'30'!$AF$25:$AF$30,1)/COUNTIFS('30'!$AG$25:$AG$30,$AK5,'30'!$AF$25:$AF$30,1))</f>
        <v/>
      </c>
      <c r="BZ5" s="85" t="str">
        <f>IF(COUNTIFS('31'!$AG$28:$AG$33,$AK5,'31'!$AF$28:$AF$33,1)=0,"",SUMIFS('31'!$AC$28:$AC$33,'31'!$AG$28:$AG$33,$AK5,'31'!$AF$28:$AF$33,1)/COUNTIFS('31'!$AG$28:$AG$33,$AK5,'31'!$AF$28:$AF$33,1))</f>
        <v/>
      </c>
      <c r="CA5" s="85" t="s">
        <v>114</v>
      </c>
      <c r="CB5" s="85">
        <f t="shared" ref="CB5:CB8" si="6">COUNTIF($J$51:$J$61,CA5)</f>
        <v>1</v>
      </c>
    </row>
    <row r="6">
      <c r="A6" s="143">
        <f>IF(LARGE($Y$5:$Y$17,1)=0,"",1)</f>
        <v>1</v>
      </c>
      <c r="B6" s="143" t="str">
        <f t="shared" ref="B6:B18" si="7">IF(A6="","",INDEX($X$5:$X$17,MATCH(LARGE($Z$5:$Z$17,A6),$Z$5:$Z$17,0)))</f>
        <v>Large Group</v>
      </c>
      <c r="C6" s="143">
        <f t="shared" ref="C6:C18" si="8">IF(B6="","",INDEX($Y$5:$Y$17,MATCH(B6,$X$5:$X$17,0)))</f>
        <v>4</v>
      </c>
      <c r="D6" s="144">
        <f t="shared" ref="D6:D18" si="9">IF(C6="","",C6/$C$19)</f>
        <v>0.2666666667</v>
      </c>
      <c r="E6" s="144">
        <f t="shared" ref="E6:E18" si="10">IF(D6="","",SUM($D$6:D6))</f>
        <v>0.2666666667</v>
      </c>
      <c r="X6" s="85" t="s">
        <v>20</v>
      </c>
      <c r="Y6" s="85">
        <f>COUNTIF('1'!$D$4:$D$20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5">
        <f t="shared" si="1"/>
        <v>4.00012</v>
      </c>
      <c r="AA6" s="85" t="s">
        <v>115</v>
      </c>
      <c r="AB6" s="85" t="s">
        <v>112</v>
      </c>
      <c r="AC6" s="85">
        <f>COUNTIF('1'!$O$22:$O$25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5">
        <f t="shared" si="2"/>
        <v>0.0001</v>
      </c>
      <c r="AE6" s="85" t="s">
        <v>115</v>
      </c>
      <c r="AF6" s="85">
        <f>COUNTIF('1'!$L$4:$L$20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5">
        <f t="shared" si="3"/>
        <v>0.00004</v>
      </c>
      <c r="AH6" s="85" t="s">
        <v>116</v>
      </c>
      <c r="AI6" s="85">
        <f>COUNTIF('1'!$M$4:$M$20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5">
        <f t="shared" si="4"/>
        <v>0.00005</v>
      </c>
      <c r="AK6" s="85" t="s">
        <v>115</v>
      </c>
      <c r="AL6" s="85" t="s">
        <v>112</v>
      </c>
      <c r="AM6" s="85">
        <f>COUNTIFS('1'!$AG$29:$AG$34,AK6,'1'!$AF$29:$AF$34,1)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5" t="str">
        <f t="shared" si="5"/>
        <v/>
      </c>
      <c r="AO6" s="85" t="str">
        <f>IF(AM6=0,"",(SUMIFS('1'!$L$29:$L$34,'1'!$AG$29:$AG$34,AK6,'1'!$AF$29:$AF$34,1)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5" t="str">
        <f>IF(AM6=0,"",(SUMIFS('1'!$M$29:$M$34,'1'!$AG$29:$AG$34,AK6,'1'!$AF$29:$AF$34,1)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5" t="str">
        <f>IF(AM6=0,"",(SUMIFS('1'!$N$29:$N$34,'1'!$AG$29:$AG$34,AK6,'1'!$AF$29:$AF$34,1)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5" t="str">
        <f>IF(AM6=0,"",(SUMIFS('1'!$O$29:$O$34,'1'!$AG$29:$AG$34,AK6,'1'!$AF$29:$AF$34,1)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5" t="str">
        <f>IF(AM6=0,"",(SUMIFS('1'!$P$29:$P$34,'1'!$AG$29:$AG$34,AK6,'1'!$AF$29:$AF$34,1)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5">
        <v>5.0</v>
      </c>
      <c r="AV6" s="85" t="str">
        <f>IF(COUNTIFS('1'!$AG$29:$AG$34,$AK6,'1'!$AF$29:$AF$34,1)=0,"",SUMIFS('1'!$AC$29:$AC$34,'1'!$AG$29:$AG$34,$AK6,'1'!$AF$29:$AF$34,1)/COUNTIFS('1'!$AG$29:$AG$34,$AK6,'1'!$AF$29:$AF$34,1))</f>
        <v/>
      </c>
      <c r="AW6" s="85" t="str">
        <f>IF(COUNTIFS('2'!$AG$25:$AG$30,$AK6,'2'!$AF$25:$AF$30,1)=0,"",SUMIFS('2'!$AC$25:$AC$30,'2'!$AG$25:$AG$30,$AK6,'2'!$AF$25:$AF$30,1)/COUNTIFS('2'!$AG$25:$AG$30,$AK6,'2'!$AF$25:$AF$30,1))</f>
        <v/>
      </c>
      <c r="AX6" s="85" t="str">
        <f>IF(COUNTIFS('3'!$AG$24:$AG$29,$AK6,'3'!$AF$24:$AF$29,1)=0,"",SUMIFS('3'!$AC$24:$AC$29,'3'!$AG$24:$AG$29,$AK6,'3'!$AF$24:$AF$29,1)/COUNTIFS('3'!$AG$24:$AG$29,$AK6,'3'!$AF$24:$AF$29,1))</f>
        <v/>
      </c>
      <c r="AY6" s="85" t="str">
        <f>IF(COUNTIFS('4'!$AG$25:$AG$30,$AK6,'4'!$AF$25:$AF$30,1)=0,"",SUMIFS('4'!$AC$25:$AC$30,'4'!$AG$25:$AG$30,$AK6,'4'!$AF$25:$AF$30,1)/COUNTIFS('4'!$AG$25:$AG$30,$AK6,'4'!$AF$25:$AF$30,1))</f>
        <v/>
      </c>
      <c r="AZ6" s="85" t="str">
        <f>IF(COUNTIFS('5'!$AG$25:$AG$30,$AK6,'5'!$AF$25:$AF$30,1)=0,"",SUMIFS('5'!$AC$25:$AC$30,'5'!$AG$25:$AG$30,$AK6,'5'!$AF$25:$AF$30,1)/COUNTIFS('5'!$AG$25:$AG$30,$AK6,'5'!$AF$25:$AF$30,1))</f>
        <v/>
      </c>
      <c r="BA6" s="85" t="str">
        <f>IF(COUNTIFS('6'!$AG$25:$AG$30,$AK6,'6'!$AF$25:$AF$30,1)=0,"",SUMIFS('6'!$AC$25:$AC$30,'6'!$AG$25:$AG$30,$AK6,'6'!$AF$25:$AF$30,1)/COUNTIFS('6'!$AG$25:$AG$30,$AK6,'6'!$AF$25:$AF$30,1))</f>
        <v/>
      </c>
      <c r="BB6" s="85" t="str">
        <f>IF(COUNTIFS('7'!$AG$30:$AG$35,$AK6,'7'!$AF$30:$AF$35,1)=0,"",SUMIFS('7'!$AC$30:$AC$35,'7'!$AG$30:$AG$35,$AK6,'7'!$AF$30:$AF$35,1)/COUNTIFS('7'!$AG$30:$AG$35,$AK6,'7'!$AF$30:$AF$35,1))</f>
        <v/>
      </c>
      <c r="BC6" s="85" t="str">
        <f>IF(COUNTIFS('8'!$AG$25:$AG$30,$AK6,'8'!$AF$25:$AF$30,1)=0,"",SUMIFS('8'!$AC$25:$AC$30,'8'!$AG$25:$AG$30,$AK6,'8'!$AF$25:$AF$30,1)/COUNTIFS('8'!$AG$25:$AG$30,$AK6,'8'!$AF$25:$AF$30,1))</f>
        <v/>
      </c>
      <c r="BD6" s="85" t="str">
        <f>IF(COUNTIFS('9'!$AG$25:$AG$30,$AK6,'9'!$AF$25:$AF$30,1)=0,"",SUMIFS('9'!$AC$25:$AC$30,'9'!$AG$25:$AG$30,$AK6,'9'!$AF$25:$AF$30,1)/COUNTIFS('9'!$AG$25:$AG$30,$AK6,'9'!$AF$25:$AF$30,1))</f>
        <v/>
      </c>
      <c r="BE6" s="85" t="str">
        <f>IF(COUNTIFS('10'!$AG$25:$AG$30,$AK6,'10'!$AF$25:$AF$30,1)=0,"",SUMIFS('10'!$AC$25:$AC$30,'10'!$AG$25:$AG$30,$AK6,'10'!$AF$25:$AF$30,1)/COUNTIFS('10'!$AG$25:$AG$30,$AK6,'10'!$AF$25:$AF$30,1))</f>
        <v/>
      </c>
      <c r="BF6" s="85" t="str">
        <f>IF(COUNTIFS('11'!$AG$25:$AG$30,$AK6,'11'!$AF$25:$AF$30,1)=0,"",SUMIFS('11'!$AC$25:$AC$30,'11'!$AG$25:$AG$30,$AK6,'11'!$AF$25:$AF$30,1)/COUNTIFS('11'!$AG$25:$AG$30,$AK6,'11'!$AF$25:$AF$30,1))</f>
        <v/>
      </c>
      <c r="BG6" s="85" t="str">
        <f>IF(COUNTIFS('12'!$AG$25:$AG$30,$AK6,'12'!$AF$25:$AF$30,1)=0,"",SUMIFS('12'!$AC$25:$AC$30,'12'!$AG$25:$AG$30,$AK6,'12'!$AF$25:$AF$30,1)/COUNTIFS('12'!$AG$25:$AG$30,$AK6,'12'!$AF$25:$AF$30,1))</f>
        <v/>
      </c>
      <c r="BH6" s="85" t="str">
        <f>IF(COUNTIFS('13'!$AG$25:$AG$30,$AK6,'13'!$AF$25:$AF$30,1)=0,"",SUMIFS('13'!$AC$25:$AC$30,'13'!$AG$25:$AG$30,$AK6,'13'!$AF$25:$AF$30,1)/COUNTIFS('13'!$AG$25:$AG$30,$AK6,'13'!$AF$25:$AF$30,1))</f>
        <v/>
      </c>
      <c r="BI6" s="85" t="str">
        <f>IF(COUNTIFS('14'!$AG$25:$AG$30,$AK6,'14'!$AF$25:$AF$30,1)=0,"",SUMIFS('14'!$AC$25:$AC$30,'14'!$AG$25:$AG$30,$AK6,'14'!$AF$25:$AF$30,1)/COUNTIFS('14'!$AG$25:$AG$30,$AK6,'14'!$AF$25:$AF$30,1))</f>
        <v/>
      </c>
      <c r="BJ6" s="85" t="str">
        <f>IF(COUNTIFS('15'!$AG$25:$AG$30,$AK6,'15'!$AF$25:$AF$30,1)=0,"",SUMIFS('15'!$AC$25:$AC$30,'15'!$AG$25:$AG$30,$AK6,'15'!$AF$25:$AF$30,1)/COUNTIFS('15'!$AG$25:$AG$30,$AK6,'15'!$AF$25:$AF$30,1))</f>
        <v/>
      </c>
      <c r="BK6" s="85" t="str">
        <f>IF(COUNTIFS('16'!$AG$25:$AG$30,$AK6,'16'!$AF$25:$AF$30,1)=0,"",SUMIFS('16'!$AC$25:$AC$30,'16'!$AG$25:$AG$30,$AK6,'16'!$AF$25:$AF$30,1)/COUNTIFS('16'!$AG$25:$AG$30,$AK6,'16'!$AF$25:$AF$30,1))</f>
        <v/>
      </c>
      <c r="BL6" s="85" t="str">
        <f>IF(COUNTIFS('17'!$AG$25:$AG$30,$AK6,'17'!$AF$25:$AF$30,1)=0,"",SUMIFS('17'!$AC$25:$AC$30,'17'!$AG$25:$AG$30,$AK6,'17'!$AF$25:$AF$30,1)/COUNTIFS('17'!$AG$25:$AG$30,$AK6,'17'!$AF$25:$AF$30,1))</f>
        <v/>
      </c>
      <c r="BM6" s="85" t="str">
        <f>IF(COUNTIFS('18'!$AG$25:$AG$30,$AK6,'18'!$AF$25:$AF$30,1)=0,"",SUMIFS('18'!$AC$25:$AC$30,'18'!$AG$25:$AG$30,$AK6,'18'!$AF$25:$AF$30,1)/COUNTIFS('18'!$AG$25:$AG$30,$AK6,'18'!$AF$25:$AF$30,1))</f>
        <v/>
      </c>
      <c r="BN6" s="85" t="str">
        <f>IF(COUNTIFS('19'!$AG$25:$AG$30,$AK6,'19'!$AF$25:$AF$30,1)=0,"",SUMIFS('19'!$AC$25:$AC$30,'19'!$AG$25:$AG$30,$AK6,'19'!$AF$25:$AF$30,1)/COUNTIFS('19'!$AG$25:$AG$30,$AK6,'19'!$AF$25:$AF$30,1))</f>
        <v/>
      </c>
      <c r="BO6" s="85" t="str">
        <f>IF(COUNTIFS('20'!$AG$25:$AG$30,$AK6,'20'!$AF$25:$AF$30,1)=0,"",SUMIFS('20'!$AC$25:$AC$30,'20'!$AG$25:$AG$30,$AK6,'20'!$AF$25:$AF$30,1)/COUNTIFS('20'!$AG$25:$AG$30,$AK6,'20'!$AF$25:$AF$30,1))</f>
        <v/>
      </c>
      <c r="BP6" s="85" t="str">
        <f>IF(COUNTIFS('21'!$AG$25:$AG$30,$AK6,'21'!$AF$25:$AF$30,1)=0,"",SUMIFS('21'!$AC$25:$AC$30,'21'!$AG$25:$AG$30,$AK6,'21'!$AF$25:$AF$30,1)/COUNTIFS('21'!$AG$25:$AG$30,$AK6,'21'!$AF$25:$AF$30,1))</f>
        <v/>
      </c>
      <c r="BQ6" s="85" t="str">
        <f>IF(COUNTIFS('22'!$AG$25:$AG$30,$AK6,'22'!$AF$25:$AF$30,1)=0,"",SUMIFS('22'!$AC$25:$AC$30,'22'!$AG$25:$AG$30,$AK6,'22'!$AF$25:$AF$30,1)/COUNTIFS('22'!$AG$25:$AG$30,$AK6,'22'!$AF$25:$AF$30,1))</f>
        <v/>
      </c>
      <c r="BR6" s="85" t="str">
        <f>IF(COUNTIFS('23'!$AG$25:$AG$30,$AK6,'23'!$AF$25:$AF$30,1)=0,"",SUMIFS('23'!$AC$25:$AC$30,'23'!$AG$25:$AG$30,$AK6,'23'!$AF$25:$AF$30,1)/COUNTIFS('23'!$AG$25:$AG$30,$AK6,'23'!$AF$25:$AF$30,1))</f>
        <v/>
      </c>
      <c r="BS6" s="85" t="str">
        <f>IF(COUNTIFS('24'!$AG$25:$AG$30,$AK6,'24'!$AF$25:$AF$30,1)=0,"",SUMIFS('24'!$AC$25:$AC$30,'24'!$AG$25:$AG$30,$AK6,'24'!$AF$25:$AF$30,1)/COUNTIFS('24'!$AG$25:$AG$30,$AK6,'24'!$AF$25:$AF$30,1))</f>
        <v/>
      </c>
      <c r="BT6" s="85" t="str">
        <f>IF(COUNTIFS('25'!$AG$25:$AG$30,$AK6,'25'!$AF$25:$AF$30,1)=0,"",SUMIFS('25'!$AC$25:$AC$30,'25'!$AG$25:$AG$30,$AK6,'25'!$AF$25:$AF$30,1)/COUNTIFS('25'!$AG$25:$AG$30,$AK6,'25'!$AF$25:$AF$30,1))</f>
        <v/>
      </c>
      <c r="BU6" s="85" t="str">
        <f>IF(COUNTIFS('26'!$AG$25:$AG$30,$AK6,'26'!$AF$25:$AF$30,1)=0,"",SUMIFS('26'!$AC$25:$AC$30,'26'!$AG$25:$AG$30,$AK6,'26'!$AF$25:$AF$30,1)/COUNTIFS('26'!$AG$25:$AG$30,$AK6,'26'!$AF$25:$AF$30,1))</f>
        <v/>
      </c>
      <c r="BV6" s="85" t="str">
        <f>IF(COUNTIFS('27'!$AG$25:$AG$30,$AK6,'27'!$AF$25:$AF$30,1)=0,"",SUMIFS('27'!$AC$25:$AC$30,'27'!$AG$25:$AG$30,$AK6,'27'!$AF$25:$AF$30,1)/COUNTIFS('27'!$AG$25:$AG$30,$AK6,'27'!$AF$25:$AF$30,1))</f>
        <v/>
      </c>
      <c r="BW6" s="85" t="str">
        <f>IF(COUNTIFS('28'!$AG$25:$AG$30,$AK6,'28'!$AF$25:$AF$30,1)=0,"",SUMIFS('28'!$AC$25:$AC$30,'28'!$AG$25:$AG$30,$AK6,'28'!$AF$25:$AF$30,1)/COUNTIFS('28'!$AG$25:$AG$30,$AK6,'28'!$AF$25:$AF$30,1))</f>
        <v/>
      </c>
      <c r="BX6" s="85" t="str">
        <f>IF(COUNTIFS('29'!$AG$25:$AG$30,$AK6,'29'!$AF$25:$AF$30,1)=0,"",SUMIFS('29'!$AC$25:$AC$30,'29'!$AG$25:$AG$30,$AK6,'29'!$AF$25:$AF$30,1)/COUNTIFS('29'!$AG$25:$AG$30,$AK6,'29'!$AF$25:$AF$30,1))</f>
        <v/>
      </c>
      <c r="BY6" s="85" t="str">
        <f>IF(COUNTIFS('30'!$AG$25:$AG$30,$AK6,'30'!$AF$25:$AF$30,1)=0,"",SUMIFS('30'!$AC$25:$AC$30,'30'!$AG$25:$AG$30,$AK6,'30'!$AF$25:$AF$30,1)/COUNTIFS('30'!$AG$25:$AG$30,$AK6,'30'!$AF$25:$AF$30,1))</f>
        <v/>
      </c>
      <c r="BZ6" s="85" t="str">
        <f>IF(COUNTIFS('31'!$AG$28:$AG$33,$AK6,'31'!$AF$28:$AF$33,1)=0,"",SUMIFS('31'!$AC$28:$AC$33,'31'!$AG$28:$AG$33,$AK6,'31'!$AF$28:$AF$33,1)/COUNTIFS('31'!$AG$28:$AG$33,$AK6,'31'!$AF$28:$AF$33,1))</f>
        <v/>
      </c>
      <c r="CA6" s="85" t="s">
        <v>117</v>
      </c>
      <c r="CB6" s="85">
        <f t="shared" si="6"/>
        <v>1</v>
      </c>
    </row>
    <row r="7">
      <c r="A7" s="143">
        <f>IF(LARGE($Y$5:$Y$17,2)=0,"",2)</f>
        <v>2</v>
      </c>
      <c r="B7" s="143" t="str">
        <f t="shared" si="7"/>
        <v>Graduation</v>
      </c>
      <c r="C7" s="143">
        <f t="shared" si="8"/>
        <v>4</v>
      </c>
      <c r="D7" s="144">
        <f t="shared" si="9"/>
        <v>0.2666666667</v>
      </c>
      <c r="E7" s="144">
        <f t="shared" si="10"/>
        <v>0.5333333333</v>
      </c>
      <c r="X7" s="85" t="s">
        <v>54</v>
      </c>
      <c r="Y7" s="85">
        <f>COUNTIF('1'!$D$4:$D$20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5">
        <f t="shared" si="1"/>
        <v>1.00011</v>
      </c>
      <c r="AA7" s="85" t="s">
        <v>25</v>
      </c>
      <c r="AB7" s="85" t="s">
        <v>112</v>
      </c>
      <c r="AC7" s="85">
        <f>COUNTIF('1'!$O$22:$O$25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5">
        <f t="shared" si="2"/>
        <v>3.00009</v>
      </c>
      <c r="AE7" s="85" t="s">
        <v>25</v>
      </c>
      <c r="AF7" s="85">
        <f>COUNTIF('1'!$L$4:$L$20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5">
        <f t="shared" si="3"/>
        <v>18.00003</v>
      </c>
      <c r="AH7" s="85" t="s">
        <v>35</v>
      </c>
      <c r="AI7" s="85">
        <f>COUNTIF('1'!$M$4:$M$20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5">
        <f t="shared" si="4"/>
        <v>8.00004</v>
      </c>
      <c r="AK7" s="85" t="s">
        <v>25</v>
      </c>
      <c r="AL7" s="85" t="s">
        <v>112</v>
      </c>
      <c r="AM7" s="85">
        <f>COUNTIFS('1'!$AG$29:$AG$34,AK7,'1'!$AF$29:$AF$34,1)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5">
        <f t="shared" si="5"/>
        <v>80</v>
      </c>
      <c r="AO7" s="85">
        <f>IF(AM7=0,"",(SUMIFS('1'!$L$29:$L$34,'1'!$AG$29:$AG$34,AK7,'1'!$AF$29:$AF$34,1)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5">
        <f>IF(AM7=0,"",(SUMIFS('1'!$M$29:$M$34,'1'!$AG$29:$AG$34,AK7,'1'!$AF$29:$AF$34,1)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5">
        <f>IF(AM7=0,"",(SUMIFS('1'!$N$29:$N$34,'1'!$AG$29:$AG$34,AK7,'1'!$AF$29:$AF$34,1)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5">
        <f>IF(AM7=0,"",(SUMIFS('1'!$O$29:$O$34,'1'!$AG$29:$AG$34,AK7,'1'!$AF$29:$AF$34,1)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5">
        <f>IF(AM7=0,"",(SUMIFS('1'!$P$29:$P$34,'1'!$AG$29:$AG$34,AK7,'1'!$AF$29:$AF$34,1)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5">
        <f>IF(COUNTIFS('1'!$AG$29:$AG$34,$AK7,'1'!$AF$29:$AF$34,1)=0,"",SUMIFS('1'!$AC$29:$AC$34,'1'!$AG$29:$AG$34,$AK7,'1'!$AF$29:$AF$34,1)/COUNTIFS('1'!$AG$29:$AG$34,$AK7,'1'!$AF$29:$AF$34,1))</f>
        <v>80</v>
      </c>
      <c r="AW7" s="85" t="str">
        <f>IF(COUNTIFS('2'!$AG$25:$AG$30,$AK7,'2'!$AF$25:$AF$30,1)=0,"",SUMIFS('2'!$AC$25:$AC$30,'2'!$AG$25:$AG$30,$AK7,'2'!$AF$25:$AF$30,1)/COUNTIFS('2'!$AG$25:$AG$30,$AK7,'2'!$AF$25:$AF$30,1))</f>
        <v/>
      </c>
      <c r="AX7" s="85" t="str">
        <f>IF(COUNTIFS('3'!$AG$24:$AG$29,$AK7,'3'!$AF$24:$AF$29,1)=0,"",SUMIFS('3'!$AC$24:$AC$29,'3'!$AG$24:$AG$29,$AK7,'3'!$AF$24:$AF$29,1)/COUNTIFS('3'!$AG$24:$AG$29,$AK7,'3'!$AF$24:$AF$29,1))</f>
        <v/>
      </c>
      <c r="AY7" s="85" t="str">
        <f>IF(COUNTIFS('4'!$AG$25:$AG$30,$AK7,'4'!$AF$25:$AF$30,1)=0,"",SUMIFS('4'!$AC$25:$AC$30,'4'!$AG$25:$AG$30,$AK7,'4'!$AF$25:$AF$30,1)/COUNTIFS('4'!$AG$25:$AG$30,$AK7,'4'!$AF$25:$AF$30,1))</f>
        <v/>
      </c>
      <c r="AZ7" s="85" t="str">
        <f>IF(COUNTIFS('5'!$AG$25:$AG$30,$AK7,'5'!$AF$25:$AF$30,1)=0,"",SUMIFS('5'!$AC$25:$AC$30,'5'!$AG$25:$AG$30,$AK7,'5'!$AF$25:$AF$30,1)/COUNTIFS('5'!$AG$25:$AG$30,$AK7,'5'!$AF$25:$AF$30,1))</f>
        <v/>
      </c>
      <c r="BA7" s="85" t="str">
        <f>IF(COUNTIFS('6'!$AG$25:$AG$30,$AK7,'6'!$AF$25:$AF$30,1)=0,"",SUMIFS('6'!$AC$25:$AC$30,'6'!$AG$25:$AG$30,$AK7,'6'!$AF$25:$AF$30,1)/COUNTIFS('6'!$AG$25:$AG$30,$AK7,'6'!$AF$25:$AF$30,1))</f>
        <v/>
      </c>
      <c r="BB7" s="85" t="str">
        <f>IF(COUNTIFS('7'!$AG$30:$AG$35,$AK7,'7'!$AF$30:$AF$35,1)=0,"",SUMIFS('7'!$AC$30:$AC$35,'7'!$AG$30:$AG$35,$AK7,'7'!$AF$30:$AF$35,1)/COUNTIFS('7'!$AG$30:$AG$35,$AK7,'7'!$AF$30:$AF$35,1))</f>
        <v/>
      </c>
      <c r="BC7" s="85" t="str">
        <f>IF(COUNTIFS('8'!$AG$25:$AG$30,$AK7,'8'!$AF$25:$AF$30,1)=0,"",SUMIFS('8'!$AC$25:$AC$30,'8'!$AG$25:$AG$30,$AK7,'8'!$AF$25:$AF$30,1)/COUNTIFS('8'!$AG$25:$AG$30,$AK7,'8'!$AF$25:$AF$30,1))</f>
        <v/>
      </c>
      <c r="BD7" s="85" t="str">
        <f>IF(COUNTIFS('9'!$AG$25:$AG$30,$AK7,'9'!$AF$25:$AF$30,1)=0,"",SUMIFS('9'!$AC$25:$AC$30,'9'!$AG$25:$AG$30,$AK7,'9'!$AF$25:$AF$30,1)/COUNTIFS('9'!$AG$25:$AG$30,$AK7,'9'!$AF$25:$AF$30,1))</f>
        <v/>
      </c>
      <c r="BE7" s="85" t="str">
        <f>IF(COUNTIFS('10'!$AG$25:$AG$30,$AK7,'10'!$AF$25:$AF$30,1)=0,"",SUMIFS('10'!$AC$25:$AC$30,'10'!$AG$25:$AG$30,$AK7,'10'!$AF$25:$AF$30,1)/COUNTIFS('10'!$AG$25:$AG$30,$AK7,'10'!$AF$25:$AF$30,1))</f>
        <v/>
      </c>
      <c r="BF7" s="85" t="str">
        <f>IF(COUNTIFS('11'!$AG$25:$AG$30,$AK7,'11'!$AF$25:$AF$30,1)=0,"",SUMIFS('11'!$AC$25:$AC$30,'11'!$AG$25:$AG$30,$AK7,'11'!$AF$25:$AF$30,1)/COUNTIFS('11'!$AG$25:$AG$30,$AK7,'11'!$AF$25:$AF$30,1))</f>
        <v/>
      </c>
      <c r="BG7" s="85" t="str">
        <f>IF(COUNTIFS('12'!$AG$25:$AG$30,$AK7,'12'!$AF$25:$AF$30,1)=0,"",SUMIFS('12'!$AC$25:$AC$30,'12'!$AG$25:$AG$30,$AK7,'12'!$AF$25:$AF$30,1)/COUNTIFS('12'!$AG$25:$AG$30,$AK7,'12'!$AF$25:$AF$30,1))</f>
        <v/>
      </c>
      <c r="BH7" s="85" t="str">
        <f>IF(COUNTIFS('13'!$AG$25:$AG$30,$AK7,'13'!$AF$25:$AF$30,1)=0,"",SUMIFS('13'!$AC$25:$AC$30,'13'!$AG$25:$AG$30,$AK7,'13'!$AF$25:$AF$30,1)/COUNTIFS('13'!$AG$25:$AG$30,$AK7,'13'!$AF$25:$AF$30,1))</f>
        <v/>
      </c>
      <c r="BI7" s="85" t="str">
        <f>IF(COUNTIFS('14'!$AG$25:$AG$30,$AK7,'14'!$AF$25:$AF$30,1)=0,"",SUMIFS('14'!$AC$25:$AC$30,'14'!$AG$25:$AG$30,$AK7,'14'!$AF$25:$AF$30,1)/COUNTIFS('14'!$AG$25:$AG$30,$AK7,'14'!$AF$25:$AF$30,1))</f>
        <v/>
      </c>
      <c r="BJ7" s="85" t="str">
        <f>IF(COUNTIFS('15'!$AG$25:$AG$30,$AK7,'15'!$AF$25:$AF$30,1)=0,"",SUMIFS('15'!$AC$25:$AC$30,'15'!$AG$25:$AG$30,$AK7,'15'!$AF$25:$AF$30,1)/COUNTIFS('15'!$AG$25:$AG$30,$AK7,'15'!$AF$25:$AF$30,1))</f>
        <v/>
      </c>
      <c r="BK7" s="85" t="str">
        <f>IF(COUNTIFS('16'!$AG$25:$AG$30,$AK7,'16'!$AF$25:$AF$30,1)=0,"",SUMIFS('16'!$AC$25:$AC$30,'16'!$AG$25:$AG$30,$AK7,'16'!$AF$25:$AF$30,1)/COUNTIFS('16'!$AG$25:$AG$30,$AK7,'16'!$AF$25:$AF$30,1))</f>
        <v/>
      </c>
      <c r="BL7" s="85" t="str">
        <f>IF(COUNTIFS('17'!$AG$25:$AG$30,$AK7,'17'!$AF$25:$AF$30,1)=0,"",SUMIFS('17'!$AC$25:$AC$30,'17'!$AG$25:$AG$30,$AK7,'17'!$AF$25:$AF$30,1)/COUNTIFS('17'!$AG$25:$AG$30,$AK7,'17'!$AF$25:$AF$30,1))</f>
        <v/>
      </c>
      <c r="BM7" s="85" t="str">
        <f>IF(COUNTIFS('18'!$AG$25:$AG$30,$AK7,'18'!$AF$25:$AF$30,1)=0,"",SUMIFS('18'!$AC$25:$AC$30,'18'!$AG$25:$AG$30,$AK7,'18'!$AF$25:$AF$30,1)/COUNTIFS('18'!$AG$25:$AG$30,$AK7,'18'!$AF$25:$AF$30,1))</f>
        <v/>
      </c>
      <c r="BN7" s="85" t="str">
        <f>IF(COUNTIFS('19'!$AG$25:$AG$30,$AK7,'19'!$AF$25:$AF$30,1)=0,"",SUMIFS('19'!$AC$25:$AC$30,'19'!$AG$25:$AG$30,$AK7,'19'!$AF$25:$AF$30,1)/COUNTIFS('19'!$AG$25:$AG$30,$AK7,'19'!$AF$25:$AF$30,1))</f>
        <v/>
      </c>
      <c r="BO7" s="85" t="str">
        <f>IF(COUNTIFS('20'!$AG$25:$AG$30,$AK7,'20'!$AF$25:$AF$30,1)=0,"",SUMIFS('20'!$AC$25:$AC$30,'20'!$AG$25:$AG$30,$AK7,'20'!$AF$25:$AF$30,1)/COUNTIFS('20'!$AG$25:$AG$30,$AK7,'20'!$AF$25:$AF$30,1))</f>
        <v/>
      </c>
      <c r="BP7" s="85" t="str">
        <f>IF(COUNTIFS('21'!$AG$25:$AG$30,$AK7,'21'!$AF$25:$AF$30,1)=0,"",SUMIFS('21'!$AC$25:$AC$30,'21'!$AG$25:$AG$30,$AK7,'21'!$AF$25:$AF$30,1)/COUNTIFS('21'!$AG$25:$AG$30,$AK7,'21'!$AF$25:$AF$30,1))</f>
        <v/>
      </c>
      <c r="BQ7" s="85" t="str">
        <f>IF(COUNTIFS('22'!$AG$25:$AG$30,$AK7,'22'!$AF$25:$AF$30,1)=0,"",SUMIFS('22'!$AC$25:$AC$30,'22'!$AG$25:$AG$30,$AK7,'22'!$AF$25:$AF$30,1)/COUNTIFS('22'!$AG$25:$AG$30,$AK7,'22'!$AF$25:$AF$30,1))</f>
        <v/>
      </c>
      <c r="BR7" s="85" t="str">
        <f>IF(COUNTIFS('23'!$AG$25:$AG$30,$AK7,'23'!$AF$25:$AF$30,1)=0,"",SUMIFS('23'!$AC$25:$AC$30,'23'!$AG$25:$AG$30,$AK7,'23'!$AF$25:$AF$30,1)/COUNTIFS('23'!$AG$25:$AG$30,$AK7,'23'!$AF$25:$AF$30,1))</f>
        <v/>
      </c>
      <c r="BS7" s="85" t="str">
        <f>IF(COUNTIFS('24'!$AG$25:$AG$30,$AK7,'24'!$AF$25:$AF$30,1)=0,"",SUMIFS('24'!$AC$25:$AC$30,'24'!$AG$25:$AG$30,$AK7,'24'!$AF$25:$AF$30,1)/COUNTIFS('24'!$AG$25:$AG$30,$AK7,'24'!$AF$25:$AF$30,1))</f>
        <v/>
      </c>
      <c r="BT7" s="85" t="str">
        <f>IF(COUNTIFS('25'!$AG$25:$AG$30,$AK7,'25'!$AF$25:$AF$30,1)=0,"",SUMIFS('25'!$AC$25:$AC$30,'25'!$AG$25:$AG$30,$AK7,'25'!$AF$25:$AF$30,1)/COUNTIFS('25'!$AG$25:$AG$30,$AK7,'25'!$AF$25:$AF$30,1))</f>
        <v/>
      </c>
      <c r="BU7" s="85" t="str">
        <f>IF(COUNTIFS('26'!$AG$25:$AG$30,$AK7,'26'!$AF$25:$AF$30,1)=0,"",SUMIFS('26'!$AC$25:$AC$30,'26'!$AG$25:$AG$30,$AK7,'26'!$AF$25:$AF$30,1)/COUNTIFS('26'!$AG$25:$AG$30,$AK7,'26'!$AF$25:$AF$30,1))</f>
        <v/>
      </c>
      <c r="BV7" s="85" t="str">
        <f>IF(COUNTIFS('27'!$AG$25:$AG$30,$AK7,'27'!$AF$25:$AF$30,1)=0,"",SUMIFS('27'!$AC$25:$AC$30,'27'!$AG$25:$AG$30,$AK7,'27'!$AF$25:$AF$30,1)/COUNTIFS('27'!$AG$25:$AG$30,$AK7,'27'!$AF$25:$AF$30,1))</f>
        <v/>
      </c>
      <c r="BW7" s="85" t="str">
        <f>IF(COUNTIFS('28'!$AG$25:$AG$30,$AK7,'28'!$AF$25:$AF$30,1)=0,"",SUMIFS('28'!$AC$25:$AC$30,'28'!$AG$25:$AG$30,$AK7,'28'!$AF$25:$AF$30,1)/COUNTIFS('28'!$AG$25:$AG$30,$AK7,'28'!$AF$25:$AF$30,1))</f>
        <v/>
      </c>
      <c r="BX7" s="85" t="str">
        <f>IF(COUNTIFS('29'!$AG$25:$AG$30,$AK7,'29'!$AF$25:$AF$30,1)=0,"",SUMIFS('29'!$AC$25:$AC$30,'29'!$AG$25:$AG$30,$AK7,'29'!$AF$25:$AF$30,1)/COUNTIFS('29'!$AG$25:$AG$30,$AK7,'29'!$AF$25:$AF$30,1))</f>
        <v/>
      </c>
      <c r="BY7" s="85" t="str">
        <f>IF(COUNTIFS('30'!$AG$25:$AG$30,$AK7,'30'!$AF$25:$AF$30,1)=0,"",SUMIFS('30'!$AC$25:$AC$30,'30'!$AG$25:$AG$30,$AK7,'30'!$AF$25:$AF$30,1)/COUNTIFS('30'!$AG$25:$AG$30,$AK7,'30'!$AF$25:$AF$30,1))</f>
        <v/>
      </c>
      <c r="BZ7" s="85" t="str">
        <f>IF(COUNTIFS('31'!$AG$28:$AG$33,$AK7,'31'!$AF$28:$AF$33,1)=0,"",SUMIFS('31'!$AC$28:$AC$33,'31'!$AG$28:$AG$33,$AK7,'31'!$AF$28:$AF$33,1)/COUNTIFS('31'!$AG$28:$AG$33,$AK7,'31'!$AF$28:$AF$33,1))</f>
        <v/>
      </c>
      <c r="CA7" s="85" t="s">
        <v>128</v>
      </c>
      <c r="CB7" s="85">
        <f t="shared" si="6"/>
        <v>0</v>
      </c>
    </row>
    <row r="8">
      <c r="A8" s="143">
        <f>IF(LARGE($Y$5:$Y$17,3)=0,"",3)</f>
        <v>3</v>
      </c>
      <c r="B8" s="143" t="str">
        <f t="shared" si="7"/>
        <v>Photofox</v>
      </c>
      <c r="C8" s="143">
        <f t="shared" si="8"/>
        <v>2</v>
      </c>
      <c r="D8" s="144">
        <f t="shared" si="9"/>
        <v>0.1333333333</v>
      </c>
      <c r="E8" s="144">
        <f t="shared" si="10"/>
        <v>0.6666666667</v>
      </c>
      <c r="X8" s="85" t="s">
        <v>52</v>
      </c>
      <c r="Y8" s="85">
        <f>COUNTIF('1'!$D$4:$D$20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5">
        <f t="shared" si="1"/>
        <v>1.0001</v>
      </c>
      <c r="AA8" s="85" t="s">
        <v>122</v>
      </c>
      <c r="AB8" s="85" t="s">
        <v>112</v>
      </c>
      <c r="AC8" s="85">
        <f>COUNTIF('1'!$O$22:$O$25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5">
        <f t="shared" si="2"/>
        <v>0.00008</v>
      </c>
      <c r="AE8" s="85" t="s">
        <v>122</v>
      </c>
      <c r="AF8" s="85">
        <f>COUNTIF('1'!$L$4:$L$20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5">
        <f t="shared" si="3"/>
        <v>0.00002</v>
      </c>
      <c r="AH8" s="85" t="s">
        <v>125</v>
      </c>
      <c r="AI8" s="85">
        <f>COUNTIF('1'!$M$4:$M$20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5">
        <f t="shared" si="4"/>
        <v>0.00003</v>
      </c>
      <c r="AK8" s="85" t="s">
        <v>122</v>
      </c>
      <c r="AL8" s="85" t="s">
        <v>112</v>
      </c>
      <c r="AM8" s="85">
        <f>COUNTIFS('1'!$AG$29:$AG$34,AK8,'1'!$AF$29:$AF$34,1)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5" t="str">
        <f t="shared" si="5"/>
        <v/>
      </c>
      <c r="AO8" s="85" t="str">
        <f>IF(AM8=0,"",(SUMIFS('1'!$L$29:$L$34,'1'!$AG$29:$AG$34,AK8,'1'!$AF$29:$AF$34,1)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5" t="str">
        <f>IF(AM8=0,"",(SUMIFS('1'!$M$29:$M$34,'1'!$AG$29:$AG$34,AK8,'1'!$AF$29:$AF$34,1)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5" t="str">
        <f>IF(AM8=0,"",(SUMIFS('1'!$N$29:$N$34,'1'!$AG$29:$AG$34,AK8,'1'!$AF$29:$AF$34,1)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5" t="str">
        <f>IF(AM8=0,"",(SUMIFS('1'!$O$29:$O$34,'1'!$AG$29:$AG$34,AK8,'1'!$AF$29:$AF$34,1)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5" t="str">
        <f>IF(AM8=0,"",(SUMIFS('1'!$P$29:$P$34,'1'!$AG$29:$AG$34,AK8,'1'!$AF$29:$AF$34,1)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5" t="str">
        <f>IF(COUNTIFS('1'!$AG$29:$AG$34,$AK8,'1'!$AF$29:$AF$34,1)=0,"",SUMIFS('1'!$AC$29:$AC$34,'1'!$AG$29:$AG$34,$AK8,'1'!$AF$29:$AF$34,1)/COUNTIFS('1'!$AG$29:$AG$34,$AK8,'1'!$AF$29:$AF$34,1))</f>
        <v/>
      </c>
      <c r="AW8" s="85" t="str">
        <f>IF(COUNTIFS('2'!$AG$25:$AG$30,$AK8,'2'!$AF$25:$AF$30,1)=0,"",SUMIFS('2'!$AC$25:$AC$30,'2'!$AG$25:$AG$30,$AK8,'2'!$AF$25:$AF$30,1)/COUNTIFS('2'!$AG$25:$AG$30,$AK8,'2'!$AF$25:$AF$30,1))</f>
        <v/>
      </c>
      <c r="AX8" s="85" t="str">
        <f>IF(COUNTIFS('3'!$AG$24:$AG$29,$AK8,'3'!$AF$24:$AF$29,1)=0,"",SUMIFS('3'!$AC$24:$AC$29,'3'!$AG$24:$AG$29,$AK8,'3'!$AF$24:$AF$29,1)/COUNTIFS('3'!$AG$24:$AG$29,$AK8,'3'!$AF$24:$AF$29,1))</f>
        <v/>
      </c>
      <c r="AY8" s="85" t="str">
        <f>IF(COUNTIFS('4'!$AG$25:$AG$30,$AK8,'4'!$AF$25:$AF$30,1)=0,"",SUMIFS('4'!$AC$25:$AC$30,'4'!$AG$25:$AG$30,$AK8,'4'!$AF$25:$AF$30,1)/COUNTIFS('4'!$AG$25:$AG$30,$AK8,'4'!$AF$25:$AF$30,1))</f>
        <v/>
      </c>
      <c r="AZ8" s="85" t="str">
        <f>IF(COUNTIFS('5'!$AG$25:$AG$30,$AK8,'5'!$AF$25:$AF$30,1)=0,"",SUMIFS('5'!$AC$25:$AC$30,'5'!$AG$25:$AG$30,$AK8,'5'!$AF$25:$AF$30,1)/COUNTIFS('5'!$AG$25:$AG$30,$AK8,'5'!$AF$25:$AF$30,1))</f>
        <v/>
      </c>
      <c r="BA8" s="85" t="str">
        <f>IF(COUNTIFS('6'!$AG$25:$AG$30,$AK8,'6'!$AF$25:$AF$30,1)=0,"",SUMIFS('6'!$AC$25:$AC$30,'6'!$AG$25:$AG$30,$AK8,'6'!$AF$25:$AF$30,1)/COUNTIFS('6'!$AG$25:$AG$30,$AK8,'6'!$AF$25:$AF$30,1))</f>
        <v/>
      </c>
      <c r="BB8" s="85" t="str">
        <f>IF(COUNTIFS('7'!$AG$30:$AG$35,$AK8,'7'!$AF$30:$AF$35,1)=0,"",SUMIFS('7'!$AC$30:$AC$35,'7'!$AG$30:$AG$35,$AK8,'7'!$AF$30:$AF$35,1)/COUNTIFS('7'!$AG$30:$AG$35,$AK8,'7'!$AF$30:$AF$35,1))</f>
        <v/>
      </c>
      <c r="BC8" s="85" t="str">
        <f>IF(COUNTIFS('8'!$AG$25:$AG$30,$AK8,'8'!$AF$25:$AF$30,1)=0,"",SUMIFS('8'!$AC$25:$AC$30,'8'!$AG$25:$AG$30,$AK8,'8'!$AF$25:$AF$30,1)/COUNTIFS('8'!$AG$25:$AG$30,$AK8,'8'!$AF$25:$AF$30,1))</f>
        <v/>
      </c>
      <c r="BD8" s="85" t="str">
        <f>IF(COUNTIFS('9'!$AG$25:$AG$30,$AK8,'9'!$AF$25:$AF$30,1)=0,"",SUMIFS('9'!$AC$25:$AC$30,'9'!$AG$25:$AG$30,$AK8,'9'!$AF$25:$AF$30,1)/COUNTIFS('9'!$AG$25:$AG$30,$AK8,'9'!$AF$25:$AF$30,1))</f>
        <v/>
      </c>
      <c r="BE8" s="85" t="str">
        <f>IF(COUNTIFS('10'!$AG$25:$AG$30,$AK8,'10'!$AF$25:$AF$30,1)=0,"",SUMIFS('10'!$AC$25:$AC$30,'10'!$AG$25:$AG$30,$AK8,'10'!$AF$25:$AF$30,1)/COUNTIFS('10'!$AG$25:$AG$30,$AK8,'10'!$AF$25:$AF$30,1))</f>
        <v/>
      </c>
      <c r="BF8" s="85" t="str">
        <f>IF(COUNTIFS('11'!$AG$25:$AG$30,$AK8,'11'!$AF$25:$AF$30,1)=0,"",SUMIFS('11'!$AC$25:$AC$30,'11'!$AG$25:$AG$30,$AK8,'11'!$AF$25:$AF$30,1)/COUNTIFS('11'!$AG$25:$AG$30,$AK8,'11'!$AF$25:$AF$30,1))</f>
        <v/>
      </c>
      <c r="BG8" s="85" t="str">
        <f>IF(COUNTIFS('12'!$AG$25:$AG$30,$AK8,'12'!$AF$25:$AF$30,1)=0,"",SUMIFS('12'!$AC$25:$AC$30,'12'!$AG$25:$AG$30,$AK8,'12'!$AF$25:$AF$30,1)/COUNTIFS('12'!$AG$25:$AG$30,$AK8,'12'!$AF$25:$AF$30,1))</f>
        <v/>
      </c>
      <c r="BH8" s="85" t="str">
        <f>IF(COUNTIFS('13'!$AG$25:$AG$30,$AK8,'13'!$AF$25:$AF$30,1)=0,"",SUMIFS('13'!$AC$25:$AC$30,'13'!$AG$25:$AG$30,$AK8,'13'!$AF$25:$AF$30,1)/COUNTIFS('13'!$AG$25:$AG$30,$AK8,'13'!$AF$25:$AF$30,1))</f>
        <v/>
      </c>
      <c r="BI8" s="85" t="str">
        <f>IF(COUNTIFS('14'!$AG$25:$AG$30,$AK8,'14'!$AF$25:$AF$30,1)=0,"",SUMIFS('14'!$AC$25:$AC$30,'14'!$AG$25:$AG$30,$AK8,'14'!$AF$25:$AF$30,1)/COUNTIFS('14'!$AG$25:$AG$30,$AK8,'14'!$AF$25:$AF$30,1))</f>
        <v/>
      </c>
      <c r="BJ8" s="85" t="str">
        <f>IF(COUNTIFS('15'!$AG$25:$AG$30,$AK8,'15'!$AF$25:$AF$30,1)=0,"",SUMIFS('15'!$AC$25:$AC$30,'15'!$AG$25:$AG$30,$AK8,'15'!$AF$25:$AF$30,1)/COUNTIFS('15'!$AG$25:$AG$30,$AK8,'15'!$AF$25:$AF$30,1))</f>
        <v/>
      </c>
      <c r="BK8" s="85" t="str">
        <f>IF(COUNTIFS('16'!$AG$25:$AG$30,$AK8,'16'!$AF$25:$AF$30,1)=0,"",SUMIFS('16'!$AC$25:$AC$30,'16'!$AG$25:$AG$30,$AK8,'16'!$AF$25:$AF$30,1)/COUNTIFS('16'!$AG$25:$AG$30,$AK8,'16'!$AF$25:$AF$30,1))</f>
        <v/>
      </c>
      <c r="BL8" s="85" t="str">
        <f>IF(COUNTIFS('17'!$AG$25:$AG$30,$AK8,'17'!$AF$25:$AF$30,1)=0,"",SUMIFS('17'!$AC$25:$AC$30,'17'!$AG$25:$AG$30,$AK8,'17'!$AF$25:$AF$30,1)/COUNTIFS('17'!$AG$25:$AG$30,$AK8,'17'!$AF$25:$AF$30,1))</f>
        <v/>
      </c>
      <c r="BM8" s="85" t="str">
        <f>IF(COUNTIFS('18'!$AG$25:$AG$30,$AK8,'18'!$AF$25:$AF$30,1)=0,"",SUMIFS('18'!$AC$25:$AC$30,'18'!$AG$25:$AG$30,$AK8,'18'!$AF$25:$AF$30,1)/COUNTIFS('18'!$AG$25:$AG$30,$AK8,'18'!$AF$25:$AF$30,1))</f>
        <v/>
      </c>
      <c r="BN8" s="85" t="str">
        <f>IF(COUNTIFS('19'!$AG$25:$AG$30,$AK8,'19'!$AF$25:$AF$30,1)=0,"",SUMIFS('19'!$AC$25:$AC$30,'19'!$AG$25:$AG$30,$AK8,'19'!$AF$25:$AF$30,1)/COUNTIFS('19'!$AG$25:$AG$30,$AK8,'19'!$AF$25:$AF$30,1))</f>
        <v/>
      </c>
      <c r="BO8" s="85" t="str">
        <f>IF(COUNTIFS('20'!$AG$25:$AG$30,$AK8,'20'!$AF$25:$AF$30,1)=0,"",SUMIFS('20'!$AC$25:$AC$30,'20'!$AG$25:$AG$30,$AK8,'20'!$AF$25:$AF$30,1)/COUNTIFS('20'!$AG$25:$AG$30,$AK8,'20'!$AF$25:$AF$30,1))</f>
        <v/>
      </c>
      <c r="BP8" s="85" t="str">
        <f>IF(COUNTIFS('21'!$AG$25:$AG$30,$AK8,'21'!$AF$25:$AF$30,1)=0,"",SUMIFS('21'!$AC$25:$AC$30,'21'!$AG$25:$AG$30,$AK8,'21'!$AF$25:$AF$30,1)/COUNTIFS('21'!$AG$25:$AG$30,$AK8,'21'!$AF$25:$AF$30,1))</f>
        <v/>
      </c>
      <c r="BQ8" s="85" t="str">
        <f>IF(COUNTIFS('22'!$AG$25:$AG$30,$AK8,'22'!$AF$25:$AF$30,1)=0,"",SUMIFS('22'!$AC$25:$AC$30,'22'!$AG$25:$AG$30,$AK8,'22'!$AF$25:$AF$30,1)/COUNTIFS('22'!$AG$25:$AG$30,$AK8,'22'!$AF$25:$AF$30,1))</f>
        <v/>
      </c>
      <c r="BR8" s="85" t="str">
        <f>IF(COUNTIFS('23'!$AG$25:$AG$30,$AK8,'23'!$AF$25:$AF$30,1)=0,"",SUMIFS('23'!$AC$25:$AC$30,'23'!$AG$25:$AG$30,$AK8,'23'!$AF$25:$AF$30,1)/COUNTIFS('23'!$AG$25:$AG$30,$AK8,'23'!$AF$25:$AF$30,1))</f>
        <v/>
      </c>
      <c r="BS8" s="85" t="str">
        <f>IF(COUNTIFS('24'!$AG$25:$AG$30,$AK8,'24'!$AF$25:$AF$30,1)=0,"",SUMIFS('24'!$AC$25:$AC$30,'24'!$AG$25:$AG$30,$AK8,'24'!$AF$25:$AF$30,1)/COUNTIFS('24'!$AG$25:$AG$30,$AK8,'24'!$AF$25:$AF$30,1))</f>
        <v/>
      </c>
      <c r="BT8" s="85" t="str">
        <f>IF(COUNTIFS('25'!$AG$25:$AG$30,$AK8,'25'!$AF$25:$AF$30,1)=0,"",SUMIFS('25'!$AC$25:$AC$30,'25'!$AG$25:$AG$30,$AK8,'25'!$AF$25:$AF$30,1)/COUNTIFS('25'!$AG$25:$AG$30,$AK8,'25'!$AF$25:$AF$30,1))</f>
        <v/>
      </c>
      <c r="BU8" s="85" t="str">
        <f>IF(COUNTIFS('26'!$AG$25:$AG$30,$AK8,'26'!$AF$25:$AF$30,1)=0,"",SUMIFS('26'!$AC$25:$AC$30,'26'!$AG$25:$AG$30,$AK8,'26'!$AF$25:$AF$30,1)/COUNTIFS('26'!$AG$25:$AG$30,$AK8,'26'!$AF$25:$AF$30,1))</f>
        <v/>
      </c>
      <c r="BV8" s="85" t="str">
        <f>IF(COUNTIFS('27'!$AG$25:$AG$30,$AK8,'27'!$AF$25:$AF$30,1)=0,"",SUMIFS('27'!$AC$25:$AC$30,'27'!$AG$25:$AG$30,$AK8,'27'!$AF$25:$AF$30,1)/COUNTIFS('27'!$AG$25:$AG$30,$AK8,'27'!$AF$25:$AF$30,1))</f>
        <v/>
      </c>
      <c r="BW8" s="85" t="str">
        <f>IF(COUNTIFS('28'!$AG$25:$AG$30,$AK8,'28'!$AF$25:$AF$30,1)=0,"",SUMIFS('28'!$AC$25:$AC$30,'28'!$AG$25:$AG$30,$AK8,'28'!$AF$25:$AF$30,1)/COUNTIFS('28'!$AG$25:$AG$30,$AK8,'28'!$AF$25:$AF$30,1))</f>
        <v/>
      </c>
      <c r="BX8" s="85" t="str">
        <f>IF(COUNTIFS('29'!$AG$25:$AG$30,$AK8,'29'!$AF$25:$AF$30,1)=0,"",SUMIFS('29'!$AC$25:$AC$30,'29'!$AG$25:$AG$30,$AK8,'29'!$AF$25:$AF$30,1)/COUNTIFS('29'!$AG$25:$AG$30,$AK8,'29'!$AF$25:$AF$30,1))</f>
        <v/>
      </c>
      <c r="BY8" s="85" t="str">
        <f>IF(COUNTIFS('30'!$AG$25:$AG$30,$AK8,'30'!$AF$25:$AF$30,1)=0,"",SUMIFS('30'!$AC$25:$AC$30,'30'!$AG$25:$AG$30,$AK8,'30'!$AF$25:$AF$30,1)/COUNTIFS('30'!$AG$25:$AG$30,$AK8,'30'!$AF$25:$AF$30,1))</f>
        <v/>
      </c>
      <c r="BZ8" s="85" t="str">
        <f>IF(COUNTIFS('31'!$AG$28:$AG$33,$AK8,'31'!$AF$28:$AF$33,1)=0,"",SUMIFS('31'!$AC$28:$AC$33,'31'!$AG$28:$AG$33,$AK8,'31'!$AF$28:$AF$33,1)/COUNTIFS('31'!$AG$28:$AG$33,$AK8,'31'!$AF$28:$AF$33,1))</f>
        <v/>
      </c>
      <c r="CA8" s="85" t="s">
        <v>129</v>
      </c>
      <c r="CB8" s="85">
        <f t="shared" si="6"/>
        <v>0</v>
      </c>
    </row>
    <row r="9">
      <c r="A9" s="143">
        <f>IF(LARGE($Y$5:$Y$17,4)=0,"",4)</f>
        <v>4</v>
      </c>
      <c r="B9" s="143" t="str">
        <f t="shared" si="7"/>
        <v>Single</v>
      </c>
      <c r="C9" s="143">
        <f t="shared" si="8"/>
        <v>1</v>
      </c>
      <c r="D9" s="144">
        <f t="shared" si="9"/>
        <v>0.06666666667</v>
      </c>
      <c r="E9" s="144">
        <f t="shared" si="10"/>
        <v>0.7333333333</v>
      </c>
      <c r="X9" s="85" t="s">
        <v>130</v>
      </c>
      <c r="Y9" s="85">
        <f>COUNTIF('1'!$D$4:$D$20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5">
        <f t="shared" si="1"/>
        <v>0.00009</v>
      </c>
      <c r="AA9" s="85" t="s">
        <v>123</v>
      </c>
      <c r="AB9" s="85" t="s">
        <v>112</v>
      </c>
      <c r="AC9" s="85">
        <f>COUNTIF('1'!$O$22:$O$25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5">
        <f t="shared" si="2"/>
        <v>0.00007</v>
      </c>
      <c r="AE9" s="85" t="s">
        <v>123</v>
      </c>
      <c r="AF9" s="85">
        <f>COUNTIF('1'!$L$4:$L$20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5">
        <f t="shared" si="3"/>
        <v>0.00001</v>
      </c>
      <c r="AH9" s="85" t="s">
        <v>126</v>
      </c>
      <c r="AI9" s="85">
        <f>COUNTIF('1'!$M$4:$M$20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5">
        <f t="shared" si="4"/>
        <v>0.00002</v>
      </c>
      <c r="AK9" s="85" t="s">
        <v>123</v>
      </c>
      <c r="AL9" s="85" t="s">
        <v>112</v>
      </c>
      <c r="AM9" s="85">
        <f>COUNTIFS('1'!$AG$29:$AG$34,AK9,'1'!$AF$29:$AF$34,1)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5" t="str">
        <f t="shared" si="5"/>
        <v/>
      </c>
      <c r="AO9" s="85" t="str">
        <f>IF(AM9=0,"",(SUMIFS('1'!$L$29:$L$34,'1'!$AG$29:$AG$34,AK9,'1'!$AF$29:$AF$34,1)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5" t="str">
        <f>IF(AM9=0,"",(SUMIFS('1'!$M$29:$M$34,'1'!$AG$29:$AG$34,AK9,'1'!$AF$29:$AF$34,1)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5" t="str">
        <f>IF(AM9=0,"",(SUMIFS('1'!$N$29:$N$34,'1'!$AG$29:$AG$34,AK9,'1'!$AF$29:$AF$34,1)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5" t="str">
        <f>IF(AM9=0,"",(SUMIFS('1'!$O$29:$O$34,'1'!$AG$29:$AG$34,AK9,'1'!$AF$29:$AF$34,1)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5" t="str">
        <f>IF(AM9=0,"",(SUMIFS('1'!$P$29:$P$34,'1'!$AG$29:$AG$34,AK9,'1'!$AF$29:$AF$34,1)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5" t="str">
        <f>IF(COUNTIFS('1'!$AG$29:$AG$34,$AK9,'1'!$AF$29:$AF$34,1)=0,"",SUMIFS('1'!$AC$29:$AC$34,'1'!$AG$29:$AG$34,$AK9,'1'!$AF$29:$AF$34,1)/COUNTIFS('1'!$AG$29:$AG$34,$AK9,'1'!$AF$29:$AF$34,1))</f>
        <v/>
      </c>
      <c r="AW9" s="85" t="str">
        <f>IF(COUNTIFS('2'!$AG$25:$AG$30,$AK9,'2'!$AF$25:$AF$30,1)=0,"",SUMIFS('2'!$AC$25:$AC$30,'2'!$AG$25:$AG$30,$AK9,'2'!$AF$25:$AF$30,1)/COUNTIFS('2'!$AG$25:$AG$30,$AK9,'2'!$AF$25:$AF$30,1))</f>
        <v/>
      </c>
      <c r="AX9" s="85" t="str">
        <f>IF(COUNTIFS('3'!$AG$24:$AG$29,$AK9,'3'!$AF$24:$AF$29,1)=0,"",SUMIFS('3'!$AC$24:$AC$29,'3'!$AG$24:$AG$29,$AK9,'3'!$AF$24:$AF$29,1)/COUNTIFS('3'!$AG$24:$AG$29,$AK9,'3'!$AF$24:$AF$29,1))</f>
        <v/>
      </c>
      <c r="AY9" s="85" t="str">
        <f>IF(COUNTIFS('4'!$AG$25:$AG$30,$AK9,'4'!$AF$25:$AF$30,1)=0,"",SUMIFS('4'!$AC$25:$AC$30,'4'!$AG$25:$AG$30,$AK9,'4'!$AF$25:$AF$30,1)/COUNTIFS('4'!$AG$25:$AG$30,$AK9,'4'!$AF$25:$AF$30,1))</f>
        <v/>
      </c>
      <c r="AZ9" s="85" t="str">
        <f>IF(COUNTIFS('5'!$AG$25:$AG$30,$AK9,'5'!$AF$25:$AF$30,1)=0,"",SUMIFS('5'!$AC$25:$AC$30,'5'!$AG$25:$AG$30,$AK9,'5'!$AF$25:$AF$30,1)/COUNTIFS('5'!$AG$25:$AG$30,$AK9,'5'!$AF$25:$AF$30,1))</f>
        <v/>
      </c>
      <c r="BA9" s="85" t="str">
        <f>IF(COUNTIFS('6'!$AG$25:$AG$30,$AK9,'6'!$AF$25:$AF$30,1)=0,"",SUMIFS('6'!$AC$25:$AC$30,'6'!$AG$25:$AG$30,$AK9,'6'!$AF$25:$AF$30,1)/COUNTIFS('6'!$AG$25:$AG$30,$AK9,'6'!$AF$25:$AF$30,1))</f>
        <v/>
      </c>
      <c r="BB9" s="85" t="str">
        <f>IF(COUNTIFS('7'!$AG$30:$AG$35,$AK9,'7'!$AF$30:$AF$35,1)=0,"",SUMIFS('7'!$AC$30:$AC$35,'7'!$AG$30:$AG$35,$AK9,'7'!$AF$30:$AF$35,1)/COUNTIFS('7'!$AG$30:$AG$35,$AK9,'7'!$AF$30:$AF$35,1))</f>
        <v/>
      </c>
      <c r="BC9" s="85" t="str">
        <f>IF(COUNTIFS('8'!$AG$25:$AG$30,$AK9,'8'!$AF$25:$AF$30,1)=0,"",SUMIFS('8'!$AC$25:$AC$30,'8'!$AG$25:$AG$30,$AK9,'8'!$AF$25:$AF$30,1)/COUNTIFS('8'!$AG$25:$AG$30,$AK9,'8'!$AF$25:$AF$30,1))</f>
        <v/>
      </c>
      <c r="BD9" s="85" t="str">
        <f>IF(COUNTIFS('9'!$AG$25:$AG$30,$AK9,'9'!$AF$25:$AF$30,1)=0,"",SUMIFS('9'!$AC$25:$AC$30,'9'!$AG$25:$AG$30,$AK9,'9'!$AF$25:$AF$30,1)/COUNTIFS('9'!$AG$25:$AG$30,$AK9,'9'!$AF$25:$AF$30,1))</f>
        <v/>
      </c>
      <c r="BE9" s="85" t="str">
        <f>IF(COUNTIFS('10'!$AG$25:$AG$30,$AK9,'10'!$AF$25:$AF$30,1)=0,"",SUMIFS('10'!$AC$25:$AC$30,'10'!$AG$25:$AG$30,$AK9,'10'!$AF$25:$AF$30,1)/COUNTIFS('10'!$AG$25:$AG$30,$AK9,'10'!$AF$25:$AF$30,1))</f>
        <v/>
      </c>
      <c r="BF9" s="85" t="str">
        <f>IF(COUNTIFS('11'!$AG$25:$AG$30,$AK9,'11'!$AF$25:$AF$30,1)=0,"",SUMIFS('11'!$AC$25:$AC$30,'11'!$AG$25:$AG$30,$AK9,'11'!$AF$25:$AF$30,1)/COUNTIFS('11'!$AG$25:$AG$30,$AK9,'11'!$AF$25:$AF$30,1))</f>
        <v/>
      </c>
      <c r="BG9" s="85" t="str">
        <f>IF(COUNTIFS('12'!$AG$25:$AG$30,$AK9,'12'!$AF$25:$AF$30,1)=0,"",SUMIFS('12'!$AC$25:$AC$30,'12'!$AG$25:$AG$30,$AK9,'12'!$AF$25:$AF$30,1)/COUNTIFS('12'!$AG$25:$AG$30,$AK9,'12'!$AF$25:$AF$30,1))</f>
        <v/>
      </c>
      <c r="BH9" s="85" t="str">
        <f>IF(COUNTIFS('13'!$AG$25:$AG$30,$AK9,'13'!$AF$25:$AF$30,1)=0,"",SUMIFS('13'!$AC$25:$AC$30,'13'!$AG$25:$AG$30,$AK9,'13'!$AF$25:$AF$30,1)/COUNTIFS('13'!$AG$25:$AG$30,$AK9,'13'!$AF$25:$AF$30,1))</f>
        <v/>
      </c>
      <c r="BI9" s="85" t="str">
        <f>IF(COUNTIFS('14'!$AG$25:$AG$30,$AK9,'14'!$AF$25:$AF$30,1)=0,"",SUMIFS('14'!$AC$25:$AC$30,'14'!$AG$25:$AG$30,$AK9,'14'!$AF$25:$AF$30,1)/COUNTIFS('14'!$AG$25:$AG$30,$AK9,'14'!$AF$25:$AF$30,1))</f>
        <v/>
      </c>
      <c r="BJ9" s="85" t="str">
        <f>IF(COUNTIFS('15'!$AG$25:$AG$30,$AK9,'15'!$AF$25:$AF$30,1)=0,"",SUMIFS('15'!$AC$25:$AC$30,'15'!$AG$25:$AG$30,$AK9,'15'!$AF$25:$AF$30,1)/COUNTIFS('15'!$AG$25:$AG$30,$AK9,'15'!$AF$25:$AF$30,1))</f>
        <v/>
      </c>
      <c r="BK9" s="85" t="str">
        <f>IF(COUNTIFS('16'!$AG$25:$AG$30,$AK9,'16'!$AF$25:$AF$30,1)=0,"",SUMIFS('16'!$AC$25:$AC$30,'16'!$AG$25:$AG$30,$AK9,'16'!$AF$25:$AF$30,1)/COUNTIFS('16'!$AG$25:$AG$30,$AK9,'16'!$AF$25:$AF$30,1))</f>
        <v/>
      </c>
      <c r="BL9" s="85" t="str">
        <f>IF(COUNTIFS('17'!$AG$25:$AG$30,$AK9,'17'!$AF$25:$AF$30,1)=0,"",SUMIFS('17'!$AC$25:$AC$30,'17'!$AG$25:$AG$30,$AK9,'17'!$AF$25:$AF$30,1)/COUNTIFS('17'!$AG$25:$AG$30,$AK9,'17'!$AF$25:$AF$30,1))</f>
        <v/>
      </c>
      <c r="BM9" s="85" t="str">
        <f>IF(COUNTIFS('18'!$AG$25:$AG$30,$AK9,'18'!$AF$25:$AF$30,1)=0,"",SUMIFS('18'!$AC$25:$AC$30,'18'!$AG$25:$AG$30,$AK9,'18'!$AF$25:$AF$30,1)/COUNTIFS('18'!$AG$25:$AG$30,$AK9,'18'!$AF$25:$AF$30,1))</f>
        <v/>
      </c>
      <c r="BN9" s="85" t="str">
        <f>IF(COUNTIFS('19'!$AG$25:$AG$30,$AK9,'19'!$AF$25:$AF$30,1)=0,"",SUMIFS('19'!$AC$25:$AC$30,'19'!$AG$25:$AG$30,$AK9,'19'!$AF$25:$AF$30,1)/COUNTIFS('19'!$AG$25:$AG$30,$AK9,'19'!$AF$25:$AF$30,1))</f>
        <v/>
      </c>
      <c r="BO9" s="85" t="str">
        <f>IF(COUNTIFS('20'!$AG$25:$AG$30,$AK9,'20'!$AF$25:$AF$30,1)=0,"",SUMIFS('20'!$AC$25:$AC$30,'20'!$AG$25:$AG$30,$AK9,'20'!$AF$25:$AF$30,1)/COUNTIFS('20'!$AG$25:$AG$30,$AK9,'20'!$AF$25:$AF$30,1))</f>
        <v/>
      </c>
      <c r="BP9" s="85" t="str">
        <f>IF(COUNTIFS('21'!$AG$25:$AG$30,$AK9,'21'!$AF$25:$AF$30,1)=0,"",SUMIFS('21'!$AC$25:$AC$30,'21'!$AG$25:$AG$30,$AK9,'21'!$AF$25:$AF$30,1)/COUNTIFS('21'!$AG$25:$AG$30,$AK9,'21'!$AF$25:$AF$30,1))</f>
        <v/>
      </c>
      <c r="BQ9" s="85" t="str">
        <f>IF(COUNTIFS('22'!$AG$25:$AG$30,$AK9,'22'!$AF$25:$AF$30,1)=0,"",SUMIFS('22'!$AC$25:$AC$30,'22'!$AG$25:$AG$30,$AK9,'22'!$AF$25:$AF$30,1)/COUNTIFS('22'!$AG$25:$AG$30,$AK9,'22'!$AF$25:$AF$30,1))</f>
        <v/>
      </c>
      <c r="BR9" s="85" t="str">
        <f>IF(COUNTIFS('23'!$AG$25:$AG$30,$AK9,'23'!$AF$25:$AF$30,1)=0,"",SUMIFS('23'!$AC$25:$AC$30,'23'!$AG$25:$AG$30,$AK9,'23'!$AF$25:$AF$30,1)/COUNTIFS('23'!$AG$25:$AG$30,$AK9,'23'!$AF$25:$AF$30,1))</f>
        <v/>
      </c>
      <c r="BS9" s="85" t="str">
        <f>IF(COUNTIFS('24'!$AG$25:$AG$30,$AK9,'24'!$AF$25:$AF$30,1)=0,"",SUMIFS('24'!$AC$25:$AC$30,'24'!$AG$25:$AG$30,$AK9,'24'!$AF$25:$AF$30,1)/COUNTIFS('24'!$AG$25:$AG$30,$AK9,'24'!$AF$25:$AF$30,1))</f>
        <v/>
      </c>
      <c r="BT9" s="85" t="str">
        <f>IF(COUNTIFS('25'!$AG$25:$AG$30,$AK9,'25'!$AF$25:$AF$30,1)=0,"",SUMIFS('25'!$AC$25:$AC$30,'25'!$AG$25:$AG$30,$AK9,'25'!$AF$25:$AF$30,1)/COUNTIFS('25'!$AG$25:$AG$30,$AK9,'25'!$AF$25:$AF$30,1))</f>
        <v/>
      </c>
      <c r="BU9" s="85" t="str">
        <f>IF(COUNTIFS('26'!$AG$25:$AG$30,$AK9,'26'!$AF$25:$AF$30,1)=0,"",SUMIFS('26'!$AC$25:$AC$30,'26'!$AG$25:$AG$30,$AK9,'26'!$AF$25:$AF$30,1)/COUNTIFS('26'!$AG$25:$AG$30,$AK9,'26'!$AF$25:$AF$30,1))</f>
        <v/>
      </c>
      <c r="BV9" s="85" t="str">
        <f>IF(COUNTIFS('27'!$AG$25:$AG$30,$AK9,'27'!$AF$25:$AF$30,1)=0,"",SUMIFS('27'!$AC$25:$AC$30,'27'!$AG$25:$AG$30,$AK9,'27'!$AF$25:$AF$30,1)/COUNTIFS('27'!$AG$25:$AG$30,$AK9,'27'!$AF$25:$AF$30,1))</f>
        <v/>
      </c>
      <c r="BW9" s="85" t="str">
        <f>IF(COUNTIFS('28'!$AG$25:$AG$30,$AK9,'28'!$AF$25:$AF$30,1)=0,"",SUMIFS('28'!$AC$25:$AC$30,'28'!$AG$25:$AG$30,$AK9,'28'!$AF$25:$AF$30,1)/COUNTIFS('28'!$AG$25:$AG$30,$AK9,'28'!$AF$25:$AF$30,1))</f>
        <v/>
      </c>
      <c r="BX9" s="85" t="str">
        <f>IF(COUNTIFS('29'!$AG$25:$AG$30,$AK9,'29'!$AF$25:$AF$30,1)=0,"",SUMIFS('29'!$AC$25:$AC$30,'29'!$AG$25:$AG$30,$AK9,'29'!$AF$25:$AF$30,1)/COUNTIFS('29'!$AG$25:$AG$30,$AK9,'29'!$AF$25:$AF$30,1))</f>
        <v/>
      </c>
      <c r="BY9" s="85" t="str">
        <f>IF(COUNTIFS('30'!$AG$25:$AG$30,$AK9,'30'!$AF$25:$AF$30,1)=0,"",SUMIFS('30'!$AC$25:$AC$30,'30'!$AG$25:$AG$30,$AK9,'30'!$AF$25:$AF$30,1)/COUNTIFS('30'!$AG$25:$AG$30,$AK9,'30'!$AF$25:$AF$30,1))</f>
        <v/>
      </c>
      <c r="BZ9" s="8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3">
        <f>IF(LARGE($Y$5:$Y$17,5)=0,"",5)</f>
        <v>5</v>
      </c>
      <c r="B10" s="143" t="str">
        <f t="shared" si="7"/>
        <v>Couple A</v>
      </c>
      <c r="C10" s="143">
        <f t="shared" si="8"/>
        <v>1</v>
      </c>
      <c r="D10" s="144">
        <f t="shared" si="9"/>
        <v>0.06666666667</v>
      </c>
      <c r="E10" s="144">
        <f t="shared" si="10"/>
        <v>0.8</v>
      </c>
      <c r="X10" s="85" t="s">
        <v>29</v>
      </c>
      <c r="Y10" s="85">
        <f>COUNTIF('1'!$D$4:$D$20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5">
        <f t="shared" si="1"/>
        <v>2.00008</v>
      </c>
      <c r="AA10" s="85" t="s">
        <v>113</v>
      </c>
      <c r="AB10" s="85" t="s">
        <v>124</v>
      </c>
      <c r="AC10" s="85">
        <f>COUNTIF('1'!$O$22:$O$25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5">
        <f t="shared" si="2"/>
        <v>0.00006</v>
      </c>
      <c r="AH10" s="85" t="s">
        <v>127</v>
      </c>
      <c r="AI10" s="85">
        <f>COUNTIF('1'!$M$4:$M$20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5">
        <f t="shared" si="4"/>
        <v>0.00001</v>
      </c>
      <c r="AK10" s="85" t="s">
        <v>113</v>
      </c>
      <c r="AL10" s="85" t="s">
        <v>124</v>
      </c>
      <c r="AM10" s="85">
        <f>COUNTIFS('1'!$AG$29:$AG$34,AK10,'1'!$AF$29:$AF$34,1)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5" t="str">
        <f t="shared" si="5"/>
        <v/>
      </c>
      <c r="AO10" s="85" t="str">
        <f>IF(AM10=0,"",(SUMIFS('1'!$L$29:$L$34,'1'!$AG$29:$AG$34,AK10,'1'!$AF$29:$AF$34,1)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5" t="str">
        <f>IF(AM10=0,"",(SUMIFS('1'!$M$29:$M$34,'1'!$AG$29:$AG$34,AK10,'1'!$AF$29:$AF$34,1)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5" t="str">
        <f>IF(AM10=0,"",(SUMIFS('1'!$N$29:$N$34,'1'!$AG$29:$AG$34,AK10,'1'!$AF$29:$AF$34,1)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5" t="str">
        <f>IF(AM10=0,"",(SUMIFS('1'!$O$29:$O$34,'1'!$AG$29:$AG$34,AK10,'1'!$AF$29:$AF$34,1)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5" t="str">
        <f>IF(AM10=0,"",(SUMIFS('1'!$P$29:$P$34,'1'!$AG$29:$AG$34,AK10,'1'!$AF$29:$AF$34,1)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5" t="str">
        <f>IF(COUNTIFS('1'!$AG$29:$AG$34,$AK10,'1'!$AF$29:$AF$34,1)=0,"",SUMIFS('1'!$AC$29:$AC$34,'1'!$AG$29:$AG$34,$AK10,'1'!$AF$29:$AF$34,1)/COUNTIFS('1'!$AG$29:$AG$34,$AK10,'1'!$AF$29:$AF$34,1))</f>
        <v/>
      </c>
      <c r="AW10" s="85" t="str">
        <f>IF(COUNTIFS('2'!$AG$25:$AG$30,$AK10,'2'!$AF$25:$AF$30,1)=0,"",SUMIFS('2'!$AC$25:$AC$30,'2'!$AG$25:$AG$30,$AK10,'2'!$AF$25:$AF$30,1)/COUNTIFS('2'!$AG$25:$AG$30,$AK10,'2'!$AF$25:$AF$30,1))</f>
        <v/>
      </c>
      <c r="AX10" s="85" t="str">
        <f>IF(COUNTIFS('3'!$AG$24:$AG$29,$AK10,'3'!$AF$24:$AF$29,1)=0,"",SUMIFS('3'!$AC$24:$AC$29,'3'!$AG$24:$AG$29,$AK10,'3'!$AF$24:$AF$29,1)/COUNTIFS('3'!$AG$24:$AG$29,$AK10,'3'!$AF$24:$AF$29,1))</f>
        <v/>
      </c>
      <c r="AY10" s="85" t="str">
        <f>IF(COUNTIFS('4'!$AG$25:$AG$30,$AK10,'4'!$AF$25:$AF$30,1)=0,"",SUMIFS('4'!$AC$25:$AC$30,'4'!$AG$25:$AG$30,$AK10,'4'!$AF$25:$AF$30,1)/COUNTIFS('4'!$AG$25:$AG$30,$AK10,'4'!$AF$25:$AF$30,1))</f>
        <v/>
      </c>
      <c r="AZ10" s="85" t="str">
        <f>IF(COUNTIFS('5'!$AG$25:$AG$30,$AK10,'5'!$AF$25:$AF$30,1)=0,"",SUMIFS('5'!$AC$25:$AC$30,'5'!$AG$25:$AG$30,$AK10,'5'!$AF$25:$AF$30,1)/COUNTIFS('5'!$AG$25:$AG$30,$AK10,'5'!$AF$25:$AF$30,1))</f>
        <v/>
      </c>
      <c r="BA10" s="85" t="str">
        <f>IF(COUNTIFS('6'!$AG$25:$AG$30,$AK10,'6'!$AF$25:$AF$30,1)=0,"",SUMIFS('6'!$AC$25:$AC$30,'6'!$AG$25:$AG$30,$AK10,'6'!$AF$25:$AF$30,1)/COUNTIFS('6'!$AG$25:$AG$30,$AK10,'6'!$AF$25:$AF$30,1))</f>
        <v/>
      </c>
      <c r="BB10" s="85" t="str">
        <f>IF(COUNTIFS('7'!$AG$30:$AG$35,$AK10,'7'!$AF$30:$AF$35,1)=0,"",SUMIFS('7'!$AC$30:$AC$35,'7'!$AG$30:$AG$35,$AK10,'7'!$AF$30:$AF$35,1)/COUNTIFS('7'!$AG$30:$AG$35,$AK10,'7'!$AF$30:$AF$35,1))</f>
        <v/>
      </c>
      <c r="BC10" s="85" t="str">
        <f>IF(COUNTIFS('8'!$AG$25:$AG$30,$AK10,'8'!$AF$25:$AF$30,1)=0,"",SUMIFS('8'!$AC$25:$AC$30,'8'!$AG$25:$AG$30,$AK10,'8'!$AF$25:$AF$30,1)/COUNTIFS('8'!$AG$25:$AG$30,$AK10,'8'!$AF$25:$AF$30,1))</f>
        <v/>
      </c>
      <c r="BD10" s="85" t="str">
        <f>IF(COUNTIFS('9'!$AG$25:$AG$30,$AK10,'9'!$AF$25:$AF$30,1)=0,"",SUMIFS('9'!$AC$25:$AC$30,'9'!$AG$25:$AG$30,$AK10,'9'!$AF$25:$AF$30,1)/COUNTIFS('9'!$AG$25:$AG$30,$AK10,'9'!$AF$25:$AF$30,1))</f>
        <v/>
      </c>
      <c r="BE10" s="85" t="str">
        <f>IF(COUNTIFS('10'!$AG$25:$AG$30,$AK10,'10'!$AF$25:$AF$30,1)=0,"",SUMIFS('10'!$AC$25:$AC$30,'10'!$AG$25:$AG$30,$AK10,'10'!$AF$25:$AF$30,1)/COUNTIFS('10'!$AG$25:$AG$30,$AK10,'10'!$AF$25:$AF$30,1))</f>
        <v/>
      </c>
      <c r="BF10" s="85" t="str">
        <f>IF(COUNTIFS('11'!$AG$25:$AG$30,$AK10,'11'!$AF$25:$AF$30,1)=0,"",SUMIFS('11'!$AC$25:$AC$30,'11'!$AG$25:$AG$30,$AK10,'11'!$AF$25:$AF$30,1)/COUNTIFS('11'!$AG$25:$AG$30,$AK10,'11'!$AF$25:$AF$30,1))</f>
        <v/>
      </c>
      <c r="BG10" s="85" t="str">
        <f>IF(COUNTIFS('12'!$AG$25:$AG$30,$AK10,'12'!$AF$25:$AF$30,1)=0,"",SUMIFS('12'!$AC$25:$AC$30,'12'!$AG$25:$AG$30,$AK10,'12'!$AF$25:$AF$30,1)/COUNTIFS('12'!$AG$25:$AG$30,$AK10,'12'!$AF$25:$AF$30,1))</f>
        <v/>
      </c>
      <c r="BH10" s="85" t="str">
        <f>IF(COUNTIFS('13'!$AG$25:$AG$30,$AK10,'13'!$AF$25:$AF$30,1)=0,"",SUMIFS('13'!$AC$25:$AC$30,'13'!$AG$25:$AG$30,$AK10,'13'!$AF$25:$AF$30,1)/COUNTIFS('13'!$AG$25:$AG$30,$AK10,'13'!$AF$25:$AF$30,1))</f>
        <v/>
      </c>
      <c r="BI10" s="85" t="str">
        <f>IF(COUNTIFS('14'!$AG$25:$AG$30,$AK10,'14'!$AF$25:$AF$30,1)=0,"",SUMIFS('14'!$AC$25:$AC$30,'14'!$AG$25:$AG$30,$AK10,'14'!$AF$25:$AF$30,1)/COUNTIFS('14'!$AG$25:$AG$30,$AK10,'14'!$AF$25:$AF$30,1))</f>
        <v/>
      </c>
      <c r="BJ10" s="85" t="str">
        <f>IF(COUNTIFS('15'!$AG$25:$AG$30,$AK10,'15'!$AF$25:$AF$30,1)=0,"",SUMIFS('15'!$AC$25:$AC$30,'15'!$AG$25:$AG$30,$AK10,'15'!$AF$25:$AF$30,1)/COUNTIFS('15'!$AG$25:$AG$30,$AK10,'15'!$AF$25:$AF$30,1))</f>
        <v/>
      </c>
      <c r="BK10" s="85" t="str">
        <f>IF(COUNTIFS('16'!$AG$25:$AG$30,$AK10,'16'!$AF$25:$AF$30,1)=0,"",SUMIFS('16'!$AC$25:$AC$30,'16'!$AG$25:$AG$30,$AK10,'16'!$AF$25:$AF$30,1)/COUNTIFS('16'!$AG$25:$AG$30,$AK10,'16'!$AF$25:$AF$30,1))</f>
        <v/>
      </c>
      <c r="BL10" s="85" t="str">
        <f>IF(COUNTIFS('17'!$AG$25:$AG$30,$AK10,'17'!$AF$25:$AF$30,1)=0,"",SUMIFS('17'!$AC$25:$AC$30,'17'!$AG$25:$AG$30,$AK10,'17'!$AF$25:$AF$30,1)/COUNTIFS('17'!$AG$25:$AG$30,$AK10,'17'!$AF$25:$AF$30,1))</f>
        <v/>
      </c>
      <c r="BM10" s="85" t="str">
        <f>IF(COUNTIFS('18'!$AG$25:$AG$30,$AK10,'18'!$AF$25:$AF$30,1)=0,"",SUMIFS('18'!$AC$25:$AC$30,'18'!$AG$25:$AG$30,$AK10,'18'!$AF$25:$AF$30,1)/COUNTIFS('18'!$AG$25:$AG$30,$AK10,'18'!$AF$25:$AF$30,1))</f>
        <v/>
      </c>
      <c r="BN10" s="85" t="str">
        <f>IF(COUNTIFS('19'!$AG$25:$AG$30,$AK10,'19'!$AF$25:$AF$30,1)=0,"",SUMIFS('19'!$AC$25:$AC$30,'19'!$AG$25:$AG$30,$AK10,'19'!$AF$25:$AF$30,1)/COUNTIFS('19'!$AG$25:$AG$30,$AK10,'19'!$AF$25:$AF$30,1))</f>
        <v/>
      </c>
      <c r="BO10" s="85" t="str">
        <f>IF(COUNTIFS('20'!$AG$25:$AG$30,$AK10,'20'!$AF$25:$AF$30,1)=0,"",SUMIFS('20'!$AC$25:$AC$30,'20'!$AG$25:$AG$30,$AK10,'20'!$AF$25:$AF$30,1)/COUNTIFS('20'!$AG$25:$AG$30,$AK10,'20'!$AF$25:$AF$30,1))</f>
        <v/>
      </c>
      <c r="BP10" s="85" t="str">
        <f>IF(COUNTIFS('21'!$AG$25:$AG$30,$AK10,'21'!$AF$25:$AF$30,1)=0,"",SUMIFS('21'!$AC$25:$AC$30,'21'!$AG$25:$AG$30,$AK10,'21'!$AF$25:$AF$30,1)/COUNTIFS('21'!$AG$25:$AG$30,$AK10,'21'!$AF$25:$AF$30,1))</f>
        <v/>
      </c>
      <c r="BQ10" s="85" t="str">
        <f>IF(COUNTIFS('22'!$AG$25:$AG$30,$AK10,'22'!$AF$25:$AF$30,1)=0,"",SUMIFS('22'!$AC$25:$AC$30,'22'!$AG$25:$AG$30,$AK10,'22'!$AF$25:$AF$30,1)/COUNTIFS('22'!$AG$25:$AG$30,$AK10,'22'!$AF$25:$AF$30,1))</f>
        <v/>
      </c>
      <c r="BR10" s="85" t="str">
        <f>IF(COUNTIFS('23'!$AG$25:$AG$30,$AK10,'23'!$AF$25:$AF$30,1)=0,"",SUMIFS('23'!$AC$25:$AC$30,'23'!$AG$25:$AG$30,$AK10,'23'!$AF$25:$AF$30,1)/COUNTIFS('23'!$AG$25:$AG$30,$AK10,'23'!$AF$25:$AF$30,1))</f>
        <v/>
      </c>
      <c r="BS10" s="85" t="str">
        <f>IF(COUNTIFS('24'!$AG$25:$AG$30,$AK10,'24'!$AF$25:$AF$30,1)=0,"",SUMIFS('24'!$AC$25:$AC$30,'24'!$AG$25:$AG$30,$AK10,'24'!$AF$25:$AF$30,1)/COUNTIFS('24'!$AG$25:$AG$30,$AK10,'24'!$AF$25:$AF$30,1))</f>
        <v/>
      </c>
      <c r="BT10" s="85" t="str">
        <f>IF(COUNTIFS('25'!$AG$25:$AG$30,$AK10,'25'!$AF$25:$AF$30,1)=0,"",SUMIFS('25'!$AC$25:$AC$30,'25'!$AG$25:$AG$30,$AK10,'25'!$AF$25:$AF$30,1)/COUNTIFS('25'!$AG$25:$AG$30,$AK10,'25'!$AF$25:$AF$30,1))</f>
        <v/>
      </c>
      <c r="BU10" s="85" t="str">
        <f>IF(COUNTIFS('26'!$AG$25:$AG$30,$AK10,'26'!$AF$25:$AF$30,1)=0,"",SUMIFS('26'!$AC$25:$AC$30,'26'!$AG$25:$AG$30,$AK10,'26'!$AF$25:$AF$30,1)/COUNTIFS('26'!$AG$25:$AG$30,$AK10,'26'!$AF$25:$AF$30,1))</f>
        <v/>
      </c>
      <c r="BV10" s="85" t="str">
        <f>IF(COUNTIFS('27'!$AG$25:$AG$30,$AK10,'27'!$AF$25:$AF$30,1)=0,"",SUMIFS('27'!$AC$25:$AC$30,'27'!$AG$25:$AG$30,$AK10,'27'!$AF$25:$AF$30,1)/COUNTIFS('27'!$AG$25:$AG$30,$AK10,'27'!$AF$25:$AF$30,1))</f>
        <v/>
      </c>
      <c r="BW10" s="85" t="str">
        <f>IF(COUNTIFS('28'!$AG$25:$AG$30,$AK10,'28'!$AF$25:$AF$30,1)=0,"",SUMIFS('28'!$AC$25:$AC$30,'28'!$AG$25:$AG$30,$AK10,'28'!$AF$25:$AF$30,1)/COUNTIFS('28'!$AG$25:$AG$30,$AK10,'28'!$AF$25:$AF$30,1))</f>
        <v/>
      </c>
      <c r="BX10" s="85" t="str">
        <f>IF(COUNTIFS('29'!$AG$25:$AG$30,$AK10,'29'!$AF$25:$AF$30,1)=0,"",SUMIFS('29'!$AC$25:$AC$30,'29'!$AG$25:$AG$30,$AK10,'29'!$AF$25:$AF$30,1)/COUNTIFS('29'!$AG$25:$AG$30,$AK10,'29'!$AF$25:$AF$30,1))</f>
        <v/>
      </c>
      <c r="BY10" s="85" t="str">
        <f>IF(COUNTIFS('30'!$AG$25:$AG$30,$AK10,'30'!$AF$25:$AF$30,1)=0,"",SUMIFS('30'!$AC$25:$AC$30,'30'!$AG$25:$AG$30,$AK10,'30'!$AF$25:$AF$30,1)/COUNTIFS('30'!$AG$25:$AG$30,$AK10,'30'!$AF$25:$AF$30,1))</f>
        <v/>
      </c>
      <c r="BZ10" s="8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3">
        <f>IF(LARGE($Y$5:$Y$17,6)=0,"",6)</f>
        <v>6</v>
      </c>
      <c r="B11" s="143" t="str">
        <f t="shared" si="7"/>
        <v>Graduation Premium</v>
      </c>
      <c r="C11" s="143">
        <f t="shared" si="8"/>
        <v>1</v>
      </c>
      <c r="D11" s="144">
        <f t="shared" si="9"/>
        <v>0.06666666667</v>
      </c>
      <c r="E11" s="144">
        <f t="shared" si="10"/>
        <v>0.8666666667</v>
      </c>
      <c r="X11" s="85" t="s">
        <v>131</v>
      </c>
      <c r="Y11" s="85">
        <f>COUNTIF('1'!$D$4:$D$20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5">
        <f t="shared" si="1"/>
        <v>0.00007</v>
      </c>
      <c r="AA11" s="85" t="s">
        <v>116</v>
      </c>
      <c r="AB11" s="85" t="s">
        <v>124</v>
      </c>
      <c r="AC11" s="85">
        <f>COUNTIF('1'!$O$22:$O$25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5">
        <f t="shared" si="2"/>
        <v>0.00005</v>
      </c>
      <c r="AK11" s="85" t="s">
        <v>116</v>
      </c>
      <c r="AL11" s="85" t="s">
        <v>124</v>
      </c>
      <c r="AM11" s="85">
        <f>COUNTIFS('1'!$AG$29:$AG$34,AK11,'1'!$AF$29:$AF$34,1)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5" t="str">
        <f t="shared" si="5"/>
        <v/>
      </c>
      <c r="AO11" s="85" t="str">
        <f>IF(AM11=0,"",(SUMIFS('1'!$L$29:$L$34,'1'!$AG$29:$AG$34,AK11,'1'!$AF$29:$AF$34,1)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5" t="str">
        <f>IF(AM11=0,"",(SUMIFS('1'!$M$29:$M$34,'1'!$AG$29:$AG$34,AK11,'1'!$AF$29:$AF$34,1)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5" t="str">
        <f>IF(AM11=0,"",(SUMIFS('1'!$N$29:$N$34,'1'!$AG$29:$AG$34,AK11,'1'!$AF$29:$AF$34,1)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5" t="str">
        <f>IF(AM11=0,"",(SUMIFS('1'!$O$29:$O$34,'1'!$AG$29:$AG$34,AK11,'1'!$AF$29:$AF$34,1)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5" t="str">
        <f>IF(AM11=0,"",(SUMIFS('1'!$P$29:$P$34,'1'!$AG$29:$AG$34,AK11,'1'!$AF$29:$AF$34,1)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5" t="str">
        <f>IF(COUNTIFS('1'!$AG$29:$AG$34,$AK11,'1'!$AF$29:$AF$34,1)=0,"",SUMIFS('1'!$AC$29:$AC$34,'1'!$AG$29:$AG$34,$AK11,'1'!$AF$29:$AF$34,1)/COUNTIFS('1'!$AG$29:$AG$34,$AK11,'1'!$AF$29:$AF$34,1))</f>
        <v/>
      </c>
      <c r="AW11" s="85" t="str">
        <f>IF(COUNTIFS('2'!$AG$25:$AG$30,$AK11,'2'!$AF$25:$AF$30,1)=0,"",SUMIFS('2'!$AC$25:$AC$30,'2'!$AG$25:$AG$30,$AK11,'2'!$AF$25:$AF$30,1)/COUNTIFS('2'!$AG$25:$AG$30,$AK11,'2'!$AF$25:$AF$30,1))</f>
        <v/>
      </c>
      <c r="AX11" s="85" t="str">
        <f>IF(COUNTIFS('3'!$AG$24:$AG$29,$AK11,'3'!$AF$24:$AF$29,1)=0,"",SUMIFS('3'!$AC$24:$AC$29,'3'!$AG$24:$AG$29,$AK11,'3'!$AF$24:$AF$29,1)/COUNTIFS('3'!$AG$24:$AG$29,$AK11,'3'!$AF$24:$AF$29,1))</f>
        <v/>
      </c>
      <c r="AY11" s="85" t="str">
        <f>IF(COUNTIFS('4'!$AG$25:$AG$30,$AK11,'4'!$AF$25:$AF$30,1)=0,"",SUMIFS('4'!$AC$25:$AC$30,'4'!$AG$25:$AG$30,$AK11,'4'!$AF$25:$AF$30,1)/COUNTIFS('4'!$AG$25:$AG$30,$AK11,'4'!$AF$25:$AF$30,1))</f>
        <v/>
      </c>
      <c r="AZ11" s="85" t="str">
        <f>IF(COUNTIFS('5'!$AG$25:$AG$30,$AK11,'5'!$AF$25:$AF$30,1)=0,"",SUMIFS('5'!$AC$25:$AC$30,'5'!$AG$25:$AG$30,$AK11,'5'!$AF$25:$AF$30,1)/COUNTIFS('5'!$AG$25:$AG$30,$AK11,'5'!$AF$25:$AF$30,1))</f>
        <v/>
      </c>
      <c r="BA11" s="85" t="str">
        <f>IF(COUNTIFS('6'!$AG$25:$AG$30,$AK11,'6'!$AF$25:$AF$30,1)=0,"",SUMIFS('6'!$AC$25:$AC$30,'6'!$AG$25:$AG$30,$AK11,'6'!$AF$25:$AF$30,1)/COUNTIFS('6'!$AG$25:$AG$30,$AK11,'6'!$AF$25:$AF$30,1))</f>
        <v/>
      </c>
      <c r="BB11" s="85" t="str">
        <f>IF(COUNTIFS('7'!$AG$30:$AG$35,$AK11,'7'!$AF$30:$AF$35,1)=0,"",SUMIFS('7'!$AC$30:$AC$35,'7'!$AG$30:$AG$35,$AK11,'7'!$AF$30:$AF$35,1)/COUNTIFS('7'!$AG$30:$AG$35,$AK11,'7'!$AF$30:$AF$35,1))</f>
        <v/>
      </c>
      <c r="BC11" s="85" t="str">
        <f>IF(COUNTIFS('8'!$AG$25:$AG$30,$AK11,'8'!$AF$25:$AF$30,1)=0,"",SUMIFS('8'!$AC$25:$AC$30,'8'!$AG$25:$AG$30,$AK11,'8'!$AF$25:$AF$30,1)/COUNTIFS('8'!$AG$25:$AG$30,$AK11,'8'!$AF$25:$AF$30,1))</f>
        <v/>
      </c>
      <c r="BD11" s="85" t="str">
        <f>IF(COUNTIFS('9'!$AG$25:$AG$30,$AK11,'9'!$AF$25:$AF$30,1)=0,"",SUMIFS('9'!$AC$25:$AC$30,'9'!$AG$25:$AG$30,$AK11,'9'!$AF$25:$AF$30,1)/COUNTIFS('9'!$AG$25:$AG$30,$AK11,'9'!$AF$25:$AF$30,1))</f>
        <v/>
      </c>
      <c r="BE11" s="85" t="str">
        <f>IF(COUNTIFS('10'!$AG$25:$AG$30,$AK11,'10'!$AF$25:$AF$30,1)=0,"",SUMIFS('10'!$AC$25:$AC$30,'10'!$AG$25:$AG$30,$AK11,'10'!$AF$25:$AF$30,1)/COUNTIFS('10'!$AG$25:$AG$30,$AK11,'10'!$AF$25:$AF$30,1))</f>
        <v/>
      </c>
      <c r="BF11" s="85" t="str">
        <f>IF(COUNTIFS('11'!$AG$25:$AG$30,$AK11,'11'!$AF$25:$AF$30,1)=0,"",SUMIFS('11'!$AC$25:$AC$30,'11'!$AG$25:$AG$30,$AK11,'11'!$AF$25:$AF$30,1)/COUNTIFS('11'!$AG$25:$AG$30,$AK11,'11'!$AF$25:$AF$30,1))</f>
        <v/>
      </c>
      <c r="BG11" s="85" t="str">
        <f>IF(COUNTIFS('12'!$AG$25:$AG$30,$AK11,'12'!$AF$25:$AF$30,1)=0,"",SUMIFS('12'!$AC$25:$AC$30,'12'!$AG$25:$AG$30,$AK11,'12'!$AF$25:$AF$30,1)/COUNTIFS('12'!$AG$25:$AG$30,$AK11,'12'!$AF$25:$AF$30,1))</f>
        <v/>
      </c>
      <c r="BH11" s="85" t="str">
        <f>IF(COUNTIFS('13'!$AG$25:$AG$30,$AK11,'13'!$AF$25:$AF$30,1)=0,"",SUMIFS('13'!$AC$25:$AC$30,'13'!$AG$25:$AG$30,$AK11,'13'!$AF$25:$AF$30,1)/COUNTIFS('13'!$AG$25:$AG$30,$AK11,'13'!$AF$25:$AF$30,1))</f>
        <v/>
      </c>
      <c r="BI11" s="85" t="str">
        <f>IF(COUNTIFS('14'!$AG$25:$AG$30,$AK11,'14'!$AF$25:$AF$30,1)=0,"",SUMIFS('14'!$AC$25:$AC$30,'14'!$AG$25:$AG$30,$AK11,'14'!$AF$25:$AF$30,1)/COUNTIFS('14'!$AG$25:$AG$30,$AK11,'14'!$AF$25:$AF$30,1))</f>
        <v/>
      </c>
      <c r="BJ11" s="85" t="str">
        <f>IF(COUNTIFS('15'!$AG$25:$AG$30,$AK11,'15'!$AF$25:$AF$30,1)=0,"",SUMIFS('15'!$AC$25:$AC$30,'15'!$AG$25:$AG$30,$AK11,'15'!$AF$25:$AF$30,1)/COUNTIFS('15'!$AG$25:$AG$30,$AK11,'15'!$AF$25:$AF$30,1))</f>
        <v/>
      </c>
      <c r="BK11" s="85" t="str">
        <f>IF(COUNTIFS('16'!$AG$25:$AG$30,$AK11,'16'!$AF$25:$AF$30,1)=0,"",SUMIFS('16'!$AC$25:$AC$30,'16'!$AG$25:$AG$30,$AK11,'16'!$AF$25:$AF$30,1)/COUNTIFS('16'!$AG$25:$AG$30,$AK11,'16'!$AF$25:$AF$30,1))</f>
        <v/>
      </c>
      <c r="BL11" s="85" t="str">
        <f>IF(COUNTIFS('17'!$AG$25:$AG$30,$AK11,'17'!$AF$25:$AF$30,1)=0,"",SUMIFS('17'!$AC$25:$AC$30,'17'!$AG$25:$AG$30,$AK11,'17'!$AF$25:$AF$30,1)/COUNTIFS('17'!$AG$25:$AG$30,$AK11,'17'!$AF$25:$AF$30,1))</f>
        <v/>
      </c>
      <c r="BM11" s="85" t="str">
        <f>IF(COUNTIFS('18'!$AG$25:$AG$30,$AK11,'18'!$AF$25:$AF$30,1)=0,"",SUMIFS('18'!$AC$25:$AC$30,'18'!$AG$25:$AG$30,$AK11,'18'!$AF$25:$AF$30,1)/COUNTIFS('18'!$AG$25:$AG$30,$AK11,'18'!$AF$25:$AF$30,1))</f>
        <v/>
      </c>
      <c r="BN11" s="85" t="str">
        <f>IF(COUNTIFS('19'!$AG$25:$AG$30,$AK11,'19'!$AF$25:$AF$30,1)=0,"",SUMIFS('19'!$AC$25:$AC$30,'19'!$AG$25:$AG$30,$AK11,'19'!$AF$25:$AF$30,1)/COUNTIFS('19'!$AG$25:$AG$30,$AK11,'19'!$AF$25:$AF$30,1))</f>
        <v/>
      </c>
      <c r="BO11" s="85" t="str">
        <f>IF(COUNTIFS('20'!$AG$25:$AG$30,$AK11,'20'!$AF$25:$AF$30,1)=0,"",SUMIFS('20'!$AC$25:$AC$30,'20'!$AG$25:$AG$30,$AK11,'20'!$AF$25:$AF$30,1)/COUNTIFS('20'!$AG$25:$AG$30,$AK11,'20'!$AF$25:$AF$30,1))</f>
        <v/>
      </c>
      <c r="BP11" s="85" t="str">
        <f>IF(COUNTIFS('21'!$AG$25:$AG$30,$AK11,'21'!$AF$25:$AF$30,1)=0,"",SUMIFS('21'!$AC$25:$AC$30,'21'!$AG$25:$AG$30,$AK11,'21'!$AF$25:$AF$30,1)/COUNTIFS('21'!$AG$25:$AG$30,$AK11,'21'!$AF$25:$AF$30,1))</f>
        <v/>
      </c>
      <c r="BQ11" s="85" t="str">
        <f>IF(COUNTIFS('22'!$AG$25:$AG$30,$AK11,'22'!$AF$25:$AF$30,1)=0,"",SUMIFS('22'!$AC$25:$AC$30,'22'!$AG$25:$AG$30,$AK11,'22'!$AF$25:$AF$30,1)/COUNTIFS('22'!$AG$25:$AG$30,$AK11,'22'!$AF$25:$AF$30,1))</f>
        <v/>
      </c>
      <c r="BR11" s="85" t="str">
        <f>IF(COUNTIFS('23'!$AG$25:$AG$30,$AK11,'23'!$AF$25:$AF$30,1)=0,"",SUMIFS('23'!$AC$25:$AC$30,'23'!$AG$25:$AG$30,$AK11,'23'!$AF$25:$AF$30,1)/COUNTIFS('23'!$AG$25:$AG$30,$AK11,'23'!$AF$25:$AF$30,1))</f>
        <v/>
      </c>
      <c r="BS11" s="85" t="str">
        <f>IF(COUNTIFS('24'!$AG$25:$AG$30,$AK11,'24'!$AF$25:$AF$30,1)=0,"",SUMIFS('24'!$AC$25:$AC$30,'24'!$AG$25:$AG$30,$AK11,'24'!$AF$25:$AF$30,1)/COUNTIFS('24'!$AG$25:$AG$30,$AK11,'24'!$AF$25:$AF$30,1))</f>
        <v/>
      </c>
      <c r="BT11" s="85" t="str">
        <f>IF(COUNTIFS('25'!$AG$25:$AG$30,$AK11,'25'!$AF$25:$AF$30,1)=0,"",SUMIFS('25'!$AC$25:$AC$30,'25'!$AG$25:$AG$30,$AK11,'25'!$AF$25:$AF$30,1)/COUNTIFS('25'!$AG$25:$AG$30,$AK11,'25'!$AF$25:$AF$30,1))</f>
        <v/>
      </c>
      <c r="BU11" s="85" t="str">
        <f>IF(COUNTIFS('26'!$AG$25:$AG$30,$AK11,'26'!$AF$25:$AF$30,1)=0,"",SUMIFS('26'!$AC$25:$AC$30,'26'!$AG$25:$AG$30,$AK11,'26'!$AF$25:$AF$30,1)/COUNTIFS('26'!$AG$25:$AG$30,$AK11,'26'!$AF$25:$AF$30,1))</f>
        <v/>
      </c>
      <c r="BV11" s="85" t="str">
        <f>IF(COUNTIFS('27'!$AG$25:$AG$30,$AK11,'27'!$AF$25:$AF$30,1)=0,"",SUMIFS('27'!$AC$25:$AC$30,'27'!$AG$25:$AG$30,$AK11,'27'!$AF$25:$AF$30,1)/COUNTIFS('27'!$AG$25:$AG$30,$AK11,'27'!$AF$25:$AF$30,1))</f>
        <v/>
      </c>
      <c r="BW11" s="85" t="str">
        <f>IF(COUNTIFS('28'!$AG$25:$AG$30,$AK11,'28'!$AF$25:$AF$30,1)=0,"",SUMIFS('28'!$AC$25:$AC$30,'28'!$AG$25:$AG$30,$AK11,'28'!$AF$25:$AF$30,1)/COUNTIFS('28'!$AG$25:$AG$30,$AK11,'28'!$AF$25:$AF$30,1))</f>
        <v/>
      </c>
      <c r="BX11" s="85" t="str">
        <f>IF(COUNTIFS('29'!$AG$25:$AG$30,$AK11,'29'!$AF$25:$AF$30,1)=0,"",SUMIFS('29'!$AC$25:$AC$30,'29'!$AG$25:$AG$30,$AK11,'29'!$AF$25:$AF$30,1)/COUNTIFS('29'!$AG$25:$AG$30,$AK11,'29'!$AF$25:$AF$30,1))</f>
        <v/>
      </c>
      <c r="BY11" s="85" t="str">
        <f>IF(COUNTIFS('30'!$AG$25:$AG$30,$AK11,'30'!$AF$25:$AF$30,1)=0,"",SUMIFS('30'!$AC$25:$AC$30,'30'!$AG$25:$AG$30,$AK11,'30'!$AF$25:$AF$30,1)/COUNTIFS('30'!$AG$25:$AG$30,$AK11,'30'!$AF$25:$AF$30,1))</f>
        <v/>
      </c>
      <c r="BZ11" s="8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3">
        <f>IF(LARGE($Y$5:$Y$17,7)=0,"",7)</f>
        <v>7</v>
      </c>
      <c r="B12" s="143" t="str">
        <f t="shared" si="7"/>
        <v>Studio Rent</v>
      </c>
      <c r="C12" s="143">
        <f t="shared" si="8"/>
        <v>1</v>
      </c>
      <c r="D12" s="144">
        <f t="shared" si="9"/>
        <v>0.06666666667</v>
      </c>
      <c r="E12" s="144">
        <f t="shared" si="10"/>
        <v>0.9333333333</v>
      </c>
      <c r="X12" s="85" t="s">
        <v>132</v>
      </c>
      <c r="Y12" s="85">
        <f>COUNTIF('1'!$D$4:$D$20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5">
        <f t="shared" si="1"/>
        <v>0.00006</v>
      </c>
      <c r="AA12" s="85" t="s">
        <v>35</v>
      </c>
      <c r="AB12" s="85" t="s">
        <v>124</v>
      </c>
      <c r="AC12" s="85">
        <f>COUNTIF('1'!$O$22:$O$25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5">
        <f t="shared" si="2"/>
        <v>3.00004</v>
      </c>
      <c r="AK12" s="85" t="s">
        <v>35</v>
      </c>
      <c r="AL12" s="85" t="s">
        <v>124</v>
      </c>
      <c r="AM12" s="85">
        <f>COUNTIFS('1'!$AG$29:$AG$34,AK12,'1'!$AF$29:$AF$34,1)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5">
        <f t="shared" si="5"/>
        <v>96</v>
      </c>
      <c r="AO12" s="85">
        <f>IF(AM12=0,"",(SUMIFS('1'!$L$29:$L$34,'1'!$AG$29:$AG$34,AK12,'1'!$AF$29:$AF$34,1)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5">
        <f>IF(AM12=0,"",(SUMIFS('1'!$M$29:$M$34,'1'!$AG$29:$AG$34,AK12,'1'!$AF$29:$AF$34,1)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5">
        <f>IF(AM12=0,"",(SUMIFS('1'!$N$29:$N$34,'1'!$AG$29:$AG$34,AK12,'1'!$AF$29:$AF$34,1)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5">
        <f>IF(AM12=0,"",(SUMIFS('1'!$O$29:$O$34,'1'!$AG$29:$AG$34,AK12,'1'!$AF$29:$AF$34,1)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5">
        <f>IF(AM12=0,"",(SUMIFS('1'!$P$29:$P$34,'1'!$AG$29:$AG$34,AK12,'1'!$AF$29:$AF$34,1)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5">
        <f>IF(COUNTIFS('1'!$AG$29:$AG$34,$AK12,'1'!$AF$29:$AF$34,1)=0,"",SUMIFS('1'!$AC$29:$AC$34,'1'!$AG$29:$AG$34,$AK12,'1'!$AF$29:$AF$34,1)/COUNTIFS('1'!$AG$29:$AG$34,$AK12,'1'!$AF$29:$AF$34,1))</f>
        <v>96</v>
      </c>
      <c r="AW12" s="85" t="str">
        <f>IF(COUNTIFS('2'!$AG$25:$AG$30,$AK12,'2'!$AF$25:$AF$30,1)=0,"",SUMIFS('2'!$AC$25:$AC$30,'2'!$AG$25:$AG$30,$AK12,'2'!$AF$25:$AF$30,1)/COUNTIFS('2'!$AG$25:$AG$30,$AK12,'2'!$AF$25:$AF$30,1))</f>
        <v/>
      </c>
      <c r="AX12" s="85" t="str">
        <f>IF(COUNTIFS('3'!$AG$24:$AG$29,$AK12,'3'!$AF$24:$AF$29,1)=0,"",SUMIFS('3'!$AC$24:$AC$29,'3'!$AG$24:$AG$29,$AK12,'3'!$AF$24:$AF$29,1)/COUNTIFS('3'!$AG$24:$AG$29,$AK12,'3'!$AF$24:$AF$29,1))</f>
        <v/>
      </c>
      <c r="AY12" s="85" t="str">
        <f>IF(COUNTIFS('4'!$AG$25:$AG$30,$AK12,'4'!$AF$25:$AF$30,1)=0,"",SUMIFS('4'!$AC$25:$AC$30,'4'!$AG$25:$AG$30,$AK12,'4'!$AF$25:$AF$30,1)/COUNTIFS('4'!$AG$25:$AG$30,$AK12,'4'!$AF$25:$AF$30,1))</f>
        <v/>
      </c>
      <c r="AZ12" s="85" t="str">
        <f>IF(COUNTIFS('5'!$AG$25:$AG$30,$AK12,'5'!$AF$25:$AF$30,1)=0,"",SUMIFS('5'!$AC$25:$AC$30,'5'!$AG$25:$AG$30,$AK12,'5'!$AF$25:$AF$30,1)/COUNTIFS('5'!$AG$25:$AG$30,$AK12,'5'!$AF$25:$AF$30,1))</f>
        <v/>
      </c>
      <c r="BA12" s="85" t="str">
        <f>IF(COUNTIFS('6'!$AG$25:$AG$30,$AK12,'6'!$AF$25:$AF$30,1)=0,"",SUMIFS('6'!$AC$25:$AC$30,'6'!$AG$25:$AG$30,$AK12,'6'!$AF$25:$AF$30,1)/COUNTIFS('6'!$AG$25:$AG$30,$AK12,'6'!$AF$25:$AF$30,1))</f>
        <v/>
      </c>
      <c r="BB12" s="85" t="str">
        <f>IF(COUNTIFS('7'!$AG$30:$AG$35,$AK12,'7'!$AF$30:$AF$35,1)=0,"",SUMIFS('7'!$AC$30:$AC$35,'7'!$AG$30:$AG$35,$AK12,'7'!$AF$30:$AF$35,1)/COUNTIFS('7'!$AG$30:$AG$35,$AK12,'7'!$AF$30:$AF$35,1))</f>
        <v/>
      </c>
      <c r="BC12" s="85" t="str">
        <f>IF(COUNTIFS('8'!$AG$25:$AG$30,$AK12,'8'!$AF$25:$AF$30,1)=0,"",SUMIFS('8'!$AC$25:$AC$30,'8'!$AG$25:$AG$30,$AK12,'8'!$AF$25:$AF$30,1)/COUNTIFS('8'!$AG$25:$AG$30,$AK12,'8'!$AF$25:$AF$30,1))</f>
        <v/>
      </c>
      <c r="BD12" s="85" t="str">
        <f>IF(COUNTIFS('9'!$AG$25:$AG$30,$AK12,'9'!$AF$25:$AF$30,1)=0,"",SUMIFS('9'!$AC$25:$AC$30,'9'!$AG$25:$AG$30,$AK12,'9'!$AF$25:$AF$30,1)/COUNTIFS('9'!$AG$25:$AG$30,$AK12,'9'!$AF$25:$AF$30,1))</f>
        <v/>
      </c>
      <c r="BE12" s="85" t="str">
        <f>IF(COUNTIFS('10'!$AG$25:$AG$30,$AK12,'10'!$AF$25:$AF$30,1)=0,"",SUMIFS('10'!$AC$25:$AC$30,'10'!$AG$25:$AG$30,$AK12,'10'!$AF$25:$AF$30,1)/COUNTIFS('10'!$AG$25:$AG$30,$AK12,'10'!$AF$25:$AF$30,1))</f>
        <v/>
      </c>
      <c r="BF12" s="85" t="str">
        <f>IF(COUNTIFS('11'!$AG$25:$AG$30,$AK12,'11'!$AF$25:$AF$30,1)=0,"",SUMIFS('11'!$AC$25:$AC$30,'11'!$AG$25:$AG$30,$AK12,'11'!$AF$25:$AF$30,1)/COUNTIFS('11'!$AG$25:$AG$30,$AK12,'11'!$AF$25:$AF$30,1))</f>
        <v/>
      </c>
      <c r="BG12" s="85" t="str">
        <f>IF(COUNTIFS('12'!$AG$25:$AG$30,$AK12,'12'!$AF$25:$AF$30,1)=0,"",SUMIFS('12'!$AC$25:$AC$30,'12'!$AG$25:$AG$30,$AK12,'12'!$AF$25:$AF$30,1)/COUNTIFS('12'!$AG$25:$AG$30,$AK12,'12'!$AF$25:$AF$30,1))</f>
        <v/>
      </c>
      <c r="BH12" s="85" t="str">
        <f>IF(COUNTIFS('13'!$AG$25:$AG$30,$AK12,'13'!$AF$25:$AF$30,1)=0,"",SUMIFS('13'!$AC$25:$AC$30,'13'!$AG$25:$AG$30,$AK12,'13'!$AF$25:$AF$30,1)/COUNTIFS('13'!$AG$25:$AG$30,$AK12,'13'!$AF$25:$AF$30,1))</f>
        <v/>
      </c>
      <c r="BI12" s="85" t="str">
        <f>IF(COUNTIFS('14'!$AG$25:$AG$30,$AK12,'14'!$AF$25:$AF$30,1)=0,"",SUMIFS('14'!$AC$25:$AC$30,'14'!$AG$25:$AG$30,$AK12,'14'!$AF$25:$AF$30,1)/COUNTIFS('14'!$AG$25:$AG$30,$AK12,'14'!$AF$25:$AF$30,1))</f>
        <v/>
      </c>
      <c r="BJ12" s="85" t="str">
        <f>IF(COUNTIFS('15'!$AG$25:$AG$30,$AK12,'15'!$AF$25:$AF$30,1)=0,"",SUMIFS('15'!$AC$25:$AC$30,'15'!$AG$25:$AG$30,$AK12,'15'!$AF$25:$AF$30,1)/COUNTIFS('15'!$AG$25:$AG$30,$AK12,'15'!$AF$25:$AF$30,1))</f>
        <v/>
      </c>
      <c r="BK12" s="85" t="str">
        <f>IF(COUNTIFS('16'!$AG$25:$AG$30,$AK12,'16'!$AF$25:$AF$30,1)=0,"",SUMIFS('16'!$AC$25:$AC$30,'16'!$AG$25:$AG$30,$AK12,'16'!$AF$25:$AF$30,1)/COUNTIFS('16'!$AG$25:$AG$30,$AK12,'16'!$AF$25:$AF$30,1))</f>
        <v/>
      </c>
      <c r="BL12" s="85" t="str">
        <f>IF(COUNTIFS('17'!$AG$25:$AG$30,$AK12,'17'!$AF$25:$AF$30,1)=0,"",SUMIFS('17'!$AC$25:$AC$30,'17'!$AG$25:$AG$30,$AK12,'17'!$AF$25:$AF$30,1)/COUNTIFS('17'!$AG$25:$AG$30,$AK12,'17'!$AF$25:$AF$30,1))</f>
        <v/>
      </c>
      <c r="BM12" s="85" t="str">
        <f>IF(COUNTIFS('18'!$AG$25:$AG$30,$AK12,'18'!$AF$25:$AF$30,1)=0,"",SUMIFS('18'!$AC$25:$AC$30,'18'!$AG$25:$AG$30,$AK12,'18'!$AF$25:$AF$30,1)/COUNTIFS('18'!$AG$25:$AG$30,$AK12,'18'!$AF$25:$AF$30,1))</f>
        <v/>
      </c>
      <c r="BN12" s="85" t="str">
        <f>IF(COUNTIFS('19'!$AG$25:$AG$30,$AK12,'19'!$AF$25:$AF$30,1)=0,"",SUMIFS('19'!$AC$25:$AC$30,'19'!$AG$25:$AG$30,$AK12,'19'!$AF$25:$AF$30,1)/COUNTIFS('19'!$AG$25:$AG$30,$AK12,'19'!$AF$25:$AF$30,1))</f>
        <v/>
      </c>
      <c r="BO12" s="85" t="str">
        <f>IF(COUNTIFS('20'!$AG$25:$AG$30,$AK12,'20'!$AF$25:$AF$30,1)=0,"",SUMIFS('20'!$AC$25:$AC$30,'20'!$AG$25:$AG$30,$AK12,'20'!$AF$25:$AF$30,1)/COUNTIFS('20'!$AG$25:$AG$30,$AK12,'20'!$AF$25:$AF$30,1))</f>
        <v/>
      </c>
      <c r="BP12" s="85" t="str">
        <f>IF(COUNTIFS('21'!$AG$25:$AG$30,$AK12,'21'!$AF$25:$AF$30,1)=0,"",SUMIFS('21'!$AC$25:$AC$30,'21'!$AG$25:$AG$30,$AK12,'21'!$AF$25:$AF$30,1)/COUNTIFS('21'!$AG$25:$AG$30,$AK12,'21'!$AF$25:$AF$30,1))</f>
        <v/>
      </c>
      <c r="BQ12" s="85" t="str">
        <f>IF(COUNTIFS('22'!$AG$25:$AG$30,$AK12,'22'!$AF$25:$AF$30,1)=0,"",SUMIFS('22'!$AC$25:$AC$30,'22'!$AG$25:$AG$30,$AK12,'22'!$AF$25:$AF$30,1)/COUNTIFS('22'!$AG$25:$AG$30,$AK12,'22'!$AF$25:$AF$30,1))</f>
        <v/>
      </c>
      <c r="BR12" s="85" t="str">
        <f>IF(COUNTIFS('23'!$AG$25:$AG$30,$AK12,'23'!$AF$25:$AF$30,1)=0,"",SUMIFS('23'!$AC$25:$AC$30,'23'!$AG$25:$AG$30,$AK12,'23'!$AF$25:$AF$30,1)/COUNTIFS('23'!$AG$25:$AG$30,$AK12,'23'!$AF$25:$AF$30,1))</f>
        <v/>
      </c>
      <c r="BS12" s="85" t="str">
        <f>IF(COUNTIFS('24'!$AG$25:$AG$30,$AK12,'24'!$AF$25:$AF$30,1)=0,"",SUMIFS('24'!$AC$25:$AC$30,'24'!$AG$25:$AG$30,$AK12,'24'!$AF$25:$AF$30,1)/COUNTIFS('24'!$AG$25:$AG$30,$AK12,'24'!$AF$25:$AF$30,1))</f>
        <v/>
      </c>
      <c r="BT12" s="85" t="str">
        <f>IF(COUNTIFS('25'!$AG$25:$AG$30,$AK12,'25'!$AF$25:$AF$30,1)=0,"",SUMIFS('25'!$AC$25:$AC$30,'25'!$AG$25:$AG$30,$AK12,'25'!$AF$25:$AF$30,1)/COUNTIFS('25'!$AG$25:$AG$30,$AK12,'25'!$AF$25:$AF$30,1))</f>
        <v/>
      </c>
      <c r="BU12" s="85" t="str">
        <f>IF(COUNTIFS('26'!$AG$25:$AG$30,$AK12,'26'!$AF$25:$AF$30,1)=0,"",SUMIFS('26'!$AC$25:$AC$30,'26'!$AG$25:$AG$30,$AK12,'26'!$AF$25:$AF$30,1)/COUNTIFS('26'!$AG$25:$AG$30,$AK12,'26'!$AF$25:$AF$30,1))</f>
        <v/>
      </c>
      <c r="BV12" s="85" t="str">
        <f>IF(COUNTIFS('27'!$AG$25:$AG$30,$AK12,'27'!$AF$25:$AF$30,1)=0,"",SUMIFS('27'!$AC$25:$AC$30,'27'!$AG$25:$AG$30,$AK12,'27'!$AF$25:$AF$30,1)/COUNTIFS('27'!$AG$25:$AG$30,$AK12,'27'!$AF$25:$AF$30,1))</f>
        <v/>
      </c>
      <c r="BW12" s="85" t="str">
        <f>IF(COUNTIFS('28'!$AG$25:$AG$30,$AK12,'28'!$AF$25:$AF$30,1)=0,"",SUMIFS('28'!$AC$25:$AC$30,'28'!$AG$25:$AG$30,$AK12,'28'!$AF$25:$AF$30,1)/COUNTIFS('28'!$AG$25:$AG$30,$AK12,'28'!$AF$25:$AF$30,1))</f>
        <v/>
      </c>
      <c r="BX12" s="85" t="str">
        <f>IF(COUNTIFS('29'!$AG$25:$AG$30,$AK12,'29'!$AF$25:$AF$30,1)=0,"",SUMIFS('29'!$AC$25:$AC$30,'29'!$AG$25:$AG$30,$AK12,'29'!$AF$25:$AF$30,1)/COUNTIFS('29'!$AG$25:$AG$30,$AK12,'29'!$AF$25:$AF$30,1))</f>
        <v/>
      </c>
      <c r="BY12" s="85" t="str">
        <f>IF(COUNTIFS('30'!$AG$25:$AG$30,$AK12,'30'!$AF$25:$AF$30,1)=0,"",SUMIFS('30'!$AC$25:$AC$30,'30'!$AG$25:$AG$30,$AK12,'30'!$AF$25:$AF$30,1)/COUNTIFS('30'!$AG$25:$AG$30,$AK12,'30'!$AF$25:$AF$30,1))</f>
        <v/>
      </c>
      <c r="BZ12" s="8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3">
        <f>IF(LARGE($Y$5:$Y$17,8)=0,"",8)</f>
        <v>8</v>
      </c>
      <c r="B13" s="143" t="str">
        <f t="shared" si="7"/>
        <v>Photo Fox</v>
      </c>
      <c r="C13" s="143">
        <f t="shared" si="8"/>
        <v>1</v>
      </c>
      <c r="D13" s="144">
        <f t="shared" si="9"/>
        <v>0.06666666667</v>
      </c>
      <c r="E13" s="144">
        <f t="shared" si="10"/>
        <v>1</v>
      </c>
      <c r="X13" s="85" t="s">
        <v>133</v>
      </c>
      <c r="Y13" s="85">
        <f>COUNTIF('1'!$D$4:$D$20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5">
        <f t="shared" si="1"/>
        <v>0.00005</v>
      </c>
      <c r="AA13" s="85" t="s">
        <v>125</v>
      </c>
      <c r="AB13" s="85" t="s">
        <v>124</v>
      </c>
      <c r="AC13" s="85">
        <f>COUNTIF('1'!$O$22:$O$25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5">
        <f t="shared" si="2"/>
        <v>0.00003</v>
      </c>
      <c r="AK13" s="85" t="s">
        <v>125</v>
      </c>
      <c r="AL13" s="85" t="s">
        <v>124</v>
      </c>
      <c r="AM13" s="85">
        <f>COUNTIFS('1'!$AG$29:$AG$34,AK13,'1'!$AF$29:$AF$34,1)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5" t="str">
        <f t="shared" si="5"/>
        <v/>
      </c>
      <c r="AO13" s="85" t="str">
        <f>IF(AM13=0,"",(SUMIFS('1'!$L$29:$L$34,'1'!$AG$29:$AG$34,AK13,'1'!$AF$29:$AF$34,1)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5" t="str">
        <f>IF(AM13=0,"",(SUMIFS('1'!$M$29:$M$34,'1'!$AG$29:$AG$34,AK13,'1'!$AF$29:$AF$34,1)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5" t="str">
        <f>IF(AM13=0,"",(SUMIFS('1'!$N$29:$N$34,'1'!$AG$29:$AG$34,AK13,'1'!$AF$29:$AF$34,1)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5" t="str">
        <f>IF(AM13=0,"",(SUMIFS('1'!$O$29:$O$34,'1'!$AG$29:$AG$34,AK13,'1'!$AF$29:$AF$34,1)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5" t="str">
        <f>IF(AM13=0,"",(SUMIFS('1'!$P$29:$P$34,'1'!$AG$29:$AG$34,AK13,'1'!$AF$29:$AF$34,1)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5" t="str">
        <f>IF(COUNTIFS('1'!$AG$29:$AG$34,$AK13,'1'!$AF$29:$AF$34,1)=0,"",SUMIFS('1'!$AC$29:$AC$34,'1'!$AG$29:$AG$34,$AK13,'1'!$AF$29:$AF$34,1)/COUNTIFS('1'!$AG$29:$AG$34,$AK13,'1'!$AF$29:$AF$34,1))</f>
        <v/>
      </c>
      <c r="AW13" s="85" t="str">
        <f>IF(COUNTIFS('2'!$AG$25:$AG$30,$AK13,'2'!$AF$25:$AF$30,1)=0,"",SUMIFS('2'!$AC$25:$AC$30,'2'!$AG$25:$AG$30,$AK13,'2'!$AF$25:$AF$30,1)/COUNTIFS('2'!$AG$25:$AG$30,$AK13,'2'!$AF$25:$AF$30,1))</f>
        <v/>
      </c>
      <c r="AX13" s="85" t="str">
        <f>IF(COUNTIFS('3'!$AG$24:$AG$29,$AK13,'3'!$AF$24:$AF$29,1)=0,"",SUMIFS('3'!$AC$24:$AC$29,'3'!$AG$24:$AG$29,$AK13,'3'!$AF$24:$AF$29,1)/COUNTIFS('3'!$AG$24:$AG$29,$AK13,'3'!$AF$24:$AF$29,1))</f>
        <v/>
      </c>
      <c r="AY13" s="85" t="str">
        <f>IF(COUNTIFS('4'!$AG$25:$AG$30,$AK13,'4'!$AF$25:$AF$30,1)=0,"",SUMIFS('4'!$AC$25:$AC$30,'4'!$AG$25:$AG$30,$AK13,'4'!$AF$25:$AF$30,1)/COUNTIFS('4'!$AG$25:$AG$30,$AK13,'4'!$AF$25:$AF$30,1))</f>
        <v/>
      </c>
      <c r="AZ13" s="85" t="str">
        <f>IF(COUNTIFS('5'!$AG$25:$AG$30,$AK13,'5'!$AF$25:$AF$30,1)=0,"",SUMIFS('5'!$AC$25:$AC$30,'5'!$AG$25:$AG$30,$AK13,'5'!$AF$25:$AF$30,1)/COUNTIFS('5'!$AG$25:$AG$30,$AK13,'5'!$AF$25:$AF$30,1))</f>
        <v/>
      </c>
      <c r="BA13" s="85" t="str">
        <f>IF(COUNTIFS('6'!$AG$25:$AG$30,$AK13,'6'!$AF$25:$AF$30,1)=0,"",SUMIFS('6'!$AC$25:$AC$30,'6'!$AG$25:$AG$30,$AK13,'6'!$AF$25:$AF$30,1)/COUNTIFS('6'!$AG$25:$AG$30,$AK13,'6'!$AF$25:$AF$30,1))</f>
        <v/>
      </c>
      <c r="BB13" s="85" t="str">
        <f>IF(COUNTIFS('7'!$AG$30:$AG$35,$AK13,'7'!$AF$30:$AF$35,1)=0,"",SUMIFS('7'!$AC$30:$AC$35,'7'!$AG$30:$AG$35,$AK13,'7'!$AF$30:$AF$35,1)/COUNTIFS('7'!$AG$30:$AG$35,$AK13,'7'!$AF$30:$AF$35,1))</f>
        <v/>
      </c>
      <c r="BC13" s="85" t="str">
        <f>IF(COUNTIFS('8'!$AG$25:$AG$30,$AK13,'8'!$AF$25:$AF$30,1)=0,"",SUMIFS('8'!$AC$25:$AC$30,'8'!$AG$25:$AG$30,$AK13,'8'!$AF$25:$AF$30,1)/COUNTIFS('8'!$AG$25:$AG$30,$AK13,'8'!$AF$25:$AF$30,1))</f>
        <v/>
      </c>
      <c r="BD13" s="85" t="str">
        <f>IF(COUNTIFS('9'!$AG$25:$AG$30,$AK13,'9'!$AF$25:$AF$30,1)=0,"",SUMIFS('9'!$AC$25:$AC$30,'9'!$AG$25:$AG$30,$AK13,'9'!$AF$25:$AF$30,1)/COUNTIFS('9'!$AG$25:$AG$30,$AK13,'9'!$AF$25:$AF$30,1))</f>
        <v/>
      </c>
      <c r="BE13" s="85" t="str">
        <f>IF(COUNTIFS('10'!$AG$25:$AG$30,$AK13,'10'!$AF$25:$AF$30,1)=0,"",SUMIFS('10'!$AC$25:$AC$30,'10'!$AG$25:$AG$30,$AK13,'10'!$AF$25:$AF$30,1)/COUNTIFS('10'!$AG$25:$AG$30,$AK13,'10'!$AF$25:$AF$30,1))</f>
        <v/>
      </c>
      <c r="BF13" s="85" t="str">
        <f>IF(COUNTIFS('11'!$AG$25:$AG$30,$AK13,'11'!$AF$25:$AF$30,1)=0,"",SUMIFS('11'!$AC$25:$AC$30,'11'!$AG$25:$AG$30,$AK13,'11'!$AF$25:$AF$30,1)/COUNTIFS('11'!$AG$25:$AG$30,$AK13,'11'!$AF$25:$AF$30,1))</f>
        <v/>
      </c>
      <c r="BG13" s="85" t="str">
        <f>IF(COUNTIFS('12'!$AG$25:$AG$30,$AK13,'12'!$AF$25:$AF$30,1)=0,"",SUMIFS('12'!$AC$25:$AC$30,'12'!$AG$25:$AG$30,$AK13,'12'!$AF$25:$AF$30,1)/COUNTIFS('12'!$AG$25:$AG$30,$AK13,'12'!$AF$25:$AF$30,1))</f>
        <v/>
      </c>
      <c r="BH13" s="85" t="str">
        <f>IF(COUNTIFS('13'!$AG$25:$AG$30,$AK13,'13'!$AF$25:$AF$30,1)=0,"",SUMIFS('13'!$AC$25:$AC$30,'13'!$AG$25:$AG$30,$AK13,'13'!$AF$25:$AF$30,1)/COUNTIFS('13'!$AG$25:$AG$30,$AK13,'13'!$AF$25:$AF$30,1))</f>
        <v/>
      </c>
      <c r="BI13" s="85" t="str">
        <f>IF(COUNTIFS('14'!$AG$25:$AG$30,$AK13,'14'!$AF$25:$AF$30,1)=0,"",SUMIFS('14'!$AC$25:$AC$30,'14'!$AG$25:$AG$30,$AK13,'14'!$AF$25:$AF$30,1)/COUNTIFS('14'!$AG$25:$AG$30,$AK13,'14'!$AF$25:$AF$30,1))</f>
        <v/>
      </c>
      <c r="BJ13" s="85" t="str">
        <f>IF(COUNTIFS('15'!$AG$25:$AG$30,$AK13,'15'!$AF$25:$AF$30,1)=0,"",SUMIFS('15'!$AC$25:$AC$30,'15'!$AG$25:$AG$30,$AK13,'15'!$AF$25:$AF$30,1)/COUNTIFS('15'!$AG$25:$AG$30,$AK13,'15'!$AF$25:$AF$30,1))</f>
        <v/>
      </c>
      <c r="BK13" s="85" t="str">
        <f>IF(COUNTIFS('16'!$AG$25:$AG$30,$AK13,'16'!$AF$25:$AF$30,1)=0,"",SUMIFS('16'!$AC$25:$AC$30,'16'!$AG$25:$AG$30,$AK13,'16'!$AF$25:$AF$30,1)/COUNTIFS('16'!$AG$25:$AG$30,$AK13,'16'!$AF$25:$AF$30,1))</f>
        <v/>
      </c>
      <c r="BL13" s="85" t="str">
        <f>IF(COUNTIFS('17'!$AG$25:$AG$30,$AK13,'17'!$AF$25:$AF$30,1)=0,"",SUMIFS('17'!$AC$25:$AC$30,'17'!$AG$25:$AG$30,$AK13,'17'!$AF$25:$AF$30,1)/COUNTIFS('17'!$AG$25:$AG$30,$AK13,'17'!$AF$25:$AF$30,1))</f>
        <v/>
      </c>
      <c r="BM13" s="85" t="str">
        <f>IF(COUNTIFS('18'!$AG$25:$AG$30,$AK13,'18'!$AF$25:$AF$30,1)=0,"",SUMIFS('18'!$AC$25:$AC$30,'18'!$AG$25:$AG$30,$AK13,'18'!$AF$25:$AF$30,1)/COUNTIFS('18'!$AG$25:$AG$30,$AK13,'18'!$AF$25:$AF$30,1))</f>
        <v/>
      </c>
      <c r="BN13" s="85" t="str">
        <f>IF(COUNTIFS('19'!$AG$25:$AG$30,$AK13,'19'!$AF$25:$AF$30,1)=0,"",SUMIFS('19'!$AC$25:$AC$30,'19'!$AG$25:$AG$30,$AK13,'19'!$AF$25:$AF$30,1)/COUNTIFS('19'!$AG$25:$AG$30,$AK13,'19'!$AF$25:$AF$30,1))</f>
        <v/>
      </c>
      <c r="BO13" s="85" t="str">
        <f>IF(COUNTIFS('20'!$AG$25:$AG$30,$AK13,'20'!$AF$25:$AF$30,1)=0,"",SUMIFS('20'!$AC$25:$AC$30,'20'!$AG$25:$AG$30,$AK13,'20'!$AF$25:$AF$30,1)/COUNTIFS('20'!$AG$25:$AG$30,$AK13,'20'!$AF$25:$AF$30,1))</f>
        <v/>
      </c>
      <c r="BP13" s="85" t="str">
        <f>IF(COUNTIFS('21'!$AG$25:$AG$30,$AK13,'21'!$AF$25:$AF$30,1)=0,"",SUMIFS('21'!$AC$25:$AC$30,'21'!$AG$25:$AG$30,$AK13,'21'!$AF$25:$AF$30,1)/COUNTIFS('21'!$AG$25:$AG$30,$AK13,'21'!$AF$25:$AF$30,1))</f>
        <v/>
      </c>
      <c r="BQ13" s="85" t="str">
        <f>IF(COUNTIFS('22'!$AG$25:$AG$30,$AK13,'22'!$AF$25:$AF$30,1)=0,"",SUMIFS('22'!$AC$25:$AC$30,'22'!$AG$25:$AG$30,$AK13,'22'!$AF$25:$AF$30,1)/COUNTIFS('22'!$AG$25:$AG$30,$AK13,'22'!$AF$25:$AF$30,1))</f>
        <v/>
      </c>
      <c r="BR13" s="85" t="str">
        <f>IF(COUNTIFS('23'!$AG$25:$AG$30,$AK13,'23'!$AF$25:$AF$30,1)=0,"",SUMIFS('23'!$AC$25:$AC$30,'23'!$AG$25:$AG$30,$AK13,'23'!$AF$25:$AF$30,1)/COUNTIFS('23'!$AG$25:$AG$30,$AK13,'23'!$AF$25:$AF$30,1))</f>
        <v/>
      </c>
      <c r="BS13" s="85" t="str">
        <f>IF(COUNTIFS('24'!$AG$25:$AG$30,$AK13,'24'!$AF$25:$AF$30,1)=0,"",SUMIFS('24'!$AC$25:$AC$30,'24'!$AG$25:$AG$30,$AK13,'24'!$AF$25:$AF$30,1)/COUNTIFS('24'!$AG$25:$AG$30,$AK13,'24'!$AF$25:$AF$30,1))</f>
        <v/>
      </c>
      <c r="BT13" s="85" t="str">
        <f>IF(COUNTIFS('25'!$AG$25:$AG$30,$AK13,'25'!$AF$25:$AF$30,1)=0,"",SUMIFS('25'!$AC$25:$AC$30,'25'!$AG$25:$AG$30,$AK13,'25'!$AF$25:$AF$30,1)/COUNTIFS('25'!$AG$25:$AG$30,$AK13,'25'!$AF$25:$AF$30,1))</f>
        <v/>
      </c>
      <c r="BU13" s="85" t="str">
        <f>IF(COUNTIFS('26'!$AG$25:$AG$30,$AK13,'26'!$AF$25:$AF$30,1)=0,"",SUMIFS('26'!$AC$25:$AC$30,'26'!$AG$25:$AG$30,$AK13,'26'!$AF$25:$AF$30,1)/COUNTIFS('26'!$AG$25:$AG$30,$AK13,'26'!$AF$25:$AF$30,1))</f>
        <v/>
      </c>
      <c r="BV13" s="85" t="str">
        <f>IF(COUNTIFS('27'!$AG$25:$AG$30,$AK13,'27'!$AF$25:$AF$30,1)=0,"",SUMIFS('27'!$AC$25:$AC$30,'27'!$AG$25:$AG$30,$AK13,'27'!$AF$25:$AF$30,1)/COUNTIFS('27'!$AG$25:$AG$30,$AK13,'27'!$AF$25:$AF$30,1))</f>
        <v/>
      </c>
      <c r="BW13" s="85" t="str">
        <f>IF(COUNTIFS('28'!$AG$25:$AG$30,$AK13,'28'!$AF$25:$AF$30,1)=0,"",SUMIFS('28'!$AC$25:$AC$30,'28'!$AG$25:$AG$30,$AK13,'28'!$AF$25:$AF$30,1)/COUNTIFS('28'!$AG$25:$AG$30,$AK13,'28'!$AF$25:$AF$30,1))</f>
        <v/>
      </c>
      <c r="BX13" s="85" t="str">
        <f>IF(COUNTIFS('29'!$AG$25:$AG$30,$AK13,'29'!$AF$25:$AF$30,1)=0,"",SUMIFS('29'!$AC$25:$AC$30,'29'!$AG$25:$AG$30,$AK13,'29'!$AF$25:$AF$30,1)/COUNTIFS('29'!$AG$25:$AG$30,$AK13,'29'!$AF$25:$AF$30,1))</f>
        <v/>
      </c>
      <c r="BY13" s="85" t="str">
        <f>IF(COUNTIFS('30'!$AG$25:$AG$30,$AK13,'30'!$AF$25:$AF$30,1)=0,"",SUMIFS('30'!$AC$25:$AC$30,'30'!$AG$25:$AG$30,$AK13,'30'!$AF$25:$AF$30,1)/COUNTIFS('30'!$AG$25:$AG$30,$AK13,'30'!$AF$25:$AF$30,1))</f>
        <v/>
      </c>
      <c r="BZ13" s="8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3" t="str">
        <f>IF(LARGE($Y$5:$Y$17,9)=0,"",9)</f>
        <v/>
      </c>
      <c r="B14" s="143" t="str">
        <f t="shared" si="7"/>
        <v/>
      </c>
      <c r="C14" s="143" t="str">
        <f t="shared" si="8"/>
        <v/>
      </c>
      <c r="D14" s="144" t="str">
        <f t="shared" si="9"/>
        <v/>
      </c>
      <c r="E14" s="144" t="str">
        <f t="shared" si="10"/>
        <v/>
      </c>
      <c r="X14" s="85" t="s">
        <v>21</v>
      </c>
      <c r="Y14" s="85">
        <f>COUNTIF('1'!$D$4:$D$20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5">
        <f t="shared" si="1"/>
        <v>1.00004</v>
      </c>
      <c r="AA14" s="85" t="s">
        <v>126</v>
      </c>
      <c r="AB14" s="85" t="s">
        <v>124</v>
      </c>
      <c r="AC14" s="85">
        <f>COUNTIF('1'!$O$22:$O$25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5">
        <f t="shared" si="2"/>
        <v>0.00002</v>
      </c>
      <c r="AK14" s="85" t="s">
        <v>126</v>
      </c>
      <c r="AL14" s="85" t="s">
        <v>124</v>
      </c>
      <c r="AM14" s="85">
        <f>COUNTIFS('1'!$AG$29:$AG$34,AK14,'1'!$AF$29:$AF$34,1)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5" t="str">
        <f t="shared" si="5"/>
        <v/>
      </c>
      <c r="AO14" s="85" t="str">
        <f>IF(AM14=0,"",(SUMIFS('1'!$L$29:$L$34,'1'!$AG$29:$AG$34,AK14,'1'!$AF$29:$AF$34,1)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5" t="str">
        <f>IF(AM14=0,"",(SUMIFS('1'!$M$29:$M$34,'1'!$AG$29:$AG$34,AK14,'1'!$AF$29:$AF$34,1)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5" t="str">
        <f>IF(AM14=0,"",(SUMIFS('1'!$N$29:$N$34,'1'!$AG$29:$AG$34,AK14,'1'!$AF$29:$AF$34,1)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5" t="str">
        <f>IF(AM14=0,"",(SUMIFS('1'!$O$29:$O$34,'1'!$AG$29:$AG$34,AK14,'1'!$AF$29:$AF$34,1)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5" t="str">
        <f>IF(AM14=0,"",(SUMIFS('1'!$P$29:$P$34,'1'!$AG$29:$AG$34,AK14,'1'!$AF$29:$AF$34,1)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5" t="str">
        <f>IF(COUNTIFS('1'!$AG$29:$AG$34,$AK14,'1'!$AF$29:$AF$34,1)=0,"",SUMIFS('1'!$AC$29:$AC$34,'1'!$AG$29:$AG$34,$AK14,'1'!$AF$29:$AF$34,1)/COUNTIFS('1'!$AG$29:$AG$34,$AK14,'1'!$AF$29:$AF$34,1))</f>
        <v/>
      </c>
      <c r="AW14" s="85" t="str">
        <f>IF(COUNTIFS('2'!$AG$25:$AG$30,$AK14,'2'!$AF$25:$AF$30,1)=0,"",SUMIFS('2'!$AC$25:$AC$30,'2'!$AG$25:$AG$30,$AK14,'2'!$AF$25:$AF$30,1)/COUNTIFS('2'!$AG$25:$AG$30,$AK14,'2'!$AF$25:$AF$30,1))</f>
        <v/>
      </c>
      <c r="AX14" s="85" t="str">
        <f>IF(COUNTIFS('3'!$AG$24:$AG$29,$AK14,'3'!$AF$24:$AF$29,1)=0,"",SUMIFS('3'!$AC$24:$AC$29,'3'!$AG$24:$AG$29,$AK14,'3'!$AF$24:$AF$29,1)/COUNTIFS('3'!$AG$24:$AG$29,$AK14,'3'!$AF$24:$AF$29,1))</f>
        <v/>
      </c>
      <c r="AY14" s="85" t="str">
        <f>IF(COUNTIFS('4'!$AG$25:$AG$30,$AK14,'4'!$AF$25:$AF$30,1)=0,"",SUMIFS('4'!$AC$25:$AC$30,'4'!$AG$25:$AG$30,$AK14,'4'!$AF$25:$AF$30,1)/COUNTIFS('4'!$AG$25:$AG$30,$AK14,'4'!$AF$25:$AF$30,1))</f>
        <v/>
      </c>
      <c r="AZ14" s="85" t="str">
        <f>IF(COUNTIFS('5'!$AG$25:$AG$30,$AK14,'5'!$AF$25:$AF$30,1)=0,"",SUMIFS('5'!$AC$25:$AC$30,'5'!$AG$25:$AG$30,$AK14,'5'!$AF$25:$AF$30,1)/COUNTIFS('5'!$AG$25:$AG$30,$AK14,'5'!$AF$25:$AF$30,1))</f>
        <v/>
      </c>
      <c r="BA14" s="85" t="str">
        <f>IF(COUNTIFS('6'!$AG$25:$AG$30,$AK14,'6'!$AF$25:$AF$30,1)=0,"",SUMIFS('6'!$AC$25:$AC$30,'6'!$AG$25:$AG$30,$AK14,'6'!$AF$25:$AF$30,1)/COUNTIFS('6'!$AG$25:$AG$30,$AK14,'6'!$AF$25:$AF$30,1))</f>
        <v/>
      </c>
      <c r="BB14" s="85" t="str">
        <f>IF(COUNTIFS('7'!$AG$30:$AG$35,$AK14,'7'!$AF$30:$AF$35,1)=0,"",SUMIFS('7'!$AC$30:$AC$35,'7'!$AG$30:$AG$35,$AK14,'7'!$AF$30:$AF$35,1)/COUNTIFS('7'!$AG$30:$AG$35,$AK14,'7'!$AF$30:$AF$35,1))</f>
        <v/>
      </c>
      <c r="BC14" s="85" t="str">
        <f>IF(COUNTIFS('8'!$AG$25:$AG$30,$AK14,'8'!$AF$25:$AF$30,1)=0,"",SUMIFS('8'!$AC$25:$AC$30,'8'!$AG$25:$AG$30,$AK14,'8'!$AF$25:$AF$30,1)/COUNTIFS('8'!$AG$25:$AG$30,$AK14,'8'!$AF$25:$AF$30,1))</f>
        <v/>
      </c>
      <c r="BD14" s="85" t="str">
        <f>IF(COUNTIFS('9'!$AG$25:$AG$30,$AK14,'9'!$AF$25:$AF$30,1)=0,"",SUMIFS('9'!$AC$25:$AC$30,'9'!$AG$25:$AG$30,$AK14,'9'!$AF$25:$AF$30,1)/COUNTIFS('9'!$AG$25:$AG$30,$AK14,'9'!$AF$25:$AF$30,1))</f>
        <v/>
      </c>
      <c r="BE14" s="85" t="str">
        <f>IF(COUNTIFS('10'!$AG$25:$AG$30,$AK14,'10'!$AF$25:$AF$30,1)=0,"",SUMIFS('10'!$AC$25:$AC$30,'10'!$AG$25:$AG$30,$AK14,'10'!$AF$25:$AF$30,1)/COUNTIFS('10'!$AG$25:$AG$30,$AK14,'10'!$AF$25:$AF$30,1))</f>
        <v/>
      </c>
      <c r="BF14" s="85" t="str">
        <f>IF(COUNTIFS('11'!$AG$25:$AG$30,$AK14,'11'!$AF$25:$AF$30,1)=0,"",SUMIFS('11'!$AC$25:$AC$30,'11'!$AG$25:$AG$30,$AK14,'11'!$AF$25:$AF$30,1)/COUNTIFS('11'!$AG$25:$AG$30,$AK14,'11'!$AF$25:$AF$30,1))</f>
        <v/>
      </c>
      <c r="BG14" s="85" t="str">
        <f>IF(COUNTIFS('12'!$AG$25:$AG$30,$AK14,'12'!$AF$25:$AF$30,1)=0,"",SUMIFS('12'!$AC$25:$AC$30,'12'!$AG$25:$AG$30,$AK14,'12'!$AF$25:$AF$30,1)/COUNTIFS('12'!$AG$25:$AG$30,$AK14,'12'!$AF$25:$AF$30,1))</f>
        <v/>
      </c>
      <c r="BH14" s="85" t="str">
        <f>IF(COUNTIFS('13'!$AG$25:$AG$30,$AK14,'13'!$AF$25:$AF$30,1)=0,"",SUMIFS('13'!$AC$25:$AC$30,'13'!$AG$25:$AG$30,$AK14,'13'!$AF$25:$AF$30,1)/COUNTIFS('13'!$AG$25:$AG$30,$AK14,'13'!$AF$25:$AF$30,1))</f>
        <v/>
      </c>
      <c r="BI14" s="85" t="str">
        <f>IF(COUNTIFS('14'!$AG$25:$AG$30,$AK14,'14'!$AF$25:$AF$30,1)=0,"",SUMIFS('14'!$AC$25:$AC$30,'14'!$AG$25:$AG$30,$AK14,'14'!$AF$25:$AF$30,1)/COUNTIFS('14'!$AG$25:$AG$30,$AK14,'14'!$AF$25:$AF$30,1))</f>
        <v/>
      </c>
      <c r="BJ14" s="85" t="str">
        <f>IF(COUNTIFS('15'!$AG$25:$AG$30,$AK14,'15'!$AF$25:$AF$30,1)=0,"",SUMIFS('15'!$AC$25:$AC$30,'15'!$AG$25:$AG$30,$AK14,'15'!$AF$25:$AF$30,1)/COUNTIFS('15'!$AG$25:$AG$30,$AK14,'15'!$AF$25:$AF$30,1))</f>
        <v/>
      </c>
      <c r="BK14" s="85" t="str">
        <f>IF(COUNTIFS('16'!$AG$25:$AG$30,$AK14,'16'!$AF$25:$AF$30,1)=0,"",SUMIFS('16'!$AC$25:$AC$30,'16'!$AG$25:$AG$30,$AK14,'16'!$AF$25:$AF$30,1)/COUNTIFS('16'!$AG$25:$AG$30,$AK14,'16'!$AF$25:$AF$30,1))</f>
        <v/>
      </c>
      <c r="BL14" s="85" t="str">
        <f>IF(COUNTIFS('17'!$AG$25:$AG$30,$AK14,'17'!$AF$25:$AF$30,1)=0,"",SUMIFS('17'!$AC$25:$AC$30,'17'!$AG$25:$AG$30,$AK14,'17'!$AF$25:$AF$30,1)/COUNTIFS('17'!$AG$25:$AG$30,$AK14,'17'!$AF$25:$AF$30,1))</f>
        <v/>
      </c>
      <c r="BM14" s="85" t="str">
        <f>IF(COUNTIFS('18'!$AG$25:$AG$30,$AK14,'18'!$AF$25:$AF$30,1)=0,"",SUMIFS('18'!$AC$25:$AC$30,'18'!$AG$25:$AG$30,$AK14,'18'!$AF$25:$AF$30,1)/COUNTIFS('18'!$AG$25:$AG$30,$AK14,'18'!$AF$25:$AF$30,1))</f>
        <v/>
      </c>
      <c r="BN14" s="85" t="str">
        <f>IF(COUNTIFS('19'!$AG$25:$AG$30,$AK14,'19'!$AF$25:$AF$30,1)=0,"",SUMIFS('19'!$AC$25:$AC$30,'19'!$AG$25:$AG$30,$AK14,'19'!$AF$25:$AF$30,1)/COUNTIFS('19'!$AG$25:$AG$30,$AK14,'19'!$AF$25:$AF$30,1))</f>
        <v/>
      </c>
      <c r="BO14" s="85" t="str">
        <f>IF(COUNTIFS('20'!$AG$25:$AG$30,$AK14,'20'!$AF$25:$AF$30,1)=0,"",SUMIFS('20'!$AC$25:$AC$30,'20'!$AG$25:$AG$30,$AK14,'20'!$AF$25:$AF$30,1)/COUNTIFS('20'!$AG$25:$AG$30,$AK14,'20'!$AF$25:$AF$30,1))</f>
        <v/>
      </c>
      <c r="BP14" s="85" t="str">
        <f>IF(COUNTIFS('21'!$AG$25:$AG$30,$AK14,'21'!$AF$25:$AF$30,1)=0,"",SUMIFS('21'!$AC$25:$AC$30,'21'!$AG$25:$AG$30,$AK14,'21'!$AF$25:$AF$30,1)/COUNTIFS('21'!$AG$25:$AG$30,$AK14,'21'!$AF$25:$AF$30,1))</f>
        <v/>
      </c>
      <c r="BQ14" s="85" t="str">
        <f>IF(COUNTIFS('22'!$AG$25:$AG$30,$AK14,'22'!$AF$25:$AF$30,1)=0,"",SUMIFS('22'!$AC$25:$AC$30,'22'!$AG$25:$AG$30,$AK14,'22'!$AF$25:$AF$30,1)/COUNTIFS('22'!$AG$25:$AG$30,$AK14,'22'!$AF$25:$AF$30,1))</f>
        <v/>
      </c>
      <c r="BR14" s="85" t="str">
        <f>IF(COUNTIFS('23'!$AG$25:$AG$30,$AK14,'23'!$AF$25:$AF$30,1)=0,"",SUMIFS('23'!$AC$25:$AC$30,'23'!$AG$25:$AG$30,$AK14,'23'!$AF$25:$AF$30,1)/COUNTIFS('23'!$AG$25:$AG$30,$AK14,'23'!$AF$25:$AF$30,1))</f>
        <v/>
      </c>
      <c r="BS14" s="85" t="str">
        <f>IF(COUNTIFS('24'!$AG$25:$AG$30,$AK14,'24'!$AF$25:$AF$30,1)=0,"",SUMIFS('24'!$AC$25:$AC$30,'24'!$AG$25:$AG$30,$AK14,'24'!$AF$25:$AF$30,1)/COUNTIFS('24'!$AG$25:$AG$30,$AK14,'24'!$AF$25:$AF$30,1))</f>
        <v/>
      </c>
      <c r="BT14" s="85" t="str">
        <f>IF(COUNTIFS('25'!$AG$25:$AG$30,$AK14,'25'!$AF$25:$AF$30,1)=0,"",SUMIFS('25'!$AC$25:$AC$30,'25'!$AG$25:$AG$30,$AK14,'25'!$AF$25:$AF$30,1)/COUNTIFS('25'!$AG$25:$AG$30,$AK14,'25'!$AF$25:$AF$30,1))</f>
        <v/>
      </c>
      <c r="BU14" s="85" t="str">
        <f>IF(COUNTIFS('26'!$AG$25:$AG$30,$AK14,'26'!$AF$25:$AF$30,1)=0,"",SUMIFS('26'!$AC$25:$AC$30,'26'!$AG$25:$AG$30,$AK14,'26'!$AF$25:$AF$30,1)/COUNTIFS('26'!$AG$25:$AG$30,$AK14,'26'!$AF$25:$AF$30,1))</f>
        <v/>
      </c>
      <c r="BV14" s="85" t="str">
        <f>IF(COUNTIFS('27'!$AG$25:$AG$30,$AK14,'27'!$AF$25:$AF$30,1)=0,"",SUMIFS('27'!$AC$25:$AC$30,'27'!$AG$25:$AG$30,$AK14,'27'!$AF$25:$AF$30,1)/COUNTIFS('27'!$AG$25:$AG$30,$AK14,'27'!$AF$25:$AF$30,1))</f>
        <v/>
      </c>
      <c r="BW14" s="85" t="str">
        <f>IF(COUNTIFS('28'!$AG$25:$AG$30,$AK14,'28'!$AF$25:$AF$30,1)=0,"",SUMIFS('28'!$AC$25:$AC$30,'28'!$AG$25:$AG$30,$AK14,'28'!$AF$25:$AF$30,1)/COUNTIFS('28'!$AG$25:$AG$30,$AK14,'28'!$AF$25:$AF$30,1))</f>
        <v/>
      </c>
      <c r="BX14" s="85" t="str">
        <f>IF(COUNTIFS('29'!$AG$25:$AG$30,$AK14,'29'!$AF$25:$AF$30,1)=0,"",SUMIFS('29'!$AC$25:$AC$30,'29'!$AG$25:$AG$30,$AK14,'29'!$AF$25:$AF$30,1)/COUNTIFS('29'!$AG$25:$AG$30,$AK14,'29'!$AF$25:$AF$30,1))</f>
        <v/>
      </c>
      <c r="BY14" s="85" t="str">
        <f>IF(COUNTIFS('30'!$AG$25:$AG$30,$AK14,'30'!$AF$25:$AF$30,1)=0,"",SUMIFS('30'!$AC$25:$AC$30,'30'!$AG$25:$AG$30,$AK14,'30'!$AF$25:$AF$30,1)/COUNTIFS('30'!$AG$25:$AG$30,$AK14,'30'!$AF$25:$AF$30,1))</f>
        <v/>
      </c>
      <c r="BZ14" s="8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3" t="str">
        <f>IF(LARGE($Y$5:$Y$17,10)=0,"",10)</f>
        <v/>
      </c>
      <c r="B15" s="143" t="str">
        <f t="shared" si="7"/>
        <v/>
      </c>
      <c r="C15" s="143" t="str">
        <f t="shared" si="8"/>
        <v/>
      </c>
      <c r="D15" s="144" t="str">
        <f t="shared" si="9"/>
        <v/>
      </c>
      <c r="E15" s="144" t="str">
        <f t="shared" si="10"/>
        <v/>
      </c>
      <c r="X15" s="85" t="s">
        <v>48</v>
      </c>
      <c r="Y15" s="85">
        <f>COUNTIF('1'!$D$4:$D$20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5">
        <f t="shared" si="1"/>
        <v>1.00003</v>
      </c>
      <c r="AA15" s="85" t="s">
        <v>127</v>
      </c>
      <c r="AB15" s="85" t="s">
        <v>124</v>
      </c>
      <c r="AC15" s="85">
        <f>COUNTIF('1'!$O$22:$O$25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5">
        <f t="shared" si="2"/>
        <v>0.00001</v>
      </c>
      <c r="AK15" s="85" t="s">
        <v>127</v>
      </c>
      <c r="AL15" s="85" t="s">
        <v>124</v>
      </c>
      <c r="AM15" s="85">
        <f>COUNTIFS('1'!$AG$29:$AG$34,AK15,'1'!$AF$29:$AF$34,1)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5" t="str">
        <f t="shared" si="5"/>
        <v/>
      </c>
      <c r="AO15" s="85" t="str">
        <f>IF(AM15=0,"",(SUMIFS('1'!$L$29:$L$34,'1'!$AG$29:$AG$34,AK15,'1'!$AF$29:$AF$34,1)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5" t="str">
        <f>IF(AM15=0,"",(SUMIFS('1'!$M$29:$M$34,'1'!$AG$29:$AG$34,AK15,'1'!$AF$29:$AF$34,1)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5" t="str">
        <f>IF(AM15=0,"",(SUMIFS('1'!$N$29:$N$34,'1'!$AG$29:$AG$34,AK15,'1'!$AF$29:$AF$34,1)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5" t="str">
        <f>IF(AM15=0,"",(SUMIFS('1'!$O$29:$O$34,'1'!$AG$29:$AG$34,AK15,'1'!$AF$29:$AF$34,1)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5" t="str">
        <f>IF(AM15=0,"",(SUMIFS('1'!$P$29:$P$34,'1'!$AG$29:$AG$34,AK15,'1'!$AF$29:$AF$34,1)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5" t="str">
        <f>IF(COUNTIFS('1'!$AG$29:$AG$34,$AK15,'1'!$AF$29:$AF$34,1)=0,"",SUMIFS('1'!$AC$29:$AC$34,'1'!$AG$29:$AG$34,$AK15,'1'!$AF$29:$AF$34,1)/COUNTIFS('1'!$AG$29:$AG$34,$AK15,'1'!$AF$29:$AF$34,1))</f>
        <v/>
      </c>
      <c r="AW15" s="85" t="str">
        <f>IF(COUNTIFS('2'!$AG$25:$AG$30,$AK15,'2'!$AF$25:$AF$30,1)=0,"",SUMIFS('2'!$AC$25:$AC$30,'2'!$AG$25:$AG$30,$AK15,'2'!$AF$25:$AF$30,1)/COUNTIFS('2'!$AG$25:$AG$30,$AK15,'2'!$AF$25:$AF$30,1))</f>
        <v/>
      </c>
      <c r="AX15" s="85" t="str">
        <f>IF(COUNTIFS('3'!$AG$24:$AG$29,$AK15,'3'!$AF$24:$AF$29,1)=0,"",SUMIFS('3'!$AC$24:$AC$29,'3'!$AG$24:$AG$29,$AK15,'3'!$AF$24:$AF$29,1)/COUNTIFS('3'!$AG$24:$AG$29,$AK15,'3'!$AF$24:$AF$29,1))</f>
        <v/>
      </c>
      <c r="AY15" s="85" t="str">
        <f>IF(COUNTIFS('4'!$AG$25:$AG$30,$AK15,'4'!$AF$25:$AF$30,1)=0,"",SUMIFS('4'!$AC$25:$AC$30,'4'!$AG$25:$AG$30,$AK15,'4'!$AF$25:$AF$30,1)/COUNTIFS('4'!$AG$25:$AG$30,$AK15,'4'!$AF$25:$AF$30,1))</f>
        <v/>
      </c>
      <c r="AZ15" s="85" t="str">
        <f>IF(COUNTIFS('5'!$AG$25:$AG$30,$AK15,'5'!$AF$25:$AF$30,1)=0,"",SUMIFS('5'!$AC$25:$AC$30,'5'!$AG$25:$AG$30,$AK15,'5'!$AF$25:$AF$30,1)/COUNTIFS('5'!$AG$25:$AG$30,$AK15,'5'!$AF$25:$AF$30,1))</f>
        <v/>
      </c>
      <c r="BA15" s="85" t="str">
        <f>IF(COUNTIFS('6'!$AG$25:$AG$30,$AK15,'6'!$AF$25:$AF$30,1)=0,"",SUMIFS('6'!$AC$25:$AC$30,'6'!$AG$25:$AG$30,$AK15,'6'!$AF$25:$AF$30,1)/COUNTIFS('6'!$AG$25:$AG$30,$AK15,'6'!$AF$25:$AF$30,1))</f>
        <v/>
      </c>
      <c r="BB15" s="85" t="str">
        <f>IF(COUNTIFS('7'!$AG$30:$AG$35,$AK15,'7'!$AF$30:$AF$35,1)=0,"",SUMIFS('7'!$AC$30:$AC$35,'7'!$AG$30:$AG$35,$AK15,'7'!$AF$30:$AF$35,1)/COUNTIFS('7'!$AG$30:$AG$35,$AK15,'7'!$AF$30:$AF$35,1))</f>
        <v/>
      </c>
      <c r="BC15" s="85" t="str">
        <f>IF(COUNTIFS('8'!$AG$25:$AG$30,$AK15,'8'!$AF$25:$AF$30,1)=0,"",SUMIFS('8'!$AC$25:$AC$30,'8'!$AG$25:$AG$30,$AK15,'8'!$AF$25:$AF$30,1)/COUNTIFS('8'!$AG$25:$AG$30,$AK15,'8'!$AF$25:$AF$30,1))</f>
        <v/>
      </c>
      <c r="BD15" s="85" t="str">
        <f>IF(COUNTIFS('9'!$AG$25:$AG$30,$AK15,'9'!$AF$25:$AF$30,1)=0,"",SUMIFS('9'!$AC$25:$AC$30,'9'!$AG$25:$AG$30,$AK15,'9'!$AF$25:$AF$30,1)/COUNTIFS('9'!$AG$25:$AG$30,$AK15,'9'!$AF$25:$AF$30,1))</f>
        <v/>
      </c>
      <c r="BE15" s="85" t="str">
        <f>IF(COUNTIFS('10'!$AG$25:$AG$30,$AK15,'10'!$AF$25:$AF$30,1)=0,"",SUMIFS('10'!$AC$25:$AC$30,'10'!$AG$25:$AG$30,$AK15,'10'!$AF$25:$AF$30,1)/COUNTIFS('10'!$AG$25:$AG$30,$AK15,'10'!$AF$25:$AF$30,1))</f>
        <v/>
      </c>
      <c r="BF15" s="85" t="str">
        <f>IF(COUNTIFS('11'!$AG$25:$AG$30,$AK15,'11'!$AF$25:$AF$30,1)=0,"",SUMIFS('11'!$AC$25:$AC$30,'11'!$AG$25:$AG$30,$AK15,'11'!$AF$25:$AF$30,1)/COUNTIFS('11'!$AG$25:$AG$30,$AK15,'11'!$AF$25:$AF$30,1))</f>
        <v/>
      </c>
      <c r="BG15" s="85" t="str">
        <f>IF(COUNTIFS('12'!$AG$25:$AG$30,$AK15,'12'!$AF$25:$AF$30,1)=0,"",SUMIFS('12'!$AC$25:$AC$30,'12'!$AG$25:$AG$30,$AK15,'12'!$AF$25:$AF$30,1)/COUNTIFS('12'!$AG$25:$AG$30,$AK15,'12'!$AF$25:$AF$30,1))</f>
        <v/>
      </c>
      <c r="BH15" s="85" t="str">
        <f>IF(COUNTIFS('13'!$AG$25:$AG$30,$AK15,'13'!$AF$25:$AF$30,1)=0,"",SUMIFS('13'!$AC$25:$AC$30,'13'!$AG$25:$AG$30,$AK15,'13'!$AF$25:$AF$30,1)/COUNTIFS('13'!$AG$25:$AG$30,$AK15,'13'!$AF$25:$AF$30,1))</f>
        <v/>
      </c>
      <c r="BI15" s="85" t="str">
        <f>IF(COUNTIFS('14'!$AG$25:$AG$30,$AK15,'14'!$AF$25:$AF$30,1)=0,"",SUMIFS('14'!$AC$25:$AC$30,'14'!$AG$25:$AG$30,$AK15,'14'!$AF$25:$AF$30,1)/COUNTIFS('14'!$AG$25:$AG$30,$AK15,'14'!$AF$25:$AF$30,1))</f>
        <v/>
      </c>
      <c r="BJ15" s="85" t="str">
        <f>IF(COUNTIFS('15'!$AG$25:$AG$30,$AK15,'15'!$AF$25:$AF$30,1)=0,"",SUMIFS('15'!$AC$25:$AC$30,'15'!$AG$25:$AG$30,$AK15,'15'!$AF$25:$AF$30,1)/COUNTIFS('15'!$AG$25:$AG$30,$AK15,'15'!$AF$25:$AF$30,1))</f>
        <v/>
      </c>
      <c r="BK15" s="85" t="str">
        <f>IF(COUNTIFS('16'!$AG$25:$AG$30,$AK15,'16'!$AF$25:$AF$30,1)=0,"",SUMIFS('16'!$AC$25:$AC$30,'16'!$AG$25:$AG$30,$AK15,'16'!$AF$25:$AF$30,1)/COUNTIFS('16'!$AG$25:$AG$30,$AK15,'16'!$AF$25:$AF$30,1))</f>
        <v/>
      </c>
      <c r="BL15" s="85" t="str">
        <f>IF(COUNTIFS('17'!$AG$25:$AG$30,$AK15,'17'!$AF$25:$AF$30,1)=0,"",SUMIFS('17'!$AC$25:$AC$30,'17'!$AG$25:$AG$30,$AK15,'17'!$AF$25:$AF$30,1)/COUNTIFS('17'!$AG$25:$AG$30,$AK15,'17'!$AF$25:$AF$30,1))</f>
        <v/>
      </c>
      <c r="BM15" s="85" t="str">
        <f>IF(COUNTIFS('18'!$AG$25:$AG$30,$AK15,'18'!$AF$25:$AF$30,1)=0,"",SUMIFS('18'!$AC$25:$AC$30,'18'!$AG$25:$AG$30,$AK15,'18'!$AF$25:$AF$30,1)/COUNTIFS('18'!$AG$25:$AG$30,$AK15,'18'!$AF$25:$AF$30,1))</f>
        <v/>
      </c>
      <c r="BN15" s="85" t="str">
        <f>IF(COUNTIFS('19'!$AG$25:$AG$30,$AK15,'19'!$AF$25:$AF$30,1)=0,"",SUMIFS('19'!$AC$25:$AC$30,'19'!$AG$25:$AG$30,$AK15,'19'!$AF$25:$AF$30,1)/COUNTIFS('19'!$AG$25:$AG$30,$AK15,'19'!$AF$25:$AF$30,1))</f>
        <v/>
      </c>
      <c r="BO15" s="85" t="str">
        <f>IF(COUNTIFS('20'!$AG$25:$AG$30,$AK15,'20'!$AF$25:$AF$30,1)=0,"",SUMIFS('20'!$AC$25:$AC$30,'20'!$AG$25:$AG$30,$AK15,'20'!$AF$25:$AF$30,1)/COUNTIFS('20'!$AG$25:$AG$30,$AK15,'20'!$AF$25:$AF$30,1))</f>
        <v/>
      </c>
      <c r="BP15" s="85" t="str">
        <f>IF(COUNTIFS('21'!$AG$25:$AG$30,$AK15,'21'!$AF$25:$AF$30,1)=0,"",SUMIFS('21'!$AC$25:$AC$30,'21'!$AG$25:$AG$30,$AK15,'21'!$AF$25:$AF$30,1)/COUNTIFS('21'!$AG$25:$AG$30,$AK15,'21'!$AF$25:$AF$30,1))</f>
        <v/>
      </c>
      <c r="BQ15" s="85" t="str">
        <f>IF(COUNTIFS('22'!$AG$25:$AG$30,$AK15,'22'!$AF$25:$AF$30,1)=0,"",SUMIFS('22'!$AC$25:$AC$30,'22'!$AG$25:$AG$30,$AK15,'22'!$AF$25:$AF$30,1)/COUNTIFS('22'!$AG$25:$AG$30,$AK15,'22'!$AF$25:$AF$30,1))</f>
        <v/>
      </c>
      <c r="BR15" s="85" t="str">
        <f>IF(COUNTIFS('23'!$AG$25:$AG$30,$AK15,'23'!$AF$25:$AF$30,1)=0,"",SUMIFS('23'!$AC$25:$AC$30,'23'!$AG$25:$AG$30,$AK15,'23'!$AF$25:$AF$30,1)/COUNTIFS('23'!$AG$25:$AG$30,$AK15,'23'!$AF$25:$AF$30,1))</f>
        <v/>
      </c>
      <c r="BS15" s="85" t="str">
        <f>IF(COUNTIFS('24'!$AG$25:$AG$30,$AK15,'24'!$AF$25:$AF$30,1)=0,"",SUMIFS('24'!$AC$25:$AC$30,'24'!$AG$25:$AG$30,$AK15,'24'!$AF$25:$AF$30,1)/COUNTIFS('24'!$AG$25:$AG$30,$AK15,'24'!$AF$25:$AF$30,1))</f>
        <v/>
      </c>
      <c r="BT15" s="85" t="str">
        <f>IF(COUNTIFS('25'!$AG$25:$AG$30,$AK15,'25'!$AF$25:$AF$30,1)=0,"",SUMIFS('25'!$AC$25:$AC$30,'25'!$AG$25:$AG$30,$AK15,'25'!$AF$25:$AF$30,1)/COUNTIFS('25'!$AG$25:$AG$30,$AK15,'25'!$AF$25:$AF$30,1))</f>
        <v/>
      </c>
      <c r="BU15" s="85" t="str">
        <f>IF(COUNTIFS('26'!$AG$25:$AG$30,$AK15,'26'!$AF$25:$AF$30,1)=0,"",SUMIFS('26'!$AC$25:$AC$30,'26'!$AG$25:$AG$30,$AK15,'26'!$AF$25:$AF$30,1)/COUNTIFS('26'!$AG$25:$AG$30,$AK15,'26'!$AF$25:$AF$30,1))</f>
        <v/>
      </c>
      <c r="BV15" s="85" t="str">
        <f>IF(COUNTIFS('27'!$AG$25:$AG$30,$AK15,'27'!$AF$25:$AF$30,1)=0,"",SUMIFS('27'!$AC$25:$AC$30,'27'!$AG$25:$AG$30,$AK15,'27'!$AF$25:$AF$30,1)/COUNTIFS('27'!$AG$25:$AG$30,$AK15,'27'!$AF$25:$AF$30,1))</f>
        <v/>
      </c>
      <c r="BW15" s="85" t="str">
        <f>IF(COUNTIFS('28'!$AG$25:$AG$30,$AK15,'28'!$AF$25:$AF$30,1)=0,"",SUMIFS('28'!$AC$25:$AC$30,'28'!$AG$25:$AG$30,$AK15,'28'!$AF$25:$AF$30,1)/COUNTIFS('28'!$AG$25:$AG$30,$AK15,'28'!$AF$25:$AF$30,1))</f>
        <v/>
      </c>
      <c r="BX15" s="85" t="str">
        <f>IF(COUNTIFS('29'!$AG$25:$AG$30,$AK15,'29'!$AF$25:$AF$30,1)=0,"",SUMIFS('29'!$AC$25:$AC$30,'29'!$AG$25:$AG$30,$AK15,'29'!$AF$25:$AF$30,1)/COUNTIFS('29'!$AG$25:$AG$30,$AK15,'29'!$AF$25:$AF$30,1))</f>
        <v/>
      </c>
      <c r="BY15" s="85" t="str">
        <f>IF(COUNTIFS('30'!$AG$25:$AG$30,$AK15,'30'!$AF$25:$AF$30,1)=0,"",SUMIFS('30'!$AC$25:$AC$30,'30'!$AG$25:$AG$30,$AK15,'30'!$AF$25:$AF$30,1)/COUNTIFS('30'!$AG$25:$AG$30,$AK15,'30'!$AF$25:$AF$30,1))</f>
        <v/>
      </c>
      <c r="BZ15" s="8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3" t="str">
        <f>IF(LARGE($Y$5:$Y$17,11)=0,"",11)</f>
        <v/>
      </c>
      <c r="B16" s="143" t="str">
        <f t="shared" si="7"/>
        <v/>
      </c>
      <c r="C16" s="143" t="str">
        <f t="shared" si="8"/>
        <v/>
      </c>
      <c r="D16" s="144" t="str">
        <f t="shared" si="9"/>
        <v/>
      </c>
      <c r="E16" s="144" t="str">
        <f t="shared" si="10"/>
        <v/>
      </c>
      <c r="X16" s="85" t="s">
        <v>134</v>
      </c>
      <c r="Y16" s="85">
        <f>COUNTIF('1'!$D$4:$D$20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5">
        <f t="shared" si="1"/>
        <v>0.00002</v>
      </c>
    </row>
    <row r="17">
      <c r="A17" s="143" t="str">
        <f>IF(LARGE($Y$5:$Y$17,12)=0,"",12)</f>
        <v/>
      </c>
      <c r="B17" s="143" t="str">
        <f t="shared" si="7"/>
        <v/>
      </c>
      <c r="C17" s="143" t="str">
        <f t="shared" si="8"/>
        <v/>
      </c>
      <c r="D17" s="144" t="str">
        <f t="shared" si="9"/>
        <v/>
      </c>
      <c r="E17" s="144" t="str">
        <f t="shared" si="10"/>
        <v/>
      </c>
      <c r="X17" s="85" t="s">
        <v>47</v>
      </c>
      <c r="Y17" s="85">
        <f>COUNTIF('1'!$D$4:$D$20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5">
        <f t="shared" si="1"/>
        <v>1.00001</v>
      </c>
    </row>
    <row r="18">
      <c r="A18" s="143" t="str">
        <f>IF(LARGE($Y$5:$Y$17,13)=0,"",13)</f>
        <v/>
      </c>
      <c r="B18" s="143" t="str">
        <f t="shared" si="7"/>
        <v/>
      </c>
      <c r="C18" s="143" t="str">
        <f t="shared" si="8"/>
        <v/>
      </c>
      <c r="D18" s="144" t="str">
        <f t="shared" si="9"/>
        <v/>
      </c>
      <c r="E18" s="144" t="str">
        <f t="shared" si="10"/>
        <v/>
      </c>
      <c r="AV18" s="85">
        <f t="shared" ref="AV18:BZ18" si="11">IF(COUNT(AV5:AV15)=0,"",AVERAGE(AV5:AV15))</f>
        <v>88</v>
      </c>
      <c r="AW18" s="85" t="str">
        <f t="shared" si="11"/>
        <v/>
      </c>
      <c r="AX18" s="85" t="str">
        <f t="shared" si="11"/>
        <v/>
      </c>
      <c r="AY18" s="85" t="str">
        <f t="shared" si="11"/>
        <v/>
      </c>
      <c r="AZ18" s="85" t="str">
        <f t="shared" si="11"/>
        <v/>
      </c>
      <c r="BA18" s="85" t="str">
        <f t="shared" si="11"/>
        <v/>
      </c>
      <c r="BB18" s="85" t="str">
        <f t="shared" si="11"/>
        <v/>
      </c>
      <c r="BC18" s="85" t="str">
        <f t="shared" si="11"/>
        <v/>
      </c>
      <c r="BD18" s="85" t="str">
        <f t="shared" si="11"/>
        <v/>
      </c>
      <c r="BE18" s="85" t="str">
        <f t="shared" si="11"/>
        <v/>
      </c>
      <c r="BF18" s="85" t="str">
        <f t="shared" si="11"/>
        <v/>
      </c>
      <c r="BG18" s="85" t="str">
        <f t="shared" si="11"/>
        <v/>
      </c>
      <c r="BH18" s="85" t="str">
        <f t="shared" si="11"/>
        <v/>
      </c>
      <c r="BI18" s="85" t="str">
        <f t="shared" si="11"/>
        <v/>
      </c>
      <c r="BJ18" s="85" t="str">
        <f t="shared" si="11"/>
        <v/>
      </c>
      <c r="BK18" s="85" t="str">
        <f t="shared" si="11"/>
        <v/>
      </c>
      <c r="BL18" s="85" t="str">
        <f t="shared" si="11"/>
        <v/>
      </c>
      <c r="BM18" s="85" t="str">
        <f t="shared" si="11"/>
        <v/>
      </c>
      <c r="BN18" s="85" t="str">
        <f t="shared" si="11"/>
        <v/>
      </c>
      <c r="BO18" s="85" t="str">
        <f t="shared" si="11"/>
        <v/>
      </c>
      <c r="BP18" s="85" t="str">
        <f t="shared" si="11"/>
        <v/>
      </c>
      <c r="BQ18" s="85" t="str">
        <f t="shared" si="11"/>
        <v/>
      </c>
      <c r="BR18" s="85" t="str">
        <f t="shared" si="11"/>
        <v/>
      </c>
      <c r="BS18" s="85" t="str">
        <f t="shared" si="11"/>
        <v/>
      </c>
      <c r="BT18" s="85" t="str">
        <f t="shared" si="11"/>
        <v/>
      </c>
      <c r="BU18" s="85" t="str">
        <f t="shared" si="11"/>
        <v/>
      </c>
      <c r="BV18" s="85" t="str">
        <f t="shared" si="11"/>
        <v/>
      </c>
      <c r="BW18" s="85" t="str">
        <f t="shared" si="11"/>
        <v/>
      </c>
      <c r="BX18" s="85" t="str">
        <f t="shared" si="11"/>
        <v/>
      </c>
      <c r="BY18" s="85" t="str">
        <f t="shared" si="11"/>
        <v/>
      </c>
      <c r="BZ18" s="85" t="str">
        <f t="shared" si="11"/>
        <v/>
      </c>
    </row>
    <row r="19">
      <c r="A19" s="143" t="s">
        <v>135</v>
      </c>
      <c r="C19" s="143">
        <f>SUM(C6:C18)</f>
        <v>15</v>
      </c>
      <c r="D19" s="144"/>
      <c r="E19" s="144">
        <f>SUM(D6:D18)</f>
        <v>1</v>
      </c>
    </row>
    <row r="21" ht="15.75" customHeight="1"/>
    <row r="22" ht="15.75" customHeight="1"/>
    <row r="23" ht="15.75" customHeight="1">
      <c r="A23" s="133" t="s">
        <v>136</v>
      </c>
      <c r="F23" s="133" t="s">
        <v>137</v>
      </c>
    </row>
    <row r="24" ht="15.75" customHeight="1">
      <c r="A24" s="134" t="s">
        <v>1</v>
      </c>
      <c r="B24" s="134" t="s">
        <v>138</v>
      </c>
      <c r="C24" s="134" t="s">
        <v>139</v>
      </c>
      <c r="D24" s="134" t="s">
        <v>140</v>
      </c>
      <c r="F24" s="134" t="s">
        <v>98</v>
      </c>
      <c r="G24" s="134" t="s">
        <v>7</v>
      </c>
      <c r="H24" s="134" t="s">
        <v>141</v>
      </c>
      <c r="I24" s="134" t="s">
        <v>142</v>
      </c>
    </row>
    <row r="25" ht="15.75" customHeight="1">
      <c r="A25" s="143" t="str">
        <f t="array" ref="A25">IF(LARGE($AC$5:$AC$15,1)=0,"",INDEX($AA$5:$AA$15,MATCH(LARGE($AD$5:$AD$15,1),$AD$5:$AD$15,0)))</f>
        <v>AMEL</v>
      </c>
      <c r="B25" s="143" t="str">
        <f t="shared" ref="B25:B35" si="12">IF(A25="","",INDEX($AB$5:$AB$15,MATCH(A25,$AA$5:$AA$15,0)))</f>
        <v>Admin/CS</v>
      </c>
      <c r="C25" s="143">
        <f t="shared" ref="C25:C35" si="13">IF(A25="","",INDEX($AC$5:$AC$15,MATCH(A25,$AA$5:$AA$15,0)))</f>
        <v>3</v>
      </c>
      <c r="D25" s="144">
        <f t="shared" ref="D25:D35" si="14">IF(A25="","",IFERROR(C25/SUM($C$25:$C$35),0))</f>
        <v>0.5</v>
      </c>
      <c r="F25" s="143">
        <f>IF(LARGE($AF$5:$AF$9,1)=0,"",1)</f>
        <v>1</v>
      </c>
      <c r="G25" s="143" t="str">
        <f t="shared" ref="G25:G29" si="15">IF(F25="","",INDEX($AE$5:$AE$9,MATCH(LARGE($AG$5:$AG$9,F25),$AG$5:$AG$9,0)))</f>
        <v>AMEL</v>
      </c>
      <c r="H25" s="143">
        <f t="shared" ref="H25:H29" si="16">IF(G25="","",INDEX($AF$5:$AF$9,MATCH(G25,$AE$5:$AE$9,0)))</f>
        <v>18</v>
      </c>
      <c r="I25" s="144">
        <f t="shared" ref="I25:I29" si="17">IF(H25="","",IFERROR(H25/SUM($H$25:$H$29),0))</f>
        <v>1</v>
      </c>
    </row>
    <row r="26" ht="15.75" customHeight="1">
      <c r="A26" s="143" t="str">
        <f t="array" ref="A26">IF(LARGE($AC$5:$AC$15,2)=0,"",INDEX($AA$5:$AA$15,MATCH(LARGE($AD$5:$AD$15,2),$AD$5:$AD$15,0)))</f>
        <v>ADIF</v>
      </c>
      <c r="B26" s="143" t="str">
        <f t="shared" si="12"/>
        <v>Fotografer</v>
      </c>
      <c r="C26" s="143">
        <f t="shared" si="13"/>
        <v>3</v>
      </c>
      <c r="D26" s="144">
        <f t="shared" si="14"/>
        <v>0.5</v>
      </c>
      <c r="F26" s="143" t="str">
        <f>IF(LARGE($AF$5:$AF$9,2)=0,"",2)</f>
        <v/>
      </c>
      <c r="G26" s="143" t="str">
        <f t="shared" si="15"/>
        <v/>
      </c>
      <c r="H26" s="143" t="str">
        <f t="shared" si="16"/>
        <v/>
      </c>
      <c r="I26" s="144" t="str">
        <f t="shared" si="17"/>
        <v/>
      </c>
    </row>
    <row r="27" ht="15.75" customHeight="1">
      <c r="A27" s="143" t="str">
        <f t="array" ref="A27">IF(LARGE($AC$5:$AC$15,3)=0,"",INDEX($AA$5:$AA$15,MATCH(LARGE($AD$5:$AD$15,3),$AD$5:$AD$15,0)))</f>
        <v/>
      </c>
      <c r="B27" s="143" t="str">
        <f t="shared" si="12"/>
        <v/>
      </c>
      <c r="C27" s="143" t="str">
        <f t="shared" si="13"/>
        <v/>
      </c>
      <c r="D27" s="144" t="str">
        <f t="shared" si="14"/>
        <v/>
      </c>
      <c r="F27" s="143" t="str">
        <f>IF(LARGE($AF$5:$AF$9,3)=0,"",3)</f>
        <v/>
      </c>
      <c r="G27" s="143" t="str">
        <f t="shared" si="15"/>
        <v/>
      </c>
      <c r="H27" s="143" t="str">
        <f t="shared" si="16"/>
        <v/>
      </c>
      <c r="I27" s="144" t="str">
        <f t="shared" si="17"/>
        <v/>
      </c>
    </row>
    <row r="28" ht="15.75" customHeight="1">
      <c r="A28" s="143" t="str">
        <f t="array" ref="A28">IF(LARGE($AC$5:$AC$15,4)=0,"",INDEX($AA$5:$AA$15,MATCH(LARGE($AD$5:$AD$15,4),$AD$5:$AD$15,0)))</f>
        <v/>
      </c>
      <c r="B28" s="143" t="str">
        <f t="shared" si="12"/>
        <v/>
      </c>
      <c r="C28" s="143" t="str">
        <f t="shared" si="13"/>
        <v/>
      </c>
      <c r="D28" s="144" t="str">
        <f t="shared" si="14"/>
        <v/>
      </c>
      <c r="F28" s="143" t="str">
        <f>IF(LARGE($AF$5:$AF$9,4)=0,"",4)</f>
        <v/>
      </c>
      <c r="G28" s="143" t="str">
        <f t="shared" si="15"/>
        <v/>
      </c>
      <c r="H28" s="143" t="str">
        <f t="shared" si="16"/>
        <v/>
      </c>
      <c r="I28" s="144" t="str">
        <f t="shared" si="17"/>
        <v/>
      </c>
    </row>
    <row r="29" ht="15.75" customHeight="1">
      <c r="A29" s="143" t="str">
        <f t="array" ref="A29">IF(LARGE($AC$5:$AC$15,5)=0,"",INDEX($AA$5:$AA$15,MATCH(LARGE($AD$5:$AD$15,5),$AD$5:$AD$15,0)))</f>
        <v/>
      </c>
      <c r="B29" s="143" t="str">
        <f t="shared" si="12"/>
        <v/>
      </c>
      <c r="C29" s="143" t="str">
        <f t="shared" si="13"/>
        <v/>
      </c>
      <c r="D29" s="144" t="str">
        <f t="shared" si="14"/>
        <v/>
      </c>
      <c r="F29" s="143" t="str">
        <f>IF(LARGE($AF$5:$AF$9,5)=0,"",5)</f>
        <v/>
      </c>
      <c r="G29" s="143" t="str">
        <f t="shared" si="15"/>
        <v/>
      </c>
      <c r="H29" s="143" t="str">
        <f t="shared" si="16"/>
        <v/>
      </c>
      <c r="I29" s="144" t="str">
        <f t="shared" si="17"/>
        <v/>
      </c>
    </row>
    <row r="30" ht="15.75" customHeight="1">
      <c r="A30" s="143" t="str">
        <f t="array" ref="A30">IF(LARGE($AC$5:$AC$15,6)=0,"",INDEX($AA$5:$AA$15,MATCH(LARGE($AD$5:$AD$15,6),$AD$5:$AD$15,0)))</f>
        <v/>
      </c>
      <c r="B30" s="143" t="str">
        <f t="shared" si="12"/>
        <v/>
      </c>
      <c r="C30" s="143" t="str">
        <f t="shared" si="13"/>
        <v/>
      </c>
      <c r="D30" s="144" t="str">
        <f t="shared" si="14"/>
        <v/>
      </c>
    </row>
    <row r="31" ht="15.75" customHeight="1">
      <c r="A31" s="143" t="str">
        <f t="array" ref="A31">IF(LARGE($AC$5:$AC$15,7)=0,"",INDEX($AA$5:$AA$15,MATCH(LARGE($AD$5:$AD$15,7),$AD$5:$AD$15,0)))</f>
        <v/>
      </c>
      <c r="B31" s="143" t="str">
        <f t="shared" si="12"/>
        <v/>
      </c>
      <c r="C31" s="143" t="str">
        <f t="shared" si="13"/>
        <v/>
      </c>
      <c r="D31" s="144" t="str">
        <f t="shared" si="14"/>
        <v/>
      </c>
      <c r="F31" s="133" t="s">
        <v>143</v>
      </c>
    </row>
    <row r="32" ht="15.75" customHeight="1">
      <c r="A32" s="143" t="str">
        <f t="array" ref="A32">IF(LARGE($AC$5:$AC$15,8)=0,"",INDEX($AA$5:$AA$15,MATCH(LARGE($AD$5:$AD$15,8),$AD$5:$AD$15,0)))</f>
        <v/>
      </c>
      <c r="B32" s="143" t="str">
        <f t="shared" si="12"/>
        <v/>
      </c>
      <c r="C32" s="143" t="str">
        <f t="shared" si="13"/>
        <v/>
      </c>
      <c r="D32" s="144" t="str">
        <f t="shared" si="14"/>
        <v/>
      </c>
      <c r="F32" s="134" t="s">
        <v>98</v>
      </c>
      <c r="G32" s="134" t="s">
        <v>124</v>
      </c>
      <c r="H32" s="134" t="s">
        <v>141</v>
      </c>
      <c r="I32" s="134" t="s">
        <v>142</v>
      </c>
    </row>
    <row r="33" ht="15.75" customHeight="1">
      <c r="A33" s="143" t="str">
        <f t="array" ref="A33">IF(LARGE($AC$5:$AC$15,9)=0,"",INDEX($AA$5:$AA$15,MATCH(LARGE($AD$5:$AD$15,9),$AD$5:$AD$15,0)))</f>
        <v/>
      </c>
      <c r="B33" s="143" t="str">
        <f t="shared" si="12"/>
        <v/>
      </c>
      <c r="C33" s="143" t="str">
        <f t="shared" si="13"/>
        <v/>
      </c>
      <c r="D33" s="144" t="str">
        <f t="shared" si="14"/>
        <v/>
      </c>
      <c r="F33" s="143">
        <f>IF(LARGE($AI$5:$AI$10,1)=0,"",1)</f>
        <v>1</v>
      </c>
      <c r="G33" s="143" t="str">
        <f t="shared" ref="G33:G38" si="18">IF(F33="","",INDEX($AH$5:$AH$10,MATCH(LARGE($AJ$5:$AJ$10,F33),$AJ$5:$AJ$10,0)))</f>
        <v>ADIF</v>
      </c>
      <c r="H33" s="143">
        <f t="shared" ref="H33:H38" si="19">IF(G33="","",INDEX($AI$5:$AI$10,MATCH(G33,$AH$5:$AH$10,0)))</f>
        <v>8</v>
      </c>
      <c r="I33" s="144">
        <f t="shared" ref="I33:I38" si="20">IF(H33="","",IFERROR(H33/SUM($H$33:$H$38),0))</f>
        <v>1</v>
      </c>
    </row>
    <row r="34" ht="15.75" customHeight="1">
      <c r="A34" s="143" t="str">
        <f t="array" ref="A34">IF(LARGE($AC$5:$AC$15,10)=0,"",INDEX($AA$5:$AA$15,MATCH(LARGE($AD$5:$AD$15,10),$AD$5:$AD$15,0)))</f>
        <v/>
      </c>
      <c r="B34" s="143" t="str">
        <f t="shared" si="12"/>
        <v/>
      </c>
      <c r="C34" s="143" t="str">
        <f t="shared" si="13"/>
        <v/>
      </c>
      <c r="D34" s="144" t="str">
        <f t="shared" si="14"/>
        <v/>
      </c>
      <c r="F34" s="143" t="str">
        <f>IF(LARGE($AI$5:$AI$10,2)=0,"",2)</f>
        <v/>
      </c>
      <c r="G34" s="143" t="str">
        <f t="shared" si="18"/>
        <v/>
      </c>
      <c r="H34" s="143" t="str">
        <f t="shared" si="19"/>
        <v/>
      </c>
      <c r="I34" s="144" t="str">
        <f t="shared" si="20"/>
        <v/>
      </c>
    </row>
    <row r="35" ht="15.75" customHeight="1">
      <c r="A35" s="143" t="str">
        <f t="array" ref="A35">IF(LARGE($AC$5:$AC$15,11)=0,"",INDEX($AA$5:$AA$15,MATCH(LARGE($AD$5:$AD$15,11),$AD$5:$AD$15,0)))</f>
        <v/>
      </c>
      <c r="B35" s="143" t="str">
        <f t="shared" si="12"/>
        <v/>
      </c>
      <c r="C35" s="143" t="str">
        <f t="shared" si="13"/>
        <v/>
      </c>
      <c r="D35" s="144" t="str">
        <f t="shared" si="14"/>
        <v/>
      </c>
      <c r="F35" s="143" t="str">
        <f>IF(LARGE($AI$5:$AI$10,3)=0,"",3)</f>
        <v/>
      </c>
      <c r="G35" s="143" t="str">
        <f t="shared" si="18"/>
        <v/>
      </c>
      <c r="H35" s="143" t="str">
        <f t="shared" si="19"/>
        <v/>
      </c>
      <c r="I35" s="144" t="str">
        <f t="shared" si="20"/>
        <v/>
      </c>
    </row>
    <row r="36" ht="15.75" customHeight="1">
      <c r="F36" s="143" t="str">
        <f>IF(LARGE($AI$5:$AI$10,4)=0,"",4)</f>
        <v/>
      </c>
      <c r="G36" s="143" t="str">
        <f t="shared" si="18"/>
        <v/>
      </c>
      <c r="H36" s="143" t="str">
        <f t="shared" si="19"/>
        <v/>
      </c>
      <c r="I36" s="144" t="str">
        <f t="shared" si="20"/>
        <v/>
      </c>
    </row>
    <row r="37" ht="15.75" customHeight="1">
      <c r="F37" s="143" t="str">
        <f>IF(LARGE($AI$5:$AI$10,5)=0,"",5)</f>
        <v/>
      </c>
      <c r="G37" s="143" t="str">
        <f t="shared" si="18"/>
        <v/>
      </c>
      <c r="H37" s="143" t="str">
        <f t="shared" si="19"/>
        <v/>
      </c>
      <c r="I37" s="144" t="str">
        <f t="shared" si="20"/>
        <v/>
      </c>
    </row>
    <row r="38" ht="15.75" customHeight="1">
      <c r="F38" s="143" t="str">
        <f>IF(LARGE($AI$5:$AI$10,6)=0,"",6)</f>
        <v/>
      </c>
      <c r="G38" s="143" t="str">
        <f t="shared" si="18"/>
        <v/>
      </c>
      <c r="H38" s="143" t="str">
        <f t="shared" si="19"/>
        <v/>
      </c>
      <c r="I38" s="14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3" t="s">
        <v>144</v>
      </c>
    </row>
    <row r="44" ht="15.75" customHeight="1"/>
    <row r="45" ht="15.75" customHeight="1">
      <c r="A45" s="134" t="s">
        <v>102</v>
      </c>
      <c r="D45" s="134" t="s">
        <v>145</v>
      </c>
      <c r="G45" s="134" t="s">
        <v>146</v>
      </c>
      <c r="J45" s="134" t="s">
        <v>147</v>
      </c>
    </row>
    <row r="46" ht="15.75" customHeight="1">
      <c r="A46" s="149">
        <f>IF(COUNTIF($C$51:$C$61,"&gt;0")=0,"",AVERAGEIF($D$51:$D$61,"&gt;0",$D$51:$D$61))</f>
        <v>0.88</v>
      </c>
      <c r="D46" s="149">
        <f>IF(COUNTIFS($B$51:$B$61,"Admin/CS",$C$51:$C$61,"&gt;0")=0,"",SUMIFS($D$51:$D$61,$B$51:$B$61,"Admin/CS",$C$51:$C$61,"&gt;0")/COUNTIFS($B$51:$B$61,"Admin/CS",$C$51:$C$61,"&gt;0"))</f>
        <v>0.8</v>
      </c>
      <c r="G46" s="149">
        <f>IF(COUNTIFS($B$51:$B$61,"Fotografer",$C$51:$C$61,"&gt;0")=0,"",SUMIFS($D$51:$D$61,$B$51:$B$61,"Fotografer",$C$51:$C$61,"&gt;0")/COUNTIFS($B$51:$B$61,"Fotografer",$C$51:$C$61,"&gt;0"))</f>
        <v>0.96</v>
      </c>
      <c r="J46" s="150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34" t="s">
        <v>1</v>
      </c>
      <c r="B50" s="134" t="s">
        <v>138</v>
      </c>
      <c r="C50" s="134" t="s">
        <v>107</v>
      </c>
      <c r="D50" s="134" t="s">
        <v>108</v>
      </c>
      <c r="E50" s="134" t="s">
        <v>69</v>
      </c>
      <c r="F50" s="134" t="s">
        <v>70</v>
      </c>
      <c r="G50" s="134" t="s">
        <v>71</v>
      </c>
      <c r="H50" s="134" t="s">
        <v>72</v>
      </c>
      <c r="I50" s="134" t="s">
        <v>73</v>
      </c>
      <c r="J50" s="134" t="s">
        <v>148</v>
      </c>
      <c r="K50" s="134" t="s">
        <v>149</v>
      </c>
    </row>
    <row r="51" ht="15.75" customHeight="1">
      <c r="A51" s="143" t="str">
        <f t="shared" ref="A51:C51" si="21">AK5</f>
        <v>INDAH</v>
      </c>
      <c r="B51" s="143" t="str">
        <f t="shared" si="21"/>
        <v>Admin/CS</v>
      </c>
      <c r="C51" s="151">
        <f t="shared" si="21"/>
        <v>0</v>
      </c>
      <c r="D51" s="144" t="str">
        <f t="shared" ref="D51:D61" si="23">IF(C51=0,"",AN5/100)</f>
        <v/>
      </c>
      <c r="E51" s="152" t="str">
        <f t="shared" ref="E51:E61" si="24">IF(C51=0,"",AO5)</f>
        <v/>
      </c>
      <c r="F51" s="152" t="str">
        <f t="shared" ref="F51:F61" si="25">IF(C51=0,"",AP5)</f>
        <v/>
      </c>
      <c r="G51" s="152" t="str">
        <f t="shared" ref="G51:G61" si="26">IF(C51=0,"",AQ5)</f>
        <v/>
      </c>
      <c r="H51" s="152" t="str">
        <f t="shared" ref="H51:H61" si="27">IF(C51=0,"",AR5)</f>
        <v/>
      </c>
      <c r="I51" s="152" t="str">
        <f t="shared" ref="I51:I61" si="28">IF(C51=0,"",AS5)</f>
        <v/>
      </c>
      <c r="J51" s="143" t="str">
        <f t="shared" ref="J51:J61" si="29">IF(D51="","Belum Dinilai",IF(D51&gt;=0.9,"Sangat Baik",IF(D51&gt;=0.8,"Baik",IF(D51&gt;=0.7,"Coaching","Underperform"))))</f>
        <v>Belum Dinilai</v>
      </c>
      <c r="K51" s="9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3" t="str">
        <f t="shared" ref="A52:C52" si="22">AK6</f>
        <v>ADDEL</v>
      </c>
      <c r="B52" s="143" t="str">
        <f t="shared" si="22"/>
        <v>Admin/CS</v>
      </c>
      <c r="C52" s="151">
        <f t="shared" si="22"/>
        <v>0</v>
      </c>
      <c r="D52" s="144" t="str">
        <f t="shared" si="23"/>
        <v/>
      </c>
      <c r="E52" s="152" t="str">
        <f t="shared" si="24"/>
        <v/>
      </c>
      <c r="F52" s="152" t="str">
        <f t="shared" si="25"/>
        <v/>
      </c>
      <c r="G52" s="152" t="str">
        <f t="shared" si="26"/>
        <v/>
      </c>
      <c r="H52" s="152" t="str">
        <f t="shared" si="27"/>
        <v/>
      </c>
      <c r="I52" s="152" t="str">
        <f t="shared" si="28"/>
        <v/>
      </c>
      <c r="J52" s="143" t="str">
        <f t="shared" si="29"/>
        <v>Belum Dinilai</v>
      </c>
      <c r="K52" s="96" t="str">
        <f t="shared" si="30"/>
        <v>Belum Ada</v>
      </c>
    </row>
    <row r="53" ht="15.75" customHeight="1">
      <c r="A53" s="143" t="str">
        <f t="shared" ref="A53:C53" si="31">AK7</f>
        <v>AMEL</v>
      </c>
      <c r="B53" s="143" t="str">
        <f t="shared" si="31"/>
        <v>Admin/CS</v>
      </c>
      <c r="C53" s="151">
        <f t="shared" si="31"/>
        <v>1</v>
      </c>
      <c r="D53" s="144">
        <f t="shared" si="23"/>
        <v>0.8</v>
      </c>
      <c r="E53" s="152">
        <f t="shared" si="24"/>
        <v>4</v>
      </c>
      <c r="F53" s="152">
        <f t="shared" si="25"/>
        <v>4</v>
      </c>
      <c r="G53" s="152">
        <f t="shared" si="26"/>
        <v>4</v>
      </c>
      <c r="H53" s="152">
        <f t="shared" si="27"/>
        <v>4</v>
      </c>
      <c r="I53" s="152">
        <f t="shared" si="28"/>
        <v>4</v>
      </c>
      <c r="J53" s="143" t="str">
        <f t="shared" si="29"/>
        <v>Baik</v>
      </c>
      <c r="K53" s="96" t="str">
        <f t="shared" si="30"/>
        <v>#N/A</v>
      </c>
    </row>
    <row r="54" ht="15.75" customHeight="1">
      <c r="A54" s="143" t="str">
        <f t="shared" ref="A54:C54" si="32">AK8</f>
        <v>PENTIL</v>
      </c>
      <c r="B54" s="143" t="str">
        <f t="shared" si="32"/>
        <v>Admin/CS</v>
      </c>
      <c r="C54" s="151">
        <f t="shared" si="32"/>
        <v>0</v>
      </c>
      <c r="D54" s="144" t="str">
        <f t="shared" si="23"/>
        <v/>
      </c>
      <c r="E54" s="152" t="str">
        <f t="shared" si="24"/>
        <v/>
      </c>
      <c r="F54" s="152" t="str">
        <f t="shared" si="25"/>
        <v/>
      </c>
      <c r="G54" s="152" t="str">
        <f t="shared" si="26"/>
        <v/>
      </c>
      <c r="H54" s="152" t="str">
        <f t="shared" si="27"/>
        <v/>
      </c>
      <c r="I54" s="152" t="str">
        <f t="shared" si="28"/>
        <v/>
      </c>
      <c r="J54" s="143" t="str">
        <f t="shared" si="29"/>
        <v>Belum Dinilai</v>
      </c>
      <c r="K54" s="96" t="str">
        <f t="shared" si="30"/>
        <v>Belum Ada</v>
      </c>
    </row>
    <row r="55" ht="15.75" customHeight="1">
      <c r="A55" s="143" t="str">
        <f t="shared" ref="A55:C55" si="33">AK9</f>
        <v>JIJANG</v>
      </c>
      <c r="B55" s="143" t="str">
        <f t="shared" si="33"/>
        <v>Admin/CS</v>
      </c>
      <c r="C55" s="151">
        <f t="shared" si="33"/>
        <v>0</v>
      </c>
      <c r="D55" s="144" t="str">
        <f t="shared" si="23"/>
        <v/>
      </c>
      <c r="E55" s="152" t="str">
        <f t="shared" si="24"/>
        <v/>
      </c>
      <c r="F55" s="152" t="str">
        <f t="shared" si="25"/>
        <v/>
      </c>
      <c r="G55" s="152" t="str">
        <f t="shared" si="26"/>
        <v/>
      </c>
      <c r="H55" s="152" t="str">
        <f t="shared" si="27"/>
        <v/>
      </c>
      <c r="I55" s="152" t="str">
        <f t="shared" si="28"/>
        <v/>
      </c>
      <c r="J55" s="143" t="str">
        <f t="shared" si="29"/>
        <v>Belum Dinilai</v>
      </c>
      <c r="K55" s="96" t="str">
        <f t="shared" si="30"/>
        <v>Belum Ada</v>
      </c>
    </row>
    <row r="56" ht="15.75" customHeight="1">
      <c r="A56" s="143" t="str">
        <f t="shared" ref="A56:C56" si="34">AK10</f>
        <v>HANIF</v>
      </c>
      <c r="B56" s="143" t="str">
        <f t="shared" si="34"/>
        <v>Fotografer</v>
      </c>
      <c r="C56" s="151">
        <f t="shared" si="34"/>
        <v>0</v>
      </c>
      <c r="D56" s="144" t="str">
        <f t="shared" si="23"/>
        <v/>
      </c>
      <c r="E56" s="152" t="str">
        <f t="shared" si="24"/>
        <v/>
      </c>
      <c r="F56" s="152" t="str">
        <f t="shared" si="25"/>
        <v/>
      </c>
      <c r="G56" s="152" t="str">
        <f t="shared" si="26"/>
        <v/>
      </c>
      <c r="H56" s="152" t="str">
        <f t="shared" si="27"/>
        <v/>
      </c>
      <c r="I56" s="152" t="str">
        <f t="shared" si="28"/>
        <v/>
      </c>
      <c r="J56" s="143" t="str">
        <f t="shared" si="29"/>
        <v>Belum Dinilai</v>
      </c>
      <c r="K56" s="96" t="str">
        <f t="shared" si="30"/>
        <v>Belum Ada</v>
      </c>
    </row>
    <row r="57" ht="15.75" customHeight="1">
      <c r="A57" s="143" t="str">
        <f t="shared" ref="A57:C57" si="35">AK11</f>
        <v>FAHME</v>
      </c>
      <c r="B57" s="143" t="str">
        <f t="shared" si="35"/>
        <v>Fotografer</v>
      </c>
      <c r="C57" s="151">
        <f t="shared" si="35"/>
        <v>0</v>
      </c>
      <c r="D57" s="144" t="str">
        <f t="shared" si="23"/>
        <v/>
      </c>
      <c r="E57" s="152" t="str">
        <f t="shared" si="24"/>
        <v/>
      </c>
      <c r="F57" s="152" t="str">
        <f t="shared" si="25"/>
        <v/>
      </c>
      <c r="G57" s="152" t="str">
        <f t="shared" si="26"/>
        <v/>
      </c>
      <c r="H57" s="152" t="str">
        <f t="shared" si="27"/>
        <v/>
      </c>
      <c r="I57" s="152" t="str">
        <f t="shared" si="28"/>
        <v/>
      </c>
      <c r="J57" s="143" t="str">
        <f t="shared" si="29"/>
        <v>Belum Dinilai</v>
      </c>
      <c r="K57" s="96" t="str">
        <f t="shared" si="30"/>
        <v>Belum Ada</v>
      </c>
    </row>
    <row r="58" ht="15.75" customHeight="1">
      <c r="A58" s="143" t="str">
        <f t="shared" ref="A58:C58" si="36">AK12</f>
        <v>ADIF</v>
      </c>
      <c r="B58" s="143" t="str">
        <f t="shared" si="36"/>
        <v>Fotografer</v>
      </c>
      <c r="C58" s="151">
        <f t="shared" si="36"/>
        <v>1</v>
      </c>
      <c r="D58" s="144">
        <f t="shared" si="23"/>
        <v>0.96</v>
      </c>
      <c r="E58" s="152">
        <f t="shared" si="24"/>
        <v>4</v>
      </c>
      <c r="F58" s="152">
        <f t="shared" si="25"/>
        <v>5</v>
      </c>
      <c r="G58" s="152">
        <f t="shared" si="26"/>
        <v>5</v>
      </c>
      <c r="H58" s="152">
        <f t="shared" si="27"/>
        <v>5</v>
      </c>
      <c r="I58" s="152">
        <f t="shared" si="28"/>
        <v>5</v>
      </c>
      <c r="J58" s="143" t="str">
        <f t="shared" si="29"/>
        <v>Sangat Baik</v>
      </c>
      <c r="K58" s="96" t="str">
        <f t="shared" si="30"/>
        <v>#N/A</v>
      </c>
    </row>
    <row r="59" ht="15.75" customHeight="1">
      <c r="A59" s="143" t="str">
        <f t="shared" ref="A59:C59" si="37">AK13</f>
        <v>ABROR</v>
      </c>
      <c r="B59" s="143" t="str">
        <f t="shared" si="37"/>
        <v>Fotografer</v>
      </c>
      <c r="C59" s="151">
        <f t="shared" si="37"/>
        <v>0</v>
      </c>
      <c r="D59" s="144" t="str">
        <f t="shared" si="23"/>
        <v/>
      </c>
      <c r="E59" s="152" t="str">
        <f t="shared" si="24"/>
        <v/>
      </c>
      <c r="F59" s="152" t="str">
        <f t="shared" si="25"/>
        <v/>
      </c>
      <c r="G59" s="152" t="str">
        <f t="shared" si="26"/>
        <v/>
      </c>
      <c r="H59" s="152" t="str">
        <f t="shared" si="27"/>
        <v/>
      </c>
      <c r="I59" s="152" t="str">
        <f t="shared" si="28"/>
        <v/>
      </c>
      <c r="J59" s="143" t="str">
        <f t="shared" si="29"/>
        <v>Belum Dinilai</v>
      </c>
      <c r="K59" s="96" t="str">
        <f t="shared" si="30"/>
        <v>Belum Ada</v>
      </c>
    </row>
    <row r="60" ht="15.75" customHeight="1">
      <c r="A60" s="143" t="str">
        <f t="shared" ref="A60:C60" si="38">AK14</f>
        <v>FADEL</v>
      </c>
      <c r="B60" s="143" t="str">
        <f t="shared" si="38"/>
        <v>Fotografer</v>
      </c>
      <c r="C60" s="151">
        <f t="shared" si="38"/>
        <v>0</v>
      </c>
      <c r="D60" s="144" t="str">
        <f t="shared" si="23"/>
        <v/>
      </c>
      <c r="E60" s="152" t="str">
        <f t="shared" si="24"/>
        <v/>
      </c>
      <c r="F60" s="152" t="str">
        <f t="shared" si="25"/>
        <v/>
      </c>
      <c r="G60" s="152" t="str">
        <f t="shared" si="26"/>
        <v/>
      </c>
      <c r="H60" s="152" t="str">
        <f t="shared" si="27"/>
        <v/>
      </c>
      <c r="I60" s="152" t="str">
        <f t="shared" si="28"/>
        <v/>
      </c>
      <c r="J60" s="143" t="str">
        <f t="shared" si="29"/>
        <v>Belum Dinilai</v>
      </c>
      <c r="K60" s="96" t="str">
        <f t="shared" si="30"/>
        <v>Belum Ada</v>
      </c>
    </row>
    <row r="61" ht="15.75" customHeight="1">
      <c r="A61" s="143" t="str">
        <f t="shared" ref="A61:C61" si="39">AK15</f>
        <v>SAKA</v>
      </c>
      <c r="B61" s="143" t="str">
        <f t="shared" si="39"/>
        <v>Fotografer</v>
      </c>
      <c r="C61" s="151">
        <f t="shared" si="39"/>
        <v>0</v>
      </c>
      <c r="D61" s="144" t="str">
        <f t="shared" si="23"/>
        <v/>
      </c>
      <c r="E61" s="152" t="str">
        <f t="shared" si="24"/>
        <v/>
      </c>
      <c r="F61" s="152" t="str">
        <f t="shared" si="25"/>
        <v/>
      </c>
      <c r="G61" s="152" t="str">
        <f t="shared" si="26"/>
        <v/>
      </c>
      <c r="H61" s="152" t="str">
        <f t="shared" si="27"/>
        <v/>
      </c>
      <c r="I61" s="152" t="str">
        <f t="shared" si="28"/>
        <v/>
      </c>
      <c r="J61" s="143" t="str">
        <f t="shared" si="29"/>
        <v>Belum Dinilai</v>
      </c>
      <c r="K61" s="96" t="str">
        <f t="shared" si="30"/>
        <v>Belum Ada</v>
      </c>
    </row>
    <row r="62" ht="15.75" customHeight="1"/>
    <row r="63" ht="15.75" customHeight="1"/>
    <row r="64" ht="15.75" customHeight="1">
      <c r="A64" s="153" t="s">
        <v>150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