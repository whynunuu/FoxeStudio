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<sst xmlns="http://schemas.openxmlformats.org/spreadsheetml/2006/main" count="4440" uniqueCount="556">
  <si>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</si>
  <si>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</si>
  <si>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</si>
  <si>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</si>
  <si>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</si>
  <si>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</si>
  <si>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</si>
  <si>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</si>
  <si>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</si>
  <si>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</si>
  <si>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</si>
  <si>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</si>
  <si>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</si>
  <si>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</si>
  <si>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</si>
  <si>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</si>
  <si>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</si>
  <si>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</si>
  <si>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</si>
  <si>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</si>
  <si>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>Hanifah</t>
  </si>
  <si>
    <t>Graduation</t>
  </si>
  <si>
    <t xml:space="preserve"> Hamdan Ismail S.N</t>
  </si>
  <si>
    <t>Fajar Alfani</t>
  </si>
  <si>
    <t>Lunas</t>
  </si>
  <si>
    <t>Uploaded</t>
  </si>
  <si>
    <t>6 okt</t>
  </si>
  <si>
    <t>Pending</t>
  </si>
  <si>
    <t>INDAH</t>
  </si>
  <si>
    <t>Graduation Premium</t>
  </si>
  <si>
    <t>17 okt</t>
  </si>
  <si>
    <t>Wisnu pamungkas</t>
  </si>
  <si>
    <t>Add Cetak</t>
  </si>
  <si>
    <t>3 okt</t>
  </si>
  <si>
    <t>DP</t>
  </si>
  <si>
    <t>AMEL</t>
  </si>
  <si>
    <t>Pratama</t>
  </si>
  <si>
    <t>Single</t>
  </si>
  <si>
    <t xml:space="preserve"> 4 okt</t>
  </si>
  <si>
    <t>-</t>
  </si>
  <si>
    <t>Rara</t>
  </si>
  <si>
    <t>Photofox</t>
  </si>
  <si>
    <t>1 okt</t>
  </si>
  <si>
    <t>ADIF</t>
  </si>
  <si>
    <t>Riski Mulyawan Pangestu d</t>
  </si>
  <si>
    <t>alya</t>
  </si>
  <si>
    <t>4 okt</t>
  </si>
  <si>
    <t>Iqis</t>
  </si>
  <si>
    <t>10 okt</t>
  </si>
  <si>
    <t>Large Group</t>
  </si>
  <si>
    <t>2 okt</t>
  </si>
  <si>
    <t>Adi</t>
  </si>
  <si>
    <t>Nadia</t>
  </si>
  <si>
    <t>Elnie</t>
  </si>
  <si>
    <t>Family B</t>
  </si>
  <si>
    <t>4 OKT</t>
  </si>
  <si>
    <t>22 okt</t>
  </si>
  <si>
    <t>SAKA</t>
  </si>
  <si>
    <t>Dian</t>
  </si>
  <si>
    <t>Rotho</t>
  </si>
  <si>
    <t>Adinda Putri Suwarno</t>
  </si>
  <si>
    <t>Ulfa Nurul</t>
  </si>
  <si>
    <t>Add Edit</t>
  </si>
  <si>
    <t>Yeni A</t>
  </si>
  <si>
    <t>27 sept</t>
  </si>
  <si>
    <t>Uji</t>
  </si>
  <si>
    <t>Nurul Indah Amalia</t>
  </si>
  <si>
    <t>Utia</t>
  </si>
  <si>
    <t>VERO</t>
  </si>
  <si>
    <t>Bening</t>
  </si>
  <si>
    <t>Wisnu Pamungkas</t>
  </si>
  <si>
    <t>Liaamalia</t>
  </si>
  <si>
    <t>Studio Rent</t>
  </si>
  <si>
    <t>Bilqis</t>
  </si>
  <si>
    <t>Photo Fox</t>
  </si>
  <si>
    <t>alfian wicaksana</t>
  </si>
  <si>
    <t>Danisha</t>
  </si>
  <si>
    <t xml:space="preserve"> Tuti Priyani</t>
  </si>
  <si>
    <t>FAHME</t>
  </si>
  <si>
    <t>aida</t>
  </si>
  <si>
    <t xml:space="preserve">Luthfi </t>
  </si>
  <si>
    <t>Rachel</t>
  </si>
  <si>
    <t>Couple A</t>
  </si>
  <si>
    <t>ABROR</t>
  </si>
  <si>
    <t>azhar</t>
  </si>
  <si>
    <t xml:space="preserve"> Sabrina</t>
  </si>
  <si>
    <t>Qonita</t>
  </si>
  <si>
    <t>Rizka</t>
  </si>
  <si>
    <t>Widika Aden Agatha</t>
  </si>
  <si>
    <t>Dedik Purwanto</t>
  </si>
  <si>
    <t>Add cetak</t>
  </si>
  <si>
    <t>Audi nisa</t>
  </si>
  <si>
    <t>22 sept</t>
  </si>
  <si>
    <t>oktafira</t>
  </si>
  <si>
    <t>ine amalia</t>
  </si>
  <si>
    <t>Lutfia</t>
  </si>
  <si>
    <t>Rani</t>
  </si>
  <si>
    <t xml:space="preserve">Sulton Hidayah Arrosid </t>
  </si>
  <si>
    <t xml:space="preserve"> Bilqis</t>
  </si>
  <si>
    <t>Sali</t>
  </si>
  <si>
    <t>Nasywaa</t>
  </si>
  <si>
    <t>fedinda nara</t>
  </si>
  <si>
    <t>All file</t>
  </si>
  <si>
    <t>Mufti</t>
  </si>
  <si>
    <t>titin setiawan</t>
  </si>
  <si>
    <t>Caca</t>
  </si>
  <si>
    <t>Akira Aditya Pandya</t>
  </si>
  <si>
    <t>Qottrunannda maulidia</t>
  </si>
  <si>
    <t>salsa</t>
  </si>
  <si>
    <t>Salli</t>
  </si>
  <si>
    <t>bela</t>
  </si>
  <si>
    <t>Nabila hasna</t>
  </si>
  <si>
    <t>aghnia</t>
  </si>
  <si>
    <t>andin</t>
  </si>
  <si>
    <t>Ilut</t>
  </si>
  <si>
    <t>Riski Mulyawan Pangestu</t>
  </si>
  <si>
    <t>alif</t>
  </si>
  <si>
    <t>Oktriana</t>
  </si>
  <si>
    <t>Nominal</t>
  </si>
  <si>
    <t>Shift</t>
  </si>
  <si>
    <t>sema</t>
  </si>
  <si>
    <t>Pendapatan Tunai</t>
  </si>
  <si>
    <t>Na Salsabila</t>
  </si>
  <si>
    <t>Fahmy Bagas</t>
  </si>
  <si>
    <t>Admin 1</t>
  </si>
  <si>
    <t>asrul ridho</t>
  </si>
  <si>
    <t>Gandring Guste</t>
  </si>
  <si>
    <t>Fakhrian Yoga Permana</t>
  </si>
  <si>
    <t>Admin 2</t>
  </si>
  <si>
    <t>wafi wafa</t>
  </si>
  <si>
    <t>rio furqon</t>
  </si>
  <si>
    <t>Fotografer 1</t>
  </si>
  <si>
    <t>Zaidan Ariefyandi</t>
  </si>
  <si>
    <t>Dhabi</t>
  </si>
  <si>
    <t>Bensin</t>
  </si>
  <si>
    <t>ilham zambrot</t>
  </si>
  <si>
    <t>Afifah</t>
  </si>
  <si>
    <t>Fotografer 2</t>
  </si>
  <si>
    <t>allez galan</t>
  </si>
  <si>
    <t>Rahayu</t>
  </si>
  <si>
    <t>Ezar Nadhif</t>
  </si>
  <si>
    <t>KPI HARIAN | SKALA 1-5</t>
  </si>
  <si>
    <t>Reynaldo</t>
  </si>
  <si>
    <t>Hanan</t>
  </si>
  <si>
    <t>Disiplin</t>
  </si>
  <si>
    <t>Akurasi</t>
  </si>
  <si>
    <t>SOP</t>
  </si>
  <si>
    <t>Client</t>
  </si>
  <si>
    <t>Produktivitas</t>
  </si>
  <si>
    <t>Helmi</t>
  </si>
  <si>
    <t>rendy nIlhamsyah</t>
  </si>
  <si>
    <t>KPI Score Helper</t>
  </si>
  <si>
    <t>Status Helper</t>
  </si>
  <si>
    <t>Role Helper</t>
  </si>
  <si>
    <t>Evaluated Flag</t>
  </si>
  <si>
    <t>Effective Name</t>
  </si>
  <si>
    <t>cibita</t>
  </si>
  <si>
    <t>1. Pratama</t>
  </si>
  <si>
    <t>Renaldy</t>
  </si>
  <si>
    <t>Amelia Nur</t>
  </si>
  <si>
    <t>rizma</t>
  </si>
  <si>
    <t>niko</t>
  </si>
  <si>
    <t>restu</t>
  </si>
  <si>
    <t xml:space="preserve"> Nola</t>
  </si>
  <si>
    <t>Tiffani Agil</t>
  </si>
  <si>
    <t>1. Mayzila</t>
  </si>
  <si>
    <t>Afita Khoerunnisa</t>
  </si>
  <si>
    <t>2. Desni</t>
  </si>
  <si>
    <t>Mahendra Putra Wardhana</t>
  </si>
  <si>
    <t>3. Rindi</t>
  </si>
  <si>
    <t>4. Dinah</t>
  </si>
  <si>
    <t>2. Dita</t>
  </si>
  <si>
    <t>5. Fitri dina</t>
  </si>
  <si>
    <t>hanifah</t>
  </si>
  <si>
    <t>6. Wildan</t>
  </si>
  <si>
    <t>7. Silvia</t>
  </si>
  <si>
    <t>lala</t>
  </si>
  <si>
    <t>8. Fadlah Faqih</t>
  </si>
  <si>
    <t>Akhmad Binangun</t>
  </si>
  <si>
    <t>9. Ridho</t>
  </si>
  <si>
    <t xml:space="preserve"> Fadila</t>
  </si>
  <si>
    <t>10. Febby</t>
  </si>
  <si>
    <t>Queenbees DC</t>
  </si>
  <si>
    <t>Desti Ika C</t>
  </si>
  <si>
    <t>Ridhoo</t>
  </si>
  <si>
    <t>ots</t>
  </si>
  <si>
    <t>Salsabila Nurlina</t>
  </si>
  <si>
    <t>viona</t>
  </si>
  <si>
    <t>Wahyu setyaningsih</t>
  </si>
  <si>
    <t>nana</t>
  </si>
  <si>
    <t>aulia hani</t>
  </si>
  <si>
    <t>Skala: 1 Sangat Kurang | 2 Kurang | 3 Cukup | 4 Baik | 5 Sangat Baik | Jika Nama kosong, 4 baris pertama otomatis mengikuti urutan Shift</t>
  </si>
  <si>
    <t>Widyaloka</t>
  </si>
  <si>
    <t>ADMIN FOLLOW-UP</t>
  </si>
  <si>
    <t>Nina dwi</t>
  </si>
  <si>
    <t>Saving Contact</t>
  </si>
  <si>
    <t>Reminder</t>
  </si>
  <si>
    <t>Direct RO</t>
  </si>
  <si>
    <t>5R</t>
  </si>
  <si>
    <t>TODAY | LEADS &amp; TRANSAKSI</t>
  </si>
  <si>
    <t>Leads</t>
  </si>
  <si>
    <t>Tika Dwi</t>
  </si>
  <si>
    <t>Total DP</t>
  </si>
  <si>
    <t>Sifa</t>
  </si>
  <si>
    <t>Sesi Foto</t>
  </si>
  <si>
    <t>3. Karlina</t>
  </si>
  <si>
    <t>Jumlah Transaksi Harian</t>
  </si>
  <si>
    <t>Conversion Rate</t>
  </si>
  <si>
    <t xml:space="preserve"> inaya</t>
  </si>
  <si>
    <t>arif</t>
  </si>
  <si>
    <t>Couple B</t>
  </si>
  <si>
    <t>baterai cinemon</t>
  </si>
  <si>
    <t>INDAH AMEL, ADDEL</t>
  </si>
  <si>
    <t>Sarapan Pagi Day 1 &amp; Day 2</t>
  </si>
  <si>
    <t>galon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</si>
  <si>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</si>
  <si>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</si>
  <si>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</si>
  <si>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</si>
  <si>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</si>
  <si>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</si>
  <si>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</si>
  <si>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</si>
  <si>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</si>
  <si>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Riska alfiansi</t>
  </si>
  <si>
    <t>widyaloka</t>
  </si>
  <si>
    <t>salsabila nurlina</t>
  </si>
  <si>
    <t>Desti Ika Cahyani</t>
  </si>
  <si>
    <t>Puji</t>
  </si>
  <si>
    <t>OTS</t>
  </si>
  <si>
    <t>Kresna</t>
  </si>
  <si>
    <t>mustofa</t>
  </si>
  <si>
    <t>Tuti</t>
  </si>
  <si>
    <t>Yudi</t>
  </si>
  <si>
    <t>Anggi</t>
  </si>
  <si>
    <t>Novita</t>
  </si>
  <si>
    <t>Packing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</si>
  <si>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</si>
  <si>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</si>
  <si>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</si>
  <si>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</si>
  <si>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</si>
  <si>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</si>
  <si>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</si>
  <si>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</si>
  <si>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</si>
  <si>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</si>
  <si>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</si>
  <si>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</si>
  <si>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</si>
  <si>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</si>
  <si>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</si>
  <si>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</si>
  <si>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</si>
  <si>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</si>
  <si>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</si>
  <si>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</si>
  <si>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</si>
  <si>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</si>
  <si>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</si>
  <si>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</si>
  <si>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</si>
  <si>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</si>
  <si>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</si>
  <si>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</si>
  <si>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</si>
  <si>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</si>
  <si>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</si>
  <si>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</si>
  <si>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</si>
  <si>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</si>
  <si>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</si>
  <si>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</si>
  <si>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</si>
  <si>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</si>
  <si>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</si>
  <si>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</si>
  <si>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</si>
  <si>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</si>
  <si>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</si>
  <si>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</si>
  <si>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</si>
  <si>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</si>
  <si>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</si>
  <si>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</si>
  <si>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</si>
  <si>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</si>
  <si>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</si>
  <si>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</si>
  <si>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</si>
  <si>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</si>
  <si>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</si>
  <si>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</si>
  <si>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</si>
  <si>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</si>
  <si>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</si>
  <si>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</si>
  <si>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</si>
  <si>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</si>
  <si>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</si>
  <si>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</si>
  <si>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</si>
  <si>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</si>
  <si>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</si>
  <si>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</si>
  <si>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</si>
  <si>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</si>
  <si>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</si>
  <si>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</si>
  <si>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</si>
  <si>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</si>
  <si>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</si>
  <si>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</si>
  <si>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</si>
  <si>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</si>
  <si>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</si>
  <si>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</si>
  <si>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</si>
  <si>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Aprilia</t>
  </si>
  <si>
    <t>add 10R</t>
  </si>
  <si>
    <t>Amrullah gilang</t>
  </si>
  <si>
    <t>pass photo</t>
  </si>
  <si>
    <t>Naya</t>
  </si>
  <si>
    <t>Niky</t>
  </si>
  <si>
    <t>Pradipta Mahardika</t>
  </si>
  <si>
    <t>Dina</t>
  </si>
  <si>
    <t>Ela</t>
  </si>
  <si>
    <t>Hanifa</t>
  </si>
  <si>
    <t>Diana</t>
  </si>
  <si>
    <t>Alor</t>
  </si>
  <si>
    <t>OSIS SMPN 2 PWT</t>
  </si>
  <si>
    <t>Rifka Alfiansi</t>
  </si>
  <si>
    <t>KKN 75</t>
  </si>
  <si>
    <t>Nicky</t>
  </si>
  <si>
    <t>Lala</t>
  </si>
  <si>
    <t>Niki</t>
  </si>
  <si>
    <t>Galon</t>
  </si>
  <si>
    <t>16R, 10R, 5R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</si>
  <si>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</si>
  <si>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</si>
  <si>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</si>
  <si>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</si>
  <si>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</si>
  <si>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</si>
  <si>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</si>
  <si>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</si>
  <si>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</si>
  <si>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</si>
  <si>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</si>
  <si>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Nasrul NM</t>
  </si>
  <si>
    <t>teater proses</t>
  </si>
  <si>
    <t>akhmad Binangun</t>
  </si>
  <si>
    <t>cythia</t>
  </si>
  <si>
    <t>Pramuka MAN 1 Banyumas</t>
  </si>
  <si>
    <t>Rahma</t>
  </si>
  <si>
    <t>cyntya</t>
  </si>
  <si>
    <t>Lila</t>
  </si>
  <si>
    <t>Anton</t>
  </si>
  <si>
    <t xml:space="preserve"> Reno</t>
  </si>
  <si>
    <t>Fida</t>
  </si>
  <si>
    <t>Dini</t>
  </si>
  <si>
    <t>Ghazan</t>
  </si>
  <si>
    <t>Prirahayu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</si>
  <si>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</si>
  <si>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</si>
  <si>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</si>
  <si>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</si>
  <si>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</si>
  <si>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</si>
  <si>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</si>
  <si>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</si>
  <si>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 xml:space="preserve">  Rifqi Firmansyah</t>
  </si>
  <si>
    <t>vega</t>
  </si>
  <si>
    <t xml:space="preserve">Rosita </t>
  </si>
  <si>
    <t>Alexa</t>
  </si>
  <si>
    <t>Indah Fitria</t>
  </si>
  <si>
    <t>Julian Doni S</t>
  </si>
  <si>
    <t>Fapet</t>
  </si>
  <si>
    <t>amorza</t>
  </si>
  <si>
    <t>Abid Alwan</t>
  </si>
  <si>
    <t>Tuti Kumalasari</t>
  </si>
  <si>
    <t>Manis</t>
  </si>
  <si>
    <t xml:space="preserve">Fahmi </t>
  </si>
  <si>
    <t>Amorza</t>
  </si>
  <si>
    <t>Lyra</t>
  </si>
  <si>
    <t>Miko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</si>
  <si>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</si>
  <si>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</si>
  <si>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</si>
  <si>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</si>
  <si>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</si>
  <si>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</si>
  <si>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</si>
  <si>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</si>
  <si>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</si>
  <si>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</si>
  <si>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</si>
  <si>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</si>
  <si>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5R, 10R, 16R</t>
  </si>
  <si>
    <t xml:space="preserve"> </t>
  </si>
  <si>
    <t>amel, indah</t>
  </si>
  <si>
    <t>Fahme</t>
  </si>
  <si>
    <t>Baterai</t>
  </si>
  <si>
    <t>adif, saka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</si>
  <si>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</si>
  <si>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</si>
  <si>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</si>
  <si>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</si>
  <si>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</si>
  <si>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</si>
  <si>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</si>
  <si>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</si>
  <si>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</si>
  <si>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Afdal</t>
  </si>
  <si>
    <t>Jay</t>
  </si>
  <si>
    <t>Leonie</t>
  </si>
  <si>
    <t>navin</t>
  </si>
  <si>
    <t>18 octt</t>
  </si>
  <si>
    <t>Have</t>
  </si>
  <si>
    <t>Musang titut</t>
  </si>
  <si>
    <t>Putri</t>
  </si>
  <si>
    <t>Fadel</t>
  </si>
  <si>
    <t>10R 2</t>
  </si>
  <si>
    <t>Saka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</si>
  <si>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</si>
  <si>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</si>
  <si>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</si>
  <si>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</si>
  <si>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</si>
  <si>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</si>
  <si>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</si>
  <si>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</si>
  <si>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</si>
  <si>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</si>
  <si>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</si>
  <si>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</si>
  <si>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</si>
  <si>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</si>
  <si>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</si>
  <si>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</si>
  <si>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</si>
  <si>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</si>
  <si>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</si>
  <si>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</si>
  <si>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</si>
  <si>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Naila</t>
  </si>
  <si>
    <t>16R,10R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</si>
  <si>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</si>
  <si>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</si>
  <si>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</si>
  <si>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</si>
  <si>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</si>
  <si>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</si>
  <si>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</si>
  <si>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</si>
  <si>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</si>
  <si>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</si>
  <si>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</si>
  <si>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</si>
  <si>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</si>
  <si>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Fadhlah</t>
  </si>
  <si>
    <t>AM. Yulia Mutmainah</t>
  </si>
  <si>
    <t>Adhibara</t>
  </si>
  <si>
    <t>Andriya</t>
  </si>
  <si>
    <t>Laila</t>
  </si>
  <si>
    <t>Malika</t>
  </si>
  <si>
    <t>Inaya</t>
  </si>
  <si>
    <t>Niken</t>
  </si>
  <si>
    <t>Devita</t>
  </si>
  <si>
    <t>Zulfa</t>
  </si>
  <si>
    <t>Aya</t>
  </si>
  <si>
    <t>Naura</t>
  </si>
  <si>
    <t>Fajarpeloo</t>
  </si>
  <si>
    <t>Ar Rahman Tanjung</t>
  </si>
  <si>
    <t>Kamil</t>
  </si>
  <si>
    <t>HILMI</t>
  </si>
  <si>
    <t>aisha</t>
  </si>
  <si>
    <t>zeidan</t>
  </si>
  <si>
    <t>Sanci</t>
  </si>
  <si>
    <t>niken</t>
  </si>
  <si>
    <t>Zeidan</t>
  </si>
  <si>
    <t>fame</t>
  </si>
  <si>
    <t>Plastik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</si>
  <si>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</si>
  <si>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</si>
  <si>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</si>
  <si>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</si>
  <si>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</si>
  <si>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</si>
  <si>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</si>
  <si>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</si>
  <si>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</si>
  <si>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</si>
  <si>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</si>
  <si>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</si>
  <si>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</si>
  <si>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</si>
  <si>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</si>
  <si>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</si>
  <si>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</si>
  <si>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</si>
  <si>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Chersina</t>
  </si>
  <si>
    <t>Muhamad Irsyad</t>
  </si>
  <si>
    <t>Amelia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</si>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</sst>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3" fillId="0" fontId="6" numFmtId="165" xfId="0" applyAlignment="1" applyBorder="1" applyFont="1" applyNumberFormat="1">
      <alignment horizontal="right" vertical="center"/>
    </xf>
    <xf borderId="7" fillId="0" fontId="6" numFmtId="165" xfId="0" applyAlignment="1" applyBorder="1" applyFont="1" applyNumberFormat="1">
      <alignment horizontal="right" readingOrder="0" vertical="center"/>
    </xf>
    <xf borderId="7" fillId="0" fontId="7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2" fillId="0" fontId="1" numFmtId="0" xfId="0" applyAlignment="1" applyBorder="1" applyFont="1">
      <alignment horizontal="center" vertical="center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2" fillId="0" fontId="1" numFmtId="164" xfId="0" applyAlignment="1" applyBorder="1" applyFont="1" applyNumberFormat="1">
      <alignment horizontal="center" vertical="center"/>
    </xf>
    <xf borderId="2" fillId="0" fontId="6" numFmtId="165" xfId="0" applyAlignment="1" applyBorder="1" applyFont="1" applyNumberFormat="1">
      <alignment horizontal="right" readingOrder="0"/>
    </xf>
    <xf borderId="7" fillId="0" fontId="6" numFmtId="165" xfId="0" applyAlignment="1" applyBorder="1" applyFont="1" applyNumberFormat="1">
      <alignment horizontal="right" readingOrder="0"/>
    </xf>
    <xf borderId="3" fillId="0" fontId="1" numFmtId="165" xfId="0" applyBorder="1" applyFont="1" applyNumberFormat="1"/>
    <xf borderId="9" fillId="0" fontId="1" numFmtId="0" xfId="0" applyAlignment="1" applyBorder="1" applyFont="1">
      <alignment horizontal="center" vertical="center"/>
    </xf>
    <xf borderId="3" fillId="0" fontId="6" numFmtId="165" xfId="0" applyAlignment="1" applyBorder="1" applyFont="1" applyNumberFormat="1">
      <alignment horizontal="right" readingOrder="0" vertical="center"/>
    </xf>
    <xf borderId="3" fillId="0" fontId="1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2" fillId="0" fontId="6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6" numFmtId="165" xfId="0" applyAlignment="1" applyBorder="1" applyFont="1" applyNumberFormat="1">
      <alignment horizontal="right" vertical="center"/>
    </xf>
    <xf borderId="3" fillId="0" fontId="2" numFmtId="165" xfId="0" applyAlignment="1" applyBorder="1" applyFont="1" applyNumberForma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12" fillId="0" fontId="4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6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0" fillId="0" fontId="7" numFmtId="0" xfId="0" applyAlignment="1" applyFont="1">
      <alignment horizontal="center" readingOrder="0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7" fillId="0" fontId="1" numFmtId="166" xfId="0" applyAlignment="1" applyBorder="1" applyFont="1" applyNumberForma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9" fillId="7" fontId="2" numFmtId="0" xfId="0" applyAlignment="1" applyBorder="1" applyFill="1" applyFont="1">
      <alignment readingOrder="0"/>
    </xf>
    <xf borderId="0" fillId="0" fontId="1" numFmtId="165" xfId="0" applyAlignment="1" applyFont="1" applyNumberFormat="1">
      <alignment horizontal="center" vertical="center"/>
    </xf>
    <xf borderId="9" fillId="7" fontId="2" numFmtId="165" xfId="0" applyAlignment="1" applyBorder="1" applyFill="1" applyFont="1" applyNumberFormat="1">
      <alignment horizontal="right" readingOrder="0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1" fillId="0" fontId="4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1" numFmtId="165" xfId="0" applyBorder="1" applyFont="1" applyNumberFormat="1"/>
    <xf borderId="7" fillId="10" fontId="2" numFmtId="165" xfId="0" applyAlignment="1" applyBorder="1" applyFill="1" applyFont="1" applyNumberFormat="1">
      <alignment horizontal="center" vertical="center"/>
    </xf>
    <xf borderId="7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7" fillId="0" fontId="2" numFmtId="165" xfId="0" applyAlignment="1" applyBorder="1" applyFont="1" applyNumberFormat="1">
      <alignment horizontal="right"/>
    </xf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 vertical="center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 shrinkToFit="0" wrapText="1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2" fillId="0" fontId="6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2" fillId="0" fontId="6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480270122"/>
        <c:axId val="1440494370"/>
      </c:barChart>
      <c:catAx>
        <c:axId val="14802701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40494370"/>
      </c:catAx>
      <c:valAx>
        <c:axId val="14404943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8027012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56646671"/>
        <c:axId val="446037648"/>
      </c:lineChart>
      <c:catAx>
        <c:axId val="456646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46037648"/>
      </c:catAx>
      <c:valAx>
        <c:axId val="44603764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5664667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20</v>
      </c>
      <c r="D4" s="27" t="s">
        <v>21</v>
      </c>
      <c r="E4" s="28"/>
      <c r="F4" s="29" t="s">
        <v>26</v>
      </c>
      <c r="G4" s="32"/>
      <c r="H4" s="35">
        <v>100000.0</v>
      </c>
      <c r="I4" s="29" t="s">
        <v>34</v>
      </c>
      <c r="J4" s="19"/>
      <c r="K4" s="19"/>
      <c r="L4" s="29" t="s">
        <v>35</v>
      </c>
      <c r="M4" s="19"/>
      <c r="N4" s="30"/>
      <c r="O4" s="30"/>
      <c r="P4" s="33"/>
      <c r="Q4" s="1"/>
      <c r="R4" s="1"/>
    </row>
    <row r="5" ht="15.75" customHeight="1">
      <c r="A5" s="1"/>
      <c r="B5" s="19">
        <v>2.0</v>
      </c>
      <c r="C5" s="20" t="s">
        <v>40</v>
      </c>
      <c r="D5" s="27" t="s">
        <v>41</v>
      </c>
      <c r="E5" s="28"/>
      <c r="F5" s="29" t="s">
        <v>42</v>
      </c>
      <c r="G5" s="39">
        <v>125000.0</v>
      </c>
      <c r="H5" s="40"/>
      <c r="I5" s="29" t="s">
        <v>24</v>
      </c>
      <c r="J5" s="29" t="s">
        <v>25</v>
      </c>
      <c r="K5" s="29" t="s">
        <v>39</v>
      </c>
      <c r="L5" s="29" t="s">
        <v>35</v>
      </c>
      <c r="M5" s="29" t="s">
        <v>43</v>
      </c>
      <c r="N5" s="37"/>
      <c r="O5" s="37"/>
      <c r="P5" s="37"/>
      <c r="Q5" s="1"/>
      <c r="R5" s="1"/>
    </row>
    <row r="6" ht="15.75" customHeight="1">
      <c r="A6" s="1"/>
      <c r="B6" s="19">
        <v>3.0</v>
      </c>
      <c r="C6" s="20" t="s">
        <v>52</v>
      </c>
      <c r="D6" s="27" t="s">
        <v>21</v>
      </c>
      <c r="E6" s="28"/>
      <c r="F6" s="29" t="s">
        <v>56</v>
      </c>
      <c r="G6" s="45"/>
      <c r="H6" s="35">
        <v>100000.0</v>
      </c>
      <c r="I6" s="29" t="s">
        <v>34</v>
      </c>
      <c r="J6" s="19"/>
      <c r="K6" s="19"/>
      <c r="L6" s="29" t="s">
        <v>35</v>
      </c>
      <c r="M6" s="19"/>
      <c r="N6" s="37"/>
      <c r="O6" s="37"/>
      <c r="P6" s="37"/>
      <c r="Q6" s="1"/>
      <c r="R6" s="1"/>
    </row>
    <row r="7" ht="15.75" customHeight="1">
      <c r="A7" s="1"/>
      <c r="B7" s="19">
        <v>4.0</v>
      </c>
      <c r="C7" s="20" t="s">
        <v>59</v>
      </c>
      <c r="D7" s="27" t="s">
        <v>49</v>
      </c>
      <c r="E7" s="28"/>
      <c r="F7" s="29" t="s">
        <v>42</v>
      </c>
      <c r="G7" s="45"/>
      <c r="H7" s="46">
        <v>200000.0</v>
      </c>
      <c r="I7" s="29" t="s">
        <v>24</v>
      </c>
      <c r="J7" s="29" t="s">
        <v>25</v>
      </c>
      <c r="K7" s="29" t="s">
        <v>25</v>
      </c>
      <c r="L7" s="29" t="s">
        <v>35</v>
      </c>
      <c r="M7" s="29" t="s">
        <v>43</v>
      </c>
      <c r="N7" s="37"/>
      <c r="O7" s="37"/>
      <c r="P7" s="37"/>
      <c r="Q7" s="1"/>
      <c r="R7" s="1"/>
    </row>
    <row r="8" ht="15.75" customHeight="1">
      <c r="A8" s="1"/>
      <c r="B8" s="19">
        <v>5.0</v>
      </c>
      <c r="C8" s="20" t="s">
        <v>65</v>
      </c>
      <c r="D8" s="27" t="s">
        <v>21</v>
      </c>
      <c r="E8" s="28"/>
      <c r="F8" s="29" t="s">
        <v>33</v>
      </c>
      <c r="G8" s="32"/>
      <c r="H8" s="35">
        <v>100000.0</v>
      </c>
      <c r="I8" s="29" t="s">
        <v>34</v>
      </c>
      <c r="J8" s="19"/>
      <c r="K8" s="19"/>
      <c r="L8" s="29" t="s">
        <v>35</v>
      </c>
      <c r="M8" s="19"/>
      <c r="N8" s="37"/>
      <c r="O8" s="37"/>
      <c r="P8" s="37"/>
      <c r="Q8" s="1"/>
      <c r="R8" s="1"/>
    </row>
    <row r="9" ht="15.75" customHeight="1">
      <c r="A9" s="1"/>
      <c r="B9" s="19">
        <v>6.0</v>
      </c>
      <c r="C9" s="49" t="s">
        <v>71</v>
      </c>
      <c r="D9" s="27" t="s">
        <v>72</v>
      </c>
      <c r="E9" s="51"/>
      <c r="F9" s="29" t="s">
        <v>42</v>
      </c>
      <c r="G9" s="45"/>
      <c r="H9" s="46">
        <v>450000.0</v>
      </c>
      <c r="I9" s="29" t="s">
        <v>24</v>
      </c>
      <c r="J9" s="19"/>
      <c r="K9" s="19"/>
      <c r="L9" s="29" t="s">
        <v>35</v>
      </c>
      <c r="M9" s="19"/>
      <c r="N9" s="37"/>
      <c r="O9" s="37"/>
      <c r="P9" s="37"/>
      <c r="Q9" s="1"/>
      <c r="R9" s="1"/>
    </row>
    <row r="10" ht="15.75" customHeight="1">
      <c r="A10" s="1"/>
      <c r="B10" s="19">
        <v>7.0</v>
      </c>
      <c r="C10" s="20" t="s">
        <v>76</v>
      </c>
      <c r="D10" s="27" t="s">
        <v>49</v>
      </c>
      <c r="E10" s="51"/>
      <c r="F10" s="29" t="s">
        <v>42</v>
      </c>
      <c r="G10" s="45"/>
      <c r="H10" s="46">
        <v>100000.0</v>
      </c>
      <c r="I10" s="29" t="s">
        <v>24</v>
      </c>
      <c r="J10" s="29" t="s">
        <v>25</v>
      </c>
      <c r="K10" s="29" t="s">
        <v>27</v>
      </c>
      <c r="L10" s="29" t="s">
        <v>35</v>
      </c>
      <c r="M10" s="29" t="s">
        <v>43</v>
      </c>
      <c r="N10" s="37"/>
      <c r="O10" s="37"/>
      <c r="P10" s="37"/>
      <c r="Q10" s="1"/>
      <c r="R10" s="1"/>
    </row>
    <row r="11" ht="15.75" customHeight="1">
      <c r="A11" s="1"/>
      <c r="B11" s="19">
        <v>8.0</v>
      </c>
      <c r="C11" s="20" t="s">
        <v>81</v>
      </c>
      <c r="D11" s="27" t="s">
        <v>82</v>
      </c>
      <c r="E11" s="51"/>
      <c r="F11" s="29" t="s">
        <v>42</v>
      </c>
      <c r="G11" s="39">
        <v>150000.0</v>
      </c>
      <c r="H11" s="40"/>
      <c r="I11" s="29" t="s">
        <v>24</v>
      </c>
      <c r="J11" s="29" t="s">
        <v>25</v>
      </c>
      <c r="K11" s="29" t="s">
        <v>25</v>
      </c>
      <c r="L11" s="29" t="s">
        <v>35</v>
      </c>
      <c r="M11" s="29" t="s">
        <v>43</v>
      </c>
      <c r="N11" s="37"/>
      <c r="O11" s="37"/>
      <c r="P11" s="37"/>
      <c r="Q11" s="1"/>
      <c r="R11" s="1"/>
    </row>
    <row r="12" ht="15.75" customHeight="1">
      <c r="A12" s="1"/>
      <c r="B12" s="19">
        <v>9.0</v>
      </c>
      <c r="C12" s="49" t="s">
        <v>86</v>
      </c>
      <c r="D12" s="27" t="s">
        <v>37</v>
      </c>
      <c r="E12" s="51"/>
      <c r="F12" s="29" t="s">
        <v>42</v>
      </c>
      <c r="G12" s="45"/>
      <c r="H12" s="35">
        <v>100000.0</v>
      </c>
      <c r="I12" s="29" t="s">
        <v>24</v>
      </c>
      <c r="J12" s="29" t="s">
        <v>25</v>
      </c>
      <c r="K12" s="29" t="s">
        <v>25</v>
      </c>
      <c r="L12" s="29" t="s">
        <v>35</v>
      </c>
      <c r="M12" s="29" t="s">
        <v>43</v>
      </c>
      <c r="N12" s="37"/>
      <c r="O12" s="37"/>
      <c r="P12" s="37"/>
      <c r="Q12" s="1"/>
      <c r="R12" s="1"/>
    </row>
    <row r="13" ht="15.75" customHeight="1">
      <c r="A13" s="1"/>
      <c r="B13" s="19">
        <v>10.0</v>
      </c>
      <c r="C13" s="49" t="s">
        <v>89</v>
      </c>
      <c r="D13" s="27" t="s">
        <v>90</v>
      </c>
      <c r="E13" s="51"/>
      <c r="F13" s="29" t="s">
        <v>92</v>
      </c>
      <c r="G13" s="59">
        <v>25000.0</v>
      </c>
      <c r="H13" s="40"/>
      <c r="I13" s="29" t="s">
        <v>24</v>
      </c>
      <c r="J13" s="29" t="s">
        <v>39</v>
      </c>
      <c r="K13" s="29" t="s">
        <v>39</v>
      </c>
      <c r="L13" s="29" t="s">
        <v>35</v>
      </c>
      <c r="M13" s="19"/>
      <c r="N13" s="37"/>
      <c r="O13" s="37"/>
      <c r="P13" s="37"/>
      <c r="Q13" s="1"/>
      <c r="R13" s="1"/>
    </row>
    <row r="14" ht="15.75" customHeight="1">
      <c r="A14" s="1"/>
      <c r="B14" s="19">
        <v>11.0</v>
      </c>
      <c r="C14" s="49" t="s">
        <v>95</v>
      </c>
      <c r="D14" s="27" t="s">
        <v>49</v>
      </c>
      <c r="E14" s="51"/>
      <c r="F14" s="29" t="s">
        <v>42</v>
      </c>
      <c r="G14" s="59">
        <v>105000.0</v>
      </c>
      <c r="H14" s="35">
        <v>220000.0</v>
      </c>
      <c r="I14" s="29" t="s">
        <v>24</v>
      </c>
      <c r="J14" s="29" t="s">
        <v>25</v>
      </c>
      <c r="K14" s="29" t="s">
        <v>25</v>
      </c>
      <c r="L14" s="29" t="s">
        <v>35</v>
      </c>
      <c r="M14" s="29" t="s">
        <v>43</v>
      </c>
      <c r="N14" s="37"/>
      <c r="O14" s="37"/>
      <c r="P14" s="37"/>
      <c r="Q14" s="1"/>
      <c r="R14" s="1"/>
    </row>
    <row r="15" ht="15.75" customHeight="1">
      <c r="A15" s="1"/>
      <c r="B15" s="19">
        <v>12.0</v>
      </c>
      <c r="C15" s="49" t="s">
        <v>98</v>
      </c>
      <c r="D15" s="27" t="s">
        <v>41</v>
      </c>
      <c r="E15" s="51"/>
      <c r="F15" s="29" t="s">
        <v>50</v>
      </c>
      <c r="G15" s="45"/>
      <c r="H15" s="35">
        <v>100000.0</v>
      </c>
      <c r="I15" s="29" t="s">
        <v>34</v>
      </c>
      <c r="J15" s="19"/>
      <c r="K15" s="19"/>
      <c r="L15" s="29" t="s">
        <v>35</v>
      </c>
      <c r="M15" s="19"/>
      <c r="N15" s="37"/>
      <c r="O15" s="37"/>
      <c r="P15" s="37"/>
      <c r="Q15" s="1"/>
      <c r="R15" s="1"/>
    </row>
    <row r="16" ht="15.75" customHeight="1">
      <c r="A16" s="1"/>
      <c r="B16" s="19">
        <v>13.0</v>
      </c>
      <c r="C16" s="49" t="s">
        <v>86</v>
      </c>
      <c r="D16" s="27" t="s">
        <v>102</v>
      </c>
      <c r="E16" s="51"/>
      <c r="F16" s="29" t="s">
        <v>42</v>
      </c>
      <c r="G16" s="45"/>
      <c r="H16" s="35">
        <v>50000.0</v>
      </c>
      <c r="I16" s="29" t="s">
        <v>24</v>
      </c>
      <c r="J16" s="29" t="s">
        <v>25</v>
      </c>
      <c r="K16" s="29" t="s">
        <v>25</v>
      </c>
      <c r="L16" s="29" t="s">
        <v>35</v>
      </c>
      <c r="M16" s="29" t="s">
        <v>43</v>
      </c>
      <c r="N16" s="37"/>
      <c r="O16" s="37"/>
      <c r="P16" s="37"/>
      <c r="Q16" s="1"/>
      <c r="R16" s="1"/>
    </row>
    <row r="17" ht="15.75" customHeight="1">
      <c r="A17" s="1"/>
      <c r="B17" s="19">
        <v>14.0</v>
      </c>
      <c r="C17" s="64"/>
      <c r="D17" s="65"/>
      <c r="E17" s="51"/>
      <c r="F17" s="67"/>
      <c r="G17" s="32"/>
      <c r="H17" s="40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0">
        <f>SUM(G5:G17)</f>
        <v>405000</v>
      </c>
      <c r="H18" s="7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118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119</v>
      </c>
      <c r="O21" s="73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121</v>
      </c>
      <c r="D22" s="77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124</v>
      </c>
      <c r="O22" s="81" t="s">
        <v>35</v>
      </c>
      <c r="P22" s="1"/>
      <c r="Q22" s="1"/>
      <c r="R22" s="1"/>
    </row>
    <row r="23" ht="15.75" customHeight="1">
      <c r="A23" s="1"/>
      <c r="B23" s="82">
        <v>2.0</v>
      </c>
      <c r="C23" s="83"/>
      <c r="D23" s="84"/>
      <c r="E23" s="78"/>
      <c r="F23" s="1"/>
      <c r="G23" s="1"/>
      <c r="H23" s="1"/>
      <c r="I23" s="1"/>
      <c r="J23" s="1"/>
      <c r="K23" s="1"/>
      <c r="L23" s="1"/>
      <c r="M23" s="1"/>
      <c r="N23" s="86" t="s">
        <v>128</v>
      </c>
      <c r="O23" s="87" t="s">
        <v>35</v>
      </c>
      <c r="P23" s="1"/>
      <c r="Q23" s="1"/>
      <c r="R23" s="1"/>
    </row>
    <row r="24" ht="15.75" customHeight="1">
      <c r="A24" s="1"/>
      <c r="B24" s="75">
        <v>3.0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88" t="s">
        <v>131</v>
      </c>
      <c r="O24" s="89" t="s">
        <v>43</v>
      </c>
      <c r="P24" s="1"/>
      <c r="Q24" s="1"/>
      <c r="R24" s="1"/>
    </row>
    <row r="25" ht="15.75" customHeight="1">
      <c r="A25" s="1"/>
      <c r="B25" s="82">
        <v>4.0</v>
      </c>
      <c r="C25" s="90"/>
      <c r="D25" s="91"/>
      <c r="E25" s="78"/>
      <c r="F25" s="93"/>
      <c r="G25" s="1"/>
      <c r="H25" s="1"/>
      <c r="I25" s="1"/>
      <c r="J25" s="1"/>
      <c r="K25" s="1"/>
      <c r="L25" s="1"/>
      <c r="M25" s="1"/>
      <c r="N25" s="95" t="s">
        <v>137</v>
      </c>
      <c r="O25" s="87" t="s">
        <v>43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2">
        <v>6.0</v>
      </c>
      <c r="C27" s="90"/>
      <c r="D27" s="91"/>
      <c r="E27" s="78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146</v>
      </c>
      <c r="O28" s="100" t="s">
        <v>147</v>
      </c>
      <c r="P28" s="100" t="s">
        <v>148</v>
      </c>
      <c r="Q28" s="1"/>
      <c r="R28" s="1"/>
      <c r="AC28" s="101" t="s">
        <v>151</v>
      </c>
      <c r="AD28" s="101" t="s">
        <v>152</v>
      </c>
      <c r="AE28" s="101" t="s">
        <v>153</v>
      </c>
      <c r="AF28" s="101" t="s">
        <v>154</v>
      </c>
      <c r="AG28" s="101" t="s">
        <v>155</v>
      </c>
    </row>
    <row r="29" ht="15.75" customHeight="1">
      <c r="A29" s="1"/>
      <c r="B29" s="82">
        <v>8.0</v>
      </c>
      <c r="C29" s="90"/>
      <c r="D29" s="91"/>
      <c r="E29" s="78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2">
        <v>10.0</v>
      </c>
      <c r="C31" s="90"/>
      <c r="D31" s="91"/>
      <c r="E31" s="78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12">
        <f>SUM(D22:D32)</f>
        <v>405000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191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193</v>
      </c>
      <c r="N37" s="117"/>
      <c r="O37" s="1"/>
      <c r="P37" s="1"/>
      <c r="Q37" s="1"/>
      <c r="R37" s="1"/>
    </row>
    <row r="38" ht="15.75" customHeight="1">
      <c r="K38" s="119" t="s">
        <v>8</v>
      </c>
      <c r="L38" s="119" t="s">
        <v>195</v>
      </c>
      <c r="M38" s="119" t="s">
        <v>196</v>
      </c>
      <c r="N38" s="120" t="s">
        <v>197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198</v>
      </c>
      <c r="N39" s="125">
        <v>4.0</v>
      </c>
    </row>
    <row r="40" ht="15.75" customHeight="1">
      <c r="K40" s="121" t="str">
        <f t="shared" si="7"/>
        <v>AMEL</v>
      </c>
      <c r="L40" s="123"/>
      <c r="M40" s="123"/>
      <c r="N40" s="126"/>
    </row>
    <row r="41" ht="15.75" customHeight="1"/>
    <row r="42" ht="19.5" customHeight="1">
      <c r="K42" s="127" t="s">
        <v>199</v>
      </c>
    </row>
    <row r="43" ht="19.5" customHeight="1">
      <c r="K43" s="128" t="s">
        <v>200</v>
      </c>
      <c r="M43" s="122">
        <v>34.0</v>
      </c>
    </row>
    <row r="44" ht="19.5" customHeight="1">
      <c r="K44" s="129" t="s">
        <v>202</v>
      </c>
      <c r="M44" s="130">
        <f>COUNTIF($I$4:$I$20,"DP")</f>
        <v>4</v>
      </c>
    </row>
    <row r="45" ht="19.5" customHeight="1">
      <c r="K45" s="129" t="s">
        <v>204</v>
      </c>
      <c r="M45" s="130">
        <f>COUNTIFS($I$4:$I$20,"&lt;&gt;DP",$I$4:$I$20,"&lt;&gt;")</f>
        <v>9</v>
      </c>
    </row>
    <row r="46" ht="19.5" customHeight="1">
      <c r="K46" s="131" t="s">
        <v>206</v>
      </c>
      <c r="M46" s="130">
        <f>M44+M45</f>
        <v>13</v>
      </c>
    </row>
    <row r="47" ht="19.5" customHeight="1">
      <c r="K47" s="128" t="s">
        <v>207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4" t="s">
        <v>23</v>
      </c>
      <c r="D4" s="27" t="s">
        <v>29</v>
      </c>
      <c r="E4" s="26"/>
      <c r="F4" s="29" t="s">
        <v>30</v>
      </c>
      <c r="G4" s="36"/>
      <c r="H4" s="35">
        <v>100000.0</v>
      </c>
      <c r="I4" s="29" t="s">
        <v>34</v>
      </c>
      <c r="J4" s="19"/>
      <c r="K4" s="19"/>
      <c r="L4" s="29" t="s">
        <v>35</v>
      </c>
      <c r="M4" s="19"/>
      <c r="N4" s="30"/>
      <c r="O4" s="30"/>
      <c r="P4" s="33"/>
      <c r="Q4" s="1"/>
      <c r="R4" s="1"/>
    </row>
    <row r="5" ht="15.75" customHeight="1">
      <c r="A5" s="1"/>
      <c r="B5" s="17">
        <v>2.0</v>
      </c>
      <c r="C5" s="41" t="s">
        <v>47</v>
      </c>
      <c r="D5" s="27" t="s">
        <v>49</v>
      </c>
      <c r="E5" s="42"/>
      <c r="F5" s="29" t="s">
        <v>50</v>
      </c>
      <c r="G5" s="43"/>
      <c r="H5" s="44">
        <v>100000.0</v>
      </c>
      <c r="I5" s="29" t="s">
        <v>34</v>
      </c>
      <c r="J5" s="19"/>
      <c r="K5" s="19"/>
      <c r="L5" s="29" t="s">
        <v>35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61</v>
      </c>
      <c r="D6" s="27" t="s">
        <v>62</v>
      </c>
      <c r="E6" s="26"/>
      <c r="F6" s="29" t="s">
        <v>64</v>
      </c>
      <c r="G6" s="36"/>
      <c r="H6" s="35">
        <v>50000.0</v>
      </c>
      <c r="I6" s="29" t="s">
        <v>24</v>
      </c>
      <c r="J6" s="29" t="s">
        <v>25</v>
      </c>
      <c r="K6" s="29" t="s">
        <v>25</v>
      </c>
      <c r="L6" s="29" t="s">
        <v>35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67</v>
      </c>
      <c r="D7" s="27" t="s">
        <v>21</v>
      </c>
      <c r="E7" s="42"/>
      <c r="F7" s="29" t="s">
        <v>33</v>
      </c>
      <c r="G7" s="36"/>
      <c r="H7" s="35">
        <v>100000.0</v>
      </c>
      <c r="I7" s="29" t="s">
        <v>34</v>
      </c>
      <c r="J7" s="19"/>
      <c r="K7" s="19"/>
      <c r="L7" s="29" t="s">
        <v>35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49" t="s">
        <v>73</v>
      </c>
      <c r="D8" s="27" t="s">
        <v>74</v>
      </c>
      <c r="E8" s="26"/>
      <c r="F8" s="29" t="s">
        <v>50</v>
      </c>
      <c r="G8" s="52"/>
      <c r="H8" s="44">
        <v>125000.0</v>
      </c>
      <c r="I8" s="29" t="s">
        <v>24</v>
      </c>
      <c r="J8" s="29" t="s">
        <v>25</v>
      </c>
      <c r="K8" s="29" t="s">
        <v>39</v>
      </c>
      <c r="L8" s="29" t="s">
        <v>35</v>
      </c>
      <c r="M8" s="29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80</v>
      </c>
      <c r="D9" s="27" t="s">
        <v>49</v>
      </c>
      <c r="E9" s="26"/>
      <c r="F9" s="54">
        <v>46305.0</v>
      </c>
      <c r="G9" s="43"/>
      <c r="H9" s="44">
        <v>100000.0</v>
      </c>
      <c r="I9" s="29" t="s">
        <v>34</v>
      </c>
      <c r="J9" s="19"/>
      <c r="K9" s="19"/>
      <c r="L9" s="29" t="s">
        <v>28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87</v>
      </c>
      <c r="D10" s="27" t="s">
        <v>49</v>
      </c>
      <c r="E10" s="26"/>
      <c r="F10" s="54">
        <v>46297.0</v>
      </c>
      <c r="G10" s="57">
        <v>75000.0</v>
      </c>
      <c r="H10" s="40"/>
      <c r="I10" s="29" t="s">
        <v>24</v>
      </c>
      <c r="J10" s="19"/>
      <c r="K10" s="19"/>
      <c r="L10" s="29" t="s">
        <v>28</v>
      </c>
      <c r="M10" s="29" t="s">
        <v>57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9" t="s">
        <v>47</v>
      </c>
      <c r="D11" s="27" t="s">
        <v>49</v>
      </c>
      <c r="E11" s="26"/>
      <c r="F11" s="54">
        <v>46297.0</v>
      </c>
      <c r="G11" s="36"/>
      <c r="H11" s="35">
        <v>275000.0</v>
      </c>
      <c r="I11" s="29" t="s">
        <v>24</v>
      </c>
      <c r="J11" s="29" t="s">
        <v>25</v>
      </c>
      <c r="K11" s="29" t="s">
        <v>27</v>
      </c>
      <c r="L11" s="29" t="s">
        <v>28</v>
      </c>
      <c r="M11" s="29" t="s">
        <v>57</v>
      </c>
      <c r="N11" s="37"/>
      <c r="O11" s="37"/>
      <c r="P11" s="37"/>
      <c r="Q11" s="1"/>
      <c r="R11" s="1"/>
      <c r="S11" s="62"/>
    </row>
    <row r="12" ht="15.75" customHeight="1">
      <c r="A12" s="1"/>
      <c r="B12" s="17"/>
      <c r="C12" s="20" t="s">
        <v>99</v>
      </c>
      <c r="D12" s="27" t="s">
        <v>37</v>
      </c>
      <c r="E12" s="63"/>
      <c r="F12" s="54">
        <v>46297.0</v>
      </c>
      <c r="G12" s="36"/>
      <c r="H12" s="35">
        <v>100000.0</v>
      </c>
      <c r="I12" s="29" t="s">
        <v>24</v>
      </c>
      <c r="J12" s="29" t="s">
        <v>25</v>
      </c>
      <c r="K12" s="29" t="s">
        <v>25</v>
      </c>
      <c r="L12" s="29" t="s">
        <v>28</v>
      </c>
      <c r="M12" s="19"/>
      <c r="N12" s="37"/>
      <c r="O12" s="37"/>
      <c r="P12" s="37"/>
      <c r="Q12" s="1"/>
      <c r="R12" s="1"/>
    </row>
    <row r="13" ht="15.75" customHeight="1">
      <c r="A13" s="1"/>
      <c r="B13" s="17"/>
      <c r="C13" s="20" t="s">
        <v>105</v>
      </c>
      <c r="D13" s="27" t="s">
        <v>49</v>
      </c>
      <c r="E13" s="26"/>
      <c r="F13" s="54">
        <v>46297.0</v>
      </c>
      <c r="G13" s="36"/>
      <c r="H13" s="35">
        <v>100000.0</v>
      </c>
      <c r="I13" s="29" t="s">
        <v>24</v>
      </c>
      <c r="J13" s="29" t="s">
        <v>25</v>
      </c>
      <c r="K13" s="29" t="s">
        <v>25</v>
      </c>
      <c r="L13" s="29" t="s">
        <v>28</v>
      </c>
      <c r="M13" s="29" t="s">
        <v>57</v>
      </c>
      <c r="N13" s="37"/>
      <c r="O13" s="37"/>
      <c r="P13" s="37"/>
      <c r="Q13" s="1"/>
      <c r="R13" s="1"/>
    </row>
    <row r="14" ht="15.75" customHeight="1">
      <c r="A14" s="1"/>
      <c r="B14" s="17"/>
      <c r="C14" s="20" t="s">
        <v>99</v>
      </c>
      <c r="D14" s="27" t="s">
        <v>14</v>
      </c>
      <c r="E14" s="26"/>
      <c r="F14" s="54">
        <v>46297.0</v>
      </c>
      <c r="G14" s="36"/>
      <c r="H14" s="35">
        <v>50000.0</v>
      </c>
      <c r="I14" s="29" t="s">
        <v>24</v>
      </c>
      <c r="J14" s="29" t="s">
        <v>25</v>
      </c>
      <c r="K14" s="29" t="s">
        <v>27</v>
      </c>
      <c r="L14" s="29" t="s">
        <v>28</v>
      </c>
      <c r="M14" s="29" t="s">
        <v>57</v>
      </c>
      <c r="N14" s="37"/>
      <c r="O14" s="37"/>
      <c r="P14" s="37"/>
      <c r="Q14" s="1"/>
      <c r="R14" s="1"/>
    </row>
    <row r="15" ht="15.75" customHeight="1">
      <c r="A15" s="1"/>
      <c r="B15" s="17"/>
      <c r="C15" s="29" t="s">
        <v>109</v>
      </c>
      <c r="D15" s="27" t="s">
        <v>62</v>
      </c>
      <c r="E15" s="26"/>
      <c r="F15" s="54">
        <v>46297.0</v>
      </c>
      <c r="G15" s="36"/>
      <c r="H15" s="35">
        <v>40000.0</v>
      </c>
      <c r="I15" s="29" t="s">
        <v>24</v>
      </c>
      <c r="J15" s="19"/>
      <c r="K15" s="19"/>
      <c r="L15" s="29" t="s">
        <v>28</v>
      </c>
      <c r="M15" s="19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0">
        <f>SUM(G3:G15)</f>
        <v>75000</v>
      </c>
      <c r="H16" s="7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3" t="s">
        <v>7</v>
      </c>
      <c r="D19" s="73" t="s">
        <v>118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119</v>
      </c>
      <c r="O19" s="73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121</v>
      </c>
      <c r="D20" s="77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79" t="s">
        <v>124</v>
      </c>
      <c r="O20" s="81" t="s">
        <v>35</v>
      </c>
      <c r="P20" s="1"/>
      <c r="Q20" s="1"/>
      <c r="R20" s="1"/>
    </row>
    <row r="21" ht="15.75" customHeight="1">
      <c r="A21" s="1"/>
      <c r="B21" s="82">
        <v>2.0</v>
      </c>
      <c r="C21" s="92" t="s">
        <v>134</v>
      </c>
      <c r="D21" s="94">
        <v>-75000.0</v>
      </c>
      <c r="E21" s="78"/>
      <c r="F21" s="1"/>
      <c r="G21" s="1"/>
      <c r="H21" s="1"/>
      <c r="I21" s="1"/>
      <c r="J21" s="1"/>
      <c r="K21" s="1"/>
      <c r="L21" s="1"/>
      <c r="N21" s="86" t="s">
        <v>128</v>
      </c>
      <c r="O21" s="87" t="s">
        <v>28</v>
      </c>
      <c r="P21" s="1"/>
      <c r="Q21" s="1"/>
      <c r="R21" s="1"/>
    </row>
    <row r="22" ht="15.75" customHeight="1">
      <c r="A22" s="1"/>
      <c r="B22" s="75">
        <v>3.0</v>
      </c>
      <c r="C22" s="97"/>
      <c r="D22" s="98"/>
      <c r="E22" s="78"/>
      <c r="F22" s="1"/>
      <c r="G22" s="1"/>
      <c r="H22" s="1"/>
      <c r="I22" s="1"/>
      <c r="J22" s="1"/>
      <c r="K22" s="1"/>
      <c r="L22" s="1"/>
      <c r="M22" s="1"/>
      <c r="N22" s="88" t="s">
        <v>131</v>
      </c>
      <c r="O22" s="89" t="s">
        <v>43</v>
      </c>
      <c r="P22" s="1"/>
      <c r="Q22" s="1"/>
      <c r="R22" s="1"/>
    </row>
    <row r="23" ht="15.75" customHeight="1">
      <c r="A23" s="1"/>
      <c r="B23" s="82">
        <v>4.0</v>
      </c>
      <c r="C23" s="83"/>
      <c r="D23" s="84"/>
      <c r="E23" s="78"/>
      <c r="F23" s="1"/>
      <c r="G23" s="1"/>
      <c r="H23" s="1"/>
      <c r="I23" s="1"/>
      <c r="J23" s="1"/>
      <c r="K23" s="1"/>
      <c r="L23" s="1"/>
      <c r="M23" s="1"/>
      <c r="N23" s="95" t="s">
        <v>137</v>
      </c>
      <c r="O23" s="87" t="s">
        <v>57</v>
      </c>
      <c r="P23" s="1"/>
      <c r="Q23" s="1"/>
      <c r="R23" s="1"/>
    </row>
    <row r="24" ht="15.75" customHeight="1">
      <c r="A24" s="1"/>
      <c r="B24" s="75">
        <v>5.0</v>
      </c>
      <c r="C24" s="97"/>
      <c r="D24" s="98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4"/>
      <c r="E25" s="78"/>
      <c r="F25" s="93"/>
      <c r="G25" s="1"/>
      <c r="H25" s="1"/>
      <c r="I25" s="1"/>
      <c r="J25" s="1"/>
      <c r="K25" s="99" t="s">
        <v>141</v>
      </c>
      <c r="Q25" s="1"/>
      <c r="R25" s="1"/>
    </row>
    <row r="26" ht="15.75" customHeight="1">
      <c r="A26" s="1"/>
      <c r="B26" s="75">
        <v>7.0</v>
      </c>
      <c r="C26" s="76"/>
      <c r="D26" s="77"/>
      <c r="E26" s="78"/>
      <c r="F26" s="93"/>
      <c r="G26" s="1"/>
      <c r="H26" s="1"/>
      <c r="I26" s="1"/>
      <c r="J26" s="1"/>
      <c r="K26" s="100" t="s">
        <v>2</v>
      </c>
      <c r="L26" s="100" t="s">
        <v>144</v>
      </c>
      <c r="M26" s="100" t="s">
        <v>145</v>
      </c>
      <c r="N26" s="100" t="s">
        <v>146</v>
      </c>
      <c r="O26" s="100" t="s">
        <v>147</v>
      </c>
      <c r="P26" s="100" t="s">
        <v>148</v>
      </c>
      <c r="Q26" s="1"/>
      <c r="R26" s="1"/>
      <c r="AC26" s="101" t="s">
        <v>151</v>
      </c>
      <c r="AD26" s="101" t="s">
        <v>152</v>
      </c>
      <c r="AE26" s="101" t="s">
        <v>153</v>
      </c>
      <c r="AF26" s="101" t="s">
        <v>154</v>
      </c>
      <c r="AG26" s="101" t="s">
        <v>155</v>
      </c>
    </row>
    <row r="27" ht="15.75" customHeight="1">
      <c r="A27" s="1"/>
      <c r="B27" s="82">
        <v>8.0</v>
      </c>
      <c r="C27" s="90"/>
      <c r="D27" s="91"/>
      <c r="E27" s="78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2">
        <v>10.0</v>
      </c>
      <c r="C29" s="90"/>
      <c r="D29" s="91"/>
      <c r="E29" s="78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191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193</v>
      </c>
      <c r="N35" s="1"/>
      <c r="O35" s="1"/>
      <c r="P35" s="1"/>
      <c r="Q35" s="1"/>
      <c r="R35" s="1"/>
    </row>
    <row r="36" ht="15.75" customHeight="1">
      <c r="K36" s="119" t="s">
        <v>8</v>
      </c>
      <c r="L36" s="119" t="s">
        <v>195</v>
      </c>
      <c r="M36" s="119" t="s">
        <v>196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7" t="s">
        <v>199</v>
      </c>
    </row>
    <row r="41" ht="19.5" customHeight="1">
      <c r="K41" s="128" t="s">
        <v>200</v>
      </c>
      <c r="M41" s="122">
        <v>39.0</v>
      </c>
    </row>
    <row r="42" ht="19.5" customHeight="1">
      <c r="K42" s="129" t="s">
        <v>202</v>
      </c>
      <c r="M42" s="130">
        <f>COUNTIF($I$4:$I$18,"DP")</f>
        <v>4</v>
      </c>
    </row>
    <row r="43" ht="19.5" customHeight="1">
      <c r="K43" s="129" t="s">
        <v>204</v>
      </c>
      <c r="M43" s="130">
        <f>COUNTIFS($I$4:$I$18,"&lt;&gt;DP",$I$4:$I$18,"&lt;&gt;")</f>
        <v>8</v>
      </c>
    </row>
    <row r="44" ht="19.5" customHeight="1">
      <c r="K44" s="131" t="s">
        <v>206</v>
      </c>
      <c r="M44" s="130">
        <f>M42+M43</f>
        <v>12</v>
      </c>
    </row>
    <row r="45" ht="19.5" customHeight="1">
      <c r="K45" s="128" t="s">
        <v>207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22</v>
      </c>
      <c r="D4" s="18" t="s">
        <v>21</v>
      </c>
      <c r="E4" s="26"/>
      <c r="F4" s="29" t="s">
        <v>26</v>
      </c>
      <c r="G4" s="31"/>
      <c r="H4" s="34">
        <v>100000.0</v>
      </c>
      <c r="I4" s="25" t="s">
        <v>34</v>
      </c>
      <c r="J4" s="17"/>
      <c r="K4" s="17"/>
      <c r="L4" s="25" t="s">
        <v>35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44</v>
      </c>
      <c r="D5" s="18" t="s">
        <v>21</v>
      </c>
      <c r="E5" s="26"/>
      <c r="F5" s="29" t="s">
        <v>46</v>
      </c>
      <c r="G5" s="31"/>
      <c r="H5" s="34">
        <v>100000.0</v>
      </c>
      <c r="I5" s="25" t="s">
        <v>34</v>
      </c>
      <c r="J5" s="17"/>
      <c r="K5" s="17"/>
      <c r="L5" s="25" t="s">
        <v>35</v>
      </c>
      <c r="M5" s="17"/>
      <c r="N5" s="30"/>
      <c r="O5" s="30"/>
      <c r="P5" s="33"/>
      <c r="Q5" s="1"/>
      <c r="R5" s="1"/>
    </row>
    <row r="6" ht="15.75" customHeight="1">
      <c r="A6" s="1"/>
      <c r="B6" s="17">
        <v>3.0</v>
      </c>
      <c r="C6" s="18" t="s">
        <v>53</v>
      </c>
      <c r="D6" s="18" t="s">
        <v>21</v>
      </c>
      <c r="E6" s="26"/>
      <c r="F6" s="29" t="s">
        <v>33</v>
      </c>
      <c r="G6" s="31"/>
      <c r="H6" s="34">
        <v>250000.0</v>
      </c>
      <c r="I6" s="25" t="s">
        <v>24</v>
      </c>
      <c r="J6" s="25" t="s">
        <v>25</v>
      </c>
      <c r="K6" s="25" t="s">
        <v>27</v>
      </c>
      <c r="L6" s="25" t="s">
        <v>35</v>
      </c>
      <c r="M6" s="25" t="s">
        <v>43</v>
      </c>
      <c r="N6" s="30"/>
      <c r="O6" s="30"/>
      <c r="P6" s="33"/>
      <c r="Q6" s="1"/>
      <c r="R6" s="1"/>
    </row>
    <row r="7" ht="15.75" customHeight="1">
      <c r="A7" s="1"/>
      <c r="B7" s="17">
        <v>4.0</v>
      </c>
      <c r="C7" s="18" t="s">
        <v>60</v>
      </c>
      <c r="D7" s="18" t="s">
        <v>21</v>
      </c>
      <c r="E7" s="26"/>
      <c r="F7" s="29" t="s">
        <v>33</v>
      </c>
      <c r="G7" s="47">
        <v>250000.0</v>
      </c>
      <c r="H7" s="48"/>
      <c r="I7" s="25" t="s">
        <v>24</v>
      </c>
      <c r="J7" s="25" t="s">
        <v>25</v>
      </c>
      <c r="K7" s="25" t="s">
        <v>27</v>
      </c>
      <c r="L7" s="25" t="s">
        <v>35</v>
      </c>
      <c r="M7" s="25" t="s">
        <v>68</v>
      </c>
      <c r="N7" s="30"/>
      <c r="O7" s="30"/>
      <c r="P7" s="33"/>
      <c r="Q7" s="1"/>
      <c r="R7" s="1"/>
    </row>
    <row r="8" ht="15.75" customHeight="1">
      <c r="A8" s="1"/>
      <c r="B8" s="17">
        <v>5.0</v>
      </c>
      <c r="C8" s="18" t="s">
        <v>70</v>
      </c>
      <c r="D8" s="18" t="s">
        <v>29</v>
      </c>
      <c r="E8" s="26"/>
      <c r="F8" s="29" t="s">
        <v>33</v>
      </c>
      <c r="G8" s="47">
        <v>400000.0</v>
      </c>
      <c r="H8" s="48"/>
      <c r="I8" s="25" t="s">
        <v>24</v>
      </c>
      <c r="J8" s="25" t="s">
        <v>25</v>
      </c>
      <c r="K8" s="25" t="s">
        <v>27</v>
      </c>
      <c r="L8" s="25" t="s">
        <v>35</v>
      </c>
      <c r="M8" s="25" t="s">
        <v>57</v>
      </c>
      <c r="N8" s="30"/>
      <c r="O8" s="30"/>
      <c r="P8" s="33"/>
      <c r="Q8" s="1"/>
      <c r="R8" s="1"/>
    </row>
    <row r="9" ht="15.75" customHeight="1">
      <c r="A9" s="1"/>
      <c r="B9" s="17">
        <v>6.0</v>
      </c>
      <c r="C9" s="53" t="s">
        <v>77</v>
      </c>
      <c r="D9" s="18" t="s">
        <v>21</v>
      </c>
      <c r="E9" s="26"/>
      <c r="F9" s="29" t="s">
        <v>33</v>
      </c>
      <c r="G9" s="47">
        <v>250000.0</v>
      </c>
      <c r="H9" s="48"/>
      <c r="I9" s="25" t="s">
        <v>24</v>
      </c>
      <c r="J9" s="25" t="s">
        <v>25</v>
      </c>
      <c r="K9" s="17"/>
      <c r="L9" s="25" t="s">
        <v>35</v>
      </c>
      <c r="M9" s="25" t="s">
        <v>43</v>
      </c>
      <c r="N9" s="30"/>
      <c r="O9" s="30"/>
      <c r="P9" s="33"/>
      <c r="Q9" s="1"/>
      <c r="R9" s="1"/>
    </row>
    <row r="10" ht="15.75" customHeight="1">
      <c r="A10" s="1"/>
      <c r="B10" s="17">
        <v>7.0</v>
      </c>
      <c r="C10" s="55" t="s">
        <v>85</v>
      </c>
      <c r="D10" s="18" t="s">
        <v>29</v>
      </c>
      <c r="E10" s="26"/>
      <c r="F10" s="19"/>
      <c r="G10" s="47">
        <v>400000.0</v>
      </c>
      <c r="H10" s="48"/>
      <c r="I10" s="25" t="s">
        <v>24</v>
      </c>
      <c r="J10" s="25" t="s">
        <v>25</v>
      </c>
      <c r="K10" s="17"/>
      <c r="L10" s="17"/>
      <c r="M10" s="25" t="s">
        <v>68</v>
      </c>
      <c r="N10" s="30"/>
      <c r="O10" s="30"/>
      <c r="P10" s="33"/>
      <c r="Q10" s="1"/>
      <c r="R10" s="1"/>
    </row>
    <row r="11" ht="15.75" customHeight="1">
      <c r="A11" s="1"/>
      <c r="B11" s="17">
        <v>8.0</v>
      </c>
      <c r="C11" s="18" t="s">
        <v>91</v>
      </c>
      <c r="D11" s="18" t="s">
        <v>21</v>
      </c>
      <c r="E11" s="26"/>
      <c r="F11" s="19"/>
      <c r="G11" s="47">
        <v>290000.0</v>
      </c>
      <c r="H11" s="48"/>
      <c r="I11" s="25" t="s">
        <v>24</v>
      </c>
      <c r="J11" s="17"/>
      <c r="K11" s="17"/>
      <c r="L11" s="17"/>
      <c r="M11" s="25" t="s">
        <v>68</v>
      </c>
      <c r="N11" s="30"/>
      <c r="O11" s="30"/>
      <c r="P11" s="33"/>
      <c r="Q11" s="1"/>
      <c r="R11" s="1"/>
    </row>
    <row r="12" ht="15.75" customHeight="1">
      <c r="A12" s="1"/>
      <c r="B12" s="17">
        <v>9.0</v>
      </c>
      <c r="C12" s="18" t="s">
        <v>96</v>
      </c>
      <c r="D12" s="18" t="s">
        <v>21</v>
      </c>
      <c r="E12" s="26"/>
      <c r="F12" s="19"/>
      <c r="G12" s="47">
        <v>350000.0</v>
      </c>
      <c r="H12" s="48"/>
      <c r="I12" s="25" t="s">
        <v>24</v>
      </c>
      <c r="J12" s="17"/>
      <c r="K12" s="17"/>
      <c r="L12" s="17"/>
      <c r="M12" s="25" t="s">
        <v>43</v>
      </c>
      <c r="N12" s="30"/>
      <c r="O12" s="30"/>
      <c r="P12" s="33"/>
      <c r="Q12" s="1"/>
      <c r="R12" s="1"/>
    </row>
    <row r="13" ht="15.75" customHeight="1">
      <c r="A13" s="1"/>
      <c r="B13" s="17">
        <v>10.0</v>
      </c>
      <c r="C13" s="18" t="s">
        <v>100</v>
      </c>
      <c r="D13" s="18" t="s">
        <v>21</v>
      </c>
      <c r="E13" s="26"/>
      <c r="F13" s="19"/>
      <c r="G13" s="47">
        <v>250000.0</v>
      </c>
      <c r="H13" s="48"/>
      <c r="I13" s="25" t="s">
        <v>24</v>
      </c>
      <c r="J13" s="17"/>
      <c r="K13" s="17"/>
      <c r="L13" s="17"/>
      <c r="M13" s="25" t="s">
        <v>78</v>
      </c>
      <c r="N13" s="30"/>
      <c r="O13" s="30"/>
      <c r="P13" s="33"/>
      <c r="Q13" s="1"/>
      <c r="R13" s="1"/>
    </row>
    <row r="14" ht="15.75" customHeight="1">
      <c r="A14" s="1"/>
      <c r="B14" s="17">
        <v>11.0</v>
      </c>
      <c r="C14" s="18" t="s">
        <v>103</v>
      </c>
      <c r="D14" s="18" t="s">
        <v>21</v>
      </c>
      <c r="E14" s="26"/>
      <c r="F14" s="19"/>
      <c r="G14" s="47"/>
      <c r="H14" s="34">
        <v>310000.0</v>
      </c>
      <c r="I14" s="25" t="s">
        <v>24</v>
      </c>
      <c r="J14" s="17"/>
      <c r="K14" s="17"/>
      <c r="L14" s="17"/>
      <c r="M14" s="25" t="s">
        <v>57</v>
      </c>
      <c r="N14" s="30"/>
      <c r="O14" s="30"/>
      <c r="P14" s="33"/>
      <c r="Q14" s="1"/>
      <c r="R14" s="1"/>
    </row>
    <row r="15" ht="15.75" customHeight="1">
      <c r="A15" s="1"/>
      <c r="B15" s="17">
        <v>12.0</v>
      </c>
      <c r="C15" s="68" t="s">
        <v>107</v>
      </c>
      <c r="D15" s="18" t="s">
        <v>21</v>
      </c>
      <c r="E15" s="26"/>
      <c r="F15" s="19"/>
      <c r="G15" s="31"/>
      <c r="H15" s="34">
        <v>290000.0</v>
      </c>
      <c r="I15" s="25" t="s">
        <v>24</v>
      </c>
      <c r="J15" s="25" t="s">
        <v>25</v>
      </c>
      <c r="K15" s="25" t="s">
        <v>27</v>
      </c>
      <c r="L15" s="17"/>
      <c r="M15" s="25" t="s">
        <v>68</v>
      </c>
      <c r="N15" s="30"/>
      <c r="O15" s="30"/>
      <c r="P15" s="33"/>
      <c r="Q15" s="1"/>
      <c r="R15" s="1"/>
    </row>
    <row r="16" ht="15.75" customHeight="1">
      <c r="A16" s="1"/>
      <c r="B16" s="17">
        <v>13.0</v>
      </c>
      <c r="C16" s="18" t="s">
        <v>111</v>
      </c>
      <c r="D16" s="18" t="s">
        <v>21</v>
      </c>
      <c r="E16" s="26"/>
      <c r="F16" s="19"/>
      <c r="G16" s="31"/>
      <c r="H16" s="34">
        <v>250000.0</v>
      </c>
      <c r="I16" s="25" t="s">
        <v>24</v>
      </c>
      <c r="J16" s="25" t="s">
        <v>25</v>
      </c>
      <c r="K16" s="25" t="s">
        <v>27</v>
      </c>
      <c r="L16" s="17"/>
      <c r="M16" s="25" t="s">
        <v>78</v>
      </c>
      <c r="N16" s="30"/>
      <c r="O16" s="30"/>
      <c r="P16" s="33"/>
      <c r="Q16" s="1"/>
      <c r="R16" s="1"/>
    </row>
    <row r="17" ht="15.75" customHeight="1">
      <c r="A17" s="1"/>
      <c r="B17" s="17">
        <v>14.0</v>
      </c>
      <c r="C17" s="18" t="s">
        <v>114</v>
      </c>
      <c r="D17" s="18" t="s">
        <v>29</v>
      </c>
      <c r="E17" s="26"/>
      <c r="F17" s="19"/>
      <c r="G17" s="31"/>
      <c r="H17" s="34">
        <v>450000.0</v>
      </c>
      <c r="I17" s="25" t="s">
        <v>24</v>
      </c>
      <c r="J17" s="25" t="s">
        <v>25</v>
      </c>
      <c r="K17" s="25" t="s">
        <v>27</v>
      </c>
      <c r="L17" s="17"/>
      <c r="M17" s="25" t="s">
        <v>68</v>
      </c>
      <c r="N17" s="30"/>
      <c r="O17" s="30"/>
      <c r="P17" s="33"/>
      <c r="Q17" s="1"/>
      <c r="R17" s="1"/>
    </row>
    <row r="18" ht="15.75" customHeight="1">
      <c r="A18" s="1"/>
      <c r="B18" s="17">
        <v>15.0</v>
      </c>
      <c r="C18" s="18" t="s">
        <v>117</v>
      </c>
      <c r="D18" s="18" t="s">
        <v>21</v>
      </c>
      <c r="E18" s="26"/>
      <c r="F18" s="19"/>
      <c r="G18" s="47">
        <v>250000.0</v>
      </c>
      <c r="H18" s="48"/>
      <c r="I18" s="25" t="s">
        <v>24</v>
      </c>
      <c r="J18" s="17"/>
      <c r="K18" s="17"/>
      <c r="L18" s="17"/>
      <c r="M18" s="25" t="s">
        <v>43</v>
      </c>
      <c r="N18" s="30"/>
      <c r="O18" s="30"/>
      <c r="P18" s="33"/>
      <c r="Q18" s="1"/>
      <c r="R18" s="1"/>
    </row>
    <row r="19" ht="15.75" customHeight="1">
      <c r="A19" s="1"/>
      <c r="B19" s="17">
        <v>16.0</v>
      </c>
      <c r="C19" s="18" t="s">
        <v>122</v>
      </c>
      <c r="D19" s="18" t="s">
        <v>21</v>
      </c>
      <c r="E19" s="26"/>
      <c r="F19" s="29" t="s">
        <v>33</v>
      </c>
      <c r="G19" s="47">
        <v>290000.0</v>
      </c>
      <c r="H19" s="48"/>
      <c r="I19" s="25" t="s">
        <v>24</v>
      </c>
      <c r="J19" s="25" t="s">
        <v>25</v>
      </c>
      <c r="K19" s="25" t="s">
        <v>27</v>
      </c>
      <c r="L19" s="17"/>
      <c r="M19" s="25" t="s">
        <v>57</v>
      </c>
      <c r="N19" s="30"/>
      <c r="O19" s="30"/>
      <c r="P19" s="33"/>
      <c r="Q19" s="1"/>
      <c r="R19" s="1"/>
    </row>
    <row r="20" ht="15.75" customHeight="1">
      <c r="A20" s="1"/>
      <c r="B20" s="17">
        <v>17.0</v>
      </c>
      <c r="C20" s="80" t="s">
        <v>126</v>
      </c>
      <c r="D20" s="18" t="s">
        <v>21</v>
      </c>
      <c r="E20" s="26"/>
      <c r="F20" s="19"/>
      <c r="G20" s="31"/>
      <c r="H20" s="34">
        <v>260000.0</v>
      </c>
      <c r="I20" s="25" t="s">
        <v>24</v>
      </c>
      <c r="J20" s="17"/>
      <c r="K20" s="17"/>
      <c r="L20" s="17"/>
      <c r="M20" s="25" t="s">
        <v>78</v>
      </c>
      <c r="N20" s="30"/>
      <c r="O20" s="30"/>
      <c r="P20" s="33"/>
      <c r="Q20" s="1"/>
      <c r="R20" s="1"/>
    </row>
    <row r="21" ht="15.75" customHeight="1">
      <c r="A21" s="1"/>
      <c r="B21" s="17">
        <v>18.0</v>
      </c>
      <c r="C21" s="18" t="s">
        <v>129</v>
      </c>
      <c r="D21" s="18" t="s">
        <v>21</v>
      </c>
      <c r="E21" s="26"/>
      <c r="G21" s="31"/>
      <c r="H21" s="34">
        <v>250000.0</v>
      </c>
      <c r="I21" s="25" t="s">
        <v>24</v>
      </c>
      <c r="J21" s="17"/>
      <c r="K21" s="17"/>
      <c r="L21" s="17"/>
      <c r="M21" s="25" t="s">
        <v>43</v>
      </c>
      <c r="N21" s="30"/>
      <c r="O21" s="30"/>
      <c r="P21" s="33"/>
      <c r="Q21" s="1"/>
      <c r="R21" s="1"/>
    </row>
    <row r="22" ht="15.75" customHeight="1">
      <c r="A22" s="1"/>
      <c r="B22" s="17">
        <v>19.0</v>
      </c>
      <c r="C22" s="56" t="s">
        <v>132</v>
      </c>
      <c r="D22" s="18" t="s">
        <v>29</v>
      </c>
      <c r="E22" s="26"/>
      <c r="F22" s="19"/>
      <c r="G22" s="31"/>
      <c r="H22" s="34">
        <v>440000.0</v>
      </c>
      <c r="I22" s="25" t="s">
        <v>24</v>
      </c>
      <c r="J22" s="17"/>
      <c r="K22" s="17"/>
      <c r="L22" s="17"/>
      <c r="M22" s="25" t="s">
        <v>57</v>
      </c>
      <c r="N22" s="30"/>
      <c r="O22" s="30"/>
      <c r="P22" s="33"/>
      <c r="Q22" s="1"/>
      <c r="R22" s="1"/>
    </row>
    <row r="23" ht="15.75" customHeight="1">
      <c r="A23" s="1"/>
      <c r="B23" s="17">
        <v>20.0</v>
      </c>
      <c r="C23" s="18" t="s">
        <v>136</v>
      </c>
      <c r="D23" s="18" t="s">
        <v>21</v>
      </c>
      <c r="E23" s="26"/>
      <c r="F23" s="19"/>
      <c r="G23" s="47">
        <v>290000.0</v>
      </c>
      <c r="H23" s="48"/>
      <c r="I23" s="25" t="s">
        <v>24</v>
      </c>
      <c r="J23" s="17"/>
      <c r="K23" s="17"/>
      <c r="L23" s="17"/>
      <c r="M23" s="25" t="s">
        <v>68</v>
      </c>
      <c r="N23" s="30"/>
      <c r="O23" s="30"/>
      <c r="P23" s="33"/>
      <c r="Q23" s="1"/>
      <c r="R23" s="1"/>
    </row>
    <row r="24" ht="15.75" customHeight="1">
      <c r="A24" s="1"/>
      <c r="B24" s="17">
        <v>21.0</v>
      </c>
      <c r="C24" s="18" t="s">
        <v>139</v>
      </c>
      <c r="D24" s="18" t="s">
        <v>21</v>
      </c>
      <c r="E24" s="26"/>
      <c r="F24" s="19"/>
      <c r="G24" s="31"/>
      <c r="H24" s="34">
        <v>570000.0</v>
      </c>
      <c r="I24" s="25" t="s">
        <v>24</v>
      </c>
      <c r="J24" s="17"/>
      <c r="K24" s="17"/>
      <c r="L24" s="17"/>
      <c r="M24" s="25" t="s">
        <v>43</v>
      </c>
      <c r="N24" s="30"/>
      <c r="O24" s="30"/>
      <c r="P24" s="33"/>
      <c r="Q24" s="1"/>
      <c r="R24" s="1"/>
    </row>
    <row r="25" ht="15.75" customHeight="1">
      <c r="A25" s="1"/>
      <c r="B25" s="17">
        <v>22.0</v>
      </c>
      <c r="C25" s="18" t="s">
        <v>142</v>
      </c>
      <c r="D25" s="18" t="s">
        <v>21</v>
      </c>
      <c r="E25" s="26"/>
      <c r="F25" s="19"/>
      <c r="G25" s="31"/>
      <c r="H25" s="34">
        <v>330000.0</v>
      </c>
      <c r="I25" s="25" t="s">
        <v>24</v>
      </c>
      <c r="J25" s="17"/>
      <c r="K25" s="17"/>
      <c r="L25" s="17"/>
      <c r="M25" s="25" t="s">
        <v>43</v>
      </c>
      <c r="N25" s="30"/>
      <c r="O25" s="30"/>
      <c r="P25" s="33"/>
      <c r="Q25" s="1"/>
      <c r="R25" s="1"/>
    </row>
    <row r="26" ht="15.75" customHeight="1">
      <c r="A26" s="1"/>
      <c r="B26" s="17">
        <v>23.0</v>
      </c>
      <c r="C26" s="18" t="s">
        <v>149</v>
      </c>
      <c r="D26" s="18" t="s">
        <v>21</v>
      </c>
      <c r="E26" s="26"/>
      <c r="F26" s="19"/>
      <c r="G26" s="31"/>
      <c r="H26" s="34">
        <v>290000.0</v>
      </c>
      <c r="I26" s="25" t="s">
        <v>24</v>
      </c>
      <c r="J26" s="25" t="s">
        <v>25</v>
      </c>
      <c r="K26" s="17"/>
      <c r="L26" s="17"/>
      <c r="M26" s="25" t="s">
        <v>57</v>
      </c>
      <c r="N26" s="30"/>
      <c r="O26" s="30"/>
      <c r="P26" s="33"/>
      <c r="Q26" s="1"/>
      <c r="R26" s="1"/>
    </row>
    <row r="27" ht="15.75" customHeight="1">
      <c r="A27" s="1"/>
      <c r="B27" s="17">
        <v>24.0</v>
      </c>
      <c r="C27" s="18" t="s">
        <v>157</v>
      </c>
      <c r="D27" s="18" t="s">
        <v>37</v>
      </c>
      <c r="E27" s="26"/>
      <c r="F27" s="54">
        <v>46299.0</v>
      </c>
      <c r="G27" s="31"/>
      <c r="H27" s="34">
        <v>100000.0</v>
      </c>
      <c r="I27" s="25" t="s">
        <v>24</v>
      </c>
      <c r="J27" s="17"/>
      <c r="K27" s="17"/>
      <c r="L27" s="25" t="s">
        <v>28</v>
      </c>
      <c r="M27" s="17"/>
      <c r="N27" s="30"/>
      <c r="O27" s="30"/>
      <c r="P27" s="33"/>
      <c r="Q27" s="1"/>
      <c r="R27" s="1"/>
    </row>
    <row r="28" ht="15.75" customHeight="1">
      <c r="A28" s="1"/>
      <c r="B28" s="17">
        <v>25.0</v>
      </c>
      <c r="C28" s="18" t="s">
        <v>159</v>
      </c>
      <c r="D28" s="18" t="s">
        <v>21</v>
      </c>
      <c r="E28" s="26"/>
      <c r="F28" s="19"/>
      <c r="G28" s="31"/>
      <c r="H28" s="34">
        <v>250000.0</v>
      </c>
      <c r="I28" s="25" t="s">
        <v>24</v>
      </c>
      <c r="J28" s="17"/>
      <c r="K28" s="17"/>
      <c r="L28" s="17"/>
      <c r="M28" s="25" t="s">
        <v>68</v>
      </c>
      <c r="N28" s="30"/>
      <c r="O28" s="30"/>
      <c r="P28" s="33"/>
      <c r="Q28" s="1"/>
      <c r="R28" s="1"/>
    </row>
    <row r="29" ht="15.75" customHeight="1">
      <c r="A29" s="1"/>
      <c r="B29" s="17">
        <v>26.0</v>
      </c>
      <c r="C29" s="18" t="s">
        <v>161</v>
      </c>
      <c r="D29" s="18" t="s">
        <v>21</v>
      </c>
      <c r="E29" s="26"/>
      <c r="F29" s="19"/>
      <c r="G29" s="31"/>
      <c r="H29" s="34">
        <v>250000.0</v>
      </c>
      <c r="I29" s="25" t="s">
        <v>24</v>
      </c>
      <c r="J29" s="17"/>
      <c r="K29" s="17"/>
      <c r="L29" s="17"/>
      <c r="M29" s="17"/>
      <c r="N29" s="30"/>
      <c r="O29" s="30"/>
      <c r="P29" s="33"/>
      <c r="Q29" s="1"/>
      <c r="R29" s="1"/>
    </row>
    <row r="30" ht="15.75" customHeight="1">
      <c r="A30" s="1"/>
      <c r="B30" s="17">
        <v>27.0</v>
      </c>
      <c r="C30" s="18" t="s">
        <v>164</v>
      </c>
      <c r="D30" s="18" t="s">
        <v>21</v>
      </c>
      <c r="E30" s="26"/>
      <c r="F30" s="19"/>
      <c r="G30" s="31"/>
      <c r="H30" s="34">
        <v>250000.0</v>
      </c>
      <c r="I30" s="25" t="s">
        <v>24</v>
      </c>
      <c r="J30" s="17"/>
      <c r="K30" s="17"/>
      <c r="L30" s="17"/>
      <c r="M30" s="25" t="s">
        <v>43</v>
      </c>
      <c r="N30" s="30"/>
      <c r="O30" s="30"/>
      <c r="P30" s="33"/>
      <c r="Q30" s="1"/>
      <c r="R30" s="1"/>
    </row>
    <row r="31" ht="15.75" customHeight="1">
      <c r="A31" s="1"/>
      <c r="B31" s="17">
        <v>28.0</v>
      </c>
      <c r="C31" s="66" t="s">
        <v>166</v>
      </c>
      <c r="D31" s="18" t="s">
        <v>21</v>
      </c>
      <c r="E31" s="26"/>
      <c r="F31" s="19"/>
      <c r="G31" s="47">
        <v>250000.0</v>
      </c>
      <c r="H31" s="48"/>
      <c r="I31" s="25" t="s">
        <v>24</v>
      </c>
      <c r="J31" s="17"/>
      <c r="K31" s="17"/>
      <c r="L31" s="25" t="s">
        <v>35</v>
      </c>
      <c r="M31" s="25" t="s">
        <v>78</v>
      </c>
      <c r="N31" s="30"/>
      <c r="O31" s="30"/>
      <c r="P31" s="33"/>
      <c r="Q31" s="1"/>
      <c r="R31" s="1"/>
    </row>
    <row r="32" ht="15.75" customHeight="1">
      <c r="A32" s="1"/>
      <c r="B32" s="17">
        <v>29.0</v>
      </c>
      <c r="C32" s="105" t="s">
        <v>168</v>
      </c>
      <c r="D32" s="18" t="s">
        <v>21</v>
      </c>
      <c r="E32" s="26"/>
      <c r="F32" s="19"/>
      <c r="G32" s="47"/>
      <c r="H32" s="34">
        <v>330000.0</v>
      </c>
      <c r="I32" s="25" t="s">
        <v>24</v>
      </c>
      <c r="J32" s="17"/>
      <c r="K32" s="17"/>
      <c r="L32" s="25" t="s">
        <v>35</v>
      </c>
      <c r="M32" s="25" t="s">
        <v>68</v>
      </c>
      <c r="N32" s="30"/>
      <c r="O32" s="30"/>
      <c r="P32" s="33"/>
      <c r="Q32" s="1"/>
      <c r="R32" s="1"/>
    </row>
    <row r="33" ht="15.75" customHeight="1">
      <c r="A33" s="1"/>
      <c r="B33" s="17">
        <v>30.0</v>
      </c>
      <c r="C33" s="106" t="s">
        <v>171</v>
      </c>
      <c r="D33" s="18" t="s">
        <v>21</v>
      </c>
      <c r="E33" s="26"/>
      <c r="F33" s="19"/>
      <c r="G33" s="47">
        <v>270000.0</v>
      </c>
      <c r="H33" s="48"/>
      <c r="I33" s="25" t="s">
        <v>24</v>
      </c>
      <c r="J33" s="17"/>
      <c r="K33" s="17"/>
      <c r="L33" s="25" t="s">
        <v>28</v>
      </c>
      <c r="M33" s="25" t="s">
        <v>57</v>
      </c>
      <c r="N33" s="30"/>
      <c r="O33" s="30"/>
      <c r="P33" s="33"/>
      <c r="Q33" s="1"/>
      <c r="R33" s="1"/>
    </row>
    <row r="34" ht="15.75" customHeight="1">
      <c r="A34" s="1"/>
      <c r="B34" s="17">
        <v>31.0</v>
      </c>
      <c r="C34" s="18" t="s">
        <v>173</v>
      </c>
      <c r="D34" s="18" t="s">
        <v>21</v>
      </c>
      <c r="E34" s="26"/>
      <c r="F34" s="19"/>
      <c r="G34" s="47">
        <v>250000.0</v>
      </c>
      <c r="H34" s="48"/>
      <c r="I34" s="25" t="s">
        <v>24</v>
      </c>
      <c r="J34" s="17"/>
      <c r="K34" s="17"/>
      <c r="L34" s="17"/>
      <c r="M34" s="25" t="s">
        <v>68</v>
      </c>
      <c r="N34" s="30"/>
      <c r="O34" s="30"/>
      <c r="P34" s="33"/>
      <c r="Q34" s="1"/>
      <c r="R34" s="1"/>
    </row>
    <row r="35" ht="15.75" customHeight="1">
      <c r="A35" s="1"/>
      <c r="B35" s="17">
        <v>32.0</v>
      </c>
      <c r="C35" s="18" t="s">
        <v>176</v>
      </c>
      <c r="D35" s="18" t="s">
        <v>21</v>
      </c>
      <c r="E35" s="26"/>
      <c r="F35" s="29"/>
      <c r="G35" s="47" t="s">
        <v>39</v>
      </c>
      <c r="H35" s="34" t="s">
        <v>39</v>
      </c>
      <c r="I35" s="25" t="s">
        <v>24</v>
      </c>
      <c r="J35" s="17"/>
      <c r="K35" s="17"/>
      <c r="L35" s="25" t="s">
        <v>35</v>
      </c>
      <c r="M35" s="25" t="s">
        <v>57</v>
      </c>
      <c r="N35" s="30"/>
      <c r="O35" s="30"/>
      <c r="P35" s="33"/>
      <c r="Q35" s="1"/>
      <c r="R35" s="1"/>
    </row>
    <row r="36" ht="15.75" customHeight="1">
      <c r="A36" s="1"/>
      <c r="B36" s="17">
        <v>33.0</v>
      </c>
      <c r="C36" s="18" t="s">
        <v>178</v>
      </c>
      <c r="D36" s="18" t="s">
        <v>21</v>
      </c>
      <c r="E36" s="26"/>
      <c r="F36" s="19"/>
      <c r="G36" s="31"/>
      <c r="H36" s="34">
        <v>250000.0</v>
      </c>
      <c r="I36" s="25" t="s">
        <v>24</v>
      </c>
      <c r="J36" s="17"/>
      <c r="K36" s="17"/>
      <c r="L36" s="25" t="s">
        <v>35</v>
      </c>
      <c r="M36" s="25" t="s">
        <v>78</v>
      </c>
      <c r="N36" s="30"/>
      <c r="O36" s="30"/>
      <c r="P36" s="33"/>
      <c r="Q36" s="1"/>
      <c r="R36" s="1"/>
    </row>
    <row r="37" ht="15.75" customHeight="1">
      <c r="A37" s="1"/>
      <c r="B37" s="17">
        <v>34.0</v>
      </c>
      <c r="C37" s="107" t="s">
        <v>180</v>
      </c>
      <c r="D37" s="18" t="s">
        <v>21</v>
      </c>
      <c r="E37" s="26"/>
      <c r="F37" s="19"/>
      <c r="G37" s="47">
        <v>250000.0</v>
      </c>
      <c r="H37" s="48"/>
      <c r="I37" s="25" t="s">
        <v>24</v>
      </c>
      <c r="J37" s="17"/>
      <c r="K37" s="17"/>
      <c r="L37" s="25" t="s">
        <v>35</v>
      </c>
      <c r="M37" s="25" t="s">
        <v>43</v>
      </c>
      <c r="N37" s="30"/>
      <c r="O37" s="30"/>
      <c r="P37" s="33"/>
      <c r="Q37" s="1"/>
      <c r="R37" s="1"/>
    </row>
    <row r="38" ht="15.75" customHeight="1">
      <c r="A38" s="1"/>
      <c r="B38" s="17">
        <v>35.0</v>
      </c>
      <c r="C38" s="18" t="s">
        <v>183</v>
      </c>
      <c r="D38" s="18" t="s">
        <v>21</v>
      </c>
      <c r="E38" s="26"/>
      <c r="F38" s="19"/>
      <c r="G38" s="47">
        <v>310000.0</v>
      </c>
      <c r="H38" s="48"/>
      <c r="I38" s="25" t="s">
        <v>24</v>
      </c>
      <c r="J38" s="17"/>
      <c r="K38" s="17"/>
      <c r="L38" s="25" t="s">
        <v>35</v>
      </c>
      <c r="M38" s="25" t="s">
        <v>57</v>
      </c>
      <c r="N38" s="30"/>
      <c r="O38" s="30"/>
      <c r="P38" s="33"/>
      <c r="Q38" s="1"/>
      <c r="R38" s="1"/>
    </row>
    <row r="39" ht="15.75" customHeight="1">
      <c r="A39" s="1"/>
      <c r="B39" s="17">
        <v>36.0</v>
      </c>
      <c r="C39" s="56" t="s">
        <v>67</v>
      </c>
      <c r="D39" s="18" t="s">
        <v>21</v>
      </c>
      <c r="E39" s="26"/>
      <c r="F39" s="19"/>
      <c r="G39" s="111"/>
      <c r="H39" s="35">
        <v>330000.0</v>
      </c>
      <c r="I39" s="25" t="s">
        <v>24</v>
      </c>
      <c r="J39" s="17"/>
      <c r="K39" s="17"/>
      <c r="L39" s="17"/>
      <c r="M39" s="25" t="s">
        <v>68</v>
      </c>
      <c r="N39" s="17"/>
      <c r="O39" s="17"/>
      <c r="P39" s="113"/>
      <c r="Q39" s="1"/>
      <c r="R39" s="1"/>
    </row>
    <row r="40" ht="15.75" customHeight="1">
      <c r="A40" s="1"/>
      <c r="B40" s="17">
        <v>37.0</v>
      </c>
      <c r="C40" s="18" t="s">
        <v>188</v>
      </c>
      <c r="D40" s="18" t="s">
        <v>21</v>
      </c>
      <c r="E40" s="26"/>
      <c r="F40" s="19"/>
      <c r="G40" s="111"/>
      <c r="H40" s="35">
        <v>290000.0</v>
      </c>
      <c r="I40" s="25" t="s">
        <v>24</v>
      </c>
      <c r="J40" s="17"/>
      <c r="K40" s="17"/>
      <c r="L40" s="25" t="s">
        <v>35</v>
      </c>
      <c r="M40" s="25" t="s">
        <v>43</v>
      </c>
      <c r="N40" s="17"/>
      <c r="O40" s="17"/>
      <c r="P40" s="113"/>
      <c r="Q40" s="1"/>
      <c r="R40" s="1"/>
    </row>
    <row r="41" ht="15.75" customHeight="1">
      <c r="A41" s="1"/>
      <c r="B41" s="17">
        <v>38.0</v>
      </c>
      <c r="C41" s="18" t="s">
        <v>189</v>
      </c>
      <c r="D41" s="18" t="s">
        <v>21</v>
      </c>
      <c r="E41" s="26"/>
      <c r="F41" s="19"/>
      <c r="G41" s="111"/>
      <c r="H41" s="35">
        <v>250000.0</v>
      </c>
      <c r="I41" s="25" t="s">
        <v>24</v>
      </c>
      <c r="J41" s="17"/>
      <c r="K41" s="17"/>
      <c r="L41" s="17"/>
      <c r="M41" s="25" t="s">
        <v>78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190</v>
      </c>
      <c r="D42" s="18" t="s">
        <v>21</v>
      </c>
      <c r="E42" s="26"/>
      <c r="F42" s="19"/>
      <c r="G42" s="44">
        <v>250000.0</v>
      </c>
      <c r="H42" s="40"/>
      <c r="I42" s="25" t="s">
        <v>24</v>
      </c>
      <c r="J42" s="17"/>
      <c r="K42" s="17"/>
      <c r="L42" s="17"/>
      <c r="M42" s="25" t="s">
        <v>57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192</v>
      </c>
      <c r="D43" s="18" t="s">
        <v>21</v>
      </c>
      <c r="E43" s="26"/>
      <c r="F43" s="19"/>
      <c r="G43" s="111"/>
      <c r="H43" s="35">
        <v>250000.0</v>
      </c>
      <c r="I43" s="25" t="s">
        <v>24</v>
      </c>
      <c r="J43" s="17"/>
      <c r="K43" s="17"/>
      <c r="L43" s="17"/>
      <c r="M43" s="25" t="s">
        <v>43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194</v>
      </c>
      <c r="D44" s="18" t="s">
        <v>21</v>
      </c>
      <c r="E44" s="42"/>
      <c r="F44" s="19"/>
      <c r="G44" s="118"/>
      <c r="H44" s="44">
        <v>290000.0</v>
      </c>
      <c r="I44" s="25" t="s">
        <v>24</v>
      </c>
      <c r="J44" s="17"/>
      <c r="K44" s="17"/>
      <c r="L44" s="17"/>
      <c r="M44" s="25" t="s">
        <v>57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65</v>
      </c>
      <c r="D45" s="18" t="s">
        <v>21</v>
      </c>
      <c r="E45" s="19"/>
      <c r="F45" s="17"/>
      <c r="G45" s="124"/>
      <c r="H45" s="23">
        <v>250000.0</v>
      </c>
      <c r="I45" s="25" t="s">
        <v>24</v>
      </c>
      <c r="J45" s="17"/>
      <c r="K45" s="17"/>
      <c r="L45" s="25" t="s">
        <v>35</v>
      </c>
      <c r="M45" s="25" t="s">
        <v>57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201</v>
      </c>
      <c r="D46" s="18" t="s">
        <v>21</v>
      </c>
      <c r="E46" s="19"/>
      <c r="F46" s="17"/>
      <c r="G46" s="124"/>
      <c r="H46" s="23">
        <v>610000.0</v>
      </c>
      <c r="I46" s="25" t="s">
        <v>24</v>
      </c>
      <c r="J46" s="17"/>
      <c r="K46" s="17"/>
      <c r="L46" s="25" t="s">
        <v>35</v>
      </c>
      <c r="M46" s="25" t="s">
        <v>68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203</v>
      </c>
      <c r="D47" s="18" t="s">
        <v>21</v>
      </c>
      <c r="E47" s="19"/>
      <c r="F47" s="17"/>
      <c r="G47" s="124"/>
      <c r="H47" s="23">
        <v>250000.0</v>
      </c>
      <c r="I47" s="25" t="s">
        <v>24</v>
      </c>
      <c r="J47" s="17"/>
      <c r="K47" s="17"/>
      <c r="L47" s="25" t="s">
        <v>35</v>
      </c>
      <c r="M47" s="25" t="s">
        <v>43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205</v>
      </c>
      <c r="D48" s="18" t="s">
        <v>21</v>
      </c>
      <c r="E48" s="19"/>
      <c r="F48" s="17"/>
      <c r="G48" s="132">
        <v>290000.0</v>
      </c>
      <c r="H48" s="58"/>
      <c r="I48" s="25" t="s">
        <v>24</v>
      </c>
      <c r="J48" s="17"/>
      <c r="K48" s="17"/>
      <c r="L48" s="25" t="s">
        <v>28</v>
      </c>
      <c r="M48" s="25" t="s">
        <v>57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208</v>
      </c>
      <c r="D49" s="18" t="s">
        <v>21</v>
      </c>
      <c r="E49" s="19"/>
      <c r="F49" s="25" t="s">
        <v>56</v>
      </c>
      <c r="G49" s="124"/>
      <c r="H49" s="23">
        <v>100000.0</v>
      </c>
      <c r="I49" s="25" t="s">
        <v>34</v>
      </c>
      <c r="J49" s="17"/>
      <c r="K49" s="17"/>
      <c r="L49" s="25" t="s">
        <v>35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209</v>
      </c>
      <c r="D50" s="18" t="s">
        <v>210</v>
      </c>
      <c r="E50" s="19"/>
      <c r="F50" s="25" t="s">
        <v>33</v>
      </c>
      <c r="G50" s="124"/>
      <c r="H50" s="23">
        <v>200000.0</v>
      </c>
      <c r="I50" s="25" t="s">
        <v>24</v>
      </c>
      <c r="J50" s="25" t="s">
        <v>25</v>
      </c>
      <c r="K50" s="17"/>
      <c r="L50" s="25" t="s">
        <v>35</v>
      </c>
      <c r="M50" s="25" t="s">
        <v>43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25"/>
      <c r="G51" s="124"/>
      <c r="H51" s="58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9"/>
      <c r="D52" s="69"/>
      <c r="E52" s="19"/>
      <c r="F52" s="17"/>
      <c r="G52" s="124"/>
      <c r="H52" s="58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9"/>
      <c r="D53" s="69"/>
      <c r="E53" s="19"/>
      <c r="F53" s="17"/>
      <c r="G53" s="124"/>
      <c r="H53" s="58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9"/>
      <c r="D54" s="69"/>
      <c r="E54" s="19"/>
      <c r="F54" s="17"/>
      <c r="G54" s="124"/>
      <c r="H54" s="58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9"/>
      <c r="D55" s="69"/>
      <c r="E55" s="135"/>
      <c r="F55" s="17"/>
      <c r="G55" s="124"/>
      <c r="H55" s="58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9"/>
      <c r="D56" s="69"/>
      <c r="E56" s="135"/>
      <c r="F56" s="17"/>
      <c r="G56" s="124"/>
      <c r="H56" s="58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9"/>
      <c r="D57" s="69"/>
      <c r="E57" s="135"/>
      <c r="F57" s="17"/>
      <c r="G57" s="124"/>
      <c r="H57" s="58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9"/>
      <c r="D58" s="69"/>
      <c r="E58" s="135"/>
      <c r="F58" s="17"/>
      <c r="G58" s="124"/>
      <c r="H58" s="58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9"/>
      <c r="D59" s="69"/>
      <c r="E59" s="135"/>
      <c r="F59" s="17"/>
      <c r="G59" s="124"/>
      <c r="H59" s="58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9"/>
      <c r="D60" s="69"/>
      <c r="E60" s="135"/>
      <c r="F60" s="17"/>
      <c r="G60" s="124"/>
      <c r="H60" s="58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9"/>
      <c r="D61" s="69"/>
      <c r="E61" s="135"/>
      <c r="F61" s="17"/>
      <c r="G61" s="124"/>
      <c r="H61" s="58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9"/>
      <c r="D62" s="69"/>
      <c r="E62" s="19"/>
      <c r="F62" s="17"/>
      <c r="G62" s="124"/>
      <c r="H62" s="58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4">
        <f t="shared" ref="G63:H63" si="1">SUM(G4:G62)</f>
        <v>4890000</v>
      </c>
      <c r="H63" s="7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1</v>
      </c>
      <c r="C66" s="73" t="s">
        <v>7</v>
      </c>
      <c r="D66" s="73" t="s">
        <v>118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119</v>
      </c>
      <c r="O66" s="73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121</v>
      </c>
      <c r="D67" s="139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79" t="s">
        <v>124</v>
      </c>
      <c r="O67" s="81" t="s">
        <v>28</v>
      </c>
      <c r="P67" s="1"/>
      <c r="Q67" s="1"/>
      <c r="R67" s="1"/>
    </row>
    <row r="68" ht="15.75" customHeight="1">
      <c r="A68" s="1"/>
      <c r="B68" s="82">
        <v>2.0</v>
      </c>
      <c r="C68" s="140" t="s">
        <v>213</v>
      </c>
      <c r="D68" s="141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6" t="s">
        <v>128</v>
      </c>
      <c r="O68" s="87" t="s">
        <v>35</v>
      </c>
      <c r="P68" s="1"/>
      <c r="Q68" s="1"/>
      <c r="R68" s="1"/>
    </row>
    <row r="69" ht="15.75" customHeight="1">
      <c r="A69" s="1"/>
      <c r="B69" s="75">
        <v>3.0</v>
      </c>
      <c r="C69" s="142" t="s">
        <v>214</v>
      </c>
      <c r="D69" s="143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88" t="s">
        <v>131</v>
      </c>
      <c r="O69" s="89" t="s">
        <v>43</v>
      </c>
      <c r="P69" s="1"/>
      <c r="Q69" s="1"/>
      <c r="R69" s="1"/>
    </row>
    <row r="70" ht="15.75" customHeight="1">
      <c r="A70" s="1"/>
      <c r="B70" s="82">
        <v>4.0</v>
      </c>
      <c r="C70" s="82"/>
      <c r="D70" s="141"/>
      <c r="E70" s="78"/>
      <c r="F70" s="1"/>
      <c r="G70" s="1"/>
      <c r="H70" s="1"/>
      <c r="I70" s="1"/>
      <c r="J70" s="1"/>
      <c r="K70" s="1"/>
      <c r="L70" s="1"/>
      <c r="M70" s="1"/>
      <c r="N70" s="95" t="s">
        <v>137</v>
      </c>
      <c r="O70" s="87" t="s">
        <v>57</v>
      </c>
      <c r="P70" s="1"/>
      <c r="Q70" s="1"/>
      <c r="R70" s="1"/>
    </row>
    <row r="71" ht="15.75" customHeight="1">
      <c r="A71" s="1"/>
      <c r="B71" s="75">
        <v>5.0</v>
      </c>
      <c r="C71" s="75"/>
      <c r="D71" s="139"/>
      <c r="E71" s="78"/>
      <c r="F71" s="1"/>
      <c r="G71" s="1"/>
      <c r="H71" s="1"/>
      <c r="I71" s="1"/>
      <c r="J71" s="1"/>
      <c r="K71" s="1"/>
      <c r="L71" s="1"/>
      <c r="M71" s="1"/>
      <c r="N71" s="96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4"/>
      <c r="E72" s="78"/>
      <c r="F72" s="1"/>
      <c r="G72" s="1"/>
      <c r="H72" s="1"/>
      <c r="I72" s="1"/>
      <c r="J72" s="1"/>
      <c r="K72" s="99" t="s">
        <v>141</v>
      </c>
      <c r="Q72" s="1"/>
      <c r="R72" s="1"/>
    </row>
    <row r="73" ht="15.75" customHeight="1">
      <c r="A73" s="1"/>
      <c r="B73" s="75">
        <v>7.0</v>
      </c>
      <c r="C73" s="75"/>
      <c r="D73" s="139"/>
      <c r="E73" s="78"/>
      <c r="F73" s="1"/>
      <c r="G73" s="1"/>
      <c r="H73" s="1"/>
      <c r="I73" s="1"/>
      <c r="J73" s="1"/>
      <c r="K73" s="100" t="s">
        <v>2</v>
      </c>
      <c r="L73" s="100" t="s">
        <v>144</v>
      </c>
      <c r="M73" s="100" t="s">
        <v>145</v>
      </c>
      <c r="N73" s="100" t="s">
        <v>146</v>
      </c>
      <c r="O73" s="100" t="s">
        <v>147</v>
      </c>
      <c r="P73" s="100" t="s">
        <v>148</v>
      </c>
      <c r="Q73" s="1"/>
      <c r="R73" s="1"/>
      <c r="AC73" s="101" t="s">
        <v>151</v>
      </c>
      <c r="AD73" s="101" t="s">
        <v>152</v>
      </c>
      <c r="AE73" s="101" t="s">
        <v>153</v>
      </c>
      <c r="AF73" s="101" t="s">
        <v>154</v>
      </c>
      <c r="AG73" s="101" t="s">
        <v>155</v>
      </c>
    </row>
    <row r="74" ht="15.75" customHeight="1">
      <c r="A74" s="1"/>
      <c r="B74" s="82">
        <v>8.0</v>
      </c>
      <c r="C74" s="82"/>
      <c r="D74" s="144"/>
      <c r="E74" s="78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9"/>
      <c r="E75" s="78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2">
        <v>10.0</v>
      </c>
      <c r="C76" s="82"/>
      <c r="D76" s="144"/>
      <c r="E76" s="78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08">
        <v>11.0</v>
      </c>
      <c r="C77" s="108"/>
      <c r="D77" s="145"/>
      <c r="E77" s="78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12">
        <f>SUM(D67:D77)</f>
        <v>4620000</v>
      </c>
      <c r="E78" s="1"/>
      <c r="F78" s="1"/>
      <c r="G78" s="1"/>
      <c r="H78" s="1"/>
      <c r="I78" s="1"/>
      <c r="J78" s="1"/>
      <c r="K78" s="103"/>
      <c r="L78" s="114"/>
      <c r="M78" s="114"/>
      <c r="N78" s="114"/>
      <c r="O78" s="114"/>
      <c r="P78" s="114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4"/>
      <c r="M79" s="114"/>
      <c r="N79" s="114"/>
      <c r="O79" s="114"/>
      <c r="P79" s="114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5" t="s">
        <v>191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6" t="s">
        <v>193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9" t="s">
        <v>8</v>
      </c>
      <c r="L83" s="119" t="s">
        <v>195</v>
      </c>
      <c r="M83" s="119" t="s">
        <v>196</v>
      </c>
    </row>
    <row r="84" ht="15.75" customHeight="1">
      <c r="C84" s="146"/>
      <c r="D84" s="146"/>
      <c r="I84" s="147"/>
      <c r="J84" s="147"/>
      <c r="K84" s="121" t="str">
        <f t="shared" ref="K84:K85" si="8">IF(O67="","",O67)</f>
        <v>INDAH</v>
      </c>
      <c r="L84" s="123"/>
      <c r="M84" s="123"/>
    </row>
    <row r="85" ht="15.75" customHeight="1">
      <c r="C85" s="146"/>
      <c r="D85" s="146"/>
      <c r="I85" s="147"/>
      <c r="J85" s="147"/>
      <c r="K85" s="121" t="str">
        <f t="shared" si="8"/>
        <v>AMEL</v>
      </c>
      <c r="L85" s="122">
        <v>3.0</v>
      </c>
      <c r="M85" s="123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7" t="s">
        <v>199</v>
      </c>
    </row>
    <row r="88" ht="19.5" customHeight="1">
      <c r="C88" s="146"/>
      <c r="D88" s="146"/>
      <c r="I88" s="147"/>
      <c r="J88" s="147"/>
      <c r="K88" s="148" t="s">
        <v>200</v>
      </c>
      <c r="M88" s="122">
        <v>40.0</v>
      </c>
    </row>
    <row r="89" ht="19.5" customHeight="1">
      <c r="C89" s="146"/>
      <c r="D89" s="146"/>
      <c r="I89" s="147"/>
      <c r="J89" s="147"/>
      <c r="K89" s="149" t="s">
        <v>202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204</v>
      </c>
      <c r="M90" s="130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206</v>
      </c>
      <c r="M91" s="130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207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21</v>
      </c>
      <c r="E4" s="17"/>
      <c r="F4" s="21">
        <v>46298.0</v>
      </c>
      <c r="G4" s="22"/>
      <c r="H4" s="23">
        <v>350000.0</v>
      </c>
      <c r="I4" s="25" t="s">
        <v>24</v>
      </c>
      <c r="J4" s="25" t="s">
        <v>25</v>
      </c>
      <c r="K4" s="25" t="s">
        <v>27</v>
      </c>
      <c r="L4" s="25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31</v>
      </c>
      <c r="D5" s="18" t="s">
        <v>32</v>
      </c>
      <c r="E5" s="17"/>
      <c r="F5" s="25" t="s">
        <v>33</v>
      </c>
      <c r="G5" s="22"/>
      <c r="H5" s="23">
        <v>50000.0</v>
      </c>
      <c r="I5" s="25" t="s">
        <v>24</v>
      </c>
      <c r="J5" s="25" t="s">
        <v>25</v>
      </c>
      <c r="K5" s="25" t="s">
        <v>25</v>
      </c>
      <c r="L5" s="25" t="s">
        <v>35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36</v>
      </c>
      <c r="D6" s="18" t="s">
        <v>37</v>
      </c>
      <c r="E6" s="17"/>
      <c r="F6" s="25" t="s">
        <v>38</v>
      </c>
      <c r="G6" s="38" t="s">
        <v>39</v>
      </c>
      <c r="H6" s="23" t="s">
        <v>39</v>
      </c>
      <c r="I6" s="25" t="s">
        <v>24</v>
      </c>
      <c r="J6" s="25" t="s">
        <v>25</v>
      </c>
      <c r="K6" s="25" t="s">
        <v>25</v>
      </c>
      <c r="L6" s="25" t="s">
        <v>35</v>
      </c>
      <c r="M6" s="25" t="s">
        <v>43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45</v>
      </c>
      <c r="D7" s="18" t="s">
        <v>41</v>
      </c>
      <c r="E7" s="17"/>
      <c r="F7" s="25" t="s">
        <v>48</v>
      </c>
      <c r="G7" s="22"/>
      <c r="H7" s="23">
        <v>100000.0</v>
      </c>
      <c r="I7" s="25" t="s">
        <v>34</v>
      </c>
      <c r="J7" s="17"/>
      <c r="K7" s="17"/>
      <c r="L7" s="25" t="s">
        <v>35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51</v>
      </c>
      <c r="D8" s="18" t="s">
        <v>54</v>
      </c>
      <c r="E8" s="17"/>
      <c r="F8" s="25" t="s">
        <v>55</v>
      </c>
      <c r="G8" s="22"/>
      <c r="H8" s="23">
        <v>470000.0</v>
      </c>
      <c r="I8" s="25" t="s">
        <v>24</v>
      </c>
      <c r="J8" s="25" t="s">
        <v>25</v>
      </c>
      <c r="K8" s="25" t="s">
        <v>27</v>
      </c>
      <c r="L8" s="25" t="s">
        <v>35</v>
      </c>
      <c r="M8" s="25" t="s">
        <v>57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58</v>
      </c>
      <c r="D9" s="18" t="s">
        <v>21</v>
      </c>
      <c r="E9" s="17"/>
      <c r="F9" s="25" t="s">
        <v>46</v>
      </c>
      <c r="G9" s="22"/>
      <c r="H9" s="23">
        <v>250000.0</v>
      </c>
      <c r="I9" s="25" t="s">
        <v>24</v>
      </c>
      <c r="J9" s="25" t="s">
        <v>25</v>
      </c>
      <c r="K9" s="25" t="s">
        <v>27</v>
      </c>
      <c r="L9" s="25" t="s">
        <v>35</v>
      </c>
      <c r="M9" s="25" t="s">
        <v>43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63</v>
      </c>
      <c r="D10" s="18" t="s">
        <v>21</v>
      </c>
      <c r="E10" s="17"/>
      <c r="F10" s="25" t="s">
        <v>46</v>
      </c>
      <c r="G10" s="22"/>
      <c r="H10" s="23">
        <v>270000.0</v>
      </c>
      <c r="I10" s="25" t="s">
        <v>24</v>
      </c>
      <c r="J10" s="25" t="s">
        <v>25</v>
      </c>
      <c r="K10" s="25" t="s">
        <v>27</v>
      </c>
      <c r="L10" s="25" t="s">
        <v>35</v>
      </c>
      <c r="M10" s="25" t="s">
        <v>57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66</v>
      </c>
      <c r="D11" s="18" t="s">
        <v>21</v>
      </c>
      <c r="E11" s="17"/>
      <c r="F11" s="25" t="s">
        <v>46</v>
      </c>
      <c r="G11" s="22"/>
      <c r="H11" s="23">
        <v>270000.0</v>
      </c>
      <c r="I11" s="25" t="s">
        <v>24</v>
      </c>
      <c r="J11" s="25" t="s">
        <v>25</v>
      </c>
      <c r="K11" s="25" t="s">
        <v>27</v>
      </c>
      <c r="L11" s="25" t="s">
        <v>35</v>
      </c>
      <c r="M11" s="25" t="s">
        <v>57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69</v>
      </c>
      <c r="D12" s="18" t="s">
        <v>21</v>
      </c>
      <c r="E12" s="17"/>
      <c r="F12" s="50">
        <v>46299.0</v>
      </c>
      <c r="G12" s="22"/>
      <c r="H12" s="23">
        <v>250000.0</v>
      </c>
      <c r="I12" s="25" t="s">
        <v>24</v>
      </c>
      <c r="J12" s="25" t="s">
        <v>25</v>
      </c>
      <c r="K12" s="25" t="s">
        <v>27</v>
      </c>
      <c r="L12" s="25" t="s">
        <v>35</v>
      </c>
      <c r="M12" s="25" t="s">
        <v>43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75</v>
      </c>
      <c r="D13" s="18" t="s">
        <v>21</v>
      </c>
      <c r="E13" s="17"/>
      <c r="F13" s="50">
        <v>46299.0</v>
      </c>
      <c r="G13" s="22"/>
      <c r="H13" s="23">
        <v>290000.0</v>
      </c>
      <c r="I13" s="25" t="s">
        <v>24</v>
      </c>
      <c r="J13" s="25" t="s">
        <v>25</v>
      </c>
      <c r="K13" s="17"/>
      <c r="L13" s="25" t="s">
        <v>35</v>
      </c>
      <c r="M13" s="25" t="s">
        <v>78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79</v>
      </c>
      <c r="D14" s="18" t="s">
        <v>21</v>
      </c>
      <c r="E14" s="17"/>
      <c r="F14" s="50">
        <v>46299.0</v>
      </c>
      <c r="G14" s="22"/>
      <c r="H14" s="23">
        <v>270000.0</v>
      </c>
      <c r="I14" s="25" t="s">
        <v>24</v>
      </c>
      <c r="J14" s="25" t="s">
        <v>25</v>
      </c>
      <c r="K14" s="17"/>
      <c r="L14" s="25" t="s">
        <v>35</v>
      </c>
      <c r="M14" s="25" t="s">
        <v>83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84</v>
      </c>
      <c r="D15" s="18" t="s">
        <v>21</v>
      </c>
      <c r="E15" s="17"/>
      <c r="F15" s="50">
        <v>46299.0</v>
      </c>
      <c r="G15" s="38">
        <v>450000.0</v>
      </c>
      <c r="H15" s="23">
        <v>180000.0</v>
      </c>
      <c r="I15" s="25" t="s">
        <v>24</v>
      </c>
      <c r="J15" s="25" t="s">
        <v>25</v>
      </c>
      <c r="K15" s="25" t="s">
        <v>27</v>
      </c>
      <c r="L15" s="25" t="s">
        <v>35</v>
      </c>
      <c r="M15" s="25" t="s">
        <v>83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6" t="s">
        <v>88</v>
      </c>
      <c r="D16" s="18" t="s">
        <v>21</v>
      </c>
      <c r="E16" s="17"/>
      <c r="F16" s="50">
        <v>46299.0</v>
      </c>
      <c r="G16" s="38">
        <v>250000.0</v>
      </c>
      <c r="H16" s="58"/>
      <c r="I16" s="25" t="s">
        <v>24</v>
      </c>
      <c r="J16" s="25" t="s">
        <v>25</v>
      </c>
      <c r="K16" s="17"/>
      <c r="L16" s="25" t="s">
        <v>35</v>
      </c>
      <c r="M16" s="25" t="s">
        <v>78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93</v>
      </c>
      <c r="D17" s="18" t="s">
        <v>21</v>
      </c>
      <c r="E17" s="17"/>
      <c r="F17" s="50">
        <v>46299.0</v>
      </c>
      <c r="G17" s="38">
        <v>370000.0</v>
      </c>
      <c r="H17" s="58"/>
      <c r="I17" s="25" t="s">
        <v>24</v>
      </c>
      <c r="J17" s="25" t="s">
        <v>25</v>
      </c>
      <c r="K17" s="17"/>
      <c r="L17" s="17"/>
      <c r="M17" s="25" t="s">
        <v>57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94</v>
      </c>
      <c r="D18" s="18" t="s">
        <v>21</v>
      </c>
      <c r="E18" s="17"/>
      <c r="F18" s="50">
        <v>46299.0</v>
      </c>
      <c r="G18" s="38">
        <v>290000.0</v>
      </c>
      <c r="H18" s="58"/>
      <c r="I18" s="25" t="s">
        <v>24</v>
      </c>
      <c r="J18" s="25" t="s">
        <v>25</v>
      </c>
      <c r="K18" s="17"/>
      <c r="L18" s="17"/>
      <c r="M18" s="25" t="s">
        <v>43</v>
      </c>
      <c r="N18" s="37"/>
      <c r="O18" s="37"/>
      <c r="P18" s="37"/>
      <c r="Q18" s="60"/>
      <c r="R18" s="1"/>
    </row>
    <row r="19" ht="15.75" customHeight="1">
      <c r="A19" s="1"/>
      <c r="B19" s="17">
        <v>16.0</v>
      </c>
      <c r="C19" s="61" t="s">
        <v>97</v>
      </c>
      <c r="D19" s="18" t="s">
        <v>21</v>
      </c>
      <c r="E19" s="17"/>
      <c r="F19" s="50">
        <v>46299.0</v>
      </c>
      <c r="G19" s="38">
        <v>460000.0</v>
      </c>
      <c r="H19" s="58"/>
      <c r="I19" s="25" t="s">
        <v>24</v>
      </c>
      <c r="J19" s="25" t="s">
        <v>25</v>
      </c>
      <c r="K19" s="17"/>
      <c r="L19" s="25" t="s">
        <v>35</v>
      </c>
      <c r="M19" s="25" t="s">
        <v>43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8" t="s">
        <v>101</v>
      </c>
      <c r="D20" s="18" t="s">
        <v>29</v>
      </c>
      <c r="E20" s="17"/>
      <c r="F20" s="50">
        <v>46299.0</v>
      </c>
      <c r="G20" s="22"/>
      <c r="H20" s="23">
        <v>610000.0</v>
      </c>
      <c r="I20" s="25" t="s">
        <v>24</v>
      </c>
      <c r="J20" s="25" t="s">
        <v>25</v>
      </c>
      <c r="K20" s="17"/>
      <c r="L20" s="25" t="s">
        <v>35</v>
      </c>
      <c r="M20" s="25" t="s">
        <v>78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8" t="s">
        <v>104</v>
      </c>
      <c r="D21" s="18" t="s">
        <v>21</v>
      </c>
      <c r="E21" s="17"/>
      <c r="F21" s="50">
        <v>46299.0</v>
      </c>
      <c r="G21" s="22"/>
      <c r="H21" s="23">
        <v>270000.0</v>
      </c>
      <c r="I21" s="25" t="s">
        <v>24</v>
      </c>
      <c r="J21" s="25" t="s">
        <v>25</v>
      </c>
      <c r="K21" s="17"/>
      <c r="L21" s="25" t="s">
        <v>35</v>
      </c>
      <c r="M21" s="25" t="s">
        <v>83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66" t="s">
        <v>106</v>
      </c>
      <c r="D22" s="18" t="s">
        <v>21</v>
      </c>
      <c r="E22" s="17"/>
      <c r="F22" s="50">
        <v>46299.0</v>
      </c>
      <c r="G22" s="38">
        <v>270000.0</v>
      </c>
      <c r="H22" s="58"/>
      <c r="I22" s="25" t="s">
        <v>24</v>
      </c>
      <c r="J22" s="25" t="s">
        <v>25</v>
      </c>
      <c r="K22" s="25" t="s">
        <v>27</v>
      </c>
      <c r="L22" s="25" t="s">
        <v>35</v>
      </c>
      <c r="M22" s="25" t="s">
        <v>57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8" t="s">
        <v>108</v>
      </c>
      <c r="D23" s="69"/>
      <c r="E23" s="17"/>
      <c r="F23" s="50">
        <v>46299.0</v>
      </c>
      <c r="G23" s="22"/>
      <c r="H23" s="23">
        <v>330000.0</v>
      </c>
      <c r="I23" s="25" t="s">
        <v>24</v>
      </c>
      <c r="J23" s="25" t="s">
        <v>25</v>
      </c>
      <c r="K23" s="25" t="s">
        <v>27</v>
      </c>
      <c r="L23" s="25" t="s">
        <v>35</v>
      </c>
      <c r="M23" s="25" t="s">
        <v>78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8" t="s">
        <v>110</v>
      </c>
      <c r="D24" s="69"/>
      <c r="E24" s="17"/>
      <c r="F24" s="50">
        <v>46299.0</v>
      </c>
      <c r="G24" s="38">
        <v>250000.0</v>
      </c>
      <c r="H24" s="58"/>
      <c r="I24" s="25" t="s">
        <v>24</v>
      </c>
      <c r="J24" s="25" t="s">
        <v>25</v>
      </c>
      <c r="K24" s="17"/>
      <c r="L24" s="25" t="s">
        <v>35</v>
      </c>
      <c r="M24" s="25" t="s">
        <v>57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8" t="s">
        <v>112</v>
      </c>
      <c r="D25" s="18" t="s">
        <v>21</v>
      </c>
      <c r="E25" s="17"/>
      <c r="F25" s="50">
        <v>46299.0</v>
      </c>
      <c r="G25" s="38">
        <v>290000.0</v>
      </c>
      <c r="H25" s="58"/>
      <c r="I25" s="25" t="s">
        <v>24</v>
      </c>
      <c r="J25" s="25" t="s">
        <v>25</v>
      </c>
      <c r="K25" s="17"/>
      <c r="L25" s="25" t="s">
        <v>35</v>
      </c>
      <c r="M25" s="25" t="s">
        <v>43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8" t="s">
        <v>113</v>
      </c>
      <c r="D26" s="18" t="s">
        <v>21</v>
      </c>
      <c r="E26" s="17"/>
      <c r="F26" s="50">
        <v>46299.0</v>
      </c>
      <c r="G26" s="22"/>
      <c r="H26" s="23">
        <v>250000.0</v>
      </c>
      <c r="I26" s="25" t="s">
        <v>24</v>
      </c>
      <c r="J26" s="25" t="s">
        <v>25</v>
      </c>
      <c r="K26" s="25" t="s">
        <v>27</v>
      </c>
      <c r="L26" s="25" t="s">
        <v>35</v>
      </c>
      <c r="M26" s="25" t="s">
        <v>83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56" t="s">
        <v>115</v>
      </c>
      <c r="D27" s="18" t="s">
        <v>21</v>
      </c>
      <c r="E27" s="17"/>
      <c r="F27" s="50">
        <v>46299.0</v>
      </c>
      <c r="G27" s="38">
        <v>430000.0</v>
      </c>
      <c r="H27" s="58"/>
      <c r="I27" s="25" t="s">
        <v>24</v>
      </c>
      <c r="J27" s="25" t="s">
        <v>25</v>
      </c>
      <c r="K27" s="17"/>
      <c r="L27" s="25" t="s">
        <v>35</v>
      </c>
      <c r="M27" s="25" t="s">
        <v>78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56" t="s">
        <v>116</v>
      </c>
      <c r="D28" s="18" t="s">
        <v>21</v>
      </c>
      <c r="E28" s="17"/>
      <c r="F28" s="50">
        <v>46299.0</v>
      </c>
      <c r="G28" s="22"/>
      <c r="H28" s="23">
        <v>150000.0</v>
      </c>
      <c r="I28" s="25" t="s">
        <v>24</v>
      </c>
      <c r="J28" s="25" t="s">
        <v>25</v>
      </c>
      <c r="K28" s="17"/>
      <c r="L28" s="25" t="s">
        <v>35</v>
      </c>
      <c r="M28" s="25" t="s">
        <v>83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8" t="s">
        <v>120</v>
      </c>
      <c r="D29" s="18" t="s">
        <v>21</v>
      </c>
      <c r="E29" s="17"/>
      <c r="F29" s="50">
        <v>46299.0</v>
      </c>
      <c r="G29" s="22"/>
      <c r="H29" s="23">
        <v>350000.0</v>
      </c>
      <c r="I29" s="25" t="s">
        <v>24</v>
      </c>
      <c r="J29" s="25" t="s">
        <v>25</v>
      </c>
      <c r="K29" s="17"/>
      <c r="L29" s="17"/>
      <c r="M29" s="25" t="s">
        <v>43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56" t="s">
        <v>123</v>
      </c>
      <c r="D30" s="69"/>
      <c r="E30" s="17"/>
      <c r="F30" s="50">
        <v>46299.0</v>
      </c>
      <c r="G30" s="38">
        <v>250000.0</v>
      </c>
      <c r="H30" s="58"/>
      <c r="I30" s="25" t="s">
        <v>24</v>
      </c>
      <c r="J30" s="25" t="s">
        <v>25</v>
      </c>
      <c r="K30" s="17"/>
      <c r="L30" s="25" t="s">
        <v>35</v>
      </c>
      <c r="M30" s="25" t="s">
        <v>78</v>
      </c>
      <c r="N30" s="37"/>
      <c r="O30" s="37"/>
      <c r="P30" s="37"/>
      <c r="Q30" s="60"/>
      <c r="R30" s="1"/>
    </row>
    <row r="31" ht="15.75" customHeight="1">
      <c r="A31" s="1"/>
      <c r="B31" s="17">
        <v>28.0</v>
      </c>
      <c r="C31" s="18" t="s">
        <v>125</v>
      </c>
      <c r="D31" s="18" t="s">
        <v>21</v>
      </c>
      <c r="E31" s="17"/>
      <c r="F31" s="50">
        <v>46299.0</v>
      </c>
      <c r="G31" s="22"/>
      <c r="H31" s="23">
        <v>310000.0</v>
      </c>
      <c r="I31" s="25" t="s">
        <v>24</v>
      </c>
      <c r="J31" s="25" t="s">
        <v>25</v>
      </c>
      <c r="K31" s="17"/>
      <c r="L31" s="25" t="s">
        <v>35</v>
      </c>
      <c r="M31" s="25" t="s">
        <v>83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56" t="s">
        <v>127</v>
      </c>
      <c r="D32" s="18" t="s">
        <v>21</v>
      </c>
      <c r="E32" s="17"/>
      <c r="F32" s="85"/>
      <c r="G32" s="22"/>
      <c r="H32" s="23">
        <v>330000.0</v>
      </c>
      <c r="I32" s="25" t="s">
        <v>24</v>
      </c>
      <c r="J32" s="25" t="s">
        <v>25</v>
      </c>
      <c r="K32" s="17"/>
      <c r="L32" s="25" t="s">
        <v>35</v>
      </c>
      <c r="M32" s="25" t="s">
        <v>43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8" t="s">
        <v>130</v>
      </c>
      <c r="D33" s="18" t="s">
        <v>21</v>
      </c>
      <c r="E33" s="17"/>
      <c r="F33" s="50">
        <v>46299.0</v>
      </c>
      <c r="G33" s="38">
        <v>250000.0</v>
      </c>
      <c r="H33" s="58"/>
      <c r="I33" s="25" t="s">
        <v>24</v>
      </c>
      <c r="J33" s="25" t="s">
        <v>25</v>
      </c>
      <c r="K33" s="17"/>
      <c r="L33" s="25" t="s">
        <v>35</v>
      </c>
      <c r="M33" s="25" t="s">
        <v>78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8" t="s">
        <v>133</v>
      </c>
      <c r="D34" s="18" t="s">
        <v>21</v>
      </c>
      <c r="E34" s="17"/>
      <c r="F34" s="50">
        <v>46299.0</v>
      </c>
      <c r="G34" s="38">
        <v>250000.0</v>
      </c>
      <c r="H34" s="58"/>
      <c r="I34" s="25" t="s">
        <v>24</v>
      </c>
      <c r="J34" s="25" t="s">
        <v>25</v>
      </c>
      <c r="K34" s="25" t="s">
        <v>27</v>
      </c>
      <c r="L34" s="25" t="s">
        <v>35</v>
      </c>
      <c r="M34" s="25" t="s">
        <v>83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8" t="s">
        <v>135</v>
      </c>
      <c r="D35" s="18" t="s">
        <v>29</v>
      </c>
      <c r="E35" s="17"/>
      <c r="F35" s="50">
        <v>46299.0</v>
      </c>
      <c r="G35" s="38">
        <v>420000.0</v>
      </c>
      <c r="H35" s="58"/>
      <c r="I35" s="25" t="s">
        <v>24</v>
      </c>
      <c r="J35" s="25" t="s">
        <v>25</v>
      </c>
      <c r="K35" s="25" t="s">
        <v>27</v>
      </c>
      <c r="L35" s="25" t="s">
        <v>35</v>
      </c>
      <c r="M35" s="25" t="s">
        <v>57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8" t="s">
        <v>138</v>
      </c>
      <c r="D36" s="18" t="s">
        <v>29</v>
      </c>
      <c r="E36" s="17"/>
      <c r="F36" s="50">
        <v>46299.0</v>
      </c>
      <c r="G36" s="38">
        <v>580000.0</v>
      </c>
      <c r="H36" s="58"/>
      <c r="I36" s="25" t="s">
        <v>24</v>
      </c>
      <c r="J36" s="25" t="s">
        <v>25</v>
      </c>
      <c r="K36" s="25" t="s">
        <v>27</v>
      </c>
      <c r="L36" s="25" t="s">
        <v>35</v>
      </c>
      <c r="M36" s="25" t="s">
        <v>43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66" t="s">
        <v>140</v>
      </c>
      <c r="D37" s="18" t="s">
        <v>21</v>
      </c>
      <c r="E37" s="17"/>
      <c r="F37" s="50">
        <v>46299.0</v>
      </c>
      <c r="G37" s="38">
        <v>430000.0</v>
      </c>
      <c r="H37" s="58"/>
      <c r="I37" s="25" t="s">
        <v>24</v>
      </c>
      <c r="J37" s="25" t="s">
        <v>25</v>
      </c>
      <c r="K37" s="17"/>
      <c r="L37" s="25" t="s">
        <v>35</v>
      </c>
      <c r="M37" s="25" t="s">
        <v>78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8" t="s">
        <v>143</v>
      </c>
      <c r="D38" s="18" t="s">
        <v>21</v>
      </c>
      <c r="E38" s="17"/>
      <c r="F38" s="50">
        <v>46299.0</v>
      </c>
      <c r="G38" s="38">
        <v>330000.0</v>
      </c>
      <c r="H38" s="58"/>
      <c r="I38" s="25" t="s">
        <v>24</v>
      </c>
      <c r="J38" s="25" t="s">
        <v>25</v>
      </c>
      <c r="K38" s="17"/>
      <c r="L38" s="17"/>
      <c r="M38" s="25" t="s">
        <v>78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8" t="s">
        <v>150</v>
      </c>
      <c r="D39" s="18" t="s">
        <v>21</v>
      </c>
      <c r="E39" s="17"/>
      <c r="F39" s="50">
        <v>46299.0</v>
      </c>
      <c r="G39" s="22"/>
      <c r="H39" s="23">
        <v>270000.0</v>
      </c>
      <c r="I39" s="25" t="s">
        <v>24</v>
      </c>
      <c r="J39" s="25" t="s">
        <v>25</v>
      </c>
      <c r="K39" s="17"/>
      <c r="L39" s="25" t="s">
        <v>35</v>
      </c>
      <c r="M39" s="25" t="s">
        <v>83</v>
      </c>
      <c r="N39" s="37"/>
      <c r="O39" s="37"/>
      <c r="P39" s="37"/>
      <c r="Q39" s="1"/>
      <c r="R39" s="1"/>
    </row>
    <row r="40" ht="15.75" customHeight="1">
      <c r="A40" s="1"/>
      <c r="B40" s="25">
        <v>37.0</v>
      </c>
      <c r="C40" s="18" t="s">
        <v>156</v>
      </c>
      <c r="D40" s="18" t="s">
        <v>21</v>
      </c>
      <c r="E40" s="17"/>
      <c r="F40" s="50">
        <v>46299.0</v>
      </c>
      <c r="G40" s="38" t="s">
        <v>39</v>
      </c>
      <c r="H40" s="23" t="s">
        <v>39</v>
      </c>
      <c r="I40" s="25" t="s">
        <v>24</v>
      </c>
      <c r="J40" s="25" t="s">
        <v>25</v>
      </c>
      <c r="K40" s="25" t="s">
        <v>27</v>
      </c>
      <c r="L40" s="25" t="s">
        <v>35</v>
      </c>
      <c r="M40" s="25" t="s">
        <v>78</v>
      </c>
      <c r="N40" s="37"/>
      <c r="O40" s="37"/>
      <c r="P40" s="37"/>
      <c r="Q40" s="1"/>
      <c r="R40" s="1"/>
    </row>
    <row r="41" ht="15.75" customHeight="1">
      <c r="A41" s="1"/>
      <c r="B41" s="25">
        <v>38.0</v>
      </c>
      <c r="C41" s="102" t="s">
        <v>158</v>
      </c>
      <c r="D41" s="18" t="s">
        <v>21</v>
      </c>
      <c r="E41" s="17"/>
      <c r="F41" s="50"/>
      <c r="G41" s="22"/>
      <c r="H41" s="23">
        <v>290000.0</v>
      </c>
      <c r="I41" s="25" t="s">
        <v>24</v>
      </c>
      <c r="J41" s="25" t="s">
        <v>25</v>
      </c>
      <c r="K41" s="25" t="s">
        <v>27</v>
      </c>
      <c r="L41" s="25" t="s">
        <v>35</v>
      </c>
      <c r="M41" s="25" t="s">
        <v>83</v>
      </c>
      <c r="N41" s="37"/>
      <c r="O41" s="37"/>
      <c r="P41" s="37"/>
      <c r="Q41" s="1"/>
      <c r="R41" s="1"/>
    </row>
    <row r="42" ht="15.75" customHeight="1">
      <c r="A42" s="1"/>
      <c r="B42" s="17"/>
      <c r="C42" s="18" t="s">
        <v>160</v>
      </c>
      <c r="D42" s="18" t="s">
        <v>21</v>
      </c>
      <c r="E42" s="17"/>
      <c r="F42" s="50"/>
      <c r="G42" s="22"/>
      <c r="H42" s="23">
        <v>310000.0</v>
      </c>
      <c r="I42" s="25" t="s">
        <v>24</v>
      </c>
      <c r="J42" s="25" t="s">
        <v>25</v>
      </c>
      <c r="K42" s="25" t="s">
        <v>27</v>
      </c>
      <c r="L42" s="25" t="s">
        <v>35</v>
      </c>
      <c r="M42" s="25" t="s">
        <v>43</v>
      </c>
      <c r="N42" s="37"/>
      <c r="O42" s="37"/>
      <c r="P42" s="37"/>
      <c r="Q42" s="1"/>
      <c r="R42" s="1"/>
    </row>
    <row r="43" ht="15.75" customHeight="1">
      <c r="A43" s="1"/>
      <c r="B43" s="17"/>
      <c r="C43" s="18" t="s">
        <v>162</v>
      </c>
      <c r="D43" s="69"/>
      <c r="E43" s="17"/>
      <c r="F43" s="85"/>
      <c r="G43" s="22"/>
      <c r="H43" s="23">
        <v>350000.0</v>
      </c>
      <c r="I43" s="25" t="s">
        <v>24</v>
      </c>
      <c r="J43" s="25" t="s">
        <v>25</v>
      </c>
      <c r="K43" s="17"/>
      <c r="L43" s="25" t="s">
        <v>35</v>
      </c>
      <c r="M43" s="25" t="s">
        <v>43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8" t="s">
        <v>163</v>
      </c>
      <c r="D44" s="18" t="s">
        <v>82</v>
      </c>
      <c r="E44" s="17"/>
      <c r="F44" s="25" t="s">
        <v>48</v>
      </c>
      <c r="G44" s="22"/>
      <c r="H44" s="23">
        <v>150000.0</v>
      </c>
      <c r="I44" s="25" t="s">
        <v>24</v>
      </c>
      <c r="J44" s="17"/>
      <c r="K44" s="17"/>
      <c r="L44" s="25" t="s">
        <v>35</v>
      </c>
      <c r="M44" s="25" t="s">
        <v>43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8" t="s">
        <v>165</v>
      </c>
      <c r="D45" s="18" t="s">
        <v>21</v>
      </c>
      <c r="E45" s="17"/>
      <c r="F45" s="50">
        <v>46299.0</v>
      </c>
      <c r="G45" s="38">
        <v>370000.0</v>
      </c>
      <c r="H45" s="58"/>
      <c r="I45" s="25" t="s">
        <v>24</v>
      </c>
      <c r="J45" s="25" t="s">
        <v>25</v>
      </c>
      <c r="K45" s="25" t="s">
        <v>27</v>
      </c>
      <c r="L45" s="25" t="s">
        <v>28</v>
      </c>
      <c r="M45" s="25" t="s">
        <v>57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8" t="s">
        <v>167</v>
      </c>
      <c r="D46" s="18" t="s">
        <v>21</v>
      </c>
      <c r="E46" s="17"/>
      <c r="F46" s="50">
        <v>46299.0</v>
      </c>
      <c r="G46" s="38">
        <v>0.0</v>
      </c>
      <c r="H46" s="23">
        <v>0.0</v>
      </c>
      <c r="I46" s="25" t="s">
        <v>24</v>
      </c>
      <c r="J46" s="25" t="s">
        <v>25</v>
      </c>
      <c r="K46" s="25" t="s">
        <v>27</v>
      </c>
      <c r="L46" s="25" t="s">
        <v>28</v>
      </c>
      <c r="M46" s="25" t="s">
        <v>43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8" t="s">
        <v>169</v>
      </c>
      <c r="D47" s="18" t="s">
        <v>21</v>
      </c>
      <c r="E47" s="17"/>
      <c r="F47" s="50">
        <v>46299.0</v>
      </c>
      <c r="G47" s="38">
        <v>270000.0</v>
      </c>
      <c r="H47" s="58"/>
      <c r="I47" s="25" t="s">
        <v>24</v>
      </c>
      <c r="J47" s="25" t="s">
        <v>25</v>
      </c>
      <c r="K47" s="25" t="s">
        <v>27</v>
      </c>
      <c r="L47" s="25" t="s">
        <v>28</v>
      </c>
      <c r="M47" s="25" t="s">
        <v>57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8" t="s">
        <v>170</v>
      </c>
      <c r="D48" s="18" t="s">
        <v>21</v>
      </c>
      <c r="E48" s="17"/>
      <c r="F48" s="50">
        <v>46299.0</v>
      </c>
      <c r="G48" s="38">
        <v>430000.0</v>
      </c>
      <c r="H48" s="58"/>
      <c r="I48" s="25" t="s">
        <v>24</v>
      </c>
      <c r="J48" s="25" t="s">
        <v>25</v>
      </c>
      <c r="K48" s="25" t="s">
        <v>27</v>
      </c>
      <c r="L48" s="25" t="s">
        <v>28</v>
      </c>
      <c r="M48" s="25" t="s">
        <v>83</v>
      </c>
      <c r="N48" s="37"/>
      <c r="O48" s="37"/>
      <c r="P48" s="37"/>
      <c r="Q48" s="2"/>
      <c r="R48" s="1"/>
    </row>
    <row r="49" ht="15.75" customHeight="1">
      <c r="A49" s="1"/>
      <c r="B49" s="17">
        <v>19.0</v>
      </c>
      <c r="C49" s="18" t="s">
        <v>172</v>
      </c>
      <c r="D49" s="18" t="s">
        <v>21</v>
      </c>
      <c r="E49" s="17"/>
      <c r="F49" s="50">
        <v>46299.0</v>
      </c>
      <c r="G49" s="38">
        <v>250000.0</v>
      </c>
      <c r="H49" s="58"/>
      <c r="I49" s="25" t="s">
        <v>24</v>
      </c>
      <c r="J49" s="25" t="s">
        <v>25</v>
      </c>
      <c r="K49" s="25" t="s">
        <v>27</v>
      </c>
      <c r="L49" s="25" t="s">
        <v>28</v>
      </c>
      <c r="M49" s="25" t="s">
        <v>83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8" t="s">
        <v>174</v>
      </c>
      <c r="D50" s="18" t="s">
        <v>21</v>
      </c>
      <c r="E50" s="17"/>
      <c r="F50" s="50">
        <v>46299.0</v>
      </c>
      <c r="G50" s="22"/>
      <c r="H50" s="23">
        <v>530000.0</v>
      </c>
      <c r="I50" s="25" t="s">
        <v>24</v>
      </c>
      <c r="J50" s="25" t="s">
        <v>25</v>
      </c>
      <c r="K50" s="25" t="s">
        <v>27</v>
      </c>
      <c r="L50" s="25" t="s">
        <v>28</v>
      </c>
      <c r="M50" s="25" t="s">
        <v>78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8" t="s">
        <v>175</v>
      </c>
      <c r="D51" s="18" t="s">
        <v>21</v>
      </c>
      <c r="E51" s="17"/>
      <c r="F51" s="50">
        <v>46299.0</v>
      </c>
      <c r="G51" s="38">
        <v>330000.0</v>
      </c>
      <c r="H51" s="58"/>
      <c r="I51" s="25" t="s">
        <v>24</v>
      </c>
      <c r="J51" s="25" t="s">
        <v>25</v>
      </c>
      <c r="K51" s="25" t="s">
        <v>27</v>
      </c>
      <c r="L51" s="25" t="s">
        <v>28</v>
      </c>
      <c r="M51" s="25" t="s">
        <v>57</v>
      </c>
      <c r="N51" s="37"/>
      <c r="O51" s="37"/>
      <c r="P51" s="37"/>
      <c r="Q51" s="2"/>
      <c r="R51" s="1"/>
    </row>
    <row r="52" ht="15.75" customHeight="1">
      <c r="A52" s="1"/>
      <c r="B52" s="17">
        <v>22.0</v>
      </c>
      <c r="C52" s="18" t="s">
        <v>177</v>
      </c>
      <c r="D52" s="18" t="s">
        <v>21</v>
      </c>
      <c r="E52" s="17"/>
      <c r="F52" s="50">
        <v>46299.0</v>
      </c>
      <c r="G52" s="38">
        <v>390000.0</v>
      </c>
      <c r="H52" s="58"/>
      <c r="I52" s="25" t="s">
        <v>24</v>
      </c>
      <c r="J52" s="25" t="s">
        <v>25</v>
      </c>
      <c r="K52" s="25" t="s">
        <v>27</v>
      </c>
      <c r="L52" s="25" t="s">
        <v>28</v>
      </c>
      <c r="M52" s="25" t="s">
        <v>57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8" t="s">
        <v>179</v>
      </c>
      <c r="D53" s="18" t="s">
        <v>21</v>
      </c>
      <c r="E53" s="17"/>
      <c r="F53" s="50">
        <v>46299.0</v>
      </c>
      <c r="G53" s="38">
        <v>350000.0</v>
      </c>
      <c r="H53" s="58"/>
      <c r="I53" s="25" t="s">
        <v>24</v>
      </c>
      <c r="J53" s="25" t="s">
        <v>25</v>
      </c>
      <c r="K53" s="25" t="s">
        <v>27</v>
      </c>
      <c r="L53" s="25" t="s">
        <v>28</v>
      </c>
      <c r="M53" s="25" t="s">
        <v>57</v>
      </c>
      <c r="N53" s="37"/>
      <c r="O53" s="37"/>
      <c r="P53" s="37"/>
      <c r="Q53" s="2"/>
      <c r="R53" s="1"/>
    </row>
    <row r="54" ht="15.75" customHeight="1">
      <c r="A54" s="1"/>
      <c r="B54" s="17">
        <v>24.0</v>
      </c>
      <c r="C54" s="18" t="s">
        <v>181</v>
      </c>
      <c r="D54" s="18" t="s">
        <v>29</v>
      </c>
      <c r="E54" s="17"/>
      <c r="F54" s="50">
        <v>46299.0</v>
      </c>
      <c r="G54" s="38">
        <v>420000.0</v>
      </c>
      <c r="H54" s="58"/>
      <c r="I54" s="25" t="s">
        <v>24</v>
      </c>
      <c r="J54" s="25" t="s">
        <v>25</v>
      </c>
      <c r="K54" s="25" t="s">
        <v>27</v>
      </c>
      <c r="L54" s="25" t="s">
        <v>28</v>
      </c>
      <c r="M54" s="25" t="s">
        <v>57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8" t="s">
        <v>182</v>
      </c>
      <c r="D55" s="18" t="s">
        <v>49</v>
      </c>
      <c r="E55" s="17"/>
      <c r="F55" s="50">
        <v>46299.0</v>
      </c>
      <c r="G55" s="22"/>
      <c r="H55" s="23">
        <v>100000.0</v>
      </c>
      <c r="I55" s="25" t="s">
        <v>34</v>
      </c>
      <c r="J55" s="17"/>
      <c r="K55" s="17"/>
      <c r="L55" s="25" t="s">
        <v>28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8" t="s">
        <v>184</v>
      </c>
      <c r="D56" s="18" t="s">
        <v>21</v>
      </c>
      <c r="E56" s="25" t="s">
        <v>185</v>
      </c>
      <c r="F56" s="50">
        <v>46299.0</v>
      </c>
      <c r="G56" s="22"/>
      <c r="H56" s="23">
        <v>410000.0</v>
      </c>
      <c r="I56" s="25" t="s">
        <v>24</v>
      </c>
      <c r="J56" s="25" t="s">
        <v>25</v>
      </c>
      <c r="K56" s="25" t="s">
        <v>27</v>
      </c>
      <c r="L56" s="25" t="s">
        <v>28</v>
      </c>
      <c r="M56" s="25" t="s">
        <v>57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8" t="s">
        <v>186</v>
      </c>
      <c r="D57" s="18" t="s">
        <v>21</v>
      </c>
      <c r="E57" s="17"/>
      <c r="F57" s="50">
        <v>46301.0</v>
      </c>
      <c r="G57" s="22"/>
      <c r="H57" s="23">
        <v>100000.0</v>
      </c>
      <c r="I57" s="25" t="s">
        <v>34</v>
      </c>
      <c r="J57" s="17"/>
      <c r="K57" s="17"/>
      <c r="L57" s="25" t="s">
        <v>28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8" t="s">
        <v>187</v>
      </c>
      <c r="D58" s="18" t="s">
        <v>21</v>
      </c>
      <c r="E58" s="17"/>
      <c r="F58" s="25" t="s">
        <v>26</v>
      </c>
      <c r="G58" s="22"/>
      <c r="H58" s="23">
        <v>410000.0</v>
      </c>
      <c r="I58" s="25" t="s">
        <v>24</v>
      </c>
      <c r="J58" s="25" t="s">
        <v>25</v>
      </c>
      <c r="K58" s="25" t="s">
        <v>27</v>
      </c>
      <c r="L58" s="25" t="s">
        <v>35</v>
      </c>
      <c r="M58" s="25" t="s">
        <v>43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8" t="s">
        <v>189</v>
      </c>
      <c r="D59" s="18" t="s">
        <v>29</v>
      </c>
      <c r="E59" s="17"/>
      <c r="F59" s="25" t="s">
        <v>33</v>
      </c>
      <c r="G59" s="22"/>
      <c r="H59" s="23">
        <v>150000.0</v>
      </c>
      <c r="I59" s="25" t="s">
        <v>24</v>
      </c>
      <c r="J59" s="25" t="s">
        <v>25</v>
      </c>
      <c r="K59" s="25" t="s">
        <v>27</v>
      </c>
      <c r="L59" s="25" t="s">
        <v>35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69"/>
      <c r="D60" s="69"/>
      <c r="E60" s="17"/>
      <c r="F60" s="85"/>
      <c r="G60" s="22"/>
      <c r="H60" s="58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69"/>
      <c r="D61" s="69"/>
      <c r="E61" s="17"/>
      <c r="F61" s="85"/>
      <c r="G61" s="22"/>
      <c r="H61" s="58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69"/>
      <c r="D62" s="69"/>
      <c r="E62" s="17"/>
      <c r="F62" s="85"/>
      <c r="G62" s="22"/>
      <c r="H62" s="58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69"/>
      <c r="D63" s="69"/>
      <c r="E63" s="17"/>
      <c r="F63" s="85"/>
      <c r="G63" s="22"/>
      <c r="H63" s="58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69"/>
      <c r="D64" s="69"/>
      <c r="E64" s="17"/>
      <c r="F64" s="85"/>
      <c r="G64" s="22"/>
      <c r="H64" s="58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69"/>
      <c r="D65" s="69"/>
      <c r="E65" s="17"/>
      <c r="F65" s="85"/>
      <c r="G65" s="22"/>
      <c r="H65" s="58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69"/>
      <c r="D66" s="69"/>
      <c r="E66" s="17"/>
      <c r="F66" s="85"/>
      <c r="G66" s="22"/>
      <c r="H66" s="58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69"/>
      <c r="D67" s="69"/>
      <c r="E67" s="17"/>
      <c r="F67" s="85"/>
      <c r="G67" s="22"/>
      <c r="H67" s="58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69"/>
      <c r="D68" s="69"/>
      <c r="E68" s="17"/>
      <c r="F68" s="85"/>
      <c r="G68" s="22"/>
      <c r="H68" s="58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69"/>
      <c r="D69" s="69"/>
      <c r="E69" s="17"/>
      <c r="F69" s="85"/>
      <c r="G69" s="22"/>
      <c r="H69" s="58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69"/>
      <c r="D70" s="69"/>
      <c r="E70" s="17"/>
      <c r="F70" s="85"/>
      <c r="G70" s="22"/>
      <c r="H70" s="58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69"/>
      <c r="D71" s="69"/>
      <c r="E71" s="17"/>
      <c r="F71" s="85"/>
      <c r="G71" s="22"/>
      <c r="H71" s="58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69"/>
      <c r="D72" s="69"/>
      <c r="E72" s="17"/>
      <c r="F72" s="85"/>
      <c r="G72" s="22"/>
      <c r="H72" s="58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69"/>
      <c r="D73" s="69"/>
      <c r="E73" s="17"/>
      <c r="F73" s="85"/>
      <c r="G73" s="22"/>
      <c r="H73" s="58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69"/>
      <c r="D74" s="69"/>
      <c r="E74" s="17"/>
      <c r="F74" s="85"/>
      <c r="G74" s="22"/>
      <c r="H74" s="58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4">
        <f t="shared" ref="G75:H75" si="1">SUM(G4:G74)</f>
        <v>8380000</v>
      </c>
      <c r="H75" s="7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1</v>
      </c>
      <c r="C78" s="69" t="s">
        <v>7</v>
      </c>
      <c r="D78" s="73" t="s">
        <v>118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119</v>
      </c>
      <c r="O78" s="73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121</v>
      </c>
      <c r="D79" s="77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79" t="s">
        <v>124</v>
      </c>
      <c r="O79" s="81" t="s">
        <v>28</v>
      </c>
      <c r="P79" s="1"/>
      <c r="Q79" s="1"/>
      <c r="R79" s="1"/>
    </row>
    <row r="80" ht="15.75" customHeight="1">
      <c r="A80" s="1"/>
      <c r="B80" s="82">
        <v>2.0</v>
      </c>
      <c r="C80" s="136" t="s">
        <v>211</v>
      </c>
      <c r="D80" s="137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6" t="s">
        <v>128</v>
      </c>
      <c r="O80" s="87" t="s">
        <v>35</v>
      </c>
      <c r="P80" s="1"/>
      <c r="Q80" s="1"/>
      <c r="R80" s="1"/>
    </row>
    <row r="81" ht="15.75" customHeight="1">
      <c r="A81" s="1"/>
      <c r="B81" s="75">
        <v>3.0</v>
      </c>
      <c r="C81" s="76"/>
      <c r="D81" s="77"/>
      <c r="E81" s="78"/>
      <c r="F81" s="1"/>
      <c r="G81" s="1"/>
      <c r="H81" s="1"/>
      <c r="I81" s="1"/>
      <c r="J81" s="1"/>
      <c r="K81" s="1"/>
      <c r="L81" s="1"/>
      <c r="M81" s="1"/>
      <c r="N81" s="88" t="s">
        <v>131</v>
      </c>
      <c r="O81" s="89" t="s">
        <v>43</v>
      </c>
      <c r="P81" s="1"/>
      <c r="Q81" s="1"/>
      <c r="R81" s="1"/>
    </row>
    <row r="82" ht="15.75" customHeight="1">
      <c r="A82" s="1"/>
      <c r="B82" s="82">
        <v>4.0</v>
      </c>
      <c r="C82" s="76"/>
      <c r="D82" s="91"/>
      <c r="E82" s="78"/>
      <c r="F82" s="1"/>
      <c r="G82" s="1"/>
      <c r="H82" s="1"/>
      <c r="I82" s="1"/>
      <c r="J82" s="1"/>
      <c r="K82" s="1"/>
      <c r="L82" s="1"/>
      <c r="M82" s="1"/>
      <c r="N82" s="95" t="s">
        <v>137</v>
      </c>
      <c r="O82" s="87" t="s">
        <v>57</v>
      </c>
      <c r="P82" s="1"/>
      <c r="Q82" s="1"/>
      <c r="R82" s="1"/>
    </row>
    <row r="83" ht="15.75" customHeight="1">
      <c r="A83" s="1"/>
      <c r="B83" s="75">
        <v>5.0</v>
      </c>
      <c r="C83" s="76"/>
      <c r="D83" s="77"/>
      <c r="E83" s="78"/>
      <c r="F83" s="1"/>
      <c r="G83" s="1"/>
      <c r="H83" s="1"/>
      <c r="I83" s="1"/>
      <c r="J83" s="1"/>
      <c r="K83" s="1"/>
      <c r="L83" s="1"/>
      <c r="M83" s="1"/>
      <c r="N83" s="96"/>
      <c r="O83" s="1"/>
      <c r="P83" s="1"/>
      <c r="Q83" s="1"/>
      <c r="R83" s="1"/>
    </row>
    <row r="84" ht="15.75" customHeight="1">
      <c r="A84" s="1"/>
      <c r="B84" s="82">
        <v>6.0</v>
      </c>
      <c r="C84" s="76"/>
      <c r="D84" s="91"/>
      <c r="E84" s="78"/>
      <c r="F84" s="1"/>
      <c r="G84" s="1"/>
      <c r="H84" s="1"/>
      <c r="I84" s="1"/>
      <c r="J84" s="1"/>
      <c r="K84" s="99" t="s">
        <v>141</v>
      </c>
      <c r="Q84" s="1"/>
      <c r="R84" s="1"/>
    </row>
    <row r="85" ht="15.75" customHeight="1">
      <c r="A85" s="1"/>
      <c r="B85" s="75">
        <v>7.0</v>
      </c>
      <c r="C85" s="76"/>
      <c r="D85" s="77"/>
      <c r="E85" s="78"/>
      <c r="F85" s="1"/>
      <c r="G85" s="1"/>
      <c r="H85" s="1"/>
      <c r="I85" s="1"/>
      <c r="J85" s="1"/>
      <c r="K85" s="100" t="s">
        <v>2</v>
      </c>
      <c r="L85" s="100" t="s">
        <v>144</v>
      </c>
      <c r="M85" s="100" t="s">
        <v>145</v>
      </c>
      <c r="N85" s="100" t="s">
        <v>146</v>
      </c>
      <c r="O85" s="100" t="s">
        <v>147</v>
      </c>
      <c r="P85" s="100" t="s">
        <v>148</v>
      </c>
      <c r="Q85" s="1"/>
      <c r="R85" s="1"/>
      <c r="AC85" s="101" t="s">
        <v>151</v>
      </c>
      <c r="AD85" s="101" t="s">
        <v>152</v>
      </c>
      <c r="AE85" s="101" t="s">
        <v>153</v>
      </c>
      <c r="AF85" s="101" t="s">
        <v>154</v>
      </c>
      <c r="AG85" s="101" t="s">
        <v>155</v>
      </c>
    </row>
    <row r="86" ht="15.75" customHeight="1">
      <c r="A86" s="1"/>
      <c r="B86" s="82">
        <v>8.0</v>
      </c>
      <c r="C86" s="76"/>
      <c r="D86" s="91"/>
      <c r="E86" s="78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38">
        <v>5.0</v>
      </c>
      <c r="M86" s="138">
        <v>5.0</v>
      </c>
      <c r="N86" s="138">
        <v>5.0</v>
      </c>
      <c r="O86" s="138">
        <v>5.0</v>
      </c>
      <c r="P86" s="138">
        <v>5.0</v>
      </c>
      <c r="Q86" s="2" t="s">
        <v>212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7"/>
      <c r="E87" s="78"/>
      <c r="F87" s="1"/>
      <c r="G87" s="1"/>
      <c r="H87" s="1"/>
      <c r="I87" s="1"/>
      <c r="J87" s="1"/>
      <c r="K87" s="103" t="str">
        <f t="shared" si="2"/>
        <v>AMEL</v>
      </c>
      <c r="L87" s="138">
        <v>5.0</v>
      </c>
      <c r="M87" s="138">
        <v>5.0</v>
      </c>
      <c r="N87" s="138">
        <v>5.0</v>
      </c>
      <c r="O87" s="138">
        <v>5.0</v>
      </c>
      <c r="P87" s="138">
        <v>5.0</v>
      </c>
      <c r="Q87" s="2" t="s">
        <v>215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2">
        <v>10.0</v>
      </c>
      <c r="C88" s="76"/>
      <c r="D88" s="91"/>
      <c r="E88" s="78"/>
      <c r="F88" s="1"/>
      <c r="G88" s="1"/>
      <c r="H88" s="1"/>
      <c r="I88" s="1"/>
      <c r="J88" s="1"/>
      <c r="K88" s="103" t="str">
        <f t="shared" si="2"/>
        <v>ADIF</v>
      </c>
      <c r="L88" s="138">
        <v>5.0</v>
      </c>
      <c r="M88" s="138">
        <v>5.0</v>
      </c>
      <c r="N88" s="138">
        <v>5.0</v>
      </c>
      <c r="O88" s="138">
        <v>5.0</v>
      </c>
      <c r="P88" s="138">
        <v>5.0</v>
      </c>
      <c r="Q88" s="2" t="s">
        <v>216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08">
        <v>11.0</v>
      </c>
      <c r="C89" s="109"/>
      <c r="D89" s="110"/>
      <c r="E89" s="78"/>
      <c r="F89" s="1"/>
      <c r="G89" s="1"/>
      <c r="H89" s="1"/>
      <c r="I89" s="1"/>
      <c r="J89" s="1"/>
      <c r="K89" s="103" t="str">
        <f t="shared" si="2"/>
        <v>SAKA</v>
      </c>
      <c r="L89" s="138">
        <v>5.0</v>
      </c>
      <c r="M89" s="138">
        <v>5.0</v>
      </c>
      <c r="N89" s="138">
        <v>5.0</v>
      </c>
      <c r="O89" s="138">
        <v>5.0</v>
      </c>
      <c r="P89" s="138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12">
        <f>SUM(D79:D89)</f>
        <v>8270000</v>
      </c>
      <c r="E90" s="1"/>
      <c r="F90" s="1"/>
      <c r="G90" s="1"/>
      <c r="H90" s="1"/>
      <c r="I90" s="1"/>
      <c r="J90" s="1"/>
      <c r="K90" s="103"/>
      <c r="L90" s="114"/>
      <c r="M90" s="114"/>
      <c r="N90" s="114"/>
      <c r="O90" s="114"/>
      <c r="P90" s="114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4"/>
      <c r="M91" s="114"/>
      <c r="N91" s="114"/>
      <c r="O91" s="114"/>
      <c r="P91" s="114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5" t="s">
        <v>191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6" t="s">
        <v>193</v>
      </c>
      <c r="N94" s="1"/>
      <c r="O94" s="1"/>
      <c r="P94" s="1"/>
      <c r="Q94" s="1"/>
      <c r="R94" s="1"/>
    </row>
    <row r="95" ht="15.75" customHeight="1">
      <c r="K95" s="119" t="s">
        <v>8</v>
      </c>
      <c r="L95" s="119" t="s">
        <v>195</v>
      </c>
      <c r="M95" s="119" t="s">
        <v>196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7" t="s">
        <v>199</v>
      </c>
    </row>
    <row r="100" ht="19.5" customHeight="1">
      <c r="K100" s="128" t="s">
        <v>200</v>
      </c>
      <c r="M100" s="122">
        <v>24.0</v>
      </c>
    </row>
    <row r="101" ht="19.5" customHeight="1">
      <c r="K101" s="129" t="s">
        <v>202</v>
      </c>
      <c r="M101" s="130">
        <f>COUNTIF($I$4:$I$77,"DP")</f>
        <v>3</v>
      </c>
    </row>
    <row r="102" ht="19.5" customHeight="1">
      <c r="K102" s="129" t="s">
        <v>204</v>
      </c>
      <c r="M102" s="130">
        <f>COUNTIFS($I$4:$I$77,"&lt;&gt;DP",$I$4:$I$77,"&lt;&gt;")</f>
        <v>53</v>
      </c>
    </row>
    <row r="103" ht="19.5" customHeight="1">
      <c r="K103" s="131" t="s">
        <v>206</v>
      </c>
      <c r="M103" s="130">
        <f>M101+M102</f>
        <v>56</v>
      </c>
    </row>
    <row r="104" ht="19.5" customHeight="1">
      <c r="K104" s="128" t="s">
        <v>207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49</v>
      </c>
      <c r="E4" s="154"/>
      <c r="F4" s="25" t="s">
        <v>221</v>
      </c>
      <c r="G4" s="155"/>
      <c r="H4" s="23">
        <v>100000.0</v>
      </c>
      <c r="I4" s="25" t="s">
        <v>34</v>
      </c>
      <c r="J4" s="17"/>
      <c r="K4" s="17"/>
      <c r="L4" s="25" t="s">
        <v>35</v>
      </c>
      <c r="M4" s="17"/>
      <c r="N4" s="30"/>
      <c r="O4" s="30"/>
      <c r="P4" s="33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222</v>
      </c>
      <c r="D5" s="18" t="s">
        <v>21</v>
      </c>
      <c r="E5" s="154"/>
      <c r="F5" s="25" t="s">
        <v>223</v>
      </c>
      <c r="G5" s="155"/>
      <c r="H5" s="23">
        <v>250000.0</v>
      </c>
      <c r="I5" s="25" t="s">
        <v>24</v>
      </c>
      <c r="J5" s="25" t="s">
        <v>25</v>
      </c>
      <c r="K5" s="25" t="s">
        <v>27</v>
      </c>
      <c r="L5" s="25" t="s">
        <v>35</v>
      </c>
      <c r="M5" s="25" t="s">
        <v>43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93</v>
      </c>
      <c r="D6" s="18" t="s">
        <v>90</v>
      </c>
      <c r="E6" s="154"/>
      <c r="F6" s="25" t="s">
        <v>46</v>
      </c>
      <c r="G6" s="155"/>
      <c r="H6" s="23">
        <v>20000.0</v>
      </c>
      <c r="I6" s="25" t="s">
        <v>24</v>
      </c>
      <c r="J6" s="25" t="s">
        <v>25</v>
      </c>
      <c r="K6" s="25" t="s">
        <v>25</v>
      </c>
      <c r="L6" s="25" t="s">
        <v>35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225</v>
      </c>
      <c r="D7" s="18" t="s">
        <v>90</v>
      </c>
      <c r="E7" s="154"/>
      <c r="F7" s="25" t="s">
        <v>33</v>
      </c>
      <c r="G7" s="155"/>
      <c r="H7" s="23">
        <v>125000.0</v>
      </c>
      <c r="I7" s="25" t="s">
        <v>24</v>
      </c>
      <c r="J7" s="25" t="s">
        <v>25</v>
      </c>
      <c r="K7" s="25" t="s">
        <v>25</v>
      </c>
      <c r="L7" s="25" t="s">
        <v>35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80" t="s">
        <v>226</v>
      </c>
      <c r="D8" s="18" t="s">
        <v>21</v>
      </c>
      <c r="E8" s="156"/>
      <c r="F8" s="25" t="s">
        <v>223</v>
      </c>
      <c r="G8" s="155"/>
      <c r="H8" s="23">
        <v>150000.0</v>
      </c>
      <c r="I8" s="25" t="s">
        <v>24</v>
      </c>
      <c r="J8" s="25" t="s">
        <v>25</v>
      </c>
      <c r="K8" s="25" t="s">
        <v>27</v>
      </c>
      <c r="L8" s="25" t="s">
        <v>35</v>
      </c>
      <c r="M8" s="25" t="s">
        <v>43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227</v>
      </c>
      <c r="D9" s="18" t="s">
        <v>29</v>
      </c>
      <c r="E9" s="154"/>
      <c r="F9" s="25" t="s">
        <v>33</v>
      </c>
      <c r="G9" s="155"/>
      <c r="H9" s="23">
        <v>150000.0</v>
      </c>
      <c r="I9" s="25" t="s">
        <v>24</v>
      </c>
      <c r="J9" s="25" t="s">
        <v>25</v>
      </c>
      <c r="K9" s="25" t="s">
        <v>25</v>
      </c>
      <c r="L9" s="25" t="s">
        <v>35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230</v>
      </c>
      <c r="D10" s="18" t="s">
        <v>82</v>
      </c>
      <c r="E10" s="154"/>
      <c r="F10" s="157">
        <v>46300.0</v>
      </c>
      <c r="G10" s="155"/>
      <c r="H10" s="23">
        <v>50000.0</v>
      </c>
      <c r="I10" s="25" t="s">
        <v>24</v>
      </c>
      <c r="J10" s="25" t="s">
        <v>25</v>
      </c>
      <c r="K10" s="25" t="s">
        <v>27</v>
      </c>
      <c r="L10" s="25" t="s">
        <v>28</v>
      </c>
      <c r="M10" s="25" t="s">
        <v>57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1" t="s">
        <v>232</v>
      </c>
      <c r="D11" s="18" t="s">
        <v>62</v>
      </c>
      <c r="E11" s="156"/>
      <c r="F11" s="158">
        <v>46299.0</v>
      </c>
      <c r="G11" s="155"/>
      <c r="H11" s="23">
        <v>30000.0</v>
      </c>
      <c r="I11" s="25" t="s">
        <v>24</v>
      </c>
      <c r="J11" s="17"/>
      <c r="K11" s="17"/>
      <c r="L11" s="25" t="s">
        <v>28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233</v>
      </c>
      <c r="D12" s="18" t="s">
        <v>21</v>
      </c>
      <c r="E12" s="156"/>
      <c r="F12" s="157">
        <v>46301.0</v>
      </c>
      <c r="G12" s="155"/>
      <c r="H12" s="23">
        <v>100000.0</v>
      </c>
      <c r="I12" s="25" t="s">
        <v>34</v>
      </c>
      <c r="J12" s="17"/>
      <c r="K12" s="17"/>
      <c r="L12" s="25" t="s">
        <v>28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235</v>
      </c>
      <c r="D13" s="18" t="s">
        <v>236</v>
      </c>
      <c r="E13" s="17"/>
      <c r="F13" s="157">
        <v>46267.0</v>
      </c>
      <c r="G13" s="159"/>
      <c r="H13" s="23">
        <v>20000.0</v>
      </c>
      <c r="I13" s="25" t="s">
        <v>24</v>
      </c>
      <c r="J13" s="17"/>
      <c r="K13" s="17"/>
      <c r="L13" s="25" t="s">
        <v>28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182</v>
      </c>
      <c r="D14" s="18" t="s">
        <v>49</v>
      </c>
      <c r="E14" s="160">
        <v>0.2</v>
      </c>
      <c r="F14" s="157">
        <v>46270.0</v>
      </c>
      <c r="G14" s="159"/>
      <c r="H14" s="23">
        <v>80000.0</v>
      </c>
      <c r="I14" s="25" t="s">
        <v>24</v>
      </c>
      <c r="J14" s="25" t="s">
        <v>25</v>
      </c>
      <c r="K14" s="25" t="s">
        <v>27</v>
      </c>
      <c r="L14" s="25" t="s">
        <v>28</v>
      </c>
      <c r="M14" s="25" t="s">
        <v>57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9"/>
      <c r="D15" s="69"/>
      <c r="E15" s="17"/>
      <c r="F15" s="17"/>
      <c r="G15" s="159"/>
      <c r="H15" s="58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4">
        <f t="shared" ref="G16:H16" si="1">SUM(G4:G15)</f>
        <v>0</v>
      </c>
      <c r="H16" s="7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2" t="s">
        <v>1</v>
      </c>
      <c r="C19" s="73" t="s">
        <v>7</v>
      </c>
      <c r="D19" s="73" t="s">
        <v>118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119</v>
      </c>
      <c r="O19" s="7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121</v>
      </c>
      <c r="D20" s="77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124</v>
      </c>
      <c r="O20" s="81" t="s">
        <v>35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86" t="s">
        <v>128</v>
      </c>
      <c r="O21" s="87" t="s">
        <v>28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88" t="s">
        <v>131</v>
      </c>
      <c r="O22" s="89" t="s">
        <v>43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0"/>
      <c r="D23" s="91"/>
      <c r="E23" s="78"/>
      <c r="F23" s="1"/>
      <c r="G23" s="1"/>
      <c r="H23" s="1"/>
      <c r="I23" s="1"/>
      <c r="J23" s="1"/>
      <c r="K23" s="1"/>
      <c r="L23" s="1"/>
      <c r="M23" s="1"/>
      <c r="N23" s="95" t="s">
        <v>137</v>
      </c>
      <c r="O23" s="87" t="s">
        <v>57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0"/>
      <c r="D25" s="91"/>
      <c r="E25" s="78"/>
      <c r="F25" s="1"/>
      <c r="G25" s="1"/>
      <c r="H25" s="1"/>
      <c r="I25" s="1"/>
      <c r="J25" s="1"/>
      <c r="K25" s="99" t="s">
        <v>141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7"/>
      <c r="E26" s="78"/>
      <c r="F26" s="1"/>
      <c r="G26" s="1"/>
      <c r="H26" s="1"/>
      <c r="I26" s="1"/>
      <c r="J26" s="1"/>
      <c r="K26" s="100" t="s">
        <v>2</v>
      </c>
      <c r="L26" s="100" t="s">
        <v>144</v>
      </c>
      <c r="M26" s="100" t="s">
        <v>145</v>
      </c>
      <c r="N26" s="100" t="s">
        <v>146</v>
      </c>
      <c r="O26" s="100" t="s">
        <v>147</v>
      </c>
      <c r="P26" s="100" t="s">
        <v>148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151</v>
      </c>
      <c r="AD26" s="153" t="s">
        <v>152</v>
      </c>
      <c r="AE26" s="153" t="s">
        <v>153</v>
      </c>
      <c r="AF26" s="153" t="s">
        <v>154</v>
      </c>
      <c r="AG26" s="153" t="s">
        <v>155</v>
      </c>
    </row>
    <row r="27" ht="15.75" customHeight="1">
      <c r="A27" s="1"/>
      <c r="B27" s="82">
        <v>8.0</v>
      </c>
      <c r="C27" s="90"/>
      <c r="D27" s="91"/>
      <c r="E27" s="78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0"/>
      <c r="D29" s="91"/>
      <c r="E29" s="78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191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193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9" t="s">
        <v>8</v>
      </c>
      <c r="L36" s="119" t="s">
        <v>195</v>
      </c>
      <c r="M36" s="119" t="s">
        <v>196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198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7" t="s">
        <v>199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8" t="s">
        <v>200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9" t="s">
        <v>202</v>
      </c>
      <c r="M42" s="130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9" t="s">
        <v>204</v>
      </c>
      <c r="M43" s="130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1" t="s">
        <v>206</v>
      </c>
      <c r="M44" s="130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8" t="s">
        <v>207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224</v>
      </c>
      <c r="D4" s="27" t="s">
        <v>41</v>
      </c>
      <c r="E4" s="26"/>
      <c r="F4" s="54">
        <v>46307.0</v>
      </c>
      <c r="G4" s="36"/>
      <c r="H4" s="35">
        <v>100000.0</v>
      </c>
      <c r="I4" s="29" t="s">
        <v>34</v>
      </c>
      <c r="J4" s="17"/>
      <c r="K4" s="17"/>
      <c r="L4" s="25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20" t="s">
        <v>228</v>
      </c>
      <c r="D5" s="27" t="s">
        <v>21</v>
      </c>
      <c r="E5" s="63" t="s">
        <v>229</v>
      </c>
      <c r="F5" s="54">
        <v>46301.0</v>
      </c>
      <c r="G5" s="36"/>
      <c r="H5" s="35">
        <v>390000.0</v>
      </c>
      <c r="I5" s="29" t="s">
        <v>24</v>
      </c>
      <c r="J5" s="25" t="s">
        <v>25</v>
      </c>
      <c r="K5" s="25" t="s">
        <v>27</v>
      </c>
      <c r="L5" s="25" t="s">
        <v>28</v>
      </c>
      <c r="M5" s="25" t="s">
        <v>43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231</v>
      </c>
      <c r="D6" s="27" t="s">
        <v>49</v>
      </c>
      <c r="E6" s="26"/>
      <c r="F6" s="54">
        <v>46303.0</v>
      </c>
      <c r="G6" s="36"/>
      <c r="H6" s="35">
        <v>100000.0</v>
      </c>
      <c r="I6" s="29" t="s">
        <v>34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49" t="s">
        <v>234</v>
      </c>
      <c r="D7" s="27" t="s">
        <v>21</v>
      </c>
      <c r="E7" s="26"/>
      <c r="F7" s="54">
        <v>46301.0</v>
      </c>
      <c r="G7" s="43"/>
      <c r="H7" s="44">
        <v>250000.0</v>
      </c>
      <c r="I7" s="29" t="s">
        <v>24</v>
      </c>
      <c r="J7" s="25" t="s">
        <v>25</v>
      </c>
      <c r="K7" s="25" t="s">
        <v>27</v>
      </c>
      <c r="L7" s="25" t="s">
        <v>28</v>
      </c>
      <c r="M7" s="25" t="s">
        <v>43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237</v>
      </c>
      <c r="D8" s="27" t="s">
        <v>21</v>
      </c>
      <c r="E8" s="26"/>
      <c r="F8" s="54">
        <v>46301.0</v>
      </c>
      <c r="G8" s="36"/>
      <c r="H8" s="35">
        <v>250000.0</v>
      </c>
      <c r="I8" s="29" t="s">
        <v>24</v>
      </c>
      <c r="J8" s="25" t="s">
        <v>25</v>
      </c>
      <c r="K8" s="25" t="s">
        <v>27</v>
      </c>
      <c r="L8" s="25" t="s">
        <v>28</v>
      </c>
      <c r="M8" s="25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238</v>
      </c>
      <c r="D9" s="27" t="s">
        <v>29</v>
      </c>
      <c r="E9" s="26"/>
      <c r="F9" s="54">
        <v>46301.0</v>
      </c>
      <c r="G9" s="52">
        <v>400000.0</v>
      </c>
      <c r="H9" s="111"/>
      <c r="I9" s="29" t="s">
        <v>24</v>
      </c>
      <c r="J9" s="25" t="s">
        <v>25</v>
      </c>
      <c r="K9" s="25" t="s">
        <v>27</v>
      </c>
      <c r="L9" s="25" t="s">
        <v>28</v>
      </c>
      <c r="M9" s="25" t="s">
        <v>43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239</v>
      </c>
      <c r="D10" s="27" t="s">
        <v>41</v>
      </c>
      <c r="E10" s="28"/>
      <c r="F10" s="54">
        <v>46306.0</v>
      </c>
      <c r="G10" s="43"/>
      <c r="H10" s="44">
        <v>100000.0</v>
      </c>
      <c r="I10" s="29" t="s">
        <v>34</v>
      </c>
      <c r="J10" s="17"/>
      <c r="K10" s="17"/>
      <c r="L10" s="25" t="s">
        <v>28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240</v>
      </c>
      <c r="D11" s="20" t="s">
        <v>21</v>
      </c>
      <c r="E11" s="19"/>
      <c r="F11" s="157">
        <v>46301.0</v>
      </c>
      <c r="G11" s="161">
        <v>250000.0</v>
      </c>
      <c r="H11" s="58"/>
      <c r="I11" s="25" t="s">
        <v>24</v>
      </c>
      <c r="J11" s="25" t="s">
        <v>25</v>
      </c>
      <c r="K11" s="25" t="s">
        <v>27</v>
      </c>
      <c r="L11" s="25" t="s">
        <v>28</v>
      </c>
      <c r="M11" s="25" t="s">
        <v>43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9" t="s">
        <v>241</v>
      </c>
      <c r="D12" s="20" t="s">
        <v>21</v>
      </c>
      <c r="E12" s="19"/>
      <c r="F12" s="25" t="s">
        <v>26</v>
      </c>
      <c r="G12" s="161">
        <v>330000.0</v>
      </c>
      <c r="H12" s="58"/>
      <c r="I12" s="25" t="s">
        <v>24</v>
      </c>
      <c r="J12" s="25" t="s">
        <v>25</v>
      </c>
      <c r="K12" s="25" t="s">
        <v>27</v>
      </c>
      <c r="L12" s="25" t="s">
        <v>35</v>
      </c>
      <c r="M12" s="25" t="s">
        <v>43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242</v>
      </c>
      <c r="D13" s="20" t="s">
        <v>37</v>
      </c>
      <c r="E13" s="19"/>
      <c r="F13" s="25" t="s">
        <v>221</v>
      </c>
      <c r="G13" s="159"/>
      <c r="H13" s="23">
        <v>100000.0</v>
      </c>
      <c r="I13" s="25" t="s">
        <v>24</v>
      </c>
      <c r="J13" s="25"/>
      <c r="K13" s="25"/>
      <c r="L13" s="25" t="s">
        <v>35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243</v>
      </c>
      <c r="D14" s="20" t="s">
        <v>21</v>
      </c>
      <c r="E14" s="19"/>
      <c r="F14" s="25" t="s">
        <v>26</v>
      </c>
      <c r="G14" s="161">
        <v>250000.0</v>
      </c>
      <c r="H14" s="58"/>
      <c r="I14" s="25" t="s">
        <v>24</v>
      </c>
      <c r="J14" s="25" t="s">
        <v>25</v>
      </c>
      <c r="K14" s="25" t="s">
        <v>27</v>
      </c>
      <c r="L14" s="25" t="s">
        <v>35</v>
      </c>
      <c r="M14" s="25" t="s">
        <v>57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244</v>
      </c>
      <c r="D15" s="20" t="s">
        <v>21</v>
      </c>
      <c r="E15" s="19"/>
      <c r="F15" s="25" t="s">
        <v>26</v>
      </c>
      <c r="G15" s="159"/>
      <c r="H15" s="23">
        <v>350000.0</v>
      </c>
      <c r="I15" s="25" t="s">
        <v>24</v>
      </c>
      <c r="J15" s="25" t="s">
        <v>25</v>
      </c>
      <c r="K15" s="25" t="s">
        <v>27</v>
      </c>
      <c r="L15" s="25" t="s">
        <v>35</v>
      </c>
      <c r="M15" s="25" t="s">
        <v>57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245</v>
      </c>
      <c r="D16" s="20" t="s">
        <v>21</v>
      </c>
      <c r="E16" s="19"/>
      <c r="F16" s="25" t="s">
        <v>26</v>
      </c>
      <c r="G16" s="159"/>
      <c r="H16" s="23">
        <v>330000.0</v>
      </c>
      <c r="I16" s="25" t="s">
        <v>24</v>
      </c>
      <c r="J16" s="25" t="s">
        <v>25</v>
      </c>
      <c r="K16" s="25" t="s">
        <v>27</v>
      </c>
      <c r="L16" s="25" t="s">
        <v>35</v>
      </c>
      <c r="M16" s="25" t="s">
        <v>57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246</v>
      </c>
      <c r="D17" s="20" t="s">
        <v>49</v>
      </c>
      <c r="E17" s="19"/>
      <c r="F17" s="25" t="s">
        <v>26</v>
      </c>
      <c r="G17" s="159"/>
      <c r="H17" s="23">
        <v>100000.0</v>
      </c>
      <c r="I17" s="25" t="s">
        <v>34</v>
      </c>
      <c r="J17" s="17"/>
      <c r="K17" s="17"/>
      <c r="L17" s="25" t="s">
        <v>35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246</v>
      </c>
      <c r="D18" s="20" t="s">
        <v>49</v>
      </c>
      <c r="E18" s="19"/>
      <c r="F18" s="25" t="s">
        <v>26</v>
      </c>
      <c r="G18" s="159"/>
      <c r="H18" s="23">
        <v>325000.0</v>
      </c>
      <c r="I18" s="25" t="s">
        <v>24</v>
      </c>
      <c r="J18" s="25" t="s">
        <v>25</v>
      </c>
      <c r="K18" s="25" t="s">
        <v>27</v>
      </c>
      <c r="L18" s="25" t="s">
        <v>35</v>
      </c>
      <c r="M18" s="25" t="s">
        <v>57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8" t="s">
        <v>247</v>
      </c>
      <c r="D19" s="20" t="s">
        <v>49</v>
      </c>
      <c r="E19" s="19"/>
      <c r="F19" s="25" t="s">
        <v>248</v>
      </c>
      <c r="G19" s="159"/>
      <c r="H19" s="23">
        <v>100000.0</v>
      </c>
      <c r="I19" s="25" t="s">
        <v>34</v>
      </c>
      <c r="J19" s="17"/>
      <c r="K19" s="17"/>
      <c r="L19" s="25" t="s">
        <v>35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4">
        <f t="shared" ref="G20:H20" si="1">SUM(G4:G19)</f>
        <v>1230000</v>
      </c>
      <c r="H20" s="7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3" t="s">
        <v>7</v>
      </c>
      <c r="D23" s="73" t="s">
        <v>118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119</v>
      </c>
      <c r="O23" s="73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121</v>
      </c>
      <c r="D24" s="77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124</v>
      </c>
      <c r="O24" s="81" t="s">
        <v>28</v>
      </c>
      <c r="P24" s="1"/>
      <c r="Q24" s="1"/>
      <c r="R24" s="1"/>
    </row>
    <row r="25" ht="15.75" customHeight="1">
      <c r="A25" s="1"/>
      <c r="B25" s="82">
        <v>2.0</v>
      </c>
      <c r="C25" s="92" t="s">
        <v>249</v>
      </c>
      <c r="D25" s="94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6" t="s">
        <v>128</v>
      </c>
      <c r="O25" s="87" t="s">
        <v>35</v>
      </c>
      <c r="P25" s="1"/>
      <c r="Q25" s="1"/>
      <c r="R25" s="1"/>
    </row>
    <row r="26" ht="15.75" customHeight="1">
      <c r="A26" s="1"/>
      <c r="B26" s="75">
        <v>3.0</v>
      </c>
      <c r="C26" s="97"/>
      <c r="D26" s="98"/>
      <c r="E26" s="78"/>
      <c r="F26" s="1"/>
      <c r="G26" s="1"/>
      <c r="H26" s="1"/>
      <c r="I26" s="1"/>
      <c r="J26" s="1"/>
      <c r="K26" s="1"/>
      <c r="L26" s="1"/>
      <c r="M26" s="1"/>
      <c r="N26" s="88" t="s">
        <v>131</v>
      </c>
      <c r="O26" s="89" t="s">
        <v>43</v>
      </c>
      <c r="P26" s="1"/>
      <c r="Q26" s="1"/>
      <c r="R26" s="1"/>
    </row>
    <row r="27" ht="15.75" customHeight="1">
      <c r="A27" s="1"/>
      <c r="B27" s="82">
        <v>4.0</v>
      </c>
      <c r="C27" s="90"/>
      <c r="D27" s="91"/>
      <c r="E27" s="78"/>
      <c r="F27" s="1"/>
      <c r="G27" s="1"/>
      <c r="H27" s="1"/>
      <c r="I27" s="1"/>
      <c r="J27" s="1"/>
      <c r="K27" s="1"/>
      <c r="L27" s="1"/>
      <c r="M27" s="1"/>
      <c r="N27" s="95" t="s">
        <v>137</v>
      </c>
      <c r="O27" s="87" t="s">
        <v>57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82">
        <v>6.0</v>
      </c>
      <c r="C29" s="90"/>
      <c r="D29" s="91"/>
      <c r="E29" s="78"/>
      <c r="F29" s="1"/>
      <c r="G29" s="1"/>
      <c r="H29" s="1"/>
      <c r="I29" s="1"/>
      <c r="J29" s="1"/>
      <c r="K29" s="99" t="s">
        <v>141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100" t="s">
        <v>2</v>
      </c>
      <c r="L30" s="100" t="s">
        <v>144</v>
      </c>
      <c r="M30" s="100" t="s">
        <v>145</v>
      </c>
      <c r="N30" s="100" t="s">
        <v>146</v>
      </c>
      <c r="O30" s="100" t="s">
        <v>147</v>
      </c>
      <c r="P30" s="100" t="s">
        <v>148</v>
      </c>
      <c r="Q30" s="1"/>
      <c r="R30" s="1"/>
      <c r="AC30" s="101" t="s">
        <v>151</v>
      </c>
      <c r="AD30" s="101" t="s">
        <v>152</v>
      </c>
      <c r="AE30" s="101" t="s">
        <v>153</v>
      </c>
      <c r="AF30" s="101" t="s">
        <v>154</v>
      </c>
      <c r="AG30" s="101" t="s">
        <v>155</v>
      </c>
    </row>
    <row r="31" ht="15.75" customHeight="1">
      <c r="A31" s="1"/>
      <c r="B31" s="82">
        <v>8.0</v>
      </c>
      <c r="C31" s="90"/>
      <c r="D31" s="91"/>
      <c r="E31" s="78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0"/>
      <c r="D33" s="91"/>
      <c r="E33" s="78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8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2">
        <f>SUM(D24:D34)</f>
        <v>1150000</v>
      </c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191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193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195</v>
      </c>
      <c r="M40" s="119" t="s">
        <v>196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7" t="s">
        <v>199</v>
      </c>
    </row>
    <row r="45" ht="19.5" customHeight="1">
      <c r="K45" s="128" t="s">
        <v>200</v>
      </c>
      <c r="M45" s="122">
        <v>26.0</v>
      </c>
    </row>
    <row r="46" ht="19.5" customHeight="1">
      <c r="K46" s="129" t="s">
        <v>202</v>
      </c>
      <c r="M46" s="130">
        <f>COUNTIF($I$4:$I$22,"DP")</f>
        <v>5</v>
      </c>
    </row>
    <row r="47" ht="19.5" customHeight="1">
      <c r="K47" s="129" t="s">
        <v>204</v>
      </c>
      <c r="M47" s="130">
        <f>COUNTIFS($I$4:$I$22,"&lt;&gt;DP",$I$4:$I$22,"&lt;&gt;")</f>
        <v>11</v>
      </c>
    </row>
    <row r="48" ht="19.5" customHeight="1">
      <c r="K48" s="131" t="s">
        <v>206</v>
      </c>
      <c r="M48" s="130">
        <f>M46+M47</f>
        <v>16</v>
      </c>
    </row>
    <row r="49" ht="19.5" customHeight="1">
      <c r="K49" s="128" t="s">
        <v>207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250</v>
      </c>
      <c r="D4" s="27" t="s">
        <v>251</v>
      </c>
      <c r="E4" s="26"/>
      <c r="F4" s="54">
        <v>46302.0</v>
      </c>
      <c r="G4" s="36"/>
      <c r="H4" s="35">
        <v>100000.0</v>
      </c>
      <c r="I4" s="29" t="s">
        <v>34</v>
      </c>
      <c r="J4" s="17"/>
      <c r="K4" s="17"/>
      <c r="L4" s="29" t="s">
        <v>28</v>
      </c>
      <c r="M4" s="19"/>
      <c r="N4" s="30"/>
      <c r="O4" s="30"/>
      <c r="P4" s="33"/>
      <c r="Q4" s="1"/>
      <c r="R4" s="1"/>
    </row>
    <row r="5" ht="15.75" customHeight="1">
      <c r="A5" s="1"/>
      <c r="B5" s="17">
        <v>2.0</v>
      </c>
      <c r="C5" s="20" t="s">
        <v>252</v>
      </c>
      <c r="D5" s="27" t="s">
        <v>251</v>
      </c>
      <c r="E5" s="26"/>
      <c r="F5" s="54">
        <v>46302.0</v>
      </c>
      <c r="G5" s="36"/>
      <c r="H5" s="35">
        <v>250000.0</v>
      </c>
      <c r="I5" s="29" t="s">
        <v>24</v>
      </c>
      <c r="J5" s="25" t="s">
        <v>25</v>
      </c>
      <c r="K5" s="25" t="s">
        <v>27</v>
      </c>
      <c r="L5" s="29" t="s">
        <v>28</v>
      </c>
      <c r="M5" s="29" t="s">
        <v>57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62" t="s">
        <v>253</v>
      </c>
      <c r="D6" s="27" t="s">
        <v>41</v>
      </c>
      <c r="E6" s="51"/>
      <c r="F6" s="54">
        <v>46271.0</v>
      </c>
      <c r="G6" s="43"/>
      <c r="H6" s="35">
        <v>225000.0</v>
      </c>
      <c r="I6" s="29" t="s">
        <v>24</v>
      </c>
      <c r="J6" s="25" t="s">
        <v>25</v>
      </c>
      <c r="K6" s="25" t="s">
        <v>25</v>
      </c>
      <c r="L6" s="29" t="s">
        <v>28</v>
      </c>
      <c r="M6" s="29" t="s">
        <v>57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254</v>
      </c>
      <c r="D7" s="27" t="s">
        <v>21</v>
      </c>
      <c r="E7" s="26"/>
      <c r="F7" s="54">
        <v>46302.0</v>
      </c>
      <c r="G7" s="36"/>
      <c r="H7" s="35">
        <v>250000.0</v>
      </c>
      <c r="I7" s="29" t="s">
        <v>24</v>
      </c>
      <c r="J7" s="25" t="s">
        <v>25</v>
      </c>
      <c r="K7" s="25" t="s">
        <v>27</v>
      </c>
      <c r="L7" s="29" t="s">
        <v>28</v>
      </c>
      <c r="M7" s="29" t="s">
        <v>57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255</v>
      </c>
      <c r="D8" s="27" t="s">
        <v>49</v>
      </c>
      <c r="E8" s="26"/>
      <c r="F8" s="163">
        <v>46302.0</v>
      </c>
      <c r="G8" s="36"/>
      <c r="H8" s="35">
        <v>175000.0</v>
      </c>
      <c r="I8" s="25" t="s">
        <v>24</v>
      </c>
      <c r="J8" s="25" t="s">
        <v>25</v>
      </c>
      <c r="K8" s="25" t="s">
        <v>25</v>
      </c>
      <c r="L8" s="25" t="s">
        <v>28</v>
      </c>
      <c r="M8" s="25" t="s">
        <v>57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149</v>
      </c>
      <c r="D9" s="27" t="s">
        <v>90</v>
      </c>
      <c r="E9" s="164" t="s">
        <v>256</v>
      </c>
      <c r="F9" s="163">
        <v>46298.0</v>
      </c>
      <c r="G9" s="36"/>
      <c r="H9" s="35">
        <v>50000.0</v>
      </c>
      <c r="I9" s="25" t="s">
        <v>24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257</v>
      </c>
      <c r="D10" s="27" t="s">
        <v>49</v>
      </c>
      <c r="E10" s="42"/>
      <c r="F10" s="163">
        <v>46312.0</v>
      </c>
      <c r="G10" s="36"/>
      <c r="H10" s="35">
        <v>100000.0</v>
      </c>
      <c r="I10" s="25" t="s">
        <v>34</v>
      </c>
      <c r="J10" s="17"/>
      <c r="K10" s="17"/>
      <c r="L10" s="25" t="s">
        <v>28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258</v>
      </c>
      <c r="D11" s="27" t="s">
        <v>37</v>
      </c>
      <c r="E11" s="28"/>
      <c r="F11" s="29" t="s">
        <v>259</v>
      </c>
      <c r="G11" s="36"/>
      <c r="H11" s="35">
        <v>100000.0</v>
      </c>
      <c r="I11" s="25" t="s">
        <v>24</v>
      </c>
      <c r="J11" s="17"/>
      <c r="K11" s="17"/>
      <c r="L11" s="25" t="s">
        <v>35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260</v>
      </c>
      <c r="D12" s="27" t="s">
        <v>72</v>
      </c>
      <c r="E12" s="26"/>
      <c r="F12" s="29" t="s">
        <v>221</v>
      </c>
      <c r="G12" s="36"/>
      <c r="H12" s="35">
        <v>100000.0</v>
      </c>
      <c r="I12" s="25" t="s">
        <v>34</v>
      </c>
      <c r="J12" s="17"/>
      <c r="K12" s="17"/>
      <c r="L12" s="25" t="s">
        <v>35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261</v>
      </c>
      <c r="D13" s="27" t="s">
        <v>41</v>
      </c>
      <c r="E13" s="26"/>
      <c r="F13" s="29" t="s">
        <v>248</v>
      </c>
      <c r="G13" s="57">
        <v>125000.0</v>
      </c>
      <c r="H13" s="40"/>
      <c r="I13" s="25" t="s">
        <v>24</v>
      </c>
      <c r="J13" s="25" t="s">
        <v>25</v>
      </c>
      <c r="K13" s="25" t="s">
        <v>39</v>
      </c>
      <c r="L13" s="25" t="s">
        <v>35</v>
      </c>
      <c r="M13" s="25" t="s">
        <v>57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262</v>
      </c>
      <c r="D14" s="27" t="s">
        <v>49</v>
      </c>
      <c r="E14" s="26"/>
      <c r="F14" s="29" t="s">
        <v>263</v>
      </c>
      <c r="G14" s="36"/>
      <c r="H14" s="35">
        <v>100000.0</v>
      </c>
      <c r="I14" s="25" t="s">
        <v>34</v>
      </c>
      <c r="J14" s="17"/>
      <c r="K14" s="17"/>
      <c r="L14" s="25" t="s">
        <v>35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4"/>
      <c r="D15" s="65"/>
      <c r="E15" s="26"/>
      <c r="F15" s="165"/>
      <c r="G15" s="36"/>
      <c r="H15" s="40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4"/>
      <c r="D16" s="65"/>
      <c r="E16" s="26"/>
      <c r="F16" s="165"/>
      <c r="G16" s="36"/>
      <c r="H16" s="40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4"/>
      <c r="D17" s="65"/>
      <c r="E17" s="28"/>
      <c r="F17" s="165"/>
      <c r="G17" s="43"/>
      <c r="H17" s="111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69"/>
      <c r="D18" s="64"/>
      <c r="E18" s="19"/>
      <c r="F18" s="17"/>
      <c r="G18" s="159"/>
      <c r="H18" s="58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4">
        <f t="shared" ref="G19:H19" si="1">SUM(G4:G18)</f>
        <v>125000</v>
      </c>
      <c r="H19" s="7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3" t="s">
        <v>7</v>
      </c>
      <c r="D22" s="73" t="s">
        <v>118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119</v>
      </c>
      <c r="O22" s="73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121</v>
      </c>
      <c r="D23" s="77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124</v>
      </c>
      <c r="O23" s="81" t="s">
        <v>28</v>
      </c>
      <c r="P23" s="1"/>
      <c r="Q23" s="1"/>
      <c r="R23" s="1"/>
    </row>
    <row r="24" ht="15.75" customHeight="1">
      <c r="A24" s="1"/>
      <c r="B24" s="82">
        <v>2.0</v>
      </c>
      <c r="C24" s="83"/>
      <c r="D24" s="84"/>
      <c r="E24" s="78"/>
      <c r="F24" s="1"/>
      <c r="G24" s="1"/>
      <c r="H24" s="1"/>
      <c r="I24" s="1"/>
      <c r="J24" s="1"/>
      <c r="K24" s="1"/>
      <c r="L24" s="1"/>
      <c r="M24" s="1"/>
      <c r="N24" s="86" t="s">
        <v>128</v>
      </c>
      <c r="O24" s="87" t="s">
        <v>35</v>
      </c>
      <c r="P24" s="1"/>
      <c r="Q24" s="1"/>
      <c r="R24" s="1"/>
    </row>
    <row r="25" ht="15.75" customHeight="1">
      <c r="A25" s="1"/>
      <c r="B25" s="75">
        <v>3.0</v>
      </c>
      <c r="C25" s="97"/>
      <c r="D25" s="98"/>
      <c r="E25" s="78"/>
      <c r="F25" s="1"/>
      <c r="G25" s="1"/>
      <c r="H25" s="1"/>
      <c r="I25" s="1"/>
      <c r="J25" s="1"/>
      <c r="K25" s="1"/>
      <c r="L25" s="1"/>
      <c r="M25" s="1"/>
      <c r="N25" s="88" t="s">
        <v>131</v>
      </c>
      <c r="O25" s="89" t="s">
        <v>57</v>
      </c>
      <c r="P25" s="1"/>
      <c r="Q25" s="1"/>
      <c r="R25" s="1"/>
    </row>
    <row r="26" ht="15.75" customHeight="1">
      <c r="A26" s="1"/>
      <c r="B26" s="82">
        <v>4.0</v>
      </c>
      <c r="C26" s="90"/>
      <c r="D26" s="91"/>
      <c r="E26" s="78"/>
      <c r="F26" s="1"/>
      <c r="G26" s="1"/>
      <c r="H26" s="1"/>
      <c r="I26" s="1"/>
      <c r="J26" s="1"/>
      <c r="K26" s="1"/>
      <c r="L26" s="1"/>
      <c r="M26" s="1"/>
      <c r="N26" s="95" t="s">
        <v>137</v>
      </c>
      <c r="O26" s="87" t="s">
        <v>57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93"/>
      <c r="G27" s="3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82">
        <v>6.0</v>
      </c>
      <c r="C28" s="90"/>
      <c r="D28" s="91"/>
      <c r="E28" s="78"/>
      <c r="F28" s="1"/>
      <c r="G28" s="1"/>
      <c r="H28" s="1"/>
      <c r="I28" s="1"/>
      <c r="J28" s="1"/>
      <c r="K28" s="99" t="s">
        <v>141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100" t="s">
        <v>2</v>
      </c>
      <c r="L29" s="100" t="s">
        <v>144</v>
      </c>
      <c r="M29" s="100" t="s">
        <v>145</v>
      </c>
      <c r="N29" s="100" t="s">
        <v>146</v>
      </c>
      <c r="O29" s="100" t="s">
        <v>147</v>
      </c>
      <c r="P29" s="100" t="s">
        <v>148</v>
      </c>
      <c r="Q29" s="1"/>
      <c r="R29" s="1"/>
      <c r="AC29" s="101" t="s">
        <v>151</v>
      </c>
      <c r="AD29" s="101" t="s">
        <v>152</v>
      </c>
      <c r="AE29" s="101" t="s">
        <v>153</v>
      </c>
      <c r="AF29" s="101" t="s">
        <v>154</v>
      </c>
      <c r="AG29" s="101" t="s">
        <v>155</v>
      </c>
    </row>
    <row r="30" ht="15.75" customHeight="1">
      <c r="A30" s="1"/>
      <c r="B30" s="82">
        <v>8.0</v>
      </c>
      <c r="C30" s="90"/>
      <c r="D30" s="91"/>
      <c r="E30" s="78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0"/>
      <c r="D32" s="91"/>
      <c r="E32" s="78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08">
        <v>11.0</v>
      </c>
      <c r="C33" s="109"/>
      <c r="D33" s="110"/>
      <c r="E33" s="78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12">
        <f>SUM(D23:D33)</f>
        <v>125000</v>
      </c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191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6" t="s">
        <v>193</v>
      </c>
      <c r="N38" s="1"/>
      <c r="O38" s="1"/>
      <c r="P38" s="1"/>
      <c r="Q38" s="1"/>
      <c r="R38" s="1"/>
    </row>
    <row r="39" ht="15.75" customHeight="1">
      <c r="K39" s="119" t="s">
        <v>8</v>
      </c>
      <c r="L39" s="119" t="s">
        <v>195</v>
      </c>
      <c r="M39" s="119" t="s">
        <v>196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264</v>
      </c>
    </row>
    <row r="41" ht="15.75" customHeight="1">
      <c r="K41" s="121" t="str">
        <f t="shared" si="8"/>
        <v>AMEL</v>
      </c>
      <c r="L41" s="122">
        <v>3.0</v>
      </c>
      <c r="M41" s="122" t="s">
        <v>265</v>
      </c>
    </row>
    <row r="42" ht="15.75" customHeight="1"/>
    <row r="43" ht="19.5" customHeight="1">
      <c r="K43" s="127" t="s">
        <v>199</v>
      </c>
    </row>
    <row r="44" ht="19.5" customHeight="1">
      <c r="K44" s="128" t="s">
        <v>200</v>
      </c>
      <c r="M44" s="122">
        <v>21.0</v>
      </c>
    </row>
    <row r="45" ht="19.5" customHeight="1">
      <c r="K45" s="129" t="s">
        <v>202</v>
      </c>
      <c r="M45" s="130">
        <f>COUNTIF($I$4:$I$21,"DP")</f>
        <v>4</v>
      </c>
    </row>
    <row r="46" ht="19.5" customHeight="1">
      <c r="K46" s="129" t="s">
        <v>204</v>
      </c>
      <c r="M46" s="130">
        <f>COUNTIFS($I$4:$I$21,"&lt;&gt;DP",$I$4:$I$21,"&lt;&gt;")</f>
        <v>7</v>
      </c>
    </row>
    <row r="47" ht="19.5" customHeight="1">
      <c r="K47" s="131" t="s">
        <v>206</v>
      </c>
      <c r="M47" s="130">
        <f>M45+M46</f>
        <v>11</v>
      </c>
    </row>
    <row r="48" ht="19.5" customHeight="1">
      <c r="K48" s="128" t="s">
        <v>207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58</v>
      </c>
      <c r="D4" s="27" t="s">
        <v>32</v>
      </c>
      <c r="E4" s="28"/>
      <c r="F4" s="29" t="s">
        <v>46</v>
      </c>
      <c r="G4" s="32"/>
      <c r="H4" s="167">
        <v>100000.0</v>
      </c>
      <c r="I4" s="29" t="s">
        <v>24</v>
      </c>
      <c r="J4" s="29" t="s">
        <v>25</v>
      </c>
      <c r="K4" s="29" t="s">
        <v>25</v>
      </c>
      <c r="L4" s="29" t="s">
        <v>35</v>
      </c>
      <c r="M4" s="19"/>
      <c r="N4" s="17"/>
      <c r="O4" s="17"/>
      <c r="P4" s="113"/>
      <c r="Q4" s="1"/>
      <c r="R4" s="1"/>
    </row>
    <row r="5" ht="15.75" customHeight="1">
      <c r="A5" s="1"/>
      <c r="B5" s="17">
        <v>2.0</v>
      </c>
      <c r="C5" s="20" t="s">
        <v>266</v>
      </c>
      <c r="D5" s="27" t="s">
        <v>267</v>
      </c>
      <c r="E5" s="28"/>
      <c r="F5" s="29" t="s">
        <v>46</v>
      </c>
      <c r="G5" s="39">
        <v>50000.0</v>
      </c>
      <c r="H5" s="168"/>
      <c r="I5" s="29" t="s">
        <v>24</v>
      </c>
      <c r="J5" s="29" t="s">
        <v>25</v>
      </c>
      <c r="K5" s="29" t="s">
        <v>27</v>
      </c>
      <c r="L5" s="29" t="s">
        <v>35</v>
      </c>
      <c r="M5" s="29" t="s">
        <v>43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268</v>
      </c>
      <c r="D6" s="27" t="s">
        <v>236</v>
      </c>
      <c r="E6" s="28"/>
      <c r="F6" s="29" t="s">
        <v>269</v>
      </c>
      <c r="G6" s="32"/>
      <c r="H6" s="167">
        <v>20000.0</v>
      </c>
      <c r="I6" s="29" t="s">
        <v>24</v>
      </c>
      <c r="J6" s="29" t="s">
        <v>39</v>
      </c>
      <c r="K6" s="29" t="s">
        <v>39</v>
      </c>
      <c r="L6" s="29" t="s">
        <v>35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270</v>
      </c>
      <c r="D7" s="27" t="s">
        <v>49</v>
      </c>
      <c r="E7" s="28"/>
      <c r="F7" s="29" t="s">
        <v>263</v>
      </c>
      <c r="G7" s="32"/>
      <c r="H7" s="167">
        <v>550000.0</v>
      </c>
      <c r="I7" s="29" t="s">
        <v>24</v>
      </c>
      <c r="J7" s="29" t="s">
        <v>25</v>
      </c>
      <c r="K7" s="29" t="s">
        <v>27</v>
      </c>
      <c r="L7" s="29" t="s">
        <v>35</v>
      </c>
      <c r="M7" s="29" t="s">
        <v>43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271</v>
      </c>
      <c r="D8" s="27" t="s">
        <v>49</v>
      </c>
      <c r="E8" s="28"/>
      <c r="F8" s="29" t="s">
        <v>259</v>
      </c>
      <c r="G8" s="45"/>
      <c r="H8" s="169">
        <v>100000.0</v>
      </c>
      <c r="I8" s="29" t="s">
        <v>34</v>
      </c>
      <c r="J8" s="19"/>
      <c r="K8" s="19"/>
      <c r="L8" s="29" t="s">
        <v>35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272</v>
      </c>
      <c r="D9" s="27" t="s">
        <v>21</v>
      </c>
      <c r="E9" s="51"/>
      <c r="F9" s="29" t="s">
        <v>263</v>
      </c>
      <c r="G9" s="32"/>
      <c r="H9" s="167">
        <v>290000.0</v>
      </c>
      <c r="I9" s="29" t="s">
        <v>24</v>
      </c>
      <c r="J9" s="29" t="s">
        <v>25</v>
      </c>
      <c r="K9" s="29" t="s">
        <v>27</v>
      </c>
      <c r="L9" s="29" t="s">
        <v>35</v>
      </c>
      <c r="M9" s="29" t="s">
        <v>43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273</v>
      </c>
      <c r="D10" s="27" t="s">
        <v>37</v>
      </c>
      <c r="E10" s="51"/>
      <c r="F10" s="29" t="s">
        <v>263</v>
      </c>
      <c r="G10" s="32"/>
      <c r="H10" s="167">
        <v>100000.0</v>
      </c>
      <c r="I10" s="29" t="s">
        <v>24</v>
      </c>
      <c r="J10" s="19"/>
      <c r="K10" s="19"/>
      <c r="L10" s="29" t="s">
        <v>35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231</v>
      </c>
      <c r="D11" s="27" t="s">
        <v>49</v>
      </c>
      <c r="E11" s="28"/>
      <c r="F11" s="29" t="s">
        <v>263</v>
      </c>
      <c r="G11" s="32"/>
      <c r="H11" s="167">
        <v>100000.0</v>
      </c>
      <c r="I11" s="29" t="s">
        <v>24</v>
      </c>
      <c r="J11" s="29" t="s">
        <v>25</v>
      </c>
      <c r="K11" s="29" t="s">
        <v>25</v>
      </c>
      <c r="L11" s="29" t="s">
        <v>35</v>
      </c>
      <c r="M11" s="29" t="s">
        <v>43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274</v>
      </c>
      <c r="D12" s="27" t="s">
        <v>21</v>
      </c>
      <c r="E12" s="28"/>
      <c r="F12" s="29" t="s">
        <v>263</v>
      </c>
      <c r="G12" s="39">
        <v>350000.0</v>
      </c>
      <c r="H12" s="168"/>
      <c r="I12" s="29" t="s">
        <v>24</v>
      </c>
      <c r="J12" s="29" t="s">
        <v>25</v>
      </c>
      <c r="K12" s="29" t="s">
        <v>27</v>
      </c>
      <c r="L12" s="29" t="s">
        <v>35</v>
      </c>
      <c r="M12" s="29" t="s">
        <v>57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275</v>
      </c>
      <c r="D13" s="27" t="s">
        <v>82</v>
      </c>
      <c r="E13" s="28"/>
      <c r="F13" s="29" t="s">
        <v>263</v>
      </c>
      <c r="G13" s="32"/>
      <c r="H13" s="167">
        <v>100000.0</v>
      </c>
      <c r="I13" s="29" t="s">
        <v>34</v>
      </c>
      <c r="J13" s="19"/>
      <c r="K13" s="19"/>
      <c r="L13" s="29" t="s">
        <v>35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276</v>
      </c>
      <c r="D14" s="27" t="s">
        <v>277</v>
      </c>
      <c r="E14" s="28"/>
      <c r="F14" s="29" t="s">
        <v>263</v>
      </c>
      <c r="G14" s="32"/>
      <c r="H14" s="167">
        <v>200000.0</v>
      </c>
      <c r="I14" s="29" t="s">
        <v>24</v>
      </c>
      <c r="J14" s="29" t="s">
        <v>25</v>
      </c>
      <c r="K14" s="29" t="s">
        <v>27</v>
      </c>
      <c r="L14" s="29" t="s">
        <v>35</v>
      </c>
      <c r="M14" s="29" t="s">
        <v>57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278</v>
      </c>
      <c r="D15" s="27" t="s">
        <v>82</v>
      </c>
      <c r="E15" s="28"/>
      <c r="F15" s="29" t="s">
        <v>263</v>
      </c>
      <c r="G15" s="32"/>
      <c r="H15" s="167">
        <v>150000.0</v>
      </c>
      <c r="I15" s="29" t="s">
        <v>24</v>
      </c>
      <c r="J15" s="29" t="s">
        <v>25</v>
      </c>
      <c r="K15" s="29" t="s">
        <v>27</v>
      </c>
      <c r="L15" s="29" t="s">
        <v>35</v>
      </c>
      <c r="M15" s="29" t="s">
        <v>57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279</v>
      </c>
      <c r="D16" s="27" t="s">
        <v>49</v>
      </c>
      <c r="E16" s="28"/>
      <c r="F16" s="29" t="s">
        <v>259</v>
      </c>
      <c r="G16" s="32"/>
      <c r="H16" s="167">
        <v>100000.0</v>
      </c>
      <c r="I16" s="29" t="s">
        <v>34</v>
      </c>
      <c r="J16" s="19"/>
      <c r="K16" s="19"/>
      <c r="L16" s="29" t="s">
        <v>35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276</v>
      </c>
      <c r="D17" s="27" t="s">
        <v>280</v>
      </c>
      <c r="E17" s="28"/>
      <c r="F17" s="29" t="s">
        <v>263</v>
      </c>
      <c r="G17" s="32"/>
      <c r="H17" s="167">
        <v>400000.0</v>
      </c>
      <c r="I17" s="29" t="s">
        <v>24</v>
      </c>
      <c r="J17" s="29" t="s">
        <v>25</v>
      </c>
      <c r="K17" s="29" t="s">
        <v>27</v>
      </c>
      <c r="L17" s="29" t="s">
        <v>35</v>
      </c>
      <c r="M17" s="29" t="s">
        <v>57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9" t="s">
        <v>281</v>
      </c>
      <c r="D18" s="27" t="s">
        <v>277</v>
      </c>
      <c r="E18" s="164">
        <v>2.0</v>
      </c>
      <c r="F18" s="29" t="s">
        <v>221</v>
      </c>
      <c r="G18" s="32"/>
      <c r="H18" s="167">
        <v>100000.0</v>
      </c>
      <c r="I18" s="29" t="s">
        <v>24</v>
      </c>
      <c r="J18" s="19"/>
      <c r="K18" s="19"/>
      <c r="L18" s="29" t="s">
        <v>35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273</v>
      </c>
      <c r="D19" s="27" t="s">
        <v>267</v>
      </c>
      <c r="E19" s="28"/>
      <c r="F19" s="29" t="s">
        <v>263</v>
      </c>
      <c r="G19" s="32"/>
      <c r="H19" s="167">
        <v>50000.0</v>
      </c>
      <c r="I19" s="29" t="s">
        <v>24</v>
      </c>
      <c r="J19" s="29" t="s">
        <v>25</v>
      </c>
      <c r="K19" s="29" t="s">
        <v>27</v>
      </c>
      <c r="L19" s="29" t="s">
        <v>35</v>
      </c>
      <c r="M19" s="29" t="s">
        <v>57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4">
        <f t="shared" ref="G20:H20" si="1">SUM(G4:G19)</f>
        <v>400000</v>
      </c>
      <c r="H20" s="7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3" t="s">
        <v>7</v>
      </c>
      <c r="D23" s="73" t="s">
        <v>118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119</v>
      </c>
      <c r="O23" s="73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121</v>
      </c>
      <c r="D24" s="77">
        <f>SUM(G20)</f>
        <v>400000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124</v>
      </c>
      <c r="O24" s="81" t="s">
        <v>35</v>
      </c>
      <c r="P24" s="1"/>
      <c r="Q24" s="1"/>
      <c r="R24" s="1"/>
    </row>
    <row r="25" ht="15.75" customHeight="1">
      <c r="A25" s="1"/>
      <c r="B25" s="82">
        <v>2.0</v>
      </c>
      <c r="C25" s="92" t="s">
        <v>214</v>
      </c>
      <c r="D25" s="94">
        <v>-12000.0</v>
      </c>
      <c r="E25" s="78"/>
      <c r="F25" s="1"/>
      <c r="G25" s="1"/>
      <c r="H25" s="1"/>
      <c r="I25" s="1"/>
      <c r="J25" s="1"/>
      <c r="K25" s="1"/>
      <c r="L25" s="1"/>
      <c r="M25" s="1"/>
      <c r="N25" s="86" t="s">
        <v>128</v>
      </c>
      <c r="O25" s="87" t="s">
        <v>35</v>
      </c>
      <c r="P25" s="1"/>
      <c r="Q25" s="1"/>
      <c r="R25" s="1"/>
    </row>
    <row r="26" ht="15.75" customHeight="1">
      <c r="A26" s="1"/>
      <c r="B26" s="75">
        <v>3.0</v>
      </c>
      <c r="C26" s="171" t="s">
        <v>249</v>
      </c>
      <c r="D26" s="172">
        <v>-88000.0</v>
      </c>
      <c r="E26" s="78"/>
      <c r="F26" s="1"/>
      <c r="G26" s="1"/>
      <c r="H26" s="1"/>
      <c r="I26" s="1"/>
      <c r="J26" s="1"/>
      <c r="K26" s="1"/>
      <c r="L26" s="1"/>
      <c r="M26" s="1"/>
      <c r="N26" s="88" t="s">
        <v>131</v>
      </c>
      <c r="O26" s="89" t="s">
        <v>43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37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95" t="s">
        <v>137</v>
      </c>
      <c r="O27" s="87" t="s">
        <v>57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82">
        <v>6.0</v>
      </c>
      <c r="C29" s="90"/>
      <c r="D29" s="91"/>
      <c r="E29" s="78"/>
      <c r="F29" s="1"/>
      <c r="G29" s="1"/>
      <c r="H29" s="1"/>
      <c r="I29" s="1"/>
      <c r="J29" s="1"/>
      <c r="K29" s="99" t="s">
        <v>141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100" t="s">
        <v>2</v>
      </c>
      <c r="L30" s="100" t="s">
        <v>144</v>
      </c>
      <c r="M30" s="100" t="s">
        <v>145</v>
      </c>
      <c r="N30" s="100" t="s">
        <v>146</v>
      </c>
      <c r="O30" s="100" t="s">
        <v>147</v>
      </c>
      <c r="P30" s="100" t="s">
        <v>148</v>
      </c>
      <c r="Q30" s="1"/>
      <c r="R30" s="1"/>
      <c r="AC30" s="101" t="s">
        <v>151</v>
      </c>
      <c r="AD30" s="101" t="s">
        <v>152</v>
      </c>
      <c r="AE30" s="101" t="s">
        <v>153</v>
      </c>
      <c r="AF30" s="101" t="s">
        <v>154</v>
      </c>
      <c r="AG30" s="101" t="s">
        <v>155</v>
      </c>
    </row>
    <row r="31" ht="15.75" customHeight="1">
      <c r="A31" s="1"/>
      <c r="B31" s="82">
        <v>8.0</v>
      </c>
      <c r="C31" s="90"/>
      <c r="D31" s="91"/>
      <c r="E31" s="78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0"/>
      <c r="D33" s="91"/>
      <c r="E33" s="78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8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2">
        <f>SUM(D24:D34)</f>
        <v>250000</v>
      </c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191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193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195</v>
      </c>
      <c r="M40" s="119" t="s">
        <v>196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7" t="s">
        <v>199</v>
      </c>
    </row>
    <row r="45" ht="19.5" customHeight="1">
      <c r="K45" s="128" t="s">
        <v>200</v>
      </c>
      <c r="M45" s="122">
        <v>20.0</v>
      </c>
    </row>
    <row r="46" ht="19.5" customHeight="1">
      <c r="K46" s="129" t="s">
        <v>202</v>
      </c>
      <c r="M46" s="130">
        <f>COUNTIF($I$4:$I$22,"DP")</f>
        <v>3</v>
      </c>
    </row>
    <row r="47" ht="19.5" customHeight="1">
      <c r="K47" s="129" t="s">
        <v>204</v>
      </c>
      <c r="M47" s="130">
        <f>COUNTIFS($I$4:$I$22,"&lt;&gt;DP",$I$4:$I$22,"&lt;&gt;")</f>
        <v>13</v>
      </c>
    </row>
    <row r="48" ht="19.5" customHeight="1">
      <c r="K48" s="131" t="s">
        <v>206</v>
      </c>
      <c r="M48" s="130">
        <f>M46+M47</f>
        <v>16</v>
      </c>
    </row>
    <row r="49" ht="19.5" customHeight="1">
      <c r="K49" s="128" t="s">
        <v>207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273</v>
      </c>
      <c r="D4" s="27" t="s">
        <v>62</v>
      </c>
      <c r="E4" s="28"/>
      <c r="F4" s="19"/>
      <c r="G4" s="32"/>
      <c r="H4" s="167">
        <v>140000.0</v>
      </c>
      <c r="I4" s="29" t="s">
        <v>24</v>
      </c>
      <c r="J4" s="29" t="s">
        <v>25</v>
      </c>
      <c r="K4" s="29" t="s">
        <v>25</v>
      </c>
      <c r="L4" s="29" t="s">
        <v>35</v>
      </c>
      <c r="M4" s="19"/>
      <c r="N4" s="30"/>
      <c r="O4" s="30"/>
      <c r="P4" s="33"/>
      <c r="Q4" s="1"/>
      <c r="R4" s="1"/>
    </row>
    <row r="5" ht="15.75" customHeight="1">
      <c r="A5" s="1"/>
      <c r="B5" s="17">
        <v>2.0</v>
      </c>
      <c r="C5" s="20" t="s">
        <v>283</v>
      </c>
      <c r="D5" s="27" t="s">
        <v>21</v>
      </c>
      <c r="E5" s="51"/>
      <c r="F5" s="29" t="s">
        <v>30</v>
      </c>
      <c r="G5" s="32"/>
      <c r="H5" s="167">
        <v>100000.0</v>
      </c>
      <c r="I5" s="29" t="s">
        <v>34</v>
      </c>
      <c r="J5" s="29" t="s">
        <v>39</v>
      </c>
      <c r="K5" s="29" t="s">
        <v>39</v>
      </c>
      <c r="L5" s="29" t="s">
        <v>35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284</v>
      </c>
      <c r="D6" s="27" t="s">
        <v>82</v>
      </c>
      <c r="E6" s="28"/>
      <c r="F6" s="29" t="s">
        <v>48</v>
      </c>
      <c r="G6" s="32"/>
      <c r="H6" s="167">
        <v>100000.0</v>
      </c>
      <c r="I6" s="29" t="s">
        <v>34</v>
      </c>
      <c r="J6" s="29" t="s">
        <v>39</v>
      </c>
      <c r="K6" s="29" t="s">
        <v>39</v>
      </c>
      <c r="L6" s="29" t="s">
        <v>35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260</v>
      </c>
      <c r="D7" s="27" t="s">
        <v>72</v>
      </c>
      <c r="E7" s="164" t="s">
        <v>285</v>
      </c>
      <c r="F7" s="29" t="s">
        <v>221</v>
      </c>
      <c r="G7" s="32"/>
      <c r="H7" s="167">
        <v>350000.0</v>
      </c>
      <c r="I7" s="29" t="s">
        <v>24</v>
      </c>
      <c r="J7" s="29" t="s">
        <v>39</v>
      </c>
      <c r="K7" s="29" t="s">
        <v>39</v>
      </c>
      <c r="L7" s="29" t="s">
        <v>35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286</v>
      </c>
      <c r="D8" s="27" t="s">
        <v>37</v>
      </c>
      <c r="E8" s="28"/>
      <c r="F8" s="29" t="s">
        <v>48</v>
      </c>
      <c r="G8" s="32"/>
      <c r="H8" s="167">
        <v>100000.0</v>
      </c>
      <c r="I8" s="29" t="s">
        <v>24</v>
      </c>
      <c r="J8" s="29" t="s">
        <v>39</v>
      </c>
      <c r="K8" s="29" t="s">
        <v>39</v>
      </c>
      <c r="L8" s="29" t="s">
        <v>35</v>
      </c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287</v>
      </c>
      <c r="D9" s="27" t="s">
        <v>277</v>
      </c>
      <c r="E9" s="28"/>
      <c r="F9" s="29" t="s">
        <v>221</v>
      </c>
      <c r="G9" s="32"/>
      <c r="H9" s="167">
        <v>50000.0</v>
      </c>
      <c r="I9" s="29" t="s">
        <v>24</v>
      </c>
      <c r="J9" s="29" t="s">
        <v>25</v>
      </c>
      <c r="K9" s="29" t="s">
        <v>27</v>
      </c>
      <c r="L9" s="29" t="s">
        <v>35</v>
      </c>
      <c r="M9" s="29" t="s">
        <v>43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288</v>
      </c>
      <c r="D10" s="27" t="s">
        <v>21</v>
      </c>
      <c r="E10" s="28"/>
      <c r="F10" s="54">
        <v>46312.0</v>
      </c>
      <c r="G10" s="45"/>
      <c r="H10" s="169">
        <v>100000.0</v>
      </c>
      <c r="I10" s="29" t="s">
        <v>34</v>
      </c>
      <c r="J10" s="19"/>
      <c r="K10" s="19"/>
      <c r="L10" s="29" t="s">
        <v>28</v>
      </c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289</v>
      </c>
      <c r="D11" s="27" t="s">
        <v>41</v>
      </c>
      <c r="E11" s="28"/>
      <c r="F11" s="54">
        <v>46304.0</v>
      </c>
      <c r="G11" s="45"/>
      <c r="H11" s="169">
        <v>100000.0</v>
      </c>
      <c r="I11" s="29" t="s">
        <v>34</v>
      </c>
      <c r="J11" s="19"/>
      <c r="K11" s="19"/>
      <c r="L11" s="29" t="s">
        <v>28</v>
      </c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290</v>
      </c>
      <c r="D12" s="27" t="s">
        <v>49</v>
      </c>
      <c r="E12" s="164" t="s">
        <v>185</v>
      </c>
      <c r="F12" s="54">
        <v>46304.0</v>
      </c>
      <c r="G12" s="45"/>
      <c r="H12" s="169">
        <v>175000.0</v>
      </c>
      <c r="I12" s="29" t="s">
        <v>24</v>
      </c>
      <c r="J12" s="29" t="s">
        <v>25</v>
      </c>
      <c r="K12" s="29" t="s">
        <v>25</v>
      </c>
      <c r="L12" s="29" t="s">
        <v>28</v>
      </c>
      <c r="M12" s="29" t="s">
        <v>43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291</v>
      </c>
      <c r="D13" s="27" t="s">
        <v>49</v>
      </c>
      <c r="E13" s="28"/>
      <c r="F13" s="54">
        <v>46307.0</v>
      </c>
      <c r="G13" s="32"/>
      <c r="H13" s="167">
        <v>100000.0</v>
      </c>
      <c r="I13" s="29" t="s">
        <v>34</v>
      </c>
      <c r="J13" s="19"/>
      <c r="K13" s="19"/>
      <c r="L13" s="29" t="s">
        <v>28</v>
      </c>
      <c r="M13" s="19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292</v>
      </c>
      <c r="D14" s="27" t="s">
        <v>277</v>
      </c>
      <c r="E14" s="28"/>
      <c r="F14" s="54">
        <v>46304.0</v>
      </c>
      <c r="G14" s="39">
        <v>0.0</v>
      </c>
      <c r="H14" s="167">
        <v>0.0</v>
      </c>
      <c r="I14" s="29" t="s">
        <v>24</v>
      </c>
      <c r="J14" s="29" t="s">
        <v>25</v>
      </c>
      <c r="K14" s="29" t="s">
        <v>25</v>
      </c>
      <c r="L14" s="29" t="s">
        <v>28</v>
      </c>
      <c r="M14" s="29" t="s">
        <v>43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293</v>
      </c>
      <c r="D15" s="27" t="s">
        <v>294</v>
      </c>
      <c r="E15" s="28"/>
      <c r="F15" s="19"/>
      <c r="G15" s="32"/>
      <c r="H15" s="167">
        <v>125000.0</v>
      </c>
      <c r="I15" s="29" t="s">
        <v>24</v>
      </c>
      <c r="J15" s="19"/>
      <c r="K15" s="19"/>
      <c r="L15" s="29" t="s">
        <v>28</v>
      </c>
      <c r="M15" s="19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0" t="s">
        <v>289</v>
      </c>
      <c r="D16" s="27" t="s">
        <v>41</v>
      </c>
      <c r="E16" s="28"/>
      <c r="F16" s="54">
        <v>46304.0</v>
      </c>
      <c r="G16" s="32"/>
      <c r="H16" s="167">
        <v>100000.0</v>
      </c>
      <c r="I16" s="29" t="s">
        <v>24</v>
      </c>
      <c r="J16" s="29" t="s">
        <v>25</v>
      </c>
      <c r="K16" s="29" t="s">
        <v>25</v>
      </c>
      <c r="L16" s="29" t="s">
        <v>28</v>
      </c>
      <c r="M16" s="29" t="s">
        <v>43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0" t="s">
        <v>295</v>
      </c>
      <c r="D17" s="27" t="s">
        <v>82</v>
      </c>
      <c r="E17" s="28"/>
      <c r="F17" s="54">
        <v>46316.0</v>
      </c>
      <c r="G17" s="32"/>
      <c r="H17" s="167">
        <v>100000.0</v>
      </c>
      <c r="I17" s="29" t="s">
        <v>34</v>
      </c>
      <c r="J17" s="19"/>
      <c r="K17" s="19"/>
      <c r="L17" s="29" t="s">
        <v>28</v>
      </c>
      <c r="M17" s="19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0" t="s">
        <v>220</v>
      </c>
      <c r="D18" s="27" t="s">
        <v>49</v>
      </c>
      <c r="E18" s="28"/>
      <c r="F18" s="54">
        <v>46304.0</v>
      </c>
      <c r="G18" s="39">
        <v>200000.0</v>
      </c>
      <c r="H18" s="168"/>
      <c r="I18" s="29" t="s">
        <v>24</v>
      </c>
      <c r="J18" s="29" t="s">
        <v>25</v>
      </c>
      <c r="K18" s="29" t="s">
        <v>25</v>
      </c>
      <c r="L18" s="29" t="s">
        <v>28</v>
      </c>
      <c r="M18" s="29" t="s">
        <v>43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0" t="s">
        <v>296</v>
      </c>
      <c r="D19" s="27" t="s">
        <v>280</v>
      </c>
      <c r="E19" s="28"/>
      <c r="F19" s="54">
        <v>46324.0</v>
      </c>
      <c r="G19" s="32"/>
      <c r="H19" s="167">
        <v>100000.0</v>
      </c>
      <c r="I19" s="29" t="s">
        <v>34</v>
      </c>
      <c r="J19" s="19"/>
      <c r="K19" s="19"/>
      <c r="L19" s="29" t="s">
        <v>28</v>
      </c>
      <c r="M19" s="19"/>
      <c r="N19" s="37"/>
      <c r="O19" s="37"/>
      <c r="P19" s="37"/>
      <c r="Q19" s="1"/>
      <c r="R19" s="1"/>
    </row>
    <row r="20" ht="15.75" customHeight="1">
      <c r="A20" s="1"/>
      <c r="B20" s="17"/>
      <c r="C20" s="20" t="s">
        <v>297</v>
      </c>
      <c r="D20" s="27" t="s">
        <v>210</v>
      </c>
      <c r="E20" s="164"/>
      <c r="F20" s="29" t="s">
        <v>298</v>
      </c>
      <c r="G20" s="32"/>
      <c r="H20" s="167">
        <v>100000.0</v>
      </c>
      <c r="I20" s="29" t="s">
        <v>34</v>
      </c>
      <c r="J20" s="19"/>
      <c r="K20" s="19"/>
      <c r="L20" s="29" t="s">
        <v>28</v>
      </c>
      <c r="M20" s="19"/>
      <c r="N20" s="37"/>
      <c r="O20" s="37"/>
      <c r="P20" s="37"/>
      <c r="Q20" s="1"/>
      <c r="R20" s="1"/>
    </row>
    <row r="21" ht="15.75" customHeight="1">
      <c r="A21" s="1"/>
      <c r="B21" s="17"/>
      <c r="C21" s="20" t="s">
        <v>299</v>
      </c>
      <c r="D21" s="27" t="s">
        <v>90</v>
      </c>
      <c r="E21" s="164" t="s">
        <v>300</v>
      </c>
      <c r="F21" s="19"/>
      <c r="G21" s="32"/>
      <c r="H21" s="167">
        <v>90000.0</v>
      </c>
      <c r="I21" s="29" t="s">
        <v>24</v>
      </c>
      <c r="J21" s="19"/>
      <c r="K21" s="19"/>
      <c r="L21" s="29" t="s">
        <v>28</v>
      </c>
      <c r="M21" s="19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4">
        <f t="shared" ref="G22:H22" si="1">SUM(G4:G21)</f>
        <v>200000</v>
      </c>
      <c r="H22" s="71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3" t="s">
        <v>7</v>
      </c>
      <c r="D25" s="73" t="s">
        <v>118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119</v>
      </c>
      <c r="O25" s="73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121</v>
      </c>
      <c r="D26" s="77">
        <f>SUM(G22)</f>
        <v>200000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124</v>
      </c>
      <c r="O26" s="81" t="s">
        <v>35</v>
      </c>
      <c r="P26" s="1"/>
      <c r="Q26" s="1"/>
      <c r="R26" s="1"/>
    </row>
    <row r="27" ht="15.75" customHeight="1">
      <c r="A27" s="1"/>
      <c r="B27" s="82">
        <v>2.0</v>
      </c>
      <c r="C27" s="92" t="s">
        <v>301</v>
      </c>
      <c r="D27" s="94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86" t="s">
        <v>128</v>
      </c>
      <c r="O27" s="87" t="s">
        <v>28</v>
      </c>
      <c r="P27" s="1"/>
      <c r="Q27" s="1"/>
      <c r="R27" s="1"/>
    </row>
    <row r="28" ht="15.75" customHeight="1">
      <c r="A28" s="1"/>
      <c r="B28" s="75">
        <v>3.0</v>
      </c>
      <c r="C28" s="171" t="s">
        <v>302</v>
      </c>
      <c r="D28" s="172">
        <v>-46000.0</v>
      </c>
      <c r="E28" s="78"/>
      <c r="F28" s="1"/>
      <c r="G28" s="1"/>
      <c r="H28" s="1"/>
      <c r="I28" s="1"/>
      <c r="J28" s="1"/>
      <c r="K28" s="1"/>
      <c r="L28" s="1"/>
      <c r="M28" s="1"/>
      <c r="N28" s="88" t="s">
        <v>131</v>
      </c>
      <c r="O28" s="89" t="s">
        <v>43</v>
      </c>
      <c r="P28" s="1"/>
      <c r="Q28" s="1"/>
      <c r="R28" s="1"/>
    </row>
    <row r="29" ht="15.75" customHeight="1">
      <c r="A29" s="1"/>
      <c r="B29" s="82">
        <v>4.0</v>
      </c>
      <c r="C29" s="90"/>
      <c r="D29" s="91"/>
      <c r="E29" s="78"/>
      <c r="F29" s="1"/>
      <c r="G29" s="1"/>
      <c r="H29" s="1"/>
      <c r="I29" s="1"/>
      <c r="J29" s="1"/>
      <c r="K29" s="1"/>
      <c r="L29" s="1"/>
      <c r="M29" s="1"/>
      <c r="N29" s="95" t="s">
        <v>137</v>
      </c>
      <c r="O29" s="87" t="s">
        <v>43</v>
      </c>
      <c r="P29" s="1"/>
      <c r="Q29" s="1"/>
      <c r="R29" s="1"/>
    </row>
    <row r="30" ht="15.75" customHeight="1">
      <c r="A30" s="1"/>
      <c r="B30" s="75">
        <v>5.0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2">
        <v>6.0</v>
      </c>
      <c r="C31" s="90"/>
      <c r="D31" s="91"/>
      <c r="E31" s="78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146</v>
      </c>
      <c r="O32" s="100" t="s">
        <v>147</v>
      </c>
      <c r="P32" s="100" t="s">
        <v>148</v>
      </c>
      <c r="Q32" s="1"/>
      <c r="R32" s="1"/>
      <c r="AC32" s="101" t="s">
        <v>151</v>
      </c>
      <c r="AD32" s="101" t="s">
        <v>152</v>
      </c>
      <c r="AE32" s="101" t="s">
        <v>153</v>
      </c>
      <c r="AF32" s="101" t="s">
        <v>154</v>
      </c>
      <c r="AG32" s="101" t="s">
        <v>155</v>
      </c>
    </row>
    <row r="33" ht="15.75" customHeight="1">
      <c r="A33" s="1"/>
      <c r="B33" s="82">
        <v>8.0</v>
      </c>
      <c r="C33" s="90"/>
      <c r="D33" s="91"/>
      <c r="E33" s="78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0"/>
      <c r="D35" s="91"/>
      <c r="E35" s="78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12">
        <f>SUM(D26:D36)</f>
        <v>104000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191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193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195</v>
      </c>
      <c r="M42" s="119" t="s">
        <v>196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7" t="s">
        <v>199</v>
      </c>
    </row>
    <row r="47" ht="19.5" customHeight="1">
      <c r="K47" s="128" t="s">
        <v>200</v>
      </c>
      <c r="M47" s="122">
        <v>38.0</v>
      </c>
    </row>
    <row r="48" ht="19.5" customHeight="1">
      <c r="K48" s="129" t="s">
        <v>202</v>
      </c>
      <c r="M48" s="130">
        <f>COUNTIF($I$4:$I$24,"DP")</f>
        <v>8</v>
      </c>
    </row>
    <row r="49" ht="19.5" customHeight="1">
      <c r="K49" s="129" t="s">
        <v>204</v>
      </c>
      <c r="M49" s="130">
        <f>COUNTIFS($I$4:$I$24,"&lt;&gt;DP",$I$4:$I$24,"&lt;&gt;")</f>
        <v>10</v>
      </c>
    </row>
    <row r="50" ht="19.5" customHeight="1">
      <c r="K50" s="131" t="s">
        <v>206</v>
      </c>
      <c r="M50" s="130">
        <f>M48+M49</f>
        <v>18</v>
      </c>
    </row>
    <row r="51" ht="19.5" customHeight="1">
      <c r="K51" s="128" t="s">
        <v>207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303</v>
      </c>
      <c r="D4" s="27" t="s">
        <v>21</v>
      </c>
      <c r="E4" s="28"/>
      <c r="F4" s="54">
        <v>46306.0</v>
      </c>
      <c r="G4" s="36"/>
      <c r="H4" s="35">
        <v>100000.0</v>
      </c>
      <c r="I4" s="29" t="s">
        <v>34</v>
      </c>
      <c r="J4" s="19"/>
      <c r="K4" s="19"/>
      <c r="L4" s="29" t="s">
        <v>28</v>
      </c>
      <c r="M4" s="19"/>
      <c r="N4" s="30"/>
      <c r="O4" s="30"/>
      <c r="P4" s="33"/>
      <c r="Q4" s="1"/>
      <c r="R4" s="1"/>
    </row>
    <row r="5" ht="15.75" customHeight="1">
      <c r="A5" s="1"/>
      <c r="B5" s="17">
        <v>2.0</v>
      </c>
      <c r="C5" s="20" t="s">
        <v>304</v>
      </c>
      <c r="D5" s="27" t="s">
        <v>41</v>
      </c>
      <c r="E5" s="28"/>
      <c r="F5" s="54">
        <v>46305.0</v>
      </c>
      <c r="G5" s="36"/>
      <c r="H5" s="35">
        <v>100000.0</v>
      </c>
      <c r="I5" s="29" t="s">
        <v>34</v>
      </c>
      <c r="J5" s="19"/>
      <c r="K5" s="19"/>
      <c r="L5" s="29" t="s">
        <v>28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305</v>
      </c>
      <c r="D6" s="27" t="s">
        <v>306</v>
      </c>
      <c r="E6" s="28"/>
      <c r="F6" s="54">
        <v>46305.0</v>
      </c>
      <c r="G6" s="43"/>
      <c r="H6" s="35">
        <v>50000.0</v>
      </c>
      <c r="I6" s="29" t="s">
        <v>24</v>
      </c>
      <c r="J6" s="29" t="s">
        <v>25</v>
      </c>
      <c r="K6" s="29" t="s">
        <v>27</v>
      </c>
      <c r="L6" s="29" t="s">
        <v>28</v>
      </c>
      <c r="M6" s="29" t="s">
        <v>43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307</v>
      </c>
      <c r="D7" s="27" t="s">
        <v>82</v>
      </c>
      <c r="E7" s="28"/>
      <c r="F7" s="54">
        <v>46305.0</v>
      </c>
      <c r="G7" s="57">
        <v>0.0</v>
      </c>
      <c r="H7" s="35">
        <v>0.0</v>
      </c>
      <c r="I7" s="29" t="s">
        <v>24</v>
      </c>
      <c r="J7" s="29" t="s">
        <v>25</v>
      </c>
      <c r="K7" s="29" t="s">
        <v>25</v>
      </c>
      <c r="L7" s="29" t="s">
        <v>28</v>
      </c>
      <c r="M7" s="29" t="s">
        <v>43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308</v>
      </c>
      <c r="D8" s="27" t="s">
        <v>251</v>
      </c>
      <c r="E8" s="164" t="s">
        <v>309</v>
      </c>
      <c r="F8" s="54">
        <v>46305.0</v>
      </c>
      <c r="G8" s="36"/>
      <c r="H8" s="35">
        <v>490000.0</v>
      </c>
      <c r="I8" s="29" t="s">
        <v>24</v>
      </c>
      <c r="J8" s="29" t="s">
        <v>25</v>
      </c>
      <c r="K8" s="29" t="s">
        <v>27</v>
      </c>
      <c r="L8" s="29" t="s">
        <v>28</v>
      </c>
      <c r="M8" s="29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310</v>
      </c>
      <c r="D9" s="27" t="s">
        <v>82</v>
      </c>
      <c r="E9" s="28"/>
      <c r="F9" s="54">
        <v>46305.0</v>
      </c>
      <c r="G9" s="36"/>
      <c r="H9" s="35">
        <v>100000.0</v>
      </c>
      <c r="I9" s="29" t="s">
        <v>34</v>
      </c>
      <c r="J9" s="19"/>
      <c r="K9" s="19"/>
      <c r="L9" s="29" t="s">
        <v>28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297</v>
      </c>
      <c r="D10" s="27" t="s">
        <v>210</v>
      </c>
      <c r="E10" s="28"/>
      <c r="F10" s="54">
        <v>46305.0</v>
      </c>
      <c r="G10" s="52">
        <v>100000.0</v>
      </c>
      <c r="H10" s="111"/>
      <c r="I10" s="29" t="s">
        <v>24</v>
      </c>
      <c r="J10" s="29" t="s">
        <v>25</v>
      </c>
      <c r="K10" s="29" t="s">
        <v>27</v>
      </c>
      <c r="L10" s="29" t="s">
        <v>28</v>
      </c>
      <c r="M10" s="29" t="s">
        <v>43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304</v>
      </c>
      <c r="D11" s="27" t="s">
        <v>41</v>
      </c>
      <c r="E11" s="164"/>
      <c r="F11" s="54">
        <v>46305.0</v>
      </c>
      <c r="G11" s="52">
        <v>100000.0</v>
      </c>
      <c r="H11" s="111"/>
      <c r="I11" s="29" t="s">
        <v>24</v>
      </c>
      <c r="J11" s="29" t="s">
        <v>25</v>
      </c>
      <c r="K11" s="29" t="s">
        <v>25</v>
      </c>
      <c r="L11" s="29" t="s">
        <v>28</v>
      </c>
      <c r="M11" s="29" t="s">
        <v>43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311</v>
      </c>
      <c r="D12" s="27" t="s">
        <v>49</v>
      </c>
      <c r="E12" s="28"/>
      <c r="F12" s="54">
        <v>46305.0</v>
      </c>
      <c r="G12" s="43"/>
      <c r="H12" s="44">
        <v>100000.0</v>
      </c>
      <c r="I12" s="29" t="s">
        <v>34</v>
      </c>
      <c r="J12" s="19"/>
      <c r="K12" s="19"/>
      <c r="L12" s="29" t="s">
        <v>28</v>
      </c>
      <c r="M12" s="19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312</v>
      </c>
      <c r="D13" s="27" t="s">
        <v>49</v>
      </c>
      <c r="E13" s="28"/>
      <c r="F13" s="54">
        <v>46305.0</v>
      </c>
      <c r="G13" s="43"/>
      <c r="H13" s="44">
        <v>75000.0</v>
      </c>
      <c r="I13" s="29" t="s">
        <v>24</v>
      </c>
      <c r="J13" s="29" t="s">
        <v>25</v>
      </c>
      <c r="K13" s="29" t="s">
        <v>25</v>
      </c>
      <c r="L13" s="29" t="s">
        <v>28</v>
      </c>
      <c r="M13" s="29" t="s">
        <v>57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313</v>
      </c>
      <c r="D14" s="27" t="s">
        <v>49</v>
      </c>
      <c r="E14" s="28"/>
      <c r="F14" s="54">
        <v>46305.0</v>
      </c>
      <c r="G14" s="174"/>
      <c r="H14" s="44">
        <v>150000.0</v>
      </c>
      <c r="I14" s="29" t="s">
        <v>24</v>
      </c>
      <c r="J14" s="29" t="s">
        <v>25</v>
      </c>
      <c r="K14" s="29" t="s">
        <v>25</v>
      </c>
      <c r="L14" s="29" t="s">
        <v>28</v>
      </c>
      <c r="M14" s="29" t="s">
        <v>57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314</v>
      </c>
      <c r="D15" s="27" t="s">
        <v>41</v>
      </c>
      <c r="E15" s="28"/>
      <c r="F15" s="54">
        <v>46305.0</v>
      </c>
      <c r="G15" s="43"/>
      <c r="H15" s="44">
        <v>100000.0</v>
      </c>
      <c r="I15" s="29" t="s">
        <v>24</v>
      </c>
      <c r="J15" s="29" t="s">
        <v>25</v>
      </c>
      <c r="K15" s="29" t="s">
        <v>25</v>
      </c>
      <c r="L15" s="29" t="s">
        <v>28</v>
      </c>
      <c r="M15" s="29" t="s">
        <v>57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0" t="s">
        <v>284</v>
      </c>
      <c r="D16" s="27" t="s">
        <v>82</v>
      </c>
      <c r="E16" s="28"/>
      <c r="F16" s="54">
        <v>46305.0</v>
      </c>
      <c r="G16" s="52">
        <v>50000.0</v>
      </c>
      <c r="H16" s="111"/>
      <c r="I16" s="29" t="s">
        <v>24</v>
      </c>
      <c r="J16" s="29" t="s">
        <v>25</v>
      </c>
      <c r="K16" s="29" t="s">
        <v>27</v>
      </c>
      <c r="L16" s="29" t="s">
        <v>28</v>
      </c>
      <c r="M16" s="29" t="s">
        <v>57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0" t="s">
        <v>315</v>
      </c>
      <c r="D17" s="27" t="s">
        <v>21</v>
      </c>
      <c r="E17" s="28"/>
      <c r="F17" s="54">
        <v>46317.0</v>
      </c>
      <c r="G17" s="43"/>
      <c r="H17" s="44">
        <v>100000.0</v>
      </c>
      <c r="I17" s="29" t="s">
        <v>34</v>
      </c>
      <c r="J17" s="19"/>
      <c r="K17" s="19"/>
      <c r="L17" s="29" t="s">
        <v>28</v>
      </c>
      <c r="M17" s="19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0" t="s">
        <v>316</v>
      </c>
      <c r="D18" s="27" t="s">
        <v>49</v>
      </c>
      <c r="E18" s="28"/>
      <c r="F18" s="54">
        <v>46306.0</v>
      </c>
      <c r="G18" s="36"/>
      <c r="H18" s="35">
        <v>100000.0</v>
      </c>
      <c r="I18" s="29" t="s">
        <v>34</v>
      </c>
      <c r="J18" s="19"/>
      <c r="K18" s="19"/>
      <c r="L18" s="29" t="s">
        <v>28</v>
      </c>
      <c r="M18" s="19"/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0" t="s">
        <v>310</v>
      </c>
      <c r="D19" s="27" t="s">
        <v>82</v>
      </c>
      <c r="E19" s="28"/>
      <c r="F19" s="54">
        <v>46305.0</v>
      </c>
      <c r="G19" s="36"/>
      <c r="H19" s="35">
        <v>50000.0</v>
      </c>
      <c r="I19" s="29" t="s">
        <v>24</v>
      </c>
      <c r="J19" s="29" t="s">
        <v>25</v>
      </c>
      <c r="K19" s="29" t="s">
        <v>27</v>
      </c>
      <c r="L19" s="29" t="s">
        <v>28</v>
      </c>
      <c r="M19" s="29" t="s">
        <v>57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20" t="s">
        <v>311</v>
      </c>
      <c r="D20" s="27" t="s">
        <v>49</v>
      </c>
      <c r="E20" s="28"/>
      <c r="F20" s="54">
        <v>46305.0</v>
      </c>
      <c r="G20" s="36"/>
      <c r="H20" s="35">
        <v>500000.0</v>
      </c>
      <c r="I20" s="29" t="s">
        <v>24</v>
      </c>
      <c r="J20" s="29" t="s">
        <v>25</v>
      </c>
      <c r="K20" s="29" t="s">
        <v>25</v>
      </c>
      <c r="L20" s="29" t="s">
        <v>28</v>
      </c>
      <c r="M20" s="29" t="s">
        <v>57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64"/>
      <c r="D21" s="65"/>
      <c r="E21" s="28"/>
      <c r="F21" s="67"/>
      <c r="G21" s="36"/>
      <c r="H21" s="40"/>
      <c r="I21" s="19"/>
      <c r="J21" s="19"/>
      <c r="K21" s="19"/>
      <c r="L21" s="19"/>
      <c r="M21" s="19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4">
        <f t="shared" ref="G22:H22" si="1">SUM(G4:G21)</f>
        <v>250000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3" t="s">
        <v>7</v>
      </c>
      <c r="D25" s="73" t="s">
        <v>118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119</v>
      </c>
      <c r="O25" s="73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121</v>
      </c>
      <c r="D26" s="77">
        <f>SUM(G22)</f>
        <v>250000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124</v>
      </c>
      <c r="O26" s="81" t="s">
        <v>28</v>
      </c>
      <c r="P26" s="1"/>
      <c r="Q26" s="1"/>
      <c r="R26" s="1"/>
    </row>
    <row r="27" ht="15.75" customHeight="1">
      <c r="A27" s="1"/>
      <c r="B27" s="82">
        <v>2.0</v>
      </c>
      <c r="C27" s="83"/>
      <c r="D27" s="84"/>
      <c r="E27" s="78"/>
      <c r="F27" s="1"/>
      <c r="G27" s="1"/>
      <c r="H27" s="1"/>
      <c r="I27" s="1"/>
      <c r="J27" s="1"/>
      <c r="K27" s="1"/>
      <c r="L27" s="1"/>
      <c r="M27" s="1"/>
      <c r="N27" s="86" t="s">
        <v>128</v>
      </c>
      <c r="O27" s="87" t="s">
        <v>28</v>
      </c>
      <c r="P27" s="1"/>
      <c r="Q27" s="1"/>
      <c r="R27" s="1"/>
    </row>
    <row r="28" ht="15.75" customHeight="1">
      <c r="A28" s="1"/>
      <c r="B28" s="75">
        <v>3.0</v>
      </c>
      <c r="C28" s="97"/>
      <c r="D28" s="98"/>
      <c r="E28" s="78"/>
      <c r="F28" s="1"/>
      <c r="G28" s="1"/>
      <c r="H28" s="1"/>
      <c r="I28" s="1"/>
      <c r="J28" s="1"/>
      <c r="K28" s="1"/>
      <c r="L28" s="1"/>
      <c r="M28" s="1"/>
      <c r="N28" s="88" t="s">
        <v>131</v>
      </c>
      <c r="O28" s="89" t="s">
        <v>43</v>
      </c>
      <c r="P28" s="1"/>
      <c r="Q28" s="1"/>
      <c r="R28" s="1"/>
    </row>
    <row r="29" ht="15.75" customHeight="1">
      <c r="A29" s="1"/>
      <c r="B29" s="82">
        <v>4.0</v>
      </c>
      <c r="C29" s="83"/>
      <c r="D29" s="84"/>
      <c r="E29" s="78"/>
      <c r="F29" s="1"/>
      <c r="G29" s="1"/>
      <c r="H29" s="1"/>
      <c r="I29" s="1"/>
      <c r="J29" s="1"/>
      <c r="K29" s="1"/>
      <c r="L29" s="1"/>
      <c r="M29" s="1"/>
      <c r="N29" s="95" t="s">
        <v>137</v>
      </c>
      <c r="O29" s="87" t="s">
        <v>57</v>
      </c>
      <c r="P29" s="1"/>
      <c r="Q29" s="1"/>
      <c r="R29" s="1"/>
    </row>
    <row r="30" ht="15.75" customHeight="1">
      <c r="A30" s="1"/>
      <c r="B30" s="75">
        <v>5.0</v>
      </c>
      <c r="C30" s="97"/>
      <c r="D30" s="98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2">
        <v>6.0</v>
      </c>
      <c r="C31" s="90"/>
      <c r="D31" s="91"/>
      <c r="E31" s="78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146</v>
      </c>
      <c r="O32" s="100" t="s">
        <v>147</v>
      </c>
      <c r="P32" s="100" t="s">
        <v>148</v>
      </c>
      <c r="Q32" s="1"/>
      <c r="R32" s="1"/>
      <c r="AC32" s="101" t="s">
        <v>151</v>
      </c>
      <c r="AD32" s="101" t="s">
        <v>152</v>
      </c>
      <c r="AE32" s="101" t="s">
        <v>153</v>
      </c>
      <c r="AF32" s="101" t="s">
        <v>154</v>
      </c>
      <c r="AG32" s="101" t="s">
        <v>155</v>
      </c>
    </row>
    <row r="33" ht="15.75" customHeight="1">
      <c r="A33" s="1"/>
      <c r="B33" s="82">
        <v>8.0</v>
      </c>
      <c r="C33" s="90"/>
      <c r="D33" s="91"/>
      <c r="E33" s="78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0"/>
      <c r="D35" s="91"/>
      <c r="E35" s="78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2">
        <f>SUM(D26:D36)</f>
        <v>250000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191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193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195</v>
      </c>
      <c r="M42" s="119" t="s">
        <v>196</v>
      </c>
    </row>
    <row r="43" ht="15.75" customHeight="1">
      <c r="K43" s="121" t="str">
        <f t="shared" ref="K43:K44" si="8">IF(O26="","",O26)</f>
        <v>INDAH</v>
      </c>
      <c r="L43" s="123"/>
      <c r="M43" s="122" t="s">
        <v>198</v>
      </c>
    </row>
    <row r="44" ht="15.75" customHeight="1">
      <c r="K44" s="121" t="str">
        <f t="shared" si="8"/>
        <v>INDAH</v>
      </c>
      <c r="L44" s="123"/>
      <c r="M44" s="123"/>
    </row>
    <row r="45" ht="15.75" customHeight="1"/>
    <row r="46" ht="19.5" customHeight="1">
      <c r="K46" s="127" t="s">
        <v>199</v>
      </c>
    </row>
    <row r="47" ht="19.5" customHeight="1">
      <c r="K47" s="128" t="s">
        <v>200</v>
      </c>
      <c r="M47" s="122">
        <v>26.0</v>
      </c>
    </row>
    <row r="48" ht="19.5" customHeight="1">
      <c r="K48" s="129" t="s">
        <v>202</v>
      </c>
      <c r="M48" s="130">
        <f>COUNTIF($I$4:$I$24,"DP")</f>
        <v>6</v>
      </c>
    </row>
    <row r="49" ht="19.5" customHeight="1">
      <c r="K49" s="129" t="s">
        <v>204</v>
      </c>
      <c r="M49" s="130">
        <f>COUNTIFS($I$4:$I$24,"&lt;&gt;DP",$I$4:$I$24,"&lt;&gt;")</f>
        <v>11</v>
      </c>
    </row>
    <row r="50" ht="19.5" customHeight="1">
      <c r="K50" s="131" t="s">
        <v>206</v>
      </c>
      <c r="M50" s="130">
        <f>M48+M49</f>
        <v>17</v>
      </c>
    </row>
    <row r="51" ht="19.5" customHeight="1">
      <c r="K51" s="128" t="s">
        <v>207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317</v>
      </c>
      <c r="D4" s="27" t="s">
        <v>49</v>
      </c>
      <c r="E4" s="28"/>
      <c r="F4" s="54">
        <v>46311.0</v>
      </c>
      <c r="G4" s="36"/>
      <c r="H4" s="35">
        <v>100000.0</v>
      </c>
      <c r="I4" s="29" t="s">
        <v>34</v>
      </c>
      <c r="J4" s="19"/>
      <c r="K4" s="19"/>
      <c r="L4" s="29" t="s">
        <v>28</v>
      </c>
      <c r="M4" s="19"/>
      <c r="N4" s="30"/>
      <c r="O4" s="30"/>
      <c r="P4" s="33"/>
      <c r="Q4" s="1"/>
      <c r="R4" s="1"/>
    </row>
    <row r="5" ht="15.75" customHeight="1">
      <c r="A5" s="1"/>
      <c r="B5" s="17">
        <v>2.0</v>
      </c>
      <c r="C5" s="20" t="s">
        <v>303</v>
      </c>
      <c r="D5" s="27" t="s">
        <v>21</v>
      </c>
      <c r="E5" s="164" t="s">
        <v>319</v>
      </c>
      <c r="F5" s="54">
        <v>46306.0</v>
      </c>
      <c r="G5" s="57">
        <v>510000.0</v>
      </c>
      <c r="H5" s="40"/>
      <c r="I5" s="29" t="s">
        <v>24</v>
      </c>
      <c r="J5" s="29" t="s">
        <v>25</v>
      </c>
      <c r="K5" s="29" t="s">
        <v>25</v>
      </c>
      <c r="L5" s="29" t="s">
        <v>28</v>
      </c>
      <c r="M5" s="29" t="s">
        <v>43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320</v>
      </c>
      <c r="D6" s="27" t="s">
        <v>82</v>
      </c>
      <c r="E6" s="164" t="s">
        <v>321</v>
      </c>
      <c r="F6" s="54">
        <v>46306.0</v>
      </c>
      <c r="G6" s="36"/>
      <c r="H6" s="35">
        <v>150000.0</v>
      </c>
      <c r="I6" s="29" t="s">
        <v>24</v>
      </c>
      <c r="J6" s="29" t="s">
        <v>25</v>
      </c>
      <c r="K6" s="29" t="s">
        <v>25</v>
      </c>
      <c r="L6" s="29" t="s">
        <v>28</v>
      </c>
      <c r="M6" s="29" t="s">
        <v>43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322</v>
      </c>
      <c r="D7" s="27" t="s">
        <v>49</v>
      </c>
      <c r="E7" s="28"/>
      <c r="F7" s="54">
        <v>46307.0</v>
      </c>
      <c r="G7" s="36"/>
      <c r="H7" s="35">
        <v>100000.0</v>
      </c>
      <c r="I7" s="29" t="s">
        <v>34</v>
      </c>
      <c r="J7" s="19"/>
      <c r="K7" s="19"/>
      <c r="L7" s="29" t="s">
        <v>28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324</v>
      </c>
      <c r="D8" s="27" t="s">
        <v>49</v>
      </c>
      <c r="E8" s="28"/>
      <c r="F8" s="54">
        <v>46306.0</v>
      </c>
      <c r="G8" s="57">
        <v>825000.0</v>
      </c>
      <c r="H8" s="40"/>
      <c r="I8" s="29" t="s">
        <v>24</v>
      </c>
      <c r="J8" s="29" t="s">
        <v>25</v>
      </c>
      <c r="K8" s="29" t="s">
        <v>27</v>
      </c>
      <c r="L8" s="29" t="s">
        <v>28</v>
      </c>
      <c r="M8" s="29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326</v>
      </c>
      <c r="D9" s="27" t="s">
        <v>41</v>
      </c>
      <c r="E9" s="28"/>
      <c r="F9" s="54">
        <v>46306.0</v>
      </c>
      <c r="G9" s="36"/>
      <c r="H9" s="35">
        <v>100000.0</v>
      </c>
      <c r="I9" s="29" t="s">
        <v>34</v>
      </c>
      <c r="J9" s="19"/>
      <c r="K9" s="19"/>
      <c r="L9" s="29" t="s">
        <v>28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328</v>
      </c>
      <c r="D10" s="27" t="s">
        <v>49</v>
      </c>
      <c r="E10" s="28"/>
      <c r="F10" s="54">
        <v>46306.0</v>
      </c>
      <c r="G10" s="36"/>
      <c r="H10" s="35">
        <v>1100000.0</v>
      </c>
      <c r="I10" s="29" t="s">
        <v>24</v>
      </c>
      <c r="J10" s="29" t="s">
        <v>25</v>
      </c>
      <c r="K10" s="29" t="s">
        <v>27</v>
      </c>
      <c r="L10" s="29" t="s">
        <v>28</v>
      </c>
      <c r="M10" s="29" t="s">
        <v>43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329</v>
      </c>
      <c r="D11" s="27" t="s">
        <v>49</v>
      </c>
      <c r="E11" s="28"/>
      <c r="F11" s="163">
        <v>46306.0</v>
      </c>
      <c r="G11" s="36"/>
      <c r="H11" s="35">
        <v>500000.0</v>
      </c>
      <c r="I11" s="29" t="s">
        <v>24</v>
      </c>
      <c r="J11" s="29" t="s">
        <v>25</v>
      </c>
      <c r="K11" s="29" t="s">
        <v>27</v>
      </c>
      <c r="L11" s="29" t="s">
        <v>28</v>
      </c>
      <c r="M11" s="29" t="s">
        <v>57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239</v>
      </c>
      <c r="D12" s="27" t="s">
        <v>49</v>
      </c>
      <c r="E12" s="28"/>
      <c r="F12" s="163">
        <v>46306.0</v>
      </c>
      <c r="G12" s="36"/>
      <c r="H12" s="35">
        <v>75000.0</v>
      </c>
      <c r="I12" s="29" t="s">
        <v>24</v>
      </c>
      <c r="J12" s="29" t="s">
        <v>25</v>
      </c>
      <c r="K12" s="29" t="s">
        <v>25</v>
      </c>
      <c r="L12" s="29" t="s">
        <v>28</v>
      </c>
      <c r="M12" s="29" t="s">
        <v>57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258</v>
      </c>
      <c r="D13" s="27" t="s">
        <v>37</v>
      </c>
      <c r="E13" s="164">
        <v>2.0</v>
      </c>
      <c r="F13" s="163">
        <v>46306.0</v>
      </c>
      <c r="G13" s="36"/>
      <c r="H13" s="35">
        <v>100000.0</v>
      </c>
      <c r="I13" s="29" t="s">
        <v>24</v>
      </c>
      <c r="J13" s="29" t="s">
        <v>25</v>
      </c>
      <c r="K13" s="29" t="s">
        <v>25</v>
      </c>
      <c r="L13" s="29" t="s">
        <v>28</v>
      </c>
      <c r="M13" s="29" t="s">
        <v>57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332</v>
      </c>
      <c r="D14" s="27" t="s">
        <v>49</v>
      </c>
      <c r="E14" s="28"/>
      <c r="F14" s="163">
        <v>46306.0</v>
      </c>
      <c r="G14" s="36"/>
      <c r="H14" s="35">
        <v>125000.0</v>
      </c>
      <c r="I14" s="29" t="s">
        <v>24</v>
      </c>
      <c r="J14" s="29" t="s">
        <v>25</v>
      </c>
      <c r="K14" s="29" t="s">
        <v>27</v>
      </c>
      <c r="L14" s="29" t="s">
        <v>28</v>
      </c>
      <c r="M14" s="29" t="s">
        <v>57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326</v>
      </c>
      <c r="D15" s="27" t="s">
        <v>29</v>
      </c>
      <c r="E15" s="28"/>
      <c r="F15" s="163">
        <v>46306.0</v>
      </c>
      <c r="G15" s="36"/>
      <c r="H15" s="35">
        <v>100000.0</v>
      </c>
      <c r="I15" s="29" t="s">
        <v>24</v>
      </c>
      <c r="J15" s="29" t="s">
        <v>25</v>
      </c>
      <c r="K15" s="29" t="s">
        <v>25</v>
      </c>
      <c r="L15" s="29" t="s">
        <v>28</v>
      </c>
      <c r="M15" s="29" t="s">
        <v>57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4"/>
      <c r="D16" s="65"/>
      <c r="E16" s="28"/>
      <c r="F16" s="165"/>
      <c r="G16" s="36"/>
      <c r="H16" s="40"/>
      <c r="I16" s="19"/>
      <c r="J16" s="19"/>
      <c r="K16" s="19"/>
      <c r="L16" s="19"/>
      <c r="M16" s="19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4"/>
      <c r="D17" s="65"/>
      <c r="E17" s="28"/>
      <c r="F17" s="165"/>
      <c r="G17" s="36"/>
      <c r="H17" s="40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4">
        <f t="shared" ref="G18:H18" si="1">SUM(G4:G17)</f>
        <v>1335000</v>
      </c>
      <c r="H18" s="71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118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119</v>
      </c>
      <c r="O21" s="73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121</v>
      </c>
      <c r="D22" s="77">
        <f>SUM(G18)</f>
        <v>1335000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124</v>
      </c>
      <c r="O22" s="81" t="s">
        <v>28</v>
      </c>
      <c r="P22" s="1"/>
      <c r="Q22" s="1"/>
      <c r="R22" s="1"/>
    </row>
    <row r="23" ht="15.75" customHeight="1">
      <c r="A23" s="1"/>
      <c r="B23" s="82">
        <v>2.0</v>
      </c>
      <c r="C23" s="92" t="s">
        <v>336</v>
      </c>
      <c r="D23" s="94">
        <v>-10000.0</v>
      </c>
      <c r="E23" s="78"/>
      <c r="F23" s="1"/>
      <c r="G23" s="1"/>
      <c r="H23" s="1"/>
      <c r="I23" s="1"/>
      <c r="J23" s="1"/>
      <c r="K23" s="1"/>
      <c r="L23" s="1"/>
      <c r="M23" s="1"/>
      <c r="N23" s="86" t="s">
        <v>128</v>
      </c>
      <c r="O23" s="87" t="s">
        <v>28</v>
      </c>
      <c r="P23" s="1"/>
      <c r="Q23" s="1"/>
      <c r="R23" s="1"/>
    </row>
    <row r="24" ht="15.75" customHeight="1">
      <c r="A24" s="1"/>
      <c r="B24" s="75">
        <v>3.0</v>
      </c>
      <c r="C24" s="97"/>
      <c r="D24" s="98"/>
      <c r="E24" s="78"/>
      <c r="F24" s="1"/>
      <c r="G24" s="1"/>
      <c r="H24" s="1"/>
      <c r="I24" s="1"/>
      <c r="J24" s="1"/>
      <c r="K24" s="1"/>
      <c r="L24" s="1"/>
      <c r="M24" s="1"/>
      <c r="N24" s="88" t="s">
        <v>131</v>
      </c>
      <c r="O24" s="89" t="s">
        <v>43</v>
      </c>
      <c r="P24" s="1"/>
      <c r="Q24" s="1"/>
      <c r="R24" s="1"/>
    </row>
    <row r="25" ht="15.75" customHeight="1">
      <c r="A25" s="1"/>
      <c r="B25" s="82">
        <v>4.0</v>
      </c>
      <c r="C25" s="90"/>
      <c r="D25" s="91"/>
      <c r="E25" s="78"/>
      <c r="F25" s="1"/>
      <c r="G25" s="1"/>
      <c r="H25" s="1"/>
      <c r="I25" s="1"/>
      <c r="J25" s="1"/>
      <c r="K25" s="1"/>
      <c r="L25" s="1"/>
      <c r="M25" s="1"/>
      <c r="N25" s="95" t="s">
        <v>137</v>
      </c>
      <c r="O25" s="87" t="s">
        <v>57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2">
        <v>6.0</v>
      </c>
      <c r="C27" s="90"/>
      <c r="D27" s="91"/>
      <c r="E27" s="78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146</v>
      </c>
      <c r="O28" s="100" t="s">
        <v>147</v>
      </c>
      <c r="P28" s="100" t="s">
        <v>148</v>
      </c>
      <c r="Q28" s="1"/>
      <c r="R28" s="1"/>
      <c r="AC28" s="101" t="s">
        <v>151</v>
      </c>
      <c r="AD28" s="101" t="s">
        <v>152</v>
      </c>
      <c r="AE28" s="101" t="s">
        <v>153</v>
      </c>
      <c r="AF28" s="101" t="s">
        <v>154</v>
      </c>
      <c r="AG28" s="101" t="s">
        <v>155</v>
      </c>
    </row>
    <row r="29" ht="15.75" customHeight="1">
      <c r="A29" s="1"/>
      <c r="B29" s="82">
        <v>8.0</v>
      </c>
      <c r="C29" s="90"/>
      <c r="D29" s="91"/>
      <c r="E29" s="78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0"/>
      <c r="D31" s="91"/>
      <c r="E31" s="78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2">
        <f>SUM(D22:D32)</f>
        <v>1325000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191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193</v>
      </c>
      <c r="N37" s="1"/>
      <c r="O37" s="1"/>
      <c r="P37" s="1"/>
      <c r="Q37" s="1"/>
      <c r="R37" s="1"/>
    </row>
    <row r="38" ht="15.75" customHeight="1">
      <c r="K38" s="119" t="s">
        <v>8</v>
      </c>
      <c r="L38" s="119" t="s">
        <v>195</v>
      </c>
      <c r="M38" s="119" t="s">
        <v>196</v>
      </c>
    </row>
    <row r="39" ht="15.75" customHeight="1">
      <c r="K39" s="121" t="str">
        <f t="shared" ref="K39:K40" si="8">IF(O22="","",O22)</f>
        <v>INDAH</v>
      </c>
      <c r="L39" s="122">
        <v>3.0</v>
      </c>
      <c r="M39" s="122" t="s">
        <v>338</v>
      </c>
    </row>
    <row r="40" ht="15.75" customHeight="1">
      <c r="K40" s="121" t="str">
        <f t="shared" si="8"/>
        <v>INDAH</v>
      </c>
      <c r="L40" s="123"/>
      <c r="M40" s="123"/>
    </row>
    <row r="41" ht="15.75" customHeight="1"/>
    <row r="42" ht="19.5" customHeight="1">
      <c r="K42" s="127" t="s">
        <v>199</v>
      </c>
    </row>
    <row r="43" ht="19.5" customHeight="1">
      <c r="K43" s="128" t="s">
        <v>200</v>
      </c>
      <c r="M43" s="122">
        <v>16.0</v>
      </c>
    </row>
    <row r="44" ht="19.5" customHeight="1">
      <c r="K44" s="129" t="s">
        <v>202</v>
      </c>
      <c r="M44" s="150">
        <v>3.0</v>
      </c>
    </row>
    <row r="45" ht="19.5" customHeight="1">
      <c r="K45" s="129" t="s">
        <v>204</v>
      </c>
      <c r="M45" s="150">
        <v>7.0</v>
      </c>
    </row>
    <row r="46" ht="19.5" customHeight="1">
      <c r="K46" s="131" t="s">
        <v>206</v>
      </c>
      <c r="M46" s="150">
        <v>10.0</v>
      </c>
    </row>
    <row r="47" ht="19.5" customHeight="1">
      <c r="K47" s="128" t="s">
        <v>207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41" t="s">
        <v>318</v>
      </c>
      <c r="D4" s="27" t="s">
        <v>37</v>
      </c>
      <c r="E4" s="63" t="s">
        <v>185</v>
      </c>
      <c r="F4" s="54">
        <v>46307.0</v>
      </c>
      <c r="G4" s="36"/>
      <c r="H4" s="35">
        <v>100000.0</v>
      </c>
      <c r="I4" s="29" t="s">
        <v>24</v>
      </c>
      <c r="J4" s="29" t="s">
        <v>25</v>
      </c>
      <c r="K4" s="29" t="s">
        <v>25</v>
      </c>
      <c r="L4" s="29" t="s">
        <v>28</v>
      </c>
      <c r="M4" s="175" t="s">
        <v>57</v>
      </c>
      <c r="N4" s="30"/>
      <c r="O4" s="30"/>
      <c r="P4" s="33"/>
      <c r="Q4" s="1"/>
      <c r="R4" s="1"/>
    </row>
    <row r="5" ht="15.75" customHeight="1">
      <c r="A5" s="1"/>
      <c r="B5" s="17">
        <v>2.0</v>
      </c>
      <c r="C5" s="29" t="s">
        <v>323</v>
      </c>
      <c r="D5" s="27" t="s">
        <v>37</v>
      </c>
      <c r="E5" s="26"/>
      <c r="F5" s="54">
        <v>46307.0</v>
      </c>
      <c r="G5" s="36"/>
      <c r="H5" s="35">
        <v>100000.0</v>
      </c>
      <c r="I5" s="29" t="s">
        <v>24</v>
      </c>
      <c r="J5" s="19"/>
      <c r="K5" s="19"/>
      <c r="L5" s="29" t="s">
        <v>28</v>
      </c>
      <c r="M5" s="176"/>
      <c r="N5" s="37"/>
      <c r="O5" s="37"/>
      <c r="P5" s="37"/>
      <c r="Q5" s="1"/>
      <c r="R5" s="1"/>
    </row>
    <row r="6" ht="15.75" customHeight="1">
      <c r="A6" s="1"/>
      <c r="B6" s="17">
        <v>3.0</v>
      </c>
      <c r="C6" s="41" t="s">
        <v>325</v>
      </c>
      <c r="D6" s="27" t="s">
        <v>82</v>
      </c>
      <c r="E6" s="26"/>
      <c r="F6" s="54">
        <v>46316.0</v>
      </c>
      <c r="G6" s="36"/>
      <c r="H6" s="35">
        <v>100000.0</v>
      </c>
      <c r="I6" s="29" t="s">
        <v>34</v>
      </c>
      <c r="J6" s="19"/>
      <c r="K6" s="19"/>
      <c r="L6" s="177" t="s">
        <v>28</v>
      </c>
      <c r="M6" s="176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327</v>
      </c>
      <c r="D7" s="27" t="s">
        <v>236</v>
      </c>
      <c r="E7" s="28"/>
      <c r="F7" s="54">
        <v>46298.0</v>
      </c>
      <c r="G7" s="36"/>
      <c r="H7" s="35">
        <v>20000.0</v>
      </c>
      <c r="I7" s="29" t="s">
        <v>24</v>
      </c>
      <c r="J7" s="19"/>
      <c r="K7" s="19"/>
      <c r="L7" s="29" t="s">
        <v>28</v>
      </c>
      <c r="M7" s="176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330</v>
      </c>
      <c r="D8" s="27" t="s">
        <v>49</v>
      </c>
      <c r="E8" s="26"/>
      <c r="F8" s="54">
        <v>46313.0</v>
      </c>
      <c r="G8" s="36"/>
      <c r="H8" s="35">
        <v>100000.0</v>
      </c>
      <c r="I8" s="29" t="s">
        <v>34</v>
      </c>
      <c r="J8" s="19"/>
      <c r="K8" s="19"/>
      <c r="L8" s="29" t="s">
        <v>28</v>
      </c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331</v>
      </c>
      <c r="D9" s="27" t="s">
        <v>41</v>
      </c>
      <c r="E9" s="26"/>
      <c r="F9" s="54">
        <v>46307.0</v>
      </c>
      <c r="G9" s="57">
        <v>100000.0</v>
      </c>
      <c r="H9" s="40"/>
      <c r="I9" s="29" t="s">
        <v>24</v>
      </c>
      <c r="J9" s="29" t="s">
        <v>25</v>
      </c>
      <c r="K9" s="29" t="s">
        <v>27</v>
      </c>
      <c r="L9" s="29" t="s">
        <v>35</v>
      </c>
      <c r="M9" s="29" t="s">
        <v>57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291</v>
      </c>
      <c r="D10" s="27" t="s">
        <v>49</v>
      </c>
      <c r="E10" s="26"/>
      <c r="F10" s="54">
        <v>46307.0</v>
      </c>
      <c r="G10" s="57">
        <v>75000.0</v>
      </c>
      <c r="H10" s="40"/>
      <c r="I10" s="29" t="s">
        <v>24</v>
      </c>
      <c r="J10" s="29" t="s">
        <v>25</v>
      </c>
      <c r="K10" s="29" t="s">
        <v>39</v>
      </c>
      <c r="L10" s="29" t="s">
        <v>35</v>
      </c>
      <c r="M10" s="29" t="s">
        <v>57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333</v>
      </c>
      <c r="D11" s="27" t="s">
        <v>37</v>
      </c>
      <c r="E11" s="26"/>
      <c r="F11" s="54">
        <v>46307.0</v>
      </c>
      <c r="G11" s="43"/>
      <c r="H11" s="44">
        <v>50000.0</v>
      </c>
      <c r="I11" s="29" t="s">
        <v>24</v>
      </c>
      <c r="J11" s="29" t="s">
        <v>25</v>
      </c>
      <c r="K11" s="29" t="s">
        <v>27</v>
      </c>
      <c r="L11" s="29" t="s">
        <v>35</v>
      </c>
      <c r="M11" s="29" t="s">
        <v>43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334</v>
      </c>
      <c r="D12" s="27" t="s">
        <v>49</v>
      </c>
      <c r="E12" s="26"/>
      <c r="F12" s="54">
        <v>46308.0</v>
      </c>
      <c r="G12" s="36"/>
      <c r="H12" s="35">
        <v>100000.0</v>
      </c>
      <c r="I12" s="29" t="s">
        <v>34</v>
      </c>
      <c r="J12" s="19"/>
      <c r="K12" s="19"/>
      <c r="L12" s="29" t="s">
        <v>35</v>
      </c>
      <c r="M12" s="176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322</v>
      </c>
      <c r="D13" s="27" t="s">
        <v>49</v>
      </c>
      <c r="E13" s="26"/>
      <c r="F13" s="54">
        <v>46307.0</v>
      </c>
      <c r="G13" s="36"/>
      <c r="H13" s="35">
        <v>500000.0</v>
      </c>
      <c r="I13" s="29" t="s">
        <v>24</v>
      </c>
      <c r="J13" s="29" t="s">
        <v>25</v>
      </c>
      <c r="K13" s="29" t="s">
        <v>25</v>
      </c>
      <c r="L13" s="29" t="s">
        <v>35</v>
      </c>
      <c r="M13" s="175" t="s">
        <v>43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335</v>
      </c>
      <c r="D14" s="27" t="s">
        <v>49</v>
      </c>
      <c r="E14" s="63" t="s">
        <v>185</v>
      </c>
      <c r="F14" s="54">
        <v>46307.0</v>
      </c>
      <c r="G14" s="57">
        <v>225000.0</v>
      </c>
      <c r="H14" s="40"/>
      <c r="I14" s="29" t="s">
        <v>24</v>
      </c>
      <c r="J14" s="29" t="s">
        <v>25</v>
      </c>
      <c r="K14" s="29" t="s">
        <v>25</v>
      </c>
      <c r="L14" s="29" t="s">
        <v>35</v>
      </c>
      <c r="M14" s="175" t="s">
        <v>43</v>
      </c>
      <c r="N14" s="37"/>
      <c r="O14" s="37"/>
      <c r="P14" s="37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4">
        <f t="shared" ref="G15:H15" si="1">SUM(G4:G14)</f>
        <v>400000</v>
      </c>
      <c r="H15" s="71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3" t="s">
        <v>7</v>
      </c>
      <c r="D18" s="73" t="s">
        <v>118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119</v>
      </c>
      <c r="O18" s="73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121</v>
      </c>
      <c r="D19" s="77">
        <f>SUM(G15)</f>
        <v>400000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124</v>
      </c>
      <c r="O19" s="81" t="s">
        <v>28</v>
      </c>
      <c r="P19" s="1"/>
      <c r="Q19" s="1"/>
      <c r="R19" s="1"/>
    </row>
    <row r="20" ht="15.75" customHeight="1">
      <c r="A20" s="1"/>
      <c r="B20" s="82">
        <v>2.0</v>
      </c>
      <c r="C20" s="83"/>
      <c r="D20" s="84"/>
      <c r="E20" s="78"/>
      <c r="F20" s="1"/>
      <c r="G20" s="1"/>
      <c r="H20" s="1"/>
      <c r="I20" s="1"/>
      <c r="J20" s="1"/>
      <c r="K20" s="1"/>
      <c r="L20" s="1"/>
      <c r="M20" s="1"/>
      <c r="N20" s="86" t="s">
        <v>128</v>
      </c>
      <c r="O20" s="87" t="s">
        <v>35</v>
      </c>
      <c r="P20" s="1"/>
      <c r="Q20" s="1"/>
      <c r="R20" s="1"/>
    </row>
    <row r="21" ht="15.75" customHeight="1">
      <c r="A21" s="1"/>
      <c r="B21" s="75">
        <v>3.0</v>
      </c>
      <c r="C21" s="97"/>
      <c r="D21" s="98"/>
      <c r="E21" s="78"/>
      <c r="F21" s="1"/>
      <c r="G21" s="1"/>
      <c r="H21" s="1"/>
      <c r="I21" s="1"/>
      <c r="J21" s="1"/>
      <c r="K21" s="1"/>
      <c r="L21" s="1"/>
      <c r="M21" s="1"/>
      <c r="N21" s="88" t="s">
        <v>131</v>
      </c>
      <c r="O21" s="89" t="s">
        <v>57</v>
      </c>
      <c r="P21" s="1"/>
      <c r="Q21" s="1"/>
      <c r="R21" s="1"/>
    </row>
    <row r="22" ht="15.75" customHeight="1">
      <c r="A22" s="1"/>
      <c r="B22" s="82">
        <v>4.0</v>
      </c>
      <c r="C22" s="90"/>
      <c r="D22" s="91"/>
      <c r="E22" s="78"/>
      <c r="F22" s="1"/>
      <c r="G22" s="1"/>
      <c r="H22" s="1"/>
      <c r="I22" s="1"/>
      <c r="J22" s="1"/>
      <c r="K22" s="1"/>
      <c r="L22" s="1"/>
      <c r="M22" s="1"/>
      <c r="N22" s="95" t="s">
        <v>137</v>
      </c>
      <c r="O22" s="87" t="s">
        <v>43</v>
      </c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82">
        <v>6.0</v>
      </c>
      <c r="C24" s="90"/>
      <c r="D24" s="91"/>
      <c r="E24" s="78"/>
      <c r="F24" s="1"/>
      <c r="G24" s="1"/>
      <c r="H24" s="1"/>
      <c r="I24" s="1"/>
      <c r="J24" s="1"/>
      <c r="K24" s="99" t="s">
        <v>141</v>
      </c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1"/>
      <c r="G25" s="1"/>
      <c r="H25" s="1"/>
      <c r="I25" s="1"/>
      <c r="J25" s="1"/>
      <c r="K25" s="100" t="s">
        <v>2</v>
      </c>
      <c r="L25" s="100" t="s">
        <v>144</v>
      </c>
      <c r="M25" s="100" t="s">
        <v>145</v>
      </c>
      <c r="N25" s="100" t="s">
        <v>146</v>
      </c>
      <c r="O25" s="100" t="s">
        <v>147</v>
      </c>
      <c r="P25" s="100" t="s">
        <v>148</v>
      </c>
      <c r="Q25" s="1"/>
      <c r="R25" s="1"/>
      <c r="AC25" s="101" t="s">
        <v>151</v>
      </c>
      <c r="AD25" s="101" t="s">
        <v>152</v>
      </c>
      <c r="AE25" s="101" t="s">
        <v>153</v>
      </c>
      <c r="AF25" s="101" t="s">
        <v>154</v>
      </c>
      <c r="AG25" s="101" t="s">
        <v>155</v>
      </c>
    </row>
    <row r="26" ht="15.75" customHeight="1">
      <c r="A26" s="1"/>
      <c r="B26" s="82">
        <v>8.0</v>
      </c>
      <c r="C26" s="90"/>
      <c r="D26" s="91"/>
      <c r="E26" s="78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38">
        <v>5.0</v>
      </c>
      <c r="M26" s="138">
        <v>5.0</v>
      </c>
      <c r="N26" s="138">
        <v>5.0</v>
      </c>
      <c r="O26" s="138">
        <v>5.0</v>
      </c>
      <c r="P26" s="138">
        <v>5.0</v>
      </c>
      <c r="Q26" s="1"/>
      <c r="R26" s="1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2">
        <v>10.0</v>
      </c>
      <c r="C28" s="90"/>
      <c r="D28" s="91"/>
      <c r="E28" s="78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08">
        <v>11.0</v>
      </c>
      <c r="C29" s="109"/>
      <c r="D29" s="110"/>
      <c r="E29" s="78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3"/>
      <c r="D30" s="112">
        <f>SUM(D19:D29)</f>
        <v>400000</v>
      </c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5" t="s">
        <v>191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193</v>
      </c>
      <c r="N34" s="1"/>
      <c r="O34" s="1"/>
      <c r="P34" s="1"/>
      <c r="Q34" s="1"/>
      <c r="R34" s="1"/>
    </row>
    <row r="35" ht="15.75" customHeight="1">
      <c r="K35" s="119" t="s">
        <v>8</v>
      </c>
      <c r="L35" s="119" t="s">
        <v>195</v>
      </c>
      <c r="M35" s="119" t="s">
        <v>196</v>
      </c>
    </row>
    <row r="36" ht="15.75" customHeight="1">
      <c r="K36" s="121" t="str">
        <f t="shared" ref="K36:K37" si="8">IF(O19="","",O19)</f>
        <v>INDAH</v>
      </c>
      <c r="L36" s="122">
        <v>2.0</v>
      </c>
      <c r="M36" s="122" t="s">
        <v>337</v>
      </c>
    </row>
    <row r="37" ht="15.75" customHeight="1">
      <c r="K37" s="121" t="str">
        <f t="shared" si="8"/>
        <v>AMEL</v>
      </c>
      <c r="L37" s="122">
        <v>2.0</v>
      </c>
      <c r="M37" s="123"/>
    </row>
    <row r="38" ht="15.75" customHeight="1"/>
    <row r="39" ht="19.5" customHeight="1">
      <c r="K39" s="127" t="s">
        <v>199</v>
      </c>
    </row>
    <row r="40" ht="19.5" customHeight="1">
      <c r="K40" s="128" t="s">
        <v>200</v>
      </c>
      <c r="M40" s="122">
        <v>20.0</v>
      </c>
    </row>
    <row r="41" ht="19.5" customHeight="1">
      <c r="K41" s="129" t="s">
        <v>202</v>
      </c>
      <c r="M41" s="130">
        <f>COUNTIF($I$4:$I$17,"DP")</f>
        <v>3</v>
      </c>
    </row>
    <row r="42" ht="19.5" customHeight="1">
      <c r="K42" s="129" t="s">
        <v>204</v>
      </c>
      <c r="M42" s="130">
        <f>COUNTIFS($I$4:$I$17,"&lt;&gt;DP",$I$4:$I$17,"&lt;&gt;")</f>
        <v>8</v>
      </c>
    </row>
    <row r="43" ht="19.5" customHeight="1">
      <c r="K43" s="131" t="s">
        <v>206</v>
      </c>
      <c r="M43" s="130">
        <f>M41+M42</f>
        <v>11</v>
      </c>
    </row>
    <row r="44" ht="19.5" customHeight="1">
      <c r="K44" s="128" t="s">
        <v>207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339</v>
      </c>
      <c r="D4" s="27" t="s">
        <v>210</v>
      </c>
      <c r="E4" s="26"/>
      <c r="F4" s="163">
        <v>46313.0</v>
      </c>
      <c r="G4" s="36"/>
      <c r="H4" s="35">
        <v>100000.0</v>
      </c>
      <c r="I4" s="29" t="s">
        <v>34</v>
      </c>
      <c r="J4" s="19"/>
      <c r="K4" s="19"/>
      <c r="L4" s="29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340</v>
      </c>
      <c r="D5" s="20" t="s">
        <v>277</v>
      </c>
      <c r="E5" s="29">
        <v>2.0</v>
      </c>
      <c r="F5" s="21">
        <v>46320.0</v>
      </c>
      <c r="G5" s="159"/>
      <c r="H5" s="23">
        <v>100000.0</v>
      </c>
      <c r="I5" s="25" t="s">
        <v>24</v>
      </c>
      <c r="J5" s="17"/>
      <c r="K5" s="17"/>
      <c r="L5" s="25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341</v>
      </c>
      <c r="D6" s="20" t="s">
        <v>236</v>
      </c>
      <c r="E6" s="19"/>
      <c r="F6" s="157">
        <v>46273.0</v>
      </c>
      <c r="G6" s="159"/>
      <c r="H6" s="23">
        <v>20000.0</v>
      </c>
      <c r="I6" s="25" t="s">
        <v>24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342</v>
      </c>
      <c r="D7" s="20" t="s">
        <v>49</v>
      </c>
      <c r="E7" s="19"/>
      <c r="F7" s="157">
        <v>46313.0</v>
      </c>
      <c r="G7" s="159"/>
      <c r="H7" s="23">
        <v>100000.0</v>
      </c>
      <c r="I7" s="25" t="s">
        <v>34</v>
      </c>
      <c r="J7" s="17"/>
      <c r="K7" s="17"/>
      <c r="L7" s="25" t="s">
        <v>28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343</v>
      </c>
      <c r="D8" s="20" t="s">
        <v>49</v>
      </c>
      <c r="E8" s="19"/>
      <c r="F8" s="157">
        <v>46315.0</v>
      </c>
      <c r="G8" s="159"/>
      <c r="H8" s="23">
        <v>100000.0</v>
      </c>
      <c r="I8" s="25" t="s">
        <v>34</v>
      </c>
      <c r="J8" s="17"/>
      <c r="K8" s="17"/>
      <c r="L8" s="25" t="s">
        <v>28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334</v>
      </c>
      <c r="D9" s="20" t="s">
        <v>49</v>
      </c>
      <c r="E9" s="19"/>
      <c r="F9" s="157">
        <v>46308.0</v>
      </c>
      <c r="G9" s="161">
        <v>75000.0</v>
      </c>
      <c r="H9" s="58"/>
      <c r="I9" s="25" t="s">
        <v>24</v>
      </c>
      <c r="J9" s="25" t="s">
        <v>25</v>
      </c>
      <c r="K9" s="25" t="s">
        <v>25</v>
      </c>
      <c r="L9" s="25" t="s">
        <v>35</v>
      </c>
      <c r="M9" s="25" t="s">
        <v>43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71</v>
      </c>
      <c r="D10" s="20" t="s">
        <v>72</v>
      </c>
      <c r="E10" s="19"/>
      <c r="F10" s="157">
        <v>46307.0</v>
      </c>
      <c r="G10" s="161">
        <v>450000.0</v>
      </c>
      <c r="H10" s="58"/>
      <c r="I10" s="25" t="s">
        <v>24</v>
      </c>
      <c r="J10" s="25" t="s">
        <v>39</v>
      </c>
      <c r="K10" s="25" t="s">
        <v>39</v>
      </c>
      <c r="L10" s="25" t="s">
        <v>35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344</v>
      </c>
      <c r="D11" s="20" t="s">
        <v>49</v>
      </c>
      <c r="E11" s="19"/>
      <c r="F11" s="25" t="s">
        <v>345</v>
      </c>
      <c r="G11" s="159"/>
      <c r="H11" s="23">
        <v>100000.0</v>
      </c>
      <c r="I11" s="25" t="s">
        <v>34</v>
      </c>
      <c r="J11" s="17"/>
      <c r="K11" s="17"/>
      <c r="L11" s="25" t="s">
        <v>35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346</v>
      </c>
      <c r="D12" s="20" t="s">
        <v>277</v>
      </c>
      <c r="E12" s="19"/>
      <c r="F12" s="157">
        <v>46308.0</v>
      </c>
      <c r="G12" s="159"/>
      <c r="H12" s="23">
        <v>50000.0</v>
      </c>
      <c r="I12" s="25" t="s">
        <v>24</v>
      </c>
      <c r="J12" s="25" t="s">
        <v>25</v>
      </c>
      <c r="K12" s="25" t="s">
        <v>25</v>
      </c>
      <c r="L12" s="25" t="s">
        <v>35</v>
      </c>
      <c r="M12" s="25" t="s">
        <v>57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525000</v>
      </c>
      <c r="H14" s="71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87" t="s">
        <v>35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89" t="s">
        <v>43</v>
      </c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87" t="s">
        <v>57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8">
        <v>5.0</v>
      </c>
      <c r="M25" s="138">
        <v>5.0</v>
      </c>
      <c r="N25" s="138">
        <v>5.0</v>
      </c>
      <c r="O25" s="138">
        <v>5.0</v>
      </c>
      <c r="P25" s="138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>ADIF</v>
      </c>
      <c r="L27" s="138">
        <v>5.0</v>
      </c>
      <c r="M27" s="138">
        <v>5.0</v>
      </c>
      <c r="N27" s="138">
        <v>5.0</v>
      </c>
      <c r="O27" s="138">
        <v>5.0</v>
      </c>
      <c r="P27" s="138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3"/>
      <c r="D29" s="112">
        <f>SUM(D18:D28)</f>
        <v>525000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17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  <c r="N34" s="120" t="s">
        <v>197</v>
      </c>
    </row>
    <row r="35" ht="15.75" customHeight="1">
      <c r="K35" s="121" t="str">
        <f t="shared" ref="K35:K36" si="8">IF(O18="","",O18)</f>
        <v>INDAH</v>
      </c>
      <c r="L35" s="122">
        <v>3.0</v>
      </c>
      <c r="M35" s="123"/>
      <c r="N35" s="125">
        <v>21.0</v>
      </c>
    </row>
    <row r="36" ht="15.75" customHeight="1">
      <c r="K36" s="121" t="str">
        <f t="shared" si="8"/>
        <v>AMEL</v>
      </c>
      <c r="L36" s="122">
        <v>2.0</v>
      </c>
      <c r="M36" s="123"/>
      <c r="N36" s="125">
        <v>44.0</v>
      </c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2">
        <v>20.0</v>
      </c>
    </row>
    <row r="40" ht="19.5" customHeight="1">
      <c r="K40" s="129" t="s">
        <v>202</v>
      </c>
      <c r="M40" s="130">
        <f>COUNTIF($I$4:$I$16,"DP")</f>
        <v>4</v>
      </c>
    </row>
    <row r="41" ht="19.5" customHeight="1">
      <c r="K41" s="129" t="s">
        <v>204</v>
      </c>
      <c r="M41" s="130">
        <f>COUNTIFS($I$4:$I$16,"&lt;&gt;DP",$I$4:$I$16,"&lt;&gt;")</f>
        <v>5</v>
      </c>
    </row>
    <row r="42" ht="19.5" customHeight="1">
      <c r="K42" s="131" t="s">
        <v>206</v>
      </c>
      <c r="M42" s="130">
        <f>M40+M41</f>
        <v>9</v>
      </c>
    </row>
    <row r="43" ht="19.5" customHeight="1">
      <c r="K43" s="128" t="s">
        <v>207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0" t="s">
        <v>21</v>
      </c>
      <c r="E4" s="19"/>
      <c r="F4" s="157">
        <v>46312.0</v>
      </c>
      <c r="G4" s="159"/>
      <c r="H4" s="23">
        <v>100000.0</v>
      </c>
      <c r="I4" s="25" t="s">
        <v>34</v>
      </c>
      <c r="J4" s="17"/>
      <c r="K4" s="17"/>
      <c r="L4" s="25" t="s">
        <v>35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348</v>
      </c>
      <c r="D5" s="20" t="s">
        <v>49</v>
      </c>
      <c r="E5" s="19"/>
      <c r="F5" s="157">
        <v>46313.0</v>
      </c>
      <c r="G5" s="159"/>
      <c r="H5" s="23">
        <v>100000.0</v>
      </c>
      <c r="I5" s="25" t="s">
        <v>34</v>
      </c>
      <c r="J5" s="17"/>
      <c r="K5" s="17"/>
      <c r="L5" s="25" t="s">
        <v>35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350</v>
      </c>
      <c r="D6" s="20" t="s">
        <v>49</v>
      </c>
      <c r="E6" s="19"/>
      <c r="F6" s="157">
        <v>46314.0</v>
      </c>
      <c r="G6" s="159"/>
      <c r="H6" s="23">
        <v>100000.0</v>
      </c>
      <c r="I6" s="25" t="s">
        <v>34</v>
      </c>
      <c r="J6" s="17"/>
      <c r="K6" s="17"/>
      <c r="L6" s="25" t="s">
        <v>35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351</v>
      </c>
      <c r="D7" s="20" t="s">
        <v>62</v>
      </c>
      <c r="E7" s="19"/>
      <c r="F7" s="157">
        <v>46298.0</v>
      </c>
      <c r="G7" s="159"/>
      <c r="H7" s="23">
        <v>10000.0</v>
      </c>
      <c r="I7" s="25" t="s">
        <v>24</v>
      </c>
      <c r="J7" s="25" t="s">
        <v>25</v>
      </c>
      <c r="K7" s="25" t="s">
        <v>25</v>
      </c>
      <c r="L7" s="25" t="s">
        <v>35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51" t="s">
        <v>353</v>
      </c>
      <c r="D8" s="20" t="s">
        <v>49</v>
      </c>
      <c r="E8" s="19"/>
      <c r="F8" s="157">
        <v>46310.0</v>
      </c>
      <c r="G8" s="159"/>
      <c r="H8" s="23">
        <v>100000.0</v>
      </c>
      <c r="I8" s="25" t="s">
        <v>34</v>
      </c>
      <c r="J8" s="17"/>
      <c r="K8" s="17"/>
      <c r="L8" s="25" t="s">
        <v>35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355</v>
      </c>
      <c r="D9" s="20" t="s">
        <v>37</v>
      </c>
      <c r="E9" s="19"/>
      <c r="F9" s="157">
        <v>46310.0</v>
      </c>
      <c r="G9" s="159"/>
      <c r="H9" s="23">
        <v>100000.0</v>
      </c>
      <c r="I9" s="25" t="s">
        <v>24</v>
      </c>
      <c r="J9" s="17"/>
      <c r="K9" s="17"/>
      <c r="L9" s="25" t="s">
        <v>35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9" t="s">
        <v>357</v>
      </c>
      <c r="D10" s="20" t="s">
        <v>277</v>
      </c>
      <c r="E10" s="29" t="s">
        <v>185</v>
      </c>
      <c r="F10" s="157">
        <v>46309.0</v>
      </c>
      <c r="G10" s="159"/>
      <c r="H10" s="23">
        <v>50000.0</v>
      </c>
      <c r="I10" s="25" t="s">
        <v>24</v>
      </c>
      <c r="J10" s="25" t="s">
        <v>25</v>
      </c>
      <c r="K10" s="25" t="s">
        <v>25</v>
      </c>
      <c r="L10" s="25" t="s">
        <v>35</v>
      </c>
      <c r="M10" s="25" t="s">
        <v>43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358</v>
      </c>
      <c r="D11" s="20" t="s">
        <v>21</v>
      </c>
      <c r="E11" s="19"/>
      <c r="F11" s="50">
        <v>46312.0</v>
      </c>
      <c r="G11" s="159"/>
      <c r="H11" s="23">
        <v>100000.0</v>
      </c>
      <c r="I11" s="25" t="s">
        <v>34</v>
      </c>
      <c r="J11" s="17"/>
      <c r="K11" s="17"/>
      <c r="L11" s="25" t="s">
        <v>35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9" t="s">
        <v>360</v>
      </c>
      <c r="D12" s="20" t="s">
        <v>277</v>
      </c>
      <c r="E12" s="29" t="s">
        <v>185</v>
      </c>
      <c r="F12" s="157">
        <v>46309.0</v>
      </c>
      <c r="G12" s="161">
        <v>50000.0</v>
      </c>
      <c r="H12" s="23"/>
      <c r="I12" s="25" t="s">
        <v>24</v>
      </c>
      <c r="J12" s="25" t="s">
        <v>25</v>
      </c>
      <c r="K12" s="25" t="s">
        <v>25</v>
      </c>
      <c r="L12" s="25" t="s">
        <v>35</v>
      </c>
      <c r="M12" s="25" t="s">
        <v>43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362</v>
      </c>
      <c r="D13" s="20" t="s">
        <v>37</v>
      </c>
      <c r="E13" s="29" t="s">
        <v>185</v>
      </c>
      <c r="F13" s="157">
        <v>46309.0</v>
      </c>
      <c r="G13" s="161">
        <v>100000.0</v>
      </c>
      <c r="H13" s="23"/>
      <c r="I13" s="25" t="s">
        <v>24</v>
      </c>
      <c r="J13" s="25" t="s">
        <v>25</v>
      </c>
      <c r="K13" s="25" t="s">
        <v>25</v>
      </c>
      <c r="L13" s="25" t="s">
        <v>35</v>
      </c>
      <c r="M13" s="25" t="s">
        <v>43</v>
      </c>
      <c r="N13" s="37"/>
      <c r="O13" s="37"/>
      <c r="P13" s="37"/>
      <c r="Q13" s="1"/>
      <c r="R13" s="1"/>
    </row>
    <row r="14" ht="18.75" customHeight="1">
      <c r="A14" s="1"/>
      <c r="B14" s="1"/>
      <c r="D14" s="3"/>
      <c r="E14" s="1"/>
      <c r="F14" s="1"/>
      <c r="G14" s="134">
        <f t="shared" ref="G14:H14" si="1">SUM(G4:G13)</f>
        <v>150000</v>
      </c>
      <c r="H14" s="71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150000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81" t="s">
        <v>35</v>
      </c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87" t="s">
        <v>35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89" t="s">
        <v>57</v>
      </c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87" t="s">
        <v>43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38">
        <v>5.0</v>
      </c>
      <c r="M25" s="181">
        <v>4.0</v>
      </c>
      <c r="N25" s="138">
        <v>5.0</v>
      </c>
      <c r="O25" s="138">
        <v>5.0</v>
      </c>
      <c r="P25" s="181">
        <v>4.0</v>
      </c>
      <c r="Q25" s="1"/>
      <c r="R25" s="1"/>
      <c r="AC25" s="101">
        <f t="shared" ref="AC25:AC30" si="3">IF(AG25="","",IF(COUNT(L25:P25)&lt;5,"",L25/5*20+M25/5*25+N25/5*25+O25/5*15+P25/5*15))</f>
        <v>92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AMEL</v>
      </c>
      <c r="L26" s="138">
        <v>5.0</v>
      </c>
      <c r="M26" s="181">
        <v>4.0</v>
      </c>
      <c r="N26" s="138">
        <v>5.0</v>
      </c>
      <c r="O26" s="138">
        <v>5.0</v>
      </c>
      <c r="P26" s="181">
        <v>4.0</v>
      </c>
      <c r="Q26" s="1"/>
      <c r="R26" s="1"/>
      <c r="AC26" s="101">
        <f t="shared" si="3"/>
        <v>92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>SAKA</v>
      </c>
      <c r="L27" s="138">
        <v>5.0</v>
      </c>
      <c r="M27" s="138">
        <v>5.0</v>
      </c>
      <c r="N27" s="138">
        <v>5.0</v>
      </c>
      <c r="O27" s="138">
        <v>5.0</v>
      </c>
      <c r="P27" s="181">
        <v>4.0</v>
      </c>
      <c r="Q27" s="1"/>
      <c r="R27" s="1"/>
      <c r="AC27" s="101">
        <f t="shared" si="3"/>
        <v>97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ADIF</v>
      </c>
      <c r="L28" s="181">
        <v>4.0</v>
      </c>
      <c r="M28" s="138">
        <v>5.0</v>
      </c>
      <c r="N28" s="138">
        <v>5.0</v>
      </c>
      <c r="O28" s="138">
        <v>5.0</v>
      </c>
      <c r="P28" s="181">
        <v>4.0</v>
      </c>
      <c r="Q28" s="1"/>
      <c r="R28" s="1"/>
      <c r="AC28" s="101">
        <f t="shared" si="3"/>
        <v>93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1"/>
      <c r="B29" s="1"/>
      <c r="C29" s="3"/>
      <c r="D29" s="112">
        <f>SUM(D18:D28)</f>
        <v>150000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</row>
    <row r="35" ht="15.75" customHeight="1">
      <c r="K35" s="121" t="str">
        <f t="shared" ref="K35:K36" si="8">IF(O18="","",O18)</f>
        <v>AMEL</v>
      </c>
      <c r="L35" s="122">
        <v>9.0</v>
      </c>
      <c r="M35" s="123"/>
    </row>
    <row r="36" ht="15.75" customHeight="1">
      <c r="K36" s="121" t="str">
        <f t="shared" si="8"/>
        <v>AMEL</v>
      </c>
      <c r="L36" s="123"/>
      <c r="M36" s="123"/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2">
        <v>29.0</v>
      </c>
    </row>
    <row r="40" ht="19.5" customHeight="1">
      <c r="K40" s="129" t="s">
        <v>202</v>
      </c>
      <c r="M40" s="150">
        <v>5.0</v>
      </c>
    </row>
    <row r="41" ht="19.5" customHeight="1">
      <c r="K41" s="129" t="s">
        <v>204</v>
      </c>
      <c r="M41" s="150">
        <v>3.0</v>
      </c>
    </row>
    <row r="42" ht="19.5" customHeight="1">
      <c r="K42" s="131" t="s">
        <v>206</v>
      </c>
      <c r="M42" s="150">
        <v>8.0</v>
      </c>
    </row>
    <row r="43" ht="19.5" customHeight="1">
      <c r="K43" s="128" t="s">
        <v>207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349</v>
      </c>
      <c r="D4" s="20" t="s">
        <v>49</v>
      </c>
      <c r="E4" s="19"/>
      <c r="F4" s="21">
        <v>46313.0</v>
      </c>
      <c r="G4" s="159"/>
      <c r="H4" s="23">
        <v>100000.0</v>
      </c>
      <c r="I4" s="25" t="s">
        <v>34</v>
      </c>
      <c r="J4" s="17"/>
      <c r="K4" s="17"/>
      <c r="L4" s="25" t="s">
        <v>35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352</v>
      </c>
      <c r="D5" s="20" t="s">
        <v>37</v>
      </c>
      <c r="E5" s="19"/>
      <c r="F5" s="157">
        <v>46310.0</v>
      </c>
      <c r="G5" s="161" t="s">
        <v>39</v>
      </c>
      <c r="H5" s="23" t="s">
        <v>39</v>
      </c>
      <c r="I5" s="25" t="s">
        <v>24</v>
      </c>
      <c r="J5" s="25" t="s">
        <v>25</v>
      </c>
      <c r="K5" s="25" t="s">
        <v>25</v>
      </c>
      <c r="L5" s="25" t="s">
        <v>35</v>
      </c>
      <c r="M5" s="25" t="s">
        <v>57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49" t="s">
        <v>354</v>
      </c>
      <c r="D6" s="20" t="s">
        <v>41</v>
      </c>
      <c r="E6" s="19"/>
      <c r="F6" s="50">
        <v>46310.0</v>
      </c>
      <c r="G6" s="159"/>
      <c r="H6" s="23">
        <v>100000.0</v>
      </c>
      <c r="I6" s="25" t="s">
        <v>34</v>
      </c>
      <c r="J6" s="17"/>
      <c r="K6" s="17"/>
      <c r="L6" s="25" t="s">
        <v>35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356</v>
      </c>
      <c r="D7" s="20" t="s">
        <v>21</v>
      </c>
      <c r="E7" s="19"/>
      <c r="F7" s="50">
        <v>46312.0</v>
      </c>
      <c r="G7" s="159"/>
      <c r="H7" s="23">
        <v>100000.0</v>
      </c>
      <c r="I7" s="25" t="s">
        <v>34</v>
      </c>
      <c r="J7" s="17"/>
      <c r="K7" s="17"/>
      <c r="L7" s="25" t="s">
        <v>35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9" t="s">
        <v>359</v>
      </c>
      <c r="D8" s="20" t="s">
        <v>21</v>
      </c>
      <c r="E8" s="19"/>
      <c r="F8" s="50">
        <v>46312.0</v>
      </c>
      <c r="G8" s="159"/>
      <c r="H8" s="23">
        <v>150000.0</v>
      </c>
      <c r="I8" s="25" t="s">
        <v>34</v>
      </c>
      <c r="J8" s="17"/>
      <c r="K8" s="17"/>
      <c r="L8" s="25" t="s">
        <v>35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361</v>
      </c>
      <c r="D9" s="20" t="s">
        <v>251</v>
      </c>
      <c r="E9" s="19"/>
      <c r="F9" s="50">
        <v>46311.0</v>
      </c>
      <c r="G9" s="159"/>
      <c r="H9" s="23">
        <v>100000.0</v>
      </c>
      <c r="I9" s="25" t="s">
        <v>34</v>
      </c>
      <c r="J9" s="17"/>
      <c r="K9" s="17"/>
      <c r="L9" s="25" t="s">
        <v>35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363</v>
      </c>
      <c r="D10" s="20" t="s">
        <v>21</v>
      </c>
      <c r="E10" s="19"/>
      <c r="F10" s="157">
        <v>46312.0</v>
      </c>
      <c r="G10" s="159"/>
      <c r="H10" s="23">
        <v>100000.0</v>
      </c>
      <c r="I10" s="25" t="s">
        <v>34</v>
      </c>
      <c r="J10" s="17"/>
      <c r="K10" s="17"/>
      <c r="L10" s="25" t="s">
        <v>28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353</v>
      </c>
      <c r="D11" s="20" t="s">
        <v>49</v>
      </c>
      <c r="E11" s="19"/>
      <c r="F11" s="157">
        <v>46310.0</v>
      </c>
      <c r="G11" s="161">
        <v>1075000.0</v>
      </c>
      <c r="H11" s="58"/>
      <c r="I11" s="25" t="s">
        <v>24</v>
      </c>
      <c r="J11" s="25" t="s">
        <v>25</v>
      </c>
      <c r="K11" s="25" t="s">
        <v>27</v>
      </c>
      <c r="L11" s="25" t="s">
        <v>28</v>
      </c>
      <c r="M11" s="25" t="s">
        <v>57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9" t="s">
        <v>364</v>
      </c>
      <c r="D12" s="20" t="s">
        <v>72</v>
      </c>
      <c r="E12" s="19"/>
      <c r="F12" s="157">
        <v>46312.0</v>
      </c>
      <c r="G12" s="159"/>
      <c r="H12" s="23">
        <v>250000.0</v>
      </c>
      <c r="I12" s="25" t="s">
        <v>34</v>
      </c>
      <c r="J12" s="17"/>
      <c r="K12" s="17"/>
      <c r="L12" s="25" t="s">
        <v>28</v>
      </c>
      <c r="M12" s="17"/>
      <c r="N12" s="37"/>
      <c r="O12" s="37"/>
      <c r="P12" s="37"/>
      <c r="Q12" s="1"/>
      <c r="R12" s="1"/>
    </row>
    <row r="13" ht="15.75" customHeight="1">
      <c r="A13" s="1"/>
      <c r="B13" s="17"/>
      <c r="C13" s="180" t="s">
        <v>354</v>
      </c>
      <c r="D13" s="20" t="s">
        <v>41</v>
      </c>
      <c r="E13" s="19"/>
      <c r="F13" s="157">
        <v>46310.0</v>
      </c>
      <c r="G13" s="159"/>
      <c r="H13" s="23">
        <v>125000.0</v>
      </c>
      <c r="I13" s="25" t="s">
        <v>24</v>
      </c>
      <c r="J13" s="25" t="s">
        <v>25</v>
      </c>
      <c r="K13" s="25" t="s">
        <v>25</v>
      </c>
      <c r="L13" s="25" t="s">
        <v>28</v>
      </c>
      <c r="M13" s="25" t="s">
        <v>57</v>
      </c>
      <c r="N13" s="37"/>
      <c r="O13" s="37"/>
      <c r="P13" s="37"/>
      <c r="Q13" s="1"/>
      <c r="R13" s="1"/>
    </row>
    <row r="14" ht="15.75" customHeight="1">
      <c r="A14" s="1"/>
      <c r="B14" s="17"/>
      <c r="C14" s="180" t="s">
        <v>365</v>
      </c>
      <c r="D14" s="20" t="s">
        <v>49</v>
      </c>
      <c r="E14" s="19"/>
      <c r="F14" s="157">
        <v>46315.0</v>
      </c>
      <c r="G14" s="159"/>
      <c r="H14" s="23">
        <v>100000.0</v>
      </c>
      <c r="I14" s="25" t="s">
        <v>34</v>
      </c>
      <c r="J14" s="17"/>
      <c r="K14" s="17"/>
      <c r="L14" s="25" t="s">
        <v>28</v>
      </c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180" t="s">
        <v>366</v>
      </c>
      <c r="D15" s="20" t="s">
        <v>21</v>
      </c>
      <c r="E15" s="19"/>
      <c r="F15" s="157">
        <v>46312.0</v>
      </c>
      <c r="G15" s="159"/>
      <c r="H15" s="23">
        <v>100000.0</v>
      </c>
      <c r="I15" s="25" t="s">
        <v>34</v>
      </c>
      <c r="J15" s="17"/>
      <c r="K15" s="17"/>
      <c r="L15" s="25" t="s">
        <v>28</v>
      </c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180" t="s">
        <v>367</v>
      </c>
      <c r="D16" s="20" t="s">
        <v>49</v>
      </c>
      <c r="E16" s="19"/>
      <c r="F16" s="157">
        <v>46311.0</v>
      </c>
      <c r="G16" s="159"/>
      <c r="H16" s="23">
        <v>100000.0</v>
      </c>
      <c r="I16" s="25" t="s">
        <v>34</v>
      </c>
      <c r="J16" s="17"/>
      <c r="K16" s="17"/>
      <c r="L16" s="25" t="s">
        <v>28</v>
      </c>
      <c r="M16" s="17"/>
      <c r="N16" s="37"/>
      <c r="O16" s="37"/>
      <c r="P16" s="37"/>
      <c r="Q16" s="1"/>
      <c r="R16" s="1"/>
    </row>
    <row r="17" ht="15.75" customHeight="1">
      <c r="A17" s="1"/>
      <c r="B17" s="17">
        <v>10.0</v>
      </c>
      <c r="C17" s="69"/>
      <c r="D17" s="64"/>
      <c r="E17" s="19"/>
      <c r="F17" s="178"/>
      <c r="G17" s="159"/>
      <c r="H17" s="5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4">
        <f t="shared" ref="G18:H18" si="1">SUM(G4:G17)</f>
        <v>1075000</v>
      </c>
      <c r="H18" s="71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118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119</v>
      </c>
      <c r="O21" s="73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121</v>
      </c>
      <c r="D22" s="77">
        <f>SUM(G18)</f>
        <v>1075000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124</v>
      </c>
      <c r="O22" s="81" t="s">
        <v>35</v>
      </c>
      <c r="P22" s="1"/>
      <c r="Q22" s="1"/>
      <c r="R22" s="1"/>
    </row>
    <row r="23" ht="15.75" customHeight="1">
      <c r="A23" s="1"/>
      <c r="B23" s="82">
        <v>2.0</v>
      </c>
      <c r="C23" s="173" t="s">
        <v>336</v>
      </c>
      <c r="D23" s="137">
        <v>-8000.0</v>
      </c>
      <c r="E23" s="78"/>
      <c r="F23" s="1"/>
      <c r="G23" s="1"/>
      <c r="H23" s="1"/>
      <c r="I23" s="1"/>
      <c r="J23" s="1"/>
      <c r="K23" s="1"/>
      <c r="L23" s="1"/>
      <c r="M23" s="1"/>
      <c r="N23" s="86" t="s">
        <v>128</v>
      </c>
      <c r="O23" s="87" t="s">
        <v>28</v>
      </c>
      <c r="P23" s="1"/>
      <c r="Q23" s="1"/>
      <c r="R23" s="1"/>
    </row>
    <row r="24" ht="15.75" customHeight="1">
      <c r="A24" s="1"/>
      <c r="B24" s="75">
        <v>3.0</v>
      </c>
      <c r="C24" s="136" t="s">
        <v>368</v>
      </c>
      <c r="D24" s="182">
        <v>-100000.0</v>
      </c>
      <c r="E24" s="78"/>
      <c r="F24" s="1"/>
      <c r="G24" s="1"/>
      <c r="H24" s="1"/>
      <c r="I24" s="1"/>
      <c r="J24" s="1"/>
      <c r="K24" s="1"/>
      <c r="L24" s="1"/>
      <c r="M24" s="1"/>
      <c r="N24" s="88" t="s">
        <v>131</v>
      </c>
      <c r="O24" s="89" t="s">
        <v>57</v>
      </c>
      <c r="P24" s="1"/>
      <c r="Q24" s="1"/>
      <c r="R24" s="1"/>
    </row>
    <row r="25" ht="15.75" customHeight="1">
      <c r="A25" s="1"/>
      <c r="B25" s="82">
        <v>4.0</v>
      </c>
      <c r="C25" s="90"/>
      <c r="D25" s="91"/>
      <c r="E25" s="78"/>
      <c r="F25" s="1"/>
      <c r="G25" s="1"/>
      <c r="H25" s="1"/>
      <c r="I25" s="1"/>
      <c r="J25" s="1"/>
      <c r="K25" s="1"/>
      <c r="L25" s="1"/>
      <c r="M25" s="1"/>
      <c r="N25" s="95" t="s">
        <v>137</v>
      </c>
      <c r="O25" s="87" t="s">
        <v>57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2">
        <v>6.0</v>
      </c>
      <c r="C27" s="90"/>
      <c r="D27" s="91"/>
      <c r="E27" s="78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146</v>
      </c>
      <c r="O28" s="100" t="s">
        <v>147</v>
      </c>
      <c r="P28" s="100" t="s">
        <v>148</v>
      </c>
      <c r="Q28" s="1"/>
      <c r="R28" s="1"/>
      <c r="AC28" s="101" t="s">
        <v>151</v>
      </c>
      <c r="AD28" s="101" t="s">
        <v>152</v>
      </c>
      <c r="AE28" s="101" t="s">
        <v>153</v>
      </c>
      <c r="AF28" s="101" t="s">
        <v>154</v>
      </c>
      <c r="AG28" s="101" t="s">
        <v>155</v>
      </c>
    </row>
    <row r="29" ht="15.75" customHeight="1">
      <c r="A29" s="1"/>
      <c r="B29" s="82">
        <v>8.0</v>
      </c>
      <c r="C29" s="90"/>
      <c r="D29" s="91"/>
      <c r="E29" s="78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38">
        <v>5.0</v>
      </c>
      <c r="M29" s="138">
        <v>5.0</v>
      </c>
      <c r="N29" s="138">
        <v>5.0</v>
      </c>
      <c r="O29" s="138">
        <v>5.0</v>
      </c>
      <c r="P29" s="138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2"/>
        <v>INDAH</v>
      </c>
      <c r="L30" s="138">
        <v>5.0</v>
      </c>
      <c r="M30" s="138">
        <v>5.0</v>
      </c>
      <c r="N30" s="138">
        <v>5.0</v>
      </c>
      <c r="O30" s="138">
        <v>5.0</v>
      </c>
      <c r="P30" s="138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0"/>
      <c r="D31" s="91"/>
      <c r="E31" s="78"/>
      <c r="F31" s="1"/>
      <c r="G31" s="1"/>
      <c r="H31" s="1"/>
      <c r="I31" s="1"/>
      <c r="J31" s="1"/>
      <c r="K31" s="103" t="str">
        <f t="shared" si="2"/>
        <v>SAKA</v>
      </c>
      <c r="L31" s="138">
        <v>5.0</v>
      </c>
      <c r="M31" s="138">
        <v>5.0</v>
      </c>
      <c r="N31" s="138">
        <v>5.0</v>
      </c>
      <c r="O31" s="138">
        <v>5.0</v>
      </c>
      <c r="P31" s="138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103" t="str">
        <f t="shared" si="2"/>
        <v>SAKA</v>
      </c>
      <c r="L32" s="138">
        <v>5.0</v>
      </c>
      <c r="M32" s="138">
        <v>5.0</v>
      </c>
      <c r="N32" s="138">
        <v>5.0</v>
      </c>
      <c r="O32" s="138">
        <v>5.0</v>
      </c>
      <c r="P32" s="138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2">
        <f>SUM(D22:D32)</f>
        <v>967000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191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193</v>
      </c>
      <c r="N37" s="183"/>
      <c r="O37" s="1"/>
      <c r="P37" s="1"/>
      <c r="Q37" s="1"/>
      <c r="R37" s="1"/>
    </row>
    <row r="38" ht="15.75" customHeight="1">
      <c r="K38" s="119" t="s">
        <v>8</v>
      </c>
      <c r="L38" s="119" t="s">
        <v>195</v>
      </c>
      <c r="M38" s="119" t="s">
        <v>196</v>
      </c>
      <c r="N38" s="184" t="s">
        <v>197</v>
      </c>
    </row>
    <row r="39" ht="15.75" customHeight="1">
      <c r="K39" s="121" t="str">
        <f t="shared" ref="K39:K40" si="8">IF(O22="","",O22)</f>
        <v>AMEL</v>
      </c>
      <c r="L39" s="122">
        <v>5.0</v>
      </c>
      <c r="M39" s="122" t="s">
        <v>338</v>
      </c>
      <c r="N39" s="185"/>
    </row>
    <row r="40" ht="15.75" customHeight="1">
      <c r="K40" s="121" t="str">
        <f t="shared" si="8"/>
        <v>INDAH</v>
      </c>
      <c r="L40" s="122">
        <v>5.0</v>
      </c>
      <c r="M40" s="122" t="s">
        <v>338</v>
      </c>
      <c r="N40" s="185"/>
    </row>
    <row r="41" ht="15.75" customHeight="1"/>
    <row r="42" ht="19.5" customHeight="1">
      <c r="K42" s="127" t="s">
        <v>199</v>
      </c>
    </row>
    <row r="43" ht="19.5" customHeight="1">
      <c r="K43" s="128" t="s">
        <v>200</v>
      </c>
      <c r="M43" s="122">
        <v>30.0</v>
      </c>
    </row>
    <row r="44" ht="19.5" customHeight="1">
      <c r="K44" s="129" t="s">
        <v>202</v>
      </c>
      <c r="M44" s="130">
        <f>COUNTIF($I$4:$I$20,"DP")</f>
        <v>10</v>
      </c>
    </row>
    <row r="45" ht="19.5" customHeight="1">
      <c r="K45" s="129" t="s">
        <v>204</v>
      </c>
      <c r="M45" s="130">
        <f>COUNTIFS($I$4:$I$20,"&lt;&gt;DP",$I$4:$I$20,"&lt;&gt;")</f>
        <v>3</v>
      </c>
    </row>
    <row r="46" ht="19.5" customHeight="1">
      <c r="K46" s="131" t="s">
        <v>206</v>
      </c>
      <c r="M46" s="130">
        <f>M44+M45</f>
        <v>13</v>
      </c>
    </row>
    <row r="47" ht="19.5" customHeight="1">
      <c r="K47" s="128" t="s">
        <v>207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369</v>
      </c>
      <c r="D4" s="20" t="s">
        <v>49</v>
      </c>
      <c r="E4" s="19"/>
      <c r="F4" s="157">
        <v>46313.0</v>
      </c>
      <c r="G4" s="159"/>
      <c r="H4" s="23">
        <v>100000.0</v>
      </c>
      <c r="I4" s="25" t="s">
        <v>34</v>
      </c>
      <c r="J4" s="17"/>
      <c r="K4" s="17"/>
      <c r="L4" s="25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370</v>
      </c>
      <c r="D5" s="20" t="s">
        <v>49</v>
      </c>
      <c r="E5" s="19"/>
      <c r="F5" s="157">
        <v>46313.0</v>
      </c>
      <c r="G5" s="159"/>
      <c r="H5" s="23">
        <v>100000.0</v>
      </c>
      <c r="I5" s="25" t="s">
        <v>34</v>
      </c>
      <c r="J5" s="17"/>
      <c r="K5" s="17"/>
      <c r="L5" s="25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372</v>
      </c>
      <c r="D6" s="20" t="s">
        <v>49</v>
      </c>
      <c r="E6" s="19"/>
      <c r="F6" s="157">
        <v>46313.0</v>
      </c>
      <c r="G6" s="159"/>
      <c r="H6" s="23">
        <v>100000.0</v>
      </c>
      <c r="I6" s="25" t="s">
        <v>34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373</v>
      </c>
      <c r="D7" s="20" t="s">
        <v>49</v>
      </c>
      <c r="E7" s="29" t="s">
        <v>185</v>
      </c>
      <c r="F7" s="157">
        <v>46311.0</v>
      </c>
      <c r="G7" s="159"/>
      <c r="H7" s="23">
        <v>375000.0</v>
      </c>
      <c r="I7" s="25" t="s">
        <v>24</v>
      </c>
      <c r="J7" s="25" t="s">
        <v>25</v>
      </c>
      <c r="K7" s="25" t="s">
        <v>25</v>
      </c>
      <c r="L7" s="25" t="s">
        <v>28</v>
      </c>
      <c r="M7" s="25" t="s">
        <v>43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374</v>
      </c>
      <c r="D8" s="20" t="s">
        <v>49</v>
      </c>
      <c r="E8" s="19"/>
      <c r="F8" s="157">
        <v>46311.0</v>
      </c>
      <c r="G8" s="159"/>
      <c r="H8" s="23">
        <v>425000.0</v>
      </c>
      <c r="I8" s="25" t="s">
        <v>24</v>
      </c>
      <c r="J8" s="25" t="s">
        <v>25</v>
      </c>
      <c r="K8" s="25" t="s">
        <v>27</v>
      </c>
      <c r="L8" s="25" t="s">
        <v>28</v>
      </c>
      <c r="M8" s="25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376</v>
      </c>
      <c r="D9" s="20" t="s">
        <v>21</v>
      </c>
      <c r="E9" s="19"/>
      <c r="F9" s="157">
        <v>46311.0</v>
      </c>
      <c r="G9" s="159"/>
      <c r="H9" s="23">
        <v>100000.0</v>
      </c>
      <c r="I9" s="25" t="s">
        <v>34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377</v>
      </c>
      <c r="D10" s="20" t="s">
        <v>49</v>
      </c>
      <c r="E10" s="19"/>
      <c r="F10" s="50">
        <v>46311.0</v>
      </c>
      <c r="G10" s="161">
        <v>600000.0</v>
      </c>
      <c r="H10" s="58"/>
      <c r="I10" s="25" t="s">
        <v>24</v>
      </c>
      <c r="J10" s="25" t="s">
        <v>25</v>
      </c>
      <c r="K10" s="25" t="s">
        <v>27</v>
      </c>
      <c r="L10" s="25" t="s">
        <v>28</v>
      </c>
      <c r="M10" s="25" t="s">
        <v>43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361</v>
      </c>
      <c r="D11" s="20" t="s">
        <v>251</v>
      </c>
      <c r="E11" s="19"/>
      <c r="F11" s="50">
        <v>46311.0</v>
      </c>
      <c r="G11" s="159"/>
      <c r="H11" s="23">
        <v>250000.0</v>
      </c>
      <c r="I11" s="25" t="s">
        <v>24</v>
      </c>
      <c r="J11" s="25" t="s">
        <v>25</v>
      </c>
      <c r="K11" s="25" t="s">
        <v>27</v>
      </c>
      <c r="L11" s="25" t="s">
        <v>28</v>
      </c>
      <c r="M11" s="25" t="s">
        <v>43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381</v>
      </c>
      <c r="D12" s="20" t="s">
        <v>49</v>
      </c>
      <c r="E12" s="19"/>
      <c r="F12" s="50">
        <v>46312.0</v>
      </c>
      <c r="G12" s="159"/>
      <c r="H12" s="23">
        <v>100000.0</v>
      </c>
      <c r="I12" s="25" t="s">
        <v>34</v>
      </c>
      <c r="J12" s="17"/>
      <c r="K12" s="17"/>
      <c r="L12" s="25" t="s">
        <v>28</v>
      </c>
      <c r="M12" s="17"/>
      <c r="N12" s="37"/>
      <c r="O12" s="37"/>
      <c r="P12" s="37"/>
      <c r="Q12" s="1"/>
      <c r="R12" s="1"/>
    </row>
    <row r="13" ht="15.75" customHeight="1">
      <c r="A13" s="1"/>
      <c r="B13" s="17"/>
      <c r="C13" s="18" t="s">
        <v>382</v>
      </c>
      <c r="D13" s="20" t="s">
        <v>21</v>
      </c>
      <c r="E13" s="19"/>
      <c r="F13" s="50">
        <v>46312.0</v>
      </c>
      <c r="G13" s="159"/>
      <c r="H13" s="23">
        <v>100000.0</v>
      </c>
      <c r="I13" s="25" t="s">
        <v>34</v>
      </c>
      <c r="J13" s="17"/>
      <c r="K13" s="17"/>
      <c r="L13" s="25" t="s">
        <v>28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8" t="s">
        <v>317</v>
      </c>
      <c r="D14" s="20" t="s">
        <v>49</v>
      </c>
      <c r="E14" s="19"/>
      <c r="F14" s="50">
        <v>46311.0</v>
      </c>
      <c r="G14" s="161">
        <v>200000.0</v>
      </c>
      <c r="H14" s="58"/>
      <c r="I14" s="25" t="s">
        <v>24</v>
      </c>
      <c r="J14" s="25" t="s">
        <v>25</v>
      </c>
      <c r="K14" s="25" t="s">
        <v>25</v>
      </c>
      <c r="L14" s="25" t="s">
        <v>28</v>
      </c>
      <c r="M14" s="25" t="s">
        <v>43</v>
      </c>
      <c r="N14" s="37"/>
      <c r="O14" s="37"/>
      <c r="P14" s="37"/>
      <c r="Q14" s="1"/>
      <c r="R14" s="1"/>
    </row>
    <row r="15" ht="15.75" customHeight="1">
      <c r="A15" s="1"/>
      <c r="B15" s="17"/>
      <c r="C15" s="18" t="s">
        <v>385</v>
      </c>
      <c r="D15" s="20" t="s">
        <v>21</v>
      </c>
      <c r="E15" s="19"/>
      <c r="F15" s="50">
        <v>46312.0</v>
      </c>
      <c r="G15" s="159"/>
      <c r="H15" s="23">
        <v>100000.0</v>
      </c>
      <c r="I15" s="25" t="s">
        <v>34</v>
      </c>
      <c r="J15" s="17"/>
      <c r="K15" s="17"/>
      <c r="L15" s="25" t="s">
        <v>28</v>
      </c>
      <c r="M15" s="17"/>
      <c r="N15" s="37"/>
      <c r="O15" s="37"/>
      <c r="P15" s="37"/>
      <c r="Q15" s="1"/>
      <c r="R15" s="1"/>
    </row>
    <row r="16" ht="15.75" customHeight="1">
      <c r="A16" s="1"/>
      <c r="B16" s="17">
        <v>10.0</v>
      </c>
      <c r="C16" s="69"/>
      <c r="D16" s="64"/>
      <c r="E16" s="19"/>
      <c r="F16" s="85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4">
        <f t="shared" ref="G17:H17" si="1">SUM(G4:G16)</f>
        <v>800000</v>
      </c>
      <c r="H17" s="71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3" t="s">
        <v>7</v>
      </c>
      <c r="D20" s="73" t="s">
        <v>118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119</v>
      </c>
      <c r="O20" s="73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121</v>
      </c>
      <c r="D21" s="77">
        <f>SUM(G17)</f>
        <v>800000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124</v>
      </c>
      <c r="O21" s="81" t="s">
        <v>28</v>
      </c>
      <c r="P21" s="1"/>
      <c r="Q21" s="1"/>
      <c r="R21" s="1"/>
    </row>
    <row r="22" ht="15.75" customHeight="1">
      <c r="A22" s="1"/>
      <c r="B22" s="82">
        <v>2.0</v>
      </c>
      <c r="C22" s="90"/>
      <c r="D22" s="91"/>
      <c r="E22" s="78"/>
      <c r="F22" s="1"/>
      <c r="G22" s="1"/>
      <c r="H22" s="1"/>
      <c r="I22" s="1"/>
      <c r="J22" s="1"/>
      <c r="K22" s="1"/>
      <c r="L22" s="1"/>
      <c r="M22" s="1"/>
      <c r="N22" s="86" t="s">
        <v>128</v>
      </c>
      <c r="O22" s="87" t="s">
        <v>28</v>
      </c>
      <c r="P22" s="1"/>
      <c r="Q22" s="1"/>
      <c r="R22" s="1"/>
    </row>
    <row r="23" ht="15.75" customHeight="1">
      <c r="A23" s="1"/>
      <c r="B23" s="75">
        <v>3.0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88" t="s">
        <v>131</v>
      </c>
      <c r="O23" s="89" t="s">
        <v>43</v>
      </c>
      <c r="P23" s="1"/>
      <c r="Q23" s="1"/>
      <c r="R23" s="1"/>
    </row>
    <row r="24" ht="15.75" customHeight="1">
      <c r="A24" s="1"/>
      <c r="B24" s="82">
        <v>4.0</v>
      </c>
      <c r="C24" s="90"/>
      <c r="D24" s="91"/>
      <c r="E24" s="78"/>
      <c r="F24" s="1"/>
      <c r="G24" s="1"/>
      <c r="H24" s="1"/>
      <c r="I24" s="1"/>
      <c r="J24" s="1"/>
      <c r="K24" s="1"/>
      <c r="L24" s="1"/>
      <c r="M24" s="1"/>
      <c r="N24" s="95" t="s">
        <v>137</v>
      </c>
      <c r="O24" s="87" t="s">
        <v>43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2">
        <v>6.0</v>
      </c>
      <c r="C26" s="90"/>
      <c r="D26" s="91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147</v>
      </c>
      <c r="P27" s="100" t="s">
        <v>148</v>
      </c>
      <c r="Q27" s="1"/>
      <c r="R27" s="1"/>
      <c r="AC27" s="101" t="s">
        <v>151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2">
        <v>8.0</v>
      </c>
      <c r="C28" s="90"/>
      <c r="D28" s="91"/>
      <c r="E28" s="78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38">
        <v>5.0</v>
      </c>
      <c r="M28" s="138">
        <v>5.0</v>
      </c>
      <c r="N28" s="138">
        <v>5.0</v>
      </c>
      <c r="O28" s="138">
        <v>5.0</v>
      </c>
      <c r="P28" s="138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INDAH</v>
      </c>
      <c r="L29" s="138">
        <v>5.0</v>
      </c>
      <c r="M29" s="138">
        <v>5.0</v>
      </c>
      <c r="N29" s="138">
        <v>5.0</v>
      </c>
      <c r="O29" s="138">
        <v>5.0</v>
      </c>
      <c r="P29" s="138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0"/>
      <c r="D30" s="91"/>
      <c r="E30" s="78"/>
      <c r="F30" s="1"/>
      <c r="G30" s="1"/>
      <c r="H30" s="1"/>
      <c r="I30" s="1"/>
      <c r="J30" s="1"/>
      <c r="K30" s="103" t="str">
        <f t="shared" si="2"/>
        <v>ADIF</v>
      </c>
      <c r="L30" s="138">
        <v>5.0</v>
      </c>
      <c r="M30" s="138">
        <v>5.0</v>
      </c>
      <c r="N30" s="138">
        <v>5.0</v>
      </c>
      <c r="O30" s="138">
        <v>5.0</v>
      </c>
      <c r="P30" s="138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8"/>
      <c r="F31" s="1"/>
      <c r="G31" s="1"/>
      <c r="H31" s="1"/>
      <c r="I31" s="1"/>
      <c r="J31" s="1"/>
      <c r="K31" s="103" t="str">
        <f t="shared" si="2"/>
        <v>ADIF</v>
      </c>
      <c r="L31" s="138">
        <v>5.0</v>
      </c>
      <c r="M31" s="138">
        <v>5.0</v>
      </c>
      <c r="N31" s="138">
        <v>5.0</v>
      </c>
      <c r="O31" s="138">
        <v>5.0</v>
      </c>
      <c r="P31" s="138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"/>
      <c r="C32" s="3"/>
      <c r="D32" s="112">
        <f>SUM(D21:D31)</f>
        <v>800000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191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193</v>
      </c>
      <c r="N36" s="183"/>
      <c r="O36" s="1"/>
      <c r="P36" s="1"/>
      <c r="Q36" s="1"/>
      <c r="R36" s="1"/>
    </row>
    <row r="37" ht="15.75" customHeight="1">
      <c r="K37" s="119" t="s">
        <v>8</v>
      </c>
      <c r="L37" s="119" t="s">
        <v>195</v>
      </c>
      <c r="M37" s="119" t="s">
        <v>196</v>
      </c>
      <c r="N37" s="184" t="s">
        <v>197</v>
      </c>
    </row>
    <row r="38" ht="15.75" customHeight="1">
      <c r="K38" s="121" t="s">
        <v>28</v>
      </c>
      <c r="L38" s="122">
        <v>9.0</v>
      </c>
      <c r="M38" s="122" t="s">
        <v>398</v>
      </c>
      <c r="N38" s="191">
        <v>12.0</v>
      </c>
    </row>
    <row r="39" ht="15.75" customHeight="1">
      <c r="K39" s="121" t="s">
        <v>28</v>
      </c>
      <c r="L39" s="122" t="s">
        <v>399</v>
      </c>
      <c r="M39" s="123"/>
      <c r="N39" s="185"/>
    </row>
    <row r="40" ht="15.75" customHeight="1"/>
    <row r="41" ht="19.5" customHeight="1">
      <c r="K41" s="127" t="s">
        <v>199</v>
      </c>
    </row>
    <row r="42" ht="19.5" customHeight="1">
      <c r="K42" s="128" t="s">
        <v>200</v>
      </c>
      <c r="M42" s="122">
        <v>23.0</v>
      </c>
    </row>
    <row r="43" ht="19.5" customHeight="1">
      <c r="K43" s="129" t="s">
        <v>202</v>
      </c>
      <c r="M43" s="130">
        <f>COUNTIF($I$4:$I$19,"DP")</f>
        <v>7</v>
      </c>
    </row>
    <row r="44" ht="19.5" customHeight="1">
      <c r="K44" s="129" t="s">
        <v>204</v>
      </c>
      <c r="M44" s="130">
        <f>COUNTIFS($I$4:$I$19,"&lt;&gt;DP",$I$4:$I$19,"&lt;&gt;")</f>
        <v>5</v>
      </c>
    </row>
    <row r="45" ht="19.5" customHeight="1">
      <c r="K45" s="131" t="s">
        <v>206</v>
      </c>
      <c r="M45" s="130">
        <f>M43+M44</f>
        <v>12</v>
      </c>
    </row>
    <row r="46" ht="19.5" customHeight="1">
      <c r="K46" s="128" t="s">
        <v>207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5">
        <v>1.0</v>
      </c>
      <c r="C4" s="18" t="s">
        <v>371</v>
      </c>
      <c r="D4" s="20" t="s">
        <v>21</v>
      </c>
      <c r="E4" s="19"/>
      <c r="F4" s="157">
        <v>46312.0</v>
      </c>
      <c r="G4" s="186"/>
      <c r="H4" s="187">
        <v>100000.0</v>
      </c>
      <c r="I4" s="25" t="s">
        <v>34</v>
      </c>
      <c r="J4" s="17"/>
      <c r="K4" s="17"/>
      <c r="L4" s="25" t="s">
        <v>35</v>
      </c>
      <c r="M4" s="17"/>
      <c r="N4" s="30"/>
      <c r="O4" s="30"/>
      <c r="P4" s="33"/>
      <c r="Q4" s="1"/>
      <c r="R4" s="1"/>
    </row>
    <row r="5" ht="15.75" customHeight="1">
      <c r="A5" s="1"/>
      <c r="B5" s="25">
        <v>2.0</v>
      </c>
      <c r="C5" s="80" t="s">
        <v>375</v>
      </c>
      <c r="D5" s="20" t="s">
        <v>21</v>
      </c>
      <c r="E5" s="19"/>
      <c r="F5" s="157">
        <v>46312.0</v>
      </c>
      <c r="G5" s="186"/>
      <c r="H5" s="187">
        <v>100000.0</v>
      </c>
      <c r="I5" s="25" t="s">
        <v>34</v>
      </c>
      <c r="J5" s="17"/>
      <c r="K5" s="17"/>
      <c r="L5" s="25" t="s">
        <v>35</v>
      </c>
      <c r="M5" s="17"/>
      <c r="N5" s="30"/>
      <c r="O5" s="30"/>
      <c r="P5" s="33"/>
      <c r="Q5" s="1"/>
      <c r="R5" s="1"/>
    </row>
    <row r="6" ht="15.75" customHeight="1">
      <c r="A6" s="1"/>
      <c r="B6" s="25">
        <v>3.0</v>
      </c>
      <c r="C6" s="18" t="s">
        <v>334</v>
      </c>
      <c r="D6" s="20" t="s">
        <v>49</v>
      </c>
      <c r="E6" s="19"/>
      <c r="F6" s="157">
        <v>46312.0</v>
      </c>
      <c r="G6" s="186"/>
      <c r="H6" s="187">
        <v>375000.0</v>
      </c>
      <c r="I6" s="25" t="s">
        <v>24</v>
      </c>
      <c r="J6" s="25" t="s">
        <v>25</v>
      </c>
      <c r="K6" s="25" t="s">
        <v>27</v>
      </c>
      <c r="L6" s="25" t="s">
        <v>35</v>
      </c>
      <c r="M6" s="25" t="s">
        <v>43</v>
      </c>
      <c r="N6" s="30"/>
      <c r="O6" s="30"/>
      <c r="P6" s="33"/>
      <c r="Q6" s="1"/>
      <c r="R6" s="1"/>
    </row>
    <row r="7" ht="15.75" customHeight="1">
      <c r="A7" s="1"/>
      <c r="B7" s="25">
        <v>4.0</v>
      </c>
      <c r="C7" s="18" t="s">
        <v>378</v>
      </c>
      <c r="D7" s="20" t="s">
        <v>21</v>
      </c>
      <c r="E7" s="19"/>
      <c r="F7" s="157">
        <v>46312.0</v>
      </c>
      <c r="G7" s="186"/>
      <c r="H7" s="187">
        <v>100000.0</v>
      </c>
      <c r="I7" s="25" t="s">
        <v>34</v>
      </c>
      <c r="J7" s="17"/>
      <c r="K7" s="17"/>
      <c r="L7" s="25" t="s">
        <v>35</v>
      </c>
      <c r="M7" s="17"/>
      <c r="N7" s="30"/>
      <c r="O7" s="30"/>
      <c r="P7" s="33"/>
      <c r="Q7" s="1"/>
      <c r="R7" s="1"/>
    </row>
    <row r="8" ht="15.75" customHeight="1">
      <c r="A8" s="1"/>
      <c r="B8" s="25">
        <v>5.0</v>
      </c>
      <c r="C8" s="80" t="s">
        <v>379</v>
      </c>
      <c r="D8" s="20" t="s">
        <v>37</v>
      </c>
      <c r="E8" s="19"/>
      <c r="F8" s="157">
        <v>46314.0</v>
      </c>
      <c r="G8" s="186"/>
      <c r="H8" s="187">
        <v>100000.0</v>
      </c>
      <c r="I8" s="25" t="s">
        <v>24</v>
      </c>
      <c r="J8" s="17"/>
      <c r="K8" s="17"/>
      <c r="L8" s="25" t="s">
        <v>35</v>
      </c>
      <c r="M8" s="17"/>
      <c r="N8" s="30"/>
      <c r="O8" s="30"/>
      <c r="P8" s="33"/>
      <c r="Q8" s="1"/>
      <c r="R8" s="1"/>
    </row>
    <row r="9" ht="15.75" customHeight="1">
      <c r="A9" s="1"/>
      <c r="B9" s="25">
        <v>6.0</v>
      </c>
      <c r="C9" s="18" t="s">
        <v>380</v>
      </c>
      <c r="D9" s="20" t="s">
        <v>21</v>
      </c>
      <c r="E9" s="19"/>
      <c r="F9" s="157">
        <v>46312.0</v>
      </c>
      <c r="G9" s="188">
        <v>310000.0</v>
      </c>
      <c r="H9" s="189"/>
      <c r="I9" s="25" t="s">
        <v>24</v>
      </c>
      <c r="J9" s="25" t="s">
        <v>25</v>
      </c>
      <c r="K9" s="25" t="s">
        <v>27</v>
      </c>
      <c r="L9" s="25" t="s">
        <v>35</v>
      </c>
      <c r="M9" s="25" t="s">
        <v>57</v>
      </c>
      <c r="N9" s="30"/>
      <c r="O9" s="30"/>
      <c r="P9" s="33"/>
      <c r="Q9" s="1"/>
      <c r="R9" s="1"/>
    </row>
    <row r="10" ht="15.75" customHeight="1">
      <c r="A10" s="1"/>
      <c r="B10" s="25">
        <v>7.0</v>
      </c>
      <c r="C10" s="18" t="s">
        <v>383</v>
      </c>
      <c r="D10" s="20" t="s">
        <v>21</v>
      </c>
      <c r="E10" s="19"/>
      <c r="F10" s="157">
        <v>46312.0</v>
      </c>
      <c r="G10" s="188">
        <v>270000.0</v>
      </c>
      <c r="H10" s="189"/>
      <c r="I10" s="25" t="s">
        <v>24</v>
      </c>
      <c r="J10" s="25" t="s">
        <v>25</v>
      </c>
      <c r="K10" s="25" t="s">
        <v>27</v>
      </c>
      <c r="L10" s="25" t="s">
        <v>35</v>
      </c>
      <c r="M10" s="25" t="s">
        <v>43</v>
      </c>
      <c r="N10" s="30"/>
      <c r="O10" s="30"/>
      <c r="P10" s="33"/>
      <c r="Q10" s="1"/>
      <c r="R10" s="1"/>
    </row>
    <row r="11" ht="15.75" customHeight="1">
      <c r="A11" s="1"/>
      <c r="B11" s="25">
        <v>8.0</v>
      </c>
      <c r="C11" s="18" t="s">
        <v>384</v>
      </c>
      <c r="D11" s="20" t="s">
        <v>21</v>
      </c>
      <c r="E11" s="19"/>
      <c r="F11" s="157">
        <v>46312.0</v>
      </c>
      <c r="G11" s="186"/>
      <c r="H11" s="187">
        <v>330000.0</v>
      </c>
      <c r="I11" s="25" t="s">
        <v>24</v>
      </c>
      <c r="J11" s="25" t="s">
        <v>25</v>
      </c>
      <c r="K11" s="25" t="s">
        <v>27</v>
      </c>
      <c r="L11" s="25" t="s">
        <v>35</v>
      </c>
      <c r="M11" s="25" t="s">
        <v>57</v>
      </c>
      <c r="N11" s="30"/>
      <c r="O11" s="30"/>
      <c r="P11" s="33"/>
      <c r="Q11" s="1"/>
      <c r="R11" s="1"/>
    </row>
    <row r="12" ht="15.75" customHeight="1">
      <c r="A12" s="1"/>
      <c r="B12" s="25">
        <v>9.0</v>
      </c>
      <c r="C12" s="18" t="s">
        <v>386</v>
      </c>
      <c r="D12" s="20" t="s">
        <v>29</v>
      </c>
      <c r="E12" s="19"/>
      <c r="F12" s="157">
        <v>46312.0</v>
      </c>
      <c r="G12" s="188">
        <v>360000.0</v>
      </c>
      <c r="H12" s="189"/>
      <c r="I12" s="17"/>
      <c r="J12" s="17"/>
      <c r="K12" s="17"/>
      <c r="L12" s="25" t="s">
        <v>35</v>
      </c>
      <c r="M12" s="17"/>
      <c r="N12" s="30"/>
      <c r="O12" s="30"/>
      <c r="P12" s="33"/>
      <c r="Q12" s="1"/>
      <c r="R12" s="1"/>
    </row>
    <row r="13" ht="15.75" customHeight="1">
      <c r="A13" s="1"/>
      <c r="B13" s="25">
        <v>10.0</v>
      </c>
      <c r="C13" s="18" t="s">
        <v>359</v>
      </c>
      <c r="D13" s="20" t="s">
        <v>21</v>
      </c>
      <c r="E13" s="19"/>
      <c r="F13" s="157">
        <v>46312.0</v>
      </c>
      <c r="G13" s="186"/>
      <c r="H13" s="187">
        <v>220000.0</v>
      </c>
      <c r="I13" s="25" t="s">
        <v>24</v>
      </c>
      <c r="J13" s="25" t="s">
        <v>25</v>
      </c>
      <c r="K13" s="25" t="s">
        <v>27</v>
      </c>
      <c r="L13" s="25" t="s">
        <v>35</v>
      </c>
      <c r="M13" s="25" t="s">
        <v>43</v>
      </c>
      <c r="N13" s="30"/>
      <c r="O13" s="30"/>
      <c r="P13" s="33"/>
      <c r="Q13" s="1"/>
      <c r="R13" s="1"/>
    </row>
    <row r="14" ht="15.75" customHeight="1">
      <c r="A14" s="1"/>
      <c r="B14" s="25">
        <v>11.0</v>
      </c>
      <c r="C14" s="18" t="s">
        <v>387</v>
      </c>
      <c r="D14" s="20" t="s">
        <v>21</v>
      </c>
      <c r="E14" s="19"/>
      <c r="F14" s="157">
        <v>46312.0</v>
      </c>
      <c r="G14" s="159"/>
      <c r="H14" s="23">
        <v>270000.0</v>
      </c>
      <c r="I14" s="25" t="s">
        <v>24</v>
      </c>
      <c r="J14" s="25" t="s">
        <v>25</v>
      </c>
      <c r="K14" s="25" t="s">
        <v>27</v>
      </c>
      <c r="L14" s="25" t="s">
        <v>35</v>
      </c>
      <c r="M14" s="25" t="s">
        <v>57</v>
      </c>
      <c r="N14" s="30"/>
      <c r="O14" s="30"/>
      <c r="P14" s="33"/>
      <c r="Q14" s="1"/>
      <c r="R14" s="1"/>
    </row>
    <row r="15" ht="15.75" customHeight="1">
      <c r="A15" s="1"/>
      <c r="B15" s="25">
        <v>12.0</v>
      </c>
      <c r="C15" s="18" t="s">
        <v>381</v>
      </c>
      <c r="D15" s="20" t="s">
        <v>21</v>
      </c>
      <c r="E15" s="19"/>
      <c r="F15" s="157">
        <v>46312.0</v>
      </c>
      <c r="G15" s="161">
        <v>270000.0</v>
      </c>
      <c r="H15" s="58"/>
      <c r="I15" s="25" t="s">
        <v>24</v>
      </c>
      <c r="J15" s="25" t="s">
        <v>25</v>
      </c>
      <c r="K15" s="25" t="s">
        <v>27</v>
      </c>
      <c r="L15" s="25" t="s">
        <v>35</v>
      </c>
      <c r="M15" s="25" t="s">
        <v>43</v>
      </c>
      <c r="N15" s="37"/>
      <c r="O15" s="37"/>
      <c r="P15" s="37"/>
      <c r="Q15" s="1"/>
      <c r="R15" s="1"/>
    </row>
    <row r="16" ht="15.75" customHeight="1">
      <c r="A16" s="1"/>
      <c r="B16" s="25">
        <v>13.0</v>
      </c>
      <c r="C16" s="18" t="s">
        <v>370</v>
      </c>
      <c r="D16" s="20" t="s">
        <v>49</v>
      </c>
      <c r="E16" s="19"/>
      <c r="F16" s="157">
        <v>46312.0</v>
      </c>
      <c r="G16" s="161">
        <v>150000.0</v>
      </c>
      <c r="H16" s="58"/>
      <c r="I16" s="25" t="s">
        <v>24</v>
      </c>
      <c r="J16" s="25" t="s">
        <v>25</v>
      </c>
      <c r="K16" s="25" t="s">
        <v>27</v>
      </c>
      <c r="L16" s="25" t="s">
        <v>35</v>
      </c>
      <c r="M16" s="25" t="s">
        <v>57</v>
      </c>
      <c r="N16" s="37"/>
      <c r="O16" s="37"/>
      <c r="P16" s="37"/>
      <c r="Q16" s="1"/>
      <c r="R16" s="1"/>
    </row>
    <row r="17" ht="15.75" customHeight="1">
      <c r="A17" s="1"/>
      <c r="B17" s="25">
        <v>14.0</v>
      </c>
      <c r="C17" s="190" t="s">
        <v>388</v>
      </c>
      <c r="D17" s="20" t="s">
        <v>21</v>
      </c>
      <c r="E17" s="19"/>
      <c r="F17" s="157">
        <v>46312.0</v>
      </c>
      <c r="G17" s="159"/>
      <c r="H17" s="23">
        <v>270000.0</v>
      </c>
      <c r="I17" s="25" t="s">
        <v>24</v>
      </c>
      <c r="J17" s="25" t="s">
        <v>25</v>
      </c>
      <c r="K17" s="25" t="s">
        <v>27</v>
      </c>
      <c r="L17" s="25" t="s">
        <v>28</v>
      </c>
      <c r="M17" s="25" t="s">
        <v>43</v>
      </c>
      <c r="N17" s="37"/>
      <c r="O17" s="37"/>
      <c r="P17" s="37"/>
      <c r="Q17" s="1"/>
      <c r="R17" s="1"/>
    </row>
    <row r="18" ht="15.75" customHeight="1">
      <c r="A18" s="1"/>
      <c r="B18" s="25">
        <v>15.0</v>
      </c>
      <c r="C18" s="18" t="s">
        <v>389</v>
      </c>
      <c r="D18" s="20" t="s">
        <v>21</v>
      </c>
      <c r="E18" s="19"/>
      <c r="F18" s="157">
        <v>46312.0</v>
      </c>
      <c r="G18" s="161">
        <v>270000.0</v>
      </c>
      <c r="H18" s="58"/>
      <c r="I18" s="25" t="s">
        <v>24</v>
      </c>
      <c r="J18" s="25" t="s">
        <v>25</v>
      </c>
      <c r="K18" s="25" t="s">
        <v>27</v>
      </c>
      <c r="L18" s="25" t="s">
        <v>28</v>
      </c>
      <c r="M18" s="25" t="s">
        <v>57</v>
      </c>
      <c r="N18" s="37"/>
      <c r="O18" s="37"/>
      <c r="P18" s="37"/>
      <c r="Q18" s="1"/>
      <c r="R18" s="1"/>
    </row>
    <row r="19" ht="15.75" customHeight="1">
      <c r="A19" s="1"/>
      <c r="B19" s="25">
        <v>16.0</v>
      </c>
      <c r="C19" s="18" t="s">
        <v>390</v>
      </c>
      <c r="D19" s="20" t="s">
        <v>21</v>
      </c>
      <c r="E19" s="19"/>
      <c r="F19" s="157">
        <v>46312.0</v>
      </c>
      <c r="G19" s="161">
        <v>20000.0</v>
      </c>
      <c r="H19" s="23">
        <v>250000.0</v>
      </c>
      <c r="I19" s="25" t="s">
        <v>24</v>
      </c>
      <c r="J19" s="25" t="s">
        <v>25</v>
      </c>
      <c r="K19" s="25" t="s">
        <v>27</v>
      </c>
      <c r="L19" s="25" t="s">
        <v>28</v>
      </c>
      <c r="M19" s="25" t="s">
        <v>43</v>
      </c>
      <c r="N19" s="37"/>
      <c r="O19" s="37"/>
      <c r="P19" s="37"/>
      <c r="Q19" s="1"/>
      <c r="R19" s="1"/>
    </row>
    <row r="20" ht="15.75" customHeight="1">
      <c r="A20" s="1"/>
      <c r="B20" s="25">
        <v>17.0</v>
      </c>
      <c r="C20" s="18" t="s">
        <v>391</v>
      </c>
      <c r="D20" s="20" t="s">
        <v>21</v>
      </c>
      <c r="E20" s="19"/>
      <c r="F20" s="157">
        <v>46312.0</v>
      </c>
      <c r="G20" s="161">
        <v>420000.0</v>
      </c>
      <c r="H20" s="58"/>
      <c r="I20" s="25" t="s">
        <v>24</v>
      </c>
      <c r="J20" s="25" t="s">
        <v>25</v>
      </c>
      <c r="K20" s="25" t="s">
        <v>27</v>
      </c>
      <c r="L20" s="25" t="s">
        <v>28</v>
      </c>
      <c r="M20" s="25" t="s">
        <v>43</v>
      </c>
      <c r="N20" s="37"/>
      <c r="O20" s="37"/>
      <c r="P20" s="37"/>
      <c r="Q20" s="1"/>
      <c r="R20" s="1"/>
    </row>
    <row r="21" ht="15.75" customHeight="1">
      <c r="A21" s="1"/>
      <c r="B21" s="25">
        <v>18.0</v>
      </c>
      <c r="C21" s="24" t="s">
        <v>366</v>
      </c>
      <c r="D21" s="20" t="s">
        <v>21</v>
      </c>
      <c r="E21" s="19"/>
      <c r="F21" s="157">
        <v>46312.0</v>
      </c>
      <c r="G21" s="23">
        <v>250000.0</v>
      </c>
      <c r="H21" s="58"/>
      <c r="I21" s="25" t="s">
        <v>24</v>
      </c>
      <c r="J21" s="25" t="s">
        <v>25</v>
      </c>
      <c r="K21" s="25" t="s">
        <v>27</v>
      </c>
      <c r="L21" s="25" t="s">
        <v>35</v>
      </c>
      <c r="M21" s="25" t="s">
        <v>57</v>
      </c>
      <c r="N21" s="37"/>
      <c r="O21" s="37"/>
      <c r="P21" s="37"/>
      <c r="Q21" s="1"/>
      <c r="R21" s="1"/>
    </row>
    <row r="22" ht="15.75" customHeight="1">
      <c r="A22" s="1"/>
      <c r="B22" s="25">
        <v>19.0</v>
      </c>
      <c r="C22" s="18" t="s">
        <v>392</v>
      </c>
      <c r="D22" s="20" t="s">
        <v>21</v>
      </c>
      <c r="E22" s="19"/>
      <c r="F22" s="157">
        <v>46312.0</v>
      </c>
      <c r="G22" s="161">
        <v>370000.0</v>
      </c>
      <c r="H22" s="58"/>
      <c r="I22" s="25" t="s">
        <v>24</v>
      </c>
      <c r="J22" s="25" t="s">
        <v>25</v>
      </c>
      <c r="K22" s="25" t="s">
        <v>27</v>
      </c>
      <c r="L22" s="25" t="s">
        <v>28</v>
      </c>
      <c r="M22" s="25" t="s">
        <v>43</v>
      </c>
      <c r="N22" s="37"/>
      <c r="O22" s="37"/>
      <c r="P22" s="37"/>
      <c r="Q22" s="1"/>
      <c r="R22" s="1"/>
    </row>
    <row r="23" ht="15.75" customHeight="1">
      <c r="A23" s="1"/>
      <c r="B23" s="25">
        <v>20.0</v>
      </c>
      <c r="C23" s="18" t="s">
        <v>393</v>
      </c>
      <c r="D23" s="20" t="s">
        <v>21</v>
      </c>
      <c r="E23" s="19"/>
      <c r="F23" s="157">
        <v>46312.0</v>
      </c>
      <c r="G23" s="159"/>
      <c r="H23" s="23">
        <v>250000.0</v>
      </c>
      <c r="I23" s="25" t="s">
        <v>24</v>
      </c>
      <c r="J23" s="25" t="s">
        <v>25</v>
      </c>
      <c r="K23" s="25" t="s">
        <v>27</v>
      </c>
      <c r="L23" s="25" t="s">
        <v>28</v>
      </c>
      <c r="M23" s="25" t="s">
        <v>43</v>
      </c>
      <c r="N23" s="37"/>
      <c r="O23" s="37"/>
      <c r="P23" s="37"/>
      <c r="Q23" s="1"/>
      <c r="R23" s="1"/>
    </row>
    <row r="24" ht="15.75" customHeight="1">
      <c r="A24" s="1"/>
      <c r="B24" s="25">
        <v>21.0</v>
      </c>
      <c r="C24" s="18" t="s">
        <v>394</v>
      </c>
      <c r="D24" s="20" t="s">
        <v>49</v>
      </c>
      <c r="E24" s="19"/>
      <c r="F24" s="157">
        <v>46316.0</v>
      </c>
      <c r="G24" s="159"/>
      <c r="H24" s="23">
        <v>100000.0</v>
      </c>
      <c r="I24" s="25" t="s">
        <v>34</v>
      </c>
      <c r="J24" s="17"/>
      <c r="K24" s="17"/>
      <c r="L24" s="25" t="s">
        <v>28</v>
      </c>
      <c r="M24" s="17"/>
      <c r="N24" s="37"/>
      <c r="O24" s="37"/>
      <c r="P24" s="37"/>
      <c r="Q24" s="1"/>
      <c r="R24" s="1"/>
    </row>
    <row r="25" ht="15.75" customHeight="1">
      <c r="A25" s="1"/>
      <c r="B25" s="25">
        <v>22.0</v>
      </c>
      <c r="C25" s="18" t="s">
        <v>395</v>
      </c>
      <c r="D25" s="20" t="s">
        <v>21</v>
      </c>
      <c r="E25" s="19"/>
      <c r="F25" s="157">
        <v>46312.0</v>
      </c>
      <c r="G25" s="159"/>
      <c r="H25" s="23">
        <v>250000.0</v>
      </c>
      <c r="I25" s="25" t="s">
        <v>24</v>
      </c>
      <c r="J25" s="25" t="s">
        <v>25</v>
      </c>
      <c r="K25" s="25" t="s">
        <v>27</v>
      </c>
      <c r="L25" s="25" t="s">
        <v>35</v>
      </c>
      <c r="M25" s="25" t="s">
        <v>57</v>
      </c>
      <c r="N25" s="37"/>
      <c r="O25" s="37"/>
      <c r="P25" s="37"/>
      <c r="Q25" s="1"/>
      <c r="R25" s="1"/>
    </row>
    <row r="26" ht="15.75" customHeight="1">
      <c r="A26" s="1"/>
      <c r="B26" s="25">
        <v>23.0</v>
      </c>
      <c r="C26" s="18" t="s">
        <v>356</v>
      </c>
      <c r="D26" s="20" t="s">
        <v>21</v>
      </c>
      <c r="E26" s="19"/>
      <c r="F26" s="157">
        <v>46312.0</v>
      </c>
      <c r="G26" s="159"/>
      <c r="H26" s="23">
        <v>250000.0</v>
      </c>
      <c r="I26" s="25" t="s">
        <v>24</v>
      </c>
      <c r="J26" s="25" t="s">
        <v>25</v>
      </c>
      <c r="K26" s="25" t="s">
        <v>27</v>
      </c>
      <c r="L26" s="25" t="s">
        <v>28</v>
      </c>
      <c r="M26" s="25" t="s">
        <v>57</v>
      </c>
      <c r="N26" s="37"/>
      <c r="O26" s="37"/>
      <c r="P26" s="37"/>
      <c r="Q26" s="1"/>
      <c r="R26" s="1"/>
    </row>
    <row r="27" ht="15.75" customHeight="1">
      <c r="A27" s="1"/>
      <c r="B27" s="25">
        <v>24.0</v>
      </c>
      <c r="C27" s="18" t="s">
        <v>363</v>
      </c>
      <c r="D27" s="20" t="s">
        <v>21</v>
      </c>
      <c r="E27" s="19"/>
      <c r="F27" s="157">
        <v>46312.0</v>
      </c>
      <c r="G27" s="161">
        <v>250000.0</v>
      </c>
      <c r="H27" s="58"/>
      <c r="I27" s="25" t="s">
        <v>24</v>
      </c>
      <c r="J27" s="25" t="s">
        <v>25</v>
      </c>
      <c r="K27" s="25" t="s">
        <v>27</v>
      </c>
      <c r="L27" s="25" t="s">
        <v>28</v>
      </c>
      <c r="M27" s="25" t="s">
        <v>43</v>
      </c>
      <c r="N27" s="37"/>
      <c r="O27" s="37"/>
      <c r="P27" s="37"/>
      <c r="Q27" s="1"/>
      <c r="R27" s="1"/>
    </row>
    <row r="28" ht="15.75" customHeight="1">
      <c r="A28" s="1"/>
      <c r="B28" s="25">
        <v>25.0</v>
      </c>
      <c r="C28" s="18" t="s">
        <v>396</v>
      </c>
      <c r="D28" s="20" t="s">
        <v>21</v>
      </c>
      <c r="E28" s="19"/>
      <c r="F28" s="157">
        <v>46312.0</v>
      </c>
      <c r="G28" s="159"/>
      <c r="H28" s="23">
        <v>250000.0</v>
      </c>
      <c r="I28" s="25" t="s">
        <v>24</v>
      </c>
      <c r="J28" s="25" t="s">
        <v>25</v>
      </c>
      <c r="K28" s="25" t="s">
        <v>27</v>
      </c>
      <c r="L28" s="25" t="s">
        <v>28</v>
      </c>
      <c r="M28" s="25" t="s">
        <v>43</v>
      </c>
      <c r="N28" s="37"/>
      <c r="O28" s="37"/>
      <c r="P28" s="37"/>
      <c r="Q28" s="1"/>
      <c r="R28" s="1"/>
    </row>
    <row r="29" ht="15.75" customHeight="1">
      <c r="A29" s="1"/>
      <c r="B29" s="25">
        <v>26.0</v>
      </c>
      <c r="C29" s="18" t="s">
        <v>364</v>
      </c>
      <c r="D29" s="20" t="s">
        <v>72</v>
      </c>
      <c r="E29" s="19"/>
      <c r="F29" s="157">
        <v>46312.0</v>
      </c>
      <c r="G29" s="159"/>
      <c r="H29" s="23">
        <v>200000.0</v>
      </c>
      <c r="I29" s="25" t="s">
        <v>24</v>
      </c>
      <c r="J29" s="25" t="s">
        <v>39</v>
      </c>
      <c r="K29" s="17"/>
      <c r="L29" s="25" t="s">
        <v>28</v>
      </c>
      <c r="M29" s="17"/>
      <c r="N29" s="37"/>
      <c r="O29" s="37"/>
      <c r="P29" s="37"/>
      <c r="Q29" s="1"/>
      <c r="R29" s="1"/>
    </row>
    <row r="30" ht="15.75" customHeight="1">
      <c r="A30" s="1"/>
      <c r="B30" s="25">
        <v>27.0</v>
      </c>
      <c r="C30" s="18" t="s">
        <v>397</v>
      </c>
      <c r="D30" s="20" t="s">
        <v>21</v>
      </c>
      <c r="E30" s="19"/>
      <c r="F30" s="157">
        <v>46312.0</v>
      </c>
      <c r="G30" s="159"/>
      <c r="H30" s="23">
        <v>290000.0</v>
      </c>
      <c r="I30" s="25" t="s">
        <v>24</v>
      </c>
      <c r="J30" s="25" t="s">
        <v>25</v>
      </c>
      <c r="K30" s="25" t="s">
        <v>27</v>
      </c>
      <c r="L30" s="25" t="s">
        <v>28</v>
      </c>
      <c r="M30" s="25" t="s">
        <v>43</v>
      </c>
      <c r="N30" s="37"/>
      <c r="O30" s="37"/>
      <c r="P30" s="37"/>
      <c r="Q30" s="1"/>
      <c r="R30" s="1"/>
    </row>
    <row r="31" ht="15.75" customHeight="1">
      <c r="A31" s="1"/>
      <c r="B31" s="25">
        <v>28.0</v>
      </c>
      <c r="C31" s="69"/>
      <c r="D31" s="64"/>
      <c r="E31" s="19"/>
      <c r="F31" s="17"/>
      <c r="G31" s="159"/>
      <c r="H31" s="58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25">
        <v>29.0</v>
      </c>
      <c r="C32" s="69"/>
      <c r="D32" s="64"/>
      <c r="E32" s="19"/>
      <c r="F32" s="17"/>
      <c r="G32" s="159"/>
      <c r="H32" s="58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4">
        <f t="shared" ref="G33:H33" si="1">SUM(G4:G32)</f>
        <v>2940000</v>
      </c>
      <c r="H33" s="71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2" t="s">
        <v>1</v>
      </c>
      <c r="C36" s="73" t="s">
        <v>7</v>
      </c>
      <c r="D36" s="73" t="s">
        <v>118</v>
      </c>
      <c r="E36" s="1"/>
      <c r="F36" s="1"/>
      <c r="G36" s="1"/>
      <c r="H36" s="1"/>
      <c r="I36" s="1"/>
      <c r="J36" s="1"/>
      <c r="K36" s="1"/>
      <c r="L36" s="1"/>
      <c r="M36" s="1"/>
      <c r="N36" s="73" t="s">
        <v>119</v>
      </c>
      <c r="O36" s="73" t="s">
        <v>2</v>
      </c>
      <c r="P36" s="1"/>
      <c r="Q36" s="1"/>
      <c r="R36" s="1"/>
    </row>
    <row r="37" ht="15.75" customHeight="1">
      <c r="A37" s="1"/>
      <c r="B37" s="75">
        <v>1.0</v>
      </c>
      <c r="C37" s="76" t="s">
        <v>121</v>
      </c>
      <c r="D37" s="77">
        <f>SUM(G33)</f>
        <v>2940000</v>
      </c>
      <c r="E37" s="78"/>
      <c r="F37" s="1"/>
      <c r="G37" s="1"/>
      <c r="H37" s="1"/>
      <c r="I37" s="1"/>
      <c r="J37" s="1"/>
      <c r="K37" s="1"/>
      <c r="L37" s="1"/>
      <c r="M37" s="2" t="s">
        <v>400</v>
      </c>
      <c r="N37" s="79" t="s">
        <v>124</v>
      </c>
      <c r="O37" s="81" t="s">
        <v>35</v>
      </c>
      <c r="P37" s="1"/>
      <c r="Q37" s="1"/>
      <c r="R37" s="1"/>
    </row>
    <row r="38" ht="15.75" customHeight="1">
      <c r="A38" s="1"/>
      <c r="B38" s="82">
        <v>2.0</v>
      </c>
      <c r="C38" s="173" t="s">
        <v>401</v>
      </c>
      <c r="D38" s="137">
        <v>-50000.0</v>
      </c>
      <c r="E38" s="78"/>
      <c r="F38" s="1"/>
      <c r="G38" s="1"/>
      <c r="H38" s="1"/>
      <c r="I38" s="1"/>
      <c r="J38" s="1"/>
      <c r="K38" s="1"/>
      <c r="L38" s="1"/>
      <c r="M38" s="1"/>
      <c r="N38" s="86" t="s">
        <v>128</v>
      </c>
      <c r="O38" s="87" t="s">
        <v>28</v>
      </c>
      <c r="P38" s="1"/>
      <c r="Q38" s="1"/>
      <c r="R38" s="1"/>
    </row>
    <row r="39" ht="15.75" customHeight="1">
      <c r="A39" s="1"/>
      <c r="B39" s="75">
        <v>3.0</v>
      </c>
      <c r="C39" s="136" t="s">
        <v>402</v>
      </c>
      <c r="D39" s="182">
        <v>-40000.0</v>
      </c>
      <c r="E39" s="78"/>
      <c r="F39" s="1"/>
      <c r="G39" s="1"/>
      <c r="H39" s="1"/>
      <c r="I39" s="1"/>
      <c r="J39" s="1"/>
      <c r="K39" s="1"/>
      <c r="L39" s="1"/>
      <c r="M39" s="2" t="s">
        <v>403</v>
      </c>
      <c r="N39" s="88" t="s">
        <v>131</v>
      </c>
      <c r="O39" s="89" t="s">
        <v>43</v>
      </c>
      <c r="P39" s="1"/>
      <c r="Q39" s="1"/>
      <c r="R39" s="1"/>
    </row>
    <row r="40" ht="15.75" customHeight="1">
      <c r="A40" s="1"/>
      <c r="B40" s="82">
        <v>4.0</v>
      </c>
      <c r="C40" s="173" t="s">
        <v>297</v>
      </c>
      <c r="D40" s="137">
        <v>-250000.0</v>
      </c>
      <c r="E40" s="78"/>
      <c r="F40" s="1"/>
      <c r="G40" s="1"/>
      <c r="H40" s="1"/>
      <c r="I40" s="1"/>
      <c r="J40" s="1"/>
      <c r="K40" s="1"/>
      <c r="L40" s="1"/>
      <c r="M40" s="1"/>
      <c r="N40" s="95" t="s">
        <v>137</v>
      </c>
      <c r="O40" s="87" t="s">
        <v>57</v>
      </c>
      <c r="P40" s="1"/>
      <c r="Q40" s="1"/>
      <c r="R40" s="1"/>
    </row>
    <row r="41" ht="15.75" customHeight="1">
      <c r="A41" s="1"/>
      <c r="B41" s="75">
        <v>5.0</v>
      </c>
      <c r="C41" s="76"/>
      <c r="D41" s="77"/>
      <c r="E41" s="78"/>
      <c r="F41" s="93"/>
      <c r="G41" s="1"/>
      <c r="H41" s="1"/>
      <c r="I41" s="1"/>
      <c r="J41" s="1"/>
      <c r="K41" s="1"/>
      <c r="L41" s="1"/>
      <c r="M41" s="1"/>
      <c r="N41" s="96"/>
      <c r="O41" s="1"/>
      <c r="P41" s="1"/>
      <c r="Q41" s="1"/>
      <c r="R41" s="1"/>
    </row>
    <row r="42" ht="15.75" customHeight="1">
      <c r="A42" s="1"/>
      <c r="B42" s="82">
        <v>6.0</v>
      </c>
      <c r="C42" s="90"/>
      <c r="D42" s="91"/>
      <c r="E42" s="78"/>
      <c r="F42" s="93"/>
      <c r="G42" s="1"/>
      <c r="H42" s="1"/>
      <c r="I42" s="1"/>
      <c r="J42" s="1"/>
      <c r="K42" s="99" t="s">
        <v>141</v>
      </c>
      <c r="Q42" s="1"/>
      <c r="R42" s="1"/>
    </row>
    <row r="43" ht="15.75" customHeight="1">
      <c r="A43" s="1"/>
      <c r="B43" s="75">
        <v>7.0</v>
      </c>
      <c r="C43" s="76"/>
      <c r="D43" s="77"/>
      <c r="E43" s="78"/>
      <c r="F43" s="1"/>
      <c r="G43" s="1"/>
      <c r="H43" s="1"/>
      <c r="I43" s="1"/>
      <c r="J43" s="1"/>
      <c r="K43" s="100" t="s">
        <v>2</v>
      </c>
      <c r="L43" s="100" t="s">
        <v>144</v>
      </c>
      <c r="M43" s="100" t="s">
        <v>145</v>
      </c>
      <c r="N43" s="100" t="s">
        <v>146</v>
      </c>
      <c r="O43" s="100" t="s">
        <v>147</v>
      </c>
      <c r="P43" s="100" t="s">
        <v>148</v>
      </c>
      <c r="Q43" s="1"/>
      <c r="R43" s="1"/>
      <c r="AC43" s="101" t="s">
        <v>151</v>
      </c>
      <c r="AD43" s="101" t="s">
        <v>152</v>
      </c>
      <c r="AE43" s="101" t="s">
        <v>153</v>
      </c>
      <c r="AF43" s="101" t="s">
        <v>154</v>
      </c>
      <c r="AG43" s="101" t="s">
        <v>155</v>
      </c>
    </row>
    <row r="44" ht="15.75" customHeight="1">
      <c r="A44" s="1"/>
      <c r="B44" s="82">
        <v>8.0</v>
      </c>
      <c r="C44" s="90"/>
      <c r="D44" s="91"/>
      <c r="E44" s="78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38">
        <v>5.0</v>
      </c>
      <c r="M44" s="138">
        <v>5.0</v>
      </c>
      <c r="N44" s="138">
        <v>5.0</v>
      </c>
      <c r="O44" s="138">
        <v>5.0</v>
      </c>
      <c r="P44" s="138">
        <v>5.0</v>
      </c>
      <c r="Q44" s="1"/>
      <c r="R44" s="1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1"/>
      <c r="B45" s="75">
        <v>9.0</v>
      </c>
      <c r="C45" s="76"/>
      <c r="D45" s="77"/>
      <c r="E45" s="78"/>
      <c r="F45" s="1"/>
      <c r="G45" s="1"/>
      <c r="H45" s="1"/>
      <c r="I45" s="1"/>
      <c r="J45" s="1"/>
      <c r="K45" s="103" t="str">
        <f t="shared" si="2"/>
        <v>INDAH</v>
      </c>
      <c r="L45" s="138">
        <v>5.0</v>
      </c>
      <c r="M45" s="138">
        <v>5.0</v>
      </c>
      <c r="N45" s="138">
        <v>5.0</v>
      </c>
      <c r="O45" s="138">
        <v>5.0</v>
      </c>
      <c r="P45" s="138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1"/>
      <c r="B46" s="82">
        <v>10.0</v>
      </c>
      <c r="C46" s="90"/>
      <c r="D46" s="91"/>
      <c r="E46" s="78"/>
      <c r="F46" s="1"/>
      <c r="G46" s="1"/>
      <c r="H46" s="1"/>
      <c r="I46" s="1"/>
      <c r="J46" s="1"/>
      <c r="K46" s="103" t="str">
        <f t="shared" si="2"/>
        <v>ADIF</v>
      </c>
      <c r="L46" s="138">
        <v>5.0</v>
      </c>
      <c r="M46" s="138">
        <v>5.0</v>
      </c>
      <c r="N46" s="138">
        <v>5.0</v>
      </c>
      <c r="O46" s="138">
        <v>5.0</v>
      </c>
      <c r="P46" s="138">
        <v>5.0</v>
      </c>
      <c r="Q46" s="1"/>
      <c r="R46" s="1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1"/>
      <c r="B47" s="108">
        <v>11.0</v>
      </c>
      <c r="C47" s="109"/>
      <c r="D47" s="110"/>
      <c r="E47" s="78"/>
      <c r="F47" s="1"/>
      <c r="G47" s="1"/>
      <c r="H47" s="1"/>
      <c r="I47" s="1"/>
      <c r="J47" s="1"/>
      <c r="K47" s="103" t="str">
        <f t="shared" si="2"/>
        <v>SAKA</v>
      </c>
      <c r="L47" s="138">
        <v>5.0</v>
      </c>
      <c r="M47" s="138">
        <v>5.0</v>
      </c>
      <c r="N47" s="138">
        <v>5.0</v>
      </c>
      <c r="O47" s="138">
        <v>5.0</v>
      </c>
      <c r="P47" s="138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"/>
      <c r="C48" s="3"/>
      <c r="D48" s="112">
        <f>SUM(D37:D47)</f>
        <v>2600000</v>
      </c>
      <c r="E48" s="1"/>
      <c r="F48" s="1"/>
      <c r="G48" s="1"/>
      <c r="H48" s="1"/>
      <c r="I48" s="1"/>
      <c r="J48" s="1"/>
      <c r="K48" s="103"/>
      <c r="L48" s="114"/>
      <c r="M48" s="114"/>
      <c r="N48" s="114"/>
      <c r="O48" s="114"/>
      <c r="P48" s="114"/>
      <c r="Q48" s="1"/>
      <c r="R48" s="1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14"/>
      <c r="M49" s="114"/>
      <c r="N49" s="114"/>
      <c r="O49" s="114"/>
      <c r="P49" s="114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5" t="s">
        <v>191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6" t="s">
        <v>193</v>
      </c>
      <c r="N52" s="183"/>
      <c r="O52" s="1"/>
      <c r="P52" s="1"/>
      <c r="Q52" s="1"/>
      <c r="R52" s="1"/>
    </row>
    <row r="53" ht="15.75" customHeight="1">
      <c r="K53" s="119" t="s">
        <v>8</v>
      </c>
      <c r="L53" s="119" t="s">
        <v>195</v>
      </c>
      <c r="M53" s="119" t="s">
        <v>196</v>
      </c>
      <c r="N53" s="184" t="s">
        <v>197</v>
      </c>
    </row>
    <row r="54" ht="15.75" customHeight="1">
      <c r="K54" s="121" t="str">
        <f t="shared" ref="K54:K55" si="8">IF(O37="","",O37)</f>
        <v>AMEL</v>
      </c>
      <c r="L54" s="122">
        <v>4.0</v>
      </c>
      <c r="M54" s="123"/>
      <c r="N54" s="185"/>
    </row>
    <row r="55" ht="15.75" customHeight="1">
      <c r="K55" s="121" t="str">
        <f t="shared" si="8"/>
        <v>INDAH</v>
      </c>
      <c r="L55" s="122">
        <v>1.0</v>
      </c>
      <c r="M55" s="123"/>
      <c r="N55" s="185"/>
    </row>
    <row r="56" ht="15.75" customHeight="1"/>
    <row r="57" ht="19.5" customHeight="1">
      <c r="K57" s="127" t="s">
        <v>199</v>
      </c>
    </row>
    <row r="58" ht="19.5" customHeight="1">
      <c r="K58" s="128" t="s">
        <v>200</v>
      </c>
      <c r="M58" s="122">
        <v>21.0</v>
      </c>
    </row>
    <row r="59" ht="19.5" customHeight="1">
      <c r="K59" s="129" t="s">
        <v>202</v>
      </c>
      <c r="M59" s="150">
        <v>4.0</v>
      </c>
    </row>
    <row r="60" ht="19.5" customHeight="1">
      <c r="K60" s="129" t="s">
        <v>204</v>
      </c>
      <c r="M60" s="150">
        <v>21.0</v>
      </c>
    </row>
    <row r="61" ht="19.5" customHeight="1">
      <c r="K61" s="131" t="s">
        <v>206</v>
      </c>
      <c r="M61" s="130">
        <f>M59+M60</f>
        <v>25</v>
      </c>
    </row>
    <row r="62" ht="19.5" customHeight="1">
      <c r="K62" s="128" t="s">
        <v>207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404</v>
      </c>
      <c r="D4" s="20" t="s">
        <v>49</v>
      </c>
      <c r="E4" s="19"/>
      <c r="F4" s="157">
        <v>46314.0</v>
      </c>
      <c r="G4" s="161">
        <v>25000.0</v>
      </c>
      <c r="H4" s="23">
        <v>100000.0</v>
      </c>
      <c r="I4" s="25" t="s">
        <v>34</v>
      </c>
      <c r="J4" s="17"/>
      <c r="K4" s="17"/>
      <c r="L4" s="25" t="s">
        <v>35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405</v>
      </c>
      <c r="D5" s="20" t="s">
        <v>210</v>
      </c>
      <c r="E5" s="19"/>
      <c r="F5" s="157">
        <v>46313.0</v>
      </c>
      <c r="G5" s="161" t="s">
        <v>39</v>
      </c>
      <c r="H5" s="23" t="s">
        <v>39</v>
      </c>
      <c r="I5" s="25" t="s">
        <v>24</v>
      </c>
      <c r="J5" s="25" t="s">
        <v>25</v>
      </c>
      <c r="K5" s="25" t="s">
        <v>25</v>
      </c>
      <c r="L5" s="25" t="s">
        <v>35</v>
      </c>
      <c r="M5" s="25" t="s">
        <v>43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406</v>
      </c>
      <c r="D6" s="20" t="s">
        <v>49</v>
      </c>
      <c r="E6" s="19"/>
      <c r="F6" s="157">
        <v>46313.0</v>
      </c>
      <c r="G6" s="159"/>
      <c r="H6" s="23">
        <v>100000.0</v>
      </c>
      <c r="I6" s="25" t="s">
        <v>24</v>
      </c>
      <c r="J6" s="25" t="s">
        <v>25</v>
      </c>
      <c r="K6" s="25" t="s">
        <v>25</v>
      </c>
      <c r="L6" s="25" t="s">
        <v>35</v>
      </c>
      <c r="M6" s="25" t="s">
        <v>43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407</v>
      </c>
      <c r="D7" s="20" t="s">
        <v>49</v>
      </c>
      <c r="E7" s="19"/>
      <c r="F7" s="157">
        <v>46316.0</v>
      </c>
      <c r="G7" s="159"/>
      <c r="H7" s="23">
        <v>100000.0</v>
      </c>
      <c r="I7" s="25" t="s">
        <v>34</v>
      </c>
      <c r="J7" s="17"/>
      <c r="K7" s="17"/>
      <c r="L7" s="25" t="s">
        <v>35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9" t="s">
        <v>330</v>
      </c>
      <c r="D8" s="20" t="s">
        <v>49</v>
      </c>
      <c r="E8" s="19"/>
      <c r="F8" s="157">
        <v>46313.0</v>
      </c>
      <c r="G8" s="161">
        <v>1125000.0</v>
      </c>
      <c r="H8" s="58"/>
      <c r="I8" s="25" t="s">
        <v>24</v>
      </c>
      <c r="J8" s="25" t="s">
        <v>25</v>
      </c>
      <c r="K8" s="25" t="s">
        <v>27</v>
      </c>
      <c r="L8" s="25" t="s">
        <v>35</v>
      </c>
      <c r="M8" s="25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408</v>
      </c>
      <c r="D9" s="20" t="s">
        <v>49</v>
      </c>
      <c r="E9" s="19"/>
      <c r="F9" s="157">
        <v>46313.0</v>
      </c>
      <c r="G9" s="161">
        <v>100000.0</v>
      </c>
      <c r="H9" s="58"/>
      <c r="I9" s="25" t="s">
        <v>24</v>
      </c>
      <c r="J9" s="25" t="s">
        <v>25</v>
      </c>
      <c r="K9" s="25" t="s">
        <v>25</v>
      </c>
      <c r="L9" s="25" t="s">
        <v>28</v>
      </c>
      <c r="M9" s="25" t="s">
        <v>57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409</v>
      </c>
      <c r="D10" s="20" t="s">
        <v>49</v>
      </c>
      <c r="E10" s="19"/>
      <c r="F10" s="50">
        <v>46313.0</v>
      </c>
      <c r="G10" s="161">
        <v>350000.0</v>
      </c>
      <c r="H10" s="58"/>
      <c r="I10" s="25" t="s">
        <v>24</v>
      </c>
      <c r="J10" s="25" t="s">
        <v>25</v>
      </c>
      <c r="K10" s="25" t="s">
        <v>25</v>
      </c>
      <c r="L10" s="25" t="s">
        <v>28</v>
      </c>
      <c r="M10" s="25" t="s">
        <v>57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410</v>
      </c>
      <c r="D11" s="20" t="s">
        <v>411</v>
      </c>
      <c r="E11" s="19"/>
      <c r="F11" s="50">
        <v>46313.0</v>
      </c>
      <c r="G11" s="161">
        <v>25000.0</v>
      </c>
      <c r="H11" s="58"/>
      <c r="I11" s="25" t="s">
        <v>24</v>
      </c>
      <c r="J11" s="17"/>
      <c r="K11" s="17"/>
      <c r="L11" s="25" t="s">
        <v>28</v>
      </c>
      <c r="M11" s="17"/>
      <c r="N11" s="37"/>
      <c r="O11" s="37"/>
      <c r="P11" s="37"/>
      <c r="Q11" s="1"/>
      <c r="R11" s="1"/>
    </row>
    <row r="12" ht="15.75" customHeight="1">
      <c r="A12" s="1"/>
      <c r="B12" s="17"/>
      <c r="C12" s="18" t="s">
        <v>412</v>
      </c>
      <c r="D12" s="20" t="s">
        <v>49</v>
      </c>
      <c r="E12" s="19"/>
      <c r="F12" s="50">
        <v>46313.0</v>
      </c>
      <c r="G12" s="161">
        <v>325000.0</v>
      </c>
      <c r="H12" s="58"/>
      <c r="I12" s="25" t="s">
        <v>24</v>
      </c>
      <c r="J12" s="25" t="s">
        <v>25</v>
      </c>
      <c r="K12" s="25" t="s">
        <v>27</v>
      </c>
      <c r="L12" s="25" t="s">
        <v>28</v>
      </c>
      <c r="M12" s="25" t="s">
        <v>57</v>
      </c>
      <c r="N12" s="37"/>
      <c r="O12" s="37"/>
      <c r="P12" s="37"/>
      <c r="Q12" s="1"/>
      <c r="R12" s="1"/>
    </row>
    <row r="13" ht="15.75" customHeight="1">
      <c r="A13" s="1"/>
      <c r="B13" s="17"/>
      <c r="C13" s="18" t="s">
        <v>414</v>
      </c>
      <c r="D13" s="20" t="s">
        <v>21</v>
      </c>
      <c r="E13" s="19"/>
      <c r="F13" s="157">
        <v>46314.0</v>
      </c>
      <c r="G13" s="159"/>
      <c r="H13" s="23">
        <v>100000.0</v>
      </c>
      <c r="I13" s="25" t="s">
        <v>34</v>
      </c>
      <c r="J13" s="17"/>
      <c r="K13" s="17"/>
      <c r="L13" s="25" t="s">
        <v>28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8" t="s">
        <v>415</v>
      </c>
      <c r="D14" s="20" t="s">
        <v>21</v>
      </c>
      <c r="E14" s="19"/>
      <c r="F14" s="50">
        <v>46314.0</v>
      </c>
      <c r="G14" s="159"/>
      <c r="H14" s="23">
        <v>100000.0</v>
      </c>
      <c r="I14" s="25" t="s">
        <v>34</v>
      </c>
      <c r="J14" s="17"/>
      <c r="K14" s="17"/>
      <c r="L14" s="25" t="s">
        <v>28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9.0</v>
      </c>
      <c r="C15" s="18" t="s">
        <v>369</v>
      </c>
      <c r="D15" s="20" t="s">
        <v>49</v>
      </c>
      <c r="E15" s="19"/>
      <c r="F15" s="25" t="s">
        <v>417</v>
      </c>
      <c r="G15" s="159"/>
      <c r="H15" s="23">
        <v>275000.0</v>
      </c>
      <c r="I15" s="25" t="s">
        <v>24</v>
      </c>
      <c r="J15" s="25" t="s">
        <v>25</v>
      </c>
      <c r="K15" s="25" t="s">
        <v>27</v>
      </c>
      <c r="L15" s="25" t="s">
        <v>28</v>
      </c>
      <c r="M15" s="25" t="s">
        <v>57</v>
      </c>
      <c r="N15" s="37"/>
      <c r="O15" s="37"/>
      <c r="P15" s="37"/>
      <c r="Q15" s="1"/>
      <c r="R15" s="1"/>
    </row>
    <row r="16" ht="15.75" customHeight="1">
      <c r="A16" s="1"/>
      <c r="B16" s="17">
        <v>10.0</v>
      </c>
      <c r="C16" s="69"/>
      <c r="D16" s="64"/>
      <c r="E16" s="19"/>
      <c r="F16" s="85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4">
        <f t="shared" ref="G17:H17" si="1">SUM(G4:G16)</f>
        <v>1950000</v>
      </c>
      <c r="H17" s="71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3" t="s">
        <v>7</v>
      </c>
      <c r="D20" s="73" t="s">
        <v>118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119</v>
      </c>
      <c r="O20" s="73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121</v>
      </c>
      <c r="D21" s="77">
        <f>SUM(G17)</f>
        <v>1950000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124</v>
      </c>
      <c r="O21" s="81" t="s">
        <v>35</v>
      </c>
      <c r="P21" s="1"/>
      <c r="Q21" s="1"/>
      <c r="R21" s="1"/>
    </row>
    <row r="22" ht="15.75" customHeight="1">
      <c r="A22" s="1"/>
      <c r="B22" s="82">
        <v>2.0</v>
      </c>
      <c r="C22" s="173" t="s">
        <v>421</v>
      </c>
      <c r="D22" s="137">
        <v>-50000.0</v>
      </c>
      <c r="E22" s="78"/>
      <c r="F22" s="1"/>
      <c r="G22" s="1"/>
      <c r="H22" s="1"/>
      <c r="I22" s="1"/>
      <c r="J22" s="1"/>
      <c r="K22" s="1"/>
      <c r="L22" s="1"/>
      <c r="M22" s="1"/>
      <c r="N22" s="86" t="s">
        <v>128</v>
      </c>
      <c r="O22" s="87" t="s">
        <v>28</v>
      </c>
      <c r="P22" s="1"/>
      <c r="Q22" s="1"/>
      <c r="R22" s="1"/>
    </row>
    <row r="23" ht="15.75" customHeight="1">
      <c r="A23" s="1"/>
      <c r="B23" s="75">
        <v>3.0</v>
      </c>
      <c r="C23" s="136" t="s">
        <v>423</v>
      </c>
      <c r="D23" s="182">
        <v>-100000.0</v>
      </c>
      <c r="E23" s="78"/>
      <c r="F23" s="1"/>
      <c r="G23" s="1"/>
      <c r="H23" s="1"/>
      <c r="I23" s="1"/>
      <c r="J23" s="1"/>
      <c r="K23" s="1"/>
      <c r="L23" s="1"/>
      <c r="M23" s="1"/>
      <c r="N23" s="88" t="s">
        <v>131</v>
      </c>
      <c r="O23" s="89" t="s">
        <v>43</v>
      </c>
      <c r="P23" s="1"/>
      <c r="Q23" s="1"/>
      <c r="R23" s="1"/>
    </row>
    <row r="24" ht="15.75" customHeight="1">
      <c r="A24" s="1"/>
      <c r="B24" s="82">
        <v>4.0</v>
      </c>
      <c r="C24" s="90"/>
      <c r="D24" s="91"/>
      <c r="E24" s="78"/>
      <c r="F24" s="1"/>
      <c r="G24" s="1"/>
      <c r="H24" s="1"/>
      <c r="I24" s="1"/>
      <c r="J24" s="1"/>
      <c r="K24" s="1"/>
      <c r="L24" s="1"/>
      <c r="M24" s="1"/>
      <c r="N24" s="95" t="s">
        <v>137</v>
      </c>
      <c r="O24" s="87" t="s">
        <v>57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2">
        <v>6.0</v>
      </c>
      <c r="C26" s="90"/>
      <c r="D26" s="91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147</v>
      </c>
      <c r="P27" s="100" t="s">
        <v>148</v>
      </c>
      <c r="Q27" s="1"/>
      <c r="R27" s="1"/>
      <c r="AC27" s="101" t="s">
        <v>151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2">
        <v>8.0</v>
      </c>
      <c r="C28" s="90"/>
      <c r="D28" s="91"/>
      <c r="E28" s="78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04">
        <v>5.0</v>
      </c>
      <c r="M28" s="104">
        <v>5.0</v>
      </c>
      <c r="N28" s="104">
        <v>5.0</v>
      </c>
      <c r="O28" s="104">
        <v>5.0</v>
      </c>
      <c r="P28" s="104">
        <v>4.0</v>
      </c>
      <c r="Q28" s="1"/>
      <c r="R28" s="1"/>
      <c r="AC28" s="101">
        <f t="shared" ref="AC28:AC33" si="3">IF(AG28="","",IF(COUNT(L28:P28)&lt;5,"",L28/5*20+M28/5*25+N28/5*25+O28/5*15+P28/5*15))</f>
        <v>97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AMEL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0"/>
      <c r="D30" s="91"/>
      <c r="E30" s="78"/>
      <c r="F30" s="1"/>
      <c r="G30" s="1"/>
      <c r="H30" s="1"/>
      <c r="I30" s="1"/>
      <c r="J30" s="1"/>
      <c r="K30" s="103" t="str">
        <f t="shared" si="2"/>
        <v>ADIF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8"/>
      <c r="F31" s="1"/>
      <c r="G31" s="1"/>
      <c r="H31" s="1"/>
      <c r="I31" s="1"/>
      <c r="J31" s="1"/>
      <c r="K31" s="103" t="str">
        <f t="shared" si="2"/>
        <v>SAKA</v>
      </c>
      <c r="L31" s="104">
        <v>5.0</v>
      </c>
      <c r="M31" s="104">
        <v>5.0</v>
      </c>
      <c r="N31" s="104">
        <v>5.0</v>
      </c>
      <c r="O31" s="104">
        <v>5.0</v>
      </c>
      <c r="P31" s="104">
        <v>4.0</v>
      </c>
      <c r="Q31" s="1"/>
      <c r="R31" s="1"/>
      <c r="AC31" s="101">
        <f t="shared" si="3"/>
        <v>97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3"/>
      <c r="D32" s="112">
        <f>SUM(D21:D31)</f>
        <v>1800000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191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193</v>
      </c>
      <c r="N36" s="1"/>
      <c r="O36" s="1"/>
      <c r="P36" s="1"/>
      <c r="Q36" s="1"/>
      <c r="R36" s="1"/>
    </row>
    <row r="37" ht="15.75" customHeight="1">
      <c r="K37" s="119" t="s">
        <v>8</v>
      </c>
      <c r="L37" s="119" t="s">
        <v>195</v>
      </c>
      <c r="M37" s="119" t="s">
        <v>196</v>
      </c>
    </row>
    <row r="38" ht="15.75" customHeight="1">
      <c r="K38" s="121" t="str">
        <f t="shared" ref="K38:K39" si="8">IF(O21="","",O21)</f>
        <v>AMEL</v>
      </c>
      <c r="L38" s="122">
        <v>2.0</v>
      </c>
      <c r="M38" s="123"/>
    </row>
    <row r="39" ht="15.75" customHeight="1">
      <c r="K39" s="121" t="str">
        <f t="shared" si="8"/>
        <v>INDAH</v>
      </c>
      <c r="L39" s="122">
        <v>2.0</v>
      </c>
      <c r="M39" s="123"/>
    </row>
    <row r="40" ht="15.75" customHeight="1"/>
    <row r="41" ht="19.5" customHeight="1">
      <c r="K41" s="127" t="s">
        <v>199</v>
      </c>
    </row>
    <row r="42" ht="19.5" customHeight="1">
      <c r="K42" s="128" t="s">
        <v>200</v>
      </c>
      <c r="M42" s="122">
        <v>15.0</v>
      </c>
    </row>
    <row r="43" ht="19.5" customHeight="1">
      <c r="K43" s="129" t="s">
        <v>202</v>
      </c>
      <c r="M43" s="130">
        <f>COUNTIF($I$4:$I$19,"DP")</f>
        <v>4</v>
      </c>
    </row>
    <row r="44" ht="19.5" customHeight="1">
      <c r="K44" s="129" t="s">
        <v>204</v>
      </c>
      <c r="M44" s="130">
        <f>COUNTIFS($I$4:$I$19,"&lt;&gt;DP",$I$4:$I$19,"&lt;&gt;")</f>
        <v>8</v>
      </c>
    </row>
    <row r="45" ht="19.5" customHeight="1">
      <c r="K45" s="131" t="s">
        <v>206</v>
      </c>
      <c r="M45" s="130">
        <f>M43+M44</f>
        <v>12</v>
      </c>
    </row>
    <row r="46" ht="19.5" customHeight="1">
      <c r="K46" s="128" t="s">
        <v>207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413</v>
      </c>
      <c r="D4" s="20" t="s">
        <v>21</v>
      </c>
      <c r="E4" s="19"/>
      <c r="F4" s="157">
        <v>46314.0</v>
      </c>
      <c r="G4" s="159"/>
      <c r="H4" s="23">
        <v>350000.0</v>
      </c>
      <c r="I4" s="25" t="s">
        <v>24</v>
      </c>
      <c r="J4" s="17"/>
      <c r="K4" s="17"/>
      <c r="L4" s="25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416</v>
      </c>
      <c r="D5" s="20" t="s">
        <v>21</v>
      </c>
      <c r="E5" s="19"/>
      <c r="F5" s="157">
        <v>46314.0</v>
      </c>
      <c r="G5" s="159"/>
      <c r="H5" s="23">
        <v>100000.0</v>
      </c>
      <c r="I5" s="25" t="s">
        <v>34</v>
      </c>
      <c r="J5" s="17"/>
      <c r="K5" s="17"/>
      <c r="L5" s="25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418</v>
      </c>
      <c r="D6" s="20" t="s">
        <v>49</v>
      </c>
      <c r="E6" s="19"/>
      <c r="F6" s="157">
        <v>46314.0</v>
      </c>
      <c r="G6" s="159"/>
      <c r="H6" s="23">
        <v>100000.0</v>
      </c>
      <c r="I6" s="25" t="s">
        <v>34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419</v>
      </c>
      <c r="D7" s="20" t="s">
        <v>49</v>
      </c>
      <c r="E7" s="19"/>
      <c r="F7" s="157">
        <v>46314.0</v>
      </c>
      <c r="G7" s="161">
        <v>25000.0</v>
      </c>
      <c r="H7" s="23">
        <v>100000.0</v>
      </c>
      <c r="I7" s="25" t="s">
        <v>24</v>
      </c>
      <c r="J7" s="25" t="s">
        <v>25</v>
      </c>
      <c r="K7" s="25" t="s">
        <v>25</v>
      </c>
      <c r="L7" s="25" t="s">
        <v>28</v>
      </c>
      <c r="M7" s="25" t="s">
        <v>43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415</v>
      </c>
      <c r="D8" s="20" t="s">
        <v>21</v>
      </c>
      <c r="E8" s="19"/>
      <c r="F8" s="157">
        <v>46314.0</v>
      </c>
      <c r="G8" s="161">
        <v>270000.0</v>
      </c>
      <c r="H8" s="58"/>
      <c r="I8" s="25" t="s">
        <v>24</v>
      </c>
      <c r="J8" s="25" t="s">
        <v>25</v>
      </c>
      <c r="K8" s="25" t="s">
        <v>27</v>
      </c>
      <c r="L8" s="25" t="s">
        <v>28</v>
      </c>
      <c r="M8" s="25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73</v>
      </c>
      <c r="D9" s="20" t="s">
        <v>41</v>
      </c>
      <c r="E9" s="29" t="s">
        <v>185</v>
      </c>
      <c r="F9" s="50">
        <v>46314.0</v>
      </c>
      <c r="G9" s="159"/>
      <c r="H9" s="23">
        <v>200000.0</v>
      </c>
      <c r="I9" s="25" t="s">
        <v>24</v>
      </c>
      <c r="J9" s="25" t="s">
        <v>25</v>
      </c>
      <c r="K9" s="25" t="s">
        <v>25</v>
      </c>
      <c r="L9" s="25" t="s">
        <v>28</v>
      </c>
      <c r="M9" s="25" t="s">
        <v>43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413</v>
      </c>
      <c r="D10" s="20" t="s">
        <v>21</v>
      </c>
      <c r="E10" s="19"/>
      <c r="F10" s="50">
        <v>46314.0</v>
      </c>
      <c r="G10" s="161">
        <v>0.0</v>
      </c>
      <c r="H10" s="23">
        <v>0.0</v>
      </c>
      <c r="I10" s="25" t="s">
        <v>24</v>
      </c>
      <c r="J10" s="25" t="s">
        <v>25</v>
      </c>
      <c r="K10" s="25" t="s">
        <v>27</v>
      </c>
      <c r="L10" s="25" t="s">
        <v>28</v>
      </c>
      <c r="M10" s="25" t="s">
        <v>43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420</v>
      </c>
      <c r="D11" s="20" t="s">
        <v>49</v>
      </c>
      <c r="E11" s="19"/>
      <c r="F11" s="50">
        <v>46315.0</v>
      </c>
      <c r="G11" s="159"/>
      <c r="H11" s="23">
        <v>100000.0</v>
      </c>
      <c r="I11" s="25" t="s">
        <v>34</v>
      </c>
      <c r="J11" s="17"/>
      <c r="K11" s="17"/>
      <c r="L11" s="25" t="s">
        <v>35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414</v>
      </c>
      <c r="D12" s="20" t="s">
        <v>21</v>
      </c>
      <c r="E12" s="19"/>
      <c r="F12" s="50">
        <v>46314.0</v>
      </c>
      <c r="G12" s="159"/>
      <c r="H12" s="23">
        <v>390000.0</v>
      </c>
      <c r="I12" s="25" t="s">
        <v>24</v>
      </c>
      <c r="J12" s="25" t="s">
        <v>25</v>
      </c>
      <c r="K12" s="25" t="s">
        <v>27</v>
      </c>
      <c r="L12" s="25" t="s">
        <v>35</v>
      </c>
      <c r="M12" s="25" t="s">
        <v>57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414</v>
      </c>
      <c r="D13" s="20" t="s">
        <v>90</v>
      </c>
      <c r="E13" s="29" t="s">
        <v>422</v>
      </c>
      <c r="F13" s="50">
        <v>46314.0</v>
      </c>
      <c r="G13" s="159"/>
      <c r="H13" s="23">
        <v>50000.0</v>
      </c>
      <c r="I13" s="25" t="s">
        <v>24</v>
      </c>
      <c r="J13" s="25" t="s">
        <v>25</v>
      </c>
      <c r="K13" s="25" t="s">
        <v>25</v>
      </c>
      <c r="L13" s="25" t="s">
        <v>35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418</v>
      </c>
      <c r="D14" s="20" t="s">
        <v>49</v>
      </c>
      <c r="E14" s="19"/>
      <c r="F14" s="50">
        <v>46296.0</v>
      </c>
      <c r="G14" s="161">
        <v>75000.0</v>
      </c>
      <c r="H14" s="58"/>
      <c r="I14" s="25" t="s">
        <v>24</v>
      </c>
      <c r="J14" s="25" t="s">
        <v>25</v>
      </c>
      <c r="K14" s="25" t="s">
        <v>39</v>
      </c>
      <c r="L14" s="25" t="s">
        <v>35</v>
      </c>
      <c r="M14" s="25" t="s">
        <v>57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424</v>
      </c>
      <c r="D15" s="20" t="s">
        <v>21</v>
      </c>
      <c r="E15" s="19"/>
      <c r="F15" s="50">
        <v>46314.0</v>
      </c>
      <c r="G15" s="159"/>
      <c r="H15" s="23">
        <v>250000.0</v>
      </c>
      <c r="I15" s="25" t="s">
        <v>24</v>
      </c>
      <c r="J15" s="25" t="s">
        <v>25</v>
      </c>
      <c r="K15" s="25" t="s">
        <v>25</v>
      </c>
      <c r="L15" s="25" t="s">
        <v>35</v>
      </c>
      <c r="M15" s="25" t="s">
        <v>57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425</v>
      </c>
      <c r="D16" s="20" t="s">
        <v>41</v>
      </c>
      <c r="E16" s="19"/>
      <c r="F16" s="50">
        <v>46315.0</v>
      </c>
      <c r="G16" s="159"/>
      <c r="H16" s="23">
        <v>100000.0</v>
      </c>
      <c r="I16" s="25" t="s">
        <v>34</v>
      </c>
      <c r="J16" s="17"/>
      <c r="K16" s="17"/>
      <c r="L16" s="25" t="s">
        <v>35</v>
      </c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426</v>
      </c>
      <c r="D17" s="20" t="s">
        <v>49</v>
      </c>
      <c r="E17" s="19"/>
      <c r="F17" s="50">
        <v>46314.0</v>
      </c>
      <c r="G17" s="161">
        <v>250000.0</v>
      </c>
      <c r="H17" s="23"/>
      <c r="I17" s="25" t="s">
        <v>24</v>
      </c>
      <c r="J17" s="25" t="s">
        <v>25</v>
      </c>
      <c r="K17" s="25" t="s">
        <v>27</v>
      </c>
      <c r="L17" s="25" t="s">
        <v>35</v>
      </c>
      <c r="M17" s="25" t="s">
        <v>57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427</v>
      </c>
      <c r="D18" s="20" t="s">
        <v>37</v>
      </c>
      <c r="E18" s="19"/>
      <c r="F18" s="50">
        <v>46314.0</v>
      </c>
      <c r="G18" s="161">
        <v>50000.0</v>
      </c>
      <c r="H18" s="58"/>
      <c r="I18" s="25" t="s">
        <v>24</v>
      </c>
      <c r="J18" s="25" t="s">
        <v>25</v>
      </c>
      <c r="K18" s="25" t="s">
        <v>25</v>
      </c>
      <c r="L18" s="25" t="s">
        <v>35</v>
      </c>
      <c r="M18" s="25" t="s">
        <v>57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8" t="s">
        <v>428</v>
      </c>
      <c r="D19" s="20" t="s">
        <v>49</v>
      </c>
      <c r="E19" s="19"/>
      <c r="F19" s="50">
        <v>46315.0</v>
      </c>
      <c r="G19" s="159"/>
      <c r="H19" s="23">
        <v>100000.0</v>
      </c>
      <c r="I19" s="25" t="s">
        <v>34</v>
      </c>
      <c r="J19" s="17"/>
      <c r="K19" s="17"/>
      <c r="L19" s="25" t="s">
        <v>35</v>
      </c>
      <c r="M19" s="17"/>
      <c r="N19" s="37"/>
      <c r="O19" s="37"/>
      <c r="P19" s="37"/>
      <c r="Q19" s="1"/>
      <c r="R19" s="1"/>
    </row>
    <row r="20" ht="15.75" customHeight="1">
      <c r="A20" s="1"/>
      <c r="B20" s="17">
        <v>16.0</v>
      </c>
      <c r="C20" s="18"/>
      <c r="D20" s="20"/>
      <c r="E20" s="19"/>
      <c r="F20" s="157"/>
      <c r="G20" s="159"/>
      <c r="H20" s="23"/>
      <c r="I20" s="25"/>
      <c r="J20" s="25"/>
      <c r="K20" s="25"/>
      <c r="L20" s="25"/>
      <c r="M20" s="25"/>
      <c r="N20" s="37"/>
      <c r="O20" s="37"/>
      <c r="P20" s="37"/>
      <c r="Q20" s="1"/>
      <c r="R20" s="1"/>
    </row>
    <row r="21" ht="15.75" customHeight="1">
      <c r="A21" s="1"/>
      <c r="B21" s="17">
        <v>16.0</v>
      </c>
      <c r="C21" s="18" t="s">
        <v>429</v>
      </c>
      <c r="D21" s="20" t="s">
        <v>49</v>
      </c>
      <c r="E21" s="19"/>
      <c r="F21" s="157">
        <v>46314.0</v>
      </c>
      <c r="G21" s="159"/>
      <c r="H21" s="23">
        <v>175000.0</v>
      </c>
      <c r="I21" s="25" t="s">
        <v>24</v>
      </c>
      <c r="J21" s="25" t="s">
        <v>25</v>
      </c>
      <c r="K21" s="25" t="s">
        <v>27</v>
      </c>
      <c r="L21" s="25" t="s">
        <v>35</v>
      </c>
      <c r="M21" s="25" t="s">
        <v>57</v>
      </c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4">
        <f t="shared" ref="G22:H22" si="1">SUM(G4:G21)</f>
        <v>670000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3" t="s">
        <v>7</v>
      </c>
      <c r="D25" s="73" t="s">
        <v>118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119</v>
      </c>
      <c r="O25" s="73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121</v>
      </c>
      <c r="D26" s="77">
        <f>SUM(G22)</f>
        <v>670000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124</v>
      </c>
      <c r="O26" s="81" t="s">
        <v>28</v>
      </c>
      <c r="P26" s="1"/>
      <c r="Q26" s="1"/>
      <c r="R26" s="1"/>
    </row>
    <row r="27" ht="15.75" customHeight="1">
      <c r="A27" s="1"/>
      <c r="B27" s="82">
        <v>2.0</v>
      </c>
      <c r="C27" s="173" t="s">
        <v>430</v>
      </c>
      <c r="D27" s="137">
        <v>-20000.0</v>
      </c>
      <c r="E27" s="78"/>
      <c r="F27" s="1"/>
      <c r="G27" s="1"/>
      <c r="H27" s="1"/>
      <c r="I27" s="1"/>
      <c r="J27" s="1"/>
      <c r="K27" s="1"/>
      <c r="L27" s="1"/>
      <c r="M27" s="1"/>
      <c r="N27" s="86" t="s">
        <v>128</v>
      </c>
      <c r="O27" s="87" t="s">
        <v>35</v>
      </c>
      <c r="P27" s="1"/>
      <c r="Q27" s="1"/>
      <c r="R27" s="1"/>
    </row>
    <row r="28" ht="15.75" customHeight="1">
      <c r="A28" s="1"/>
      <c r="B28" s="75">
        <v>3.0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88" t="s">
        <v>131</v>
      </c>
      <c r="O28" s="89" t="s">
        <v>43</v>
      </c>
      <c r="P28" s="1"/>
      <c r="Q28" s="1"/>
      <c r="R28" s="1"/>
    </row>
    <row r="29" ht="15.75" customHeight="1">
      <c r="A29" s="1"/>
      <c r="B29" s="82">
        <v>4.0</v>
      </c>
      <c r="C29" s="90"/>
      <c r="D29" s="91"/>
      <c r="E29" s="78"/>
      <c r="F29" s="1"/>
      <c r="G29" s="1"/>
      <c r="H29" s="1"/>
      <c r="I29" s="1"/>
      <c r="J29" s="1"/>
      <c r="K29" s="1"/>
      <c r="L29" s="1"/>
      <c r="M29" s="1"/>
      <c r="N29" s="95" t="s">
        <v>137</v>
      </c>
      <c r="O29" s="87" t="s">
        <v>57</v>
      </c>
      <c r="P29" s="1"/>
      <c r="Q29" s="1"/>
      <c r="R29" s="1"/>
    </row>
    <row r="30" ht="15.75" customHeight="1">
      <c r="A30" s="1"/>
      <c r="B30" s="75">
        <v>5.0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2">
        <v>6.0</v>
      </c>
      <c r="C31" s="90"/>
      <c r="D31" s="91"/>
      <c r="E31" s="78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146</v>
      </c>
      <c r="O32" s="100" t="s">
        <v>147</v>
      </c>
      <c r="P32" s="100" t="s">
        <v>148</v>
      </c>
      <c r="Q32" s="1"/>
      <c r="R32" s="1"/>
      <c r="AC32" s="101" t="s">
        <v>151</v>
      </c>
      <c r="AD32" s="101" t="s">
        <v>152</v>
      </c>
      <c r="AE32" s="101" t="s">
        <v>153</v>
      </c>
      <c r="AF32" s="101" t="s">
        <v>154</v>
      </c>
      <c r="AG32" s="101" t="s">
        <v>155</v>
      </c>
    </row>
    <row r="33" ht="15.75" customHeight="1">
      <c r="A33" s="1"/>
      <c r="B33" s="82">
        <v>8.0</v>
      </c>
      <c r="C33" s="90"/>
      <c r="D33" s="91"/>
      <c r="E33" s="78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38">
        <v>5.0</v>
      </c>
      <c r="M33" s="138">
        <v>5.0</v>
      </c>
      <c r="N33" s="138">
        <v>5.0</v>
      </c>
      <c r="O33" s="138">
        <v>5.0</v>
      </c>
      <c r="P33" s="138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AMEL</v>
      </c>
      <c r="L34" s="138">
        <v>5.0</v>
      </c>
      <c r="M34" s="138">
        <v>5.0</v>
      </c>
      <c r="N34" s="138">
        <v>5.0</v>
      </c>
      <c r="O34" s="138">
        <v>5.0</v>
      </c>
      <c r="P34" s="181">
        <v>4.0</v>
      </c>
      <c r="Q34" s="1"/>
      <c r="R34" s="1"/>
      <c r="AC34" s="101">
        <f t="shared" si="3"/>
        <v>97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AMEL</v>
      </c>
    </row>
    <row r="35" ht="15.75" customHeight="1">
      <c r="A35" s="1"/>
      <c r="B35" s="82">
        <v>10.0</v>
      </c>
      <c r="C35" s="90"/>
      <c r="D35" s="91"/>
      <c r="E35" s="78"/>
      <c r="F35" s="1"/>
      <c r="G35" s="1"/>
      <c r="H35" s="1"/>
      <c r="I35" s="1"/>
      <c r="J35" s="1"/>
      <c r="K35" s="103" t="str">
        <f t="shared" si="2"/>
        <v>ADIF</v>
      </c>
      <c r="L35" s="138">
        <v>5.0</v>
      </c>
      <c r="M35" s="138">
        <v>5.0</v>
      </c>
      <c r="N35" s="138">
        <v>5.0</v>
      </c>
      <c r="O35" s="138">
        <v>5.0</v>
      </c>
      <c r="P35" s="138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103" t="str">
        <f t="shared" si="2"/>
        <v>SAKA</v>
      </c>
      <c r="L36" s="138">
        <v>5.0</v>
      </c>
      <c r="M36" s="138">
        <v>5.0</v>
      </c>
      <c r="N36" s="138">
        <v>5.0</v>
      </c>
      <c r="O36" s="138">
        <v>5.0</v>
      </c>
      <c r="P36" s="181">
        <v>4.0</v>
      </c>
      <c r="Q36" s="1"/>
      <c r="R36" s="1"/>
      <c r="AC36" s="101">
        <f t="shared" si="3"/>
        <v>97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2">
        <f>SUM(D26:D36)</f>
        <v>650000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191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193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195</v>
      </c>
      <c r="M42" s="119" t="s">
        <v>196</v>
      </c>
    </row>
    <row r="43" ht="15.75" customHeight="1">
      <c r="K43" s="121" t="str">
        <f t="shared" ref="K43:K44" si="8">IF(O26="","",O26)</f>
        <v>INDAH</v>
      </c>
      <c r="L43" s="122">
        <v>3.0</v>
      </c>
      <c r="M43" s="123"/>
    </row>
    <row r="44" ht="15.75" customHeight="1">
      <c r="K44" s="121" t="str">
        <f t="shared" si="8"/>
        <v>AMEL</v>
      </c>
      <c r="L44" s="122">
        <v>3.0</v>
      </c>
      <c r="M44" s="123"/>
    </row>
    <row r="45" ht="15.75" customHeight="1"/>
    <row r="46" ht="19.5" customHeight="1">
      <c r="K46" s="127" t="s">
        <v>199</v>
      </c>
    </row>
    <row r="47" ht="19.5" customHeight="1">
      <c r="K47" s="128" t="s">
        <v>200</v>
      </c>
      <c r="M47" s="122">
        <v>23.0</v>
      </c>
    </row>
    <row r="48" ht="19.5" customHeight="1">
      <c r="K48" s="129" t="s">
        <v>202</v>
      </c>
      <c r="M48" s="130">
        <f>COUNTIF($I$4:$I$24,"DP")</f>
        <v>5</v>
      </c>
    </row>
    <row r="49" ht="19.5" customHeight="1">
      <c r="K49" s="129" t="s">
        <v>204</v>
      </c>
      <c r="M49" s="130">
        <f>COUNTIFS($I$4:$I$24,"&lt;&gt;DP",$I$4:$I$24,"&lt;&gt;")</f>
        <v>12</v>
      </c>
    </row>
    <row r="50" ht="19.5" customHeight="1">
      <c r="K50" s="131" t="s">
        <v>206</v>
      </c>
      <c r="M50" s="130">
        <f>M48+M49</f>
        <v>17</v>
      </c>
    </row>
    <row r="51" ht="19.5" customHeight="1">
      <c r="K51" s="128" t="s">
        <v>207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431</v>
      </c>
      <c r="D4" s="20" t="s">
        <v>49</v>
      </c>
      <c r="E4" s="29" t="s">
        <v>432</v>
      </c>
      <c r="F4" s="25" t="s">
        <v>433</v>
      </c>
      <c r="G4" s="159"/>
      <c r="H4" s="23">
        <v>100000.0</v>
      </c>
      <c r="I4" s="25" t="s">
        <v>34</v>
      </c>
      <c r="J4" s="17"/>
      <c r="K4" s="17"/>
      <c r="L4" s="25" t="s">
        <v>434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435</v>
      </c>
      <c r="D5" s="20" t="s">
        <v>21</v>
      </c>
      <c r="E5" s="19"/>
      <c r="F5" s="25" t="s">
        <v>436</v>
      </c>
      <c r="G5" s="159"/>
      <c r="H5" s="23">
        <v>100000.0</v>
      </c>
      <c r="I5" s="25" t="s">
        <v>34</v>
      </c>
      <c r="J5" s="17"/>
      <c r="K5" s="17"/>
      <c r="L5" s="25" t="s">
        <v>434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305</v>
      </c>
      <c r="D6" s="20" t="s">
        <v>37</v>
      </c>
      <c r="E6" s="19"/>
      <c r="F6" s="25" t="s">
        <v>437</v>
      </c>
      <c r="G6" s="161">
        <v>100000.0</v>
      </c>
      <c r="H6" s="58"/>
      <c r="I6" s="25" t="s">
        <v>24</v>
      </c>
      <c r="J6" s="25" t="s">
        <v>25</v>
      </c>
      <c r="K6" s="25" t="s">
        <v>25</v>
      </c>
      <c r="L6" s="25" t="s">
        <v>434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438</v>
      </c>
      <c r="D7" s="20" t="s">
        <v>49</v>
      </c>
      <c r="E7" s="29">
        <v>14.0</v>
      </c>
      <c r="F7" s="25" t="s">
        <v>436</v>
      </c>
      <c r="G7" s="159"/>
      <c r="H7" s="23">
        <v>100000.0</v>
      </c>
      <c r="I7" s="25" t="s">
        <v>34</v>
      </c>
      <c r="J7" s="17"/>
      <c r="K7" s="17"/>
      <c r="L7" s="25" t="s">
        <v>434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428</v>
      </c>
      <c r="D8" s="20" t="s">
        <v>49</v>
      </c>
      <c r="E8" s="19"/>
      <c r="F8" s="157">
        <v>46315.0</v>
      </c>
      <c r="G8" s="159"/>
      <c r="H8" s="23">
        <v>250000.0</v>
      </c>
      <c r="I8" s="25" t="s">
        <v>24</v>
      </c>
      <c r="J8" s="25" t="s">
        <v>25</v>
      </c>
      <c r="K8" s="25" t="s">
        <v>25</v>
      </c>
      <c r="L8" s="25" t="s">
        <v>35</v>
      </c>
      <c r="M8" s="25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420</v>
      </c>
      <c r="D9" s="20" t="s">
        <v>49</v>
      </c>
      <c r="E9" s="19"/>
      <c r="F9" s="157">
        <v>46315.0</v>
      </c>
      <c r="G9" s="159"/>
      <c r="H9" s="23">
        <v>100000.0</v>
      </c>
      <c r="I9" s="25" t="s">
        <v>24</v>
      </c>
      <c r="J9" s="25" t="s">
        <v>25</v>
      </c>
      <c r="K9" s="25" t="s">
        <v>25</v>
      </c>
      <c r="L9" s="25" t="s">
        <v>35</v>
      </c>
      <c r="M9" s="25" t="s">
        <v>43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439</v>
      </c>
      <c r="D10" s="20" t="s">
        <v>82</v>
      </c>
      <c r="E10" s="19"/>
      <c r="F10" s="157">
        <v>46317.0</v>
      </c>
      <c r="G10" s="159"/>
      <c r="H10" s="23">
        <v>100000.0</v>
      </c>
      <c r="I10" s="25" t="s">
        <v>34</v>
      </c>
      <c r="J10" s="17"/>
      <c r="K10" s="17"/>
      <c r="L10" s="25" t="s">
        <v>35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440</v>
      </c>
      <c r="D11" s="20" t="s">
        <v>49</v>
      </c>
      <c r="E11" s="19"/>
      <c r="F11" s="157">
        <v>46328.0</v>
      </c>
      <c r="G11" s="159"/>
      <c r="H11" s="23">
        <v>100000.0</v>
      </c>
      <c r="I11" s="25" t="s">
        <v>34</v>
      </c>
      <c r="J11" s="17"/>
      <c r="K11" s="17"/>
      <c r="L11" s="25" t="s">
        <v>35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441</v>
      </c>
      <c r="D12" s="20" t="s">
        <v>41</v>
      </c>
      <c r="E12" s="19"/>
      <c r="F12" s="157">
        <v>46315.0</v>
      </c>
      <c r="G12" s="161">
        <v>125000.0</v>
      </c>
      <c r="H12" s="58"/>
      <c r="I12" s="25" t="s">
        <v>24</v>
      </c>
      <c r="J12" s="25" t="s">
        <v>25</v>
      </c>
      <c r="K12" s="25" t="s">
        <v>39</v>
      </c>
      <c r="L12" s="25" t="s">
        <v>35</v>
      </c>
      <c r="M12" s="25" t="s">
        <v>57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365</v>
      </c>
      <c r="D13" s="20" t="s">
        <v>49</v>
      </c>
      <c r="E13" s="19"/>
      <c r="F13" s="157">
        <v>46315.0</v>
      </c>
      <c r="G13" s="159"/>
      <c r="H13" s="23">
        <v>200000.0</v>
      </c>
      <c r="I13" s="25" t="s">
        <v>24</v>
      </c>
      <c r="J13" s="25" t="s">
        <v>25</v>
      </c>
      <c r="K13" s="25" t="s">
        <v>25</v>
      </c>
      <c r="L13" s="25" t="s">
        <v>35</v>
      </c>
      <c r="M13" s="25" t="s">
        <v>57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442</v>
      </c>
      <c r="D14" s="20" t="s">
        <v>49</v>
      </c>
      <c r="E14" s="19"/>
      <c r="F14" s="157">
        <v>46318.0</v>
      </c>
      <c r="G14" s="159"/>
      <c r="H14" s="23">
        <v>100000.0</v>
      </c>
      <c r="I14" s="25" t="s">
        <v>34</v>
      </c>
      <c r="J14" s="17"/>
      <c r="K14" s="17"/>
      <c r="L14" s="25" t="s">
        <v>35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343</v>
      </c>
      <c r="D15" s="20" t="s">
        <v>49</v>
      </c>
      <c r="E15" s="19"/>
      <c r="F15" s="157">
        <v>46315.0</v>
      </c>
      <c r="G15" s="159"/>
      <c r="H15" s="58"/>
      <c r="I15" s="17"/>
      <c r="J15" s="17"/>
      <c r="K15" s="25" t="s">
        <v>27</v>
      </c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9"/>
      <c r="D16" s="64"/>
      <c r="E16" s="19"/>
      <c r="F16" s="17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4">
        <f t="shared" ref="G17:H17" si="1">SUM(G4:G16)</f>
        <v>225000</v>
      </c>
      <c r="H17" s="71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3" t="s">
        <v>7</v>
      </c>
      <c r="D20" s="73" t="s">
        <v>118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119</v>
      </c>
      <c r="O20" s="73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121</v>
      </c>
      <c r="D21" s="77">
        <f>SUM(G17)</f>
        <v>225000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124</v>
      </c>
      <c r="O21" s="81" t="s">
        <v>28</v>
      </c>
      <c r="P21" s="2" t="s">
        <v>443</v>
      </c>
      <c r="Q21" s="1"/>
      <c r="R21" s="1"/>
    </row>
    <row r="22" ht="15.75" customHeight="1">
      <c r="A22" s="1"/>
      <c r="B22" s="82">
        <v>2.0</v>
      </c>
      <c r="C22" s="173" t="s">
        <v>249</v>
      </c>
      <c r="D22" s="137">
        <v>-100000.0</v>
      </c>
      <c r="E22" s="78"/>
      <c r="F22" s="1"/>
      <c r="G22" s="1"/>
      <c r="H22" s="1"/>
      <c r="I22" s="1"/>
      <c r="J22" s="1"/>
      <c r="K22" s="1"/>
      <c r="L22" s="1"/>
      <c r="M22" s="1"/>
      <c r="N22" s="86" t="s">
        <v>128</v>
      </c>
      <c r="O22" s="87" t="s">
        <v>35</v>
      </c>
      <c r="P22" s="1"/>
      <c r="Q22" s="1"/>
      <c r="R22" s="1"/>
    </row>
    <row r="23" ht="15.75" customHeight="1">
      <c r="A23" s="1"/>
      <c r="B23" s="75">
        <v>3.0</v>
      </c>
      <c r="C23" s="136" t="s">
        <v>430</v>
      </c>
      <c r="D23" s="182">
        <v>-27000.0</v>
      </c>
      <c r="E23" s="78"/>
      <c r="F23" s="1"/>
      <c r="G23" s="1"/>
      <c r="H23" s="1"/>
      <c r="I23" s="1"/>
      <c r="J23" s="1"/>
      <c r="K23" s="1"/>
      <c r="L23" s="1"/>
      <c r="M23" s="1"/>
      <c r="N23" s="88" t="s">
        <v>131</v>
      </c>
      <c r="O23" s="89" t="s">
        <v>43</v>
      </c>
      <c r="P23" s="1"/>
      <c r="Q23" s="1"/>
      <c r="R23" s="1"/>
    </row>
    <row r="24" ht="15.75" customHeight="1">
      <c r="A24" s="1"/>
      <c r="B24" s="82">
        <v>4.0</v>
      </c>
      <c r="C24" s="90"/>
      <c r="D24" s="91"/>
      <c r="E24" s="78"/>
      <c r="F24" s="1"/>
      <c r="G24" s="1"/>
      <c r="H24" s="1"/>
      <c r="I24" s="1"/>
      <c r="J24" s="1"/>
      <c r="K24" s="1"/>
      <c r="L24" s="1"/>
      <c r="M24" s="1"/>
      <c r="N24" s="95" t="s">
        <v>137</v>
      </c>
      <c r="O24" s="87" t="s">
        <v>57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2">
        <v>6.0</v>
      </c>
      <c r="C26" s="90"/>
      <c r="D26" s="91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147</v>
      </c>
      <c r="P27" s="100" t="s">
        <v>148</v>
      </c>
      <c r="Q27" s="1"/>
      <c r="R27" s="1"/>
      <c r="AC27" s="101" t="s">
        <v>151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2">
        <v>8.0</v>
      </c>
      <c r="C28" s="90"/>
      <c r="D28" s="91"/>
      <c r="E28" s="78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38">
        <v>5.0</v>
      </c>
      <c r="M28" s="138">
        <v>5.0</v>
      </c>
      <c r="N28" s="138">
        <v>5.0</v>
      </c>
      <c r="O28" s="138">
        <v>5.0</v>
      </c>
      <c r="P28" s="138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AMEL</v>
      </c>
      <c r="L29" s="138">
        <v>5.0</v>
      </c>
      <c r="M29" s="138">
        <v>5.0</v>
      </c>
      <c r="N29" s="138">
        <v>5.0</v>
      </c>
      <c r="O29" s="138">
        <v>5.0</v>
      </c>
      <c r="P29" s="138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AMEL</v>
      </c>
    </row>
    <row r="30" ht="15.75" customHeight="1">
      <c r="A30" s="1"/>
      <c r="B30" s="82">
        <v>10.0</v>
      </c>
      <c r="C30" s="90"/>
      <c r="D30" s="91"/>
      <c r="E30" s="78"/>
      <c r="F30" s="1"/>
      <c r="G30" s="1"/>
      <c r="H30" s="1"/>
      <c r="I30" s="1"/>
      <c r="J30" s="1"/>
      <c r="K30" s="103" t="str">
        <f t="shared" si="2"/>
        <v>ADIF</v>
      </c>
      <c r="L30" s="138">
        <v>5.0</v>
      </c>
      <c r="M30" s="138">
        <v>5.0</v>
      </c>
      <c r="N30" s="138">
        <v>5.0</v>
      </c>
      <c r="O30" s="138">
        <v>5.0</v>
      </c>
      <c r="P30" s="138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8"/>
      <c r="F31" s="1"/>
      <c r="G31" s="1"/>
      <c r="H31" s="1"/>
      <c r="I31" s="1"/>
      <c r="J31" s="1"/>
      <c r="K31" s="103" t="str">
        <f t="shared" si="2"/>
        <v>SAKA</v>
      </c>
      <c r="L31" s="138">
        <v>5.0</v>
      </c>
      <c r="M31" s="138">
        <v>5.0</v>
      </c>
      <c r="N31" s="138">
        <v>5.0</v>
      </c>
      <c r="O31" s="138">
        <v>5.0</v>
      </c>
      <c r="P31" s="138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3"/>
      <c r="D32" s="112">
        <f>SUM(D21:D31)</f>
        <v>98000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191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193</v>
      </c>
      <c r="N36" s="183"/>
      <c r="O36" s="1"/>
      <c r="P36" s="1"/>
      <c r="Q36" s="1"/>
      <c r="R36" s="1"/>
    </row>
    <row r="37" ht="15.75" customHeight="1">
      <c r="K37" s="119" t="s">
        <v>8</v>
      </c>
      <c r="L37" s="119" t="s">
        <v>195</v>
      </c>
      <c r="M37" s="119" t="s">
        <v>196</v>
      </c>
      <c r="N37" s="184" t="s">
        <v>197</v>
      </c>
    </row>
    <row r="38" ht="15.75" customHeight="1">
      <c r="K38" s="121" t="str">
        <f t="shared" ref="K38:K39" si="8">IF(O21="","",O21)</f>
        <v>INDAH</v>
      </c>
      <c r="L38" s="122">
        <v>3.0</v>
      </c>
      <c r="M38" s="123"/>
      <c r="N38" s="185"/>
    </row>
    <row r="39" ht="15.75" customHeight="1">
      <c r="K39" s="121" t="str">
        <f t="shared" si="8"/>
        <v>AMEL</v>
      </c>
      <c r="L39" s="122">
        <v>3.0</v>
      </c>
      <c r="M39" s="122" t="s">
        <v>446</v>
      </c>
      <c r="N39" s="185"/>
    </row>
    <row r="40" ht="15.75" customHeight="1"/>
    <row r="41" ht="19.5" customHeight="1">
      <c r="K41" s="127" t="s">
        <v>199</v>
      </c>
    </row>
    <row r="42" ht="19.5" customHeight="1">
      <c r="K42" s="128" t="s">
        <v>200</v>
      </c>
      <c r="M42" s="122">
        <v>20.0</v>
      </c>
    </row>
    <row r="43" ht="19.5" customHeight="1">
      <c r="K43" s="129" t="s">
        <v>202</v>
      </c>
      <c r="M43" s="130">
        <f>COUNTIF($I$4:$I$19,"DP")</f>
        <v>6</v>
      </c>
    </row>
    <row r="44" ht="19.5" customHeight="1">
      <c r="K44" s="129" t="s">
        <v>204</v>
      </c>
      <c r="M44" s="130">
        <f>COUNTIFS($I$4:$I$19,"&lt;&gt;DP",$I$4:$I$19,"&lt;&gt;")</f>
        <v>5</v>
      </c>
    </row>
    <row r="45" ht="19.5" customHeight="1">
      <c r="K45" s="131" t="s">
        <v>206</v>
      </c>
      <c r="M45" s="130">
        <f>M43+M44</f>
        <v>11</v>
      </c>
    </row>
    <row r="46" ht="19.5" customHeight="1">
      <c r="K46" s="128" t="s">
        <v>207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444</v>
      </c>
      <c r="D4" s="20" t="s">
        <v>49</v>
      </c>
      <c r="E4" s="19"/>
      <c r="F4" s="157">
        <v>46318.0</v>
      </c>
      <c r="G4" s="159"/>
      <c r="H4" s="23">
        <v>100000.0</v>
      </c>
      <c r="I4" s="25" t="s">
        <v>34</v>
      </c>
      <c r="J4" s="17"/>
      <c r="K4" s="17"/>
      <c r="L4" s="25" t="s">
        <v>35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445</v>
      </c>
      <c r="D5" s="20" t="s">
        <v>49</v>
      </c>
      <c r="E5" s="19"/>
      <c r="F5" s="157">
        <v>46319.0</v>
      </c>
      <c r="G5" s="159"/>
      <c r="H5" s="23">
        <v>100000.0</v>
      </c>
      <c r="I5" s="25" t="s">
        <v>34</v>
      </c>
      <c r="J5" s="17"/>
      <c r="K5" s="17"/>
      <c r="L5" s="25" t="s">
        <v>35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447</v>
      </c>
      <c r="D6" s="20" t="s">
        <v>72</v>
      </c>
      <c r="E6" s="29" t="s">
        <v>448</v>
      </c>
      <c r="F6" s="157">
        <v>46317.0</v>
      </c>
      <c r="G6" s="159"/>
      <c r="H6" s="23">
        <v>250000.0</v>
      </c>
      <c r="I6" s="25" t="s">
        <v>24</v>
      </c>
      <c r="J6" s="17"/>
      <c r="K6" s="17"/>
      <c r="L6" s="25" t="s">
        <v>35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449</v>
      </c>
      <c r="D7" s="20" t="s">
        <v>49</v>
      </c>
      <c r="E7" s="19"/>
      <c r="F7" s="157">
        <v>46317.0</v>
      </c>
      <c r="G7" s="159"/>
      <c r="H7" s="23">
        <v>100000.0</v>
      </c>
      <c r="I7" s="25" t="s">
        <v>34</v>
      </c>
      <c r="J7" s="17"/>
      <c r="K7" s="17"/>
      <c r="L7" s="25" t="s">
        <v>35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51" t="s">
        <v>450</v>
      </c>
      <c r="D8" s="20" t="s">
        <v>21</v>
      </c>
      <c r="E8" s="19"/>
      <c r="F8" s="157">
        <v>46317.0</v>
      </c>
      <c r="G8" s="159"/>
      <c r="H8" s="23">
        <v>100000.0</v>
      </c>
      <c r="I8" s="25" t="s">
        <v>34</v>
      </c>
      <c r="J8" s="17"/>
      <c r="K8" s="17"/>
      <c r="L8" s="25" t="s">
        <v>35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451</v>
      </c>
      <c r="D9" s="20" t="s">
        <v>21</v>
      </c>
      <c r="E9" s="19"/>
      <c r="F9" s="157">
        <v>46317.0</v>
      </c>
      <c r="G9" s="159"/>
      <c r="H9" s="23">
        <v>100000.0</v>
      </c>
      <c r="I9" s="25" t="s">
        <v>34</v>
      </c>
      <c r="J9" s="17"/>
      <c r="K9" s="17"/>
      <c r="L9" s="25" t="s">
        <v>35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188</v>
      </c>
      <c r="D10" s="20" t="s">
        <v>41</v>
      </c>
      <c r="E10" s="29" t="s">
        <v>185</v>
      </c>
      <c r="F10" s="50">
        <v>46316.0</v>
      </c>
      <c r="G10" s="161">
        <v>200000.0</v>
      </c>
      <c r="H10" s="58"/>
      <c r="I10" s="25" t="s">
        <v>24</v>
      </c>
      <c r="J10" s="25" t="s">
        <v>25</v>
      </c>
      <c r="K10" s="25" t="s">
        <v>39</v>
      </c>
      <c r="L10" s="25" t="s">
        <v>35</v>
      </c>
      <c r="M10" s="25" t="s">
        <v>57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356</v>
      </c>
      <c r="D11" s="20" t="s">
        <v>49</v>
      </c>
      <c r="E11" s="19"/>
      <c r="F11" s="157">
        <v>46316.0</v>
      </c>
      <c r="G11" s="161">
        <v>150000.0</v>
      </c>
      <c r="H11" s="58"/>
      <c r="I11" s="25" t="s">
        <v>24</v>
      </c>
      <c r="J11" s="25" t="s">
        <v>25</v>
      </c>
      <c r="K11" s="25" t="s">
        <v>27</v>
      </c>
      <c r="L11" s="25" t="s">
        <v>28</v>
      </c>
      <c r="M11" s="25" t="s">
        <v>57</v>
      </c>
      <c r="N11" s="37"/>
      <c r="O11" s="37"/>
      <c r="P11" s="37"/>
      <c r="Q11" s="192" t="s">
        <v>452</v>
      </c>
      <c r="R11" s="1"/>
    </row>
    <row r="12" ht="15.75" customHeight="1">
      <c r="A12" s="1"/>
      <c r="B12" s="17"/>
      <c r="C12" s="18" t="s">
        <v>453</v>
      </c>
      <c r="D12" s="20" t="s">
        <v>49</v>
      </c>
      <c r="E12" s="19"/>
      <c r="F12" s="157">
        <v>46316.0</v>
      </c>
      <c r="G12" s="161">
        <v>525000.0</v>
      </c>
      <c r="H12" s="23"/>
      <c r="I12" s="25" t="s">
        <v>24</v>
      </c>
      <c r="J12" s="25" t="s">
        <v>25</v>
      </c>
      <c r="K12" s="25" t="s">
        <v>27</v>
      </c>
      <c r="L12" s="25" t="s">
        <v>28</v>
      </c>
      <c r="M12" s="25" t="s">
        <v>57</v>
      </c>
      <c r="N12" s="37"/>
      <c r="O12" s="37"/>
      <c r="P12" s="37"/>
      <c r="Q12" s="1"/>
      <c r="R12" s="1"/>
    </row>
    <row r="13" ht="15.75" customHeight="1">
      <c r="A13" s="1"/>
      <c r="B13" s="17"/>
      <c r="C13" s="18" t="s">
        <v>454</v>
      </c>
      <c r="D13" s="20" t="s">
        <v>49</v>
      </c>
      <c r="E13" s="19"/>
      <c r="F13" s="157">
        <v>46321.0</v>
      </c>
      <c r="G13" s="159"/>
      <c r="H13" s="23">
        <v>100000.0</v>
      </c>
      <c r="I13" s="25" t="s">
        <v>34</v>
      </c>
      <c r="J13" s="17"/>
      <c r="K13" s="17"/>
      <c r="L13" s="25" t="s">
        <v>28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8" t="s">
        <v>455</v>
      </c>
      <c r="D14" s="20" t="s">
        <v>49</v>
      </c>
      <c r="E14" s="19"/>
      <c r="F14" s="157">
        <v>46318.0</v>
      </c>
      <c r="G14" s="159"/>
      <c r="H14" s="23">
        <v>300000.0</v>
      </c>
      <c r="I14" s="25" t="s">
        <v>24</v>
      </c>
      <c r="J14" s="17"/>
      <c r="K14" s="17"/>
      <c r="L14" s="25" t="s">
        <v>28</v>
      </c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18" t="s">
        <v>325</v>
      </c>
      <c r="D15" s="20" t="s">
        <v>82</v>
      </c>
      <c r="E15" s="19"/>
      <c r="F15" s="157">
        <v>46316.0</v>
      </c>
      <c r="G15" s="159"/>
      <c r="H15" s="23">
        <v>50000.0</v>
      </c>
      <c r="I15" s="25" t="s">
        <v>24</v>
      </c>
      <c r="J15" s="25" t="s">
        <v>25</v>
      </c>
      <c r="K15" s="25" t="s">
        <v>27</v>
      </c>
      <c r="L15" s="25" t="s">
        <v>28</v>
      </c>
      <c r="M15" s="25" t="s">
        <v>43</v>
      </c>
      <c r="N15" s="37"/>
      <c r="O15" s="37"/>
      <c r="P15" s="37"/>
      <c r="Q15" s="1"/>
      <c r="R15" s="1"/>
    </row>
    <row r="16" ht="15.75" customHeight="1">
      <c r="A16" s="1"/>
      <c r="B16" s="17"/>
      <c r="C16" s="18" t="s">
        <v>456</v>
      </c>
      <c r="D16" s="20" t="s">
        <v>49</v>
      </c>
      <c r="E16" s="19"/>
      <c r="F16" s="157">
        <v>46316.0</v>
      </c>
      <c r="G16" s="159"/>
      <c r="H16" s="23">
        <v>50000.0</v>
      </c>
      <c r="I16" s="25" t="s">
        <v>24</v>
      </c>
      <c r="J16" s="25" t="s">
        <v>25</v>
      </c>
      <c r="K16" s="25" t="s">
        <v>27</v>
      </c>
      <c r="L16" s="25" t="s">
        <v>28</v>
      </c>
      <c r="M16" s="25" t="s">
        <v>43</v>
      </c>
      <c r="N16" s="37"/>
      <c r="O16" s="37"/>
      <c r="P16" s="37"/>
      <c r="Q16" s="1"/>
      <c r="R16" s="1"/>
    </row>
    <row r="17" ht="15.75" customHeight="1">
      <c r="A17" s="1"/>
      <c r="B17" s="17"/>
      <c r="C17" s="18" t="s">
        <v>407</v>
      </c>
      <c r="D17" s="20" t="s">
        <v>49</v>
      </c>
      <c r="E17" s="193">
        <v>0.2</v>
      </c>
      <c r="F17" s="157">
        <v>46316.0</v>
      </c>
      <c r="G17" s="159"/>
      <c r="H17" s="23">
        <v>360000.0</v>
      </c>
      <c r="I17" s="25" t="s">
        <v>24</v>
      </c>
      <c r="J17" s="25" t="s">
        <v>25</v>
      </c>
      <c r="K17" s="25" t="s">
        <v>25</v>
      </c>
      <c r="L17" s="25" t="s">
        <v>28</v>
      </c>
      <c r="M17" s="25" t="s">
        <v>43</v>
      </c>
      <c r="N17" s="37"/>
      <c r="O17" s="37"/>
      <c r="P17" s="37"/>
      <c r="Q17" s="1"/>
      <c r="R17" s="1"/>
    </row>
    <row r="18" ht="15.75" customHeight="1">
      <c r="A18" s="1"/>
      <c r="B18" s="17"/>
      <c r="C18" s="18" t="s">
        <v>457</v>
      </c>
      <c r="D18" s="20" t="s">
        <v>49</v>
      </c>
      <c r="E18" s="19"/>
      <c r="F18" s="157">
        <v>46316.0</v>
      </c>
      <c r="G18" s="159"/>
      <c r="H18" s="23">
        <v>800000.0</v>
      </c>
      <c r="I18" s="25" t="s">
        <v>24</v>
      </c>
      <c r="J18" s="25" t="s">
        <v>25</v>
      </c>
      <c r="K18" s="25" t="s">
        <v>25</v>
      </c>
      <c r="L18" s="25" t="s">
        <v>28</v>
      </c>
      <c r="M18" s="25" t="s">
        <v>43</v>
      </c>
      <c r="N18" s="37"/>
      <c r="O18" s="37"/>
      <c r="P18" s="37"/>
      <c r="Q18" s="1"/>
      <c r="R18" s="1"/>
    </row>
    <row r="19" ht="15.75" customHeight="1">
      <c r="A19" s="1"/>
      <c r="B19" s="17">
        <v>9.0</v>
      </c>
      <c r="C19" s="69"/>
      <c r="D19" s="64"/>
      <c r="E19" s="19"/>
      <c r="F19" s="178"/>
      <c r="G19" s="159"/>
      <c r="H19" s="58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>
        <v>10.0</v>
      </c>
      <c r="C20" s="69"/>
      <c r="D20" s="64"/>
      <c r="E20" s="19"/>
      <c r="F20" s="178"/>
      <c r="G20" s="159"/>
      <c r="H20" s="58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4">
        <f t="shared" ref="G21:H21" si="1">SUM(G4:G20)</f>
        <v>875000</v>
      </c>
      <c r="H21" s="71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2" t="s">
        <v>1</v>
      </c>
      <c r="C24" s="73" t="s">
        <v>7</v>
      </c>
      <c r="D24" s="73" t="s">
        <v>118</v>
      </c>
      <c r="E24" s="1"/>
      <c r="F24" s="1"/>
      <c r="G24" s="1"/>
      <c r="H24" s="1"/>
      <c r="I24" s="1"/>
      <c r="J24" s="1"/>
      <c r="K24" s="1"/>
      <c r="L24" s="1"/>
      <c r="M24" s="1"/>
      <c r="N24" s="73" t="s">
        <v>119</v>
      </c>
      <c r="O24" s="73" t="s">
        <v>2</v>
      </c>
      <c r="P24" s="1"/>
      <c r="Q24" s="1"/>
      <c r="R24" s="1"/>
    </row>
    <row r="25" ht="15.75" customHeight="1">
      <c r="A25" s="1"/>
      <c r="B25" s="75">
        <v>1.0</v>
      </c>
      <c r="C25" s="76" t="s">
        <v>121</v>
      </c>
      <c r="D25" s="77">
        <f>SUM(G21)</f>
        <v>875000</v>
      </c>
      <c r="E25" s="78"/>
      <c r="F25" s="1"/>
      <c r="G25" s="1"/>
      <c r="H25" s="1"/>
      <c r="I25" s="1"/>
      <c r="J25" s="1"/>
      <c r="K25" s="1"/>
      <c r="L25" s="1"/>
      <c r="M25" s="1"/>
      <c r="N25" s="79" t="s">
        <v>124</v>
      </c>
      <c r="O25" s="81" t="s">
        <v>35</v>
      </c>
      <c r="P25" s="1"/>
      <c r="Q25" s="1"/>
      <c r="R25" s="1"/>
    </row>
    <row r="26" ht="15.75" customHeight="1">
      <c r="A26" s="1"/>
      <c r="B26" s="82">
        <v>2.0</v>
      </c>
      <c r="C26" s="90"/>
      <c r="D26" s="91"/>
      <c r="E26" s="78"/>
      <c r="F26" s="1"/>
      <c r="G26" s="1"/>
      <c r="H26" s="1"/>
      <c r="I26" s="1"/>
      <c r="J26" s="1"/>
      <c r="K26" s="1"/>
      <c r="L26" s="1"/>
      <c r="M26" s="1"/>
      <c r="N26" s="86" t="s">
        <v>128</v>
      </c>
      <c r="O26" s="87" t="s">
        <v>28</v>
      </c>
      <c r="P26" s="1"/>
      <c r="Q26" s="1"/>
      <c r="R26" s="1"/>
    </row>
    <row r="27" ht="15.75" customHeight="1">
      <c r="A27" s="1"/>
      <c r="B27" s="75">
        <v>3.0</v>
      </c>
      <c r="C27" s="76"/>
      <c r="D27" s="77"/>
      <c r="E27" s="78"/>
      <c r="F27" s="1"/>
      <c r="G27" s="1"/>
      <c r="H27" s="1"/>
      <c r="I27" s="1"/>
      <c r="J27" s="1"/>
      <c r="K27" s="1"/>
      <c r="L27" s="1"/>
      <c r="M27" s="1"/>
      <c r="N27" s="88" t="s">
        <v>131</v>
      </c>
      <c r="O27" s="89" t="s">
        <v>57</v>
      </c>
      <c r="P27" s="1"/>
      <c r="Q27" s="1"/>
      <c r="R27" s="1"/>
    </row>
    <row r="28" ht="15.75" customHeight="1">
      <c r="A28" s="1"/>
      <c r="B28" s="82">
        <v>4.0</v>
      </c>
      <c r="C28" s="90"/>
      <c r="D28" s="91"/>
      <c r="E28" s="78"/>
      <c r="F28" s="1"/>
      <c r="G28" s="1"/>
      <c r="H28" s="1"/>
      <c r="I28" s="1"/>
      <c r="J28" s="1"/>
      <c r="K28" s="1"/>
      <c r="L28" s="1"/>
      <c r="M28" s="1"/>
      <c r="N28" s="95" t="s">
        <v>137</v>
      </c>
      <c r="O28" s="87" t="s">
        <v>43</v>
      </c>
      <c r="P28" s="1"/>
      <c r="Q28" s="1"/>
      <c r="R28" s="1"/>
    </row>
    <row r="29" ht="15.75" customHeight="1">
      <c r="A29" s="1"/>
      <c r="B29" s="75">
        <v>5.0</v>
      </c>
      <c r="C29" s="76"/>
      <c r="D29" s="77"/>
      <c r="E29" s="78"/>
      <c r="F29" s="1"/>
      <c r="G29" s="1"/>
      <c r="H29" s="1"/>
      <c r="I29" s="1"/>
      <c r="J29" s="1"/>
      <c r="K29" s="1"/>
      <c r="L29" s="1"/>
      <c r="M29" s="1"/>
      <c r="N29" s="96"/>
      <c r="O29" s="1"/>
      <c r="P29" s="1"/>
      <c r="Q29" s="1"/>
      <c r="R29" s="1"/>
    </row>
    <row r="30" ht="15.75" customHeight="1">
      <c r="A30" s="1"/>
      <c r="B30" s="82">
        <v>6.0</v>
      </c>
      <c r="C30" s="90"/>
      <c r="D30" s="91"/>
      <c r="E30" s="78"/>
      <c r="F30" s="1"/>
      <c r="G30" s="1"/>
      <c r="H30" s="1"/>
      <c r="I30" s="1"/>
      <c r="J30" s="1"/>
      <c r="K30" s="99" t="s">
        <v>141</v>
      </c>
      <c r="Q30" s="1"/>
      <c r="R30" s="1"/>
    </row>
    <row r="31" ht="15.75" customHeight="1">
      <c r="A31" s="1"/>
      <c r="B31" s="75">
        <v>7.0</v>
      </c>
      <c r="C31" s="76"/>
      <c r="D31" s="77"/>
      <c r="E31" s="78"/>
      <c r="F31" s="1"/>
      <c r="G31" s="1"/>
      <c r="H31" s="1"/>
      <c r="I31" s="1"/>
      <c r="J31" s="1"/>
      <c r="K31" s="100" t="s">
        <v>2</v>
      </c>
      <c r="L31" s="100" t="s">
        <v>144</v>
      </c>
      <c r="M31" s="100" t="s">
        <v>145</v>
      </c>
      <c r="N31" s="100" t="s">
        <v>146</v>
      </c>
      <c r="O31" s="100" t="s">
        <v>147</v>
      </c>
      <c r="P31" s="100" t="s">
        <v>148</v>
      </c>
      <c r="Q31" s="1"/>
      <c r="R31" s="1"/>
      <c r="AC31" s="101" t="s">
        <v>151</v>
      </c>
      <c r="AD31" s="101" t="s">
        <v>152</v>
      </c>
      <c r="AE31" s="101" t="s">
        <v>153</v>
      </c>
      <c r="AF31" s="101" t="s">
        <v>154</v>
      </c>
      <c r="AG31" s="101" t="s">
        <v>155</v>
      </c>
    </row>
    <row r="32" ht="15.75" customHeight="1">
      <c r="A32" s="1"/>
      <c r="B32" s="82">
        <v>8.0</v>
      </c>
      <c r="C32" s="90"/>
      <c r="D32" s="91"/>
      <c r="E32" s="78"/>
      <c r="F32" s="1"/>
      <c r="G32" s="1"/>
      <c r="H32" s="1"/>
      <c r="I32" s="1"/>
      <c r="J32" s="1"/>
      <c r="K32" s="103" t="str">
        <f t="shared" ref="K32:K35" si="2">IF(O25="","",O25)</f>
        <v>AMEL</v>
      </c>
      <c r="L32" s="181">
        <v>4.0</v>
      </c>
      <c r="M32" s="181">
        <v>4.0</v>
      </c>
      <c r="N32" s="181">
        <v>5.0</v>
      </c>
      <c r="O32" s="181">
        <v>5.0</v>
      </c>
      <c r="P32" s="181">
        <v>3.0</v>
      </c>
      <c r="Q32" s="1"/>
      <c r="R32" s="1"/>
      <c r="AC32" s="101">
        <f t="shared" ref="AC32:AC37" si="3">IF(AG32="","",IF(COUNT(L32:P32)&lt;5,"",L32/5*20+M32/5*25+N32/5*25+O32/5*15+P32/5*15))</f>
        <v>85</v>
      </c>
      <c r="AD32" s="101" t="str">
        <f t="shared" ref="AD32:AD37" si="4">IF(AC32="","",IF(AC32&gt;=90,"Sangat Baik",IF(AC32&gt;=80,"Baik",IF(AC32&gt;=70,"Coaching","Underperform"))))</f>
        <v>Baik</v>
      </c>
      <c r="AE32" s="101" t="str">
        <f t="shared" ref="AE32:AE37" si="5">IF(AG32="","",IF(OR(AG32="INDAH",AG32="ADDEL",AG32="AMEL",AG32="PENTIL",AG32="JIJANG"),"Admin/CS","Fotografer"))</f>
        <v>Admin/CS</v>
      </c>
      <c r="AF32" s="101">
        <f t="shared" ref="AF32:AF37" si="6">IF(OR(AG32="",COUNT(L32:P32)&lt;5),"",1)</f>
        <v>1</v>
      </c>
      <c r="AG32" s="101" t="str">
        <f t="shared" ref="AG32:AG37" si="7">IFERROR(K32,"")</f>
        <v>AMEL</v>
      </c>
    </row>
    <row r="33" ht="15.75" customHeight="1">
      <c r="A33" s="1"/>
      <c r="B33" s="75">
        <v>9.0</v>
      </c>
      <c r="C33" s="76"/>
      <c r="D33" s="77"/>
      <c r="E33" s="78"/>
      <c r="F33" s="1"/>
      <c r="G33" s="1"/>
      <c r="H33" s="1"/>
      <c r="I33" s="1"/>
      <c r="J33" s="1"/>
      <c r="K33" s="103" t="str">
        <f t="shared" si="2"/>
        <v>INDAH</v>
      </c>
      <c r="L33" s="181">
        <v>5.0</v>
      </c>
      <c r="M33" s="181">
        <v>5.0</v>
      </c>
      <c r="N33" s="181">
        <v>5.0</v>
      </c>
      <c r="O33" s="181">
        <v>5.0</v>
      </c>
      <c r="P33" s="181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Admin/CS</v>
      </c>
      <c r="AF33" s="101">
        <f t="shared" si="6"/>
        <v>1</v>
      </c>
      <c r="AG33" s="101" t="str">
        <f t="shared" si="7"/>
        <v>INDAH</v>
      </c>
    </row>
    <row r="34" ht="15.75" customHeight="1">
      <c r="A34" s="1"/>
      <c r="B34" s="82">
        <v>10.0</v>
      </c>
      <c r="C34" s="90"/>
      <c r="D34" s="91"/>
      <c r="E34" s="78"/>
      <c r="F34" s="1"/>
      <c r="G34" s="1"/>
      <c r="H34" s="1"/>
      <c r="I34" s="1"/>
      <c r="J34" s="1"/>
      <c r="K34" s="103" t="str">
        <f t="shared" si="2"/>
        <v>SAKA</v>
      </c>
      <c r="L34" s="181">
        <v>4.0</v>
      </c>
      <c r="M34" s="181">
        <v>5.0</v>
      </c>
      <c r="N34" s="181">
        <v>5.0</v>
      </c>
      <c r="O34" s="181">
        <v>5.0</v>
      </c>
      <c r="P34" s="181">
        <v>5.0</v>
      </c>
      <c r="Q34" s="1"/>
      <c r="R34" s="1"/>
      <c r="AC34" s="101">
        <f t="shared" si="3"/>
        <v>96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08">
        <v>11.0</v>
      </c>
      <c r="C35" s="109"/>
      <c r="D35" s="110"/>
      <c r="E35" s="78"/>
      <c r="F35" s="1"/>
      <c r="G35" s="1"/>
      <c r="H35" s="1"/>
      <c r="I35" s="1"/>
      <c r="J35" s="1"/>
      <c r="K35" s="103" t="str">
        <f t="shared" si="2"/>
        <v>ADIF</v>
      </c>
      <c r="L35" s="181">
        <v>5.0</v>
      </c>
      <c r="M35" s="181">
        <v>5.0</v>
      </c>
      <c r="N35" s="181">
        <v>5.0</v>
      </c>
      <c r="O35" s="181">
        <v>5.0</v>
      </c>
      <c r="P35" s="181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"/>
      <c r="C36" s="3"/>
      <c r="D36" s="112">
        <f>SUM(D25:D35)</f>
        <v>875000</v>
      </c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5" t="s">
        <v>191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6" t="s">
        <v>193</v>
      </c>
      <c r="N40" s="183"/>
      <c r="O40" s="1"/>
      <c r="P40" s="1"/>
      <c r="Q40" s="1"/>
      <c r="R40" s="1"/>
    </row>
    <row r="41" ht="15.75" customHeight="1">
      <c r="K41" s="119" t="s">
        <v>8</v>
      </c>
      <c r="L41" s="119" t="s">
        <v>195</v>
      </c>
      <c r="M41" s="119" t="s">
        <v>196</v>
      </c>
      <c r="N41" s="184" t="s">
        <v>197</v>
      </c>
    </row>
    <row r="42" ht="15.75" customHeight="1">
      <c r="K42" s="121" t="str">
        <f t="shared" ref="K42:K43" si="8">IF(O25="","",O25)</f>
        <v>AMEL</v>
      </c>
      <c r="L42" s="122">
        <v>6.0</v>
      </c>
      <c r="M42" s="123"/>
      <c r="N42" s="185"/>
    </row>
    <row r="43" ht="15.75" customHeight="1">
      <c r="K43" s="121" t="str">
        <f t="shared" si="8"/>
        <v>INDAH</v>
      </c>
      <c r="L43" s="122">
        <v>2.0</v>
      </c>
      <c r="M43" s="123"/>
      <c r="N43" s="185"/>
    </row>
    <row r="44" ht="15.75" customHeight="1"/>
    <row r="45" ht="19.5" customHeight="1">
      <c r="K45" s="127" t="s">
        <v>199</v>
      </c>
    </row>
    <row r="46" ht="19.5" customHeight="1">
      <c r="K46" s="128" t="s">
        <v>200</v>
      </c>
      <c r="M46" s="122">
        <v>29.0</v>
      </c>
    </row>
    <row r="47" ht="19.5" customHeight="1">
      <c r="K47" s="129" t="s">
        <v>202</v>
      </c>
      <c r="M47" s="194">
        <v>6.0</v>
      </c>
    </row>
    <row r="48" ht="19.5" customHeight="1">
      <c r="K48" s="129" t="s">
        <v>204</v>
      </c>
      <c r="M48" s="150">
        <v>7.0</v>
      </c>
    </row>
    <row r="49" ht="19.5" customHeight="1">
      <c r="K49" s="131" t="s">
        <v>206</v>
      </c>
      <c r="M49" s="150">
        <v>13.0</v>
      </c>
    </row>
    <row r="50" ht="19.5" customHeight="1">
      <c r="K50" s="128" t="s">
        <v>207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458</v>
      </c>
      <c r="D4" s="20" t="s">
        <v>49</v>
      </c>
      <c r="E4" s="19"/>
      <c r="F4" s="21">
        <v>46317.0</v>
      </c>
      <c r="G4" s="159"/>
      <c r="H4" s="23">
        <v>200000.0</v>
      </c>
      <c r="I4" s="25" t="s">
        <v>34</v>
      </c>
      <c r="J4" s="17"/>
      <c r="K4" s="17"/>
      <c r="L4" s="25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459</v>
      </c>
      <c r="D5" s="20" t="s">
        <v>49</v>
      </c>
      <c r="E5" s="19"/>
      <c r="F5" s="21">
        <v>46317.0</v>
      </c>
      <c r="G5" s="161">
        <v>250000.0</v>
      </c>
      <c r="H5" s="58"/>
      <c r="I5" s="25" t="s">
        <v>24</v>
      </c>
      <c r="J5" s="25" t="s">
        <v>25</v>
      </c>
      <c r="K5" s="25" t="s">
        <v>25</v>
      </c>
      <c r="L5" s="25" t="s">
        <v>28</v>
      </c>
      <c r="M5" s="25" t="s">
        <v>43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460</v>
      </c>
      <c r="D6" s="20" t="s">
        <v>236</v>
      </c>
      <c r="E6" s="19"/>
      <c r="F6" s="157">
        <v>46299.0</v>
      </c>
      <c r="G6" s="159"/>
      <c r="H6" s="23">
        <v>20000.0</v>
      </c>
      <c r="I6" s="25" t="s">
        <v>24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49" t="s">
        <v>461</v>
      </c>
      <c r="D7" s="20" t="s">
        <v>21</v>
      </c>
      <c r="E7" s="19"/>
      <c r="F7" s="157">
        <v>46317.0</v>
      </c>
      <c r="G7" s="159"/>
      <c r="H7" s="23">
        <v>250000.0</v>
      </c>
      <c r="I7" s="25" t="s">
        <v>24</v>
      </c>
      <c r="J7" s="25" t="s">
        <v>25</v>
      </c>
      <c r="K7" s="25" t="s">
        <v>27</v>
      </c>
      <c r="L7" s="25" t="s">
        <v>28</v>
      </c>
      <c r="M7" s="25" t="s">
        <v>43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458</v>
      </c>
      <c r="D8" s="20" t="s">
        <v>21</v>
      </c>
      <c r="E8" s="19"/>
      <c r="F8" s="157">
        <v>46317.0</v>
      </c>
      <c r="G8" s="159"/>
      <c r="H8" s="23">
        <v>170000.0</v>
      </c>
      <c r="I8" s="25" t="s">
        <v>24</v>
      </c>
      <c r="J8" s="25" t="s">
        <v>25</v>
      </c>
      <c r="K8" s="25" t="s">
        <v>27</v>
      </c>
      <c r="L8" s="25" t="s">
        <v>28</v>
      </c>
      <c r="M8" s="25" t="s">
        <v>57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462</v>
      </c>
      <c r="D9" s="20" t="s">
        <v>49</v>
      </c>
      <c r="E9" s="19"/>
      <c r="F9" s="157">
        <v>46318.0</v>
      </c>
      <c r="G9" s="159"/>
      <c r="H9" s="23">
        <v>100000.0</v>
      </c>
      <c r="I9" s="25" t="s">
        <v>34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463</v>
      </c>
      <c r="D10" s="20" t="s">
        <v>29</v>
      </c>
      <c r="E10" s="19"/>
      <c r="F10" s="157">
        <v>46317.0</v>
      </c>
      <c r="G10" s="161">
        <v>400000.0</v>
      </c>
      <c r="H10" s="58"/>
      <c r="I10" s="25" t="s">
        <v>24</v>
      </c>
      <c r="J10" s="25" t="s">
        <v>25</v>
      </c>
      <c r="K10" s="25" t="s">
        <v>27</v>
      </c>
      <c r="L10" s="25" t="s">
        <v>28</v>
      </c>
      <c r="M10" s="25" t="s">
        <v>43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464</v>
      </c>
      <c r="D11" s="20" t="s">
        <v>21</v>
      </c>
      <c r="E11" s="19"/>
      <c r="F11" s="157">
        <v>46317.0</v>
      </c>
      <c r="G11" s="161">
        <v>290000.0</v>
      </c>
      <c r="H11" s="58"/>
      <c r="I11" s="25" t="s">
        <v>24</v>
      </c>
      <c r="J11" s="25" t="s">
        <v>25</v>
      </c>
      <c r="K11" s="25" t="s">
        <v>27</v>
      </c>
      <c r="L11" s="25" t="s">
        <v>28</v>
      </c>
      <c r="M11" s="25" t="s">
        <v>57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447</v>
      </c>
      <c r="D12" s="20" t="s">
        <v>72</v>
      </c>
      <c r="E12" s="19"/>
      <c r="F12" s="157">
        <v>46317.0</v>
      </c>
      <c r="G12" s="161">
        <v>0.0</v>
      </c>
      <c r="H12" s="23">
        <v>0.0</v>
      </c>
      <c r="I12" s="25" t="s">
        <v>24</v>
      </c>
      <c r="J12" s="17"/>
      <c r="K12" s="17"/>
      <c r="L12" s="25" t="s">
        <v>28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466</v>
      </c>
      <c r="D13" s="20" t="s">
        <v>21</v>
      </c>
      <c r="E13" s="19"/>
      <c r="F13" s="157">
        <v>46317.0</v>
      </c>
      <c r="G13" s="159"/>
      <c r="H13" s="23">
        <v>470000.0</v>
      </c>
      <c r="I13" s="25" t="s">
        <v>24</v>
      </c>
      <c r="J13" s="25" t="s">
        <v>25</v>
      </c>
      <c r="K13" s="25" t="s">
        <v>27</v>
      </c>
      <c r="L13" s="25" t="s">
        <v>28</v>
      </c>
      <c r="M13" s="25" t="s">
        <v>43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468</v>
      </c>
      <c r="D14" s="20" t="s">
        <v>21</v>
      </c>
      <c r="E14" s="19"/>
      <c r="F14" s="157">
        <v>46317.0</v>
      </c>
      <c r="G14" s="159"/>
      <c r="H14" s="23">
        <v>250000.0</v>
      </c>
      <c r="I14" s="25" t="s">
        <v>24</v>
      </c>
      <c r="J14" s="25" t="s">
        <v>25</v>
      </c>
      <c r="K14" s="25" t="s">
        <v>27</v>
      </c>
      <c r="L14" s="25" t="s">
        <v>28</v>
      </c>
      <c r="M14" s="25" t="s">
        <v>57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470</v>
      </c>
      <c r="D15" s="20" t="s">
        <v>21</v>
      </c>
      <c r="E15" s="19"/>
      <c r="F15" s="157">
        <v>46317.0</v>
      </c>
      <c r="G15" s="159"/>
      <c r="H15" s="23">
        <v>290000.0</v>
      </c>
      <c r="I15" s="25" t="s">
        <v>24</v>
      </c>
      <c r="J15" s="25" t="s">
        <v>25</v>
      </c>
      <c r="K15" s="25" t="s">
        <v>27</v>
      </c>
      <c r="L15" s="25" t="s">
        <v>35</v>
      </c>
      <c r="M15" s="25" t="s">
        <v>57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52</v>
      </c>
      <c r="D16" s="20" t="s">
        <v>21</v>
      </c>
      <c r="E16" s="19"/>
      <c r="F16" s="157">
        <v>46317.0</v>
      </c>
      <c r="G16" s="159"/>
      <c r="H16" s="23">
        <v>250000.0</v>
      </c>
      <c r="I16" s="25" t="s">
        <v>24</v>
      </c>
      <c r="J16" s="25" t="s">
        <v>25</v>
      </c>
      <c r="K16" s="25" t="s">
        <v>27</v>
      </c>
      <c r="L16" s="25" t="s">
        <v>35</v>
      </c>
      <c r="M16" s="25" t="s">
        <v>43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473</v>
      </c>
      <c r="D17" s="20" t="s">
        <v>21</v>
      </c>
      <c r="E17" s="19"/>
      <c r="F17" s="157">
        <v>46317.0</v>
      </c>
      <c r="G17" s="159"/>
      <c r="H17" s="23">
        <v>250000.0</v>
      </c>
      <c r="I17" s="25" t="s">
        <v>24</v>
      </c>
      <c r="J17" s="25" t="s">
        <v>25</v>
      </c>
      <c r="K17" s="25" t="s">
        <v>27</v>
      </c>
      <c r="L17" s="25" t="s">
        <v>35</v>
      </c>
      <c r="M17" s="25" t="s">
        <v>57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439</v>
      </c>
      <c r="D18" s="20" t="s">
        <v>82</v>
      </c>
      <c r="E18" s="19"/>
      <c r="F18" s="157">
        <v>46317.0</v>
      </c>
      <c r="G18" s="159"/>
      <c r="H18" s="23">
        <v>50000.0</v>
      </c>
      <c r="I18" s="25" t="s">
        <v>24</v>
      </c>
      <c r="J18" s="25" t="s">
        <v>25</v>
      </c>
      <c r="K18" s="25" t="s">
        <v>25</v>
      </c>
      <c r="L18" s="25" t="s">
        <v>35</v>
      </c>
      <c r="M18" s="25" t="s">
        <v>43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8" t="s">
        <v>297</v>
      </c>
      <c r="D19" s="20" t="s">
        <v>82</v>
      </c>
      <c r="E19" s="19"/>
      <c r="F19" s="157">
        <v>46317.0</v>
      </c>
      <c r="G19" s="159"/>
      <c r="H19" s="23">
        <v>350000.0</v>
      </c>
      <c r="I19" s="25" t="s">
        <v>24</v>
      </c>
      <c r="J19" s="25" t="s">
        <v>25</v>
      </c>
      <c r="K19" s="25" t="s">
        <v>25</v>
      </c>
      <c r="L19" s="25" t="s">
        <v>35</v>
      </c>
      <c r="M19" s="25" t="s">
        <v>43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8" t="s">
        <v>476</v>
      </c>
      <c r="D20" s="20" t="s">
        <v>49</v>
      </c>
      <c r="E20" s="19"/>
      <c r="F20" s="157">
        <v>46317.0</v>
      </c>
      <c r="G20" s="159"/>
      <c r="H20" s="23">
        <v>175000.0</v>
      </c>
      <c r="I20" s="25" t="s">
        <v>24</v>
      </c>
      <c r="J20" s="25" t="s">
        <v>25</v>
      </c>
      <c r="K20" s="25" t="s">
        <v>25</v>
      </c>
      <c r="L20" s="25" t="s">
        <v>35</v>
      </c>
      <c r="M20" s="25" t="s">
        <v>57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49" t="s">
        <v>451</v>
      </c>
      <c r="D21" s="20" t="s">
        <v>21</v>
      </c>
      <c r="E21" s="19"/>
      <c r="F21" s="157">
        <v>46317.0</v>
      </c>
      <c r="G21" s="161">
        <v>290000.0</v>
      </c>
      <c r="H21" s="58"/>
      <c r="I21" s="25" t="s">
        <v>24</v>
      </c>
      <c r="J21" s="25" t="s">
        <v>25</v>
      </c>
      <c r="K21" s="25" t="s">
        <v>27</v>
      </c>
      <c r="L21" s="25" t="s">
        <v>35</v>
      </c>
      <c r="M21" s="25" t="s">
        <v>57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18" t="s">
        <v>478</v>
      </c>
      <c r="D22" s="20" t="s">
        <v>21</v>
      </c>
      <c r="E22" s="19"/>
      <c r="F22" s="157">
        <v>46317.0</v>
      </c>
      <c r="G22" s="159"/>
      <c r="H22" s="23">
        <v>270000.0</v>
      </c>
      <c r="I22" s="25" t="s">
        <v>24</v>
      </c>
      <c r="J22" s="25" t="s">
        <v>25</v>
      </c>
      <c r="K22" s="25" t="s">
        <v>27</v>
      </c>
      <c r="L22" s="25" t="s">
        <v>35</v>
      </c>
      <c r="M22" s="25" t="s">
        <v>57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69"/>
      <c r="D23" s="64"/>
      <c r="E23" s="19"/>
      <c r="F23" s="178"/>
      <c r="G23" s="159"/>
      <c r="H23" s="58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4">
        <f t="shared" ref="G24:H24" si="1">SUM(G4:G23)</f>
        <v>1230000</v>
      </c>
      <c r="H24" s="71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2" t="s">
        <v>1</v>
      </c>
      <c r="C27" s="73" t="s">
        <v>7</v>
      </c>
      <c r="D27" s="73" t="s">
        <v>118</v>
      </c>
      <c r="E27" s="1"/>
      <c r="F27" s="1"/>
      <c r="G27" s="1"/>
      <c r="H27" s="1"/>
      <c r="I27" s="1"/>
      <c r="J27" s="1"/>
      <c r="K27" s="1"/>
      <c r="L27" s="1"/>
      <c r="M27" s="1"/>
      <c r="N27" s="73" t="s">
        <v>119</v>
      </c>
      <c r="O27" s="73" t="s">
        <v>2</v>
      </c>
      <c r="P27" s="1"/>
      <c r="Q27" s="1"/>
      <c r="R27" s="1"/>
    </row>
    <row r="28" ht="15.75" customHeight="1">
      <c r="A28" s="1"/>
      <c r="B28" s="75">
        <v>1.0</v>
      </c>
      <c r="C28" s="76" t="s">
        <v>121</v>
      </c>
      <c r="D28" s="77">
        <f>SUM(G24)</f>
        <v>1230000</v>
      </c>
      <c r="E28" s="78"/>
      <c r="F28" s="1"/>
      <c r="G28" s="1"/>
      <c r="H28" s="1"/>
      <c r="I28" s="1"/>
      <c r="J28" s="1"/>
      <c r="K28" s="1"/>
      <c r="L28" s="1"/>
      <c r="M28" s="1"/>
      <c r="N28" s="79" t="s">
        <v>124</v>
      </c>
      <c r="O28" s="81" t="s">
        <v>28</v>
      </c>
      <c r="P28" s="1"/>
      <c r="Q28" s="1"/>
      <c r="R28" s="1"/>
    </row>
    <row r="29" ht="15.75" customHeight="1">
      <c r="A29" s="1"/>
      <c r="B29" s="82">
        <v>2.0</v>
      </c>
      <c r="C29" s="90"/>
      <c r="D29" s="91"/>
      <c r="E29" s="78"/>
      <c r="F29" s="1"/>
      <c r="G29" s="1"/>
      <c r="H29" s="1"/>
      <c r="I29" s="1"/>
      <c r="J29" s="1"/>
      <c r="K29" s="1"/>
      <c r="L29" s="1"/>
      <c r="M29" s="1"/>
      <c r="N29" s="86" t="s">
        <v>128</v>
      </c>
      <c r="O29" s="87" t="s">
        <v>35</v>
      </c>
      <c r="P29" s="1"/>
      <c r="Q29" s="1"/>
      <c r="R29" s="1"/>
    </row>
    <row r="30" ht="15.75" customHeight="1">
      <c r="A30" s="1"/>
      <c r="B30" s="75">
        <v>3.0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88" t="s">
        <v>131</v>
      </c>
      <c r="O30" s="195" t="s">
        <v>43</v>
      </c>
      <c r="P30" s="2" t="s">
        <v>403</v>
      </c>
      <c r="Q30" s="1"/>
      <c r="R30" s="1"/>
    </row>
    <row r="31" ht="15.75" customHeight="1">
      <c r="A31" s="1"/>
      <c r="B31" s="82">
        <v>4.0</v>
      </c>
      <c r="C31" s="90"/>
      <c r="D31" s="91"/>
      <c r="E31" s="78"/>
      <c r="F31" s="1"/>
      <c r="G31" s="1"/>
      <c r="H31" s="1"/>
      <c r="I31" s="1"/>
      <c r="J31" s="1"/>
      <c r="K31" s="1"/>
      <c r="L31" s="1"/>
      <c r="M31" s="1"/>
      <c r="N31" s="95" t="s">
        <v>137</v>
      </c>
      <c r="O31" s="87" t="s">
        <v>57</v>
      </c>
      <c r="P31" s="1"/>
      <c r="Q31" s="1"/>
      <c r="R31" s="1"/>
    </row>
    <row r="32" ht="15.75" customHeight="1">
      <c r="A32" s="1"/>
      <c r="B32" s="75">
        <v>5.0</v>
      </c>
      <c r="C32" s="76"/>
      <c r="D32" s="77"/>
      <c r="E32" s="78"/>
      <c r="F32" s="1"/>
      <c r="G32" s="1"/>
      <c r="H32" s="1"/>
      <c r="I32" s="1"/>
      <c r="J32" s="1"/>
      <c r="K32" s="1"/>
      <c r="L32" s="1"/>
      <c r="M32" s="1"/>
      <c r="N32" s="96"/>
      <c r="O32" s="1"/>
      <c r="P32" s="1"/>
      <c r="Q32" s="1"/>
      <c r="R32" s="1"/>
    </row>
    <row r="33" ht="15.75" customHeight="1">
      <c r="A33" s="1"/>
      <c r="B33" s="82">
        <v>6.0</v>
      </c>
      <c r="C33" s="90"/>
      <c r="D33" s="91"/>
      <c r="E33" s="78"/>
      <c r="F33" s="1"/>
      <c r="G33" s="1"/>
      <c r="H33" s="1"/>
      <c r="I33" s="1"/>
      <c r="J33" s="1"/>
      <c r="K33" s="99" t="s">
        <v>141</v>
      </c>
      <c r="Q33" s="1"/>
      <c r="R33" s="1"/>
    </row>
    <row r="34" ht="15.75" customHeight="1">
      <c r="A34" s="1"/>
      <c r="B34" s="75">
        <v>7.0</v>
      </c>
      <c r="C34" s="76"/>
      <c r="D34" s="77"/>
      <c r="E34" s="78"/>
      <c r="F34" s="1"/>
      <c r="G34" s="1"/>
      <c r="H34" s="1"/>
      <c r="I34" s="1"/>
      <c r="J34" s="1"/>
      <c r="K34" s="100" t="s">
        <v>2</v>
      </c>
      <c r="L34" s="100" t="s">
        <v>144</v>
      </c>
      <c r="M34" s="100" t="s">
        <v>145</v>
      </c>
      <c r="N34" s="100" t="s">
        <v>146</v>
      </c>
      <c r="O34" s="100" t="s">
        <v>147</v>
      </c>
      <c r="P34" s="100" t="s">
        <v>148</v>
      </c>
      <c r="Q34" s="1"/>
      <c r="R34" s="1"/>
      <c r="AC34" s="101" t="s">
        <v>151</v>
      </c>
      <c r="AD34" s="101" t="s">
        <v>152</v>
      </c>
      <c r="AE34" s="101" t="s">
        <v>153</v>
      </c>
      <c r="AF34" s="101" t="s">
        <v>154</v>
      </c>
      <c r="AG34" s="101" t="s">
        <v>155</v>
      </c>
    </row>
    <row r="35" ht="15.75" customHeight="1">
      <c r="A35" s="1"/>
      <c r="B35" s="82">
        <v>8.0</v>
      </c>
      <c r="C35" s="90"/>
      <c r="D35" s="91"/>
      <c r="E35" s="78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ref="AC35:AC40" si="3">IF(AG35="","",IF(COUNT(L35:P35)&lt;5,"",L35/5*20+M35/5*25+N35/5*25+O35/5*15+P35/5*15))</f>
        <v>100</v>
      </c>
      <c r="AD35" s="101" t="str">
        <f t="shared" ref="AD35:AD40" si="4">IF(AC35="","",IF(AC35&gt;=90,"Sangat Baik",IF(AC35&gt;=80,"Baik",IF(AC35&gt;=70,"Coaching","Underperform"))))</f>
        <v>Sangat Baik</v>
      </c>
      <c r="AE35" s="101" t="str">
        <f t="shared" ref="AE35:AE40" si="5">IF(AG35="","",IF(OR(AG35="INDAH",AG35="ADDEL",AG35="AMEL",AG35="PENTIL",AG35="JIJANG"),"Admin/CS","Fotografer"))</f>
        <v>Admin/CS</v>
      </c>
      <c r="AF35" s="101">
        <f t="shared" ref="AF35:AF40" si="6">IF(OR(AG35="",COUNT(L35:P35)&lt;5),"",1)</f>
        <v>1</v>
      </c>
      <c r="AG35" s="101" t="str">
        <f t="shared" ref="AG35:AG40" si="7">IFERROR(K35,"")</f>
        <v>INDAH</v>
      </c>
    </row>
    <row r="36" ht="15.75" customHeight="1">
      <c r="A36" s="1"/>
      <c r="B36" s="75">
        <v>9.0</v>
      </c>
      <c r="C36" s="76"/>
      <c r="D36" s="77"/>
      <c r="E36" s="78"/>
      <c r="F36" s="1"/>
      <c r="G36" s="1"/>
      <c r="H36" s="1"/>
      <c r="I36" s="1"/>
      <c r="J36" s="1"/>
      <c r="K36" s="103" t="str">
        <f t="shared" si="2"/>
        <v>AMEL</v>
      </c>
      <c r="L36" s="104">
        <v>4.0</v>
      </c>
      <c r="M36" s="104">
        <v>4.0</v>
      </c>
      <c r="N36" s="104">
        <v>4.0</v>
      </c>
      <c r="O36" s="104">
        <v>5.0</v>
      </c>
      <c r="P36" s="104">
        <v>3.0</v>
      </c>
      <c r="Q36" s="1"/>
      <c r="R36" s="1"/>
      <c r="AC36" s="101">
        <f t="shared" si="3"/>
        <v>80</v>
      </c>
      <c r="AD36" s="101" t="str">
        <f t="shared" si="4"/>
        <v>Baik</v>
      </c>
      <c r="AE36" s="101" t="str">
        <f t="shared" si="5"/>
        <v>Admin/CS</v>
      </c>
      <c r="AF36" s="101">
        <f t="shared" si="6"/>
        <v>1</v>
      </c>
      <c r="AG36" s="101" t="str">
        <f t="shared" si="7"/>
        <v>AMEL</v>
      </c>
    </row>
    <row r="37" ht="15.75" customHeight="1">
      <c r="A37" s="1"/>
      <c r="B37" s="82">
        <v>10.0</v>
      </c>
      <c r="C37" s="90"/>
      <c r="D37" s="91"/>
      <c r="E37" s="78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1">
        <f t="shared" si="3"/>
        <v>100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ADIF</v>
      </c>
    </row>
    <row r="38" ht="15.75" customHeight="1">
      <c r="A38" s="1"/>
      <c r="B38" s="108">
        <v>11.0</v>
      </c>
      <c r="C38" s="109"/>
      <c r="D38" s="110"/>
      <c r="E38" s="78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4.0</v>
      </c>
      <c r="O38" s="104">
        <v>5.0</v>
      </c>
      <c r="P38" s="104">
        <v>4.0</v>
      </c>
      <c r="Q38" s="1"/>
      <c r="R38" s="1"/>
      <c r="AC38" s="101">
        <f t="shared" si="3"/>
        <v>92</v>
      </c>
      <c r="AD38" s="101" t="str">
        <f t="shared" si="4"/>
        <v>Sangat Baik</v>
      </c>
      <c r="AE38" s="101" t="str">
        <f t="shared" si="5"/>
        <v>Fotografer</v>
      </c>
      <c r="AF38" s="101">
        <f t="shared" si="6"/>
        <v>1</v>
      </c>
      <c r="AG38" s="101" t="str">
        <f t="shared" si="7"/>
        <v>SAKA</v>
      </c>
    </row>
    <row r="39" ht="15.75" customHeight="1">
      <c r="A39" s="1"/>
      <c r="B39" s="1"/>
      <c r="C39" s="3"/>
      <c r="D39" s="112">
        <f>SUM(D28:D38)</f>
        <v>1230000</v>
      </c>
      <c r="E39" s="1"/>
      <c r="F39" s="1"/>
      <c r="G39" s="1"/>
      <c r="H39" s="1"/>
      <c r="I39" s="1"/>
      <c r="J39" s="1"/>
      <c r="K39" s="103"/>
      <c r="L39" s="114"/>
      <c r="M39" s="114"/>
      <c r="N39" s="114"/>
      <c r="O39" s="114"/>
      <c r="P39" s="114"/>
      <c r="Q39" s="1"/>
      <c r="R39" s="1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3"/>
      <c r="L40" s="114"/>
      <c r="M40" s="114"/>
      <c r="N40" s="114"/>
      <c r="O40" s="114"/>
      <c r="P40" s="114"/>
      <c r="Q40" s="1"/>
      <c r="R40" s="1"/>
      <c r="AC40" s="101" t="str">
        <f t="shared" si="3"/>
        <v/>
      </c>
      <c r="AD40" s="101" t="str">
        <f t="shared" si="4"/>
        <v/>
      </c>
      <c r="AE40" s="101" t="str">
        <f t="shared" si="5"/>
        <v/>
      </c>
      <c r="AF40" s="101" t="str">
        <f t="shared" si="6"/>
        <v/>
      </c>
      <c r="AG40" s="101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5" t="s">
        <v>191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6" t="s">
        <v>193</v>
      </c>
      <c r="N43" s="183"/>
      <c r="O43" s="1"/>
      <c r="P43" s="1"/>
      <c r="Q43" s="1"/>
      <c r="R43" s="1"/>
    </row>
    <row r="44" ht="15.75" customHeight="1">
      <c r="K44" s="119" t="s">
        <v>8</v>
      </c>
      <c r="L44" s="119" t="s">
        <v>195</v>
      </c>
      <c r="M44" s="119" t="s">
        <v>196</v>
      </c>
      <c r="N44" s="184" t="s">
        <v>197</v>
      </c>
    </row>
    <row r="45" ht="15.75" customHeight="1">
      <c r="K45" s="121" t="str">
        <f t="shared" ref="K45:K46" si="8">IF(O28="","",O28)</f>
        <v>INDAH</v>
      </c>
      <c r="L45" s="122">
        <v>2.0</v>
      </c>
      <c r="M45" s="123"/>
      <c r="N45" s="185"/>
    </row>
    <row r="46" ht="15.75" customHeight="1">
      <c r="K46" s="121" t="str">
        <f t="shared" si="8"/>
        <v>AMEL</v>
      </c>
      <c r="L46" s="123"/>
      <c r="M46" s="123"/>
      <c r="N46" s="185"/>
    </row>
    <row r="47" ht="15.75" customHeight="1"/>
    <row r="48" ht="19.5" customHeight="1">
      <c r="K48" s="127" t="s">
        <v>199</v>
      </c>
    </row>
    <row r="49" ht="19.5" customHeight="1">
      <c r="K49" s="128" t="s">
        <v>200</v>
      </c>
      <c r="M49" s="122">
        <v>30.0</v>
      </c>
    </row>
    <row r="50" ht="19.5" customHeight="1">
      <c r="K50" s="129" t="s">
        <v>202</v>
      </c>
      <c r="M50" s="130">
        <f>COUNTIF($I$4:$I$26,"DP")</f>
        <v>2</v>
      </c>
    </row>
    <row r="51" ht="19.5" customHeight="1">
      <c r="K51" s="129" t="s">
        <v>204</v>
      </c>
      <c r="M51" s="130">
        <f>COUNTIFS($I$4:$I$26,"&lt;&gt;DP",$I$4:$I$26,"&lt;&gt;")</f>
        <v>17</v>
      </c>
    </row>
    <row r="52" ht="19.5" customHeight="1">
      <c r="K52" s="131" t="s">
        <v>206</v>
      </c>
      <c r="M52" s="130">
        <f>M50+M51</f>
        <v>19</v>
      </c>
    </row>
    <row r="53" ht="19.5" customHeight="1">
      <c r="K53" s="128" t="s">
        <v>207</v>
      </c>
      <c r="M53" s="133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465</v>
      </c>
      <c r="D4" s="20" t="s">
        <v>72</v>
      </c>
      <c r="E4" s="19"/>
      <c r="F4" s="157">
        <v>46318.0</v>
      </c>
      <c r="G4" s="159"/>
      <c r="H4" s="23">
        <v>150000.0</v>
      </c>
      <c r="I4" s="25" t="s">
        <v>24</v>
      </c>
      <c r="J4" s="17"/>
      <c r="K4" s="17"/>
      <c r="L4" s="25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467</v>
      </c>
      <c r="D5" s="20" t="s">
        <v>37</v>
      </c>
      <c r="E5" s="19"/>
      <c r="F5" s="157">
        <v>46318.0</v>
      </c>
      <c r="G5" s="159"/>
      <c r="H5" s="23">
        <v>100000.0</v>
      </c>
      <c r="I5" s="25" t="s">
        <v>24</v>
      </c>
      <c r="J5" s="17"/>
      <c r="K5" s="17"/>
      <c r="L5" s="25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0" t="s">
        <v>469</v>
      </c>
      <c r="D6" s="20" t="s">
        <v>49</v>
      </c>
      <c r="E6" s="19"/>
      <c r="F6" s="157">
        <v>46323.0</v>
      </c>
      <c r="G6" s="159"/>
      <c r="H6" s="23">
        <v>100000.0</v>
      </c>
      <c r="I6" s="25" t="s">
        <v>34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471</v>
      </c>
      <c r="D7" s="20" t="s">
        <v>49</v>
      </c>
      <c r="E7" s="19"/>
      <c r="F7" s="157">
        <v>46329.0</v>
      </c>
      <c r="G7" s="159"/>
      <c r="H7" s="23">
        <v>100000.0</v>
      </c>
      <c r="I7" s="25" t="s">
        <v>34</v>
      </c>
      <c r="J7" s="17"/>
      <c r="K7" s="17"/>
      <c r="L7" s="25" t="s">
        <v>28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472</v>
      </c>
      <c r="D8" s="20" t="s">
        <v>280</v>
      </c>
      <c r="E8" s="19"/>
      <c r="F8" s="157">
        <v>46319.0</v>
      </c>
      <c r="G8" s="159"/>
      <c r="H8" s="23">
        <v>200000.0</v>
      </c>
      <c r="I8" s="25" t="s">
        <v>34</v>
      </c>
      <c r="J8" s="17"/>
      <c r="K8" s="17"/>
      <c r="L8" s="25" t="s">
        <v>28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474</v>
      </c>
      <c r="D9" s="20" t="s">
        <v>49</v>
      </c>
      <c r="E9" s="19"/>
      <c r="F9" s="157">
        <v>46318.0</v>
      </c>
      <c r="G9" s="159"/>
      <c r="H9" s="23">
        <v>100000.0</v>
      </c>
      <c r="I9" s="25" t="s">
        <v>34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475</v>
      </c>
      <c r="D10" s="20" t="s">
        <v>72</v>
      </c>
      <c r="E10" s="19"/>
      <c r="F10" s="157">
        <v>46326.0</v>
      </c>
      <c r="G10" s="159"/>
      <c r="H10" s="23">
        <v>100000.0</v>
      </c>
      <c r="I10" s="25" t="s">
        <v>34</v>
      </c>
      <c r="J10" s="17"/>
      <c r="K10" s="17"/>
      <c r="L10" s="25" t="s">
        <v>35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477</v>
      </c>
      <c r="D11" s="20" t="s">
        <v>82</v>
      </c>
      <c r="E11" s="19"/>
      <c r="F11" s="157">
        <v>46318.0</v>
      </c>
      <c r="G11" s="159"/>
      <c r="H11" s="23">
        <v>100000.0</v>
      </c>
      <c r="I11" s="25" t="s">
        <v>34</v>
      </c>
      <c r="J11" s="17"/>
      <c r="K11" s="17"/>
      <c r="L11" s="25" t="s">
        <v>35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442</v>
      </c>
      <c r="D12" s="20" t="s">
        <v>49</v>
      </c>
      <c r="E12" s="29">
        <v>36.0</v>
      </c>
      <c r="F12" s="157">
        <v>46318.0</v>
      </c>
      <c r="G12" s="161">
        <v>1100000.0</v>
      </c>
      <c r="H12" s="58"/>
      <c r="I12" s="25" t="s">
        <v>24</v>
      </c>
      <c r="J12" s="25" t="s">
        <v>25</v>
      </c>
      <c r="K12" s="17"/>
      <c r="L12" s="25" t="s">
        <v>35</v>
      </c>
      <c r="M12" s="25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479</v>
      </c>
      <c r="D13" s="20" t="s">
        <v>37</v>
      </c>
      <c r="E13" s="19"/>
      <c r="F13" s="157">
        <v>46318.0</v>
      </c>
      <c r="G13" s="161">
        <v>50000.0</v>
      </c>
      <c r="H13" s="58"/>
      <c r="I13" s="25" t="s">
        <v>24</v>
      </c>
      <c r="J13" s="25" t="s">
        <v>25</v>
      </c>
      <c r="K13" s="25" t="s">
        <v>25</v>
      </c>
      <c r="L13" s="25" t="s">
        <v>35</v>
      </c>
      <c r="M13" s="25" t="s">
        <v>43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462</v>
      </c>
      <c r="D14" s="20" t="s">
        <v>49</v>
      </c>
      <c r="E14" s="19"/>
      <c r="F14" s="157">
        <v>46318.0</v>
      </c>
      <c r="G14" s="159"/>
      <c r="H14" s="23">
        <v>475000.0</v>
      </c>
      <c r="I14" s="25" t="s">
        <v>24</v>
      </c>
      <c r="J14" s="25" t="s">
        <v>25</v>
      </c>
      <c r="K14" s="25" t="s">
        <v>25</v>
      </c>
      <c r="L14" s="25" t="s">
        <v>35</v>
      </c>
      <c r="M14" s="25" t="s">
        <v>43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334</v>
      </c>
      <c r="D15" s="20" t="s">
        <v>49</v>
      </c>
      <c r="E15" s="19"/>
      <c r="F15" s="157">
        <v>46319.0</v>
      </c>
      <c r="G15" s="159"/>
      <c r="H15" s="23">
        <v>100000.0</v>
      </c>
      <c r="I15" s="25" t="s">
        <v>34</v>
      </c>
      <c r="J15" s="17"/>
      <c r="K15" s="17"/>
      <c r="L15" s="25" t="s">
        <v>35</v>
      </c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444</v>
      </c>
      <c r="D16" s="20" t="s">
        <v>49</v>
      </c>
      <c r="E16" s="19"/>
      <c r="F16" s="157">
        <v>46318.0</v>
      </c>
      <c r="G16" s="159"/>
      <c r="H16" s="23">
        <v>75000.0</v>
      </c>
      <c r="I16" s="25" t="s">
        <v>24</v>
      </c>
      <c r="J16" s="25" t="s">
        <v>25</v>
      </c>
      <c r="K16" s="25" t="s">
        <v>25</v>
      </c>
      <c r="L16" s="25" t="s">
        <v>35</v>
      </c>
      <c r="M16" s="25" t="s">
        <v>43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480</v>
      </c>
      <c r="D17" s="20" t="s">
        <v>82</v>
      </c>
      <c r="E17" s="19"/>
      <c r="F17" s="157">
        <v>46318.0</v>
      </c>
      <c r="G17" s="159"/>
      <c r="H17" s="23">
        <v>50000.0</v>
      </c>
      <c r="I17" s="25" t="s">
        <v>24</v>
      </c>
      <c r="J17" s="25" t="s">
        <v>25</v>
      </c>
      <c r="K17" s="25" t="s">
        <v>27</v>
      </c>
      <c r="L17" s="25" t="s">
        <v>35</v>
      </c>
      <c r="M17" s="25" t="s">
        <v>43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69"/>
      <c r="D18" s="64"/>
      <c r="E18" s="19"/>
      <c r="F18" s="178"/>
      <c r="G18" s="159"/>
      <c r="H18" s="58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4">
        <f t="shared" ref="G19:H19" si="1">SUM(G4:G18)</f>
        <v>1150000</v>
      </c>
      <c r="H19" s="71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3" t="s">
        <v>7</v>
      </c>
      <c r="D22" s="73" t="s">
        <v>118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119</v>
      </c>
      <c r="O22" s="73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121</v>
      </c>
      <c r="D23" s="77">
        <f>SUM(G19)</f>
        <v>1150000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124</v>
      </c>
      <c r="O23" s="81" t="s">
        <v>28</v>
      </c>
      <c r="P23" s="1"/>
      <c r="Q23" s="1"/>
      <c r="R23" s="1"/>
    </row>
    <row r="24" ht="15.75" customHeight="1">
      <c r="A24" s="1"/>
      <c r="B24" s="82">
        <v>2.0</v>
      </c>
      <c r="C24" s="173" t="s">
        <v>481</v>
      </c>
      <c r="D24" s="137">
        <v>-50000.0</v>
      </c>
      <c r="E24" s="78"/>
      <c r="F24" s="1"/>
      <c r="G24" s="1"/>
      <c r="H24" s="1"/>
      <c r="I24" s="1"/>
      <c r="J24" s="1"/>
      <c r="K24" s="1"/>
      <c r="L24" s="1"/>
      <c r="M24" s="1"/>
      <c r="N24" s="86" t="s">
        <v>128</v>
      </c>
      <c r="O24" s="87" t="s">
        <v>35</v>
      </c>
      <c r="P24" s="1"/>
      <c r="Q24" s="1"/>
      <c r="R24" s="1"/>
    </row>
    <row r="25" ht="15.75" customHeight="1">
      <c r="A25" s="1"/>
      <c r="B25" s="75">
        <v>3.0</v>
      </c>
      <c r="C25" s="136" t="s">
        <v>249</v>
      </c>
      <c r="D25" s="182">
        <v>-100000.0</v>
      </c>
      <c r="E25" s="78"/>
      <c r="F25" s="1"/>
      <c r="G25" s="1"/>
      <c r="H25" s="1"/>
      <c r="I25" s="1"/>
      <c r="J25" s="1"/>
      <c r="K25" s="1"/>
      <c r="L25" s="1"/>
      <c r="M25" s="1"/>
      <c r="N25" s="88" t="s">
        <v>131</v>
      </c>
      <c r="O25" s="89" t="s">
        <v>43</v>
      </c>
      <c r="P25" s="1"/>
      <c r="Q25" s="1"/>
      <c r="R25" s="1"/>
    </row>
    <row r="26" ht="15.75" customHeight="1">
      <c r="A26" s="1"/>
      <c r="B26" s="82">
        <v>4.0</v>
      </c>
      <c r="C26" s="173" t="s">
        <v>482</v>
      </c>
      <c r="D26" s="137">
        <v>-95500.0</v>
      </c>
      <c r="E26" s="78"/>
      <c r="F26" s="1"/>
      <c r="G26" s="1"/>
      <c r="H26" s="1"/>
      <c r="I26" s="1"/>
      <c r="J26" s="1"/>
      <c r="K26" s="1"/>
      <c r="L26" s="1"/>
      <c r="M26" s="1"/>
      <c r="N26" s="95" t="s">
        <v>137</v>
      </c>
      <c r="O26" s="87" t="s">
        <v>43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1"/>
      <c r="G27" s="1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82">
        <v>6.0</v>
      </c>
      <c r="C28" s="90"/>
      <c r="D28" s="91"/>
      <c r="E28" s="78"/>
      <c r="F28" s="1"/>
      <c r="G28" s="1"/>
      <c r="H28" s="1"/>
      <c r="I28" s="1"/>
      <c r="J28" s="1"/>
      <c r="K28" s="99" t="s">
        <v>141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100" t="s">
        <v>2</v>
      </c>
      <c r="L29" s="100" t="s">
        <v>144</v>
      </c>
      <c r="M29" s="100" t="s">
        <v>145</v>
      </c>
      <c r="N29" s="100" t="s">
        <v>146</v>
      </c>
      <c r="O29" s="100" t="s">
        <v>147</v>
      </c>
      <c r="P29" s="100" t="s">
        <v>148</v>
      </c>
      <c r="Q29" s="1"/>
      <c r="R29" s="1"/>
      <c r="AC29" s="101" t="s">
        <v>151</v>
      </c>
      <c r="AD29" s="101" t="s">
        <v>152</v>
      </c>
      <c r="AE29" s="101" t="s">
        <v>153</v>
      </c>
      <c r="AF29" s="101" t="s">
        <v>154</v>
      </c>
      <c r="AG29" s="101" t="s">
        <v>155</v>
      </c>
    </row>
    <row r="30" ht="15.75" customHeight="1">
      <c r="A30" s="1"/>
      <c r="B30" s="82">
        <v>8.0</v>
      </c>
      <c r="C30" s="90"/>
      <c r="D30" s="91"/>
      <c r="E30" s="78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81">
        <v>5.0</v>
      </c>
      <c r="M30" s="181">
        <v>5.0</v>
      </c>
      <c r="N30" s="181">
        <v>5.0</v>
      </c>
      <c r="O30" s="181">
        <v>5.0</v>
      </c>
      <c r="P30" s="181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3" t="str">
        <f t="shared" si="2"/>
        <v>AMEL</v>
      </c>
      <c r="L31" s="181">
        <v>5.0</v>
      </c>
      <c r="M31" s="181">
        <v>5.0</v>
      </c>
      <c r="N31" s="181">
        <v>5.0</v>
      </c>
      <c r="O31" s="181">
        <v>5.0</v>
      </c>
      <c r="P31" s="181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0"/>
      <c r="D32" s="91"/>
      <c r="E32" s="78"/>
      <c r="F32" s="1"/>
      <c r="G32" s="1"/>
      <c r="H32" s="1"/>
      <c r="I32" s="1"/>
      <c r="J32" s="1"/>
      <c r="K32" s="103" t="str">
        <f t="shared" si="2"/>
        <v>ADIF</v>
      </c>
      <c r="L32" s="181">
        <v>5.0</v>
      </c>
      <c r="M32" s="181">
        <v>5.0</v>
      </c>
      <c r="N32" s="181">
        <v>5.0</v>
      </c>
      <c r="O32" s="181">
        <v>5.0</v>
      </c>
      <c r="P32" s="181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ADIF</v>
      </c>
    </row>
    <row r="33" ht="15.75" customHeight="1">
      <c r="A33" s="1"/>
      <c r="B33" s="108">
        <v>11.0</v>
      </c>
      <c r="C33" s="109"/>
      <c r="D33" s="110"/>
      <c r="E33" s="78"/>
      <c r="F33" s="1"/>
      <c r="G33" s="1"/>
      <c r="H33" s="1"/>
      <c r="I33" s="1"/>
      <c r="J33" s="1"/>
      <c r="K33" s="103" t="str">
        <f t="shared" si="2"/>
        <v>ADIF</v>
      </c>
      <c r="L33" s="181">
        <v>5.0</v>
      </c>
      <c r="M33" s="181">
        <v>5.0</v>
      </c>
      <c r="N33" s="181">
        <v>5.0</v>
      </c>
      <c r="O33" s="181">
        <v>5.0</v>
      </c>
      <c r="P33" s="181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"/>
      <c r="C34" s="3"/>
      <c r="D34" s="112">
        <f>SUM(D23:D33)</f>
        <v>904500</v>
      </c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191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6" t="s">
        <v>193</v>
      </c>
      <c r="N38" s="183"/>
      <c r="O38" s="1"/>
      <c r="P38" s="1"/>
      <c r="Q38" s="1"/>
      <c r="R38" s="1"/>
    </row>
    <row r="39" ht="15.75" customHeight="1">
      <c r="K39" s="119" t="s">
        <v>8</v>
      </c>
      <c r="L39" s="119" t="s">
        <v>195</v>
      </c>
      <c r="M39" s="119" t="s">
        <v>196</v>
      </c>
      <c r="N39" s="184" t="s">
        <v>197</v>
      </c>
    </row>
    <row r="40" ht="15.75" customHeight="1">
      <c r="K40" s="121" t="str">
        <f t="shared" ref="K40:K41" si="8">IF(O23="","",O23)</f>
        <v>INDAH</v>
      </c>
      <c r="L40" s="122">
        <v>5.0</v>
      </c>
      <c r="M40" s="123"/>
      <c r="N40" s="185"/>
    </row>
    <row r="41" ht="15.75" customHeight="1">
      <c r="K41" s="121" t="str">
        <f t="shared" si="8"/>
        <v>AMEL</v>
      </c>
      <c r="L41" s="122">
        <v>3.0</v>
      </c>
      <c r="M41" s="123"/>
      <c r="N41" s="185"/>
    </row>
    <row r="42" ht="15.75" customHeight="1"/>
    <row r="43" ht="19.5" customHeight="1">
      <c r="K43" s="127" t="s">
        <v>199</v>
      </c>
    </row>
    <row r="44" ht="19.5" customHeight="1">
      <c r="K44" s="128" t="s">
        <v>200</v>
      </c>
      <c r="M44" s="122">
        <v>31.0</v>
      </c>
    </row>
    <row r="45" ht="19.5" customHeight="1">
      <c r="K45" s="129" t="s">
        <v>202</v>
      </c>
      <c r="M45" s="130">
        <f>COUNTIF($I$4:$I$21,"DP")</f>
        <v>7</v>
      </c>
    </row>
    <row r="46" ht="19.5" customHeight="1">
      <c r="K46" s="129" t="s">
        <v>204</v>
      </c>
      <c r="M46" s="130">
        <f>COUNTIFS($I$4:$I$21,"&lt;&gt;DP",$I$4:$I$21,"&lt;&gt;")</f>
        <v>7</v>
      </c>
    </row>
    <row r="47" ht="19.5" customHeight="1">
      <c r="K47" s="131" t="s">
        <v>206</v>
      </c>
      <c r="M47" s="130">
        <f>M45+M46</f>
        <v>14</v>
      </c>
    </row>
    <row r="48" ht="19.5" customHeight="1">
      <c r="K48" s="128" t="s">
        <v>207</v>
      </c>
      <c r="M48" s="133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483</v>
      </c>
      <c r="D4" s="20" t="s">
        <v>49</v>
      </c>
      <c r="E4" s="19"/>
      <c r="F4" s="157">
        <v>46319.0</v>
      </c>
      <c r="G4" s="159"/>
      <c r="H4" s="23">
        <v>100000.0</v>
      </c>
      <c r="I4" s="25" t="s">
        <v>24</v>
      </c>
      <c r="J4" s="25" t="s">
        <v>25</v>
      </c>
      <c r="K4" s="25" t="s">
        <v>27</v>
      </c>
      <c r="L4" s="25" t="s">
        <v>28</v>
      </c>
      <c r="M4" s="25" t="s">
        <v>57</v>
      </c>
      <c r="N4" s="30"/>
      <c r="O4" s="30"/>
      <c r="P4" s="33"/>
      <c r="Q4" s="1"/>
      <c r="R4" s="1"/>
    </row>
    <row r="5" ht="15.75" customHeight="1">
      <c r="A5" s="1"/>
      <c r="B5" s="17">
        <v>2.0</v>
      </c>
      <c r="C5" s="18" t="s">
        <v>484</v>
      </c>
      <c r="D5" s="20" t="s">
        <v>49</v>
      </c>
      <c r="E5" s="19"/>
      <c r="F5" s="157">
        <v>46320.0</v>
      </c>
      <c r="G5" s="159"/>
      <c r="H5" s="23">
        <v>100000.0</v>
      </c>
      <c r="I5" s="25" t="s">
        <v>34</v>
      </c>
      <c r="J5" s="17"/>
      <c r="K5" s="17"/>
      <c r="L5" s="25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485</v>
      </c>
      <c r="D6" s="20" t="s">
        <v>49</v>
      </c>
      <c r="E6" s="19"/>
      <c r="F6" s="157">
        <v>46320.0</v>
      </c>
      <c r="G6" s="159"/>
      <c r="H6" s="23">
        <v>100000.0</v>
      </c>
      <c r="I6" s="25" t="s">
        <v>34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472</v>
      </c>
      <c r="D7" s="20" t="s">
        <v>280</v>
      </c>
      <c r="E7" s="29" t="s">
        <v>486</v>
      </c>
      <c r="F7" s="157">
        <v>46319.0</v>
      </c>
      <c r="G7" s="159"/>
      <c r="H7" s="23">
        <v>500000.0</v>
      </c>
      <c r="I7" s="25" t="s">
        <v>24</v>
      </c>
      <c r="J7" s="25" t="s">
        <v>25</v>
      </c>
      <c r="K7" s="25" t="s">
        <v>27</v>
      </c>
      <c r="L7" s="25" t="s">
        <v>28</v>
      </c>
      <c r="M7" s="25" t="s">
        <v>43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487</v>
      </c>
      <c r="D8" s="20" t="s">
        <v>49</v>
      </c>
      <c r="E8" s="19"/>
      <c r="F8" s="157">
        <v>46319.0</v>
      </c>
      <c r="G8" s="161">
        <v>300000.0</v>
      </c>
      <c r="H8" s="58"/>
      <c r="I8" s="25" t="s">
        <v>24</v>
      </c>
      <c r="J8" s="25" t="s">
        <v>25</v>
      </c>
      <c r="K8" s="25" t="s">
        <v>27</v>
      </c>
      <c r="L8" s="25" t="s">
        <v>28</v>
      </c>
      <c r="M8" s="25" t="s">
        <v>43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488</v>
      </c>
      <c r="D9" s="20" t="s">
        <v>72</v>
      </c>
      <c r="E9" s="19"/>
      <c r="F9" s="157">
        <v>46340.0</v>
      </c>
      <c r="G9" s="159"/>
      <c r="H9" s="23">
        <v>100000.0</v>
      </c>
      <c r="I9" s="25" t="s">
        <v>34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474</v>
      </c>
      <c r="D10" s="20" t="s">
        <v>49</v>
      </c>
      <c r="E10" s="19"/>
      <c r="F10" s="157">
        <v>46319.0</v>
      </c>
      <c r="G10" s="161">
        <v>175000.0</v>
      </c>
      <c r="H10" s="58"/>
      <c r="I10" s="25" t="s">
        <v>24</v>
      </c>
      <c r="J10" s="25" t="s">
        <v>25</v>
      </c>
      <c r="K10" s="25" t="s">
        <v>25</v>
      </c>
      <c r="L10" s="25" t="s">
        <v>28</v>
      </c>
      <c r="M10" s="25" t="s">
        <v>43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489</v>
      </c>
      <c r="D11" s="20" t="s">
        <v>41</v>
      </c>
      <c r="E11" s="19"/>
      <c r="F11" s="157">
        <v>46320.0</v>
      </c>
      <c r="G11" s="159"/>
      <c r="H11" s="23">
        <v>100000.0</v>
      </c>
      <c r="I11" s="25" t="s">
        <v>34</v>
      </c>
      <c r="J11" s="17"/>
      <c r="K11" s="17"/>
      <c r="L11" s="25" t="s">
        <v>28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445</v>
      </c>
      <c r="D12" s="20" t="s">
        <v>49</v>
      </c>
      <c r="E12" s="19"/>
      <c r="F12" s="157">
        <v>46320.0</v>
      </c>
      <c r="G12" s="159"/>
      <c r="H12" s="23">
        <v>250000.0</v>
      </c>
      <c r="I12" s="25" t="s">
        <v>24</v>
      </c>
      <c r="J12" s="25" t="s">
        <v>25</v>
      </c>
      <c r="K12" s="25" t="s">
        <v>27</v>
      </c>
      <c r="L12" s="25" t="s">
        <v>28</v>
      </c>
      <c r="M12" s="25" t="s">
        <v>43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475000</v>
      </c>
      <c r="H14" s="71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475000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173" t="s">
        <v>336</v>
      </c>
      <c r="D19" s="137">
        <v>-15000.0</v>
      </c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87" t="s">
        <v>28</v>
      </c>
      <c r="P19" s="1"/>
      <c r="Q19" s="1"/>
      <c r="R19" s="1"/>
    </row>
    <row r="20" ht="15.75" customHeight="1">
      <c r="A20" s="1"/>
      <c r="B20" s="75">
        <v>3.0</v>
      </c>
      <c r="C20" s="136" t="s">
        <v>297</v>
      </c>
      <c r="D20" s="182">
        <v>-20000.0</v>
      </c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89" t="s">
        <v>57</v>
      </c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87" t="s">
        <v>43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81">
        <v>5.0</v>
      </c>
      <c r="M25" s="181">
        <v>5.0</v>
      </c>
      <c r="N25" s="181">
        <v>5.0</v>
      </c>
      <c r="O25" s="181">
        <v>5.0</v>
      </c>
      <c r="P25" s="181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INDAH</v>
      </c>
      <c r="L26" s="181">
        <v>5.0</v>
      </c>
      <c r="M26" s="181">
        <v>5.0</v>
      </c>
      <c r="N26" s="181">
        <v>5.0</v>
      </c>
      <c r="O26" s="181">
        <v>5.0</v>
      </c>
      <c r="P26" s="181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INDAH</v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>SAKA</v>
      </c>
      <c r="L27" s="181">
        <v>5.0</v>
      </c>
      <c r="M27" s="181">
        <v>5.0</v>
      </c>
      <c r="N27" s="181">
        <v>5.0</v>
      </c>
      <c r="O27" s="181">
        <v>5.0</v>
      </c>
      <c r="P27" s="181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ADIF</v>
      </c>
      <c r="L28" s="181">
        <v>5.0</v>
      </c>
      <c r="M28" s="181">
        <v>5.0</v>
      </c>
      <c r="N28" s="181">
        <v>5.0</v>
      </c>
      <c r="O28" s="181">
        <v>5.0</v>
      </c>
      <c r="P28" s="181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1"/>
      <c r="B29" s="1"/>
      <c r="C29" s="3"/>
      <c r="D29" s="112">
        <f>SUM(D18:D28)</f>
        <v>440000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</row>
    <row r="35" ht="15.75" customHeight="1">
      <c r="K35" s="121" t="str">
        <f t="shared" ref="K35:K36" si="8">IF(O18="","",O18)</f>
        <v>INDAH</v>
      </c>
      <c r="L35" s="122">
        <v>4.0</v>
      </c>
      <c r="M35" s="122" t="s">
        <v>338</v>
      </c>
    </row>
    <row r="36" ht="15.75" customHeight="1">
      <c r="K36" s="121" t="str">
        <f t="shared" si="8"/>
        <v>INDAH</v>
      </c>
      <c r="L36" s="123"/>
      <c r="M36" s="123"/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2">
        <v>22.0</v>
      </c>
    </row>
    <row r="40" ht="19.5" customHeight="1">
      <c r="K40" s="129" t="s">
        <v>202</v>
      </c>
      <c r="M40" s="130">
        <f>COUNTIF($I$4:$I$16,"DP")</f>
        <v>4</v>
      </c>
    </row>
    <row r="41" ht="19.5" customHeight="1">
      <c r="K41" s="129" t="s">
        <v>204</v>
      </c>
      <c r="M41" s="130">
        <f>COUNTIFS($I$4:$I$16,"&lt;&gt;DP",$I$4:$I$16,"&lt;&gt;")</f>
        <v>5</v>
      </c>
    </row>
    <row r="42" ht="19.5" customHeight="1">
      <c r="K42" s="131" t="s">
        <v>206</v>
      </c>
      <c r="M42" s="130">
        <f>M40+M41</f>
        <v>9</v>
      </c>
    </row>
    <row r="43" ht="19.5" customHeight="1">
      <c r="K43" s="128" t="s">
        <v>207</v>
      </c>
      <c r="M43" s="133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490</v>
      </c>
      <c r="D4" s="20" t="s">
        <v>41</v>
      </c>
      <c r="E4" s="19"/>
      <c r="F4" s="157">
        <v>46320.0</v>
      </c>
      <c r="G4" s="159"/>
      <c r="H4" s="23">
        <v>100000.0</v>
      </c>
      <c r="I4" s="25" t="s">
        <v>34</v>
      </c>
      <c r="J4" s="17"/>
      <c r="K4" s="17"/>
      <c r="L4" s="25" t="s">
        <v>28</v>
      </c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49" t="s">
        <v>491</v>
      </c>
      <c r="D5" s="20" t="s">
        <v>49</v>
      </c>
      <c r="E5" s="19"/>
      <c r="F5" s="157">
        <v>46323.0</v>
      </c>
      <c r="G5" s="159"/>
      <c r="H5" s="23">
        <v>100000.0</v>
      </c>
      <c r="I5" s="25" t="s">
        <v>34</v>
      </c>
      <c r="J5" s="17"/>
      <c r="K5" s="17"/>
      <c r="L5" s="25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485</v>
      </c>
      <c r="D6" s="20" t="s">
        <v>49</v>
      </c>
      <c r="E6" s="19"/>
      <c r="F6" s="157">
        <v>46320.0</v>
      </c>
      <c r="G6" s="159"/>
      <c r="H6" s="23">
        <v>100000.0</v>
      </c>
      <c r="I6" s="25" t="s">
        <v>24</v>
      </c>
      <c r="J6" s="25" t="s">
        <v>25</v>
      </c>
      <c r="K6" s="25" t="s">
        <v>27</v>
      </c>
      <c r="L6" s="25" t="s">
        <v>28</v>
      </c>
      <c r="M6" s="25" t="s">
        <v>57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489</v>
      </c>
      <c r="D7" s="20" t="s">
        <v>41</v>
      </c>
      <c r="E7" s="19"/>
      <c r="F7" s="157">
        <v>46320.0</v>
      </c>
      <c r="G7" s="159"/>
      <c r="H7" s="23">
        <v>125000.0</v>
      </c>
      <c r="I7" s="25" t="s">
        <v>24</v>
      </c>
      <c r="J7" s="25" t="s">
        <v>25</v>
      </c>
      <c r="K7" s="17"/>
      <c r="L7" s="25" t="s">
        <v>35</v>
      </c>
      <c r="M7" s="25" t="s">
        <v>57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490</v>
      </c>
      <c r="D8" s="20" t="s">
        <v>41</v>
      </c>
      <c r="E8" s="19"/>
      <c r="F8" s="157">
        <v>46320.0</v>
      </c>
      <c r="G8" s="159"/>
      <c r="H8" s="23">
        <v>100000.0</v>
      </c>
      <c r="I8" s="25" t="s">
        <v>24</v>
      </c>
      <c r="J8" s="25" t="s">
        <v>25</v>
      </c>
      <c r="K8" s="17"/>
      <c r="L8" s="25" t="s">
        <v>35</v>
      </c>
      <c r="M8" s="25" t="s">
        <v>57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492</v>
      </c>
      <c r="D9" s="20" t="s">
        <v>277</v>
      </c>
      <c r="E9" s="29">
        <v>2.0</v>
      </c>
      <c r="F9" s="25" t="s">
        <v>493</v>
      </c>
      <c r="G9" s="159"/>
      <c r="H9" s="58"/>
      <c r="I9" s="25" t="s">
        <v>24</v>
      </c>
      <c r="J9" s="25" t="s">
        <v>25</v>
      </c>
      <c r="K9" s="25" t="s">
        <v>25</v>
      </c>
      <c r="L9" s="25" t="s">
        <v>35</v>
      </c>
      <c r="M9" s="25" t="s">
        <v>57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494</v>
      </c>
      <c r="D10" s="20" t="s">
        <v>49</v>
      </c>
      <c r="E10" s="19"/>
      <c r="F10" s="157">
        <v>46341.0</v>
      </c>
      <c r="G10" s="159"/>
      <c r="H10" s="23">
        <v>100000.0</v>
      </c>
      <c r="I10" s="25" t="s">
        <v>34</v>
      </c>
      <c r="J10" s="17"/>
      <c r="K10" s="17"/>
      <c r="L10" s="25" t="s">
        <v>35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495</v>
      </c>
      <c r="D11" s="20" t="s">
        <v>41</v>
      </c>
      <c r="E11" s="19"/>
      <c r="F11" s="157">
        <v>46320.0</v>
      </c>
      <c r="G11" s="159"/>
      <c r="H11" s="23">
        <v>125000.0</v>
      </c>
      <c r="I11" s="25" t="s">
        <v>24</v>
      </c>
      <c r="J11" s="25" t="s">
        <v>25</v>
      </c>
      <c r="K11" s="17"/>
      <c r="L11" s="25" t="s">
        <v>35</v>
      </c>
      <c r="M11" s="25" t="s">
        <v>57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496</v>
      </c>
      <c r="D12" s="20" t="s">
        <v>37</v>
      </c>
      <c r="E12" s="19"/>
      <c r="F12" s="157">
        <v>46320.0</v>
      </c>
      <c r="G12" s="161">
        <v>150000.0</v>
      </c>
      <c r="H12" s="58"/>
      <c r="I12" s="25" t="s">
        <v>24</v>
      </c>
      <c r="J12" s="25" t="s">
        <v>25</v>
      </c>
      <c r="K12" s="25" t="s">
        <v>27</v>
      </c>
      <c r="L12" s="25" t="s">
        <v>35</v>
      </c>
      <c r="M12" s="25" t="s">
        <v>57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497</v>
      </c>
      <c r="D13" s="20" t="s">
        <v>236</v>
      </c>
      <c r="E13" s="19"/>
      <c r="F13" s="157">
        <v>46299.0</v>
      </c>
      <c r="G13" s="159"/>
      <c r="H13" s="23">
        <v>20000.0</v>
      </c>
      <c r="I13" s="25" t="s">
        <v>24</v>
      </c>
      <c r="J13" s="17"/>
      <c r="K13" s="17"/>
      <c r="L13" s="25" t="s">
        <v>35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498</v>
      </c>
      <c r="D14" s="20" t="s">
        <v>49</v>
      </c>
      <c r="E14" s="19"/>
      <c r="F14" s="157">
        <v>46331.0</v>
      </c>
      <c r="G14" s="159"/>
      <c r="H14" s="23">
        <v>100000.0</v>
      </c>
      <c r="I14" s="25" t="s">
        <v>34</v>
      </c>
      <c r="J14" s="17"/>
      <c r="K14" s="17"/>
      <c r="L14" s="25" t="s">
        <v>35</v>
      </c>
      <c r="M14" s="17"/>
      <c r="N14" s="37"/>
      <c r="O14" s="37"/>
      <c r="P14" s="37"/>
      <c r="Q14" s="1"/>
      <c r="R14" s="1"/>
    </row>
    <row r="15" ht="15.75" customHeight="1">
      <c r="A15" s="1"/>
      <c r="B15" s="25">
        <v>12.0</v>
      </c>
      <c r="C15" s="18" t="s">
        <v>499</v>
      </c>
      <c r="D15" s="20" t="s">
        <v>236</v>
      </c>
      <c r="E15" s="19"/>
      <c r="F15" s="25" t="s">
        <v>500</v>
      </c>
      <c r="G15" s="159"/>
      <c r="H15" s="23">
        <v>20000.0</v>
      </c>
      <c r="I15" s="25" t="s">
        <v>24</v>
      </c>
      <c r="J15" s="17"/>
      <c r="K15" s="17"/>
      <c r="L15" s="25" t="s">
        <v>35</v>
      </c>
      <c r="M15" s="17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134">
        <f t="shared" ref="G16:H16" si="1">SUM(G4:G15)</f>
        <v>150000</v>
      </c>
      <c r="H16" s="71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3" t="s">
        <v>7</v>
      </c>
      <c r="D19" s="73" t="s">
        <v>118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119</v>
      </c>
      <c r="O19" s="73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121</v>
      </c>
      <c r="D20" s="77">
        <f>SUM(G16)</f>
        <v>150000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124</v>
      </c>
      <c r="O20" s="81" t="s">
        <v>28</v>
      </c>
      <c r="P20" s="1"/>
      <c r="Q20" s="1"/>
      <c r="R20" s="1"/>
    </row>
    <row r="21" ht="15.75" customHeight="1">
      <c r="A21" s="1"/>
      <c r="B21" s="82">
        <v>2.0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86" t="s">
        <v>128</v>
      </c>
      <c r="O21" s="87" t="s">
        <v>35</v>
      </c>
      <c r="P21" s="1"/>
      <c r="Q21" s="1"/>
      <c r="R21" s="1"/>
    </row>
    <row r="22" ht="15.75" customHeight="1">
      <c r="A22" s="1"/>
      <c r="B22" s="75">
        <v>3.0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88" t="s">
        <v>131</v>
      </c>
      <c r="O22" s="89" t="s">
        <v>57</v>
      </c>
      <c r="P22" s="1"/>
      <c r="Q22" s="1"/>
      <c r="R22" s="1"/>
    </row>
    <row r="23" ht="15.75" customHeight="1">
      <c r="A23" s="1"/>
      <c r="B23" s="82">
        <v>4.0</v>
      </c>
      <c r="C23" s="90"/>
      <c r="D23" s="91"/>
      <c r="E23" s="78"/>
      <c r="F23" s="1"/>
      <c r="G23" s="1"/>
      <c r="H23" s="1"/>
      <c r="I23" s="1"/>
      <c r="J23" s="1"/>
      <c r="K23" s="1"/>
      <c r="L23" s="1"/>
      <c r="M23" s="1"/>
      <c r="N23" s="95" t="s">
        <v>137</v>
      </c>
      <c r="O23" s="87" t="s">
        <v>57</v>
      </c>
      <c r="P23" s="1"/>
      <c r="Q23" s="1"/>
      <c r="R23" s="1"/>
    </row>
    <row r="24" ht="15.75" customHeight="1">
      <c r="A24" s="1"/>
      <c r="B24" s="75">
        <v>5.0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82">
        <v>6.0</v>
      </c>
      <c r="C25" s="90"/>
      <c r="D25" s="91"/>
      <c r="E25" s="78"/>
      <c r="F25" s="1"/>
      <c r="G25" s="1"/>
      <c r="H25" s="1"/>
      <c r="I25" s="1"/>
      <c r="J25" s="1"/>
      <c r="K25" s="99" t="s">
        <v>141</v>
      </c>
      <c r="Q25" s="1"/>
      <c r="R25" s="1"/>
    </row>
    <row r="26" ht="15.75" customHeight="1">
      <c r="A26" s="1"/>
      <c r="B26" s="75">
        <v>7.0</v>
      </c>
      <c r="C26" s="76"/>
      <c r="D26" s="77"/>
      <c r="E26" s="78"/>
      <c r="F26" s="1"/>
      <c r="G26" s="1"/>
      <c r="H26" s="1"/>
      <c r="I26" s="1"/>
      <c r="J26" s="1"/>
      <c r="K26" s="100" t="s">
        <v>2</v>
      </c>
      <c r="L26" s="100" t="s">
        <v>144</v>
      </c>
      <c r="M26" s="100" t="s">
        <v>145</v>
      </c>
      <c r="N26" s="100" t="s">
        <v>146</v>
      </c>
      <c r="O26" s="100" t="s">
        <v>147</v>
      </c>
      <c r="P26" s="100" t="s">
        <v>148</v>
      </c>
      <c r="Q26" s="1"/>
      <c r="R26" s="1"/>
      <c r="AC26" s="101" t="s">
        <v>151</v>
      </c>
      <c r="AD26" s="101" t="s">
        <v>152</v>
      </c>
      <c r="AE26" s="101" t="s">
        <v>153</v>
      </c>
      <c r="AF26" s="101" t="s">
        <v>154</v>
      </c>
      <c r="AG26" s="101" t="s">
        <v>155</v>
      </c>
    </row>
    <row r="27" ht="15.75" customHeight="1">
      <c r="A27" s="1"/>
      <c r="B27" s="82">
        <v>8.0</v>
      </c>
      <c r="C27" s="90"/>
      <c r="D27" s="91"/>
      <c r="E27" s="78"/>
      <c r="F27" s="1"/>
      <c r="G27" s="1"/>
      <c r="H27" s="1"/>
      <c r="I27" s="1"/>
      <c r="J27" s="1"/>
      <c r="K27" s="103" t="str">
        <f t="shared" ref="K27:K30" si="2">IF(O20="","",O20)</f>
        <v>INDAH</v>
      </c>
      <c r="L27" s="181">
        <v>5.0</v>
      </c>
      <c r="M27" s="181">
        <v>5.0</v>
      </c>
      <c r="N27" s="181">
        <v>5.0</v>
      </c>
      <c r="O27" s="181">
        <v>5.0</v>
      </c>
      <c r="P27" s="181">
        <v>5.0</v>
      </c>
      <c r="Q27" s="1"/>
      <c r="R27" s="1"/>
      <c r="AC27" s="101">
        <f t="shared" ref="AC27:AC32" si="3">IF(AG27="","",IF(COUNT(L27:P27)&lt;5,"",L27/5*20+M27/5*25+N27/5*25+O27/5*15+P27/5*15))</f>
        <v>100</v>
      </c>
      <c r="AD27" s="101" t="str">
        <f t="shared" ref="AD27:AD32" si="4">IF(AC27="","",IF(AC27&gt;=90,"Sangat Baik",IF(AC27&gt;=80,"Baik",IF(AC27&gt;=70,"Coaching","Underperform"))))</f>
        <v>Sangat Baik</v>
      </c>
      <c r="AE27" s="101" t="str">
        <f t="shared" ref="AE27:AE32" si="5">IF(AG27="","",IF(OR(AG27="INDAH",AG27="ADDEL",AG27="AMEL",AG27="PENTIL",AG27="JIJANG"),"Admin/CS","Fotografer"))</f>
        <v>Admin/CS</v>
      </c>
      <c r="AF27" s="101">
        <f t="shared" ref="AF27:AF32" si="6">IF(OR(AG27="",COUNT(L27:P27)&lt;5),"",1)</f>
        <v>1</v>
      </c>
      <c r="AG27" s="101" t="str">
        <f t="shared" ref="AG27:AG32" si="7">IFERROR(K27,"")</f>
        <v>INDAH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2"/>
        <v>AMEL</v>
      </c>
      <c r="L28" s="181">
        <v>5.0</v>
      </c>
      <c r="M28" s="181">
        <v>4.0</v>
      </c>
      <c r="N28" s="181">
        <v>5.0</v>
      </c>
      <c r="O28" s="181">
        <v>5.0</v>
      </c>
      <c r="P28" s="181">
        <v>4.0</v>
      </c>
      <c r="Q28" s="1"/>
      <c r="R28" s="1"/>
      <c r="AC28" s="101">
        <f t="shared" si="3"/>
        <v>92</v>
      </c>
      <c r="AD28" s="101" t="str">
        <f t="shared" si="4"/>
        <v>Sangat Baik</v>
      </c>
      <c r="AE28" s="101" t="str">
        <f t="shared" si="5"/>
        <v>Admin/CS</v>
      </c>
      <c r="AF28" s="101">
        <f t="shared" si="6"/>
        <v>1</v>
      </c>
      <c r="AG28" s="101" t="str">
        <f t="shared" si="7"/>
        <v>AMEL</v>
      </c>
    </row>
    <row r="29" ht="15.75" customHeight="1">
      <c r="A29" s="1"/>
      <c r="B29" s="82">
        <v>10.0</v>
      </c>
      <c r="C29" s="90"/>
      <c r="D29" s="91"/>
      <c r="E29" s="78"/>
      <c r="F29" s="1"/>
      <c r="G29" s="1"/>
      <c r="H29" s="1"/>
      <c r="I29" s="1"/>
      <c r="J29" s="1"/>
      <c r="K29" s="103" t="str">
        <f t="shared" si="2"/>
        <v>SAKA</v>
      </c>
      <c r="L29" s="181">
        <v>5.0</v>
      </c>
      <c r="M29" s="181">
        <v>5.0</v>
      </c>
      <c r="N29" s="181">
        <v>5.0</v>
      </c>
      <c r="O29" s="181">
        <v>5.0</v>
      </c>
      <c r="P29" s="181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SAKA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103" t="str">
        <f t="shared" si="2"/>
        <v>SAKA</v>
      </c>
      <c r="L30" s="181">
        <v>5.0</v>
      </c>
      <c r="M30" s="181">
        <v>5.0</v>
      </c>
      <c r="N30" s="181">
        <v>5.0</v>
      </c>
      <c r="O30" s="181">
        <v>5.0</v>
      </c>
      <c r="P30" s="181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SAKA</v>
      </c>
    </row>
    <row r="31" ht="15.75" customHeight="1">
      <c r="A31" s="1"/>
      <c r="B31" s="1"/>
      <c r="C31" s="3"/>
      <c r="D31" s="112">
        <f>SUM(D20:D30)</f>
        <v>150000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191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193</v>
      </c>
      <c r="N35" s="183"/>
      <c r="O35" s="1"/>
      <c r="P35" s="1"/>
      <c r="Q35" s="1"/>
      <c r="R35" s="1"/>
    </row>
    <row r="36" ht="15.75" customHeight="1">
      <c r="K36" s="119" t="s">
        <v>8</v>
      </c>
      <c r="L36" s="119" t="s">
        <v>195</v>
      </c>
      <c r="M36" s="119" t="s">
        <v>196</v>
      </c>
      <c r="N36" s="184" t="s">
        <v>197</v>
      </c>
    </row>
    <row r="37" ht="15.75" customHeight="1">
      <c r="K37" s="121" t="str">
        <f t="shared" ref="K37:K38" si="8">IF(O20="","",O20)</f>
        <v>INDAH</v>
      </c>
      <c r="L37" s="122">
        <v>2.0</v>
      </c>
      <c r="M37" s="123"/>
      <c r="N37" s="185"/>
    </row>
    <row r="38" ht="15.75" customHeight="1">
      <c r="K38" s="121" t="str">
        <f t="shared" si="8"/>
        <v>AMEL</v>
      </c>
      <c r="L38" s="122">
        <v>2.0</v>
      </c>
      <c r="M38" s="123"/>
      <c r="N38" s="185"/>
    </row>
    <row r="39" ht="15.75" customHeight="1"/>
    <row r="40" ht="19.5" customHeight="1">
      <c r="K40" s="127" t="s">
        <v>199</v>
      </c>
    </row>
    <row r="41" ht="19.5" customHeight="1">
      <c r="K41" s="128" t="s">
        <v>200</v>
      </c>
      <c r="M41" s="122">
        <v>24.0</v>
      </c>
    </row>
    <row r="42" ht="19.5" customHeight="1">
      <c r="K42" s="129" t="s">
        <v>202</v>
      </c>
      <c r="M42" s="130">
        <f>COUNTIF($I$4:$I$18,"DP")</f>
        <v>4</v>
      </c>
    </row>
    <row r="43" ht="19.5" customHeight="1">
      <c r="K43" s="129" t="s">
        <v>204</v>
      </c>
      <c r="M43" s="130">
        <f>COUNTIFS($I$4:$I$18,"&lt;&gt;DP",$I$4:$I$18,"&lt;&gt;")</f>
        <v>8</v>
      </c>
    </row>
    <row r="44" ht="19.5" customHeight="1">
      <c r="K44" s="131" t="s">
        <v>206</v>
      </c>
      <c r="M44" s="130">
        <f>M42+M43</f>
        <v>12</v>
      </c>
    </row>
    <row r="45" ht="19.5" customHeight="1">
      <c r="K45" s="128" t="s">
        <v>207</v>
      </c>
      <c r="M45" s="133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439</v>
      </c>
      <c r="D4" s="20" t="s">
        <v>49</v>
      </c>
      <c r="E4" s="19"/>
      <c r="F4" s="157">
        <v>46329.0</v>
      </c>
      <c r="G4" s="159"/>
      <c r="H4" s="23">
        <v>100000.0</v>
      </c>
      <c r="I4" s="25" t="s">
        <v>34</v>
      </c>
      <c r="J4" s="17"/>
      <c r="K4" s="17"/>
      <c r="L4" s="25" t="s">
        <v>28</v>
      </c>
      <c r="M4" s="17"/>
      <c r="N4" s="30"/>
      <c r="O4" s="30"/>
      <c r="P4" s="30"/>
      <c r="Q4" s="1"/>
      <c r="R4" s="1"/>
    </row>
    <row r="5" ht="15.75" customHeight="1">
      <c r="A5" s="1"/>
      <c r="B5" s="17">
        <v>2.0</v>
      </c>
      <c r="C5" s="18" t="s">
        <v>501</v>
      </c>
      <c r="D5" s="20" t="s">
        <v>49</v>
      </c>
      <c r="E5" s="19"/>
      <c r="F5" s="157">
        <v>46321.0</v>
      </c>
      <c r="G5" s="161">
        <v>175000.0</v>
      </c>
      <c r="H5" s="58"/>
      <c r="I5" s="25" t="s">
        <v>24</v>
      </c>
      <c r="J5" s="25" t="s">
        <v>25</v>
      </c>
      <c r="K5" s="25" t="s">
        <v>25</v>
      </c>
      <c r="L5" s="25" t="s">
        <v>28</v>
      </c>
      <c r="M5" s="25" t="s">
        <v>43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502</v>
      </c>
      <c r="D6" s="20" t="s">
        <v>49</v>
      </c>
      <c r="E6" s="19"/>
      <c r="F6" s="157">
        <v>46334.0</v>
      </c>
      <c r="G6" s="159"/>
      <c r="H6" s="23">
        <v>100000.0</v>
      </c>
      <c r="I6" s="25" t="s">
        <v>34</v>
      </c>
      <c r="J6" s="17"/>
      <c r="K6" s="17"/>
      <c r="L6" s="25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503</v>
      </c>
      <c r="D7" s="20" t="s">
        <v>251</v>
      </c>
      <c r="E7" s="29" t="s">
        <v>185</v>
      </c>
      <c r="F7" s="157">
        <v>46321.0</v>
      </c>
      <c r="G7" s="161">
        <v>350000.0</v>
      </c>
      <c r="H7" s="58"/>
      <c r="I7" s="25" t="s">
        <v>24</v>
      </c>
      <c r="J7" s="25" t="s">
        <v>25</v>
      </c>
      <c r="K7" s="25" t="s">
        <v>27</v>
      </c>
      <c r="L7" s="25" t="s">
        <v>28</v>
      </c>
      <c r="M7" s="25" t="s">
        <v>43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4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4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4"/>
      <c r="E10" s="19"/>
      <c r="F10" s="85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70"/>
      <c r="D11" s="64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4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85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525000</v>
      </c>
      <c r="H14" s="71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81" t="s">
        <v>35</v>
      </c>
      <c r="P18" s="1"/>
      <c r="Q18" s="1"/>
      <c r="R18" s="1"/>
    </row>
    <row r="19" ht="15.75" customHeight="1">
      <c r="A19" s="1"/>
      <c r="B19" s="82">
        <v>2.0</v>
      </c>
      <c r="C19" s="173" t="s">
        <v>421</v>
      </c>
      <c r="D19" s="137">
        <v>-75000.0</v>
      </c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87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89" t="s">
        <v>57</v>
      </c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87" t="s">
        <v>43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38"/>
      <c r="M25" s="138"/>
      <c r="N25" s="138"/>
      <c r="O25" s="138"/>
      <c r="P25" s="138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INDAH</v>
      </c>
      <c r="L26" s="138"/>
      <c r="M26" s="138"/>
      <c r="N26" s="138"/>
      <c r="O26" s="138"/>
      <c r="P26" s="138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>SAKA</v>
      </c>
      <c r="L27" s="138"/>
      <c r="M27" s="138"/>
      <c r="N27" s="138"/>
      <c r="O27" s="138"/>
      <c r="P27" s="138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ADIF</v>
      </c>
      <c r="L28" s="138"/>
      <c r="M28" s="138"/>
      <c r="N28" s="138"/>
      <c r="O28" s="138"/>
      <c r="P28" s="138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12">
        <f>SUM(D18:D28)</f>
        <v>450000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83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  <c r="N34" s="184" t="s">
        <v>197</v>
      </c>
    </row>
    <row r="35" ht="15.75" customHeight="1">
      <c r="K35" s="121" t="str">
        <f t="shared" ref="K35:K36" si="8">IF(O18="","",O18)</f>
        <v>AMEL</v>
      </c>
      <c r="L35" s="123"/>
      <c r="M35" s="123"/>
      <c r="N35" s="185"/>
    </row>
    <row r="36" ht="15.75" customHeight="1">
      <c r="K36" s="121" t="str">
        <f t="shared" si="8"/>
        <v>INDAH</v>
      </c>
      <c r="L36" s="122">
        <v>2.0</v>
      </c>
      <c r="M36" s="123"/>
      <c r="N36" s="185"/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3"/>
    </row>
    <row r="40" ht="19.5" customHeight="1">
      <c r="K40" s="129" t="s">
        <v>202</v>
      </c>
      <c r="M40" s="130">
        <f>COUNTIF($I$4:$I$16,"DP")</f>
        <v>2</v>
      </c>
    </row>
    <row r="41" ht="19.5" customHeight="1">
      <c r="K41" s="129" t="s">
        <v>204</v>
      </c>
      <c r="M41" s="130">
        <f>COUNTIFS($I$4:$I$16,"&lt;&gt;DP",$I$4:$I$16,"&lt;&gt;")</f>
        <v>2</v>
      </c>
    </row>
    <row r="42" ht="19.5" customHeight="1">
      <c r="K42" s="131" t="s">
        <v>206</v>
      </c>
      <c r="M42" s="130">
        <f>M40+M41</f>
        <v>4</v>
      </c>
    </row>
    <row r="43" ht="19.5" customHeight="1">
      <c r="K43" s="128" t="s">
        <v>207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4"/>
      <c r="E4" s="19"/>
      <c r="F4" s="17"/>
      <c r="G4" s="159"/>
      <c r="H4" s="58"/>
      <c r="I4" s="17"/>
      <c r="J4" s="17"/>
      <c r="K4" s="17"/>
      <c r="L4" s="17"/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69"/>
      <c r="D5" s="64"/>
      <c r="E5" s="19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4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4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4"/>
      <c r="E8" s="19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4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4"/>
      <c r="E10" s="19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4"/>
      <c r="E11" s="19"/>
      <c r="F11" s="17"/>
      <c r="G11" s="58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4"/>
      <c r="E12" s="19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89" t="s">
        <v>57</v>
      </c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8"/>
      <c r="M25" s="138"/>
      <c r="N25" s="138"/>
      <c r="O25" s="138"/>
      <c r="P25" s="138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38"/>
      <c r="M26" s="138"/>
      <c r="N26" s="138"/>
      <c r="O26" s="138"/>
      <c r="P26" s="138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>SAKA</v>
      </c>
      <c r="L27" s="138"/>
      <c r="M27" s="138"/>
      <c r="N27" s="138"/>
      <c r="O27" s="138"/>
      <c r="P27" s="138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8"/>
      <c r="M28" s="138"/>
      <c r="N28" s="138"/>
      <c r="O28" s="138"/>
      <c r="P28" s="138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</row>
    <row r="35" ht="15.75" customHeight="1">
      <c r="K35" s="121" t="str">
        <f t="shared" ref="K35:K36" si="8">IF(O18="","",O18)</f>
        <v>INDAH</v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3"/>
    </row>
    <row r="40" ht="19.5" customHeight="1">
      <c r="K40" s="129" t="s">
        <v>202</v>
      </c>
      <c r="M40" s="130">
        <f>COUNTIF($I$4:$I$16,"DP")</f>
        <v>0</v>
      </c>
    </row>
    <row r="41" ht="19.5" customHeight="1">
      <c r="K41" s="129" t="s">
        <v>204</v>
      </c>
      <c r="M41" s="130">
        <f>COUNTIFS($I$4:$I$16,"&lt;&gt;DP",$I$4:$I$16,"&lt;&gt;")</f>
        <v>0</v>
      </c>
    </row>
    <row r="42" ht="19.5" customHeight="1">
      <c r="K42" s="131" t="s">
        <v>206</v>
      </c>
      <c r="M42" s="130">
        <f>M40+M41</f>
        <v>0</v>
      </c>
    </row>
    <row r="43" ht="19.5" customHeight="1">
      <c r="K43" s="128" t="s">
        <v>207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4"/>
      <c r="E4" s="19"/>
      <c r="F4" s="113"/>
      <c r="G4" s="159"/>
      <c r="H4" s="58"/>
      <c r="I4" s="17"/>
      <c r="J4" s="17"/>
      <c r="K4" s="17"/>
      <c r="L4" s="17"/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69"/>
      <c r="D5" s="64"/>
      <c r="E5" s="19"/>
      <c r="F5" s="113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4"/>
      <c r="E6" s="19"/>
      <c r="F6" s="85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4"/>
      <c r="E7" s="19"/>
      <c r="F7" s="85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4"/>
      <c r="E8" s="19"/>
      <c r="F8" s="85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4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4"/>
      <c r="E10" s="19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4"/>
      <c r="E11" s="19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4"/>
      <c r="E12" s="19"/>
      <c r="F12" s="85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87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93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8"/>
      <c r="M25" s="138"/>
      <c r="N25" s="138"/>
      <c r="O25" s="138"/>
      <c r="P25" s="138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INDAH</v>
      </c>
      <c r="L26" s="138"/>
      <c r="M26" s="138"/>
      <c r="N26" s="138"/>
      <c r="O26" s="138"/>
      <c r="P26" s="138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/>
      </c>
      <c r="L27" s="138"/>
      <c r="M27" s="138"/>
      <c r="N27" s="138"/>
      <c r="O27" s="138"/>
      <c r="P27" s="138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8"/>
      <c r="M28" s="138"/>
      <c r="N28" s="138"/>
      <c r="O28" s="138"/>
      <c r="P28" s="138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</row>
    <row r="35" ht="15.75" customHeight="1">
      <c r="K35" s="121" t="str">
        <f t="shared" ref="K35:K36" si="8">IF(O18="","",O18)</f>
        <v>INDAH</v>
      </c>
      <c r="L35" s="123"/>
      <c r="M35" s="123"/>
    </row>
    <row r="36" ht="15.75" customHeight="1">
      <c r="K36" s="121" t="str">
        <f t="shared" si="8"/>
        <v>INDAH</v>
      </c>
      <c r="L36" s="123"/>
      <c r="M36" s="123"/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3"/>
    </row>
    <row r="40" ht="19.5" customHeight="1">
      <c r="K40" s="129" t="s">
        <v>202</v>
      </c>
      <c r="M40" s="130">
        <f>COUNTIF($I$4:$I$16,"DP")</f>
        <v>0</v>
      </c>
    </row>
    <row r="41" ht="19.5" customHeight="1">
      <c r="K41" s="129" t="s">
        <v>204</v>
      </c>
      <c r="M41" s="130">
        <f>COUNTIFS($I$4:$I$16,"&lt;&gt;DP",$I$4:$I$16,"&lt;&gt;")</f>
        <v>0</v>
      </c>
    </row>
    <row r="42" ht="19.5" customHeight="1">
      <c r="K42" s="131" t="s">
        <v>206</v>
      </c>
      <c r="M42" s="130">
        <f>M40+M41</f>
        <v>0</v>
      </c>
    </row>
    <row r="43" ht="19.5" customHeight="1">
      <c r="K43" s="128" t="s">
        <v>207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4"/>
      <c r="E4" s="19"/>
      <c r="F4" s="17"/>
      <c r="G4" s="159"/>
      <c r="H4" s="58"/>
      <c r="I4" s="17"/>
      <c r="J4" s="17"/>
      <c r="K4" s="17"/>
      <c r="L4" s="17"/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69"/>
      <c r="D5" s="64"/>
      <c r="E5" s="19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4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4"/>
      <c r="E7" s="19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4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4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4"/>
      <c r="E10" s="19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4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4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25">
        <v>10.0</v>
      </c>
      <c r="C13" s="69"/>
      <c r="D13" s="64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8"/>
      <c r="M25" s="138"/>
      <c r="N25" s="138"/>
      <c r="O25" s="138"/>
      <c r="P25" s="138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38"/>
      <c r="M26" s="138"/>
      <c r="N26" s="138"/>
      <c r="O26" s="138"/>
      <c r="P26" s="138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/>
      </c>
      <c r="L27" s="138"/>
      <c r="M27" s="138"/>
      <c r="N27" s="138"/>
      <c r="O27" s="138"/>
      <c r="P27" s="138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8"/>
      <c r="M28" s="138"/>
      <c r="N28" s="138"/>
      <c r="O28" s="138"/>
      <c r="P28" s="138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</row>
    <row r="35" ht="15.75" customHeight="1">
      <c r="K35" s="121" t="str">
        <f t="shared" ref="K35:K36" si="8">IF(O18="","",O18)</f>
        <v>INDAH</v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3"/>
    </row>
    <row r="40" ht="19.5" customHeight="1">
      <c r="K40" s="129" t="s">
        <v>202</v>
      </c>
      <c r="M40" s="130">
        <f>COUNTIF($I$4:$I$16,"DP")</f>
        <v>0</v>
      </c>
    </row>
    <row r="41" ht="19.5" customHeight="1">
      <c r="K41" s="129" t="s">
        <v>204</v>
      </c>
      <c r="M41" s="130">
        <f>COUNTIFS($I$4:$I$16,"&lt;&gt;DP",$I$4:$I$16,"&lt;&gt;")</f>
        <v>0</v>
      </c>
    </row>
    <row r="42" ht="19.5" customHeight="1">
      <c r="K42" s="131" t="s">
        <v>206</v>
      </c>
      <c r="M42" s="130">
        <f>M40+M41</f>
        <v>0</v>
      </c>
    </row>
    <row r="43" ht="19.5" customHeight="1">
      <c r="K43" s="128" t="s">
        <v>207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4"/>
      <c r="D4" s="65"/>
      <c r="E4" s="26"/>
      <c r="F4" s="67"/>
      <c r="G4" s="36"/>
      <c r="H4" s="40"/>
      <c r="I4" s="19"/>
      <c r="J4" s="176"/>
      <c r="K4" s="176"/>
      <c r="L4" s="19"/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69"/>
      <c r="D5" s="64"/>
      <c r="E5" s="19"/>
      <c r="F5" s="113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4"/>
      <c r="E6" s="19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4"/>
      <c r="E7" s="19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4"/>
      <c r="E8" s="19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6"/>
      <c r="D9" s="64"/>
      <c r="E9" s="19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4"/>
      <c r="E10" s="19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4"/>
      <c r="E11" s="19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4"/>
      <c r="E12" s="19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119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124</v>
      </c>
      <c r="O18" s="30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8"/>
      <c r="F19" s="1"/>
      <c r="G19" s="1"/>
      <c r="H19" s="1"/>
      <c r="I19" s="1"/>
      <c r="J19" s="1"/>
      <c r="K19" s="1"/>
      <c r="L19" s="1"/>
      <c r="M19" s="1"/>
      <c r="N19" s="86" t="s">
        <v>128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8" t="s">
        <v>131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8"/>
      <c r="F21" s="1"/>
      <c r="G21" s="1"/>
      <c r="H21" s="1"/>
      <c r="I21" s="1"/>
      <c r="J21" s="1"/>
      <c r="K21" s="1"/>
      <c r="L21" s="1"/>
      <c r="M21" s="1"/>
      <c r="N21" s="95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147</v>
      </c>
      <c r="P24" s="100" t="s">
        <v>148</v>
      </c>
      <c r="Q24" s="1"/>
      <c r="R24" s="1"/>
      <c r="AC24" s="101" t="s">
        <v>151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0"/>
      <c r="D25" s="91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38"/>
      <c r="M26" s="138"/>
      <c r="N26" s="138"/>
      <c r="O26" s="138"/>
      <c r="P26" s="138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0"/>
      <c r="D27" s="91"/>
      <c r="E27" s="78"/>
      <c r="F27" s="1"/>
      <c r="G27" s="1"/>
      <c r="H27" s="1"/>
      <c r="I27" s="1"/>
      <c r="J27" s="1"/>
      <c r="K27" s="103" t="str">
        <f t="shared" si="2"/>
        <v/>
      </c>
      <c r="L27" s="138"/>
      <c r="M27" s="138"/>
      <c r="N27" s="138"/>
      <c r="O27" s="138"/>
      <c r="P27" s="138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8"/>
      <c r="M28" s="138"/>
      <c r="N28" s="138"/>
      <c r="O28" s="138"/>
      <c r="P28" s="138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193</v>
      </c>
      <c r="N33" s="183"/>
      <c r="O33" s="1"/>
      <c r="P33" s="1"/>
      <c r="Q33" s="1"/>
      <c r="R33" s="1"/>
    </row>
    <row r="34" ht="15.75" customHeight="1">
      <c r="K34" s="119" t="s">
        <v>8</v>
      </c>
      <c r="L34" s="119" t="s">
        <v>195</v>
      </c>
      <c r="M34" s="119" t="s">
        <v>196</v>
      </c>
      <c r="N34" s="184" t="s">
        <v>197</v>
      </c>
    </row>
    <row r="35" ht="15.75" customHeight="1">
      <c r="K35" s="121" t="str">
        <f t="shared" ref="K35:K36" si="8">IF(O18="","",O18)</f>
        <v/>
      </c>
      <c r="L35" s="123"/>
      <c r="M35" s="123"/>
      <c r="N35" s="185"/>
    </row>
    <row r="36" ht="15.75" customHeight="1">
      <c r="K36" s="121" t="str">
        <f t="shared" si="8"/>
        <v/>
      </c>
      <c r="L36" s="123"/>
      <c r="M36" s="123"/>
      <c r="N36" s="185"/>
    </row>
    <row r="37" ht="15.75" customHeight="1"/>
    <row r="38" ht="19.5" customHeight="1">
      <c r="K38" s="127" t="s">
        <v>199</v>
      </c>
    </row>
    <row r="39" ht="19.5" customHeight="1">
      <c r="K39" s="128" t="s">
        <v>200</v>
      </c>
      <c r="M39" s="123"/>
    </row>
    <row r="40" ht="19.5" customHeight="1">
      <c r="K40" s="129" t="s">
        <v>202</v>
      </c>
      <c r="M40" s="130">
        <f>COUNTIF($I$4:$I$16,"DP")</f>
        <v>0</v>
      </c>
    </row>
    <row r="41" ht="19.5" customHeight="1">
      <c r="K41" s="129" t="s">
        <v>204</v>
      </c>
      <c r="M41" s="130">
        <f>COUNTIFS($I$4:$I$16,"&lt;&gt;DP",$I$4:$I$16,"&lt;&gt;")</f>
        <v>0</v>
      </c>
    </row>
    <row r="42" ht="19.5" customHeight="1">
      <c r="K42" s="131" t="s">
        <v>206</v>
      </c>
      <c r="M42" s="130">
        <f>M40+M41</f>
        <v>0</v>
      </c>
    </row>
    <row r="43" ht="19.5" customHeight="1">
      <c r="K43" s="128" t="s">
        <v>207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4"/>
      <c r="E4" s="19"/>
      <c r="F4" s="178"/>
      <c r="G4" s="159"/>
      <c r="H4" s="58"/>
      <c r="I4" s="17"/>
      <c r="J4" s="17"/>
      <c r="K4" s="17"/>
      <c r="L4" s="17"/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69"/>
      <c r="D5" s="64"/>
      <c r="E5" s="19"/>
      <c r="F5" s="85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4"/>
      <c r="E6" s="19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4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4"/>
      <c r="E8" s="19"/>
      <c r="F8" s="85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4"/>
      <c r="E9" s="19"/>
      <c r="F9" s="85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4"/>
      <c r="E10" s="19"/>
      <c r="F10" s="85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4"/>
      <c r="E11" s="19"/>
      <c r="F11" s="85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4"/>
      <c r="E12" s="19"/>
      <c r="F12" s="85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85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3" t="s">
        <v>7</v>
      </c>
      <c r="D18" s="73" t="s">
        <v>118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119</v>
      </c>
      <c r="O18" s="73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121</v>
      </c>
      <c r="D19" s="77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124</v>
      </c>
      <c r="O19" s="30"/>
      <c r="P19" s="1"/>
      <c r="Q19" s="1"/>
      <c r="R19" s="1"/>
    </row>
    <row r="20" ht="15.75" customHeight="1">
      <c r="A20" s="1"/>
      <c r="B20" s="82">
        <v>2.0</v>
      </c>
      <c r="C20" s="90"/>
      <c r="D20" s="91"/>
      <c r="E20" s="78"/>
      <c r="F20" s="1"/>
      <c r="G20" s="93"/>
      <c r="H20" s="1"/>
      <c r="I20" s="1"/>
      <c r="J20" s="1"/>
      <c r="K20" s="1"/>
      <c r="L20" s="1"/>
      <c r="M20" s="1"/>
      <c r="N20" s="86" t="s">
        <v>128</v>
      </c>
      <c r="O20" s="166"/>
      <c r="P20" s="1"/>
      <c r="Q20" s="1"/>
      <c r="R20" s="1"/>
    </row>
    <row r="21" ht="15.75" customHeight="1">
      <c r="A21" s="1"/>
      <c r="B21" s="75">
        <v>3.0</v>
      </c>
      <c r="C21" s="76"/>
      <c r="D21" s="77"/>
      <c r="E21" s="78"/>
      <c r="F21" s="1"/>
      <c r="G21" s="93"/>
      <c r="H21" s="1"/>
      <c r="I21" s="1"/>
      <c r="J21" s="1"/>
      <c r="K21" s="1"/>
      <c r="L21" s="1"/>
      <c r="M21" s="1"/>
      <c r="N21" s="88" t="s">
        <v>131</v>
      </c>
      <c r="O21" s="37"/>
      <c r="P21" s="1"/>
      <c r="Q21" s="1"/>
      <c r="R21" s="1"/>
    </row>
    <row r="22" ht="15.75" customHeight="1">
      <c r="A22" s="1"/>
      <c r="B22" s="82">
        <v>4.0</v>
      </c>
      <c r="C22" s="90"/>
      <c r="D22" s="91"/>
      <c r="E22" s="78"/>
      <c r="F22" s="1"/>
      <c r="G22" s="1"/>
      <c r="H22" s="1"/>
      <c r="I22" s="1"/>
      <c r="J22" s="1"/>
      <c r="K22" s="1"/>
      <c r="L22" s="1"/>
      <c r="M22" s="1"/>
      <c r="N22" s="95" t="s">
        <v>137</v>
      </c>
      <c r="O22" s="166"/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82">
        <v>6.0</v>
      </c>
      <c r="C24" s="90"/>
      <c r="D24" s="91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9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0"/>
      <c r="D26" s="91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147</v>
      </c>
      <c r="P27" s="100" t="s">
        <v>148</v>
      </c>
      <c r="Q27" s="1"/>
      <c r="R27" s="1"/>
      <c r="AC27" s="101" t="s">
        <v>151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2">
        <v>10.0</v>
      </c>
      <c r="C28" s="90"/>
      <c r="D28" s="91"/>
      <c r="E28" s="78"/>
      <c r="F28" s="1"/>
      <c r="G28" s="1"/>
      <c r="H28" s="1"/>
      <c r="I28" s="1"/>
      <c r="J28" s="1"/>
      <c r="K28" s="103" t="str">
        <f t="shared" ref="K28:K31" si="2">IF(O19="","",O19)</f>
        <v/>
      </c>
      <c r="L28" s="114"/>
      <c r="M28" s="114"/>
      <c r="N28" s="114"/>
      <c r="O28" s="114"/>
      <c r="P28" s="114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0"/>
      <c r="E29" s="78"/>
      <c r="F29" s="1"/>
      <c r="G29" s="1"/>
      <c r="H29" s="1"/>
      <c r="I29" s="1"/>
      <c r="J29" s="1"/>
      <c r="K29" s="103" t="str">
        <f t="shared" si="2"/>
        <v/>
      </c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12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191</v>
      </c>
      <c r="Q34" s="1"/>
      <c r="R34" s="1"/>
    </row>
    <row r="35" ht="15.75" customHeight="1"/>
    <row r="36" ht="15.75" customHeight="1">
      <c r="K36" s="197" t="s">
        <v>193</v>
      </c>
    </row>
    <row r="37" ht="15.75" customHeight="1">
      <c r="K37" s="119" t="s">
        <v>8</v>
      </c>
      <c r="L37" s="119" t="s">
        <v>195</v>
      </c>
      <c r="M37" s="119" t="s">
        <v>196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7" t="s">
        <v>199</v>
      </c>
    </row>
    <row r="42" ht="19.5" customHeight="1">
      <c r="K42" s="128" t="s">
        <v>200</v>
      </c>
      <c r="M42" s="123"/>
    </row>
    <row r="43" ht="19.5" customHeight="1">
      <c r="K43" s="129" t="s">
        <v>202</v>
      </c>
      <c r="M43" s="130">
        <f>COUNTIF($I$4:$I$17,"DP")</f>
        <v>0</v>
      </c>
    </row>
    <row r="44" ht="19.5" customHeight="1">
      <c r="K44" s="129" t="s">
        <v>204</v>
      </c>
      <c r="M44" s="130">
        <f>COUNTIFS($I$4:$I$17,"&lt;&gt;DP",$I$4:$I$17,"&lt;&gt;")</f>
        <v>0</v>
      </c>
    </row>
    <row r="45" ht="19.5" customHeight="1">
      <c r="K45" s="131" t="s">
        <v>206</v>
      </c>
      <c r="M45" s="130">
        <f>M43+M44</f>
        <v>0</v>
      </c>
    </row>
    <row r="46" ht="19.5" customHeight="1">
      <c r="K46" s="128" t="s">
        <v>207</v>
      </c>
      <c r="M46" s="133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504</v>
      </c>
      <c r="E49" s="199" t="s">
        <v>505</v>
      </c>
      <c r="I49" s="199" t="s">
        <v>506</v>
      </c>
      <c r="M49" s="199" t="s">
        <v>507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508</v>
      </c>
      <c r="C55" s="201" t="s">
        <v>509</v>
      </c>
      <c r="D55" s="201" t="s">
        <v>510</v>
      </c>
      <c r="E55" s="201" t="s">
        <v>511</v>
      </c>
      <c r="F55" s="201" t="s">
        <v>512</v>
      </c>
      <c r="G55" s="201" t="s">
        <v>513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529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530</v>
      </c>
      <c r="B77" s="214" t="s">
        <v>531</v>
      </c>
      <c r="D77" s="197" t="s">
        <v>532</v>
      </c>
    </row>
    <row r="78" ht="15.75" customHeight="1">
      <c r="A78" s="210" t="s">
        <v>28</v>
      </c>
      <c r="B78" s="210" t="s">
        <v>524</v>
      </c>
      <c r="D78" s="215" t="s">
        <v>195</v>
      </c>
      <c r="E78" s="130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136</v>
      </c>
    </row>
    <row r="79" ht="15.75" customHeight="1">
      <c r="A79" s="210" t="s">
        <v>527</v>
      </c>
      <c r="B79" s="210" t="s">
        <v>524</v>
      </c>
      <c r="D79" s="215" t="s">
        <v>196</v>
      </c>
      <c r="E79" s="130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35</v>
      </c>
      <c r="B80" s="210" t="s">
        <v>524</v>
      </c>
      <c r="D80" s="215" t="s">
        <v>200</v>
      </c>
      <c r="E80" s="130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627</v>
      </c>
    </row>
    <row r="81" ht="15.75" customHeight="1">
      <c r="A81" s="210" t="s">
        <v>533</v>
      </c>
      <c r="B81" s="210" t="s">
        <v>524</v>
      </c>
      <c r="D81" s="215" t="s">
        <v>202</v>
      </c>
      <c r="E81" s="130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118</v>
      </c>
    </row>
    <row r="82" ht="15.75" customHeight="1">
      <c r="A82" s="210" t="s">
        <v>534</v>
      </c>
      <c r="B82" s="210" t="s">
        <v>524</v>
      </c>
      <c r="D82" s="215" t="s">
        <v>204</v>
      </c>
      <c r="E82" s="130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264</v>
      </c>
    </row>
    <row r="83" ht="15.75" customHeight="1">
      <c r="A83" s="210" t="s">
        <v>525</v>
      </c>
      <c r="B83" s="210" t="s">
        <v>535</v>
      </c>
      <c r="D83" s="215" t="s">
        <v>206</v>
      </c>
      <c r="E83" s="130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382</v>
      </c>
    </row>
    <row r="84" ht="15.75" customHeight="1">
      <c r="A84" s="210" t="s">
        <v>78</v>
      </c>
      <c r="B84" s="210" t="s">
        <v>535</v>
      </c>
      <c r="D84" s="215" t="s">
        <v>207</v>
      </c>
      <c r="E84" s="133">
        <f>IFERROR(E81/E80,0)</f>
        <v>0.1881977671</v>
      </c>
    </row>
    <row r="85" ht="15.75" customHeight="1">
      <c r="A85" s="210" t="s">
        <v>43</v>
      </c>
      <c r="B85" s="210" t="s">
        <v>535</v>
      </c>
    </row>
    <row r="86" ht="15.75" customHeight="1">
      <c r="A86" s="210" t="s">
        <v>83</v>
      </c>
      <c r="B86" s="210" t="s">
        <v>535</v>
      </c>
    </row>
    <row r="87" ht="15.75" customHeight="1">
      <c r="A87" s="210" t="s">
        <v>536</v>
      </c>
      <c r="B87" s="210" t="s">
        <v>535</v>
      </c>
    </row>
    <row r="88" ht="15.75" customHeight="1">
      <c r="A88" s="210" t="s">
        <v>57</v>
      </c>
      <c r="B88" s="210" t="s">
        <v>535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4"/>
      <c r="E4" s="19"/>
      <c r="F4" s="113"/>
      <c r="G4" s="159"/>
      <c r="H4" s="58"/>
      <c r="I4" s="17"/>
      <c r="J4" s="17"/>
      <c r="K4" s="17"/>
      <c r="L4" s="17"/>
      <c r="M4" s="17"/>
      <c r="N4" s="30"/>
      <c r="O4" s="30"/>
      <c r="P4" s="33"/>
      <c r="Q4" s="1"/>
      <c r="R4" s="1"/>
    </row>
    <row r="5" ht="15.75" customHeight="1">
      <c r="A5" s="1"/>
      <c r="B5" s="17">
        <v>2.0</v>
      </c>
      <c r="C5" s="69"/>
      <c r="D5" s="64"/>
      <c r="E5" s="19"/>
      <c r="F5" s="113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4"/>
      <c r="E6" s="19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4"/>
      <c r="E7" s="19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4"/>
      <c r="E8" s="19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4"/>
      <c r="E9" s="19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4"/>
      <c r="E10" s="19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4"/>
      <c r="E11" s="19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4"/>
      <c r="E12" s="19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4"/>
      <c r="E13" s="19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69"/>
      <c r="D14" s="64"/>
      <c r="E14" s="19"/>
      <c r="F14" s="17"/>
      <c r="G14" s="159"/>
      <c r="H14" s="58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69"/>
      <c r="D15" s="64"/>
      <c r="E15" s="19"/>
      <c r="F15" s="17"/>
      <c r="G15" s="159"/>
      <c r="H15" s="58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69"/>
      <c r="D16" s="64"/>
      <c r="E16" s="19"/>
      <c r="F16" s="17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69"/>
      <c r="D17" s="64"/>
      <c r="E17" s="19"/>
      <c r="F17" s="17"/>
      <c r="G17" s="159"/>
      <c r="H17" s="5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69"/>
      <c r="D18" s="64"/>
      <c r="E18" s="19"/>
      <c r="F18" s="17"/>
      <c r="G18" s="159"/>
      <c r="H18" s="58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69"/>
      <c r="D19" s="64"/>
      <c r="E19" s="19"/>
      <c r="F19" s="17"/>
      <c r="G19" s="159"/>
      <c r="H19" s="58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69"/>
      <c r="D20" s="64"/>
      <c r="E20" s="19"/>
      <c r="F20" s="17"/>
      <c r="G20" s="159"/>
      <c r="H20" s="58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69"/>
      <c r="D21" s="64"/>
      <c r="E21" s="19"/>
      <c r="F21" s="17"/>
      <c r="G21" s="159"/>
      <c r="H21" s="58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69"/>
      <c r="D22" s="64"/>
      <c r="E22" s="19"/>
      <c r="F22" s="17"/>
      <c r="G22" s="159"/>
      <c r="H22" s="58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69"/>
      <c r="D23" s="64"/>
      <c r="E23" s="19"/>
      <c r="F23" s="17"/>
      <c r="G23" s="159"/>
      <c r="H23" s="58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69"/>
      <c r="D24" s="64"/>
      <c r="E24" s="19"/>
      <c r="F24" s="17"/>
      <c r="G24" s="159"/>
      <c r="H24" s="58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69"/>
      <c r="D25" s="64"/>
      <c r="E25" s="19"/>
      <c r="F25" s="17"/>
      <c r="G25" s="159"/>
      <c r="H25" s="58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69"/>
      <c r="D26" s="64"/>
      <c r="E26" s="19"/>
      <c r="F26" s="17"/>
      <c r="G26" s="159"/>
      <c r="H26" s="58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69"/>
      <c r="D27" s="64"/>
      <c r="E27" s="19"/>
      <c r="F27" s="17"/>
      <c r="G27" s="159"/>
      <c r="H27" s="58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69"/>
      <c r="D28" s="64"/>
      <c r="E28" s="19"/>
      <c r="F28" s="17"/>
      <c r="G28" s="159"/>
      <c r="H28" s="58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69"/>
      <c r="D29" s="64"/>
      <c r="E29" s="19"/>
      <c r="F29" s="17"/>
      <c r="G29" s="159"/>
      <c r="H29" s="58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69"/>
      <c r="D30" s="64"/>
      <c r="E30" s="19"/>
      <c r="F30" s="17"/>
      <c r="G30" s="159"/>
      <c r="H30" s="58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69"/>
      <c r="D31" s="64"/>
      <c r="E31" s="19"/>
      <c r="F31" s="17"/>
      <c r="G31" s="159"/>
      <c r="H31" s="58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69"/>
      <c r="D32" s="64"/>
      <c r="E32" s="19"/>
      <c r="F32" s="17"/>
      <c r="G32" s="159"/>
      <c r="H32" s="58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69"/>
      <c r="D33" s="64"/>
      <c r="E33" s="19"/>
      <c r="F33" s="17"/>
      <c r="G33" s="159"/>
      <c r="H33" s="58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69"/>
      <c r="D34" s="64"/>
      <c r="E34" s="19"/>
      <c r="F34" s="17"/>
      <c r="G34" s="159"/>
      <c r="H34" s="58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4">
        <f t="shared" ref="G35:H35" si="1">SUM(G4:G34)</f>
        <v>0</v>
      </c>
      <c r="H35" s="7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1</v>
      </c>
      <c r="C38" s="73" t="s">
        <v>7</v>
      </c>
      <c r="D38" s="73" t="s">
        <v>118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119</v>
      </c>
      <c r="O38" s="73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121</v>
      </c>
      <c r="D39" s="77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79" t="s">
        <v>124</v>
      </c>
      <c r="O39" s="30"/>
      <c r="P39" s="1"/>
      <c r="Q39" s="1"/>
      <c r="R39" s="1"/>
    </row>
    <row r="40" ht="15.75" customHeight="1">
      <c r="A40" s="1"/>
      <c r="B40" s="82">
        <v>2.0</v>
      </c>
      <c r="C40" s="90"/>
      <c r="D40" s="91"/>
      <c r="E40" s="78"/>
      <c r="F40" s="1"/>
      <c r="G40" s="1"/>
      <c r="H40" s="1"/>
      <c r="I40" s="1"/>
      <c r="J40" s="1"/>
      <c r="K40" s="1"/>
      <c r="L40" s="1"/>
      <c r="M40" s="1"/>
      <c r="N40" s="86" t="s">
        <v>128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7"/>
      <c r="E41" s="78"/>
      <c r="F41" s="1"/>
      <c r="G41" s="1"/>
      <c r="H41" s="1"/>
      <c r="I41" s="1"/>
      <c r="J41" s="1"/>
      <c r="K41" s="1"/>
      <c r="L41" s="1"/>
      <c r="M41" s="1"/>
      <c r="N41" s="88" t="s">
        <v>131</v>
      </c>
      <c r="O41" s="37"/>
      <c r="P41" s="1"/>
      <c r="Q41" s="1"/>
      <c r="R41" s="1"/>
    </row>
    <row r="42" ht="15.75" customHeight="1">
      <c r="A42" s="1"/>
      <c r="B42" s="82">
        <v>4.0</v>
      </c>
      <c r="C42" s="90"/>
      <c r="D42" s="91"/>
      <c r="E42" s="78"/>
      <c r="F42" s="1"/>
      <c r="G42" s="1"/>
      <c r="H42" s="1"/>
      <c r="I42" s="1"/>
      <c r="J42" s="1"/>
      <c r="K42" s="1"/>
      <c r="L42" s="1"/>
      <c r="M42" s="1"/>
      <c r="N42" s="95" t="s">
        <v>137</v>
      </c>
      <c r="O42" s="166"/>
      <c r="P42" s="1"/>
      <c r="Q42" s="1"/>
      <c r="R42" s="1"/>
    </row>
    <row r="43" ht="15.75" customHeight="1">
      <c r="A43" s="1"/>
      <c r="B43" s="75"/>
      <c r="C43" s="76"/>
      <c r="D43" s="77"/>
      <c r="E43" s="78"/>
      <c r="F43" s="1"/>
      <c r="G43" s="1"/>
      <c r="H43" s="1"/>
      <c r="I43" s="1"/>
      <c r="J43" s="1"/>
      <c r="K43" s="1"/>
      <c r="L43" s="1"/>
      <c r="M43" s="1"/>
      <c r="N43" s="96"/>
      <c r="O43" s="1"/>
      <c r="P43" s="1"/>
      <c r="Q43" s="1"/>
      <c r="R43" s="1"/>
    </row>
    <row r="44" ht="15.75" customHeight="1">
      <c r="A44" s="1"/>
      <c r="B44" s="82"/>
      <c r="C44" s="90"/>
      <c r="D44" s="91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7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0"/>
      <c r="D46" s="91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7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0"/>
      <c r="D48" s="91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0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514</v>
      </c>
      <c r="AU1" s="101" t="s">
        <v>515</v>
      </c>
    </row>
    <row r="2">
      <c r="A2" s="206" t="s">
        <v>516</v>
      </c>
      <c r="AU2" s="101">
        <v>1.0</v>
      </c>
    </row>
    <row r="3">
      <c r="AU3" s="101">
        <v>2.0</v>
      </c>
    </row>
    <row r="4">
      <c r="A4" s="207" t="s">
        <v>517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518</v>
      </c>
      <c r="CB4" s="101" t="s">
        <v>519</v>
      </c>
    </row>
    <row r="5">
      <c r="A5" s="208" t="s">
        <v>520</v>
      </c>
      <c r="B5" s="208" t="s">
        <v>3</v>
      </c>
      <c r="C5" s="208" t="s">
        <v>521</v>
      </c>
      <c r="D5" s="208" t="s">
        <v>522</v>
      </c>
      <c r="E5" s="208" t="s">
        <v>523</v>
      </c>
      <c r="X5" s="101" t="s">
        <v>49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120</v>
      </c>
      <c r="Z5" s="101">
        <f t="shared" ref="Z5:Z17" si="1">Y5+(18-ROW())/100000</f>
        <v>120.00013</v>
      </c>
      <c r="AA5" s="101" t="s">
        <v>28</v>
      </c>
      <c r="AB5" s="101" t="s">
        <v>524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1">
        <f t="shared" ref="AD5:AD15" si="2">AC5+(16-ROW())/100000</f>
        <v>31.00011</v>
      </c>
      <c r="AE5" s="101" t="s">
        <v>28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179</v>
      </c>
      <c r="AG5" s="101">
        <f t="shared" ref="AG5:AG9" si="3">AF5+(10-ROW())/100000</f>
        <v>179.00005</v>
      </c>
      <c r="AH5" s="101" t="s">
        <v>525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28</v>
      </c>
      <c r="AL5" s="101" t="s">
        <v>524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>
        <f>IF(COUNTIFS('18'!$AG$28:$AG$33,$AK5,'18'!$AF$28:$AF$33,1)=0,"",SUMIFS('18'!$AC$28:$AC$33,'18'!$AG$28:$AG$33,$AK5,'18'!$AF$28:$AF$33,1)/COUNTIFS('18'!$AG$28:$AG$33,$AK5,'18'!$AF$28:$AF$33,1))</f>
        <v>100</v>
      </c>
      <c r="BN5" s="101">
        <f>IF(COUNTIFS('19'!$AG$33:$AG$38,$AK5,'19'!$AF$33:$AF$38,1)=0,"",SUMIFS('19'!$AC$33:$AC$38,'19'!$AG$33:$AG$38,$AK5,'19'!$AF$33:$AF$38,1)/COUNTIFS('19'!$AG$33:$AG$38,$AK5,'19'!$AF$33:$AF$38,1))</f>
        <v>100</v>
      </c>
      <c r="BO5" s="101">
        <f>IF(COUNTIFS('20'!$AG$28:$AG$33,$AK5,'20'!$AF$28:$AF$33,1)=0,"",SUMIFS('20'!$AC$28:$AC$33,'20'!$AG$28:$AG$33,$AK5,'20'!$AF$28:$AF$33,1)/COUNTIFS('20'!$AG$28:$AG$33,$AK5,'20'!$AF$28:$AF$33,1))</f>
        <v>100</v>
      </c>
      <c r="BP5" s="101">
        <f>IF(COUNTIFS('21'!$AG$32:$AG$37,$AK5,'21'!$AF$32:$AF$37,1)=0,"",SUMIFS('21'!$AC$32:$AC$37,'21'!$AG$32:$AG$37,$AK5,'21'!$AF$32:$AF$37,1)/COUNTIFS('21'!$AG$32:$AG$37,$AK5,'21'!$AF$32:$AF$37,1))</f>
        <v>100</v>
      </c>
      <c r="BQ5" s="101">
        <f>IF(COUNTIFS('22'!$AG$35:$AG$40,$AK5,'22'!$AF$35:$AF$40,1)=0,"",SUMIFS('22'!$AC$35:$AC$40,'22'!$AG$35:$AG$40,$AK5,'22'!$AF$35:$AF$40,1)/COUNTIFS('22'!$AG$35:$AG$40,$AK5,'22'!$AF$35:$AF$40,1))</f>
        <v>100</v>
      </c>
      <c r="BR5" s="101">
        <f>IF(COUNTIFS('23'!$AG$30:$AG$35,$AK5,'23'!$AF$30:$AF$35,1)=0,"",SUMIFS('23'!$AC$30:$AC$35,'23'!$AG$30:$AG$35,$AK5,'23'!$AF$30:$AF$35,1)/COUNTIFS('23'!$AG$30:$AG$35,$AK5,'23'!$AF$30:$AF$35,1))</f>
        <v>100</v>
      </c>
      <c r="BS5" s="101">
        <f>IF(COUNTIFS('24'!$AG$25:$AG$30,$AK5,'24'!$AF$25:$AF$30,1)=0,"",SUMIFS('24'!$AC$25:$AC$30,'24'!$AG$25:$AG$30,$AK5,'24'!$AF$25:$AF$30,1)/COUNTIFS('24'!$AG$25:$AG$30,$AK5,'24'!$AF$25:$AF$30,1))</f>
        <v>100</v>
      </c>
      <c r="BT5" s="101">
        <f>IF(COUNTIFS('25'!$AG$27:$AG$32,$AK5,'25'!$AF$27:$AF$32,1)=0,"",SUMIFS('25'!$AC$27:$AC$32,'25'!$AG$27:$AG$32,$AK5,'25'!$AF$27:$AF$32,1)/COUNTIFS('25'!$AG$27:$AG$32,$AK5,'25'!$AF$27:$AF$32,1))</f>
        <v>100</v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526</v>
      </c>
      <c r="CB5" s="101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120</v>
      </c>
      <c r="D6" s="211">
        <f t="shared" ref="D6:D18" si="9">IF(C6="","",C6/$C$19)</f>
        <v>0.3498542274</v>
      </c>
      <c r="E6" s="211">
        <f t="shared" ref="E6:E18" si="10">IF(D6="","",SUM($D$6:D6))</f>
        <v>0.3498542274</v>
      </c>
      <c r="X6" s="101" t="s">
        <v>21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118</v>
      </c>
      <c r="Z6" s="101">
        <f t="shared" si="1"/>
        <v>118.00012</v>
      </c>
      <c r="AA6" s="101" t="s">
        <v>527</v>
      </c>
      <c r="AB6" s="101" t="s">
        <v>524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527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78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527</v>
      </c>
      <c r="AL6" s="101" t="s">
        <v>524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IF(COUNTIFS('18'!$AG$28:$AG$33,$AK6,'18'!$AF$28:$AF$33,1)=0,"",SUMIFS('18'!$AC$28:$AC$33,'18'!$AG$28:$AG$33,$AK6,'18'!$AF$28:$AF$33,1)/COUNTIFS('18'!$AG$28:$AG$33,$AK6,'18'!$AF$28:$AF$33,1))</f>
        <v/>
      </c>
      <c r="BN6" s="101" t="str">
        <f>IF(COUNTIFS('19'!$AG$33:$AG$38,$AK6,'19'!$AF$33:$AF$38,1)=0,"",SUMIFS('19'!$AC$33:$AC$38,'19'!$AG$33:$AG$38,$AK6,'19'!$AF$33:$AF$38,1)/COUNTIFS('19'!$AG$33:$AG$38,$AK6,'19'!$AF$33:$AF$38,1))</f>
        <v/>
      </c>
      <c r="BO6" s="101" t="str">
        <f>IF(COUNTIFS('20'!$AG$28:$AG$33,$AK6,'20'!$AF$28:$AF$33,1)=0,"",SUMIFS('20'!$AC$28:$AC$33,'20'!$AG$28:$AG$33,$AK6,'20'!$AF$28:$AF$33,1)/COUNTIFS('20'!$AG$28:$AG$33,$AK6,'20'!$AF$28:$AF$33,1))</f>
        <v/>
      </c>
      <c r="BP6" s="101" t="str">
        <f>IF(COUNTIFS('21'!$AG$32:$AG$37,$AK6,'21'!$AF$32:$AF$37,1)=0,"",SUMIFS('21'!$AC$32:$AC$37,'21'!$AG$32:$AG$37,$AK6,'21'!$AF$32:$AF$37,1)/COUNTIFS('21'!$AG$32:$AG$37,$AK6,'21'!$AF$32:$AF$37,1))</f>
        <v/>
      </c>
      <c r="BQ6" s="101" t="str">
        <f>IF(COUNTIFS('22'!$AG$35:$AG$40,$AK6,'22'!$AF$35:$AF$40,1)=0,"",SUMIFS('22'!$AC$35:$AC$40,'22'!$AG$35:$AG$40,$AK6,'22'!$AF$35:$AF$40,1)/COUNTIFS('22'!$AG$35:$AG$40,$AK6,'22'!$AF$35:$AF$40,1))</f>
        <v/>
      </c>
      <c r="BR6" s="101" t="str">
        <f>IF(COUNTIFS('23'!$AG$30:$AG$35,$AK6,'23'!$AF$30:$AF$35,1)=0,"",SUMIFS('23'!$AC$30:$AC$35,'23'!$AG$30:$AG$35,$AK6,'23'!$AF$30:$AF$35,1)/COUNTIFS('23'!$AG$30:$AG$35,$AK6,'23'!$AF$30:$AF$35,1))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IF(COUNTIFS('25'!$AG$27:$AG$32,$AK6,'25'!$AF$27:$AF$32,1)=0,"",SUMIFS('25'!$AC$27:$AC$32,'25'!$AG$27:$AG$32,$AK6,'25'!$AF$27:$AF$32,1)/COUNTIFS('25'!$AG$27:$AG$32,$AK6,'25'!$AF$27:$AF$32,1))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528</v>
      </c>
      <c r="CB6" s="101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118</v>
      </c>
      <c r="D7" s="211">
        <f t="shared" si="9"/>
        <v>0.3440233236</v>
      </c>
      <c r="E7" s="211">
        <f t="shared" si="10"/>
        <v>0.693877551</v>
      </c>
      <c r="X7" s="101" t="s">
        <v>37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19</v>
      </c>
      <c r="Z7" s="101">
        <f t="shared" si="1"/>
        <v>19.00011</v>
      </c>
      <c r="AA7" s="101" t="s">
        <v>35</v>
      </c>
      <c r="AB7" s="101" t="s">
        <v>524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25</v>
      </c>
      <c r="AD7" s="101">
        <f t="shared" si="2"/>
        <v>25.00009</v>
      </c>
      <c r="AE7" s="101" t="s">
        <v>35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187</v>
      </c>
      <c r="AG7" s="101">
        <f t="shared" si="3"/>
        <v>187.00003</v>
      </c>
      <c r="AH7" s="101" t="s">
        <v>43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103</v>
      </c>
      <c r="AJ7" s="101">
        <f t="shared" si="4"/>
        <v>103.00004</v>
      </c>
      <c r="AK7" s="101" t="s">
        <v>35</v>
      </c>
      <c r="AL7" s="101" t="s">
        <v>524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1">
        <f t="shared" si="5"/>
        <v>93.75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>
        <f>IF(COUNTIFS('14'!$AG$25:$AG$30,$AK7,'14'!$AF$25:$AF$30,1)=0,"",SUMIFS('14'!$AC$25:$AC$30,'14'!$AG$25:$AG$30,$AK7,'14'!$AF$25:$AF$30,1)/COUNTIFS('14'!$AG$25:$AG$30,$AK7,'14'!$AF$25:$AF$30,1))</f>
        <v>92</v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>
        <f>IF(COUNTIFS('18'!$AG$28:$AG$33,$AK7,'18'!$AF$28:$AF$33,1)=0,"",SUMIFS('18'!$AC$28:$AC$33,'18'!$AG$28:$AG$33,$AK7,'18'!$AF$28:$AF$33,1)/COUNTIFS('18'!$AG$28:$AG$33,$AK7,'18'!$AF$28:$AF$33,1))</f>
        <v>97</v>
      </c>
      <c r="BN7" s="101">
        <f>IF(COUNTIFS('19'!$AG$33:$AG$38,$AK7,'19'!$AF$33:$AF$38,1)=0,"",SUMIFS('19'!$AC$33:$AC$38,'19'!$AG$33:$AG$38,$AK7,'19'!$AF$33:$AF$38,1)/COUNTIFS('19'!$AG$33:$AG$38,$AK7,'19'!$AF$33:$AF$38,1))</f>
        <v>97</v>
      </c>
      <c r="BO7" s="101">
        <f>IF(COUNTIFS('20'!$AG$28:$AG$33,$AK7,'20'!$AF$28:$AF$33,1)=0,"",SUMIFS('20'!$AC$28:$AC$33,'20'!$AG$28:$AG$33,$AK7,'20'!$AF$28:$AF$33,1)/COUNTIFS('20'!$AG$28:$AG$33,$AK7,'20'!$AF$28:$AF$33,1))</f>
        <v>100</v>
      </c>
      <c r="BP7" s="101">
        <f>IF(COUNTIFS('21'!$AG$32:$AG$37,$AK7,'21'!$AF$32:$AF$37,1)=0,"",SUMIFS('21'!$AC$32:$AC$37,'21'!$AG$32:$AG$37,$AK7,'21'!$AF$32:$AF$37,1)/COUNTIFS('21'!$AG$32:$AG$37,$AK7,'21'!$AF$32:$AF$37,1))</f>
        <v>85</v>
      </c>
      <c r="BQ7" s="101">
        <f>IF(COUNTIFS('22'!$AG$35:$AG$40,$AK7,'22'!$AF$35:$AF$40,1)=0,"",SUMIFS('22'!$AC$35:$AC$40,'22'!$AG$35:$AG$40,$AK7,'22'!$AF$35:$AF$40,1)/COUNTIFS('22'!$AG$35:$AG$40,$AK7,'22'!$AF$35:$AF$40,1))</f>
        <v>80</v>
      </c>
      <c r="BR7" s="101">
        <f>IF(COUNTIFS('23'!$AG$30:$AG$35,$AK7,'23'!$AF$30:$AF$35,1)=0,"",SUMIFS('23'!$AC$30:$AC$35,'23'!$AG$30:$AG$35,$AK7,'23'!$AF$30:$AF$35,1)/COUNTIFS('23'!$AG$30:$AG$35,$AK7,'23'!$AF$30:$AF$35,1))</f>
        <v>100</v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>
        <f>IF(COUNTIFS('25'!$AG$27:$AG$32,$AK7,'25'!$AF$27:$AF$32,1)=0,"",SUMIFS('25'!$AC$27:$AC$32,'25'!$AG$27:$AG$32,$AK7,'25'!$AF$27:$AF$32,1)/COUNTIFS('25'!$AG$27:$AG$32,$AK7,'25'!$AF$27:$AF$32,1))</f>
        <v>92</v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537</v>
      </c>
      <c r="CB7" s="101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25</v>
      </c>
      <c r="D8" s="211">
        <f t="shared" si="9"/>
        <v>0.07288629738</v>
      </c>
      <c r="E8" s="211">
        <f t="shared" si="10"/>
        <v>0.7667638484</v>
      </c>
      <c r="X8" s="101" t="s">
        <v>82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1">
        <f t="shared" si="1"/>
        <v>19.0001</v>
      </c>
      <c r="AA8" s="101" t="s">
        <v>533</v>
      </c>
      <c r="AB8" s="101" t="s">
        <v>524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533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83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533</v>
      </c>
      <c r="AL8" s="101" t="s">
        <v>524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IF(COUNTIFS('18'!$AG$28:$AG$33,$AK8,'18'!$AF$28:$AF$33,1)=0,"",SUMIFS('18'!$AC$28:$AC$33,'18'!$AG$28:$AG$33,$AK8,'18'!$AF$28:$AF$33,1)/COUNTIFS('18'!$AG$28:$AG$33,$AK8,'18'!$AF$28:$AF$33,1))</f>
        <v/>
      </c>
      <c r="BN8" s="101" t="str">
        <f>IF(COUNTIFS('19'!$AG$33:$AG$38,$AK8,'19'!$AF$33:$AF$38,1)=0,"",SUMIFS('19'!$AC$33:$AC$38,'19'!$AG$33:$AG$38,$AK8,'19'!$AF$33:$AF$38,1)/COUNTIFS('19'!$AG$33:$AG$38,$AK8,'19'!$AF$33:$AF$38,1))</f>
        <v/>
      </c>
      <c r="BO8" s="101" t="str">
        <f>IF(COUNTIFS('20'!$AG$28:$AG$33,$AK8,'20'!$AF$28:$AF$33,1)=0,"",SUMIFS('20'!$AC$28:$AC$33,'20'!$AG$28:$AG$33,$AK8,'20'!$AF$28:$AF$33,1)/COUNTIFS('20'!$AG$28:$AG$33,$AK8,'20'!$AF$28:$AF$33,1))</f>
        <v/>
      </c>
      <c r="BP8" s="101" t="str">
        <f>IF(COUNTIFS('21'!$AG$32:$AG$37,$AK8,'21'!$AF$32:$AF$37,1)=0,"",SUMIFS('21'!$AC$32:$AC$37,'21'!$AG$32:$AG$37,$AK8,'21'!$AF$32:$AF$37,1)/COUNTIFS('21'!$AG$32:$AG$37,$AK8,'21'!$AF$32:$AF$37,1))</f>
        <v/>
      </c>
      <c r="BQ8" s="101" t="str">
        <f>IF(COUNTIFS('22'!$AG$35:$AG$40,$AK8,'22'!$AF$35:$AF$40,1)=0,"",SUMIFS('22'!$AC$35:$AC$40,'22'!$AG$35:$AG$40,$AK8,'22'!$AF$35:$AF$40,1)/COUNTIFS('22'!$AG$35:$AG$40,$AK8,'22'!$AF$35:$AF$40,1))</f>
        <v/>
      </c>
      <c r="BR8" s="101" t="str">
        <f>IF(COUNTIFS('23'!$AG$30:$AG$35,$AK8,'23'!$AF$30:$AF$35,1)=0,"",SUMIFS('23'!$AC$30:$AC$35,'23'!$AG$30:$AG$35,$AK8,'23'!$AF$30:$AF$35,1)/COUNTIFS('23'!$AG$30:$AG$35,$AK8,'23'!$AF$30:$AF$35,1))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IF(COUNTIFS('25'!$AG$27:$AG$32,$AK8,'25'!$AF$27:$AF$32,1)=0,"",SUMIFS('25'!$AC$27:$AC$32,'25'!$AG$27:$AG$32,$AK8,'25'!$AF$27:$AF$32,1)/COUNTIFS('25'!$AG$27:$AG$32,$AK8,'25'!$AF$27:$AF$32,1))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538</v>
      </c>
      <c r="CB8" s="101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19</v>
      </c>
      <c r="D9" s="211">
        <f t="shared" si="9"/>
        <v>0.05539358601</v>
      </c>
      <c r="E9" s="211">
        <f t="shared" si="10"/>
        <v>0.8221574344</v>
      </c>
      <c r="X9" s="101" t="s">
        <v>277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1">
        <f t="shared" si="1"/>
        <v>9.00009</v>
      </c>
      <c r="AA9" s="101" t="s">
        <v>534</v>
      </c>
      <c r="AB9" s="101" t="s">
        <v>524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534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536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534</v>
      </c>
      <c r="AL9" s="101" t="s">
        <v>524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IF(COUNTIFS('18'!$AG$28:$AG$33,$AK9,'18'!$AF$28:$AF$33,1)=0,"",SUMIFS('18'!$AC$28:$AC$33,'18'!$AG$28:$AG$33,$AK9,'18'!$AF$28:$AF$33,1)/COUNTIFS('18'!$AG$28:$AG$33,$AK9,'18'!$AF$28:$AF$33,1))</f>
        <v/>
      </c>
      <c r="BN9" s="101" t="str">
        <f>IF(COUNTIFS('19'!$AG$33:$AG$38,$AK9,'19'!$AF$33:$AF$38,1)=0,"",SUMIFS('19'!$AC$33:$AC$38,'19'!$AG$33:$AG$38,$AK9,'19'!$AF$33:$AF$38,1)/COUNTIFS('19'!$AG$33:$AG$38,$AK9,'19'!$AF$33:$AF$38,1))</f>
        <v/>
      </c>
      <c r="BO9" s="101" t="str">
        <f>IF(COUNTIFS('20'!$AG$28:$AG$33,$AK9,'20'!$AF$28:$AF$33,1)=0,"",SUMIFS('20'!$AC$28:$AC$33,'20'!$AG$28:$AG$33,$AK9,'20'!$AF$28:$AF$33,1)/COUNTIFS('20'!$AG$28:$AG$33,$AK9,'20'!$AF$28:$AF$33,1))</f>
        <v/>
      </c>
      <c r="BP9" s="101" t="str">
        <f>IF(COUNTIFS('21'!$AG$32:$AG$37,$AK9,'21'!$AF$32:$AF$37,1)=0,"",SUMIFS('21'!$AC$32:$AC$37,'21'!$AG$32:$AG$37,$AK9,'21'!$AF$32:$AF$37,1)/COUNTIFS('21'!$AG$32:$AG$37,$AK9,'21'!$AF$32:$AF$37,1))</f>
        <v/>
      </c>
      <c r="BQ9" s="101" t="str">
        <f>IF(COUNTIFS('22'!$AG$35:$AG$40,$AK9,'22'!$AF$35:$AF$40,1)=0,"",SUMIFS('22'!$AC$35:$AC$40,'22'!$AG$35:$AG$40,$AK9,'22'!$AF$35:$AF$40,1)/COUNTIFS('22'!$AG$35:$AG$40,$AK9,'22'!$AF$35:$AF$40,1))</f>
        <v/>
      </c>
      <c r="BR9" s="101" t="str">
        <f>IF(COUNTIFS('23'!$AG$30:$AG$35,$AK9,'23'!$AF$30:$AF$35,1)=0,"",SUMIFS('23'!$AC$30:$AC$35,'23'!$AG$30:$AG$35,$AK9,'23'!$AF$30:$AF$35,1)/COUNTIFS('23'!$AG$30:$AG$35,$AK9,'23'!$AF$30:$AF$35,1))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IF(COUNTIFS('25'!$AG$27:$AG$32,$AK9,'25'!$AF$27:$AF$32,1)=0,"",SUMIFS('25'!$AC$27:$AC$32,'25'!$AG$27:$AG$32,$AK9,'25'!$AF$27:$AF$32,1)/COUNTIFS('25'!$AG$27:$AG$32,$AK9,'25'!$AF$27:$AF$32,1))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0.05539358601</v>
      </c>
      <c r="E10" s="211">
        <f t="shared" si="10"/>
        <v>0.8775510204</v>
      </c>
      <c r="X10" s="101" t="s">
        <v>41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25</v>
      </c>
      <c r="Z10" s="101">
        <f t="shared" si="1"/>
        <v>25.00008</v>
      </c>
      <c r="AA10" s="101" t="s">
        <v>525</v>
      </c>
      <c r="AB10" s="101" t="s">
        <v>535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57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92</v>
      </c>
      <c r="AJ10" s="101">
        <f t="shared" si="4"/>
        <v>92.00001</v>
      </c>
      <c r="AK10" s="101" t="s">
        <v>525</v>
      </c>
      <c r="AL10" s="101" t="s">
        <v>535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IF(COUNTIFS('18'!$AG$28:$AG$33,$AK10,'18'!$AF$28:$AF$33,1)=0,"",SUMIFS('18'!$AC$28:$AC$33,'18'!$AG$28:$AG$33,$AK10,'18'!$AF$28:$AF$33,1)/COUNTIFS('18'!$AG$28:$AG$33,$AK10,'18'!$AF$28:$AF$33,1))</f>
        <v/>
      </c>
      <c r="BN10" s="101" t="str">
        <f>IF(COUNTIFS('19'!$AG$33:$AG$38,$AK10,'19'!$AF$33:$AF$38,1)=0,"",SUMIFS('19'!$AC$33:$AC$38,'19'!$AG$33:$AG$38,$AK10,'19'!$AF$33:$AF$38,1)/COUNTIFS('19'!$AG$33:$AG$38,$AK10,'19'!$AF$33:$AF$38,1))</f>
        <v/>
      </c>
      <c r="BO10" s="101" t="str">
        <f>IF(COUNTIFS('20'!$AG$28:$AG$33,$AK10,'20'!$AF$28:$AF$33,1)=0,"",SUMIFS('20'!$AC$28:$AC$33,'20'!$AG$28:$AG$33,$AK10,'20'!$AF$28:$AF$33,1)/COUNTIFS('20'!$AG$28:$AG$33,$AK10,'20'!$AF$28:$AF$33,1))</f>
        <v/>
      </c>
      <c r="BP10" s="101" t="str">
        <f>IF(COUNTIFS('21'!$AG$32:$AG$37,$AK10,'21'!$AF$32:$AF$37,1)=0,"",SUMIFS('21'!$AC$32:$AC$37,'21'!$AG$32:$AG$37,$AK10,'21'!$AF$32:$AF$37,1)/COUNTIFS('21'!$AG$32:$AG$37,$AK10,'21'!$AF$32:$AF$37,1))</f>
        <v/>
      </c>
      <c r="BQ10" s="101" t="str">
        <f>IF(COUNTIFS('22'!$AG$35:$AG$40,$AK10,'22'!$AF$35:$AF$40,1)=0,"",SUMIFS('22'!$AC$35:$AC$40,'22'!$AG$35:$AG$40,$AK10,'22'!$AF$35:$AF$40,1)/COUNTIFS('22'!$AG$35:$AG$40,$AK10,'22'!$AF$35:$AF$40,1))</f>
        <v/>
      </c>
      <c r="BR10" s="101" t="str">
        <f>IF(COUNTIFS('23'!$AG$30:$AG$35,$AK10,'23'!$AF$30:$AF$35,1)=0,"",SUMIFS('23'!$AC$30:$AC$35,'23'!$AG$30:$AG$35,$AK10,'23'!$AF$30:$AF$35,1)/COUNTIFS('23'!$AG$30:$AG$35,$AK10,'23'!$AF$30:$AF$35,1))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IF(COUNTIFS('25'!$AG$27:$AG$32,$AK10,'25'!$AF$27:$AF$32,1)=0,"",SUMIFS('25'!$AC$27:$AC$32,'25'!$AG$27:$AG$32,$AK10,'25'!$AF$27:$AF$32,1)/COUNTIFS('25'!$AG$27:$AG$32,$AK10,'25'!$AF$27:$AF$32,1))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11</v>
      </c>
      <c r="D11" s="211">
        <f t="shared" si="9"/>
        <v>0.03206997085</v>
      </c>
      <c r="E11" s="211">
        <f t="shared" si="10"/>
        <v>0.9096209913</v>
      </c>
      <c r="X11" s="101" t="s">
        <v>251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1">
        <f t="shared" si="1"/>
        <v>6.00007</v>
      </c>
      <c r="AA11" s="101" t="s">
        <v>78</v>
      </c>
      <c r="AB11" s="101" t="s">
        <v>535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78</v>
      </c>
      <c r="AL11" s="101" t="s">
        <v>535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IF(COUNTIFS('18'!$AG$28:$AG$33,$AK11,'18'!$AF$28:$AF$33,1)=0,"",SUMIFS('18'!$AC$28:$AC$33,'18'!$AG$28:$AG$33,$AK11,'18'!$AF$28:$AF$33,1)/COUNTIFS('18'!$AG$28:$AG$33,$AK11,'18'!$AF$28:$AF$33,1))</f>
        <v/>
      </c>
      <c r="BN11" s="101" t="str">
        <f>IF(COUNTIFS('19'!$AG$33:$AG$38,$AK11,'19'!$AF$33:$AF$38,1)=0,"",SUMIFS('19'!$AC$33:$AC$38,'19'!$AG$33:$AG$38,$AK11,'19'!$AF$33:$AF$38,1)/COUNTIFS('19'!$AG$33:$AG$38,$AK11,'19'!$AF$33:$AF$38,1))</f>
        <v/>
      </c>
      <c r="BO11" s="101" t="str">
        <f>IF(COUNTIFS('20'!$AG$28:$AG$33,$AK11,'20'!$AF$28:$AF$33,1)=0,"",SUMIFS('20'!$AC$28:$AC$33,'20'!$AG$28:$AG$33,$AK11,'20'!$AF$28:$AF$33,1)/COUNTIFS('20'!$AG$28:$AG$33,$AK11,'20'!$AF$28:$AF$33,1))</f>
        <v/>
      </c>
      <c r="BP11" s="101" t="str">
        <f>IF(COUNTIFS('21'!$AG$32:$AG$37,$AK11,'21'!$AF$32:$AF$37,1)=0,"",SUMIFS('21'!$AC$32:$AC$37,'21'!$AG$32:$AG$37,$AK11,'21'!$AF$32:$AF$37,1)/COUNTIFS('21'!$AG$32:$AG$37,$AK11,'21'!$AF$32:$AF$37,1))</f>
        <v/>
      </c>
      <c r="BQ11" s="101" t="str">
        <f>IF(COUNTIFS('22'!$AG$35:$AG$40,$AK11,'22'!$AF$35:$AF$40,1)=0,"",SUMIFS('22'!$AC$35:$AC$40,'22'!$AG$35:$AG$40,$AK11,'22'!$AF$35:$AF$40,1)/COUNTIFS('22'!$AG$35:$AG$40,$AK11,'22'!$AF$35:$AF$40,1))</f>
        <v/>
      </c>
      <c r="BR11" s="101" t="str">
        <f>IF(COUNTIFS('23'!$AG$30:$AG$35,$AK11,'23'!$AF$30:$AF$35,1)=0,"",SUMIFS('23'!$AC$30:$AC$35,'23'!$AG$30:$AG$35,$AK11,'23'!$AF$30:$AF$35,1)/COUNTIFS('23'!$AG$30:$AG$35,$AK11,'23'!$AF$30:$AF$35,1))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IF(COUNTIFS('25'!$AG$27:$AG$32,$AK11,'25'!$AF$27:$AF$32,1)=0,"",SUMIFS('25'!$AC$27:$AC$32,'25'!$AG$27:$AG$32,$AK11,'25'!$AF$27:$AF$32,1)/COUNTIFS('25'!$AG$27:$AG$32,$AK11,'25'!$AF$27:$AF$32,1))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0.02915451895</v>
      </c>
      <c r="E12" s="211">
        <f t="shared" si="10"/>
        <v>0.9387755102</v>
      </c>
      <c r="X12" s="101" t="s">
        <v>54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43</v>
      </c>
      <c r="AB12" s="101" t="s">
        <v>535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27</v>
      </c>
      <c r="AD12" s="101">
        <f t="shared" si="2"/>
        <v>27.00004</v>
      </c>
      <c r="AK12" s="101" t="s">
        <v>43</v>
      </c>
      <c r="AL12" s="101" t="s">
        <v>535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1">
        <f t="shared" si="5"/>
        <v>99.42307692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>
        <f>IF(COUNTIFS('14'!$AG$25:$AG$30,$AK12,'14'!$AF$25:$AF$30,1)=0,"",SUMIFS('14'!$AC$25:$AC$30,'14'!$AG$25:$AG$30,$AK12,'14'!$AF$25:$AF$30,1)/COUNTIFS('14'!$AG$25:$AG$30,$AK12,'14'!$AF$25:$AF$30,1))</f>
        <v>93</v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>
        <f>IF(COUNTIFS('18'!$AG$28:$AG$33,$AK12,'18'!$AF$28:$AF$33,1)=0,"",SUMIFS('18'!$AC$28:$AC$33,'18'!$AG$28:$AG$33,$AK12,'18'!$AF$28:$AF$33,1)/COUNTIFS('18'!$AG$28:$AG$33,$AK12,'18'!$AF$28:$AF$33,1))</f>
        <v>100</v>
      </c>
      <c r="BN12" s="101">
        <f>IF(COUNTIFS('19'!$AG$33:$AG$38,$AK12,'19'!$AF$33:$AF$38,1)=0,"",SUMIFS('19'!$AC$33:$AC$38,'19'!$AG$33:$AG$38,$AK12,'19'!$AF$33:$AF$38,1)/COUNTIFS('19'!$AG$33:$AG$38,$AK12,'19'!$AF$33:$AF$38,1))</f>
        <v>100</v>
      </c>
      <c r="BO12" s="101">
        <f>IF(COUNTIFS('20'!$AG$28:$AG$33,$AK12,'20'!$AF$28:$AF$33,1)=0,"",SUMIFS('20'!$AC$28:$AC$33,'20'!$AG$28:$AG$33,$AK12,'20'!$AF$28:$AF$33,1)/COUNTIFS('20'!$AG$28:$AG$33,$AK12,'20'!$AF$28:$AF$33,1))</f>
        <v>100</v>
      </c>
      <c r="BP12" s="101">
        <f>IF(COUNTIFS('21'!$AG$32:$AG$37,$AK12,'21'!$AF$32:$AF$37,1)=0,"",SUMIFS('21'!$AC$32:$AC$37,'21'!$AG$32:$AG$37,$AK12,'21'!$AF$32:$AF$37,1)/COUNTIFS('21'!$AG$32:$AG$37,$AK12,'21'!$AF$32:$AF$37,1))</f>
        <v>100</v>
      </c>
      <c r="BQ12" s="101">
        <f>IF(COUNTIFS('22'!$AG$35:$AG$40,$AK12,'22'!$AF$35:$AF$40,1)=0,"",SUMIFS('22'!$AC$35:$AC$40,'22'!$AG$35:$AG$40,$AK12,'22'!$AF$35:$AF$40,1)/COUNTIFS('22'!$AG$35:$AG$40,$AK12,'22'!$AF$35:$AF$40,1))</f>
        <v>100</v>
      </c>
      <c r="BR12" s="101">
        <f>IF(COUNTIFS('23'!$AG$30:$AG$35,$AK12,'23'!$AF$30:$AF$35,1)=0,"",SUMIFS('23'!$AC$30:$AC$35,'23'!$AG$30:$AG$35,$AK12,'23'!$AF$30:$AF$35,1)/COUNTIFS('23'!$AG$30:$AG$35,$AK12,'23'!$AF$30:$AF$35,1))</f>
        <v>100</v>
      </c>
      <c r="BS12" s="101">
        <f>IF(COUNTIFS('24'!$AG$25:$AG$30,$AK12,'24'!$AF$25:$AF$30,1)=0,"",SUMIFS('24'!$AC$25:$AC$30,'24'!$AG$25:$AG$30,$AK12,'24'!$AF$25:$AF$30,1)/COUNTIFS('24'!$AG$25:$AG$30,$AK12,'24'!$AF$25:$AF$30,1))</f>
        <v>100</v>
      </c>
      <c r="BT12" s="101" t="str">
        <f>IF(COUNTIFS('25'!$AG$27:$AG$32,$AK12,'25'!$AF$27:$AF$32,1)=0,"",SUMIFS('25'!$AC$27:$AC$32,'25'!$AG$27:$AG$32,$AK12,'25'!$AF$27:$AF$32,1)/COUNTIFS('25'!$AG$27:$AG$32,$AK12,'25'!$AF$27:$AF$32,1))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0.02623906706</v>
      </c>
      <c r="E13" s="211">
        <f t="shared" si="10"/>
        <v>0.9650145773</v>
      </c>
      <c r="X13" s="101" t="s">
        <v>280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1">
        <f t="shared" si="1"/>
        <v>4.00005</v>
      </c>
      <c r="AA13" s="101" t="s">
        <v>83</v>
      </c>
      <c r="AB13" s="101" t="s">
        <v>535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83</v>
      </c>
      <c r="AL13" s="101" t="s">
        <v>535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IF(COUNTIFS('18'!$AG$28:$AG$33,$AK13,'18'!$AF$28:$AF$33,1)=0,"",SUMIFS('18'!$AC$28:$AC$33,'18'!$AG$28:$AG$33,$AK13,'18'!$AF$28:$AF$33,1)/COUNTIFS('18'!$AG$28:$AG$33,$AK13,'18'!$AF$28:$AF$33,1))</f>
        <v/>
      </c>
      <c r="BN13" s="101" t="str">
        <f>IF(COUNTIFS('19'!$AG$33:$AG$38,$AK13,'19'!$AF$33:$AF$38,1)=0,"",SUMIFS('19'!$AC$33:$AC$38,'19'!$AG$33:$AG$38,$AK13,'19'!$AF$33:$AF$38,1)/COUNTIFS('19'!$AG$33:$AG$38,$AK13,'19'!$AF$33:$AF$38,1))</f>
        <v/>
      </c>
      <c r="BO13" s="101" t="str">
        <f>IF(COUNTIFS('20'!$AG$28:$AG$33,$AK13,'20'!$AF$28:$AF$33,1)=0,"",SUMIFS('20'!$AC$28:$AC$33,'20'!$AG$28:$AG$33,$AK13,'20'!$AF$28:$AF$33,1)/COUNTIFS('20'!$AG$28:$AG$33,$AK13,'20'!$AF$28:$AF$33,1))</f>
        <v/>
      </c>
      <c r="BP13" s="101" t="str">
        <f>IF(COUNTIFS('21'!$AG$32:$AG$37,$AK13,'21'!$AF$32:$AF$37,1)=0,"",SUMIFS('21'!$AC$32:$AC$37,'21'!$AG$32:$AG$37,$AK13,'21'!$AF$32:$AF$37,1)/COUNTIFS('21'!$AG$32:$AG$37,$AK13,'21'!$AF$32:$AF$37,1))</f>
        <v/>
      </c>
      <c r="BQ13" s="101" t="str">
        <f>IF(COUNTIFS('22'!$AG$35:$AG$40,$AK13,'22'!$AF$35:$AF$40,1)=0,"",SUMIFS('22'!$AC$35:$AC$40,'22'!$AG$35:$AG$40,$AK13,'22'!$AF$35:$AF$40,1)/COUNTIFS('22'!$AG$35:$AG$40,$AK13,'22'!$AF$35:$AF$40,1))</f>
        <v/>
      </c>
      <c r="BR13" s="101" t="str">
        <f>IF(COUNTIFS('23'!$AG$30:$AG$35,$AK13,'23'!$AF$30:$AF$35,1)=0,"",SUMIFS('23'!$AC$30:$AC$35,'23'!$AG$30:$AG$35,$AK13,'23'!$AF$30:$AF$35,1)/COUNTIFS('23'!$AG$30:$AG$35,$AK13,'23'!$AF$30:$AF$35,1))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IF(COUNTIFS('25'!$AG$27:$AG$32,$AK13,'25'!$AF$27:$AF$32,1)=0,"",SUMIFS('25'!$AC$27:$AC$32,'25'!$AG$27:$AG$32,$AK13,'25'!$AF$27:$AF$32,1)/COUNTIFS('25'!$AG$27:$AG$32,$AK13,'25'!$AF$27:$AF$32,1))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0.01749271137</v>
      </c>
      <c r="E14" s="211">
        <f t="shared" si="10"/>
        <v>0.9825072886</v>
      </c>
      <c r="X14" s="101" t="s">
        <v>29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1">
        <f t="shared" si="1"/>
        <v>10.00004</v>
      </c>
      <c r="AA14" s="101" t="s">
        <v>536</v>
      </c>
      <c r="AB14" s="101" t="s">
        <v>535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536</v>
      </c>
      <c r="AL14" s="101" t="s">
        <v>535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IF(COUNTIFS('18'!$AG$28:$AG$33,$AK14,'18'!$AF$28:$AF$33,1)=0,"",SUMIFS('18'!$AC$28:$AC$33,'18'!$AG$28:$AG$33,$AK14,'18'!$AF$28:$AF$33,1)/COUNTIFS('18'!$AG$28:$AG$33,$AK14,'18'!$AF$28:$AF$33,1))</f>
        <v/>
      </c>
      <c r="BN14" s="101" t="str">
        <f>IF(COUNTIFS('19'!$AG$33:$AG$38,$AK14,'19'!$AF$33:$AF$38,1)=0,"",SUMIFS('19'!$AC$33:$AC$38,'19'!$AG$33:$AG$38,$AK14,'19'!$AF$33:$AF$38,1)/COUNTIFS('19'!$AG$33:$AG$38,$AK14,'19'!$AF$33:$AF$38,1))</f>
        <v/>
      </c>
      <c r="BO14" s="101" t="str">
        <f>IF(COUNTIFS('20'!$AG$28:$AG$33,$AK14,'20'!$AF$28:$AF$33,1)=0,"",SUMIFS('20'!$AC$28:$AC$33,'20'!$AG$28:$AG$33,$AK14,'20'!$AF$28:$AF$33,1)/COUNTIFS('20'!$AG$28:$AG$33,$AK14,'20'!$AF$28:$AF$33,1))</f>
        <v/>
      </c>
      <c r="BP14" s="101" t="str">
        <f>IF(COUNTIFS('21'!$AG$32:$AG$37,$AK14,'21'!$AF$32:$AF$37,1)=0,"",SUMIFS('21'!$AC$32:$AC$37,'21'!$AG$32:$AG$37,$AK14,'21'!$AF$32:$AF$37,1)/COUNTIFS('21'!$AG$32:$AG$37,$AK14,'21'!$AF$32:$AF$37,1))</f>
        <v/>
      </c>
      <c r="BQ14" s="101" t="str">
        <f>IF(COUNTIFS('22'!$AG$35:$AG$40,$AK14,'22'!$AF$35:$AF$40,1)=0,"",SUMIFS('22'!$AC$35:$AC$40,'22'!$AG$35:$AG$40,$AK14,'22'!$AF$35:$AF$40,1)/COUNTIFS('22'!$AG$35:$AG$40,$AK14,'22'!$AF$35:$AF$40,1))</f>
        <v/>
      </c>
      <c r="BR14" s="101" t="str">
        <f>IF(COUNTIFS('23'!$AG$30:$AG$35,$AK14,'23'!$AF$30:$AF$35,1)=0,"",SUMIFS('23'!$AC$30:$AC$35,'23'!$AG$30:$AG$35,$AK14,'23'!$AF$30:$AF$35,1)/COUNTIFS('23'!$AG$30:$AG$35,$AK14,'23'!$AF$30:$AF$35,1))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IF(COUNTIFS('25'!$AG$27:$AG$32,$AK14,'25'!$AF$27:$AF$32,1)=0,"",SUMIFS('25'!$AC$27:$AC$32,'25'!$AG$27:$AG$32,$AK14,'25'!$AF$27:$AF$32,1)/COUNTIFS('25'!$AG$27:$AG$32,$AK14,'25'!$AF$27:$AF$32,1))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0.01166180758</v>
      </c>
      <c r="E15" s="211">
        <f t="shared" si="10"/>
        <v>0.9941690962</v>
      </c>
      <c r="X15" s="101" t="s">
        <v>72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11</v>
      </c>
      <c r="Z15" s="101">
        <f t="shared" si="1"/>
        <v>11.00003</v>
      </c>
      <c r="AA15" s="101" t="s">
        <v>57</v>
      </c>
      <c r="AB15" s="101" t="s">
        <v>535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26</v>
      </c>
      <c r="AD15" s="101">
        <f t="shared" si="2"/>
        <v>26.00001</v>
      </c>
      <c r="AK15" s="101" t="s">
        <v>57</v>
      </c>
      <c r="AL15" s="101" t="s">
        <v>535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1">
        <f t="shared" si="5"/>
        <v>99.125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>
        <f>IF(COUNTIFS('14'!$AG$25:$AG$30,$AK15,'14'!$AF$25:$AF$30,1)=0,"",SUMIFS('14'!$AC$25:$AC$30,'14'!$AG$25:$AG$30,$AK15,'14'!$AF$25:$AF$30,1)/COUNTIFS('14'!$AG$25:$AG$30,$AK15,'14'!$AF$25:$AF$30,1))</f>
        <v>97</v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>
        <f>IF(COUNTIFS('18'!$AG$28:$AG$33,$AK15,'18'!$AF$28:$AF$33,1)=0,"",SUMIFS('18'!$AC$28:$AC$33,'18'!$AG$28:$AG$33,$AK15,'18'!$AF$28:$AF$33,1)/COUNTIFS('18'!$AG$28:$AG$33,$AK15,'18'!$AF$28:$AF$33,1))</f>
        <v>97</v>
      </c>
      <c r="BN15" s="101">
        <f>IF(COUNTIFS('19'!$AG$33:$AG$38,$AK15,'19'!$AF$33:$AF$38,1)=0,"",SUMIFS('19'!$AC$33:$AC$38,'19'!$AG$33:$AG$38,$AK15,'19'!$AF$33:$AF$38,1)/COUNTIFS('19'!$AG$33:$AG$38,$AK15,'19'!$AF$33:$AF$38,1))</f>
        <v>97</v>
      </c>
      <c r="BO15" s="101">
        <f>IF(COUNTIFS('20'!$AG$28:$AG$33,$AK15,'20'!$AF$28:$AF$33,1)=0,"",SUMIFS('20'!$AC$28:$AC$33,'20'!$AG$28:$AG$33,$AK15,'20'!$AF$28:$AF$33,1)/COUNTIFS('20'!$AG$28:$AG$33,$AK15,'20'!$AF$28:$AF$33,1))</f>
        <v>100</v>
      </c>
      <c r="BP15" s="101">
        <f>IF(COUNTIFS('21'!$AG$32:$AG$37,$AK15,'21'!$AF$32:$AF$37,1)=0,"",SUMIFS('21'!$AC$32:$AC$37,'21'!$AG$32:$AG$37,$AK15,'21'!$AF$32:$AF$37,1)/COUNTIFS('21'!$AG$32:$AG$37,$AK15,'21'!$AF$32:$AF$37,1))</f>
        <v>96</v>
      </c>
      <c r="BQ15" s="101">
        <f>IF(COUNTIFS('22'!$AG$35:$AG$40,$AK15,'22'!$AF$35:$AF$40,1)=0,"",SUMIFS('22'!$AC$35:$AC$40,'22'!$AG$35:$AG$40,$AK15,'22'!$AF$35:$AF$40,1)/COUNTIFS('22'!$AG$35:$AG$40,$AK15,'22'!$AF$35:$AF$40,1))</f>
        <v>92</v>
      </c>
      <c r="BR15" s="101" t="str">
        <f>IF(COUNTIFS('23'!$AG$30:$AG$35,$AK15,'23'!$AF$30:$AF$35,1)=0,"",SUMIFS('23'!$AC$30:$AC$35,'23'!$AG$30:$AG$35,$AK15,'23'!$AF$30:$AF$35,1)/COUNTIFS('23'!$AG$30:$AG$35,$AK15,'23'!$AF$30:$AF$35,1))</f>
        <v/>
      </c>
      <c r="BS15" s="101">
        <f>IF(COUNTIFS('24'!$AG$25:$AG$30,$AK15,'24'!$AF$25:$AF$30,1)=0,"",SUMIFS('24'!$AC$25:$AC$30,'24'!$AG$25:$AG$30,$AK15,'24'!$AF$25:$AF$30,1)/COUNTIFS('24'!$AG$25:$AG$30,$AK15,'24'!$AF$25:$AF$30,1))</f>
        <v>100</v>
      </c>
      <c r="BT15" s="101">
        <f>IF(COUNTIFS('25'!$AG$27:$AG$32,$AK15,'25'!$AF$27:$AF$32,1)=0,"",SUMIFS('25'!$AC$27:$AC$32,'25'!$AG$27:$AG$32,$AK15,'25'!$AF$27:$AF$32,1)/COUNTIFS('25'!$AG$27:$AG$32,$AK15,'25'!$AF$27:$AF$32,1))</f>
        <v>100</v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0.002915451895</v>
      </c>
      <c r="E16" s="211">
        <f t="shared" si="10"/>
        <v>0.9970845481</v>
      </c>
      <c r="X16" s="101" t="s">
        <v>539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0.002915451895</v>
      </c>
      <c r="E17" s="211">
        <f t="shared" si="10"/>
        <v>1</v>
      </c>
      <c r="X17" s="101" t="s">
        <v>74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>
        <f t="shared" si="11"/>
        <v>94</v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>
        <f t="shared" si="11"/>
        <v>98.5</v>
      </c>
      <c r="BN18" s="101">
        <f t="shared" si="11"/>
        <v>98.5</v>
      </c>
      <c r="BO18" s="101">
        <f t="shared" si="11"/>
        <v>100</v>
      </c>
      <c r="BP18" s="101">
        <f t="shared" si="11"/>
        <v>95.25</v>
      </c>
      <c r="BQ18" s="101">
        <f t="shared" si="11"/>
        <v>93</v>
      </c>
      <c r="BR18" s="101">
        <f t="shared" si="11"/>
        <v>100</v>
      </c>
      <c r="BS18" s="101">
        <f t="shared" si="11"/>
        <v>100</v>
      </c>
      <c r="BT18" s="101">
        <f t="shared" si="11"/>
        <v>97.33333333</v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10" t="s">
        <v>540</v>
      </c>
      <c r="C19" s="210">
        <f>SUM(C6:C18)</f>
        <v>343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7" t="s">
        <v>541</v>
      </c>
      <c r="F23" s="207" t="s">
        <v>542</v>
      </c>
    </row>
    <row r="24" ht="15.75" customHeight="1">
      <c r="A24" s="208" t="s">
        <v>2</v>
      </c>
      <c r="B24" s="208" t="s">
        <v>543</v>
      </c>
      <c r="C24" s="208" t="s">
        <v>544</v>
      </c>
      <c r="D24" s="208" t="s">
        <v>545</v>
      </c>
      <c r="F24" s="208" t="s">
        <v>520</v>
      </c>
      <c r="G24" s="208" t="s">
        <v>8</v>
      </c>
      <c r="H24" s="208" t="s">
        <v>546</v>
      </c>
      <c r="I24" s="208" t="s">
        <v>547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0.2844036697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187</v>
      </c>
      <c r="I25" s="211">
        <f t="shared" ref="I25:I29" si="17">IF(H25="","",IFERROR(H25/SUM($H$25:$H$29),0))</f>
        <v>0.5109289617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27</v>
      </c>
      <c r="D26" s="211">
        <f t="shared" si="14"/>
        <v>0.247706422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179</v>
      </c>
      <c r="I26" s="211">
        <f t="shared" si="17"/>
        <v>0.4890710383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26</v>
      </c>
      <c r="D27" s="211">
        <f t="shared" si="14"/>
        <v>0.2385321101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25</v>
      </c>
      <c r="D28" s="211">
        <f t="shared" si="14"/>
        <v>0.2293577982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7" t="s">
        <v>548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8" t="s">
        <v>520</v>
      </c>
      <c r="G32" s="208" t="s">
        <v>535</v>
      </c>
      <c r="H32" s="208" t="s">
        <v>546</v>
      </c>
      <c r="I32" s="208" t="s">
        <v>547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103</v>
      </c>
      <c r="I33" s="211">
        <f t="shared" ref="I33:I38" si="20">IF(H33="","",IFERROR(H33/SUM($H$33:$H$38),0))</f>
        <v>0.4724770642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92</v>
      </c>
      <c r="I34" s="211">
        <f t="shared" si="20"/>
        <v>0.4220183486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0.05504587156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0.0504587156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549</v>
      </c>
    </row>
    <row r="44" ht="15.75" customHeight="1"/>
    <row r="45" ht="15.75" customHeight="1">
      <c r="A45" s="208" t="s">
        <v>504</v>
      </c>
      <c r="D45" s="208" t="s">
        <v>550</v>
      </c>
      <c r="G45" s="208" t="s">
        <v>551</v>
      </c>
      <c r="J45" s="208" t="s">
        <v>552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8" t="s">
        <v>2</v>
      </c>
      <c r="B50" s="208" t="s">
        <v>543</v>
      </c>
      <c r="C50" s="208" t="s">
        <v>509</v>
      </c>
      <c r="D50" s="208" t="s">
        <v>510</v>
      </c>
      <c r="E50" s="208" t="s">
        <v>144</v>
      </c>
      <c r="F50" s="208" t="s">
        <v>145</v>
      </c>
      <c r="G50" s="208" t="s">
        <v>146</v>
      </c>
      <c r="H50" s="208" t="s">
        <v>147</v>
      </c>
      <c r="I50" s="208" t="s">
        <v>148</v>
      </c>
      <c r="J50" s="208" t="s">
        <v>553</v>
      </c>
      <c r="K50" s="208" t="s">
        <v>554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1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21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1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1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1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1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21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1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1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20" t="s">
        <v>555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