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<sst xmlns="http://schemas.openxmlformats.org/spreadsheetml/2006/main" count="2741" uniqueCount="305">
  <si>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</si>
  <si>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</si>
  <si>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</si>
  <si>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</si>
  <si>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</si>
  <si>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</si>
  <si>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</si>
  <si>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</si>
  <si>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</si>
  <si>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</si>
  <si>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</si>
  <si>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</si>
  <si>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</si>
  <si>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</si>
  <si>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</si>
  <si>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</si>
  <si>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</si>
  <si>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</si>
  <si>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</si>
  <si>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</si>
  <si>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Fajar Alfani</t>
  </si>
  <si>
    <t xml:space="preserve"> Hamdan Ismail S.N</t>
  </si>
  <si>
    <t>Hanifah</t>
  </si>
  <si>
    <t>Graduation</t>
  </si>
  <si>
    <t>Graduation Premium</t>
  </si>
  <si>
    <t>6 okt</t>
  </si>
  <si>
    <t>Lunas</t>
  </si>
  <si>
    <t>17 okt</t>
  </si>
  <si>
    <t>Uploaded</t>
  </si>
  <si>
    <t>Pending</t>
  </si>
  <si>
    <t>INDAH</t>
  </si>
  <si>
    <t>Wisnu pamungkas</t>
  </si>
  <si>
    <t>Add Cetak</t>
  </si>
  <si>
    <t>3 okt</t>
  </si>
  <si>
    <t>AMEL</t>
  </si>
  <si>
    <t>DP</t>
  </si>
  <si>
    <t>Pratama</t>
  </si>
  <si>
    <t>Single</t>
  </si>
  <si>
    <t xml:space="preserve"> 4 okt</t>
  </si>
  <si>
    <t>-</t>
  </si>
  <si>
    <t>ADIF</t>
  </si>
  <si>
    <t>alya</t>
  </si>
  <si>
    <t>Iqis</t>
  </si>
  <si>
    <t>Riski Mulyawan Pangestu d</t>
  </si>
  <si>
    <t>Photofox</t>
  </si>
  <si>
    <t>10 okt</t>
  </si>
  <si>
    <t>Large Group</t>
  </si>
  <si>
    <t>4 okt</t>
  </si>
  <si>
    <t>Rara</t>
  </si>
  <si>
    <t>2 okt</t>
  </si>
  <si>
    <t>Adi</t>
  </si>
  <si>
    <t>Family B</t>
  </si>
  <si>
    <t>4 OKT</t>
  </si>
  <si>
    <t>1 okt</t>
  </si>
  <si>
    <t>SAKA</t>
  </si>
  <si>
    <t>Elnie</t>
  </si>
  <si>
    <t>Dian</t>
  </si>
  <si>
    <t>Yeni A</t>
  </si>
  <si>
    <t>Nadia</t>
  </si>
  <si>
    <t>Ulfa Nurul</t>
  </si>
  <si>
    <t>Adinda Putri Suwarno</t>
  </si>
  <si>
    <t>22 okt</t>
  </si>
  <si>
    <t>Add Edit</t>
  </si>
  <si>
    <t>Nurul Indah Amalia</t>
  </si>
  <si>
    <t>27 sept</t>
  </si>
  <si>
    <t>Bening</t>
  </si>
  <si>
    <t>Rotho</t>
  </si>
  <si>
    <t>Utia</t>
  </si>
  <si>
    <t>VERO</t>
  </si>
  <si>
    <t>Wisnu Pamungkas</t>
  </si>
  <si>
    <t>alfian wicaksana</t>
  </si>
  <si>
    <t>Uji</t>
  </si>
  <si>
    <t>Bilqis</t>
  </si>
  <si>
    <t>FAHME</t>
  </si>
  <si>
    <t>Photo Fox</t>
  </si>
  <si>
    <t>aida</t>
  </si>
  <si>
    <t xml:space="preserve"> Tuti Priyani</t>
  </si>
  <si>
    <t>ABROR</t>
  </si>
  <si>
    <t>Liaamalia</t>
  </si>
  <si>
    <t>Studio Rent</t>
  </si>
  <si>
    <t>azhar</t>
  </si>
  <si>
    <t xml:space="preserve">Luthfi </t>
  </si>
  <si>
    <t>Widika Aden Agatha</t>
  </si>
  <si>
    <t>Danisha</t>
  </si>
  <si>
    <t xml:space="preserve"> Sabrina</t>
  </si>
  <si>
    <t>Rachel</t>
  </si>
  <si>
    <t>oktafira</t>
  </si>
  <si>
    <t>Couple A</t>
  </si>
  <si>
    <t>Rizka</t>
  </si>
  <si>
    <t>ine amalia</t>
  </si>
  <si>
    <t>Qonita</t>
  </si>
  <si>
    <t>Audi nisa</t>
  </si>
  <si>
    <t xml:space="preserve">Sulton Hidayah Arrosid </t>
  </si>
  <si>
    <t>Dedik Purwanto</t>
  </si>
  <si>
    <t>Add cetak</t>
  </si>
  <si>
    <t>22 sept</t>
  </si>
  <si>
    <t>Rani</t>
  </si>
  <si>
    <t>fedinda nara</t>
  </si>
  <si>
    <t>Lutfia</t>
  </si>
  <si>
    <t>titin setiawan</t>
  </si>
  <si>
    <t>Sali</t>
  </si>
  <si>
    <t>Nasywaa</t>
  </si>
  <si>
    <t>Akira Aditya Pandya</t>
  </si>
  <si>
    <t xml:space="preserve"> Bilqis</t>
  </si>
  <si>
    <t>salsa</t>
  </si>
  <si>
    <t>Mufti</t>
  </si>
  <si>
    <t>Caca</t>
  </si>
  <si>
    <t>All file</t>
  </si>
  <si>
    <t>bela</t>
  </si>
  <si>
    <t>Qottrunannda maulidia</t>
  </si>
  <si>
    <t>aghnia</t>
  </si>
  <si>
    <t>Salli</t>
  </si>
  <si>
    <t>andin</t>
  </si>
  <si>
    <t>Nabila hasna</t>
  </si>
  <si>
    <t>Riski Mulyawan Pangestu</t>
  </si>
  <si>
    <t>alif</t>
  </si>
  <si>
    <t>Ilut</t>
  </si>
  <si>
    <t>sema</t>
  </si>
  <si>
    <t>Oktriana</t>
  </si>
  <si>
    <t>Fahmy Bagas</t>
  </si>
  <si>
    <t>asrul ridho</t>
  </si>
  <si>
    <t>Nominal</t>
  </si>
  <si>
    <t>Shift</t>
  </si>
  <si>
    <t>Fakhrian Yoga Permana</t>
  </si>
  <si>
    <t>Pendapatan Tunai</t>
  </si>
  <si>
    <t>Na Salsabila</t>
  </si>
  <si>
    <t>rio furqon</t>
  </si>
  <si>
    <t>Admin 1</t>
  </si>
  <si>
    <t>Dhabi</t>
  </si>
  <si>
    <t>Gandring Guste</t>
  </si>
  <si>
    <t>Admin 2</t>
  </si>
  <si>
    <t>ilham zambrot</t>
  </si>
  <si>
    <t>Fotografer 1</t>
  </si>
  <si>
    <t>wafi wafa</t>
  </si>
  <si>
    <t>allez galan</t>
  </si>
  <si>
    <t>Fotografer 2</t>
  </si>
  <si>
    <t>Ezar Nadhif</t>
  </si>
  <si>
    <t>Zaidan Ariefyandi</t>
  </si>
  <si>
    <t>Bensin</t>
  </si>
  <si>
    <t>Hanan</t>
  </si>
  <si>
    <t>KPI HARIAN | SKALA 1-5</t>
  </si>
  <si>
    <t>rendy nIlhamsyah</t>
  </si>
  <si>
    <t>Disiplin</t>
  </si>
  <si>
    <t>Afifah</t>
  </si>
  <si>
    <t>Akurasi</t>
  </si>
  <si>
    <t>SOP</t>
  </si>
  <si>
    <t>Client</t>
  </si>
  <si>
    <t>Produktivitas</t>
  </si>
  <si>
    <t>cibita</t>
  </si>
  <si>
    <t>KPI Score Helper</t>
  </si>
  <si>
    <t>Status Helper</t>
  </si>
  <si>
    <t>Role Helper</t>
  </si>
  <si>
    <t>Evaluated Flag</t>
  </si>
  <si>
    <t>Effective Name</t>
  </si>
  <si>
    <t>Renaldy</t>
  </si>
  <si>
    <t>Rahayu</t>
  </si>
  <si>
    <t>rizma</t>
  </si>
  <si>
    <t>restu</t>
  </si>
  <si>
    <t>Reynaldo</t>
  </si>
  <si>
    <t xml:space="preserve"> Nola</t>
  </si>
  <si>
    <t>Helmi</t>
  </si>
  <si>
    <t>1. Mayzila</t>
  </si>
  <si>
    <t>1. Pratama</t>
  </si>
  <si>
    <t>2. Desni</t>
  </si>
  <si>
    <t>3. Rindi</t>
  </si>
  <si>
    <t>Amelia Nur</t>
  </si>
  <si>
    <t>4. Dinah</t>
  </si>
  <si>
    <t>niko</t>
  </si>
  <si>
    <t>5. Fitri dina</t>
  </si>
  <si>
    <t>6. Wildan</t>
  </si>
  <si>
    <t>Tiffani Agil</t>
  </si>
  <si>
    <t>7. Silvia</t>
  </si>
  <si>
    <t>8. Fadlah Faqih</t>
  </si>
  <si>
    <t>Afita Khoerunnisa</t>
  </si>
  <si>
    <t>9. Ridho</t>
  </si>
  <si>
    <t>Mahendra Putra Wardhana</t>
  </si>
  <si>
    <t>10. Febby</t>
  </si>
  <si>
    <t>Queenbees DC</t>
  </si>
  <si>
    <t>2. Dita</t>
  </si>
  <si>
    <t>Ridhoo</t>
  </si>
  <si>
    <t>ots</t>
  </si>
  <si>
    <t>Salsabila Nurlina</t>
  </si>
  <si>
    <t>hanifah</t>
  </si>
  <si>
    <t>viona</t>
  </si>
  <si>
    <t>nana</t>
  </si>
  <si>
    <t>Skala: 1 Sangat Kurang | 2 Kurang | 3 Cukup | 4 Baik | 5 Sangat Baik | Jika Nama kosong, 4 baris pertama otomatis mengikuti urutan Shift</t>
  </si>
  <si>
    <t>lala</t>
  </si>
  <si>
    <t>ADMIN FOLLOW-UP</t>
  </si>
  <si>
    <t>Akhmad Binangun</t>
  </si>
  <si>
    <t>Saving Contact</t>
  </si>
  <si>
    <t>Reminder</t>
  </si>
  <si>
    <t>Direct RO</t>
  </si>
  <si>
    <t>5R</t>
  </si>
  <si>
    <t xml:space="preserve"> Fadila</t>
  </si>
  <si>
    <t>TODAY | LEADS &amp; TRANSAKSI</t>
  </si>
  <si>
    <t>Leads</t>
  </si>
  <si>
    <t>Desti Ika C</t>
  </si>
  <si>
    <t>Total DP</t>
  </si>
  <si>
    <t>Sesi Foto</t>
  </si>
  <si>
    <t>Jumlah Transaksi Harian</t>
  </si>
  <si>
    <t>Conversion Rate</t>
  </si>
  <si>
    <t>Wahyu setyaningsih</t>
  </si>
  <si>
    <t>aulia hani</t>
  </si>
  <si>
    <t>Widyaloka</t>
  </si>
  <si>
    <t>Nina dwi</t>
  </si>
  <si>
    <t>baterai cinemon</t>
  </si>
  <si>
    <t>Tika Dwi</t>
  </si>
  <si>
    <t>Sifa</t>
  </si>
  <si>
    <t>3. Karlina</t>
  </si>
  <si>
    <t xml:space="preserve"> inaya</t>
  </si>
  <si>
    <t>arif</t>
  </si>
  <si>
    <t>INDAH AMEL, ADDEL</t>
  </si>
  <si>
    <t>Couple B</t>
  </si>
  <si>
    <t>ADIF, SAKA</t>
  </si>
  <si>
    <t>FAHME, ABROR</t>
  </si>
  <si>
    <t>Sarapan Pagi Day 1 &amp; Day 2</t>
  </si>
  <si>
    <t>galon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</si>
  <si>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</si>
  <si>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</si>
  <si>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</si>
  <si>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</si>
  <si>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</si>
  <si>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</si>
  <si>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</si>
  <si>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</si>
  <si>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</si>
  <si>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</si>
  <si>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</si>
  <si>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</si>
  <si>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FG ADIF SAKA FAME VERO</t>
  </si>
  <si>
    <t xml:space="preserve">ADMIN INDAH AMEL </t>
  </si>
  <si>
    <t xml:space="preserve">RUNN ADDEL 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</si>
  <si>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</si>
  <si>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</si>
  <si>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</si>
  <si>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</si>
  <si>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</si>
  <si>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</si>
  <si>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</si>
  <si>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</si>
  <si>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</si>
  <si>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</si>
  <si>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</si>
  <si>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</si>
  <si>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</si>
  <si>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</si>
  <si>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</si>
  <si>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</si>
  <si>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</si>
  <si>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</si>
  <si>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RESUME KARYAWAN &amp; KPI | AGUSTUS 2026</t>
  </si>
  <si>
    <t>KPI SCALE</t>
  </si>
  <si>
    <t>FINAL. Dibangun ulang dari Log Order tanggal 1-31 tanpa formula lama.</t>
  </si>
  <si>
    <t>KPI TEAM</t>
  </si>
  <si>
    <t>ADMIN / CS</t>
  </si>
  <si>
    <t>1. RESUME PAKET TERLARIS</t>
  </si>
  <si>
    <t>FOTOGRAFER</t>
  </si>
  <si>
    <t>EDITOR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</si>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</sst>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b/>
      <sz val="15.0"/>
      <color rgb="FF222222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7.0"/>
      <color rgb="FF000000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3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 readingOrder="0" vertical="bottom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3" fillId="0" fontId="1" numFmtId="165" xfId="0" applyBorder="1" applyFont="1" applyNumberFormat="1"/>
    <xf borderId="2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bottom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readingOrder="0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1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 vertical="center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horizontal="center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0" xfId="0" applyAlignment="1" applyBorder="1" applyFill="1" applyFont="1">
      <alignment readingOrder="0"/>
    </xf>
    <xf borderId="0" fillId="8" fontId="10" numFmtId="0" xfId="0" applyAlignment="1" applyFill="1" applyFon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0" fontId="2" numFmtId="0" xfId="0" applyBorder="1" applyFont="1"/>
    <xf borderId="1" fillId="0" fontId="4" numFmtId="0" xfId="0" applyAlignment="1" applyBorder="1" applyFont="1">
      <alignment horizontal="center"/>
    </xf>
    <xf borderId="9" fillId="0" fontId="2" numFmtId="165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13" fillId="0" fontId="4" numFmtId="0" xfId="0" applyAlignment="1" applyBorder="1" applyFont="1">
      <alignment horizontal="center" readingOrder="0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1" fillId="0" fontId="1" numFmtId="0" xfId="0" applyAlignment="1" applyBorder="1" applyFont="1">
      <alignment horizontal="center" readingOrder="0" vertical="center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1" numFmtId="165" xfId="0" applyBorder="1" applyFont="1" applyNumberFormat="1"/>
    <xf borderId="0" fillId="0" fontId="17" numFmtId="0" xfId="0" applyAlignment="1" applyFont="1">
      <alignment horizontal="left" shrinkToFit="0" vertical="center" wrapText="0"/>
    </xf>
    <xf borderId="7" fillId="0" fontId="1" numFmtId="164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6" fillId="0" fontId="2" numFmtId="165" xfId="0" applyAlignment="1" applyBorder="1" applyFont="1" applyNumberFormat="1">
      <alignment horizontal="center"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9" xfId="0" applyAlignment="1" applyBorder="1" applyFont="1" applyNumberFormat="1">
      <alignment horizontal="center" readingOrder="0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0" xfId="0" applyBorder="1" applyFont="1"/>
    <xf borderId="7" fillId="0" fontId="1" numFmtId="166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17" fontId="18" numFmtId="0" xfId="0" applyAlignment="1" applyFill="1" applyFont="1">
      <alignment horizontal="left" shrinkToFit="0" vertical="bottom" wrapText="0"/>
    </xf>
    <xf borderId="0" fillId="8" fontId="19" numFmtId="0" xfId="0" applyAlignment="1" applyFill="1" applyFont="1">
      <alignment horizontal="center" shrinkToFit="0" vertical="center" wrapText="0"/>
    </xf>
    <xf borderId="0" fillId="18" fontId="20" numFmtId="0" xfId="0" applyAlignment="1" applyFill="1" applyFont="1">
      <alignment shrinkToFit="0" vertical="bottom" wrapText="0"/>
    </xf>
    <xf borderId="0" fillId="2" fontId="12" numFmtId="0" xfId="0" applyAlignment="1" applyFill="1" applyFont="1">
      <alignment horizontal="center" shrinkToFit="0" vertical="center" wrapText="0"/>
    </xf>
    <xf borderId="0" fillId="17" fontId="21" numFmtId="0" xfId="0" applyAlignment="1" applyFill="1" applyFont="1">
      <alignment horizontal="left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6066323"/>
        <c:axId val="270879758"/>
      </c:barChart>
      <c:catAx>
        <c:axId val="66066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70879758"/>
      </c:catAx>
      <c:valAx>
        <c:axId val="27087975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606632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37988779"/>
        <c:axId val="1311393260"/>
      </c:lineChart>
      <c:catAx>
        <c:axId val="7379887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1393260"/>
      </c:catAx>
      <c:valAx>
        <c:axId val="1311393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3798877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22</v>
      </c>
      <c r="D4" s="25" t="s">
        <v>23</v>
      </c>
      <c r="E4" s="32"/>
      <c r="F4" s="27" t="s">
        <v>25</v>
      </c>
      <c r="G4" s="36"/>
      <c r="H4" s="34">
        <v>100000.0</v>
      </c>
      <c r="I4" s="27" t="s">
        <v>35</v>
      </c>
      <c r="J4" s="19"/>
      <c r="K4" s="19"/>
      <c r="L4" s="27" t="s">
        <v>34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1" t="s">
        <v>48</v>
      </c>
      <c r="D5" s="25" t="s">
        <v>44</v>
      </c>
      <c r="E5" s="32"/>
      <c r="F5" s="27" t="s">
        <v>53</v>
      </c>
      <c r="G5" s="42">
        <v>125000.0</v>
      </c>
      <c r="H5" s="44"/>
      <c r="I5" s="27" t="s">
        <v>26</v>
      </c>
      <c r="J5" s="27" t="s">
        <v>28</v>
      </c>
      <c r="K5" s="27" t="s">
        <v>39</v>
      </c>
      <c r="L5" s="27" t="s">
        <v>34</v>
      </c>
      <c r="M5" s="27" t="s">
        <v>40</v>
      </c>
      <c r="N5" s="37"/>
      <c r="O5" s="37"/>
      <c r="P5" s="37"/>
      <c r="Q5" s="1"/>
      <c r="R5" s="1"/>
    </row>
    <row r="6" ht="15.75" customHeight="1">
      <c r="A6" s="1"/>
      <c r="B6" s="19">
        <v>3.0</v>
      </c>
      <c r="C6" s="21" t="s">
        <v>58</v>
      </c>
      <c r="D6" s="25" t="s">
        <v>23</v>
      </c>
      <c r="E6" s="32"/>
      <c r="F6" s="27" t="s">
        <v>61</v>
      </c>
      <c r="G6" s="45"/>
      <c r="H6" s="34">
        <v>100000.0</v>
      </c>
      <c r="I6" s="27" t="s">
        <v>35</v>
      </c>
      <c r="J6" s="19"/>
      <c r="K6" s="19"/>
      <c r="L6" s="27" t="s">
        <v>34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21" t="s">
        <v>66</v>
      </c>
      <c r="D7" s="25" t="s">
        <v>46</v>
      </c>
      <c r="E7" s="32"/>
      <c r="F7" s="27" t="s">
        <v>53</v>
      </c>
      <c r="G7" s="45"/>
      <c r="H7" s="49">
        <v>200000.0</v>
      </c>
      <c r="I7" s="27" t="s">
        <v>26</v>
      </c>
      <c r="J7" s="27" t="s">
        <v>28</v>
      </c>
      <c r="K7" s="27" t="s">
        <v>28</v>
      </c>
      <c r="L7" s="27" t="s">
        <v>34</v>
      </c>
      <c r="M7" s="27" t="s">
        <v>40</v>
      </c>
      <c r="N7" s="37"/>
      <c r="O7" s="37"/>
      <c r="P7" s="37"/>
      <c r="Q7" s="1"/>
      <c r="R7" s="1"/>
    </row>
    <row r="8" ht="15.75" customHeight="1">
      <c r="A8" s="1"/>
      <c r="B8" s="19">
        <v>5.0</v>
      </c>
      <c r="C8" s="21" t="s">
        <v>71</v>
      </c>
      <c r="D8" s="25" t="s">
        <v>23</v>
      </c>
      <c r="E8" s="32"/>
      <c r="F8" s="27" t="s">
        <v>33</v>
      </c>
      <c r="G8" s="36"/>
      <c r="H8" s="34">
        <v>100000.0</v>
      </c>
      <c r="I8" s="27" t="s">
        <v>35</v>
      </c>
      <c r="J8" s="19"/>
      <c r="K8" s="19"/>
      <c r="L8" s="27" t="s">
        <v>34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50" t="s">
        <v>78</v>
      </c>
      <c r="D9" s="25" t="s">
        <v>79</v>
      </c>
      <c r="E9" s="53"/>
      <c r="F9" s="27" t="s">
        <v>53</v>
      </c>
      <c r="G9" s="45"/>
      <c r="H9" s="49">
        <v>450000.0</v>
      </c>
      <c r="I9" s="27" t="s">
        <v>26</v>
      </c>
      <c r="J9" s="19"/>
      <c r="K9" s="19"/>
      <c r="L9" s="27" t="s">
        <v>34</v>
      </c>
      <c r="M9" s="19"/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21" t="s">
        <v>83</v>
      </c>
      <c r="D10" s="25" t="s">
        <v>46</v>
      </c>
      <c r="E10" s="53"/>
      <c r="F10" s="27" t="s">
        <v>53</v>
      </c>
      <c r="G10" s="45"/>
      <c r="H10" s="49">
        <v>100000.0</v>
      </c>
      <c r="I10" s="27" t="s">
        <v>26</v>
      </c>
      <c r="J10" s="27" t="s">
        <v>28</v>
      </c>
      <c r="K10" s="27" t="s">
        <v>29</v>
      </c>
      <c r="L10" s="27" t="s">
        <v>34</v>
      </c>
      <c r="M10" s="27" t="s">
        <v>40</v>
      </c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21" t="s">
        <v>85</v>
      </c>
      <c r="D11" s="25" t="s">
        <v>87</v>
      </c>
      <c r="E11" s="53"/>
      <c r="F11" s="27" t="s">
        <v>53</v>
      </c>
      <c r="G11" s="42">
        <v>150000.0</v>
      </c>
      <c r="H11" s="44"/>
      <c r="I11" s="27" t="s">
        <v>26</v>
      </c>
      <c r="J11" s="27" t="s">
        <v>28</v>
      </c>
      <c r="K11" s="27" t="s">
        <v>28</v>
      </c>
      <c r="L11" s="27" t="s">
        <v>34</v>
      </c>
      <c r="M11" s="27" t="s">
        <v>40</v>
      </c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50" t="s">
        <v>90</v>
      </c>
      <c r="D12" s="25" t="s">
        <v>37</v>
      </c>
      <c r="E12" s="53"/>
      <c r="F12" s="27" t="s">
        <v>53</v>
      </c>
      <c r="G12" s="45"/>
      <c r="H12" s="34">
        <v>100000.0</v>
      </c>
      <c r="I12" s="27" t="s">
        <v>26</v>
      </c>
      <c r="J12" s="27" t="s">
        <v>28</v>
      </c>
      <c r="K12" s="27" t="s">
        <v>28</v>
      </c>
      <c r="L12" s="27" t="s">
        <v>34</v>
      </c>
      <c r="M12" s="27" t="s">
        <v>40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50" t="s">
        <v>93</v>
      </c>
      <c r="D13" s="25" t="s">
        <v>94</v>
      </c>
      <c r="E13" s="53"/>
      <c r="F13" s="27" t="s">
        <v>95</v>
      </c>
      <c r="G13" s="61">
        <v>25000.0</v>
      </c>
      <c r="H13" s="44"/>
      <c r="I13" s="27" t="s">
        <v>26</v>
      </c>
      <c r="J13" s="27" t="s">
        <v>39</v>
      </c>
      <c r="K13" s="27" t="s">
        <v>39</v>
      </c>
      <c r="L13" s="27" t="s">
        <v>34</v>
      </c>
      <c r="M13" s="19"/>
      <c r="N13" s="37"/>
      <c r="O13" s="37"/>
      <c r="P13" s="37"/>
      <c r="Q13" s="1"/>
      <c r="R13" s="1"/>
    </row>
    <row r="14" ht="15.75" customHeight="1">
      <c r="A14" s="1"/>
      <c r="B14" s="19">
        <v>11.0</v>
      </c>
      <c r="C14" s="50" t="s">
        <v>98</v>
      </c>
      <c r="D14" s="25" t="s">
        <v>46</v>
      </c>
      <c r="E14" s="53"/>
      <c r="F14" s="27" t="s">
        <v>53</v>
      </c>
      <c r="G14" s="61">
        <v>105000.0</v>
      </c>
      <c r="H14" s="34">
        <v>220000.0</v>
      </c>
      <c r="I14" s="27" t="s">
        <v>26</v>
      </c>
      <c r="J14" s="27" t="s">
        <v>28</v>
      </c>
      <c r="K14" s="27" t="s">
        <v>28</v>
      </c>
      <c r="L14" s="27" t="s">
        <v>34</v>
      </c>
      <c r="M14" s="27" t="s">
        <v>40</v>
      </c>
      <c r="N14" s="37"/>
      <c r="O14" s="37"/>
      <c r="P14" s="37"/>
      <c r="Q14" s="1"/>
      <c r="R14" s="1"/>
    </row>
    <row r="15" ht="15.75" customHeight="1">
      <c r="A15" s="1"/>
      <c r="B15" s="19">
        <v>12.0</v>
      </c>
      <c r="C15" s="50" t="s">
        <v>103</v>
      </c>
      <c r="D15" s="25" t="s">
        <v>44</v>
      </c>
      <c r="E15" s="53"/>
      <c r="F15" s="27" t="s">
        <v>49</v>
      </c>
      <c r="G15" s="45"/>
      <c r="H15" s="34">
        <v>100000.0</v>
      </c>
      <c r="I15" s="27" t="s">
        <v>35</v>
      </c>
      <c r="J15" s="19"/>
      <c r="K15" s="19"/>
      <c r="L15" s="27" t="s">
        <v>34</v>
      </c>
      <c r="M15" s="19"/>
      <c r="N15" s="37"/>
      <c r="O15" s="37"/>
      <c r="P15" s="37"/>
      <c r="Q15" s="1"/>
      <c r="R15" s="1"/>
    </row>
    <row r="16" ht="15.75" customHeight="1">
      <c r="A16" s="1"/>
      <c r="B16" s="19">
        <v>13.0</v>
      </c>
      <c r="C16" s="50" t="s">
        <v>90</v>
      </c>
      <c r="D16" s="25" t="s">
        <v>107</v>
      </c>
      <c r="E16" s="53"/>
      <c r="F16" s="27" t="s">
        <v>53</v>
      </c>
      <c r="G16" s="45"/>
      <c r="H16" s="34">
        <v>50000.0</v>
      </c>
      <c r="I16" s="27" t="s">
        <v>26</v>
      </c>
      <c r="J16" s="27" t="s">
        <v>28</v>
      </c>
      <c r="K16" s="27" t="s">
        <v>28</v>
      </c>
      <c r="L16" s="27" t="s">
        <v>34</v>
      </c>
      <c r="M16" s="27" t="s">
        <v>40</v>
      </c>
      <c r="N16" s="37"/>
      <c r="O16" s="37"/>
      <c r="P16" s="37"/>
      <c r="Q16" s="1"/>
      <c r="R16" s="1"/>
    </row>
    <row r="17" ht="15.75" customHeight="1">
      <c r="A17" s="1"/>
      <c r="B17" s="19">
        <v>14.0</v>
      </c>
      <c r="C17" s="66"/>
      <c r="D17" s="68"/>
      <c r="E17" s="53"/>
      <c r="F17" s="69"/>
      <c r="G17" s="36"/>
      <c r="H17" s="44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0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121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122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124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127</v>
      </c>
      <c r="O22" s="81" t="s">
        <v>34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7" t="s">
        <v>34</v>
      </c>
      <c r="P23" s="1"/>
      <c r="Q23" s="1"/>
      <c r="R23" s="1"/>
    </row>
    <row r="24" ht="15.75" customHeight="1">
      <c r="A24" s="1"/>
      <c r="B24" s="75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88" t="s">
        <v>132</v>
      </c>
      <c r="O24" s="89" t="s">
        <v>40</v>
      </c>
      <c r="P24" s="1"/>
      <c r="Q24" s="1"/>
      <c r="R24" s="1"/>
    </row>
    <row r="25" ht="15.75" customHeight="1">
      <c r="A25" s="1"/>
      <c r="B25" s="82">
        <v>4.0</v>
      </c>
      <c r="C25" s="90"/>
      <c r="D25" s="91"/>
      <c r="E25" s="79"/>
      <c r="F25" s="92"/>
      <c r="G25" s="1"/>
      <c r="H25" s="1"/>
      <c r="I25" s="1"/>
      <c r="J25" s="1"/>
      <c r="K25" s="1"/>
      <c r="L25" s="1"/>
      <c r="M25" s="1"/>
      <c r="N25" s="93" t="s">
        <v>135</v>
      </c>
      <c r="O25" s="87" t="s">
        <v>40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2">
        <v>6.0</v>
      </c>
      <c r="C27" s="90"/>
      <c r="D27" s="91"/>
      <c r="E27" s="79"/>
      <c r="F27" s="1"/>
      <c r="G27" s="1"/>
      <c r="H27" s="1"/>
      <c r="I27" s="1"/>
      <c r="J27" s="1"/>
      <c r="K27" s="96" t="s">
        <v>140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8" t="s">
        <v>2</v>
      </c>
      <c r="L28" s="98" t="s">
        <v>142</v>
      </c>
      <c r="M28" s="98" t="s">
        <v>144</v>
      </c>
      <c r="N28" s="98" t="s">
        <v>145</v>
      </c>
      <c r="O28" s="98" t="s">
        <v>146</v>
      </c>
      <c r="P28" s="98" t="s">
        <v>147</v>
      </c>
      <c r="Q28" s="1"/>
      <c r="R28" s="1"/>
      <c r="AC28" s="99" t="s">
        <v>149</v>
      </c>
      <c r="AD28" s="99" t="s">
        <v>150</v>
      </c>
      <c r="AE28" s="99" t="s">
        <v>151</v>
      </c>
      <c r="AF28" s="99" t="s">
        <v>152</v>
      </c>
      <c r="AG28" s="99" t="s">
        <v>153</v>
      </c>
    </row>
    <row r="29" ht="15.75" customHeight="1">
      <c r="A29" s="1"/>
      <c r="B29" s="82">
        <v>8.0</v>
      </c>
      <c r="C29" s="90"/>
      <c r="D29" s="91"/>
      <c r="E29" s="79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82">
        <v>10.0</v>
      </c>
      <c r="C31" s="90"/>
      <c r="D31" s="91"/>
      <c r="E31" s="79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5">
        <v>11.0</v>
      </c>
      <c r="C32" s="107"/>
      <c r="D32" s="108"/>
      <c r="E32" s="79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0">
        <f>SUM(D22:D32)</f>
        <v>405000</v>
      </c>
      <c r="E33" s="1"/>
      <c r="F33" s="1"/>
      <c r="G33" s="1"/>
      <c r="H33" s="1"/>
      <c r="I33" s="1"/>
      <c r="J33" s="1"/>
      <c r="K33" s="103"/>
      <c r="L33" s="111"/>
      <c r="M33" s="111"/>
      <c r="N33" s="111"/>
      <c r="O33" s="111"/>
      <c r="P33" s="111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1"/>
      <c r="M34" s="111"/>
      <c r="N34" s="111"/>
      <c r="O34" s="111"/>
      <c r="P34" s="111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2" t="s">
        <v>185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187</v>
      </c>
      <c r="N37" s="114"/>
      <c r="O37" s="1"/>
      <c r="P37" s="1"/>
      <c r="Q37" s="1"/>
      <c r="R37" s="1"/>
    </row>
    <row r="38" ht="15.75" customHeight="1">
      <c r="K38" s="115" t="s">
        <v>8</v>
      </c>
      <c r="L38" s="115" t="s">
        <v>189</v>
      </c>
      <c r="M38" s="115" t="s">
        <v>190</v>
      </c>
      <c r="N38" s="116" t="s">
        <v>191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192</v>
      </c>
      <c r="N39" s="119">
        <v>4.0</v>
      </c>
    </row>
    <row r="40" ht="15.75" customHeight="1">
      <c r="K40" s="117" t="str">
        <f t="shared" si="7"/>
        <v>AMEL</v>
      </c>
      <c r="L40" s="121"/>
      <c r="M40" s="121"/>
      <c r="N40" s="122"/>
    </row>
    <row r="41" ht="15.75" customHeight="1"/>
    <row r="42" ht="19.5" customHeight="1">
      <c r="K42" s="123" t="s">
        <v>194</v>
      </c>
    </row>
    <row r="43" ht="19.5" customHeight="1">
      <c r="K43" s="124" t="s">
        <v>195</v>
      </c>
      <c r="M43" s="118">
        <v>34.0</v>
      </c>
    </row>
    <row r="44" ht="19.5" customHeight="1">
      <c r="K44" s="125" t="s">
        <v>197</v>
      </c>
      <c r="M44" s="126">
        <f>COUNTIF($I$4:$I$20,"DP")</f>
        <v>4</v>
      </c>
    </row>
    <row r="45" ht="19.5" customHeight="1">
      <c r="K45" s="125" t="s">
        <v>198</v>
      </c>
      <c r="M45" s="126">
        <f>COUNTIFS($I$4:$I$20,"&lt;&gt;DP",$I$4:$I$20,"&lt;&gt;")</f>
        <v>9</v>
      </c>
    </row>
    <row r="46" ht="19.5" customHeight="1">
      <c r="K46" s="128" t="s">
        <v>199</v>
      </c>
      <c r="M46" s="126">
        <f>M44+M45</f>
        <v>13</v>
      </c>
    </row>
    <row r="47" ht="19.5" customHeight="1">
      <c r="K47" s="124" t="s">
        <v>200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5" t="s">
        <v>24</v>
      </c>
      <c r="E4" s="23"/>
      <c r="F4" s="27" t="s">
        <v>27</v>
      </c>
      <c r="G4" s="30"/>
      <c r="H4" s="34">
        <v>100000.0</v>
      </c>
      <c r="I4" s="27" t="s">
        <v>35</v>
      </c>
      <c r="J4" s="19"/>
      <c r="K4" s="19"/>
      <c r="L4" s="27" t="s">
        <v>34</v>
      </c>
      <c r="M4" s="19"/>
      <c r="N4" s="29"/>
      <c r="O4" s="29"/>
      <c r="P4" s="31"/>
      <c r="Q4" s="1"/>
      <c r="R4" s="1"/>
    </row>
    <row r="5" ht="15.75" customHeight="1">
      <c r="A5" s="1"/>
      <c r="B5" s="17">
        <v>2.0</v>
      </c>
      <c r="C5" s="39" t="s">
        <v>42</v>
      </c>
      <c r="D5" s="25" t="s">
        <v>46</v>
      </c>
      <c r="E5" s="40"/>
      <c r="F5" s="27" t="s">
        <v>49</v>
      </c>
      <c r="G5" s="41"/>
      <c r="H5" s="43">
        <v>100000.0</v>
      </c>
      <c r="I5" s="27" t="s">
        <v>35</v>
      </c>
      <c r="J5" s="19"/>
      <c r="K5" s="19"/>
      <c r="L5" s="27" t="s">
        <v>34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59</v>
      </c>
      <c r="D6" s="25" t="s">
        <v>62</v>
      </c>
      <c r="E6" s="23"/>
      <c r="F6" s="27" t="s">
        <v>64</v>
      </c>
      <c r="G6" s="30"/>
      <c r="H6" s="34">
        <v>50000.0</v>
      </c>
      <c r="I6" s="27" t="s">
        <v>26</v>
      </c>
      <c r="J6" s="27" t="s">
        <v>28</v>
      </c>
      <c r="K6" s="27" t="s">
        <v>28</v>
      </c>
      <c r="L6" s="27" t="s">
        <v>34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67</v>
      </c>
      <c r="D7" s="25" t="s">
        <v>23</v>
      </c>
      <c r="E7" s="40"/>
      <c r="F7" s="27" t="s">
        <v>33</v>
      </c>
      <c r="G7" s="30"/>
      <c r="H7" s="34">
        <v>100000.0</v>
      </c>
      <c r="I7" s="27" t="s">
        <v>35</v>
      </c>
      <c r="J7" s="19"/>
      <c r="K7" s="19"/>
      <c r="L7" s="27" t="s">
        <v>34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50" t="s">
        <v>72</v>
      </c>
      <c r="D8" s="25" t="s">
        <v>74</v>
      </c>
      <c r="E8" s="23"/>
      <c r="F8" s="27" t="s">
        <v>49</v>
      </c>
      <c r="G8" s="51"/>
      <c r="H8" s="43">
        <v>125000.0</v>
      </c>
      <c r="I8" s="27" t="s">
        <v>26</v>
      </c>
      <c r="J8" s="27" t="s">
        <v>28</v>
      </c>
      <c r="K8" s="27" t="s">
        <v>39</v>
      </c>
      <c r="L8" s="27" t="s">
        <v>34</v>
      </c>
      <c r="M8" s="27" t="s">
        <v>40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81</v>
      </c>
      <c r="D9" s="25" t="s">
        <v>46</v>
      </c>
      <c r="E9" s="23"/>
      <c r="F9" s="55">
        <v>46305.0</v>
      </c>
      <c r="G9" s="41"/>
      <c r="H9" s="43">
        <v>100000.0</v>
      </c>
      <c r="I9" s="27" t="s">
        <v>35</v>
      </c>
      <c r="J9" s="19"/>
      <c r="K9" s="19"/>
      <c r="L9" s="27" t="s">
        <v>30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88</v>
      </c>
      <c r="D10" s="25" t="s">
        <v>46</v>
      </c>
      <c r="E10" s="23"/>
      <c r="F10" s="55">
        <v>46297.0</v>
      </c>
      <c r="G10" s="58">
        <v>75000.0</v>
      </c>
      <c r="H10" s="44"/>
      <c r="I10" s="27" t="s">
        <v>26</v>
      </c>
      <c r="J10" s="19"/>
      <c r="K10" s="19"/>
      <c r="L10" s="27" t="s">
        <v>30</v>
      </c>
      <c r="M10" s="27" t="s">
        <v>54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7" t="s">
        <v>42</v>
      </c>
      <c r="D11" s="25" t="s">
        <v>46</v>
      </c>
      <c r="E11" s="23"/>
      <c r="F11" s="55">
        <v>46297.0</v>
      </c>
      <c r="G11" s="30"/>
      <c r="H11" s="34">
        <v>275000.0</v>
      </c>
      <c r="I11" s="27" t="s">
        <v>26</v>
      </c>
      <c r="J11" s="27" t="s">
        <v>28</v>
      </c>
      <c r="K11" s="27" t="s">
        <v>29</v>
      </c>
      <c r="L11" s="27" t="s">
        <v>30</v>
      </c>
      <c r="M11" s="27" t="s">
        <v>54</v>
      </c>
      <c r="N11" s="37"/>
      <c r="O11" s="37"/>
      <c r="P11" s="37"/>
      <c r="Q11" s="1"/>
      <c r="R11" s="1"/>
      <c r="S11" s="62"/>
    </row>
    <row r="12" ht="15.75" customHeight="1">
      <c r="A12" s="1"/>
      <c r="B12" s="17"/>
      <c r="C12" s="21" t="s">
        <v>100</v>
      </c>
      <c r="D12" s="25" t="s">
        <v>37</v>
      </c>
      <c r="E12" s="63"/>
      <c r="F12" s="55">
        <v>46297.0</v>
      </c>
      <c r="G12" s="30"/>
      <c r="H12" s="34">
        <v>100000.0</v>
      </c>
      <c r="I12" s="27" t="s">
        <v>26</v>
      </c>
      <c r="J12" s="27" t="s">
        <v>28</v>
      </c>
      <c r="K12" s="27" t="s">
        <v>28</v>
      </c>
      <c r="L12" s="27" t="s">
        <v>30</v>
      </c>
      <c r="M12" s="19"/>
      <c r="N12" s="37"/>
      <c r="O12" s="37"/>
      <c r="P12" s="37"/>
      <c r="Q12" s="1"/>
      <c r="R12" s="1"/>
    </row>
    <row r="13" ht="15.75" customHeight="1">
      <c r="A13" s="1"/>
      <c r="B13" s="17"/>
      <c r="C13" s="21" t="s">
        <v>106</v>
      </c>
      <c r="D13" s="25" t="s">
        <v>46</v>
      </c>
      <c r="E13" s="23"/>
      <c r="F13" s="55">
        <v>46297.0</v>
      </c>
      <c r="G13" s="30"/>
      <c r="H13" s="34">
        <v>100000.0</v>
      </c>
      <c r="I13" s="27" t="s">
        <v>26</v>
      </c>
      <c r="J13" s="27" t="s">
        <v>28</v>
      </c>
      <c r="K13" s="27" t="s">
        <v>28</v>
      </c>
      <c r="L13" s="27" t="s">
        <v>30</v>
      </c>
      <c r="M13" s="27" t="s">
        <v>54</v>
      </c>
      <c r="N13" s="37"/>
      <c r="O13" s="37"/>
      <c r="P13" s="37"/>
      <c r="Q13" s="1"/>
      <c r="R13" s="1"/>
    </row>
    <row r="14" ht="15.75" customHeight="1">
      <c r="A14" s="1"/>
      <c r="B14" s="17"/>
      <c r="C14" s="21" t="s">
        <v>100</v>
      </c>
      <c r="D14" s="25" t="s">
        <v>14</v>
      </c>
      <c r="E14" s="23"/>
      <c r="F14" s="55">
        <v>46297.0</v>
      </c>
      <c r="G14" s="30"/>
      <c r="H14" s="34">
        <v>50000.0</v>
      </c>
      <c r="I14" s="27" t="s">
        <v>26</v>
      </c>
      <c r="J14" s="27" t="s">
        <v>28</v>
      </c>
      <c r="K14" s="27" t="s">
        <v>29</v>
      </c>
      <c r="L14" s="27" t="s">
        <v>30</v>
      </c>
      <c r="M14" s="27" t="s">
        <v>54</v>
      </c>
      <c r="N14" s="37"/>
      <c r="O14" s="37"/>
      <c r="P14" s="37"/>
      <c r="Q14" s="1"/>
      <c r="R14" s="1"/>
    </row>
    <row r="15" ht="15.75" customHeight="1">
      <c r="A15" s="1"/>
      <c r="B15" s="17"/>
      <c r="C15" s="27" t="s">
        <v>111</v>
      </c>
      <c r="D15" s="25" t="s">
        <v>62</v>
      </c>
      <c r="E15" s="23"/>
      <c r="F15" s="55">
        <v>46297.0</v>
      </c>
      <c r="G15" s="30"/>
      <c r="H15" s="34">
        <v>40000.0</v>
      </c>
      <c r="I15" s="27" t="s">
        <v>26</v>
      </c>
      <c r="J15" s="19"/>
      <c r="K15" s="19"/>
      <c r="L15" s="27" t="s">
        <v>30</v>
      </c>
      <c r="M15" s="19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0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121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122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124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127</v>
      </c>
      <c r="O20" s="81" t="s">
        <v>34</v>
      </c>
      <c r="P20" s="1"/>
      <c r="Q20" s="1"/>
      <c r="R20" s="1"/>
    </row>
    <row r="21" ht="15.75" customHeight="1">
      <c r="A21" s="1"/>
      <c r="B21" s="82">
        <v>2.0</v>
      </c>
      <c r="C21" s="95" t="s">
        <v>138</v>
      </c>
      <c r="D21" s="97">
        <v>-75000.0</v>
      </c>
      <c r="E21" s="79"/>
      <c r="F21" s="1"/>
      <c r="G21" s="1"/>
      <c r="H21" s="1"/>
      <c r="I21" s="1"/>
      <c r="J21" s="1"/>
      <c r="K21" s="1"/>
      <c r="L21" s="1"/>
      <c r="N21" s="86" t="s">
        <v>130</v>
      </c>
      <c r="O21" s="87" t="s">
        <v>30</v>
      </c>
      <c r="P21" s="1"/>
      <c r="Q21" s="1"/>
      <c r="R21" s="1"/>
    </row>
    <row r="22" ht="15.75" customHeight="1">
      <c r="A22" s="1"/>
      <c r="B22" s="75">
        <v>3.0</v>
      </c>
      <c r="C22" s="100"/>
      <c r="D22" s="102"/>
      <c r="E22" s="79"/>
      <c r="F22" s="1"/>
      <c r="G22" s="1"/>
      <c r="H22" s="1"/>
      <c r="I22" s="1"/>
      <c r="J22" s="1"/>
      <c r="K22" s="1"/>
      <c r="L22" s="1"/>
      <c r="M22" s="1"/>
      <c r="N22" s="88" t="s">
        <v>132</v>
      </c>
      <c r="O22" s="89" t="s">
        <v>40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93" t="s">
        <v>135</v>
      </c>
      <c r="O23" s="87" t="s">
        <v>54</v>
      </c>
      <c r="P23" s="1"/>
      <c r="Q23" s="1"/>
      <c r="R23" s="1"/>
    </row>
    <row r="24" ht="15.75" customHeight="1">
      <c r="A24" s="1"/>
      <c r="B24" s="75">
        <v>5.0</v>
      </c>
      <c r="C24" s="100"/>
      <c r="D24" s="102"/>
      <c r="E24" s="79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9"/>
      <c r="F25" s="92"/>
      <c r="G25" s="1"/>
      <c r="H25" s="1"/>
      <c r="I25" s="1"/>
      <c r="J25" s="1"/>
      <c r="K25" s="96" t="s">
        <v>140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92"/>
      <c r="G26" s="1"/>
      <c r="H26" s="1"/>
      <c r="I26" s="1"/>
      <c r="J26" s="1"/>
      <c r="K26" s="98" t="s">
        <v>2</v>
      </c>
      <c r="L26" s="98" t="s">
        <v>142</v>
      </c>
      <c r="M26" s="98" t="s">
        <v>144</v>
      </c>
      <c r="N26" s="98" t="s">
        <v>145</v>
      </c>
      <c r="O26" s="98" t="s">
        <v>146</v>
      </c>
      <c r="P26" s="98" t="s">
        <v>147</v>
      </c>
      <c r="Q26" s="1"/>
      <c r="R26" s="1"/>
      <c r="AC26" s="99" t="s">
        <v>149</v>
      </c>
      <c r="AD26" s="99" t="s">
        <v>150</v>
      </c>
      <c r="AE26" s="99" t="s">
        <v>151</v>
      </c>
      <c r="AF26" s="99" t="s">
        <v>152</v>
      </c>
      <c r="AG26" s="99" t="s">
        <v>153</v>
      </c>
    </row>
    <row r="27" ht="15.75" customHeight="1">
      <c r="A27" s="1"/>
      <c r="B27" s="82">
        <v>8.0</v>
      </c>
      <c r="C27" s="90"/>
      <c r="D27" s="91"/>
      <c r="E27" s="79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82">
        <v>10.0</v>
      </c>
      <c r="C29" s="90"/>
      <c r="D29" s="91"/>
      <c r="E29" s="79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5">
        <v>11.0</v>
      </c>
      <c r="C30" s="107"/>
      <c r="D30" s="108"/>
      <c r="E30" s="79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0">
        <f>SUM(D20:D30)</f>
        <v>0</v>
      </c>
      <c r="E31" s="1"/>
      <c r="F31" s="1"/>
      <c r="G31" s="1"/>
      <c r="H31" s="1"/>
      <c r="I31" s="1"/>
      <c r="J31" s="1"/>
      <c r="K31" s="103"/>
      <c r="L31" s="111"/>
      <c r="M31" s="111"/>
      <c r="N31" s="111"/>
      <c r="O31" s="111"/>
      <c r="P31" s="111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1"/>
      <c r="M32" s="111"/>
      <c r="N32" s="111"/>
      <c r="O32" s="111"/>
      <c r="P32" s="111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2" t="s">
        <v>185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187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189</v>
      </c>
      <c r="M36" s="115" t="s">
        <v>190</v>
      </c>
    </row>
    <row r="37" ht="15.75" customHeight="1">
      <c r="K37" s="117" t="str">
        <f t="shared" ref="K37:K38" si="7">IF(O20="","",O20)</f>
        <v>AMEL</v>
      </c>
      <c r="L37" s="118">
        <v>3.0</v>
      </c>
      <c r="M37" s="121"/>
    </row>
    <row r="38" ht="15.75" customHeight="1">
      <c r="K38" s="117" t="str">
        <f t="shared" si="7"/>
        <v>INDAH</v>
      </c>
      <c r="L38" s="118">
        <v>2.0</v>
      </c>
      <c r="M38" s="121"/>
    </row>
    <row r="39" ht="15.75" customHeight="1"/>
    <row r="40" ht="19.5" customHeight="1">
      <c r="K40" s="123" t="s">
        <v>194</v>
      </c>
    </row>
    <row r="41" ht="19.5" customHeight="1">
      <c r="K41" s="124" t="s">
        <v>195</v>
      </c>
      <c r="M41" s="118">
        <v>39.0</v>
      </c>
    </row>
    <row r="42" ht="19.5" customHeight="1">
      <c r="K42" s="125" t="s">
        <v>197</v>
      </c>
      <c r="M42" s="126">
        <f>COUNTIF($I$4:$I$18,"DP")</f>
        <v>4</v>
      </c>
    </row>
    <row r="43" ht="19.5" customHeight="1">
      <c r="K43" s="125" t="s">
        <v>198</v>
      </c>
      <c r="M43" s="126">
        <f>COUNTIFS($I$4:$I$18,"&lt;&gt;DP",$I$4:$I$18,"&lt;&gt;")</f>
        <v>8</v>
      </c>
    </row>
    <row r="44" ht="19.5" customHeight="1">
      <c r="K44" s="128" t="s">
        <v>199</v>
      </c>
      <c r="M44" s="126">
        <f>M42+M43</f>
        <v>12</v>
      </c>
    </row>
    <row r="45" ht="19.5" customHeight="1">
      <c r="K45" s="124" t="s">
        <v>200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21</v>
      </c>
      <c r="D4" s="18" t="s">
        <v>23</v>
      </c>
      <c r="E4" s="23"/>
      <c r="F4" s="27" t="s">
        <v>25</v>
      </c>
      <c r="G4" s="33"/>
      <c r="H4" s="35">
        <v>100000.0</v>
      </c>
      <c r="I4" s="28" t="s">
        <v>35</v>
      </c>
      <c r="J4" s="17"/>
      <c r="K4" s="17"/>
      <c r="L4" s="28" t="s">
        <v>34</v>
      </c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18" t="s">
        <v>43</v>
      </c>
      <c r="D5" s="18" t="s">
        <v>23</v>
      </c>
      <c r="E5" s="23"/>
      <c r="F5" s="27" t="s">
        <v>47</v>
      </c>
      <c r="G5" s="33"/>
      <c r="H5" s="35">
        <v>100000.0</v>
      </c>
      <c r="I5" s="28" t="s">
        <v>35</v>
      </c>
      <c r="J5" s="17"/>
      <c r="K5" s="17"/>
      <c r="L5" s="28" t="s">
        <v>34</v>
      </c>
      <c r="M5" s="17"/>
      <c r="N5" s="29"/>
      <c r="O5" s="29"/>
      <c r="P5" s="31"/>
      <c r="Q5" s="1"/>
      <c r="R5" s="1"/>
    </row>
    <row r="6" ht="15.75" customHeight="1">
      <c r="A6" s="1"/>
      <c r="B6" s="17">
        <v>3.0</v>
      </c>
      <c r="C6" s="18" t="s">
        <v>55</v>
      </c>
      <c r="D6" s="18" t="s">
        <v>23</v>
      </c>
      <c r="E6" s="23"/>
      <c r="F6" s="27" t="s">
        <v>33</v>
      </c>
      <c r="G6" s="33"/>
      <c r="H6" s="35">
        <v>250000.0</v>
      </c>
      <c r="I6" s="28" t="s">
        <v>26</v>
      </c>
      <c r="J6" s="28" t="s">
        <v>28</v>
      </c>
      <c r="K6" s="28" t="s">
        <v>29</v>
      </c>
      <c r="L6" s="28" t="s">
        <v>34</v>
      </c>
      <c r="M6" s="28" t="s">
        <v>40</v>
      </c>
      <c r="N6" s="29"/>
      <c r="O6" s="29"/>
      <c r="P6" s="31"/>
      <c r="Q6" s="1"/>
      <c r="R6" s="1"/>
    </row>
    <row r="7" ht="15.75" customHeight="1">
      <c r="A7" s="1"/>
      <c r="B7" s="17">
        <v>4.0</v>
      </c>
      <c r="C7" s="18" t="s">
        <v>60</v>
      </c>
      <c r="D7" s="18" t="s">
        <v>23</v>
      </c>
      <c r="E7" s="23"/>
      <c r="F7" s="27" t="s">
        <v>33</v>
      </c>
      <c r="G7" s="46">
        <v>250000.0</v>
      </c>
      <c r="H7" s="47"/>
      <c r="I7" s="28" t="s">
        <v>26</v>
      </c>
      <c r="J7" s="28" t="s">
        <v>28</v>
      </c>
      <c r="K7" s="28" t="s">
        <v>29</v>
      </c>
      <c r="L7" s="28" t="s">
        <v>34</v>
      </c>
      <c r="M7" s="28" t="s">
        <v>68</v>
      </c>
      <c r="N7" s="29"/>
      <c r="O7" s="29"/>
      <c r="P7" s="31"/>
      <c r="Q7" s="1"/>
      <c r="R7" s="1"/>
    </row>
    <row r="8" ht="15.75" customHeight="1">
      <c r="A8" s="1"/>
      <c r="B8" s="17">
        <v>5.0</v>
      </c>
      <c r="C8" s="18" t="s">
        <v>69</v>
      </c>
      <c r="D8" s="18" t="s">
        <v>24</v>
      </c>
      <c r="E8" s="23"/>
      <c r="F8" s="27" t="s">
        <v>33</v>
      </c>
      <c r="G8" s="46">
        <v>400000.0</v>
      </c>
      <c r="H8" s="47"/>
      <c r="I8" s="28" t="s">
        <v>26</v>
      </c>
      <c r="J8" s="28" t="s">
        <v>28</v>
      </c>
      <c r="K8" s="28" t="s">
        <v>29</v>
      </c>
      <c r="L8" s="28" t="s">
        <v>34</v>
      </c>
      <c r="M8" s="28" t="s">
        <v>54</v>
      </c>
      <c r="N8" s="29"/>
      <c r="O8" s="29"/>
      <c r="P8" s="31"/>
      <c r="Q8" s="1"/>
      <c r="R8" s="1"/>
    </row>
    <row r="9" ht="15.75" customHeight="1">
      <c r="A9" s="1"/>
      <c r="B9" s="17">
        <v>6.0</v>
      </c>
      <c r="C9" s="52" t="s">
        <v>76</v>
      </c>
      <c r="D9" s="18" t="s">
        <v>23</v>
      </c>
      <c r="E9" s="23"/>
      <c r="F9" s="27" t="s">
        <v>33</v>
      </c>
      <c r="G9" s="46">
        <v>250000.0</v>
      </c>
      <c r="H9" s="47"/>
      <c r="I9" s="28" t="s">
        <v>26</v>
      </c>
      <c r="J9" s="28" t="s">
        <v>28</v>
      </c>
      <c r="K9" s="17"/>
      <c r="L9" s="28" t="s">
        <v>34</v>
      </c>
      <c r="M9" s="28" t="s">
        <v>40</v>
      </c>
      <c r="N9" s="29"/>
      <c r="O9" s="29"/>
      <c r="P9" s="31"/>
      <c r="Q9" s="1"/>
      <c r="R9" s="1"/>
    </row>
    <row r="10" ht="15.75" customHeight="1">
      <c r="A10" s="1"/>
      <c r="B10" s="17">
        <v>7.0</v>
      </c>
      <c r="C10" s="57" t="s">
        <v>84</v>
      </c>
      <c r="D10" s="18" t="s">
        <v>24</v>
      </c>
      <c r="E10" s="23"/>
      <c r="F10" s="19"/>
      <c r="G10" s="46">
        <v>400000.0</v>
      </c>
      <c r="H10" s="47"/>
      <c r="I10" s="28" t="s">
        <v>26</v>
      </c>
      <c r="J10" s="28" t="s">
        <v>28</v>
      </c>
      <c r="K10" s="17"/>
      <c r="L10" s="17"/>
      <c r="M10" s="28" t="s">
        <v>68</v>
      </c>
      <c r="N10" s="29"/>
      <c r="O10" s="29"/>
      <c r="P10" s="31"/>
      <c r="Q10" s="1"/>
      <c r="R10" s="1"/>
    </row>
    <row r="11" ht="15.75" customHeight="1">
      <c r="A11" s="1"/>
      <c r="B11" s="17">
        <v>8.0</v>
      </c>
      <c r="C11" s="18" t="s">
        <v>91</v>
      </c>
      <c r="D11" s="18" t="s">
        <v>23</v>
      </c>
      <c r="E11" s="23"/>
      <c r="F11" s="19"/>
      <c r="G11" s="46">
        <v>290000.0</v>
      </c>
      <c r="H11" s="47"/>
      <c r="I11" s="28" t="s">
        <v>26</v>
      </c>
      <c r="J11" s="17"/>
      <c r="K11" s="17"/>
      <c r="L11" s="17"/>
      <c r="M11" s="28" t="s">
        <v>68</v>
      </c>
      <c r="N11" s="29"/>
      <c r="O11" s="29"/>
      <c r="P11" s="31"/>
      <c r="Q11" s="1"/>
      <c r="R11" s="1"/>
    </row>
    <row r="12" ht="15.75" customHeight="1">
      <c r="A12" s="1"/>
      <c r="B12" s="17">
        <v>9.0</v>
      </c>
      <c r="C12" s="18" t="s">
        <v>96</v>
      </c>
      <c r="D12" s="18" t="s">
        <v>23</v>
      </c>
      <c r="E12" s="23"/>
      <c r="F12" s="19"/>
      <c r="G12" s="46">
        <v>350000.0</v>
      </c>
      <c r="H12" s="47"/>
      <c r="I12" s="28" t="s">
        <v>26</v>
      </c>
      <c r="J12" s="17"/>
      <c r="K12" s="17"/>
      <c r="L12" s="17"/>
      <c r="M12" s="28" t="s">
        <v>40</v>
      </c>
      <c r="N12" s="29"/>
      <c r="O12" s="29"/>
      <c r="P12" s="31"/>
      <c r="Q12" s="1"/>
      <c r="R12" s="1"/>
    </row>
    <row r="13" ht="15.75" customHeight="1">
      <c r="A13" s="1"/>
      <c r="B13" s="17">
        <v>10.0</v>
      </c>
      <c r="C13" s="18" t="s">
        <v>101</v>
      </c>
      <c r="D13" s="18" t="s">
        <v>23</v>
      </c>
      <c r="E13" s="23"/>
      <c r="F13" s="19"/>
      <c r="G13" s="46">
        <v>250000.0</v>
      </c>
      <c r="H13" s="47"/>
      <c r="I13" s="28" t="s">
        <v>26</v>
      </c>
      <c r="J13" s="17"/>
      <c r="K13" s="17"/>
      <c r="L13" s="17"/>
      <c r="M13" s="28" t="s">
        <v>73</v>
      </c>
      <c r="N13" s="29"/>
      <c r="O13" s="29"/>
      <c r="P13" s="31"/>
      <c r="Q13" s="1"/>
      <c r="R13" s="1"/>
    </row>
    <row r="14" ht="15.75" customHeight="1">
      <c r="A14" s="1"/>
      <c r="B14" s="17">
        <v>11.0</v>
      </c>
      <c r="C14" s="18" t="s">
        <v>105</v>
      </c>
      <c r="D14" s="18" t="s">
        <v>23</v>
      </c>
      <c r="E14" s="23"/>
      <c r="F14" s="19"/>
      <c r="G14" s="46"/>
      <c r="H14" s="35">
        <v>310000.0</v>
      </c>
      <c r="I14" s="28" t="s">
        <v>26</v>
      </c>
      <c r="J14" s="17"/>
      <c r="K14" s="17"/>
      <c r="L14" s="17"/>
      <c r="M14" s="28" t="s">
        <v>54</v>
      </c>
      <c r="N14" s="29"/>
      <c r="O14" s="29"/>
      <c r="P14" s="31"/>
      <c r="Q14" s="1"/>
      <c r="R14" s="1"/>
    </row>
    <row r="15" ht="15.75" customHeight="1">
      <c r="A15" s="1"/>
      <c r="B15" s="17">
        <v>12.0</v>
      </c>
      <c r="C15" s="67" t="s">
        <v>109</v>
      </c>
      <c r="D15" s="18" t="s">
        <v>23</v>
      </c>
      <c r="E15" s="23"/>
      <c r="F15" s="19"/>
      <c r="G15" s="33"/>
      <c r="H15" s="35">
        <v>290000.0</v>
      </c>
      <c r="I15" s="28" t="s">
        <v>26</v>
      </c>
      <c r="J15" s="28" t="s">
        <v>28</v>
      </c>
      <c r="K15" s="28" t="s">
        <v>29</v>
      </c>
      <c r="L15" s="17"/>
      <c r="M15" s="28" t="s">
        <v>68</v>
      </c>
      <c r="N15" s="29"/>
      <c r="O15" s="29"/>
      <c r="P15" s="31"/>
      <c r="Q15" s="1"/>
      <c r="R15" s="1"/>
    </row>
    <row r="16" ht="15.75" customHeight="1">
      <c r="A16" s="1"/>
      <c r="B16" s="17">
        <v>13.0</v>
      </c>
      <c r="C16" s="18" t="s">
        <v>113</v>
      </c>
      <c r="D16" s="18" t="s">
        <v>23</v>
      </c>
      <c r="E16" s="23"/>
      <c r="F16" s="19"/>
      <c r="G16" s="33"/>
      <c r="H16" s="35">
        <v>250000.0</v>
      </c>
      <c r="I16" s="28" t="s">
        <v>26</v>
      </c>
      <c r="J16" s="28" t="s">
        <v>28</v>
      </c>
      <c r="K16" s="28" t="s">
        <v>29</v>
      </c>
      <c r="L16" s="17"/>
      <c r="M16" s="28" t="s">
        <v>73</v>
      </c>
      <c r="N16" s="29"/>
      <c r="O16" s="29"/>
      <c r="P16" s="31"/>
      <c r="Q16" s="1"/>
      <c r="R16" s="1"/>
    </row>
    <row r="17" ht="15.75" customHeight="1">
      <c r="A17" s="1"/>
      <c r="B17" s="17">
        <v>14.0</v>
      </c>
      <c r="C17" s="18" t="s">
        <v>116</v>
      </c>
      <c r="D17" s="18" t="s">
        <v>24</v>
      </c>
      <c r="E17" s="23"/>
      <c r="F17" s="19"/>
      <c r="G17" s="33"/>
      <c r="H17" s="35">
        <v>450000.0</v>
      </c>
      <c r="I17" s="28" t="s">
        <v>26</v>
      </c>
      <c r="J17" s="28" t="s">
        <v>28</v>
      </c>
      <c r="K17" s="28" t="s">
        <v>29</v>
      </c>
      <c r="L17" s="17"/>
      <c r="M17" s="28" t="s">
        <v>68</v>
      </c>
      <c r="N17" s="29"/>
      <c r="O17" s="29"/>
      <c r="P17" s="31"/>
      <c r="Q17" s="1"/>
      <c r="R17" s="1"/>
    </row>
    <row r="18" ht="15.75" customHeight="1">
      <c r="A18" s="1"/>
      <c r="B18" s="17">
        <v>15.0</v>
      </c>
      <c r="C18" s="18" t="s">
        <v>118</v>
      </c>
      <c r="D18" s="18" t="s">
        <v>23</v>
      </c>
      <c r="E18" s="23"/>
      <c r="F18" s="19"/>
      <c r="G18" s="46">
        <v>250000.0</v>
      </c>
      <c r="H18" s="47"/>
      <c r="I18" s="28" t="s">
        <v>26</v>
      </c>
      <c r="J18" s="17"/>
      <c r="K18" s="17"/>
      <c r="L18" s="17"/>
      <c r="M18" s="28" t="s">
        <v>40</v>
      </c>
      <c r="N18" s="29"/>
      <c r="O18" s="29"/>
      <c r="P18" s="31"/>
      <c r="Q18" s="1"/>
      <c r="R18" s="1"/>
    </row>
    <row r="19" ht="15.75" customHeight="1">
      <c r="A19" s="1"/>
      <c r="B19" s="17">
        <v>16.0</v>
      </c>
      <c r="C19" s="18" t="s">
        <v>125</v>
      </c>
      <c r="D19" s="18" t="s">
        <v>23</v>
      </c>
      <c r="E19" s="23"/>
      <c r="F19" s="27" t="s">
        <v>33</v>
      </c>
      <c r="G19" s="46">
        <v>290000.0</v>
      </c>
      <c r="H19" s="47"/>
      <c r="I19" s="28" t="s">
        <v>26</v>
      </c>
      <c r="J19" s="28" t="s">
        <v>28</v>
      </c>
      <c r="K19" s="28" t="s">
        <v>29</v>
      </c>
      <c r="L19" s="17"/>
      <c r="M19" s="28" t="s">
        <v>54</v>
      </c>
      <c r="N19" s="29"/>
      <c r="O19" s="29"/>
      <c r="P19" s="31"/>
      <c r="Q19" s="1"/>
      <c r="R19" s="1"/>
    </row>
    <row r="20" ht="15.75" customHeight="1">
      <c r="A20" s="1"/>
      <c r="B20" s="17">
        <v>17.0</v>
      </c>
      <c r="C20" s="85" t="s">
        <v>129</v>
      </c>
      <c r="D20" s="18" t="s">
        <v>23</v>
      </c>
      <c r="E20" s="23"/>
      <c r="F20" s="19"/>
      <c r="G20" s="33"/>
      <c r="H20" s="35">
        <v>260000.0</v>
      </c>
      <c r="I20" s="28" t="s">
        <v>26</v>
      </c>
      <c r="J20" s="17"/>
      <c r="K20" s="17"/>
      <c r="L20" s="17"/>
      <c r="M20" s="28" t="s">
        <v>73</v>
      </c>
      <c r="N20" s="29"/>
      <c r="O20" s="29"/>
      <c r="P20" s="31"/>
      <c r="Q20" s="1"/>
      <c r="R20" s="1"/>
    </row>
    <row r="21" ht="15.75" customHeight="1">
      <c r="A21" s="1"/>
      <c r="B21" s="17">
        <v>18.0</v>
      </c>
      <c r="C21" s="18" t="s">
        <v>133</v>
      </c>
      <c r="D21" s="18" t="s">
        <v>23</v>
      </c>
      <c r="E21" s="23"/>
      <c r="G21" s="33"/>
      <c r="H21" s="35">
        <v>250000.0</v>
      </c>
      <c r="I21" s="28" t="s">
        <v>26</v>
      </c>
      <c r="J21" s="17"/>
      <c r="K21" s="17"/>
      <c r="L21" s="17"/>
      <c r="M21" s="28" t="s">
        <v>40</v>
      </c>
      <c r="N21" s="29"/>
      <c r="O21" s="29"/>
      <c r="P21" s="31"/>
      <c r="Q21" s="1"/>
      <c r="R21" s="1"/>
    </row>
    <row r="22" ht="15.75" customHeight="1">
      <c r="A22" s="1"/>
      <c r="B22" s="17">
        <v>19.0</v>
      </c>
      <c r="C22" s="54" t="s">
        <v>137</v>
      </c>
      <c r="D22" s="18" t="s">
        <v>24</v>
      </c>
      <c r="E22" s="23"/>
      <c r="F22" s="19"/>
      <c r="G22" s="33"/>
      <c r="H22" s="35">
        <v>440000.0</v>
      </c>
      <c r="I22" s="28" t="s">
        <v>26</v>
      </c>
      <c r="J22" s="17"/>
      <c r="K22" s="17"/>
      <c r="L22" s="17"/>
      <c r="M22" s="28" t="s">
        <v>54</v>
      </c>
      <c r="N22" s="29"/>
      <c r="O22" s="29"/>
      <c r="P22" s="31"/>
      <c r="Q22" s="1"/>
      <c r="R22" s="1"/>
    </row>
    <row r="23" ht="15.75" customHeight="1">
      <c r="A23" s="1"/>
      <c r="B23" s="17">
        <v>20.0</v>
      </c>
      <c r="C23" s="18" t="s">
        <v>143</v>
      </c>
      <c r="D23" s="18" t="s">
        <v>23</v>
      </c>
      <c r="E23" s="23"/>
      <c r="F23" s="19"/>
      <c r="G23" s="46">
        <v>290000.0</v>
      </c>
      <c r="H23" s="47"/>
      <c r="I23" s="28" t="s">
        <v>26</v>
      </c>
      <c r="J23" s="17"/>
      <c r="K23" s="17"/>
      <c r="L23" s="17"/>
      <c r="M23" s="28" t="s">
        <v>68</v>
      </c>
      <c r="N23" s="29"/>
      <c r="O23" s="29"/>
      <c r="P23" s="31"/>
      <c r="Q23" s="1"/>
      <c r="R23" s="1"/>
    </row>
    <row r="24" ht="15.75" customHeight="1">
      <c r="A24" s="1"/>
      <c r="B24" s="17">
        <v>21.0</v>
      </c>
      <c r="C24" s="18" t="s">
        <v>155</v>
      </c>
      <c r="D24" s="18" t="s">
        <v>23</v>
      </c>
      <c r="E24" s="23"/>
      <c r="F24" s="19"/>
      <c r="G24" s="33"/>
      <c r="H24" s="35">
        <v>570000.0</v>
      </c>
      <c r="I24" s="28" t="s">
        <v>26</v>
      </c>
      <c r="J24" s="17"/>
      <c r="K24" s="17"/>
      <c r="L24" s="17"/>
      <c r="M24" s="28" t="s">
        <v>40</v>
      </c>
      <c r="N24" s="29"/>
      <c r="O24" s="29"/>
      <c r="P24" s="31"/>
      <c r="Q24" s="1"/>
      <c r="R24" s="1"/>
    </row>
    <row r="25" ht="15.75" customHeight="1">
      <c r="A25" s="1"/>
      <c r="B25" s="17">
        <v>22.0</v>
      </c>
      <c r="C25" s="18" t="s">
        <v>158</v>
      </c>
      <c r="D25" s="18" t="s">
        <v>23</v>
      </c>
      <c r="E25" s="23"/>
      <c r="F25" s="19"/>
      <c r="G25" s="33"/>
      <c r="H25" s="35">
        <v>330000.0</v>
      </c>
      <c r="I25" s="28" t="s">
        <v>26</v>
      </c>
      <c r="J25" s="17"/>
      <c r="K25" s="17"/>
      <c r="L25" s="17"/>
      <c r="M25" s="28" t="s">
        <v>40</v>
      </c>
      <c r="N25" s="29"/>
      <c r="O25" s="29"/>
      <c r="P25" s="31"/>
      <c r="Q25" s="1"/>
      <c r="R25" s="1"/>
    </row>
    <row r="26" ht="15.75" customHeight="1">
      <c r="A26" s="1"/>
      <c r="B26" s="17">
        <v>23.0</v>
      </c>
      <c r="C26" s="18" t="s">
        <v>160</v>
      </c>
      <c r="D26" s="18" t="s">
        <v>23</v>
      </c>
      <c r="E26" s="23"/>
      <c r="F26" s="19"/>
      <c r="G26" s="33"/>
      <c r="H26" s="35">
        <v>290000.0</v>
      </c>
      <c r="I26" s="28" t="s">
        <v>26</v>
      </c>
      <c r="J26" s="28" t="s">
        <v>28</v>
      </c>
      <c r="K26" s="17"/>
      <c r="L26" s="17"/>
      <c r="M26" s="28" t="s">
        <v>54</v>
      </c>
      <c r="N26" s="29"/>
      <c r="O26" s="29"/>
      <c r="P26" s="31"/>
      <c r="Q26" s="1"/>
      <c r="R26" s="1"/>
    </row>
    <row r="27" ht="15.75" customHeight="1">
      <c r="A27" s="1"/>
      <c r="B27" s="17">
        <v>24.0</v>
      </c>
      <c r="C27" s="18" t="s">
        <v>162</v>
      </c>
      <c r="D27" s="18" t="s">
        <v>37</v>
      </c>
      <c r="E27" s="23"/>
      <c r="F27" s="55">
        <v>46299.0</v>
      </c>
      <c r="G27" s="33"/>
      <c r="H27" s="35">
        <v>100000.0</v>
      </c>
      <c r="I27" s="28" t="s">
        <v>26</v>
      </c>
      <c r="J27" s="17"/>
      <c r="K27" s="17"/>
      <c r="L27" s="28" t="s">
        <v>30</v>
      </c>
      <c r="M27" s="17"/>
      <c r="N27" s="29"/>
      <c r="O27" s="29"/>
      <c r="P27" s="31"/>
      <c r="Q27" s="1"/>
      <c r="R27" s="1"/>
    </row>
    <row r="28" ht="15.75" customHeight="1">
      <c r="A28" s="1"/>
      <c r="B28" s="17">
        <v>25.0</v>
      </c>
      <c r="C28" s="18" t="s">
        <v>165</v>
      </c>
      <c r="D28" s="18" t="s">
        <v>23</v>
      </c>
      <c r="E28" s="23"/>
      <c r="F28" s="19"/>
      <c r="G28" s="33"/>
      <c r="H28" s="35">
        <v>250000.0</v>
      </c>
      <c r="I28" s="28" t="s">
        <v>26</v>
      </c>
      <c r="J28" s="17"/>
      <c r="K28" s="17"/>
      <c r="L28" s="17"/>
      <c r="M28" s="28" t="s">
        <v>68</v>
      </c>
      <c r="N28" s="29"/>
      <c r="O28" s="29"/>
      <c r="P28" s="31"/>
      <c r="Q28" s="1"/>
      <c r="R28" s="1"/>
    </row>
    <row r="29" ht="15.75" customHeight="1">
      <c r="A29" s="1"/>
      <c r="B29" s="17">
        <v>26.0</v>
      </c>
      <c r="C29" s="18" t="s">
        <v>167</v>
      </c>
      <c r="D29" s="18" t="s">
        <v>23</v>
      </c>
      <c r="E29" s="23"/>
      <c r="F29" s="19"/>
      <c r="G29" s="33"/>
      <c r="H29" s="35">
        <v>250000.0</v>
      </c>
      <c r="I29" s="28" t="s">
        <v>26</v>
      </c>
      <c r="J29" s="17"/>
      <c r="K29" s="17"/>
      <c r="L29" s="17"/>
      <c r="M29" s="17"/>
      <c r="N29" s="29"/>
      <c r="O29" s="29"/>
      <c r="P29" s="31"/>
      <c r="Q29" s="1"/>
      <c r="R29" s="1"/>
    </row>
    <row r="30" ht="15.75" customHeight="1">
      <c r="A30" s="1"/>
      <c r="B30" s="17">
        <v>27.0</v>
      </c>
      <c r="C30" s="18" t="s">
        <v>170</v>
      </c>
      <c r="D30" s="18" t="s">
        <v>23</v>
      </c>
      <c r="E30" s="23"/>
      <c r="F30" s="19"/>
      <c r="G30" s="33"/>
      <c r="H30" s="35">
        <v>250000.0</v>
      </c>
      <c r="I30" s="28" t="s">
        <v>26</v>
      </c>
      <c r="J30" s="17"/>
      <c r="K30" s="17"/>
      <c r="L30" s="17"/>
      <c r="M30" s="28" t="s">
        <v>40</v>
      </c>
      <c r="N30" s="29"/>
      <c r="O30" s="29"/>
      <c r="P30" s="31"/>
      <c r="Q30" s="1"/>
      <c r="R30" s="1"/>
    </row>
    <row r="31" ht="15.75" customHeight="1">
      <c r="A31" s="1"/>
      <c r="B31" s="17">
        <v>28.0</v>
      </c>
      <c r="C31" s="64" t="s">
        <v>173</v>
      </c>
      <c r="D31" s="18" t="s">
        <v>23</v>
      </c>
      <c r="E31" s="23"/>
      <c r="F31" s="19"/>
      <c r="G31" s="46">
        <v>250000.0</v>
      </c>
      <c r="H31" s="47"/>
      <c r="I31" s="28" t="s">
        <v>26</v>
      </c>
      <c r="J31" s="17"/>
      <c r="K31" s="17"/>
      <c r="L31" s="28" t="s">
        <v>34</v>
      </c>
      <c r="M31" s="28" t="s">
        <v>73</v>
      </c>
      <c r="N31" s="29"/>
      <c r="O31" s="29"/>
      <c r="P31" s="31"/>
      <c r="Q31" s="1"/>
      <c r="R31" s="1"/>
    </row>
    <row r="32" ht="15.75" customHeight="1">
      <c r="A32" s="1"/>
      <c r="B32" s="17">
        <v>29.0</v>
      </c>
      <c r="C32" s="106" t="s">
        <v>175</v>
      </c>
      <c r="D32" s="18" t="s">
        <v>23</v>
      </c>
      <c r="E32" s="23"/>
      <c r="F32" s="19"/>
      <c r="G32" s="46"/>
      <c r="H32" s="35">
        <v>330000.0</v>
      </c>
      <c r="I32" s="28" t="s">
        <v>26</v>
      </c>
      <c r="J32" s="17"/>
      <c r="K32" s="17"/>
      <c r="L32" s="28" t="s">
        <v>34</v>
      </c>
      <c r="M32" s="28" t="s">
        <v>68</v>
      </c>
      <c r="N32" s="29"/>
      <c r="O32" s="29"/>
      <c r="P32" s="31"/>
      <c r="Q32" s="1"/>
      <c r="R32" s="1"/>
    </row>
    <row r="33" ht="15.75" customHeight="1">
      <c r="A33" s="1"/>
      <c r="B33" s="17">
        <v>30.0</v>
      </c>
      <c r="C33" s="109" t="s">
        <v>178</v>
      </c>
      <c r="D33" s="18" t="s">
        <v>23</v>
      </c>
      <c r="E33" s="23"/>
      <c r="F33" s="19"/>
      <c r="G33" s="46">
        <v>270000.0</v>
      </c>
      <c r="H33" s="47"/>
      <c r="I33" s="28" t="s">
        <v>26</v>
      </c>
      <c r="J33" s="17"/>
      <c r="K33" s="17"/>
      <c r="L33" s="28" t="s">
        <v>30</v>
      </c>
      <c r="M33" s="28" t="s">
        <v>54</v>
      </c>
      <c r="N33" s="29"/>
      <c r="O33" s="29"/>
      <c r="P33" s="31"/>
      <c r="Q33" s="1"/>
      <c r="R33" s="1"/>
    </row>
    <row r="34" ht="15.75" customHeight="1">
      <c r="A34" s="1"/>
      <c r="B34" s="17">
        <v>31.0</v>
      </c>
      <c r="C34" s="18" t="s">
        <v>182</v>
      </c>
      <c r="D34" s="18" t="s">
        <v>23</v>
      </c>
      <c r="E34" s="23"/>
      <c r="F34" s="19"/>
      <c r="G34" s="46">
        <v>250000.0</v>
      </c>
      <c r="H34" s="47"/>
      <c r="I34" s="28" t="s">
        <v>26</v>
      </c>
      <c r="J34" s="17"/>
      <c r="K34" s="17"/>
      <c r="L34" s="17"/>
      <c r="M34" s="28" t="s">
        <v>68</v>
      </c>
      <c r="N34" s="29"/>
      <c r="O34" s="29"/>
      <c r="P34" s="31"/>
      <c r="Q34" s="1"/>
      <c r="R34" s="1"/>
    </row>
    <row r="35" ht="15.75" customHeight="1">
      <c r="A35" s="1"/>
      <c r="B35" s="17">
        <v>32.0</v>
      </c>
      <c r="C35" s="18" t="s">
        <v>186</v>
      </c>
      <c r="D35" s="18" t="s">
        <v>23</v>
      </c>
      <c r="E35" s="23"/>
      <c r="F35" s="27"/>
      <c r="G35" s="46" t="s">
        <v>39</v>
      </c>
      <c r="H35" s="35" t="s">
        <v>39</v>
      </c>
      <c r="I35" s="28" t="s">
        <v>26</v>
      </c>
      <c r="J35" s="17"/>
      <c r="K35" s="17"/>
      <c r="L35" s="28" t="s">
        <v>34</v>
      </c>
      <c r="M35" s="28" t="s">
        <v>54</v>
      </c>
      <c r="N35" s="29"/>
      <c r="O35" s="29"/>
      <c r="P35" s="31"/>
      <c r="Q35" s="1"/>
      <c r="R35" s="1"/>
    </row>
    <row r="36" ht="15.75" customHeight="1">
      <c r="A36" s="1"/>
      <c r="B36" s="17">
        <v>33.0</v>
      </c>
      <c r="C36" s="18" t="s">
        <v>188</v>
      </c>
      <c r="D36" s="18" t="s">
        <v>23</v>
      </c>
      <c r="E36" s="23"/>
      <c r="F36" s="19"/>
      <c r="G36" s="33"/>
      <c r="H36" s="35">
        <v>250000.0</v>
      </c>
      <c r="I36" s="28" t="s">
        <v>26</v>
      </c>
      <c r="J36" s="17"/>
      <c r="K36" s="17"/>
      <c r="L36" s="28" t="s">
        <v>34</v>
      </c>
      <c r="M36" s="28" t="s">
        <v>73</v>
      </c>
      <c r="N36" s="29"/>
      <c r="O36" s="29"/>
      <c r="P36" s="31"/>
      <c r="Q36" s="1"/>
      <c r="R36" s="1"/>
    </row>
    <row r="37" ht="15.75" customHeight="1">
      <c r="A37" s="1"/>
      <c r="B37" s="17">
        <v>34.0</v>
      </c>
      <c r="C37" s="120" t="s">
        <v>193</v>
      </c>
      <c r="D37" s="18" t="s">
        <v>23</v>
      </c>
      <c r="E37" s="23"/>
      <c r="F37" s="19"/>
      <c r="G37" s="46">
        <v>250000.0</v>
      </c>
      <c r="H37" s="47"/>
      <c r="I37" s="28" t="s">
        <v>26</v>
      </c>
      <c r="J37" s="17"/>
      <c r="K37" s="17"/>
      <c r="L37" s="28" t="s">
        <v>34</v>
      </c>
      <c r="M37" s="28" t="s">
        <v>40</v>
      </c>
      <c r="N37" s="29"/>
      <c r="O37" s="29"/>
      <c r="P37" s="31"/>
      <c r="Q37" s="1"/>
      <c r="R37" s="1"/>
    </row>
    <row r="38" ht="15.75" customHeight="1">
      <c r="A38" s="1"/>
      <c r="B38" s="17">
        <v>35.0</v>
      </c>
      <c r="C38" s="18" t="s">
        <v>196</v>
      </c>
      <c r="D38" s="18" t="s">
        <v>23</v>
      </c>
      <c r="E38" s="23"/>
      <c r="F38" s="19"/>
      <c r="G38" s="46">
        <v>310000.0</v>
      </c>
      <c r="H38" s="47"/>
      <c r="I38" s="28" t="s">
        <v>26</v>
      </c>
      <c r="J38" s="17"/>
      <c r="K38" s="17"/>
      <c r="L38" s="28" t="s">
        <v>34</v>
      </c>
      <c r="M38" s="28" t="s">
        <v>54</v>
      </c>
      <c r="N38" s="29"/>
      <c r="O38" s="29"/>
      <c r="P38" s="31"/>
      <c r="Q38" s="1"/>
      <c r="R38" s="1"/>
    </row>
    <row r="39" ht="15.75" customHeight="1">
      <c r="A39" s="1"/>
      <c r="B39" s="17">
        <v>36.0</v>
      </c>
      <c r="C39" s="54" t="s">
        <v>67</v>
      </c>
      <c r="D39" s="18" t="s">
        <v>23</v>
      </c>
      <c r="E39" s="23"/>
      <c r="F39" s="19"/>
      <c r="G39" s="127"/>
      <c r="H39" s="34">
        <v>330000.0</v>
      </c>
      <c r="I39" s="28" t="s">
        <v>26</v>
      </c>
      <c r="J39" s="17"/>
      <c r="K39" s="17"/>
      <c r="L39" s="17"/>
      <c r="M39" s="28" t="s">
        <v>68</v>
      </c>
      <c r="N39" s="17"/>
      <c r="O39" s="17"/>
      <c r="P39" s="129"/>
      <c r="Q39" s="1"/>
      <c r="R39" s="1"/>
    </row>
    <row r="40" ht="15.75" customHeight="1">
      <c r="A40" s="1"/>
      <c r="B40" s="17">
        <v>37.0</v>
      </c>
      <c r="C40" s="18" t="s">
        <v>201</v>
      </c>
      <c r="D40" s="18" t="s">
        <v>23</v>
      </c>
      <c r="E40" s="23"/>
      <c r="F40" s="19"/>
      <c r="G40" s="127"/>
      <c r="H40" s="34">
        <v>290000.0</v>
      </c>
      <c r="I40" s="28" t="s">
        <v>26</v>
      </c>
      <c r="J40" s="17"/>
      <c r="K40" s="17"/>
      <c r="L40" s="28" t="s">
        <v>34</v>
      </c>
      <c r="M40" s="28" t="s">
        <v>40</v>
      </c>
      <c r="N40" s="17"/>
      <c r="O40" s="17"/>
      <c r="P40" s="129"/>
      <c r="Q40" s="1"/>
      <c r="R40" s="1"/>
    </row>
    <row r="41" ht="15.75" customHeight="1">
      <c r="A41" s="1"/>
      <c r="B41" s="17">
        <v>38.0</v>
      </c>
      <c r="C41" s="18" t="s">
        <v>184</v>
      </c>
      <c r="D41" s="18" t="s">
        <v>23</v>
      </c>
      <c r="E41" s="23"/>
      <c r="F41" s="19"/>
      <c r="G41" s="127"/>
      <c r="H41" s="34">
        <v>250000.0</v>
      </c>
      <c r="I41" s="28" t="s">
        <v>26</v>
      </c>
      <c r="J41" s="17"/>
      <c r="K41" s="17"/>
      <c r="L41" s="17"/>
      <c r="M41" s="28" t="s">
        <v>73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202</v>
      </c>
      <c r="D42" s="18" t="s">
        <v>23</v>
      </c>
      <c r="E42" s="23"/>
      <c r="F42" s="19"/>
      <c r="G42" s="43">
        <v>250000.0</v>
      </c>
      <c r="H42" s="44"/>
      <c r="I42" s="28" t="s">
        <v>26</v>
      </c>
      <c r="J42" s="17"/>
      <c r="K42" s="17"/>
      <c r="L42" s="17"/>
      <c r="M42" s="28" t="s">
        <v>54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203</v>
      </c>
      <c r="D43" s="18" t="s">
        <v>23</v>
      </c>
      <c r="E43" s="23"/>
      <c r="F43" s="19"/>
      <c r="G43" s="127"/>
      <c r="H43" s="34">
        <v>250000.0</v>
      </c>
      <c r="I43" s="28" t="s">
        <v>26</v>
      </c>
      <c r="J43" s="17"/>
      <c r="K43" s="17"/>
      <c r="L43" s="17"/>
      <c r="M43" s="28" t="s">
        <v>40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204</v>
      </c>
      <c r="D44" s="18" t="s">
        <v>23</v>
      </c>
      <c r="E44" s="40"/>
      <c r="F44" s="19"/>
      <c r="G44" s="132"/>
      <c r="H44" s="43">
        <v>290000.0</v>
      </c>
      <c r="I44" s="28" t="s">
        <v>26</v>
      </c>
      <c r="J44" s="17"/>
      <c r="K44" s="17"/>
      <c r="L44" s="17"/>
      <c r="M44" s="28" t="s">
        <v>54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71</v>
      </c>
      <c r="D45" s="18" t="s">
        <v>23</v>
      </c>
      <c r="E45" s="19"/>
      <c r="F45" s="17"/>
      <c r="G45" s="133"/>
      <c r="H45" s="26">
        <v>250000.0</v>
      </c>
      <c r="I45" s="28" t="s">
        <v>26</v>
      </c>
      <c r="J45" s="17"/>
      <c r="K45" s="17"/>
      <c r="L45" s="28" t="s">
        <v>34</v>
      </c>
      <c r="M45" s="28" t="s">
        <v>54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206</v>
      </c>
      <c r="D46" s="18" t="s">
        <v>23</v>
      </c>
      <c r="E46" s="19"/>
      <c r="F46" s="17"/>
      <c r="G46" s="133"/>
      <c r="H46" s="26">
        <v>610000.0</v>
      </c>
      <c r="I46" s="28" t="s">
        <v>26</v>
      </c>
      <c r="J46" s="17"/>
      <c r="K46" s="17"/>
      <c r="L46" s="28" t="s">
        <v>34</v>
      </c>
      <c r="M46" s="28" t="s">
        <v>68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207</v>
      </c>
      <c r="D47" s="18" t="s">
        <v>23</v>
      </c>
      <c r="E47" s="19"/>
      <c r="F47" s="17"/>
      <c r="G47" s="133"/>
      <c r="H47" s="26">
        <v>250000.0</v>
      </c>
      <c r="I47" s="28" t="s">
        <v>26</v>
      </c>
      <c r="J47" s="17"/>
      <c r="K47" s="17"/>
      <c r="L47" s="28" t="s">
        <v>34</v>
      </c>
      <c r="M47" s="28" t="s">
        <v>40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208</v>
      </c>
      <c r="D48" s="18" t="s">
        <v>23</v>
      </c>
      <c r="E48" s="19"/>
      <c r="F48" s="17"/>
      <c r="G48" s="137">
        <v>290000.0</v>
      </c>
      <c r="H48" s="56"/>
      <c r="I48" s="28" t="s">
        <v>26</v>
      </c>
      <c r="J48" s="17"/>
      <c r="K48" s="17"/>
      <c r="L48" s="28" t="s">
        <v>30</v>
      </c>
      <c r="M48" s="28" t="s">
        <v>54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209</v>
      </c>
      <c r="D49" s="18" t="s">
        <v>23</v>
      </c>
      <c r="E49" s="19"/>
      <c r="F49" s="28" t="s">
        <v>61</v>
      </c>
      <c r="G49" s="133"/>
      <c r="H49" s="26">
        <v>100000.0</v>
      </c>
      <c r="I49" s="28" t="s">
        <v>35</v>
      </c>
      <c r="J49" s="17"/>
      <c r="K49" s="17"/>
      <c r="L49" s="28" t="s">
        <v>34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210</v>
      </c>
      <c r="D50" s="18" t="s">
        <v>212</v>
      </c>
      <c r="E50" s="19"/>
      <c r="F50" s="28" t="s">
        <v>33</v>
      </c>
      <c r="G50" s="133"/>
      <c r="H50" s="26">
        <v>200000.0</v>
      </c>
      <c r="I50" s="28" t="s">
        <v>26</v>
      </c>
      <c r="J50" s="28" t="s">
        <v>28</v>
      </c>
      <c r="K50" s="17"/>
      <c r="L50" s="28" t="s">
        <v>34</v>
      </c>
      <c r="M50" s="28" t="s">
        <v>40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28"/>
      <c r="G51" s="133"/>
      <c r="H51" s="56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5"/>
      <c r="D52" s="65"/>
      <c r="E52" s="19"/>
      <c r="F52" s="17"/>
      <c r="G52" s="133"/>
      <c r="H52" s="56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5"/>
      <c r="D53" s="65"/>
      <c r="E53" s="19"/>
      <c r="F53" s="17"/>
      <c r="G53" s="133"/>
      <c r="H53" s="56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5"/>
      <c r="D54" s="65"/>
      <c r="E54" s="19"/>
      <c r="F54" s="17"/>
      <c r="G54" s="133"/>
      <c r="H54" s="56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5"/>
      <c r="D55" s="65"/>
      <c r="E55" s="138"/>
      <c r="F55" s="17"/>
      <c r="G55" s="133"/>
      <c r="H55" s="56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5"/>
      <c r="D56" s="65"/>
      <c r="E56" s="138"/>
      <c r="F56" s="17"/>
      <c r="G56" s="133"/>
      <c r="H56" s="56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5"/>
      <c r="D57" s="65"/>
      <c r="E57" s="138"/>
      <c r="F57" s="17"/>
      <c r="G57" s="133"/>
      <c r="H57" s="56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5"/>
      <c r="D58" s="65"/>
      <c r="E58" s="138"/>
      <c r="F58" s="17"/>
      <c r="G58" s="133"/>
      <c r="H58" s="56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5"/>
      <c r="D59" s="65"/>
      <c r="E59" s="138"/>
      <c r="F59" s="17"/>
      <c r="G59" s="133"/>
      <c r="H59" s="56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5"/>
      <c r="D60" s="65"/>
      <c r="E60" s="138"/>
      <c r="F60" s="17"/>
      <c r="G60" s="133"/>
      <c r="H60" s="56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5"/>
      <c r="D61" s="65"/>
      <c r="E61" s="138"/>
      <c r="F61" s="17"/>
      <c r="G61" s="133"/>
      <c r="H61" s="56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5"/>
      <c r="D62" s="65"/>
      <c r="E62" s="19"/>
      <c r="F62" s="17"/>
      <c r="G62" s="133"/>
      <c r="H62" s="56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1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121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122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124</v>
      </c>
      <c r="D67" s="139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127</v>
      </c>
      <c r="O67" s="81" t="s">
        <v>30</v>
      </c>
      <c r="P67" s="1"/>
      <c r="Q67" s="1"/>
      <c r="R67" s="1"/>
    </row>
    <row r="68" ht="15.75" customHeight="1">
      <c r="A68" s="1"/>
      <c r="B68" s="82">
        <v>2.0</v>
      </c>
      <c r="C68" s="140" t="s">
        <v>215</v>
      </c>
      <c r="D68" s="141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6" t="s">
        <v>130</v>
      </c>
      <c r="O68" s="87" t="s">
        <v>34</v>
      </c>
      <c r="P68" s="1"/>
      <c r="Q68" s="1"/>
      <c r="R68" s="1"/>
    </row>
    <row r="69" ht="15.75" customHeight="1">
      <c r="A69" s="1"/>
      <c r="B69" s="75">
        <v>3.0</v>
      </c>
      <c r="C69" s="142" t="s">
        <v>216</v>
      </c>
      <c r="D69" s="143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88" t="s">
        <v>132</v>
      </c>
      <c r="O69" s="89" t="s">
        <v>40</v>
      </c>
      <c r="P69" s="1"/>
      <c r="Q69" s="1"/>
      <c r="R69" s="1"/>
    </row>
    <row r="70" ht="15.75" customHeight="1">
      <c r="A70" s="1"/>
      <c r="B70" s="82">
        <v>4.0</v>
      </c>
      <c r="C70" s="82"/>
      <c r="D70" s="141"/>
      <c r="E70" s="79"/>
      <c r="F70" s="1"/>
      <c r="G70" s="1"/>
      <c r="H70" s="1"/>
      <c r="I70" s="1"/>
      <c r="J70" s="1"/>
      <c r="K70" s="1"/>
      <c r="L70" s="1"/>
      <c r="M70" s="1"/>
      <c r="N70" s="93" t="s">
        <v>135</v>
      </c>
      <c r="O70" s="87" t="s">
        <v>54</v>
      </c>
      <c r="P70" s="1"/>
      <c r="Q70" s="1"/>
      <c r="R70" s="1"/>
    </row>
    <row r="71" ht="15.75" customHeight="1">
      <c r="A71" s="1"/>
      <c r="B71" s="75">
        <v>5.0</v>
      </c>
      <c r="C71" s="75"/>
      <c r="D71" s="139"/>
      <c r="E71" s="79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4"/>
      <c r="E72" s="79"/>
      <c r="F72" s="1"/>
      <c r="G72" s="1"/>
      <c r="H72" s="1"/>
      <c r="I72" s="1"/>
      <c r="J72" s="1"/>
      <c r="K72" s="96" t="s">
        <v>140</v>
      </c>
      <c r="Q72" s="1"/>
      <c r="R72" s="1"/>
    </row>
    <row r="73" ht="15.75" customHeight="1">
      <c r="A73" s="1"/>
      <c r="B73" s="75">
        <v>7.0</v>
      </c>
      <c r="C73" s="75"/>
      <c r="D73" s="139"/>
      <c r="E73" s="79"/>
      <c r="F73" s="1"/>
      <c r="G73" s="1"/>
      <c r="H73" s="1"/>
      <c r="I73" s="1"/>
      <c r="J73" s="1"/>
      <c r="K73" s="98" t="s">
        <v>2</v>
      </c>
      <c r="L73" s="98" t="s">
        <v>142</v>
      </c>
      <c r="M73" s="98" t="s">
        <v>144</v>
      </c>
      <c r="N73" s="98" t="s">
        <v>145</v>
      </c>
      <c r="O73" s="98" t="s">
        <v>146</v>
      </c>
      <c r="P73" s="98" t="s">
        <v>147</v>
      </c>
      <c r="Q73" s="1"/>
      <c r="R73" s="1"/>
      <c r="AC73" s="99" t="s">
        <v>149</v>
      </c>
      <c r="AD73" s="99" t="s">
        <v>150</v>
      </c>
      <c r="AE73" s="99" t="s">
        <v>151</v>
      </c>
      <c r="AF73" s="99" t="s">
        <v>152</v>
      </c>
      <c r="AG73" s="99" t="s">
        <v>153</v>
      </c>
    </row>
    <row r="74" ht="15.75" customHeight="1">
      <c r="A74" s="1"/>
      <c r="B74" s="82">
        <v>8.0</v>
      </c>
      <c r="C74" s="82"/>
      <c r="D74" s="144"/>
      <c r="E74" s="79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9"/>
      <c r="E75" s="79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82">
        <v>10.0</v>
      </c>
      <c r="C76" s="82"/>
      <c r="D76" s="144"/>
      <c r="E76" s="79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5">
        <v>11.0</v>
      </c>
      <c r="C77" s="105"/>
      <c r="D77" s="148"/>
      <c r="E77" s="79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0">
        <f>SUM(D67:D77)</f>
        <v>4620000</v>
      </c>
      <c r="E78" s="1"/>
      <c r="F78" s="1"/>
      <c r="G78" s="1"/>
      <c r="H78" s="1"/>
      <c r="I78" s="1"/>
      <c r="J78" s="1"/>
      <c r="K78" s="103"/>
      <c r="L78" s="111"/>
      <c r="M78" s="111"/>
      <c r="N78" s="111"/>
      <c r="O78" s="111"/>
      <c r="P78" s="111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1"/>
      <c r="M79" s="111"/>
      <c r="N79" s="111"/>
      <c r="O79" s="111"/>
      <c r="P79" s="111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2" t="s">
        <v>185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3" t="s">
        <v>187</v>
      </c>
      <c r="N82" s="1"/>
      <c r="O82" s="1"/>
      <c r="P82" s="1"/>
      <c r="Q82" s="1"/>
      <c r="R82" s="1"/>
    </row>
    <row r="83" ht="15.75" customHeight="1">
      <c r="C83" s="153"/>
      <c r="D83" s="153"/>
      <c r="I83" s="154"/>
      <c r="J83" s="154"/>
      <c r="K83" s="115" t="s">
        <v>8</v>
      </c>
      <c r="L83" s="115" t="s">
        <v>189</v>
      </c>
      <c r="M83" s="115" t="s">
        <v>190</v>
      </c>
    </row>
    <row r="84" ht="15.75" customHeight="1">
      <c r="C84" s="153"/>
      <c r="D84" s="153"/>
      <c r="I84" s="154"/>
      <c r="J84" s="154"/>
      <c r="K84" s="117" t="str">
        <f t="shared" ref="K84:K85" si="8">IF(O67="","",O67)</f>
        <v>INDAH</v>
      </c>
      <c r="L84" s="121"/>
      <c r="M84" s="121"/>
    </row>
    <row r="85" ht="15.75" customHeight="1">
      <c r="C85" s="153"/>
      <c r="D85" s="153"/>
      <c r="I85" s="154"/>
      <c r="J85" s="154"/>
      <c r="K85" s="117" t="str">
        <f t="shared" si="8"/>
        <v>AMEL</v>
      </c>
      <c r="L85" s="118">
        <v>3.0</v>
      </c>
      <c r="M85" s="121"/>
    </row>
    <row r="86" ht="15.75" customHeight="1">
      <c r="C86" s="153"/>
      <c r="D86" s="153"/>
      <c r="I86" s="154"/>
      <c r="J86" s="154"/>
      <c r="K86" s="154"/>
      <c r="L86" s="154"/>
      <c r="M86" s="154"/>
    </row>
    <row r="87" ht="19.5" customHeight="1">
      <c r="C87" s="153"/>
      <c r="D87" s="153"/>
      <c r="I87" s="154"/>
      <c r="J87" s="154"/>
      <c r="K87" s="123" t="s">
        <v>194</v>
      </c>
    </row>
    <row r="88" ht="19.5" customHeight="1">
      <c r="C88" s="153"/>
      <c r="D88" s="153"/>
      <c r="I88" s="154"/>
      <c r="J88" s="154"/>
      <c r="K88" s="156" t="s">
        <v>195</v>
      </c>
      <c r="M88" s="118">
        <v>40.0</v>
      </c>
    </row>
    <row r="89" ht="19.5" customHeight="1">
      <c r="C89" s="153"/>
      <c r="D89" s="153"/>
      <c r="I89" s="154"/>
      <c r="J89" s="154"/>
      <c r="K89" s="157" t="s">
        <v>197</v>
      </c>
      <c r="M89" s="158">
        <v>3.0</v>
      </c>
      <c r="O89" s="159" t="s">
        <v>229</v>
      </c>
    </row>
    <row r="90" ht="19.5" customHeight="1">
      <c r="C90" s="153"/>
      <c r="D90" s="153"/>
      <c r="I90" s="154"/>
      <c r="J90" s="154"/>
      <c r="K90" s="157" t="s">
        <v>198</v>
      </c>
      <c r="M90" s="126">
        <f>COUNTIFS($I$40:$I$65,"&lt;&gt;DP",$I$40:$I$65,"&lt;&gt;")</f>
        <v>10</v>
      </c>
      <c r="O90" s="159" t="s">
        <v>230</v>
      </c>
    </row>
    <row r="91" ht="19.5" customHeight="1">
      <c r="C91" s="153"/>
      <c r="D91" s="153"/>
      <c r="I91" s="154"/>
      <c r="J91" s="154"/>
      <c r="K91" s="160" t="s">
        <v>199</v>
      </c>
      <c r="M91" s="126">
        <f>M89+M90</f>
        <v>13</v>
      </c>
      <c r="O91" s="159" t="s">
        <v>231</v>
      </c>
    </row>
    <row r="92" ht="19.5" customHeight="1">
      <c r="C92" s="153"/>
      <c r="D92" s="153"/>
      <c r="I92" s="154"/>
      <c r="J92" s="154"/>
      <c r="K92" s="156" t="s">
        <v>200</v>
      </c>
      <c r="M92" s="130">
        <f>IF(OR(M88="",M88=0),"",M89/M88)</f>
        <v>0.075</v>
      </c>
    </row>
    <row r="93" ht="15.75" customHeight="1">
      <c r="C93" s="153"/>
      <c r="D93" s="153"/>
      <c r="I93" s="154"/>
      <c r="J93" s="154"/>
      <c r="K93" s="154"/>
      <c r="L93" s="154"/>
      <c r="M93" s="154"/>
    </row>
    <row r="94" ht="15.75" customHeight="1">
      <c r="C94" s="153"/>
      <c r="D94" s="153"/>
      <c r="I94" s="154"/>
      <c r="J94" s="154"/>
      <c r="K94" s="154"/>
      <c r="L94" s="154"/>
      <c r="M94" s="154"/>
    </row>
    <row r="95" ht="15.75" customHeight="1">
      <c r="C95" s="153"/>
      <c r="D95" s="153"/>
      <c r="I95" s="154"/>
      <c r="J95" s="154"/>
      <c r="K95" s="154"/>
      <c r="L95" s="154"/>
      <c r="M95" s="154"/>
    </row>
    <row r="96" ht="15.75" customHeight="1">
      <c r="C96" s="153"/>
      <c r="D96" s="153"/>
      <c r="I96" s="154"/>
      <c r="J96" s="154"/>
      <c r="K96" s="154"/>
      <c r="L96" s="154"/>
      <c r="M96" s="154"/>
    </row>
    <row r="97" ht="15.75" customHeight="1">
      <c r="C97" s="153"/>
      <c r="D97" s="153"/>
      <c r="I97" s="154"/>
      <c r="J97" s="154"/>
      <c r="K97" s="154"/>
      <c r="L97" s="154"/>
      <c r="M97" s="154"/>
    </row>
    <row r="98" ht="15.75" customHeight="1">
      <c r="C98" s="153"/>
      <c r="D98" s="153"/>
      <c r="I98" s="154"/>
      <c r="J98" s="154"/>
      <c r="K98" s="154"/>
      <c r="L98" s="154"/>
      <c r="M98" s="154"/>
    </row>
    <row r="99" ht="15.75" customHeight="1">
      <c r="C99" s="153"/>
      <c r="D99" s="153"/>
      <c r="I99" s="154"/>
      <c r="J99" s="154"/>
      <c r="K99" s="154"/>
      <c r="L99" s="154"/>
      <c r="M99" s="154"/>
    </row>
    <row r="100" ht="15.75" customHeight="1">
      <c r="C100" s="153"/>
      <c r="D100" s="153"/>
      <c r="I100" s="154"/>
      <c r="J100" s="154"/>
      <c r="K100" s="154"/>
      <c r="L100" s="154"/>
      <c r="M100" s="154"/>
    </row>
    <row r="101" ht="15.75" customHeight="1">
      <c r="C101" s="153"/>
      <c r="D101" s="153"/>
      <c r="I101" s="154"/>
      <c r="J101" s="154"/>
      <c r="K101" s="154"/>
      <c r="L101" s="154"/>
      <c r="M101" s="154"/>
    </row>
    <row r="102" ht="15.75" customHeight="1">
      <c r="C102" s="153"/>
      <c r="D102" s="153"/>
      <c r="I102" s="154"/>
      <c r="J102" s="154"/>
      <c r="K102" s="154"/>
      <c r="L102" s="154"/>
      <c r="M102" s="154"/>
    </row>
    <row r="103" ht="15.75" customHeight="1">
      <c r="C103" s="153"/>
      <c r="D103" s="153"/>
      <c r="I103" s="154"/>
      <c r="J103" s="154"/>
      <c r="K103" s="154"/>
      <c r="L103" s="154"/>
      <c r="M103" s="154"/>
    </row>
    <row r="104" ht="15.75" customHeight="1">
      <c r="C104" s="153"/>
      <c r="D104" s="153"/>
      <c r="I104" s="154"/>
      <c r="J104" s="154"/>
      <c r="K104" s="154"/>
      <c r="L104" s="154"/>
      <c r="M104" s="154"/>
    </row>
    <row r="105" ht="15.75" customHeight="1">
      <c r="C105" s="153"/>
      <c r="D105" s="153"/>
      <c r="I105" s="154"/>
      <c r="J105" s="154"/>
      <c r="K105" s="154"/>
      <c r="L105" s="154"/>
      <c r="M105" s="154"/>
    </row>
    <row r="106" ht="15.75" customHeight="1">
      <c r="C106" s="153"/>
      <c r="D106" s="153"/>
      <c r="I106" s="154"/>
      <c r="J106" s="154"/>
      <c r="K106" s="154"/>
      <c r="L106" s="154"/>
      <c r="M106" s="154"/>
    </row>
    <row r="107" ht="15.75" customHeight="1">
      <c r="C107" s="153"/>
      <c r="D107" s="153"/>
      <c r="I107" s="154"/>
      <c r="J107" s="154"/>
      <c r="K107" s="154"/>
      <c r="L107" s="154"/>
      <c r="M107" s="154"/>
    </row>
    <row r="108" ht="15.75" customHeight="1">
      <c r="C108" s="153"/>
      <c r="D108" s="153"/>
      <c r="I108" s="154"/>
      <c r="J108" s="154"/>
      <c r="K108" s="154"/>
      <c r="L108" s="154"/>
      <c r="M108" s="154"/>
    </row>
    <row r="109" ht="15.75" customHeight="1">
      <c r="C109" s="153"/>
      <c r="D109" s="153"/>
      <c r="I109" s="154"/>
      <c r="J109" s="154"/>
      <c r="K109" s="154"/>
      <c r="L109" s="154"/>
      <c r="M109" s="154"/>
    </row>
    <row r="110" ht="15.75" customHeight="1">
      <c r="C110" s="153"/>
      <c r="D110" s="153"/>
      <c r="I110" s="154"/>
      <c r="J110" s="154"/>
      <c r="K110" s="154"/>
      <c r="L110" s="154"/>
      <c r="M110" s="154"/>
    </row>
    <row r="111" ht="15.75" customHeight="1">
      <c r="C111" s="153"/>
      <c r="D111" s="153"/>
      <c r="I111" s="154"/>
      <c r="J111" s="154"/>
      <c r="K111" s="154"/>
      <c r="L111" s="154"/>
      <c r="M111" s="154"/>
    </row>
    <row r="112" ht="15.75" customHeight="1">
      <c r="C112" s="153"/>
      <c r="D112" s="153"/>
      <c r="I112" s="154"/>
      <c r="J112" s="154"/>
      <c r="K112" s="154"/>
      <c r="L112" s="154"/>
      <c r="M112" s="154"/>
    </row>
    <row r="113" ht="15.75" customHeight="1">
      <c r="C113" s="153"/>
      <c r="D113" s="153"/>
      <c r="I113" s="154"/>
      <c r="J113" s="154"/>
      <c r="K113" s="154"/>
      <c r="L113" s="154"/>
      <c r="M113" s="154"/>
    </row>
    <row r="114" ht="15.75" customHeight="1">
      <c r="C114" s="153"/>
      <c r="D114" s="153"/>
      <c r="I114" s="154"/>
      <c r="J114" s="154"/>
      <c r="K114" s="154"/>
      <c r="L114" s="154"/>
      <c r="M114" s="154"/>
    </row>
    <row r="115" ht="15.75" customHeight="1">
      <c r="C115" s="153"/>
      <c r="D115" s="153"/>
      <c r="I115" s="154"/>
      <c r="J115" s="154"/>
      <c r="K115" s="154"/>
      <c r="L115" s="154"/>
      <c r="M115" s="154"/>
    </row>
    <row r="116" ht="15.75" customHeight="1">
      <c r="C116" s="153"/>
      <c r="D116" s="153"/>
      <c r="I116" s="154"/>
      <c r="J116" s="154"/>
      <c r="K116" s="154"/>
      <c r="L116" s="154"/>
      <c r="M116" s="154"/>
    </row>
    <row r="117" ht="15.75" customHeight="1">
      <c r="C117" s="153"/>
      <c r="D117" s="153"/>
      <c r="I117" s="154"/>
      <c r="J117" s="154"/>
      <c r="K117" s="154"/>
      <c r="L117" s="154"/>
      <c r="M117" s="154"/>
    </row>
    <row r="118" ht="15.75" customHeight="1">
      <c r="C118" s="153"/>
      <c r="D118" s="153"/>
      <c r="I118" s="154"/>
      <c r="J118" s="154"/>
      <c r="K118" s="154"/>
      <c r="L118" s="154"/>
      <c r="M118" s="154"/>
    </row>
    <row r="119" ht="15.75" customHeight="1">
      <c r="C119" s="153"/>
      <c r="D119" s="153"/>
      <c r="I119" s="154"/>
      <c r="J119" s="154"/>
      <c r="K119" s="154"/>
      <c r="L119" s="154"/>
      <c r="M119" s="154"/>
    </row>
    <row r="120" ht="15.75" customHeight="1">
      <c r="C120" s="153"/>
      <c r="D120" s="153"/>
      <c r="I120" s="154"/>
      <c r="J120" s="154"/>
      <c r="K120" s="154"/>
      <c r="L120" s="154"/>
      <c r="M120" s="154"/>
    </row>
    <row r="121" ht="15.75" customHeight="1">
      <c r="C121" s="153"/>
      <c r="D121" s="153"/>
      <c r="I121" s="154"/>
      <c r="J121" s="154"/>
      <c r="K121" s="154"/>
      <c r="L121" s="154"/>
      <c r="M121" s="154"/>
    </row>
    <row r="122" ht="15.75" customHeight="1">
      <c r="C122" s="153"/>
      <c r="D122" s="153"/>
      <c r="I122" s="154"/>
      <c r="J122" s="154"/>
      <c r="K122" s="154"/>
      <c r="L122" s="154"/>
      <c r="M122" s="154"/>
    </row>
    <row r="123" ht="15.75" customHeight="1">
      <c r="C123" s="153"/>
      <c r="D123" s="153"/>
      <c r="I123" s="154"/>
      <c r="J123" s="154"/>
      <c r="K123" s="154"/>
      <c r="L123" s="154"/>
      <c r="M123" s="154"/>
    </row>
    <row r="124" ht="15.75" customHeight="1">
      <c r="C124" s="153"/>
      <c r="D124" s="153"/>
      <c r="I124" s="154"/>
      <c r="J124" s="154"/>
      <c r="K124" s="154"/>
      <c r="L124" s="154"/>
      <c r="M124" s="154"/>
    </row>
    <row r="125" ht="15.75" customHeight="1">
      <c r="C125" s="153"/>
      <c r="D125" s="153"/>
      <c r="I125" s="154"/>
      <c r="J125" s="154"/>
      <c r="K125" s="154"/>
      <c r="L125" s="154"/>
      <c r="M125" s="154"/>
    </row>
    <row r="126" ht="15.75" customHeight="1">
      <c r="C126" s="153"/>
      <c r="D126" s="153"/>
      <c r="I126" s="154"/>
      <c r="J126" s="154"/>
      <c r="K126" s="154"/>
      <c r="L126" s="154"/>
      <c r="M126" s="154"/>
    </row>
    <row r="127" ht="15.75" customHeight="1">
      <c r="C127" s="153"/>
      <c r="D127" s="153"/>
      <c r="I127" s="154"/>
      <c r="J127" s="154"/>
      <c r="K127" s="154"/>
      <c r="L127" s="154"/>
      <c r="M127" s="154"/>
    </row>
    <row r="128" ht="15.75" customHeight="1">
      <c r="C128" s="153"/>
      <c r="D128" s="153"/>
      <c r="I128" s="154"/>
      <c r="J128" s="154"/>
      <c r="K128" s="154"/>
      <c r="L128" s="154"/>
      <c r="M128" s="154"/>
    </row>
    <row r="129" ht="15.75" customHeight="1">
      <c r="C129" s="153"/>
      <c r="D129" s="153"/>
      <c r="I129" s="154"/>
      <c r="J129" s="154"/>
      <c r="K129" s="154"/>
      <c r="L129" s="154"/>
      <c r="M129" s="154"/>
    </row>
    <row r="130" ht="15.75" customHeight="1">
      <c r="C130" s="153"/>
      <c r="D130" s="153"/>
      <c r="I130" s="154"/>
      <c r="J130" s="154"/>
      <c r="K130" s="154"/>
      <c r="L130" s="154"/>
      <c r="M130" s="154"/>
    </row>
    <row r="131" ht="15.75" customHeight="1">
      <c r="C131" s="153"/>
      <c r="D131" s="153"/>
      <c r="I131" s="154"/>
      <c r="J131" s="154"/>
      <c r="K131" s="154"/>
      <c r="L131" s="154"/>
      <c r="M131" s="154"/>
    </row>
    <row r="132" ht="15.75" customHeight="1">
      <c r="C132" s="153"/>
      <c r="D132" s="153"/>
      <c r="I132" s="154"/>
      <c r="J132" s="154"/>
      <c r="K132" s="154"/>
      <c r="L132" s="154"/>
      <c r="M132" s="154"/>
    </row>
    <row r="133" ht="15.75" customHeight="1">
      <c r="C133" s="153"/>
      <c r="D133" s="153"/>
      <c r="I133" s="154"/>
      <c r="J133" s="154"/>
      <c r="K133" s="154"/>
      <c r="L133" s="154"/>
      <c r="M133" s="154"/>
    </row>
    <row r="134" ht="15.75" customHeight="1">
      <c r="C134" s="153"/>
      <c r="D134" s="153"/>
      <c r="I134" s="154"/>
      <c r="J134" s="154"/>
      <c r="K134" s="154"/>
      <c r="L134" s="154"/>
      <c r="M134" s="154"/>
    </row>
    <row r="135" ht="15.75" customHeight="1">
      <c r="C135" s="153"/>
      <c r="D135" s="153"/>
      <c r="I135" s="154"/>
      <c r="J135" s="154"/>
      <c r="K135" s="154"/>
      <c r="L135" s="154"/>
      <c r="M135" s="154"/>
    </row>
    <row r="136" ht="15.75" customHeight="1">
      <c r="C136" s="153"/>
      <c r="D136" s="153"/>
      <c r="I136" s="154"/>
      <c r="J136" s="154"/>
      <c r="K136" s="154"/>
      <c r="L136" s="154"/>
      <c r="M136" s="154"/>
    </row>
    <row r="137" ht="15.75" customHeight="1">
      <c r="C137" s="153"/>
      <c r="D137" s="153"/>
      <c r="I137" s="154"/>
      <c r="J137" s="154"/>
      <c r="K137" s="154"/>
      <c r="L137" s="154"/>
      <c r="M137" s="154"/>
    </row>
    <row r="138" ht="15.75" customHeight="1">
      <c r="C138" s="153"/>
      <c r="D138" s="153"/>
      <c r="I138" s="154"/>
      <c r="J138" s="154"/>
      <c r="K138" s="154"/>
      <c r="L138" s="154"/>
      <c r="M138" s="154"/>
    </row>
    <row r="139" ht="15.75" customHeight="1">
      <c r="C139" s="153"/>
      <c r="D139" s="153"/>
      <c r="I139" s="154"/>
      <c r="J139" s="154"/>
      <c r="K139" s="154"/>
      <c r="L139" s="154"/>
      <c r="M139" s="154"/>
    </row>
    <row r="140" ht="15.75" customHeight="1">
      <c r="C140" s="153"/>
      <c r="D140" s="153"/>
      <c r="I140" s="154"/>
      <c r="J140" s="154"/>
      <c r="K140" s="154"/>
      <c r="L140" s="154"/>
      <c r="M140" s="154"/>
    </row>
    <row r="141" ht="15.75" customHeight="1">
      <c r="C141" s="153"/>
      <c r="D141" s="153"/>
      <c r="I141" s="154"/>
      <c r="J141" s="154"/>
      <c r="K141" s="154"/>
      <c r="L141" s="154"/>
      <c r="M141" s="154"/>
    </row>
    <row r="142" ht="15.75" customHeight="1">
      <c r="C142" s="153"/>
      <c r="D142" s="153"/>
      <c r="I142" s="154"/>
      <c r="J142" s="154"/>
      <c r="K142" s="154"/>
      <c r="L142" s="154"/>
      <c r="M142" s="154"/>
    </row>
    <row r="143" ht="15.75" customHeight="1">
      <c r="C143" s="153"/>
      <c r="D143" s="153"/>
      <c r="I143" s="154"/>
      <c r="J143" s="154"/>
      <c r="K143" s="154"/>
      <c r="L143" s="154"/>
      <c r="M143" s="154"/>
    </row>
    <row r="144" ht="15.75" customHeight="1">
      <c r="C144" s="153"/>
      <c r="D144" s="153"/>
      <c r="I144" s="154"/>
      <c r="J144" s="154"/>
      <c r="K144" s="154"/>
      <c r="L144" s="154"/>
      <c r="M144" s="154"/>
    </row>
    <row r="145" ht="15.75" customHeight="1">
      <c r="C145" s="153"/>
      <c r="D145" s="153"/>
      <c r="I145" s="154"/>
      <c r="J145" s="154"/>
      <c r="K145" s="154"/>
      <c r="L145" s="154"/>
      <c r="M145" s="154"/>
    </row>
    <row r="146" ht="15.75" customHeight="1">
      <c r="C146" s="153"/>
      <c r="D146" s="153"/>
      <c r="I146" s="154"/>
      <c r="J146" s="154"/>
      <c r="K146" s="154"/>
      <c r="L146" s="154"/>
      <c r="M146" s="154"/>
    </row>
    <row r="147" ht="15.75" customHeight="1">
      <c r="C147" s="153"/>
      <c r="D147" s="153"/>
      <c r="I147" s="154"/>
      <c r="J147" s="154"/>
      <c r="K147" s="154"/>
      <c r="L147" s="154"/>
      <c r="M147" s="154"/>
    </row>
    <row r="148" ht="15.75" customHeight="1">
      <c r="C148" s="153"/>
      <c r="D148" s="153"/>
      <c r="I148" s="154"/>
      <c r="J148" s="154"/>
      <c r="K148" s="154"/>
      <c r="L148" s="154"/>
      <c r="M148" s="154"/>
    </row>
    <row r="149" ht="15.75" customHeight="1">
      <c r="C149" s="153"/>
      <c r="D149" s="153"/>
      <c r="I149" s="154"/>
      <c r="J149" s="154"/>
      <c r="K149" s="154"/>
      <c r="L149" s="154"/>
      <c r="M149" s="154"/>
    </row>
    <row r="150" ht="15.75" customHeight="1">
      <c r="C150" s="153"/>
      <c r="D150" s="153"/>
      <c r="I150" s="154"/>
      <c r="J150" s="154"/>
      <c r="K150" s="154"/>
      <c r="L150" s="154"/>
      <c r="M150" s="154"/>
    </row>
    <row r="151" ht="15.75" customHeight="1">
      <c r="C151" s="153"/>
      <c r="D151" s="153"/>
      <c r="I151" s="154"/>
      <c r="J151" s="154"/>
      <c r="K151" s="154"/>
      <c r="L151" s="154"/>
      <c r="M151" s="154"/>
    </row>
    <row r="152" ht="15.75" customHeight="1">
      <c r="C152" s="153"/>
      <c r="D152" s="153"/>
      <c r="I152" s="154"/>
      <c r="J152" s="154"/>
      <c r="K152" s="154"/>
      <c r="L152" s="154"/>
      <c r="M152" s="154"/>
    </row>
    <row r="153" ht="15.75" customHeight="1">
      <c r="C153" s="153"/>
      <c r="D153" s="153"/>
      <c r="I153" s="154"/>
      <c r="J153" s="154"/>
      <c r="K153" s="154"/>
      <c r="L153" s="154"/>
      <c r="M153" s="154"/>
    </row>
    <row r="154" ht="15.75" customHeight="1">
      <c r="C154" s="153"/>
      <c r="D154" s="153"/>
      <c r="I154" s="154"/>
      <c r="J154" s="154"/>
      <c r="K154" s="154"/>
      <c r="L154" s="154"/>
      <c r="M154" s="154"/>
    </row>
    <row r="155" ht="15.75" customHeight="1">
      <c r="C155" s="153"/>
      <c r="D155" s="153"/>
      <c r="I155" s="154"/>
      <c r="J155" s="154"/>
      <c r="K155" s="154"/>
      <c r="L155" s="154"/>
      <c r="M155" s="154"/>
    </row>
    <row r="156" ht="15.75" customHeight="1">
      <c r="C156" s="153"/>
      <c r="D156" s="153"/>
      <c r="I156" s="154"/>
      <c r="J156" s="154"/>
      <c r="K156" s="154"/>
      <c r="L156" s="154"/>
      <c r="M156" s="154"/>
    </row>
    <row r="157" ht="15.75" customHeight="1">
      <c r="C157" s="153"/>
      <c r="D157" s="153"/>
      <c r="I157" s="154"/>
      <c r="J157" s="154"/>
      <c r="K157" s="154"/>
      <c r="L157" s="154"/>
      <c r="M157" s="154"/>
    </row>
    <row r="158" ht="15.75" customHeight="1">
      <c r="C158" s="153"/>
      <c r="D158" s="153"/>
      <c r="I158" s="154"/>
      <c r="J158" s="154"/>
      <c r="K158" s="154"/>
      <c r="L158" s="154"/>
      <c r="M158" s="154"/>
    </row>
    <row r="159" ht="15.75" customHeight="1">
      <c r="C159" s="153"/>
      <c r="D159" s="153"/>
      <c r="I159" s="154"/>
      <c r="J159" s="154"/>
      <c r="K159" s="154"/>
      <c r="L159" s="154"/>
      <c r="M159" s="154"/>
    </row>
    <row r="160" ht="15.75" customHeight="1">
      <c r="C160" s="153"/>
      <c r="D160" s="153"/>
      <c r="I160" s="154"/>
      <c r="J160" s="154"/>
      <c r="K160" s="154"/>
      <c r="L160" s="154"/>
      <c r="M160" s="154"/>
    </row>
    <row r="161" ht="15.75" customHeight="1">
      <c r="C161" s="153"/>
      <c r="D161" s="153"/>
      <c r="I161" s="154"/>
      <c r="J161" s="154"/>
      <c r="K161" s="154"/>
      <c r="L161" s="154"/>
      <c r="M161" s="154"/>
    </row>
    <row r="162" ht="15.75" customHeight="1">
      <c r="C162" s="153"/>
      <c r="D162" s="153"/>
      <c r="I162" s="154"/>
      <c r="J162" s="154"/>
      <c r="K162" s="154"/>
      <c r="L162" s="154"/>
      <c r="M162" s="154"/>
    </row>
    <row r="163" ht="15.75" customHeight="1">
      <c r="C163" s="153"/>
      <c r="D163" s="153"/>
      <c r="I163" s="154"/>
      <c r="J163" s="154"/>
      <c r="K163" s="154"/>
      <c r="L163" s="154"/>
      <c r="M163" s="154"/>
    </row>
    <row r="164" ht="15.75" customHeight="1">
      <c r="C164" s="153"/>
      <c r="D164" s="153"/>
      <c r="I164" s="154"/>
      <c r="J164" s="154"/>
      <c r="K164" s="154"/>
      <c r="L164" s="154"/>
      <c r="M164" s="154"/>
    </row>
    <row r="165" ht="15.75" customHeight="1">
      <c r="C165" s="153"/>
      <c r="D165" s="153"/>
      <c r="I165" s="154"/>
      <c r="J165" s="154"/>
      <c r="K165" s="154"/>
      <c r="L165" s="154"/>
      <c r="M165" s="154"/>
    </row>
    <row r="166" ht="15.75" customHeight="1">
      <c r="C166" s="153"/>
      <c r="D166" s="153"/>
      <c r="I166" s="154"/>
      <c r="J166" s="154"/>
      <c r="K166" s="154"/>
      <c r="L166" s="154"/>
      <c r="M166" s="154"/>
    </row>
    <row r="167" ht="15.75" customHeight="1">
      <c r="C167" s="153"/>
      <c r="D167" s="153"/>
      <c r="I167" s="154"/>
      <c r="J167" s="154"/>
      <c r="K167" s="154"/>
      <c r="L167" s="154"/>
      <c r="M167" s="154"/>
    </row>
    <row r="168" ht="15.75" customHeight="1">
      <c r="C168" s="153"/>
      <c r="D168" s="153"/>
      <c r="I168" s="154"/>
      <c r="J168" s="154"/>
      <c r="K168" s="154"/>
      <c r="L168" s="154"/>
      <c r="M168" s="154"/>
    </row>
    <row r="169" ht="15.75" customHeight="1">
      <c r="C169" s="153"/>
      <c r="D169" s="153"/>
      <c r="I169" s="154"/>
      <c r="J169" s="154"/>
      <c r="K169" s="154"/>
      <c r="L169" s="154"/>
      <c r="M169" s="154"/>
    </row>
    <row r="170" ht="15.75" customHeight="1">
      <c r="C170" s="153"/>
      <c r="D170" s="153"/>
      <c r="I170" s="154"/>
      <c r="J170" s="154"/>
      <c r="K170" s="154"/>
      <c r="L170" s="154"/>
      <c r="M170" s="154"/>
    </row>
    <row r="171" ht="15.75" customHeight="1">
      <c r="C171" s="153"/>
      <c r="D171" s="153"/>
      <c r="I171" s="154"/>
      <c r="J171" s="154"/>
      <c r="K171" s="154"/>
      <c r="L171" s="154"/>
      <c r="M171" s="154"/>
    </row>
    <row r="172" ht="15.75" customHeight="1">
      <c r="C172" s="153"/>
      <c r="D172" s="153"/>
      <c r="I172" s="154"/>
      <c r="J172" s="154"/>
      <c r="K172" s="154"/>
      <c r="L172" s="154"/>
      <c r="M172" s="154"/>
    </row>
    <row r="173" ht="15.75" customHeight="1">
      <c r="C173" s="153"/>
      <c r="D173" s="153"/>
      <c r="I173" s="154"/>
      <c r="J173" s="154"/>
      <c r="K173" s="154"/>
      <c r="L173" s="154"/>
      <c r="M173" s="154"/>
    </row>
    <row r="174" ht="15.75" customHeight="1">
      <c r="C174" s="153"/>
      <c r="D174" s="153"/>
      <c r="I174" s="154"/>
      <c r="J174" s="154"/>
      <c r="K174" s="154"/>
      <c r="L174" s="154"/>
      <c r="M174" s="154"/>
    </row>
    <row r="175" ht="15.75" customHeight="1">
      <c r="C175" s="153"/>
      <c r="D175" s="153"/>
      <c r="I175" s="154"/>
      <c r="J175" s="154"/>
      <c r="K175" s="154"/>
      <c r="L175" s="154"/>
      <c r="M175" s="154"/>
    </row>
    <row r="176" ht="15.75" customHeight="1">
      <c r="C176" s="153"/>
      <c r="D176" s="153"/>
      <c r="I176" s="154"/>
      <c r="J176" s="154"/>
      <c r="K176" s="154"/>
      <c r="L176" s="154"/>
      <c r="M176" s="154"/>
    </row>
    <row r="177" ht="15.75" customHeight="1">
      <c r="C177" s="153"/>
      <c r="D177" s="153"/>
      <c r="I177" s="154"/>
      <c r="J177" s="154"/>
      <c r="K177" s="154"/>
      <c r="L177" s="154"/>
      <c r="M177" s="154"/>
    </row>
    <row r="178" ht="15.75" customHeight="1">
      <c r="C178" s="153"/>
      <c r="D178" s="153"/>
      <c r="I178" s="154"/>
      <c r="J178" s="154"/>
      <c r="K178" s="154"/>
      <c r="L178" s="154"/>
      <c r="M178" s="154"/>
    </row>
    <row r="179" ht="15.75" customHeight="1">
      <c r="C179" s="153"/>
      <c r="D179" s="153"/>
      <c r="I179" s="154"/>
      <c r="J179" s="154"/>
      <c r="K179" s="154"/>
      <c r="L179" s="154"/>
      <c r="M179" s="154"/>
    </row>
    <row r="180" ht="15.75" customHeight="1">
      <c r="C180" s="153"/>
      <c r="D180" s="153"/>
      <c r="I180" s="154"/>
      <c r="J180" s="154"/>
      <c r="K180" s="154"/>
      <c r="L180" s="154"/>
      <c r="M180" s="154"/>
    </row>
    <row r="181" ht="15.75" customHeight="1">
      <c r="C181" s="153"/>
      <c r="D181" s="153"/>
      <c r="I181" s="154"/>
      <c r="J181" s="154"/>
      <c r="K181" s="154"/>
      <c r="L181" s="154"/>
      <c r="M181" s="154"/>
    </row>
    <row r="182" ht="15.75" customHeight="1">
      <c r="C182" s="153"/>
      <c r="D182" s="153"/>
      <c r="I182" s="154"/>
      <c r="J182" s="154"/>
      <c r="K182" s="154"/>
      <c r="L182" s="154"/>
      <c r="M182" s="154"/>
    </row>
    <row r="183" ht="15.75" customHeight="1">
      <c r="C183" s="153"/>
      <c r="D183" s="153"/>
      <c r="I183" s="154"/>
      <c r="J183" s="154"/>
      <c r="K183" s="154"/>
      <c r="L183" s="154"/>
      <c r="M183" s="154"/>
    </row>
    <row r="184" ht="15.75" customHeight="1">
      <c r="C184" s="153"/>
      <c r="D184" s="153"/>
      <c r="I184" s="154"/>
      <c r="J184" s="154"/>
      <c r="K184" s="154"/>
      <c r="L184" s="154"/>
      <c r="M184" s="154"/>
    </row>
    <row r="185" ht="15.75" customHeight="1">
      <c r="C185" s="153"/>
      <c r="D185" s="153"/>
      <c r="I185" s="154"/>
      <c r="J185" s="154"/>
      <c r="K185" s="154"/>
      <c r="L185" s="154"/>
      <c r="M185" s="154"/>
    </row>
    <row r="186" ht="15.75" customHeight="1">
      <c r="C186" s="153"/>
      <c r="D186" s="153"/>
      <c r="I186" s="154"/>
      <c r="J186" s="154"/>
      <c r="K186" s="154"/>
      <c r="L186" s="154"/>
      <c r="M186" s="154"/>
    </row>
    <row r="187" ht="15.75" customHeight="1">
      <c r="C187" s="153"/>
      <c r="D187" s="153"/>
      <c r="I187" s="154"/>
      <c r="J187" s="154"/>
      <c r="K187" s="154"/>
      <c r="L187" s="154"/>
      <c r="M187" s="154"/>
    </row>
    <row r="188" ht="15.75" customHeight="1">
      <c r="C188" s="153"/>
      <c r="D188" s="153"/>
      <c r="I188" s="154"/>
      <c r="J188" s="154"/>
      <c r="K188" s="154"/>
      <c r="L188" s="154"/>
      <c r="M188" s="154"/>
    </row>
    <row r="189" ht="15.75" customHeight="1">
      <c r="C189" s="153"/>
      <c r="D189" s="153"/>
      <c r="I189" s="154"/>
      <c r="J189" s="154"/>
      <c r="K189" s="154"/>
      <c r="L189" s="154"/>
      <c r="M189" s="154"/>
    </row>
    <row r="190" ht="15.75" customHeight="1">
      <c r="C190" s="153"/>
      <c r="D190" s="153"/>
      <c r="I190" s="154"/>
      <c r="J190" s="154"/>
      <c r="K190" s="154"/>
      <c r="L190" s="154"/>
      <c r="M190" s="154"/>
    </row>
    <row r="191" ht="15.75" customHeight="1">
      <c r="C191" s="153"/>
      <c r="D191" s="153"/>
      <c r="I191" s="154"/>
      <c r="J191" s="154"/>
      <c r="K191" s="154"/>
      <c r="L191" s="154"/>
      <c r="M191" s="154"/>
    </row>
    <row r="192" ht="15.75" customHeight="1">
      <c r="C192" s="153"/>
      <c r="D192" s="153"/>
      <c r="I192" s="154"/>
      <c r="J192" s="154"/>
      <c r="K192" s="154"/>
      <c r="L192" s="154"/>
      <c r="M192" s="154"/>
    </row>
    <row r="193" ht="15.75" customHeight="1">
      <c r="C193" s="153"/>
      <c r="D193" s="153"/>
      <c r="I193" s="154"/>
      <c r="J193" s="154"/>
      <c r="K193" s="154"/>
      <c r="L193" s="154"/>
      <c r="M193" s="154"/>
    </row>
    <row r="194" ht="15.75" customHeight="1">
      <c r="C194" s="153"/>
      <c r="D194" s="153"/>
      <c r="I194" s="154"/>
      <c r="J194" s="154"/>
      <c r="K194" s="154"/>
      <c r="L194" s="154"/>
      <c r="M194" s="154"/>
    </row>
    <row r="195" ht="15.75" customHeight="1">
      <c r="C195" s="153"/>
      <c r="D195" s="153"/>
      <c r="I195" s="154"/>
      <c r="J195" s="154"/>
      <c r="K195" s="154"/>
      <c r="L195" s="154"/>
      <c r="M195" s="154"/>
    </row>
    <row r="196" ht="15.75" customHeight="1">
      <c r="C196" s="153"/>
      <c r="D196" s="153"/>
      <c r="I196" s="154"/>
      <c r="J196" s="154"/>
      <c r="K196" s="154"/>
      <c r="L196" s="154"/>
      <c r="M196" s="154"/>
    </row>
    <row r="197" ht="15.75" customHeight="1">
      <c r="C197" s="153"/>
      <c r="D197" s="153"/>
      <c r="I197" s="154"/>
      <c r="J197" s="154"/>
      <c r="K197" s="154"/>
      <c r="L197" s="154"/>
      <c r="M197" s="154"/>
    </row>
    <row r="198" ht="15.75" customHeight="1">
      <c r="C198" s="153"/>
      <c r="D198" s="153"/>
      <c r="I198" s="154"/>
      <c r="J198" s="154"/>
      <c r="K198" s="154"/>
      <c r="L198" s="154"/>
      <c r="M198" s="154"/>
    </row>
    <row r="199" ht="15.75" customHeight="1">
      <c r="C199" s="153"/>
      <c r="D199" s="153"/>
      <c r="I199" s="154"/>
      <c r="J199" s="154"/>
      <c r="K199" s="154"/>
      <c r="L199" s="154"/>
      <c r="M199" s="154"/>
    </row>
    <row r="200" ht="15.75" customHeight="1">
      <c r="C200" s="153"/>
      <c r="D200" s="153"/>
      <c r="I200" s="154"/>
      <c r="J200" s="154"/>
      <c r="K200" s="154"/>
      <c r="L200" s="154"/>
      <c r="M200" s="154"/>
    </row>
    <row r="201" ht="15.75" customHeight="1">
      <c r="C201" s="153"/>
      <c r="D201" s="153"/>
      <c r="I201" s="154"/>
      <c r="J201" s="154"/>
      <c r="K201" s="154"/>
      <c r="L201" s="154"/>
      <c r="M201" s="154"/>
    </row>
    <row r="202" ht="15.75" customHeight="1">
      <c r="C202" s="153"/>
      <c r="D202" s="153"/>
      <c r="I202" s="154"/>
      <c r="J202" s="154"/>
      <c r="K202" s="154"/>
      <c r="L202" s="154"/>
      <c r="M202" s="154"/>
    </row>
    <row r="203" ht="15.75" customHeight="1">
      <c r="C203" s="153"/>
      <c r="D203" s="153"/>
      <c r="I203" s="154"/>
      <c r="J203" s="154"/>
      <c r="K203" s="154"/>
      <c r="L203" s="154"/>
      <c r="M203" s="154"/>
    </row>
    <row r="204" ht="15.75" customHeight="1">
      <c r="C204" s="153"/>
      <c r="D204" s="153"/>
      <c r="I204" s="154"/>
      <c r="J204" s="154"/>
      <c r="K204" s="154"/>
      <c r="L204" s="154"/>
      <c r="M204" s="154"/>
    </row>
    <row r="205" ht="15.75" customHeight="1">
      <c r="C205" s="153"/>
      <c r="D205" s="153"/>
      <c r="I205" s="154"/>
      <c r="J205" s="154"/>
      <c r="K205" s="154"/>
      <c r="L205" s="154"/>
      <c r="M205" s="154"/>
    </row>
    <row r="206" ht="15.75" customHeight="1">
      <c r="C206" s="153"/>
      <c r="D206" s="153"/>
      <c r="I206" s="154"/>
      <c r="J206" s="154"/>
      <c r="K206" s="154"/>
      <c r="L206" s="154"/>
      <c r="M206" s="154"/>
    </row>
    <row r="207" ht="15.75" customHeight="1">
      <c r="C207" s="153"/>
      <c r="D207" s="153"/>
      <c r="I207" s="154"/>
      <c r="J207" s="154"/>
      <c r="K207" s="154"/>
      <c r="L207" s="154"/>
      <c r="M207" s="154"/>
    </row>
    <row r="208" ht="15.75" customHeight="1">
      <c r="C208" s="153"/>
      <c r="D208" s="153"/>
      <c r="I208" s="154"/>
      <c r="J208" s="154"/>
      <c r="K208" s="154"/>
      <c r="L208" s="154"/>
      <c r="M208" s="154"/>
    </row>
    <row r="209" ht="15.75" customHeight="1">
      <c r="C209" s="153"/>
      <c r="D209" s="153"/>
      <c r="I209" s="154"/>
      <c r="J209" s="154"/>
      <c r="K209" s="154"/>
      <c r="L209" s="154"/>
      <c r="M209" s="154"/>
    </row>
    <row r="210" ht="15.75" customHeight="1">
      <c r="C210" s="153"/>
      <c r="D210" s="153"/>
      <c r="I210" s="154"/>
      <c r="J210" s="154"/>
      <c r="K210" s="154"/>
      <c r="L210" s="154"/>
      <c r="M210" s="154"/>
    </row>
    <row r="211" ht="15.75" customHeight="1">
      <c r="C211" s="153"/>
      <c r="D211" s="153"/>
      <c r="I211" s="154"/>
      <c r="J211" s="154"/>
      <c r="K211" s="154"/>
      <c r="L211" s="154"/>
      <c r="M211" s="154"/>
    </row>
    <row r="212" ht="15.75" customHeight="1">
      <c r="C212" s="153"/>
      <c r="D212" s="153"/>
      <c r="I212" s="154"/>
      <c r="J212" s="154"/>
      <c r="K212" s="154"/>
      <c r="L212" s="154"/>
      <c r="M212" s="154"/>
    </row>
    <row r="213" ht="15.75" customHeight="1">
      <c r="C213" s="153"/>
      <c r="D213" s="153"/>
      <c r="I213" s="154"/>
      <c r="J213" s="154"/>
      <c r="K213" s="154"/>
      <c r="L213" s="154"/>
      <c r="M213" s="154"/>
    </row>
    <row r="214" ht="15.75" customHeight="1">
      <c r="C214" s="153"/>
      <c r="D214" s="153"/>
      <c r="I214" s="154"/>
      <c r="J214" s="154"/>
      <c r="K214" s="154"/>
      <c r="L214" s="154"/>
      <c r="M214" s="154"/>
    </row>
    <row r="215" ht="15.75" customHeight="1">
      <c r="C215" s="153"/>
      <c r="D215" s="153"/>
      <c r="I215" s="154"/>
      <c r="J215" s="154"/>
      <c r="K215" s="154"/>
      <c r="L215" s="154"/>
      <c r="M215" s="154"/>
    </row>
    <row r="216" ht="15.75" customHeight="1">
      <c r="C216" s="153"/>
      <c r="D216" s="153"/>
      <c r="I216" s="154"/>
      <c r="J216" s="154"/>
      <c r="K216" s="154"/>
      <c r="L216" s="154"/>
      <c r="M216" s="154"/>
    </row>
    <row r="217" ht="15.75" customHeight="1">
      <c r="C217" s="153"/>
      <c r="D217" s="153"/>
      <c r="I217" s="154"/>
      <c r="J217" s="154"/>
      <c r="K217" s="154"/>
      <c r="L217" s="154"/>
      <c r="M217" s="154"/>
    </row>
    <row r="218" ht="15.75" customHeight="1">
      <c r="C218" s="153"/>
      <c r="D218" s="153"/>
      <c r="I218" s="154"/>
      <c r="J218" s="154"/>
      <c r="K218" s="154"/>
      <c r="L218" s="154"/>
      <c r="M218" s="154"/>
    </row>
    <row r="219" ht="15.75" customHeight="1">
      <c r="C219" s="153"/>
      <c r="D219" s="153"/>
      <c r="I219" s="154"/>
      <c r="J219" s="154"/>
      <c r="K219" s="154"/>
      <c r="L219" s="154"/>
      <c r="M219" s="154"/>
    </row>
    <row r="220" ht="15.75" customHeight="1">
      <c r="C220" s="153"/>
      <c r="D220" s="153"/>
      <c r="I220" s="154"/>
      <c r="J220" s="154"/>
      <c r="K220" s="154"/>
      <c r="L220" s="154"/>
      <c r="M220" s="154"/>
    </row>
    <row r="221" ht="15.75" customHeight="1">
      <c r="C221" s="153"/>
      <c r="D221" s="153"/>
      <c r="I221" s="154"/>
      <c r="J221" s="154"/>
      <c r="K221" s="154"/>
      <c r="L221" s="154"/>
      <c r="M221" s="154"/>
    </row>
    <row r="222" ht="15.75" customHeight="1">
      <c r="C222" s="153"/>
      <c r="D222" s="153"/>
      <c r="I222" s="154"/>
      <c r="J222" s="154"/>
      <c r="K222" s="154"/>
      <c r="L222" s="154"/>
      <c r="M222" s="154"/>
    </row>
    <row r="223" ht="15.75" customHeight="1">
      <c r="C223" s="153"/>
      <c r="D223" s="153"/>
      <c r="I223" s="154"/>
      <c r="J223" s="154"/>
      <c r="K223" s="154"/>
      <c r="L223" s="154"/>
      <c r="M223" s="154"/>
    </row>
    <row r="224" ht="15.75" customHeight="1">
      <c r="C224" s="153"/>
      <c r="D224" s="153"/>
      <c r="I224" s="154"/>
      <c r="J224" s="154"/>
      <c r="K224" s="154"/>
      <c r="L224" s="154"/>
      <c r="M224" s="154"/>
    </row>
    <row r="225" ht="15.75" customHeight="1">
      <c r="C225" s="153"/>
      <c r="D225" s="153"/>
      <c r="I225" s="154"/>
      <c r="J225" s="154"/>
      <c r="K225" s="154"/>
      <c r="L225" s="154"/>
      <c r="M225" s="154"/>
    </row>
    <row r="226" ht="15.75" customHeight="1">
      <c r="C226" s="153"/>
      <c r="D226" s="153"/>
      <c r="I226" s="154"/>
      <c r="J226" s="154"/>
      <c r="K226" s="154"/>
      <c r="L226" s="154"/>
      <c r="M226" s="154"/>
    </row>
    <row r="227" ht="15.75" customHeight="1">
      <c r="C227" s="153"/>
      <c r="D227" s="153"/>
      <c r="I227" s="154"/>
      <c r="J227" s="154"/>
      <c r="K227" s="154"/>
      <c r="L227" s="154"/>
      <c r="M227" s="154"/>
    </row>
    <row r="228" ht="15.75" customHeight="1">
      <c r="C228" s="153"/>
      <c r="D228" s="153"/>
      <c r="I228" s="154"/>
      <c r="J228" s="154"/>
      <c r="K228" s="154"/>
      <c r="L228" s="154"/>
      <c r="M228" s="154"/>
    </row>
    <row r="229" ht="15.75" customHeight="1">
      <c r="C229" s="153"/>
      <c r="D229" s="153"/>
      <c r="I229" s="154"/>
      <c r="J229" s="154"/>
      <c r="K229" s="154"/>
      <c r="L229" s="154"/>
      <c r="M229" s="154"/>
    </row>
    <row r="230" ht="15.75" customHeight="1">
      <c r="C230" s="153"/>
      <c r="D230" s="153"/>
      <c r="I230" s="154"/>
      <c r="J230" s="154"/>
      <c r="K230" s="154"/>
      <c r="L230" s="154"/>
      <c r="M230" s="154"/>
    </row>
    <row r="231" ht="15.75" customHeight="1">
      <c r="C231" s="153"/>
      <c r="D231" s="153"/>
      <c r="I231" s="154"/>
      <c r="J231" s="154"/>
      <c r="K231" s="154"/>
      <c r="L231" s="154"/>
      <c r="M231" s="154"/>
    </row>
    <row r="232" ht="15.75" customHeight="1">
      <c r="C232" s="153"/>
      <c r="D232" s="153"/>
      <c r="I232" s="154"/>
      <c r="J232" s="154"/>
      <c r="K232" s="154"/>
      <c r="L232" s="154"/>
      <c r="M232" s="154"/>
    </row>
    <row r="233" ht="15.75" customHeight="1">
      <c r="C233" s="153"/>
      <c r="D233" s="153"/>
      <c r="I233" s="154"/>
      <c r="J233" s="154"/>
      <c r="K233" s="154"/>
      <c r="L233" s="154"/>
      <c r="M233" s="154"/>
    </row>
    <row r="234" ht="15.75" customHeight="1">
      <c r="C234" s="153"/>
      <c r="D234" s="153"/>
      <c r="I234" s="154"/>
      <c r="J234" s="154"/>
      <c r="K234" s="154"/>
      <c r="L234" s="154"/>
      <c r="M234" s="154"/>
    </row>
    <row r="235" ht="15.75" customHeight="1">
      <c r="C235" s="153"/>
      <c r="D235" s="153"/>
      <c r="I235" s="154"/>
      <c r="J235" s="154"/>
      <c r="K235" s="154"/>
      <c r="L235" s="154"/>
      <c r="M235" s="154"/>
    </row>
    <row r="236" ht="15.75" customHeight="1">
      <c r="C236" s="153"/>
      <c r="D236" s="153"/>
      <c r="I236" s="154"/>
      <c r="J236" s="154"/>
      <c r="K236" s="154"/>
      <c r="L236" s="154"/>
      <c r="M236" s="154"/>
    </row>
    <row r="237" ht="15.75" customHeight="1">
      <c r="C237" s="153"/>
      <c r="D237" s="153"/>
      <c r="I237" s="154"/>
      <c r="J237" s="154"/>
      <c r="K237" s="154"/>
      <c r="L237" s="154"/>
      <c r="M237" s="154"/>
    </row>
    <row r="238" ht="15.75" customHeight="1">
      <c r="C238" s="153"/>
      <c r="D238" s="153"/>
      <c r="I238" s="154"/>
      <c r="J238" s="154"/>
      <c r="K238" s="154"/>
      <c r="L238" s="154"/>
      <c r="M238" s="154"/>
    </row>
    <row r="239" ht="15.75" customHeight="1">
      <c r="C239" s="153"/>
      <c r="D239" s="153"/>
      <c r="I239" s="154"/>
      <c r="J239" s="154"/>
      <c r="K239" s="154"/>
      <c r="L239" s="154"/>
      <c r="M239" s="154"/>
    </row>
    <row r="240" ht="15.75" customHeight="1">
      <c r="C240" s="153"/>
      <c r="D240" s="153"/>
      <c r="I240" s="154"/>
      <c r="J240" s="154"/>
      <c r="K240" s="154"/>
      <c r="L240" s="154"/>
      <c r="M240" s="154"/>
    </row>
    <row r="241" ht="15.75" customHeight="1">
      <c r="C241" s="153"/>
      <c r="D241" s="153"/>
      <c r="I241" s="154"/>
      <c r="J241" s="154"/>
      <c r="K241" s="154"/>
      <c r="L241" s="154"/>
      <c r="M241" s="154"/>
    </row>
    <row r="242" ht="15.75" customHeight="1">
      <c r="C242" s="153"/>
      <c r="D242" s="153"/>
      <c r="I242" s="154"/>
      <c r="J242" s="154"/>
      <c r="K242" s="154"/>
      <c r="L242" s="154"/>
      <c r="M242" s="154"/>
    </row>
    <row r="243" ht="15.75" customHeight="1">
      <c r="C243" s="153"/>
      <c r="D243" s="153"/>
      <c r="I243" s="154"/>
      <c r="J243" s="154"/>
      <c r="K243" s="154"/>
      <c r="L243" s="154"/>
      <c r="M243" s="154"/>
    </row>
    <row r="244" ht="15.75" customHeight="1">
      <c r="C244" s="153"/>
      <c r="D244" s="153"/>
      <c r="I244" s="154"/>
      <c r="J244" s="154"/>
      <c r="K244" s="154"/>
      <c r="L244" s="154"/>
      <c r="M244" s="154"/>
    </row>
    <row r="245" ht="15.75" customHeight="1">
      <c r="C245" s="153"/>
      <c r="D245" s="153"/>
      <c r="I245" s="154"/>
      <c r="J245" s="154"/>
      <c r="K245" s="154"/>
      <c r="L245" s="154"/>
      <c r="M245" s="154"/>
    </row>
    <row r="246" ht="15.75" customHeight="1">
      <c r="C246" s="153"/>
      <c r="D246" s="153"/>
      <c r="I246" s="154"/>
      <c r="J246" s="154"/>
      <c r="K246" s="154"/>
      <c r="L246" s="154"/>
      <c r="M246" s="154"/>
    </row>
    <row r="247" ht="15.75" customHeight="1">
      <c r="C247" s="153"/>
      <c r="D247" s="153"/>
      <c r="I247" s="154"/>
      <c r="J247" s="154"/>
      <c r="K247" s="154"/>
      <c r="L247" s="154"/>
      <c r="M247" s="154"/>
    </row>
    <row r="248" ht="15.75" customHeight="1">
      <c r="C248" s="153"/>
      <c r="D248" s="153"/>
      <c r="I248" s="154"/>
      <c r="J248" s="154"/>
      <c r="K248" s="154"/>
      <c r="L248" s="154"/>
      <c r="M248" s="154"/>
    </row>
    <row r="249" ht="15.75" customHeight="1">
      <c r="C249" s="153"/>
      <c r="D249" s="153"/>
      <c r="I249" s="154"/>
      <c r="J249" s="154"/>
      <c r="K249" s="154"/>
      <c r="L249" s="154"/>
      <c r="M249" s="154"/>
    </row>
    <row r="250" ht="15.75" customHeight="1">
      <c r="C250" s="153"/>
      <c r="D250" s="153"/>
      <c r="I250" s="154"/>
      <c r="J250" s="154"/>
      <c r="K250" s="154"/>
      <c r="L250" s="154"/>
      <c r="M250" s="154"/>
    </row>
    <row r="251" ht="15.75" customHeight="1">
      <c r="C251" s="153"/>
      <c r="D251" s="153"/>
      <c r="I251" s="154"/>
      <c r="J251" s="154"/>
      <c r="K251" s="154"/>
      <c r="L251" s="154"/>
      <c r="M251" s="154"/>
    </row>
    <row r="252" ht="15.75" customHeight="1">
      <c r="C252" s="153"/>
      <c r="D252" s="153"/>
      <c r="I252" s="154"/>
      <c r="J252" s="154"/>
      <c r="K252" s="154"/>
      <c r="L252" s="154"/>
      <c r="M252" s="154"/>
    </row>
    <row r="253" ht="15.75" customHeight="1">
      <c r="C253" s="153"/>
      <c r="D253" s="153"/>
      <c r="I253" s="154"/>
      <c r="J253" s="154"/>
      <c r="K253" s="154"/>
      <c r="L253" s="154"/>
      <c r="M253" s="154"/>
    </row>
    <row r="254" ht="15.75" customHeight="1">
      <c r="C254" s="153"/>
      <c r="D254" s="153"/>
      <c r="I254" s="154"/>
      <c r="J254" s="154"/>
      <c r="K254" s="154"/>
      <c r="L254" s="154"/>
      <c r="M254" s="154"/>
    </row>
    <row r="255" ht="15.75" customHeight="1">
      <c r="C255" s="153"/>
      <c r="D255" s="153"/>
      <c r="I255" s="154"/>
      <c r="J255" s="154"/>
      <c r="K255" s="154"/>
      <c r="L255" s="154"/>
      <c r="M255" s="154"/>
    </row>
    <row r="256" ht="15.75" customHeight="1">
      <c r="C256" s="153"/>
      <c r="D256" s="153"/>
      <c r="I256" s="154"/>
      <c r="J256" s="154"/>
      <c r="K256" s="154"/>
      <c r="L256" s="154"/>
      <c r="M256" s="154"/>
    </row>
    <row r="257" ht="15.75" customHeight="1">
      <c r="C257" s="153"/>
      <c r="D257" s="153"/>
      <c r="I257" s="154"/>
      <c r="J257" s="154"/>
      <c r="K257" s="154"/>
      <c r="L257" s="154"/>
      <c r="M257" s="154"/>
    </row>
    <row r="258" ht="15.75" customHeight="1">
      <c r="C258" s="153"/>
      <c r="D258" s="153"/>
      <c r="I258" s="154"/>
      <c r="J258" s="154"/>
      <c r="K258" s="154"/>
      <c r="L258" s="154"/>
      <c r="M258" s="154"/>
    </row>
    <row r="259" ht="15.75" customHeight="1">
      <c r="C259" s="153"/>
      <c r="D259" s="153"/>
      <c r="I259" s="154"/>
      <c r="J259" s="154"/>
      <c r="K259" s="154"/>
      <c r="L259" s="154"/>
      <c r="M259" s="154"/>
    </row>
    <row r="260" ht="15.75" customHeight="1">
      <c r="C260" s="153"/>
      <c r="D260" s="153"/>
      <c r="I260" s="154"/>
      <c r="J260" s="154"/>
      <c r="K260" s="154"/>
      <c r="L260" s="154"/>
      <c r="M260" s="154"/>
    </row>
    <row r="261" ht="15.75" customHeight="1">
      <c r="C261" s="153"/>
      <c r="D261" s="153"/>
      <c r="I261" s="154"/>
      <c r="J261" s="154"/>
      <c r="K261" s="154"/>
      <c r="L261" s="154"/>
      <c r="M261" s="154"/>
    </row>
    <row r="262" ht="15.75" customHeight="1">
      <c r="C262" s="153"/>
      <c r="D262" s="153"/>
      <c r="I262" s="154"/>
      <c r="J262" s="154"/>
      <c r="K262" s="154"/>
      <c r="L262" s="154"/>
      <c r="M262" s="154"/>
    </row>
    <row r="263" ht="15.75" customHeight="1">
      <c r="C263" s="153"/>
      <c r="D263" s="153"/>
      <c r="I263" s="154"/>
      <c r="J263" s="154"/>
      <c r="K263" s="154"/>
      <c r="L263" s="154"/>
      <c r="M263" s="154"/>
    </row>
    <row r="264" ht="15.75" customHeight="1">
      <c r="C264" s="153"/>
      <c r="D264" s="153"/>
      <c r="I264" s="154"/>
      <c r="J264" s="154"/>
      <c r="K264" s="154"/>
      <c r="L264" s="154"/>
      <c r="M264" s="154"/>
    </row>
    <row r="265" ht="15.75" customHeight="1">
      <c r="C265" s="153"/>
      <c r="D265" s="153"/>
      <c r="I265" s="154"/>
      <c r="J265" s="154"/>
      <c r="K265" s="154"/>
      <c r="L265" s="154"/>
      <c r="M265" s="154"/>
    </row>
    <row r="266" ht="15.75" customHeight="1">
      <c r="C266" s="153"/>
      <c r="D266" s="153"/>
      <c r="I266" s="154"/>
      <c r="J266" s="154"/>
      <c r="K266" s="154"/>
      <c r="L266" s="154"/>
      <c r="M266" s="154"/>
    </row>
    <row r="267" ht="15.75" customHeight="1">
      <c r="C267" s="153"/>
      <c r="D267" s="153"/>
      <c r="I267" s="154"/>
      <c r="J267" s="154"/>
      <c r="K267" s="154"/>
      <c r="L267" s="154"/>
      <c r="M267" s="154"/>
    </row>
    <row r="268" ht="15.75" customHeight="1">
      <c r="C268" s="153"/>
      <c r="D268" s="153"/>
      <c r="I268" s="154"/>
      <c r="J268" s="154"/>
      <c r="K268" s="154"/>
      <c r="L268" s="154"/>
      <c r="M268" s="154"/>
    </row>
    <row r="269" ht="15.75" customHeight="1">
      <c r="C269" s="153"/>
      <c r="D269" s="153"/>
      <c r="I269" s="154"/>
      <c r="J269" s="154"/>
      <c r="K269" s="154"/>
      <c r="L269" s="154"/>
      <c r="M269" s="154"/>
    </row>
    <row r="270" ht="15.75" customHeight="1">
      <c r="C270" s="153"/>
      <c r="D270" s="153"/>
      <c r="I270" s="154"/>
      <c r="J270" s="154"/>
      <c r="K270" s="154"/>
      <c r="L270" s="154"/>
      <c r="M270" s="154"/>
    </row>
    <row r="271" ht="15.75" customHeight="1">
      <c r="C271" s="153"/>
      <c r="D271" s="153"/>
      <c r="I271" s="154"/>
      <c r="J271" s="154"/>
      <c r="K271" s="154"/>
      <c r="L271" s="154"/>
      <c r="M271" s="154"/>
    </row>
    <row r="272" ht="15.75" customHeight="1">
      <c r="C272" s="153"/>
      <c r="D272" s="153"/>
      <c r="I272" s="154"/>
      <c r="J272" s="154"/>
      <c r="K272" s="154"/>
      <c r="L272" s="154"/>
      <c r="M272" s="154"/>
    </row>
    <row r="273" ht="15.75" customHeight="1">
      <c r="C273" s="153"/>
      <c r="D273" s="153"/>
      <c r="I273" s="154"/>
      <c r="J273" s="154"/>
      <c r="K273" s="154"/>
      <c r="L273" s="154"/>
      <c r="M273" s="154"/>
    </row>
    <row r="274" ht="15.75" customHeight="1">
      <c r="C274" s="153"/>
      <c r="D274" s="153"/>
      <c r="I274" s="154"/>
      <c r="J274" s="154"/>
      <c r="K274" s="154"/>
      <c r="L274" s="154"/>
      <c r="M274" s="154"/>
    </row>
    <row r="275" ht="15.75" customHeight="1">
      <c r="C275" s="153"/>
      <c r="D275" s="153"/>
      <c r="I275" s="154"/>
      <c r="J275" s="154"/>
      <c r="K275" s="154"/>
      <c r="L275" s="154"/>
      <c r="M275" s="154"/>
    </row>
    <row r="276" ht="15.75" customHeight="1">
      <c r="C276" s="153"/>
      <c r="D276" s="153"/>
      <c r="I276" s="154"/>
      <c r="J276" s="154"/>
      <c r="K276" s="154"/>
      <c r="L276" s="154"/>
      <c r="M276" s="154"/>
    </row>
    <row r="277" ht="15.75" customHeight="1">
      <c r="C277" s="153"/>
      <c r="D277" s="153"/>
      <c r="I277" s="154"/>
      <c r="J277" s="154"/>
      <c r="K277" s="154"/>
      <c r="L277" s="154"/>
      <c r="M277" s="154"/>
    </row>
    <row r="278" ht="15.75" customHeight="1">
      <c r="C278" s="153"/>
      <c r="D278" s="153"/>
      <c r="I278" s="154"/>
      <c r="J278" s="154"/>
      <c r="K278" s="154"/>
      <c r="L278" s="154"/>
      <c r="M278" s="154"/>
    </row>
    <row r="279" ht="15.75" customHeight="1">
      <c r="C279" s="153"/>
      <c r="D279" s="153"/>
      <c r="I279" s="154"/>
      <c r="J279" s="154"/>
      <c r="K279" s="154"/>
      <c r="L279" s="154"/>
      <c r="M279" s="154"/>
    </row>
    <row r="280" ht="15.75" customHeight="1">
      <c r="C280" s="153"/>
      <c r="D280" s="153"/>
      <c r="I280" s="154"/>
      <c r="J280" s="154"/>
      <c r="K280" s="154"/>
      <c r="L280" s="154"/>
      <c r="M280" s="154"/>
    </row>
    <row r="281" ht="15.75" customHeight="1">
      <c r="C281" s="153"/>
      <c r="D281" s="153"/>
      <c r="I281" s="154"/>
      <c r="J281" s="154"/>
      <c r="K281" s="154"/>
      <c r="L281" s="154"/>
      <c r="M281" s="154"/>
    </row>
    <row r="282" ht="15.75" customHeight="1">
      <c r="C282" s="153"/>
      <c r="D282" s="153"/>
      <c r="I282" s="154"/>
      <c r="J282" s="154"/>
      <c r="K282" s="154"/>
      <c r="L282" s="154"/>
      <c r="M282" s="154"/>
    </row>
    <row r="283" ht="15.75" customHeight="1">
      <c r="C283" s="153"/>
      <c r="D283" s="153"/>
      <c r="I283" s="154"/>
      <c r="J283" s="154"/>
      <c r="K283" s="154"/>
      <c r="L283" s="154"/>
      <c r="M283" s="154"/>
    </row>
    <row r="284" ht="15.75" customHeight="1">
      <c r="C284" s="153"/>
      <c r="D284" s="153"/>
      <c r="I284" s="154"/>
      <c r="J284" s="154"/>
      <c r="K284" s="154"/>
      <c r="L284" s="154"/>
      <c r="M284" s="154"/>
    </row>
    <row r="285" ht="15.75" customHeight="1">
      <c r="C285" s="153"/>
      <c r="D285" s="153"/>
      <c r="I285" s="154"/>
      <c r="J285" s="154"/>
      <c r="K285" s="154"/>
      <c r="L285" s="154"/>
      <c r="M285" s="154"/>
    </row>
    <row r="286" ht="15.75" customHeight="1">
      <c r="C286" s="153"/>
      <c r="D286" s="153"/>
      <c r="I286" s="154"/>
      <c r="J286" s="154"/>
      <c r="K286" s="154"/>
      <c r="L286" s="154"/>
      <c r="M286" s="154"/>
    </row>
    <row r="287" ht="15.75" customHeight="1">
      <c r="C287" s="153"/>
      <c r="D287" s="153"/>
      <c r="I287" s="154"/>
      <c r="J287" s="154"/>
      <c r="K287" s="154"/>
      <c r="L287" s="154"/>
      <c r="M287" s="154"/>
    </row>
    <row r="288" ht="15.75" customHeight="1">
      <c r="C288" s="153"/>
      <c r="D288" s="153"/>
      <c r="I288" s="154"/>
      <c r="J288" s="154"/>
      <c r="K288" s="154"/>
      <c r="L288" s="154"/>
      <c r="M288" s="154"/>
    </row>
    <row r="289" ht="15.75" customHeight="1">
      <c r="C289" s="153"/>
      <c r="D289" s="153"/>
      <c r="I289" s="154"/>
      <c r="J289" s="154"/>
      <c r="K289" s="154"/>
      <c r="L289" s="154"/>
      <c r="M289" s="154"/>
    </row>
    <row r="290" ht="15.75" customHeight="1">
      <c r="C290" s="153"/>
      <c r="D290" s="153"/>
      <c r="I290" s="154"/>
      <c r="J290" s="154"/>
      <c r="K290" s="154"/>
      <c r="L290" s="154"/>
      <c r="M290" s="154"/>
    </row>
    <row r="291" ht="15.75" customHeight="1">
      <c r="C291" s="153"/>
      <c r="D291" s="153"/>
      <c r="I291" s="154"/>
      <c r="J291" s="154"/>
      <c r="K291" s="154"/>
      <c r="L291" s="154"/>
      <c r="M291" s="154"/>
    </row>
    <row r="292" ht="15.75" customHeight="1">
      <c r="C292" s="153"/>
      <c r="D292" s="153"/>
      <c r="I292" s="154"/>
      <c r="J292" s="154"/>
      <c r="K292" s="154"/>
      <c r="L292" s="154"/>
      <c r="M292" s="154"/>
    </row>
    <row r="293" ht="15.75" customHeight="1">
      <c r="C293" s="153"/>
      <c r="D293" s="153"/>
      <c r="I293" s="154"/>
      <c r="J293" s="154"/>
      <c r="K293" s="154"/>
      <c r="L293" s="154"/>
      <c r="M293" s="154"/>
    </row>
    <row r="294" ht="15.75" customHeight="1">
      <c r="C294" s="153"/>
      <c r="D294" s="153"/>
      <c r="I294" s="154"/>
      <c r="J294" s="154"/>
      <c r="K294" s="154"/>
      <c r="L294" s="154"/>
      <c r="M294" s="154"/>
    </row>
    <row r="295" ht="15.75" customHeight="1">
      <c r="C295" s="153"/>
      <c r="D295" s="153"/>
      <c r="I295" s="154"/>
      <c r="J295" s="154"/>
      <c r="K295" s="154"/>
      <c r="L295" s="154"/>
      <c r="M295" s="154"/>
    </row>
    <row r="296" ht="15.75" customHeight="1">
      <c r="C296" s="153"/>
      <c r="D296" s="153"/>
      <c r="I296" s="154"/>
      <c r="J296" s="154"/>
      <c r="K296" s="154"/>
      <c r="L296" s="154"/>
      <c r="M296" s="154"/>
    </row>
    <row r="297" ht="15.75" customHeight="1">
      <c r="C297" s="153"/>
      <c r="D297" s="153"/>
      <c r="I297" s="154"/>
      <c r="J297" s="154"/>
      <c r="K297" s="154"/>
      <c r="L297" s="154"/>
      <c r="M297" s="154"/>
    </row>
    <row r="298" ht="15.75" customHeight="1">
      <c r="C298" s="153"/>
      <c r="D298" s="153"/>
      <c r="I298" s="154"/>
      <c r="J298" s="154"/>
      <c r="K298" s="154"/>
      <c r="L298" s="154"/>
      <c r="M298" s="154"/>
    </row>
    <row r="299" ht="15.75" customHeight="1">
      <c r="C299" s="153"/>
      <c r="D299" s="153"/>
      <c r="I299" s="154"/>
      <c r="J299" s="154"/>
      <c r="K299" s="154"/>
      <c r="L299" s="154"/>
      <c r="M299" s="154"/>
    </row>
    <row r="300" ht="15.75" customHeight="1">
      <c r="C300" s="153"/>
      <c r="D300" s="153"/>
      <c r="I300" s="154"/>
      <c r="J300" s="154"/>
      <c r="K300" s="154"/>
      <c r="L300" s="154"/>
      <c r="M300" s="154"/>
    </row>
    <row r="301" ht="15.75" customHeight="1">
      <c r="C301" s="153"/>
      <c r="D301" s="153"/>
      <c r="I301" s="154"/>
      <c r="J301" s="154"/>
      <c r="K301" s="154"/>
      <c r="L301" s="154"/>
      <c r="M301" s="154"/>
    </row>
    <row r="302" ht="15.75" customHeight="1">
      <c r="C302" s="153"/>
      <c r="D302" s="153"/>
      <c r="I302" s="154"/>
      <c r="J302" s="154"/>
      <c r="K302" s="154"/>
      <c r="L302" s="154"/>
      <c r="M302" s="154"/>
    </row>
    <row r="303" ht="15.75" customHeight="1">
      <c r="C303" s="153"/>
      <c r="D303" s="153"/>
      <c r="I303" s="154"/>
      <c r="J303" s="154"/>
      <c r="K303" s="154"/>
      <c r="L303" s="154"/>
      <c r="M303" s="154"/>
    </row>
    <row r="304" ht="15.75" customHeight="1">
      <c r="C304" s="153"/>
      <c r="D304" s="153"/>
      <c r="I304" s="154"/>
      <c r="J304" s="154"/>
      <c r="K304" s="154"/>
      <c r="L304" s="154"/>
      <c r="M304" s="154"/>
    </row>
    <row r="305" ht="15.75" customHeight="1">
      <c r="C305" s="153"/>
      <c r="D305" s="153"/>
      <c r="I305" s="154"/>
      <c r="J305" s="154"/>
      <c r="K305" s="154"/>
      <c r="L305" s="154"/>
      <c r="M305" s="154"/>
    </row>
    <row r="306" ht="15.75" customHeight="1">
      <c r="C306" s="153"/>
      <c r="D306" s="153"/>
      <c r="I306" s="154"/>
      <c r="J306" s="154"/>
      <c r="K306" s="154"/>
      <c r="L306" s="154"/>
      <c r="M306" s="154"/>
    </row>
    <row r="307" ht="15.75" customHeight="1">
      <c r="C307" s="153"/>
      <c r="D307" s="153"/>
      <c r="I307" s="154"/>
      <c r="J307" s="154"/>
      <c r="K307" s="154"/>
      <c r="L307" s="154"/>
      <c r="M307" s="154"/>
    </row>
    <row r="308" ht="15.75" customHeight="1">
      <c r="C308" s="153"/>
      <c r="D308" s="153"/>
      <c r="I308" s="154"/>
      <c r="J308" s="154"/>
      <c r="K308" s="154"/>
      <c r="L308" s="154"/>
      <c r="M308" s="154"/>
    </row>
    <row r="309" ht="15.75" customHeight="1">
      <c r="C309" s="153"/>
      <c r="D309" s="153"/>
      <c r="I309" s="154"/>
      <c r="J309" s="154"/>
      <c r="K309" s="154"/>
      <c r="L309" s="154"/>
      <c r="M309" s="154"/>
    </row>
    <row r="310" ht="15.75" customHeight="1">
      <c r="C310" s="153"/>
      <c r="D310" s="153"/>
      <c r="I310" s="154"/>
      <c r="J310" s="154"/>
      <c r="K310" s="154"/>
      <c r="L310" s="154"/>
      <c r="M310" s="154"/>
    </row>
    <row r="311" ht="15.75" customHeight="1">
      <c r="C311" s="153"/>
      <c r="D311" s="153"/>
      <c r="I311" s="154"/>
      <c r="J311" s="154"/>
      <c r="K311" s="154"/>
      <c r="L311" s="154"/>
      <c r="M311" s="154"/>
    </row>
    <row r="312" ht="15.75" customHeight="1">
      <c r="C312" s="153"/>
      <c r="D312" s="153"/>
      <c r="I312" s="154"/>
      <c r="J312" s="154"/>
      <c r="K312" s="154"/>
      <c r="L312" s="154"/>
      <c r="M312" s="154"/>
    </row>
    <row r="313" ht="15.75" customHeight="1">
      <c r="C313" s="153"/>
      <c r="D313" s="153"/>
      <c r="I313" s="154"/>
      <c r="J313" s="154"/>
      <c r="K313" s="154"/>
      <c r="L313" s="154"/>
      <c r="M313" s="154"/>
    </row>
    <row r="314" ht="15.75" customHeight="1">
      <c r="C314" s="153"/>
      <c r="D314" s="153"/>
      <c r="I314" s="154"/>
      <c r="J314" s="154"/>
      <c r="K314" s="154"/>
      <c r="L314" s="154"/>
      <c r="M314" s="154"/>
    </row>
    <row r="315" ht="15.75" customHeight="1">
      <c r="C315" s="153"/>
      <c r="D315" s="153"/>
      <c r="I315" s="154"/>
      <c r="J315" s="154"/>
      <c r="K315" s="154"/>
      <c r="L315" s="154"/>
      <c r="M315" s="154"/>
    </row>
    <row r="316" ht="15.75" customHeight="1">
      <c r="C316" s="153"/>
      <c r="D316" s="153"/>
      <c r="I316" s="154"/>
      <c r="J316" s="154"/>
      <c r="K316" s="154"/>
      <c r="L316" s="154"/>
      <c r="M316" s="154"/>
    </row>
    <row r="317" ht="15.75" customHeight="1">
      <c r="C317" s="153"/>
      <c r="D317" s="153"/>
      <c r="I317" s="154"/>
      <c r="J317" s="154"/>
      <c r="K317" s="154"/>
      <c r="L317" s="154"/>
      <c r="M317" s="154"/>
    </row>
    <row r="318" ht="15.75" customHeight="1">
      <c r="C318" s="153"/>
      <c r="D318" s="153"/>
      <c r="I318" s="154"/>
      <c r="J318" s="154"/>
      <c r="K318" s="154"/>
      <c r="L318" s="154"/>
      <c r="M318" s="154"/>
    </row>
    <row r="319" ht="15.75" customHeight="1">
      <c r="C319" s="153"/>
      <c r="D319" s="153"/>
      <c r="I319" s="154"/>
      <c r="J319" s="154"/>
      <c r="K319" s="154"/>
      <c r="L319" s="154"/>
      <c r="M319" s="154"/>
    </row>
    <row r="320" ht="15.75" customHeight="1">
      <c r="C320" s="153"/>
      <c r="D320" s="153"/>
      <c r="I320" s="154"/>
      <c r="J320" s="154"/>
      <c r="K320" s="154"/>
      <c r="L320" s="154"/>
      <c r="M320" s="154"/>
    </row>
    <row r="321" ht="15.75" customHeight="1">
      <c r="C321" s="153"/>
      <c r="D321" s="153"/>
      <c r="I321" s="154"/>
      <c r="J321" s="154"/>
      <c r="K321" s="154"/>
      <c r="L321" s="154"/>
      <c r="M321" s="154"/>
    </row>
    <row r="322" ht="15.75" customHeight="1">
      <c r="C322" s="153"/>
      <c r="D322" s="153"/>
      <c r="I322" s="154"/>
      <c r="J322" s="154"/>
      <c r="K322" s="154"/>
      <c r="L322" s="154"/>
      <c r="M322" s="154"/>
    </row>
    <row r="323" ht="15.75" customHeight="1">
      <c r="C323" s="153"/>
      <c r="D323" s="153"/>
      <c r="I323" s="154"/>
      <c r="J323" s="154"/>
      <c r="K323" s="154"/>
      <c r="L323" s="154"/>
      <c r="M323" s="154"/>
    </row>
    <row r="324" ht="15.75" customHeight="1">
      <c r="C324" s="153"/>
      <c r="D324" s="153"/>
      <c r="I324" s="154"/>
      <c r="J324" s="154"/>
      <c r="K324" s="154"/>
      <c r="L324" s="154"/>
      <c r="M324" s="154"/>
    </row>
    <row r="325" ht="15.75" customHeight="1">
      <c r="C325" s="153"/>
      <c r="D325" s="153"/>
      <c r="I325" s="154"/>
      <c r="J325" s="154"/>
      <c r="K325" s="154"/>
      <c r="L325" s="154"/>
      <c r="M325" s="154"/>
    </row>
    <row r="326" ht="15.75" customHeight="1">
      <c r="C326" s="153"/>
      <c r="D326" s="153"/>
      <c r="I326" s="154"/>
      <c r="J326" s="154"/>
      <c r="K326" s="154"/>
      <c r="L326" s="154"/>
      <c r="M326" s="154"/>
    </row>
    <row r="327" ht="15.75" customHeight="1">
      <c r="C327" s="153"/>
      <c r="D327" s="153"/>
      <c r="I327" s="154"/>
      <c r="J327" s="154"/>
      <c r="K327" s="154"/>
      <c r="L327" s="154"/>
      <c r="M327" s="154"/>
    </row>
    <row r="328" ht="15.75" customHeight="1">
      <c r="C328" s="153"/>
      <c r="D328" s="153"/>
      <c r="I328" s="154"/>
      <c r="J328" s="154"/>
      <c r="K328" s="154"/>
      <c r="L328" s="154"/>
      <c r="M328" s="154"/>
    </row>
    <row r="329" ht="15.75" customHeight="1">
      <c r="C329" s="153"/>
      <c r="D329" s="153"/>
      <c r="I329" s="154"/>
      <c r="J329" s="154"/>
      <c r="K329" s="154"/>
      <c r="L329" s="154"/>
      <c r="M329" s="154"/>
    </row>
    <row r="330" ht="15.75" customHeight="1">
      <c r="C330" s="153"/>
      <c r="D330" s="153"/>
      <c r="I330" s="154"/>
      <c r="J330" s="154"/>
      <c r="K330" s="154"/>
      <c r="L330" s="154"/>
      <c r="M330" s="154"/>
    </row>
    <row r="331" ht="15.75" customHeight="1">
      <c r="C331" s="153"/>
      <c r="D331" s="153"/>
      <c r="I331" s="154"/>
      <c r="J331" s="154"/>
      <c r="K331" s="154"/>
      <c r="L331" s="154"/>
      <c r="M331" s="154"/>
    </row>
    <row r="332" ht="15.75" customHeight="1">
      <c r="C332" s="153"/>
      <c r="D332" s="153"/>
      <c r="I332" s="154"/>
      <c r="J332" s="154"/>
      <c r="K332" s="154"/>
      <c r="L332" s="154"/>
      <c r="M332" s="154"/>
    </row>
    <row r="333" ht="15.75" customHeight="1">
      <c r="C333" s="153"/>
      <c r="D333" s="153"/>
      <c r="I333" s="154"/>
      <c r="J333" s="154"/>
      <c r="K333" s="154"/>
      <c r="L333" s="154"/>
      <c r="M333" s="154"/>
    </row>
    <row r="334" ht="15.75" customHeight="1">
      <c r="C334" s="153"/>
      <c r="D334" s="153"/>
      <c r="I334" s="154"/>
      <c r="J334" s="154"/>
      <c r="K334" s="154"/>
      <c r="L334" s="154"/>
      <c r="M334" s="154"/>
    </row>
    <row r="335" ht="15.75" customHeight="1">
      <c r="C335" s="153"/>
      <c r="D335" s="153"/>
      <c r="I335" s="154"/>
      <c r="J335" s="154"/>
      <c r="K335" s="154"/>
      <c r="L335" s="154"/>
      <c r="M335" s="154"/>
    </row>
    <row r="336" ht="15.75" customHeight="1">
      <c r="C336" s="153"/>
      <c r="D336" s="153"/>
      <c r="I336" s="154"/>
      <c r="J336" s="154"/>
      <c r="K336" s="154"/>
      <c r="L336" s="154"/>
      <c r="M336" s="154"/>
    </row>
    <row r="337" ht="15.75" customHeight="1">
      <c r="C337" s="153"/>
      <c r="D337" s="153"/>
      <c r="I337" s="154"/>
      <c r="J337" s="154"/>
      <c r="K337" s="154"/>
      <c r="L337" s="154"/>
      <c r="M337" s="154"/>
    </row>
    <row r="338" ht="15.75" customHeight="1">
      <c r="C338" s="153"/>
      <c r="D338" s="153"/>
      <c r="I338" s="154"/>
      <c r="J338" s="154"/>
      <c r="K338" s="154"/>
      <c r="L338" s="154"/>
      <c r="M338" s="154"/>
    </row>
    <row r="339" ht="15.75" customHeight="1">
      <c r="C339" s="153"/>
      <c r="D339" s="153"/>
      <c r="I339" s="154"/>
      <c r="J339" s="154"/>
      <c r="K339" s="154"/>
      <c r="L339" s="154"/>
      <c r="M339" s="154"/>
    </row>
    <row r="340" ht="15.75" customHeight="1">
      <c r="C340" s="153"/>
      <c r="D340" s="153"/>
      <c r="I340" s="154"/>
      <c r="J340" s="154"/>
      <c r="K340" s="154"/>
      <c r="L340" s="154"/>
      <c r="M340" s="154"/>
    </row>
    <row r="341" ht="15.75" customHeight="1">
      <c r="C341" s="153"/>
      <c r="D341" s="153"/>
      <c r="I341" s="154"/>
      <c r="J341" s="154"/>
      <c r="K341" s="154"/>
      <c r="L341" s="154"/>
      <c r="M341" s="154"/>
    </row>
    <row r="342" ht="15.75" customHeight="1">
      <c r="C342" s="153"/>
      <c r="D342" s="153"/>
      <c r="I342" s="154"/>
      <c r="J342" s="154"/>
      <c r="K342" s="154"/>
      <c r="L342" s="154"/>
      <c r="M342" s="154"/>
    </row>
    <row r="343" ht="15.75" customHeight="1">
      <c r="C343" s="153"/>
      <c r="D343" s="153"/>
      <c r="I343" s="154"/>
      <c r="J343" s="154"/>
      <c r="K343" s="154"/>
      <c r="L343" s="154"/>
      <c r="M343" s="154"/>
    </row>
    <row r="344" ht="15.75" customHeight="1">
      <c r="C344" s="153"/>
      <c r="D344" s="153"/>
      <c r="I344" s="154"/>
      <c r="J344" s="154"/>
      <c r="K344" s="154"/>
      <c r="L344" s="154"/>
      <c r="M344" s="154"/>
    </row>
    <row r="345" ht="15.75" customHeight="1">
      <c r="C345" s="153"/>
      <c r="D345" s="153"/>
      <c r="I345" s="154"/>
      <c r="J345" s="154"/>
      <c r="K345" s="154"/>
      <c r="L345" s="154"/>
      <c r="M345" s="154"/>
    </row>
    <row r="346" ht="15.75" customHeight="1">
      <c r="C346" s="153"/>
      <c r="D346" s="153"/>
      <c r="I346" s="154"/>
      <c r="J346" s="154"/>
      <c r="K346" s="154"/>
      <c r="L346" s="154"/>
      <c r="M346" s="154"/>
    </row>
    <row r="347" ht="15.75" customHeight="1">
      <c r="C347" s="153"/>
      <c r="D347" s="153"/>
      <c r="I347" s="154"/>
      <c r="J347" s="154"/>
      <c r="K347" s="154"/>
      <c r="L347" s="154"/>
      <c r="M347" s="154"/>
    </row>
    <row r="348" ht="15.75" customHeight="1">
      <c r="C348" s="153"/>
      <c r="D348" s="153"/>
      <c r="I348" s="154"/>
      <c r="J348" s="154"/>
      <c r="K348" s="154"/>
      <c r="L348" s="154"/>
      <c r="M348" s="154"/>
    </row>
    <row r="349" ht="15.75" customHeight="1">
      <c r="C349" s="153"/>
      <c r="D349" s="153"/>
      <c r="I349" s="154"/>
      <c r="J349" s="154"/>
      <c r="K349" s="154"/>
      <c r="L349" s="154"/>
      <c r="M349" s="154"/>
    </row>
    <row r="350" ht="15.75" customHeight="1">
      <c r="C350" s="153"/>
      <c r="D350" s="153"/>
      <c r="I350" s="154"/>
      <c r="J350" s="154"/>
      <c r="K350" s="154"/>
      <c r="L350" s="154"/>
      <c r="M350" s="154"/>
    </row>
    <row r="351" ht="15.75" customHeight="1">
      <c r="C351" s="153"/>
      <c r="D351" s="153"/>
      <c r="I351" s="154"/>
      <c r="J351" s="154"/>
      <c r="K351" s="154"/>
      <c r="L351" s="154"/>
      <c r="M351" s="154"/>
    </row>
    <row r="352" ht="15.75" customHeight="1">
      <c r="C352" s="153"/>
      <c r="D352" s="153"/>
      <c r="I352" s="154"/>
      <c r="J352" s="154"/>
      <c r="K352" s="154"/>
      <c r="L352" s="154"/>
      <c r="M352" s="154"/>
    </row>
    <row r="353" ht="15.75" customHeight="1">
      <c r="C353" s="153"/>
      <c r="D353" s="153"/>
      <c r="I353" s="154"/>
      <c r="J353" s="154"/>
      <c r="K353" s="154"/>
      <c r="L353" s="154"/>
      <c r="M353" s="154"/>
    </row>
    <row r="354" ht="15.75" customHeight="1">
      <c r="C354" s="153"/>
      <c r="D354" s="153"/>
      <c r="I354" s="154"/>
      <c r="J354" s="154"/>
      <c r="K354" s="154"/>
      <c r="L354" s="154"/>
      <c r="M354" s="154"/>
    </row>
    <row r="355" ht="15.75" customHeight="1">
      <c r="C355" s="153"/>
      <c r="D355" s="153"/>
      <c r="I355" s="154"/>
      <c r="J355" s="154"/>
      <c r="K355" s="154"/>
      <c r="L355" s="154"/>
      <c r="M355" s="154"/>
    </row>
    <row r="356" ht="15.75" customHeight="1">
      <c r="C356" s="153"/>
      <c r="D356" s="153"/>
      <c r="I356" s="154"/>
      <c r="J356" s="154"/>
      <c r="K356" s="154"/>
      <c r="L356" s="154"/>
      <c r="M356" s="154"/>
    </row>
    <row r="357" ht="15.75" customHeight="1">
      <c r="C357" s="153"/>
      <c r="D357" s="153"/>
      <c r="I357" s="154"/>
      <c r="J357" s="154"/>
      <c r="K357" s="154"/>
      <c r="L357" s="154"/>
      <c r="M357" s="154"/>
    </row>
    <row r="358" ht="15.75" customHeight="1">
      <c r="C358" s="153"/>
      <c r="D358" s="153"/>
      <c r="I358" s="154"/>
      <c r="J358" s="154"/>
      <c r="K358" s="154"/>
      <c r="L358" s="154"/>
      <c r="M358" s="154"/>
    </row>
    <row r="359" ht="15.75" customHeight="1">
      <c r="C359" s="153"/>
      <c r="D359" s="153"/>
      <c r="I359" s="154"/>
      <c r="J359" s="154"/>
      <c r="K359" s="154"/>
      <c r="L359" s="154"/>
      <c r="M359" s="154"/>
    </row>
    <row r="360" ht="15.75" customHeight="1">
      <c r="C360" s="153"/>
      <c r="D360" s="153"/>
      <c r="I360" s="154"/>
      <c r="J360" s="154"/>
      <c r="K360" s="154"/>
      <c r="L360" s="154"/>
      <c r="M360" s="154"/>
    </row>
    <row r="361" ht="15.75" customHeight="1">
      <c r="C361" s="153"/>
      <c r="D361" s="153"/>
      <c r="I361" s="154"/>
      <c r="J361" s="154"/>
      <c r="K361" s="154"/>
      <c r="L361" s="154"/>
      <c r="M361" s="154"/>
    </row>
    <row r="362" ht="15.75" customHeight="1">
      <c r="C362" s="153"/>
      <c r="D362" s="153"/>
      <c r="I362" s="154"/>
      <c r="J362" s="154"/>
      <c r="K362" s="154"/>
      <c r="L362" s="154"/>
      <c r="M362" s="154"/>
    </row>
    <row r="363" ht="15.75" customHeight="1">
      <c r="C363" s="153"/>
      <c r="D363" s="153"/>
      <c r="I363" s="154"/>
      <c r="J363" s="154"/>
      <c r="K363" s="154"/>
      <c r="L363" s="154"/>
      <c r="M363" s="154"/>
    </row>
    <row r="364" ht="15.75" customHeight="1">
      <c r="C364" s="153"/>
      <c r="D364" s="153"/>
      <c r="I364" s="154"/>
      <c r="J364" s="154"/>
      <c r="K364" s="154"/>
      <c r="L364" s="154"/>
      <c r="M364" s="154"/>
    </row>
    <row r="365" ht="15.75" customHeight="1">
      <c r="C365" s="153"/>
      <c r="D365" s="153"/>
      <c r="I365" s="154"/>
      <c r="J365" s="154"/>
      <c r="K365" s="154"/>
      <c r="L365" s="154"/>
      <c r="M365" s="154"/>
    </row>
    <row r="366" ht="15.75" customHeight="1">
      <c r="C366" s="153"/>
      <c r="D366" s="153"/>
      <c r="I366" s="154"/>
      <c r="J366" s="154"/>
      <c r="K366" s="154"/>
      <c r="L366" s="154"/>
      <c r="M366" s="154"/>
    </row>
    <row r="367" ht="15.75" customHeight="1">
      <c r="C367" s="153"/>
      <c r="D367" s="153"/>
      <c r="I367" s="154"/>
      <c r="J367" s="154"/>
      <c r="K367" s="154"/>
      <c r="L367" s="154"/>
      <c r="M367" s="154"/>
    </row>
    <row r="368" ht="15.75" customHeight="1">
      <c r="C368" s="153"/>
      <c r="D368" s="153"/>
      <c r="I368" s="154"/>
      <c r="J368" s="154"/>
      <c r="K368" s="154"/>
      <c r="L368" s="154"/>
      <c r="M368" s="154"/>
    </row>
    <row r="369" ht="15.75" customHeight="1">
      <c r="C369" s="153"/>
      <c r="D369" s="153"/>
      <c r="I369" s="154"/>
      <c r="J369" s="154"/>
      <c r="K369" s="154"/>
      <c r="L369" s="154"/>
      <c r="M369" s="154"/>
    </row>
    <row r="370" ht="15.75" customHeight="1">
      <c r="C370" s="153"/>
      <c r="D370" s="153"/>
      <c r="I370" s="154"/>
      <c r="J370" s="154"/>
      <c r="K370" s="154"/>
      <c r="L370" s="154"/>
      <c r="M370" s="154"/>
    </row>
    <row r="371" ht="15.75" customHeight="1">
      <c r="C371" s="153"/>
      <c r="D371" s="153"/>
      <c r="I371" s="154"/>
      <c r="J371" s="154"/>
      <c r="K371" s="154"/>
      <c r="L371" s="154"/>
      <c r="M371" s="154"/>
    </row>
    <row r="372" ht="15.75" customHeight="1">
      <c r="C372" s="153"/>
      <c r="D372" s="153"/>
      <c r="I372" s="154"/>
      <c r="J372" s="154"/>
      <c r="K372" s="154"/>
      <c r="L372" s="154"/>
      <c r="M372" s="154"/>
    </row>
    <row r="373" ht="15.75" customHeight="1">
      <c r="C373" s="153"/>
      <c r="D373" s="153"/>
      <c r="I373" s="154"/>
      <c r="J373" s="154"/>
      <c r="K373" s="154"/>
      <c r="L373" s="154"/>
      <c r="M373" s="154"/>
    </row>
    <row r="374" ht="15.75" customHeight="1">
      <c r="C374" s="153"/>
      <c r="D374" s="153"/>
      <c r="I374" s="154"/>
      <c r="J374" s="154"/>
      <c r="K374" s="154"/>
      <c r="L374" s="154"/>
      <c r="M374" s="154"/>
    </row>
    <row r="375" ht="15.75" customHeight="1">
      <c r="C375" s="153"/>
      <c r="D375" s="153"/>
      <c r="I375" s="154"/>
      <c r="J375" s="154"/>
      <c r="K375" s="154"/>
      <c r="L375" s="154"/>
      <c r="M375" s="154"/>
    </row>
    <row r="376" ht="15.75" customHeight="1">
      <c r="C376" s="153"/>
      <c r="D376" s="153"/>
      <c r="I376" s="154"/>
      <c r="J376" s="154"/>
      <c r="K376" s="154"/>
      <c r="L376" s="154"/>
      <c r="M376" s="154"/>
    </row>
    <row r="377" ht="15.75" customHeight="1">
      <c r="C377" s="153"/>
      <c r="D377" s="153"/>
      <c r="I377" s="154"/>
      <c r="J377" s="154"/>
      <c r="K377" s="154"/>
      <c r="L377" s="154"/>
      <c r="M377" s="154"/>
    </row>
    <row r="378" ht="15.75" customHeight="1">
      <c r="C378" s="153"/>
      <c r="D378" s="153"/>
      <c r="I378" s="154"/>
      <c r="J378" s="154"/>
      <c r="K378" s="154"/>
      <c r="L378" s="154"/>
      <c r="M378" s="154"/>
    </row>
    <row r="379" ht="15.75" customHeight="1">
      <c r="C379" s="153"/>
      <c r="D379" s="153"/>
      <c r="I379" s="154"/>
      <c r="J379" s="154"/>
      <c r="K379" s="154"/>
      <c r="L379" s="154"/>
      <c r="M379" s="154"/>
    </row>
    <row r="380" ht="15.75" customHeight="1">
      <c r="C380" s="153"/>
      <c r="D380" s="153"/>
      <c r="I380" s="154"/>
      <c r="J380" s="154"/>
      <c r="K380" s="154"/>
      <c r="L380" s="154"/>
      <c r="M380" s="154"/>
    </row>
    <row r="381" ht="15.75" customHeight="1">
      <c r="C381" s="153"/>
      <c r="D381" s="153"/>
      <c r="I381" s="154"/>
      <c r="J381" s="154"/>
      <c r="K381" s="154"/>
      <c r="L381" s="154"/>
      <c r="M381" s="154"/>
    </row>
    <row r="382" ht="15.75" customHeight="1">
      <c r="C382" s="153"/>
      <c r="D382" s="153"/>
      <c r="I382" s="154"/>
      <c r="J382" s="154"/>
      <c r="K382" s="154"/>
      <c r="L382" s="154"/>
      <c r="M382" s="154"/>
    </row>
    <row r="383" ht="15.75" customHeight="1">
      <c r="C383" s="153"/>
      <c r="D383" s="153"/>
      <c r="I383" s="154"/>
      <c r="J383" s="154"/>
      <c r="K383" s="154"/>
      <c r="L383" s="154"/>
      <c r="M383" s="154"/>
    </row>
    <row r="384" ht="15.75" customHeight="1">
      <c r="C384" s="153"/>
      <c r="D384" s="153"/>
      <c r="I384" s="154"/>
      <c r="J384" s="154"/>
      <c r="K384" s="154"/>
      <c r="L384" s="154"/>
      <c r="M384" s="154"/>
    </row>
    <row r="385" ht="15.75" customHeight="1">
      <c r="C385" s="153"/>
      <c r="D385" s="153"/>
      <c r="I385" s="154"/>
      <c r="J385" s="154"/>
      <c r="K385" s="154"/>
      <c r="L385" s="154"/>
      <c r="M385" s="154"/>
    </row>
    <row r="386" ht="15.75" customHeight="1">
      <c r="C386" s="153"/>
      <c r="D386" s="153"/>
      <c r="I386" s="154"/>
      <c r="J386" s="154"/>
      <c r="K386" s="154"/>
      <c r="L386" s="154"/>
      <c r="M386" s="154"/>
    </row>
    <row r="387" ht="15.75" customHeight="1">
      <c r="C387" s="153"/>
      <c r="D387" s="153"/>
      <c r="I387" s="154"/>
      <c r="J387" s="154"/>
      <c r="K387" s="154"/>
      <c r="L387" s="154"/>
      <c r="M387" s="154"/>
    </row>
    <row r="388" ht="15.75" customHeight="1">
      <c r="C388" s="153"/>
      <c r="D388" s="153"/>
      <c r="I388" s="154"/>
      <c r="J388" s="154"/>
      <c r="K388" s="154"/>
      <c r="L388" s="154"/>
      <c r="M388" s="154"/>
    </row>
    <row r="389" ht="15.75" customHeight="1">
      <c r="C389" s="153"/>
      <c r="D389" s="153"/>
      <c r="I389" s="154"/>
      <c r="J389" s="154"/>
      <c r="K389" s="154"/>
      <c r="L389" s="154"/>
      <c r="M389" s="154"/>
    </row>
    <row r="390" ht="15.75" customHeight="1">
      <c r="C390" s="153"/>
      <c r="D390" s="153"/>
      <c r="I390" s="154"/>
      <c r="J390" s="154"/>
      <c r="K390" s="154"/>
      <c r="L390" s="154"/>
      <c r="M390" s="154"/>
    </row>
    <row r="391" ht="15.75" customHeight="1">
      <c r="C391" s="153"/>
      <c r="D391" s="153"/>
      <c r="I391" s="154"/>
      <c r="J391" s="154"/>
      <c r="K391" s="154"/>
      <c r="L391" s="154"/>
      <c r="M391" s="154"/>
    </row>
    <row r="392" ht="15.75" customHeight="1">
      <c r="C392" s="153"/>
      <c r="D392" s="153"/>
      <c r="I392" s="154"/>
      <c r="J392" s="154"/>
      <c r="K392" s="154"/>
      <c r="L392" s="154"/>
      <c r="M392" s="154"/>
    </row>
    <row r="393" ht="15.75" customHeight="1">
      <c r="C393" s="153"/>
      <c r="D393" s="153"/>
      <c r="I393" s="154"/>
      <c r="J393" s="154"/>
      <c r="K393" s="154"/>
      <c r="L393" s="154"/>
      <c r="M393" s="154"/>
    </row>
    <row r="394" ht="15.75" customHeight="1">
      <c r="C394" s="153"/>
      <c r="D394" s="153"/>
      <c r="I394" s="154"/>
      <c r="J394" s="154"/>
      <c r="K394" s="154"/>
      <c r="L394" s="154"/>
      <c r="M394" s="154"/>
    </row>
    <row r="395" ht="15.75" customHeight="1">
      <c r="C395" s="153"/>
      <c r="D395" s="153"/>
      <c r="I395" s="154"/>
      <c r="J395" s="154"/>
      <c r="K395" s="154"/>
      <c r="L395" s="154"/>
      <c r="M395" s="154"/>
    </row>
    <row r="396" ht="15.75" customHeight="1">
      <c r="C396" s="153"/>
      <c r="D396" s="153"/>
      <c r="I396" s="154"/>
      <c r="J396" s="154"/>
      <c r="K396" s="154"/>
      <c r="L396" s="154"/>
      <c r="M396" s="154"/>
    </row>
    <row r="397" ht="15.75" customHeight="1">
      <c r="C397" s="153"/>
      <c r="D397" s="153"/>
      <c r="I397" s="154"/>
      <c r="J397" s="154"/>
      <c r="K397" s="154"/>
      <c r="L397" s="154"/>
      <c r="M397" s="154"/>
    </row>
    <row r="398" ht="15.75" customHeight="1">
      <c r="C398" s="153"/>
      <c r="D398" s="153"/>
      <c r="I398" s="154"/>
      <c r="J398" s="154"/>
      <c r="K398" s="154"/>
      <c r="L398" s="154"/>
      <c r="M398" s="154"/>
    </row>
    <row r="399" ht="15.75" customHeight="1">
      <c r="C399" s="153"/>
      <c r="D399" s="153"/>
      <c r="I399" s="154"/>
      <c r="J399" s="154"/>
      <c r="K399" s="154"/>
      <c r="L399" s="154"/>
      <c r="M399" s="154"/>
    </row>
    <row r="400" ht="15.75" customHeight="1">
      <c r="C400" s="153"/>
      <c r="D400" s="153"/>
      <c r="I400" s="154"/>
      <c r="J400" s="154"/>
      <c r="K400" s="154"/>
      <c r="L400" s="154"/>
      <c r="M400" s="154"/>
    </row>
    <row r="401" ht="15.75" customHeight="1">
      <c r="C401" s="153"/>
      <c r="D401" s="153"/>
      <c r="I401" s="154"/>
      <c r="J401" s="154"/>
      <c r="K401" s="154"/>
      <c r="L401" s="154"/>
      <c r="M401" s="154"/>
    </row>
    <row r="402" ht="15.75" customHeight="1">
      <c r="C402" s="153"/>
      <c r="D402" s="153"/>
      <c r="I402" s="154"/>
      <c r="J402" s="154"/>
      <c r="K402" s="154"/>
      <c r="L402" s="154"/>
      <c r="M402" s="154"/>
    </row>
    <row r="403" ht="15.75" customHeight="1">
      <c r="C403" s="153"/>
      <c r="D403" s="153"/>
      <c r="I403" s="154"/>
      <c r="J403" s="154"/>
      <c r="K403" s="154"/>
      <c r="L403" s="154"/>
      <c r="M403" s="154"/>
    </row>
    <row r="404" ht="15.75" customHeight="1">
      <c r="C404" s="153"/>
      <c r="D404" s="153"/>
      <c r="I404" s="154"/>
      <c r="J404" s="154"/>
      <c r="K404" s="154"/>
      <c r="L404" s="154"/>
      <c r="M404" s="154"/>
    </row>
    <row r="405" ht="15.75" customHeight="1">
      <c r="C405" s="153"/>
      <c r="D405" s="153"/>
      <c r="I405" s="154"/>
      <c r="J405" s="154"/>
      <c r="K405" s="154"/>
      <c r="L405" s="154"/>
      <c r="M405" s="154"/>
    </row>
    <row r="406" ht="15.75" customHeight="1">
      <c r="C406" s="153"/>
      <c r="D406" s="153"/>
      <c r="I406" s="154"/>
      <c r="J406" s="154"/>
      <c r="K406" s="154"/>
      <c r="L406" s="154"/>
      <c r="M406" s="154"/>
    </row>
    <row r="407" ht="15.75" customHeight="1">
      <c r="C407" s="153"/>
      <c r="D407" s="153"/>
      <c r="I407" s="154"/>
      <c r="J407" s="154"/>
      <c r="K407" s="154"/>
      <c r="L407" s="154"/>
      <c r="M407" s="154"/>
    </row>
    <row r="408" ht="15.75" customHeight="1">
      <c r="C408" s="153"/>
      <c r="D408" s="153"/>
      <c r="I408" s="154"/>
      <c r="J408" s="154"/>
      <c r="K408" s="154"/>
      <c r="L408" s="154"/>
      <c r="M408" s="154"/>
    </row>
    <row r="409" ht="15.75" customHeight="1">
      <c r="C409" s="153"/>
      <c r="D409" s="153"/>
      <c r="I409" s="154"/>
      <c r="J409" s="154"/>
      <c r="K409" s="154"/>
      <c r="L409" s="154"/>
      <c r="M409" s="154"/>
    </row>
    <row r="410" ht="15.75" customHeight="1">
      <c r="C410" s="153"/>
      <c r="D410" s="153"/>
      <c r="I410" s="154"/>
      <c r="J410" s="154"/>
      <c r="K410" s="154"/>
      <c r="L410" s="154"/>
      <c r="M410" s="154"/>
    </row>
    <row r="411" ht="15.75" customHeight="1">
      <c r="C411" s="153"/>
      <c r="D411" s="153"/>
      <c r="I411" s="154"/>
      <c r="J411" s="154"/>
      <c r="K411" s="154"/>
      <c r="L411" s="154"/>
      <c r="M411" s="154"/>
    </row>
    <row r="412" ht="15.75" customHeight="1">
      <c r="C412" s="153"/>
      <c r="D412" s="153"/>
      <c r="I412" s="154"/>
      <c r="J412" s="154"/>
      <c r="K412" s="154"/>
      <c r="L412" s="154"/>
      <c r="M412" s="154"/>
    </row>
    <row r="413" ht="15.75" customHeight="1">
      <c r="C413" s="153"/>
      <c r="D413" s="153"/>
      <c r="I413" s="154"/>
      <c r="J413" s="154"/>
      <c r="K413" s="154"/>
      <c r="L413" s="154"/>
      <c r="M413" s="154"/>
    </row>
    <row r="414" ht="15.75" customHeight="1">
      <c r="C414" s="153"/>
      <c r="D414" s="153"/>
      <c r="I414" s="154"/>
      <c r="J414" s="154"/>
      <c r="K414" s="154"/>
      <c r="L414" s="154"/>
      <c r="M414" s="154"/>
    </row>
    <row r="415" ht="15.75" customHeight="1">
      <c r="C415" s="153"/>
      <c r="D415" s="153"/>
      <c r="I415" s="154"/>
      <c r="J415" s="154"/>
      <c r="K415" s="154"/>
      <c r="L415" s="154"/>
      <c r="M415" s="154"/>
    </row>
    <row r="416" ht="15.75" customHeight="1">
      <c r="C416" s="153"/>
      <c r="D416" s="153"/>
      <c r="I416" s="154"/>
      <c r="J416" s="154"/>
      <c r="K416" s="154"/>
      <c r="L416" s="154"/>
      <c r="M416" s="154"/>
    </row>
    <row r="417" ht="15.75" customHeight="1">
      <c r="C417" s="153"/>
      <c r="D417" s="153"/>
      <c r="I417" s="154"/>
      <c r="J417" s="154"/>
      <c r="K417" s="154"/>
      <c r="L417" s="154"/>
      <c r="M417" s="154"/>
    </row>
    <row r="418" ht="15.75" customHeight="1">
      <c r="C418" s="153"/>
      <c r="D418" s="153"/>
      <c r="I418" s="154"/>
      <c r="J418" s="154"/>
      <c r="K418" s="154"/>
      <c r="L418" s="154"/>
      <c r="M418" s="154"/>
    </row>
    <row r="419" ht="15.75" customHeight="1">
      <c r="C419" s="153"/>
      <c r="D419" s="153"/>
      <c r="I419" s="154"/>
      <c r="J419" s="154"/>
      <c r="K419" s="154"/>
      <c r="L419" s="154"/>
      <c r="M419" s="154"/>
    </row>
    <row r="420" ht="15.75" customHeight="1">
      <c r="C420" s="153"/>
      <c r="D420" s="153"/>
      <c r="I420" s="154"/>
      <c r="J420" s="154"/>
      <c r="K420" s="154"/>
      <c r="L420" s="154"/>
      <c r="M420" s="154"/>
    </row>
    <row r="421" ht="15.75" customHeight="1">
      <c r="C421" s="153"/>
      <c r="D421" s="153"/>
      <c r="I421" s="154"/>
      <c r="J421" s="154"/>
      <c r="K421" s="154"/>
      <c r="L421" s="154"/>
      <c r="M421" s="154"/>
    </row>
    <row r="422" ht="15.75" customHeight="1">
      <c r="C422" s="153"/>
      <c r="D422" s="153"/>
      <c r="I422" s="154"/>
      <c r="J422" s="154"/>
      <c r="K422" s="154"/>
      <c r="L422" s="154"/>
      <c r="M422" s="154"/>
    </row>
    <row r="423" ht="15.75" customHeight="1">
      <c r="C423" s="153"/>
      <c r="D423" s="153"/>
      <c r="I423" s="154"/>
      <c r="J423" s="154"/>
      <c r="K423" s="154"/>
      <c r="L423" s="154"/>
      <c r="M423" s="154"/>
    </row>
    <row r="424" ht="15.75" customHeight="1">
      <c r="C424" s="153"/>
      <c r="D424" s="153"/>
      <c r="I424" s="154"/>
      <c r="J424" s="154"/>
      <c r="K424" s="154"/>
      <c r="L424" s="154"/>
      <c r="M424" s="154"/>
    </row>
    <row r="425" ht="15.75" customHeight="1">
      <c r="C425" s="153"/>
      <c r="D425" s="153"/>
      <c r="I425" s="154"/>
      <c r="J425" s="154"/>
      <c r="K425" s="154"/>
      <c r="L425" s="154"/>
      <c r="M425" s="154"/>
    </row>
    <row r="426" ht="15.75" customHeight="1">
      <c r="C426" s="153"/>
      <c r="D426" s="153"/>
      <c r="I426" s="154"/>
      <c r="J426" s="154"/>
      <c r="K426" s="154"/>
      <c r="L426" s="154"/>
      <c r="M426" s="154"/>
    </row>
    <row r="427" ht="15.75" customHeight="1">
      <c r="C427" s="153"/>
      <c r="D427" s="153"/>
      <c r="I427" s="154"/>
      <c r="J427" s="154"/>
      <c r="K427" s="154"/>
      <c r="L427" s="154"/>
      <c r="M427" s="154"/>
    </row>
    <row r="428" ht="15.75" customHeight="1">
      <c r="C428" s="153"/>
      <c r="D428" s="153"/>
      <c r="I428" s="154"/>
      <c r="J428" s="154"/>
      <c r="K428" s="154"/>
      <c r="L428" s="154"/>
      <c r="M428" s="154"/>
    </row>
    <row r="429" ht="15.75" customHeight="1">
      <c r="C429" s="153"/>
      <c r="D429" s="153"/>
      <c r="I429" s="154"/>
      <c r="J429" s="154"/>
      <c r="K429" s="154"/>
      <c r="L429" s="154"/>
      <c r="M429" s="154"/>
    </row>
    <row r="430" ht="15.75" customHeight="1">
      <c r="C430" s="153"/>
      <c r="D430" s="153"/>
      <c r="I430" s="154"/>
      <c r="J430" s="154"/>
      <c r="K430" s="154"/>
      <c r="L430" s="154"/>
      <c r="M430" s="154"/>
    </row>
    <row r="431" ht="15.75" customHeight="1">
      <c r="C431" s="153"/>
      <c r="D431" s="153"/>
      <c r="I431" s="154"/>
      <c r="J431" s="154"/>
      <c r="K431" s="154"/>
      <c r="L431" s="154"/>
      <c r="M431" s="154"/>
    </row>
    <row r="432" ht="15.75" customHeight="1">
      <c r="C432" s="153"/>
      <c r="D432" s="153"/>
      <c r="I432" s="154"/>
      <c r="J432" s="154"/>
      <c r="K432" s="154"/>
      <c r="L432" s="154"/>
      <c r="M432" s="154"/>
    </row>
    <row r="433" ht="15.75" customHeight="1">
      <c r="C433" s="153"/>
      <c r="D433" s="153"/>
      <c r="I433" s="154"/>
      <c r="J433" s="154"/>
      <c r="K433" s="154"/>
      <c r="L433" s="154"/>
      <c r="M433" s="154"/>
    </row>
    <row r="434" ht="15.75" customHeight="1">
      <c r="C434" s="153"/>
      <c r="D434" s="153"/>
      <c r="I434" s="154"/>
      <c r="J434" s="154"/>
      <c r="K434" s="154"/>
      <c r="L434" s="154"/>
      <c r="M434" s="154"/>
    </row>
    <row r="435" ht="15.75" customHeight="1">
      <c r="C435" s="153"/>
      <c r="D435" s="153"/>
      <c r="I435" s="154"/>
      <c r="J435" s="154"/>
      <c r="K435" s="154"/>
      <c r="L435" s="154"/>
      <c r="M435" s="154"/>
    </row>
    <row r="436" ht="15.75" customHeight="1">
      <c r="C436" s="153"/>
      <c r="D436" s="153"/>
      <c r="I436" s="154"/>
      <c r="J436" s="154"/>
      <c r="K436" s="154"/>
      <c r="L436" s="154"/>
      <c r="M436" s="154"/>
    </row>
    <row r="437" ht="15.75" customHeight="1">
      <c r="C437" s="153"/>
      <c r="D437" s="153"/>
      <c r="I437" s="154"/>
      <c r="J437" s="154"/>
      <c r="K437" s="154"/>
      <c r="L437" s="154"/>
      <c r="M437" s="154"/>
    </row>
    <row r="438" ht="15.75" customHeight="1">
      <c r="C438" s="153"/>
      <c r="D438" s="153"/>
      <c r="I438" s="154"/>
      <c r="J438" s="154"/>
      <c r="K438" s="154"/>
      <c r="L438" s="154"/>
      <c r="M438" s="154"/>
    </row>
    <row r="439" ht="15.75" customHeight="1">
      <c r="C439" s="153"/>
      <c r="D439" s="153"/>
      <c r="I439" s="154"/>
      <c r="J439" s="154"/>
      <c r="K439" s="154"/>
      <c r="L439" s="154"/>
      <c r="M439" s="154"/>
    </row>
    <row r="440" ht="15.75" customHeight="1">
      <c r="C440" s="153"/>
      <c r="D440" s="153"/>
      <c r="I440" s="154"/>
      <c r="J440" s="154"/>
      <c r="K440" s="154"/>
      <c r="L440" s="154"/>
      <c r="M440" s="154"/>
    </row>
    <row r="441" ht="15.75" customHeight="1">
      <c r="C441" s="153"/>
      <c r="D441" s="153"/>
      <c r="I441" s="154"/>
      <c r="J441" s="154"/>
      <c r="K441" s="154"/>
      <c r="L441" s="154"/>
      <c r="M441" s="154"/>
    </row>
    <row r="442" ht="15.75" customHeight="1">
      <c r="C442" s="153"/>
      <c r="D442" s="153"/>
      <c r="I442" s="154"/>
      <c r="J442" s="154"/>
      <c r="K442" s="154"/>
      <c r="L442" s="154"/>
      <c r="M442" s="154"/>
    </row>
    <row r="443" ht="15.75" customHeight="1">
      <c r="C443" s="153"/>
      <c r="D443" s="153"/>
      <c r="I443" s="154"/>
      <c r="J443" s="154"/>
      <c r="K443" s="154"/>
      <c r="L443" s="154"/>
      <c r="M443" s="154"/>
    </row>
    <row r="444" ht="15.75" customHeight="1">
      <c r="C444" s="153"/>
      <c r="D444" s="153"/>
      <c r="I444" s="154"/>
      <c r="J444" s="154"/>
      <c r="K444" s="154"/>
      <c r="L444" s="154"/>
      <c r="M444" s="154"/>
    </row>
    <row r="445" ht="15.75" customHeight="1">
      <c r="C445" s="153"/>
      <c r="D445" s="153"/>
      <c r="I445" s="154"/>
      <c r="J445" s="154"/>
      <c r="K445" s="154"/>
      <c r="L445" s="154"/>
      <c r="M445" s="154"/>
    </row>
    <row r="446" ht="15.75" customHeight="1">
      <c r="C446" s="153"/>
      <c r="D446" s="153"/>
      <c r="I446" s="154"/>
      <c r="J446" s="154"/>
      <c r="K446" s="154"/>
      <c r="L446" s="154"/>
      <c r="M446" s="154"/>
    </row>
    <row r="447" ht="15.75" customHeight="1">
      <c r="C447" s="153"/>
      <c r="D447" s="153"/>
      <c r="I447" s="154"/>
      <c r="J447" s="154"/>
      <c r="K447" s="154"/>
      <c r="L447" s="154"/>
      <c r="M447" s="154"/>
    </row>
    <row r="448" ht="15.75" customHeight="1">
      <c r="C448" s="153"/>
      <c r="D448" s="153"/>
      <c r="I448" s="154"/>
      <c r="J448" s="154"/>
      <c r="K448" s="154"/>
      <c r="L448" s="154"/>
      <c r="M448" s="154"/>
    </row>
    <row r="449" ht="15.75" customHeight="1">
      <c r="C449" s="153"/>
      <c r="D449" s="153"/>
      <c r="I449" s="154"/>
      <c r="J449" s="154"/>
      <c r="K449" s="154"/>
      <c r="L449" s="154"/>
      <c r="M449" s="154"/>
    </row>
    <row r="450" ht="15.75" customHeight="1">
      <c r="C450" s="153"/>
      <c r="D450" s="153"/>
      <c r="I450" s="154"/>
      <c r="J450" s="154"/>
      <c r="K450" s="154"/>
      <c r="L450" s="154"/>
      <c r="M450" s="154"/>
    </row>
    <row r="451" ht="15.75" customHeight="1">
      <c r="C451" s="153"/>
      <c r="D451" s="153"/>
      <c r="I451" s="154"/>
      <c r="J451" s="154"/>
      <c r="K451" s="154"/>
      <c r="L451" s="154"/>
      <c r="M451" s="154"/>
    </row>
    <row r="452" ht="15.75" customHeight="1">
      <c r="C452" s="153"/>
      <c r="D452" s="153"/>
      <c r="I452" s="154"/>
      <c r="J452" s="154"/>
      <c r="K452" s="154"/>
      <c r="L452" s="154"/>
      <c r="M452" s="154"/>
    </row>
    <row r="453" ht="15.75" customHeight="1">
      <c r="C453" s="153"/>
      <c r="D453" s="153"/>
      <c r="I453" s="154"/>
      <c r="J453" s="154"/>
      <c r="K453" s="154"/>
      <c r="L453" s="154"/>
      <c r="M453" s="154"/>
    </row>
    <row r="454" ht="15.75" customHeight="1">
      <c r="C454" s="153"/>
      <c r="D454" s="153"/>
      <c r="I454" s="154"/>
      <c r="J454" s="154"/>
      <c r="K454" s="154"/>
      <c r="L454" s="154"/>
      <c r="M454" s="154"/>
    </row>
    <row r="455" ht="15.75" customHeight="1">
      <c r="C455" s="153"/>
      <c r="D455" s="153"/>
      <c r="I455" s="154"/>
      <c r="J455" s="154"/>
      <c r="K455" s="154"/>
      <c r="L455" s="154"/>
      <c r="M455" s="154"/>
    </row>
    <row r="456" ht="15.75" customHeight="1">
      <c r="C456" s="153"/>
      <c r="D456" s="153"/>
      <c r="I456" s="154"/>
      <c r="J456" s="154"/>
      <c r="K456" s="154"/>
      <c r="L456" s="154"/>
      <c r="M456" s="154"/>
    </row>
    <row r="457" ht="15.75" customHeight="1">
      <c r="C457" s="153"/>
      <c r="D457" s="153"/>
      <c r="I457" s="154"/>
      <c r="J457" s="154"/>
      <c r="K457" s="154"/>
      <c r="L457" s="154"/>
      <c r="M457" s="154"/>
    </row>
    <row r="458" ht="15.75" customHeight="1">
      <c r="C458" s="153"/>
      <c r="D458" s="153"/>
      <c r="I458" s="154"/>
      <c r="J458" s="154"/>
      <c r="K458" s="154"/>
      <c r="L458" s="154"/>
      <c r="M458" s="154"/>
    </row>
    <row r="459" ht="15.75" customHeight="1">
      <c r="C459" s="153"/>
      <c r="D459" s="153"/>
      <c r="I459" s="154"/>
      <c r="J459" s="154"/>
      <c r="K459" s="154"/>
      <c r="L459" s="154"/>
      <c r="M459" s="154"/>
    </row>
    <row r="460" ht="15.75" customHeight="1">
      <c r="C460" s="153"/>
      <c r="D460" s="153"/>
      <c r="I460" s="154"/>
      <c r="J460" s="154"/>
      <c r="K460" s="154"/>
      <c r="L460" s="154"/>
      <c r="M460" s="154"/>
    </row>
    <row r="461" ht="15.75" customHeight="1">
      <c r="C461" s="153"/>
      <c r="D461" s="153"/>
      <c r="I461" s="154"/>
      <c r="J461" s="154"/>
      <c r="K461" s="154"/>
      <c r="L461" s="154"/>
      <c r="M461" s="154"/>
    </row>
    <row r="462" ht="15.75" customHeight="1">
      <c r="C462" s="153"/>
      <c r="D462" s="153"/>
      <c r="I462" s="154"/>
      <c r="J462" s="154"/>
      <c r="K462" s="154"/>
      <c r="L462" s="154"/>
      <c r="M462" s="154"/>
    </row>
    <row r="463" ht="15.75" customHeight="1">
      <c r="C463" s="153"/>
      <c r="D463" s="153"/>
      <c r="I463" s="154"/>
      <c r="J463" s="154"/>
      <c r="K463" s="154"/>
      <c r="L463" s="154"/>
      <c r="M463" s="154"/>
    </row>
    <row r="464" ht="15.75" customHeight="1">
      <c r="C464" s="153"/>
      <c r="D464" s="153"/>
      <c r="I464" s="154"/>
      <c r="J464" s="154"/>
      <c r="K464" s="154"/>
      <c r="L464" s="154"/>
      <c r="M464" s="154"/>
    </row>
    <row r="465" ht="15.75" customHeight="1">
      <c r="C465" s="153"/>
      <c r="D465" s="153"/>
      <c r="I465" s="154"/>
      <c r="J465" s="154"/>
      <c r="K465" s="154"/>
      <c r="L465" s="154"/>
      <c r="M465" s="154"/>
    </row>
    <row r="466" ht="15.75" customHeight="1">
      <c r="C466" s="153"/>
      <c r="D466" s="153"/>
      <c r="I466" s="154"/>
      <c r="J466" s="154"/>
      <c r="K466" s="154"/>
      <c r="L466" s="154"/>
      <c r="M466" s="154"/>
    </row>
    <row r="467" ht="15.75" customHeight="1">
      <c r="C467" s="153"/>
      <c r="D467" s="153"/>
      <c r="I467" s="154"/>
      <c r="J467" s="154"/>
      <c r="K467" s="154"/>
      <c r="L467" s="154"/>
      <c r="M467" s="154"/>
    </row>
    <row r="468" ht="15.75" customHeight="1">
      <c r="C468" s="153"/>
      <c r="D468" s="153"/>
      <c r="I468" s="154"/>
      <c r="J468" s="154"/>
      <c r="K468" s="154"/>
      <c r="L468" s="154"/>
      <c r="M468" s="154"/>
    </row>
    <row r="469" ht="15.75" customHeight="1">
      <c r="C469" s="153"/>
      <c r="D469" s="153"/>
      <c r="I469" s="154"/>
      <c r="J469" s="154"/>
      <c r="K469" s="154"/>
      <c r="L469" s="154"/>
      <c r="M469" s="154"/>
    </row>
    <row r="470" ht="15.75" customHeight="1">
      <c r="C470" s="153"/>
      <c r="D470" s="153"/>
      <c r="I470" s="154"/>
      <c r="J470" s="154"/>
      <c r="K470" s="154"/>
      <c r="L470" s="154"/>
      <c r="M470" s="154"/>
    </row>
    <row r="471" ht="15.75" customHeight="1">
      <c r="C471" s="153"/>
      <c r="D471" s="153"/>
      <c r="I471" s="154"/>
      <c r="J471" s="154"/>
      <c r="K471" s="154"/>
      <c r="L471" s="154"/>
      <c r="M471" s="154"/>
    </row>
    <row r="472" ht="15.75" customHeight="1">
      <c r="C472" s="153"/>
      <c r="D472" s="153"/>
      <c r="I472" s="154"/>
      <c r="J472" s="154"/>
      <c r="K472" s="154"/>
      <c r="L472" s="154"/>
      <c r="M472" s="154"/>
    </row>
    <row r="473" ht="15.75" customHeight="1">
      <c r="C473" s="153"/>
      <c r="D473" s="153"/>
      <c r="I473" s="154"/>
      <c r="J473" s="154"/>
      <c r="K473" s="154"/>
      <c r="L473" s="154"/>
      <c r="M473" s="154"/>
    </row>
    <row r="474" ht="15.75" customHeight="1">
      <c r="C474" s="153"/>
      <c r="D474" s="153"/>
      <c r="I474" s="154"/>
      <c r="J474" s="154"/>
      <c r="K474" s="154"/>
      <c r="L474" s="154"/>
      <c r="M474" s="154"/>
    </row>
    <row r="475" ht="15.75" customHeight="1">
      <c r="C475" s="153"/>
      <c r="D475" s="153"/>
      <c r="I475" s="154"/>
      <c r="J475" s="154"/>
      <c r="K475" s="154"/>
      <c r="L475" s="154"/>
      <c r="M475" s="154"/>
    </row>
    <row r="476" ht="15.75" customHeight="1">
      <c r="C476" s="153"/>
      <c r="D476" s="153"/>
      <c r="I476" s="154"/>
      <c r="J476" s="154"/>
      <c r="K476" s="154"/>
      <c r="L476" s="154"/>
      <c r="M476" s="154"/>
    </row>
    <row r="477" ht="15.75" customHeight="1">
      <c r="C477" s="153"/>
      <c r="D477" s="153"/>
      <c r="I477" s="154"/>
      <c r="J477" s="154"/>
      <c r="K477" s="154"/>
      <c r="L477" s="154"/>
      <c r="M477" s="154"/>
    </row>
    <row r="478" ht="15.75" customHeight="1">
      <c r="C478" s="153"/>
      <c r="D478" s="153"/>
      <c r="I478" s="154"/>
      <c r="J478" s="154"/>
      <c r="K478" s="154"/>
      <c r="L478" s="154"/>
      <c r="M478" s="154"/>
    </row>
    <row r="479" ht="15.75" customHeight="1">
      <c r="C479" s="153"/>
      <c r="D479" s="153"/>
      <c r="I479" s="154"/>
      <c r="J479" s="154"/>
      <c r="K479" s="154"/>
      <c r="L479" s="154"/>
      <c r="M479" s="154"/>
    </row>
    <row r="480" ht="15.75" customHeight="1">
      <c r="C480" s="153"/>
      <c r="D480" s="153"/>
      <c r="I480" s="154"/>
      <c r="J480" s="154"/>
      <c r="K480" s="154"/>
      <c r="L480" s="154"/>
      <c r="M480" s="154"/>
    </row>
    <row r="481" ht="15.75" customHeight="1">
      <c r="C481" s="153"/>
      <c r="D481" s="153"/>
      <c r="I481" s="154"/>
      <c r="J481" s="154"/>
      <c r="K481" s="154"/>
      <c r="L481" s="154"/>
      <c r="M481" s="154"/>
    </row>
    <row r="482" ht="15.75" customHeight="1">
      <c r="C482" s="153"/>
      <c r="D482" s="153"/>
      <c r="I482" s="154"/>
      <c r="J482" s="154"/>
      <c r="K482" s="154"/>
      <c r="L482" s="154"/>
      <c r="M482" s="154"/>
    </row>
    <row r="483" ht="15.75" customHeight="1">
      <c r="C483" s="153"/>
      <c r="D483" s="153"/>
      <c r="I483" s="154"/>
      <c r="J483" s="154"/>
      <c r="K483" s="154"/>
      <c r="L483" s="154"/>
      <c r="M483" s="154"/>
    </row>
    <row r="484" ht="15.75" customHeight="1">
      <c r="C484" s="153"/>
      <c r="D484" s="153"/>
      <c r="I484" s="154"/>
      <c r="J484" s="154"/>
      <c r="K484" s="154"/>
      <c r="L484" s="154"/>
      <c r="M484" s="154"/>
    </row>
    <row r="485" ht="15.75" customHeight="1">
      <c r="C485" s="153"/>
      <c r="D485" s="153"/>
      <c r="I485" s="154"/>
      <c r="J485" s="154"/>
      <c r="K485" s="154"/>
      <c r="L485" s="154"/>
      <c r="M485" s="154"/>
    </row>
    <row r="486" ht="15.75" customHeight="1">
      <c r="C486" s="153"/>
      <c r="D486" s="153"/>
      <c r="I486" s="154"/>
      <c r="J486" s="154"/>
      <c r="K486" s="154"/>
      <c r="L486" s="154"/>
      <c r="M486" s="154"/>
    </row>
    <row r="487" ht="15.75" customHeight="1">
      <c r="C487" s="153"/>
      <c r="D487" s="153"/>
      <c r="I487" s="154"/>
      <c r="J487" s="154"/>
      <c r="K487" s="154"/>
      <c r="L487" s="154"/>
      <c r="M487" s="154"/>
    </row>
    <row r="488" ht="15.75" customHeight="1">
      <c r="C488" s="153"/>
      <c r="D488" s="153"/>
      <c r="I488" s="154"/>
      <c r="J488" s="154"/>
      <c r="K488" s="154"/>
      <c r="L488" s="154"/>
      <c r="M488" s="154"/>
    </row>
    <row r="489" ht="15.75" customHeight="1">
      <c r="C489" s="153"/>
      <c r="D489" s="153"/>
      <c r="I489" s="154"/>
      <c r="J489" s="154"/>
      <c r="K489" s="154"/>
      <c r="L489" s="154"/>
      <c r="M489" s="154"/>
    </row>
    <row r="490" ht="15.75" customHeight="1">
      <c r="C490" s="153"/>
      <c r="D490" s="153"/>
      <c r="I490" s="154"/>
      <c r="J490" s="154"/>
      <c r="K490" s="154"/>
      <c r="L490" s="154"/>
      <c r="M490" s="154"/>
    </row>
    <row r="491" ht="15.75" customHeight="1">
      <c r="C491" s="153"/>
      <c r="D491" s="153"/>
      <c r="I491" s="154"/>
      <c r="J491" s="154"/>
      <c r="K491" s="154"/>
      <c r="L491" s="154"/>
      <c r="M491" s="154"/>
    </row>
    <row r="492" ht="15.75" customHeight="1">
      <c r="C492" s="153"/>
      <c r="D492" s="153"/>
      <c r="I492" s="154"/>
      <c r="J492" s="154"/>
      <c r="K492" s="154"/>
      <c r="L492" s="154"/>
      <c r="M492" s="154"/>
    </row>
    <row r="493" ht="15.75" customHeight="1">
      <c r="C493" s="153"/>
      <c r="D493" s="153"/>
      <c r="I493" s="154"/>
      <c r="J493" s="154"/>
      <c r="K493" s="154"/>
      <c r="L493" s="154"/>
      <c r="M493" s="154"/>
    </row>
    <row r="494" ht="15.75" customHeight="1">
      <c r="C494" s="153"/>
      <c r="D494" s="153"/>
      <c r="I494" s="154"/>
      <c r="J494" s="154"/>
      <c r="K494" s="154"/>
      <c r="L494" s="154"/>
      <c r="M494" s="154"/>
    </row>
    <row r="495" ht="15.75" customHeight="1">
      <c r="C495" s="153"/>
      <c r="D495" s="153"/>
      <c r="I495" s="154"/>
      <c r="J495" s="154"/>
      <c r="K495" s="154"/>
      <c r="L495" s="154"/>
      <c r="M495" s="154"/>
    </row>
    <row r="496" ht="15.75" customHeight="1">
      <c r="C496" s="153"/>
      <c r="D496" s="153"/>
      <c r="I496" s="154"/>
      <c r="J496" s="154"/>
      <c r="K496" s="154"/>
      <c r="L496" s="154"/>
      <c r="M496" s="154"/>
    </row>
    <row r="497" ht="15.75" customHeight="1">
      <c r="C497" s="153"/>
      <c r="D497" s="153"/>
      <c r="I497" s="154"/>
      <c r="J497" s="154"/>
      <c r="K497" s="154"/>
      <c r="L497" s="154"/>
      <c r="M497" s="154"/>
    </row>
    <row r="498" ht="15.75" customHeight="1">
      <c r="C498" s="153"/>
      <c r="D498" s="153"/>
      <c r="I498" s="154"/>
      <c r="J498" s="154"/>
      <c r="K498" s="154"/>
      <c r="L498" s="154"/>
      <c r="M498" s="154"/>
    </row>
    <row r="499" ht="15.75" customHeight="1">
      <c r="C499" s="153"/>
      <c r="D499" s="153"/>
      <c r="I499" s="154"/>
      <c r="J499" s="154"/>
      <c r="K499" s="154"/>
      <c r="L499" s="154"/>
      <c r="M499" s="154"/>
    </row>
    <row r="500" ht="15.75" customHeight="1">
      <c r="C500" s="153"/>
      <c r="D500" s="153"/>
      <c r="I500" s="154"/>
      <c r="J500" s="154"/>
      <c r="K500" s="154"/>
      <c r="L500" s="154"/>
      <c r="M500" s="154"/>
    </row>
    <row r="501" ht="15.75" customHeight="1">
      <c r="C501" s="153"/>
      <c r="D501" s="153"/>
      <c r="I501" s="154"/>
      <c r="J501" s="154"/>
      <c r="K501" s="154"/>
      <c r="L501" s="154"/>
      <c r="M501" s="154"/>
    </row>
    <row r="502" ht="15.75" customHeight="1">
      <c r="C502" s="153"/>
      <c r="D502" s="153"/>
      <c r="I502" s="154"/>
      <c r="J502" s="154"/>
      <c r="K502" s="154"/>
      <c r="L502" s="154"/>
      <c r="M502" s="154"/>
    </row>
    <row r="503" ht="15.75" customHeight="1">
      <c r="C503" s="153"/>
      <c r="D503" s="153"/>
      <c r="I503" s="154"/>
      <c r="J503" s="154"/>
      <c r="K503" s="154"/>
      <c r="L503" s="154"/>
      <c r="M503" s="154"/>
    </row>
    <row r="504" ht="15.75" customHeight="1">
      <c r="C504" s="153"/>
      <c r="D504" s="153"/>
      <c r="I504" s="154"/>
      <c r="J504" s="154"/>
      <c r="K504" s="154"/>
      <c r="L504" s="154"/>
      <c r="M504" s="154"/>
    </row>
    <row r="505" ht="15.75" customHeight="1">
      <c r="C505" s="153"/>
      <c r="D505" s="153"/>
      <c r="I505" s="154"/>
      <c r="J505" s="154"/>
      <c r="K505" s="154"/>
      <c r="L505" s="154"/>
      <c r="M505" s="154"/>
    </row>
    <row r="506" ht="15.75" customHeight="1">
      <c r="C506" s="153"/>
      <c r="D506" s="153"/>
      <c r="I506" s="154"/>
      <c r="J506" s="154"/>
      <c r="K506" s="154"/>
      <c r="L506" s="154"/>
      <c r="M506" s="154"/>
    </row>
    <row r="507" ht="15.75" customHeight="1">
      <c r="C507" s="153"/>
      <c r="D507" s="153"/>
      <c r="I507" s="154"/>
      <c r="J507" s="154"/>
      <c r="K507" s="154"/>
      <c r="L507" s="154"/>
      <c r="M507" s="154"/>
    </row>
    <row r="508" ht="15.75" customHeight="1">
      <c r="C508" s="153"/>
      <c r="D508" s="153"/>
      <c r="I508" s="154"/>
      <c r="J508" s="154"/>
      <c r="K508" s="154"/>
      <c r="L508" s="154"/>
      <c r="M508" s="154"/>
    </row>
    <row r="509" ht="15.75" customHeight="1">
      <c r="C509" s="153"/>
      <c r="D509" s="153"/>
      <c r="I509" s="154"/>
      <c r="J509" s="154"/>
      <c r="K509" s="154"/>
      <c r="L509" s="154"/>
      <c r="M509" s="154"/>
    </row>
    <row r="510" ht="15.75" customHeight="1">
      <c r="C510" s="153"/>
      <c r="D510" s="153"/>
      <c r="I510" s="154"/>
      <c r="J510" s="154"/>
      <c r="K510" s="154"/>
      <c r="L510" s="154"/>
      <c r="M510" s="154"/>
    </row>
    <row r="511" ht="15.75" customHeight="1">
      <c r="C511" s="153"/>
      <c r="D511" s="153"/>
      <c r="I511" s="154"/>
      <c r="J511" s="154"/>
      <c r="K511" s="154"/>
      <c r="L511" s="154"/>
      <c r="M511" s="154"/>
    </row>
    <row r="512" ht="15.75" customHeight="1">
      <c r="C512" s="153"/>
      <c r="D512" s="153"/>
      <c r="I512" s="154"/>
      <c r="J512" s="154"/>
      <c r="K512" s="154"/>
      <c r="L512" s="154"/>
      <c r="M512" s="154"/>
    </row>
    <row r="513" ht="15.75" customHeight="1">
      <c r="C513" s="153"/>
      <c r="D513" s="153"/>
      <c r="I513" s="154"/>
      <c r="J513" s="154"/>
      <c r="K513" s="154"/>
      <c r="L513" s="154"/>
      <c r="M513" s="154"/>
    </row>
    <row r="514" ht="15.75" customHeight="1">
      <c r="C514" s="153"/>
      <c r="D514" s="153"/>
      <c r="I514" s="154"/>
      <c r="J514" s="154"/>
      <c r="K514" s="154"/>
      <c r="L514" s="154"/>
      <c r="M514" s="154"/>
    </row>
    <row r="515" ht="15.75" customHeight="1">
      <c r="C515" s="153"/>
      <c r="D515" s="153"/>
      <c r="I515" s="154"/>
      <c r="J515" s="154"/>
      <c r="K515" s="154"/>
      <c r="L515" s="154"/>
      <c r="M515" s="154"/>
    </row>
    <row r="516" ht="15.75" customHeight="1">
      <c r="C516" s="153"/>
      <c r="D516" s="153"/>
      <c r="I516" s="154"/>
      <c r="J516" s="154"/>
      <c r="K516" s="154"/>
      <c r="L516" s="154"/>
      <c r="M516" s="154"/>
    </row>
    <row r="517" ht="15.75" customHeight="1">
      <c r="C517" s="153"/>
      <c r="D517" s="153"/>
      <c r="I517" s="154"/>
      <c r="J517" s="154"/>
      <c r="K517" s="154"/>
      <c r="L517" s="154"/>
      <c r="M517" s="154"/>
    </row>
    <row r="518" ht="15.75" customHeight="1">
      <c r="C518" s="153"/>
      <c r="D518" s="153"/>
      <c r="I518" s="154"/>
      <c r="J518" s="154"/>
      <c r="K518" s="154"/>
      <c r="L518" s="154"/>
      <c r="M518" s="154"/>
    </row>
    <row r="519" ht="15.75" customHeight="1">
      <c r="C519" s="153"/>
      <c r="D519" s="153"/>
      <c r="I519" s="154"/>
      <c r="J519" s="154"/>
      <c r="K519" s="154"/>
      <c r="L519" s="154"/>
      <c r="M519" s="154"/>
    </row>
    <row r="520" ht="15.75" customHeight="1">
      <c r="C520" s="153"/>
      <c r="D520" s="153"/>
      <c r="I520" s="154"/>
      <c r="J520" s="154"/>
      <c r="K520" s="154"/>
      <c r="L520" s="154"/>
      <c r="M520" s="154"/>
    </row>
    <row r="521" ht="15.75" customHeight="1">
      <c r="C521" s="153"/>
      <c r="D521" s="153"/>
      <c r="I521" s="154"/>
      <c r="J521" s="154"/>
      <c r="K521" s="154"/>
      <c r="L521" s="154"/>
      <c r="M521" s="154"/>
    </row>
    <row r="522" ht="15.75" customHeight="1">
      <c r="C522" s="153"/>
      <c r="D522" s="153"/>
      <c r="I522" s="154"/>
      <c r="J522" s="154"/>
      <c r="K522" s="154"/>
      <c r="L522" s="154"/>
      <c r="M522" s="154"/>
    </row>
    <row r="523" ht="15.75" customHeight="1">
      <c r="C523" s="153"/>
      <c r="D523" s="153"/>
      <c r="I523" s="154"/>
      <c r="J523" s="154"/>
      <c r="K523" s="154"/>
      <c r="L523" s="154"/>
      <c r="M523" s="154"/>
    </row>
    <row r="524" ht="15.75" customHeight="1">
      <c r="C524" s="153"/>
      <c r="D524" s="153"/>
      <c r="I524" s="154"/>
      <c r="J524" s="154"/>
      <c r="K524" s="154"/>
      <c r="L524" s="154"/>
      <c r="M524" s="154"/>
    </row>
    <row r="525" ht="15.75" customHeight="1">
      <c r="C525" s="153"/>
      <c r="D525" s="153"/>
      <c r="I525" s="154"/>
      <c r="J525" s="154"/>
      <c r="K525" s="154"/>
      <c r="L525" s="154"/>
      <c r="M525" s="154"/>
    </row>
    <row r="526" ht="15.75" customHeight="1">
      <c r="C526" s="153"/>
      <c r="D526" s="153"/>
      <c r="I526" s="154"/>
      <c r="J526" s="154"/>
      <c r="K526" s="154"/>
      <c r="L526" s="154"/>
      <c r="M526" s="154"/>
    </row>
    <row r="527" ht="15.75" customHeight="1">
      <c r="C527" s="153"/>
      <c r="D527" s="153"/>
      <c r="I527" s="154"/>
      <c r="J527" s="154"/>
      <c r="K527" s="154"/>
      <c r="L527" s="154"/>
      <c r="M527" s="154"/>
    </row>
    <row r="528" ht="15.75" customHeight="1">
      <c r="C528" s="153"/>
      <c r="D528" s="153"/>
      <c r="I528" s="154"/>
      <c r="J528" s="154"/>
      <c r="K528" s="154"/>
      <c r="L528" s="154"/>
      <c r="M528" s="154"/>
    </row>
    <row r="529" ht="15.75" customHeight="1">
      <c r="C529" s="153"/>
      <c r="D529" s="153"/>
      <c r="I529" s="154"/>
      <c r="J529" s="154"/>
      <c r="K529" s="154"/>
      <c r="L529" s="154"/>
      <c r="M529" s="154"/>
    </row>
    <row r="530" ht="15.75" customHeight="1">
      <c r="C530" s="153"/>
      <c r="D530" s="153"/>
      <c r="I530" s="154"/>
      <c r="J530" s="154"/>
      <c r="K530" s="154"/>
      <c r="L530" s="154"/>
      <c r="M530" s="154"/>
    </row>
    <row r="531" ht="15.75" customHeight="1">
      <c r="C531" s="153"/>
      <c r="D531" s="153"/>
      <c r="I531" s="154"/>
      <c r="J531" s="154"/>
      <c r="K531" s="154"/>
      <c r="L531" s="154"/>
      <c r="M531" s="154"/>
    </row>
    <row r="532" ht="15.75" customHeight="1">
      <c r="C532" s="153"/>
      <c r="D532" s="153"/>
      <c r="I532" s="154"/>
      <c r="J532" s="154"/>
      <c r="K532" s="154"/>
      <c r="L532" s="154"/>
      <c r="M532" s="154"/>
    </row>
    <row r="533" ht="15.75" customHeight="1">
      <c r="C533" s="153"/>
      <c r="D533" s="153"/>
      <c r="I533" s="154"/>
      <c r="J533" s="154"/>
      <c r="K533" s="154"/>
      <c r="L533" s="154"/>
      <c r="M533" s="154"/>
    </row>
    <row r="534" ht="15.75" customHeight="1">
      <c r="C534" s="153"/>
      <c r="D534" s="153"/>
      <c r="I534" s="154"/>
      <c r="J534" s="154"/>
      <c r="K534" s="154"/>
      <c r="L534" s="154"/>
      <c r="M534" s="154"/>
    </row>
    <row r="535" ht="15.75" customHeight="1">
      <c r="C535" s="153"/>
      <c r="D535" s="153"/>
      <c r="I535" s="154"/>
      <c r="J535" s="154"/>
      <c r="K535" s="154"/>
      <c r="L535" s="154"/>
      <c r="M535" s="154"/>
    </row>
    <row r="536" ht="15.75" customHeight="1">
      <c r="C536" s="153"/>
      <c r="D536" s="153"/>
      <c r="I536" s="154"/>
      <c r="J536" s="154"/>
      <c r="K536" s="154"/>
      <c r="L536" s="154"/>
      <c r="M536" s="154"/>
    </row>
    <row r="537" ht="15.75" customHeight="1">
      <c r="C537" s="153"/>
      <c r="D537" s="153"/>
      <c r="I537" s="154"/>
      <c r="J537" s="154"/>
      <c r="K537" s="154"/>
      <c r="L537" s="154"/>
      <c r="M537" s="154"/>
    </row>
    <row r="538" ht="15.75" customHeight="1">
      <c r="C538" s="153"/>
      <c r="D538" s="153"/>
      <c r="I538" s="154"/>
      <c r="J538" s="154"/>
      <c r="K538" s="154"/>
      <c r="L538" s="154"/>
      <c r="M538" s="154"/>
    </row>
    <row r="539" ht="15.75" customHeight="1">
      <c r="C539" s="153"/>
      <c r="D539" s="153"/>
      <c r="I539" s="154"/>
      <c r="J539" s="154"/>
      <c r="K539" s="154"/>
      <c r="L539" s="154"/>
      <c r="M539" s="154"/>
    </row>
    <row r="540" ht="15.75" customHeight="1">
      <c r="C540" s="153"/>
      <c r="D540" s="153"/>
      <c r="I540" s="154"/>
      <c r="J540" s="154"/>
      <c r="K540" s="154"/>
      <c r="L540" s="154"/>
      <c r="M540" s="154"/>
    </row>
    <row r="541" ht="15.75" customHeight="1">
      <c r="C541" s="153"/>
      <c r="D541" s="153"/>
      <c r="I541" s="154"/>
      <c r="J541" s="154"/>
      <c r="K541" s="154"/>
      <c r="L541" s="154"/>
      <c r="M541" s="154"/>
    </row>
    <row r="542" ht="15.75" customHeight="1">
      <c r="C542" s="153"/>
      <c r="D542" s="153"/>
      <c r="I542" s="154"/>
      <c r="J542" s="154"/>
      <c r="K542" s="154"/>
      <c r="L542" s="154"/>
      <c r="M542" s="154"/>
    </row>
    <row r="543" ht="15.75" customHeight="1">
      <c r="C543" s="153"/>
      <c r="D543" s="153"/>
      <c r="I543" s="154"/>
      <c r="J543" s="154"/>
      <c r="K543" s="154"/>
      <c r="L543" s="154"/>
      <c r="M543" s="154"/>
    </row>
    <row r="544" ht="15.75" customHeight="1">
      <c r="C544" s="153"/>
      <c r="D544" s="153"/>
      <c r="I544" s="154"/>
      <c r="J544" s="154"/>
      <c r="K544" s="154"/>
      <c r="L544" s="154"/>
      <c r="M544" s="154"/>
    </row>
    <row r="545" ht="15.75" customHeight="1">
      <c r="C545" s="153"/>
      <c r="D545" s="153"/>
      <c r="I545" s="154"/>
      <c r="J545" s="154"/>
      <c r="K545" s="154"/>
      <c r="L545" s="154"/>
      <c r="M545" s="154"/>
    </row>
    <row r="546" ht="15.75" customHeight="1">
      <c r="C546" s="153"/>
      <c r="D546" s="153"/>
      <c r="I546" s="154"/>
      <c r="J546" s="154"/>
      <c r="K546" s="154"/>
      <c r="L546" s="154"/>
      <c r="M546" s="154"/>
    </row>
    <row r="547" ht="15.75" customHeight="1">
      <c r="C547" s="153"/>
      <c r="D547" s="153"/>
      <c r="I547" s="154"/>
      <c r="J547" s="154"/>
      <c r="K547" s="154"/>
      <c r="L547" s="154"/>
      <c r="M547" s="154"/>
    </row>
    <row r="548" ht="15.75" customHeight="1">
      <c r="C548" s="153"/>
      <c r="D548" s="153"/>
      <c r="I548" s="154"/>
      <c r="J548" s="154"/>
      <c r="K548" s="154"/>
      <c r="L548" s="154"/>
      <c r="M548" s="154"/>
    </row>
    <row r="549" ht="15.75" customHeight="1">
      <c r="C549" s="153"/>
      <c r="D549" s="153"/>
      <c r="I549" s="154"/>
      <c r="J549" s="154"/>
      <c r="K549" s="154"/>
      <c r="L549" s="154"/>
      <c r="M549" s="154"/>
    </row>
    <row r="550" ht="15.75" customHeight="1">
      <c r="C550" s="153"/>
      <c r="D550" s="153"/>
      <c r="I550" s="154"/>
      <c r="J550" s="154"/>
      <c r="K550" s="154"/>
      <c r="L550" s="154"/>
      <c r="M550" s="154"/>
    </row>
    <row r="551" ht="15.75" customHeight="1">
      <c r="C551" s="153"/>
      <c r="D551" s="153"/>
      <c r="I551" s="154"/>
      <c r="J551" s="154"/>
      <c r="K551" s="154"/>
      <c r="L551" s="154"/>
      <c r="M551" s="154"/>
    </row>
    <row r="552" ht="15.75" customHeight="1">
      <c r="C552" s="153"/>
      <c r="D552" s="153"/>
      <c r="I552" s="154"/>
      <c r="J552" s="154"/>
      <c r="K552" s="154"/>
      <c r="L552" s="154"/>
      <c r="M552" s="154"/>
    </row>
    <row r="553" ht="15.75" customHeight="1">
      <c r="C553" s="153"/>
      <c r="D553" s="153"/>
      <c r="I553" s="154"/>
      <c r="J553" s="154"/>
      <c r="K553" s="154"/>
      <c r="L553" s="154"/>
      <c r="M553" s="154"/>
    </row>
    <row r="554" ht="15.75" customHeight="1">
      <c r="C554" s="153"/>
      <c r="D554" s="153"/>
      <c r="I554" s="154"/>
      <c r="J554" s="154"/>
      <c r="K554" s="154"/>
      <c r="L554" s="154"/>
      <c r="M554" s="154"/>
    </row>
    <row r="555" ht="15.75" customHeight="1">
      <c r="C555" s="153"/>
      <c r="D555" s="153"/>
      <c r="I555" s="154"/>
      <c r="J555" s="154"/>
      <c r="K555" s="154"/>
      <c r="L555" s="154"/>
      <c r="M555" s="154"/>
    </row>
    <row r="556" ht="15.75" customHeight="1">
      <c r="C556" s="153"/>
      <c r="D556" s="153"/>
      <c r="I556" s="154"/>
      <c r="J556" s="154"/>
      <c r="K556" s="154"/>
      <c r="L556" s="154"/>
      <c r="M556" s="154"/>
    </row>
    <row r="557" ht="15.75" customHeight="1">
      <c r="C557" s="153"/>
      <c r="D557" s="153"/>
      <c r="I557" s="154"/>
      <c r="J557" s="154"/>
      <c r="K557" s="154"/>
      <c r="L557" s="154"/>
      <c r="M557" s="154"/>
    </row>
    <row r="558" ht="15.75" customHeight="1">
      <c r="C558" s="153"/>
      <c r="D558" s="153"/>
      <c r="I558" s="154"/>
      <c r="J558" s="154"/>
      <c r="K558" s="154"/>
      <c r="L558" s="154"/>
      <c r="M558" s="154"/>
    </row>
    <row r="559" ht="15.75" customHeight="1">
      <c r="C559" s="153"/>
      <c r="D559" s="153"/>
      <c r="I559" s="154"/>
      <c r="J559" s="154"/>
      <c r="K559" s="154"/>
      <c r="L559" s="154"/>
      <c r="M559" s="154"/>
    </row>
    <row r="560" ht="15.75" customHeight="1">
      <c r="C560" s="153"/>
      <c r="D560" s="153"/>
      <c r="I560" s="154"/>
      <c r="J560" s="154"/>
      <c r="K560" s="154"/>
      <c r="L560" s="154"/>
      <c r="M560" s="154"/>
    </row>
    <row r="561" ht="15.75" customHeight="1">
      <c r="C561" s="153"/>
      <c r="D561" s="153"/>
      <c r="I561" s="154"/>
      <c r="J561" s="154"/>
      <c r="K561" s="154"/>
      <c r="L561" s="154"/>
      <c r="M561" s="154"/>
    </row>
    <row r="562" ht="15.75" customHeight="1">
      <c r="C562" s="153"/>
      <c r="D562" s="153"/>
      <c r="I562" s="154"/>
      <c r="J562" s="154"/>
      <c r="K562" s="154"/>
      <c r="L562" s="154"/>
      <c r="M562" s="154"/>
    </row>
    <row r="563" ht="15.75" customHeight="1">
      <c r="C563" s="153"/>
      <c r="D563" s="153"/>
      <c r="I563" s="154"/>
      <c r="J563" s="154"/>
      <c r="K563" s="154"/>
      <c r="L563" s="154"/>
      <c r="M563" s="154"/>
    </row>
    <row r="564" ht="15.75" customHeight="1">
      <c r="C564" s="153"/>
      <c r="D564" s="153"/>
      <c r="I564" s="154"/>
      <c r="J564" s="154"/>
      <c r="K564" s="154"/>
      <c r="L564" s="154"/>
      <c r="M564" s="154"/>
    </row>
    <row r="565" ht="15.75" customHeight="1">
      <c r="C565" s="153"/>
      <c r="D565" s="153"/>
      <c r="I565" s="154"/>
      <c r="J565" s="154"/>
      <c r="K565" s="154"/>
      <c r="L565" s="154"/>
      <c r="M565" s="154"/>
    </row>
    <row r="566" ht="15.75" customHeight="1">
      <c r="C566" s="153"/>
      <c r="D566" s="153"/>
      <c r="I566" s="154"/>
      <c r="J566" s="154"/>
      <c r="K566" s="154"/>
      <c r="L566" s="154"/>
      <c r="M566" s="154"/>
    </row>
    <row r="567" ht="15.75" customHeight="1">
      <c r="C567" s="153"/>
      <c r="D567" s="153"/>
      <c r="I567" s="154"/>
      <c r="J567" s="154"/>
      <c r="K567" s="154"/>
      <c r="L567" s="154"/>
      <c r="M567" s="154"/>
    </row>
    <row r="568" ht="15.75" customHeight="1">
      <c r="C568" s="153"/>
      <c r="D568" s="153"/>
      <c r="I568" s="154"/>
      <c r="J568" s="154"/>
      <c r="K568" s="154"/>
      <c r="L568" s="154"/>
      <c r="M568" s="154"/>
    </row>
    <row r="569" ht="15.75" customHeight="1">
      <c r="C569" s="153"/>
      <c r="D569" s="153"/>
      <c r="I569" s="154"/>
      <c r="J569" s="154"/>
      <c r="K569" s="154"/>
      <c r="L569" s="154"/>
      <c r="M569" s="154"/>
    </row>
    <row r="570" ht="15.75" customHeight="1">
      <c r="C570" s="153"/>
      <c r="D570" s="153"/>
      <c r="I570" s="154"/>
      <c r="J570" s="154"/>
      <c r="K570" s="154"/>
      <c r="L570" s="154"/>
      <c r="M570" s="154"/>
    </row>
    <row r="571" ht="15.75" customHeight="1">
      <c r="C571" s="153"/>
      <c r="D571" s="153"/>
      <c r="I571" s="154"/>
      <c r="J571" s="154"/>
      <c r="K571" s="154"/>
      <c r="L571" s="154"/>
      <c r="M571" s="154"/>
    </row>
    <row r="572" ht="15.75" customHeight="1">
      <c r="C572" s="153"/>
      <c r="D572" s="153"/>
      <c r="I572" s="154"/>
      <c r="J572" s="154"/>
      <c r="K572" s="154"/>
      <c r="L572" s="154"/>
      <c r="M572" s="154"/>
    </row>
    <row r="573" ht="15.75" customHeight="1">
      <c r="C573" s="153"/>
      <c r="D573" s="153"/>
      <c r="I573" s="154"/>
      <c r="J573" s="154"/>
      <c r="K573" s="154"/>
      <c r="L573" s="154"/>
      <c r="M573" s="154"/>
    </row>
    <row r="574" ht="15.75" customHeight="1">
      <c r="C574" s="153"/>
      <c r="D574" s="153"/>
      <c r="I574" s="154"/>
      <c r="J574" s="154"/>
      <c r="K574" s="154"/>
      <c r="L574" s="154"/>
      <c r="M574" s="154"/>
    </row>
    <row r="575" ht="15.75" customHeight="1">
      <c r="C575" s="153"/>
      <c r="D575" s="153"/>
      <c r="I575" s="154"/>
      <c r="J575" s="154"/>
      <c r="K575" s="154"/>
      <c r="L575" s="154"/>
      <c r="M575" s="154"/>
    </row>
    <row r="576" ht="15.75" customHeight="1">
      <c r="C576" s="153"/>
      <c r="D576" s="153"/>
      <c r="I576" s="154"/>
      <c r="J576" s="154"/>
      <c r="K576" s="154"/>
      <c r="L576" s="154"/>
      <c r="M576" s="154"/>
    </row>
    <row r="577" ht="15.75" customHeight="1">
      <c r="C577" s="153"/>
      <c r="D577" s="153"/>
      <c r="I577" s="154"/>
      <c r="J577" s="154"/>
      <c r="K577" s="154"/>
      <c r="L577" s="154"/>
      <c r="M577" s="154"/>
    </row>
    <row r="578" ht="15.75" customHeight="1">
      <c r="C578" s="153"/>
      <c r="D578" s="153"/>
      <c r="I578" s="154"/>
      <c r="J578" s="154"/>
      <c r="K578" s="154"/>
      <c r="L578" s="154"/>
      <c r="M578" s="154"/>
    </row>
    <row r="579" ht="15.75" customHeight="1">
      <c r="C579" s="153"/>
      <c r="D579" s="153"/>
      <c r="I579" s="154"/>
      <c r="J579" s="154"/>
      <c r="K579" s="154"/>
      <c r="L579" s="154"/>
      <c r="M579" s="154"/>
    </row>
    <row r="580" ht="15.75" customHeight="1">
      <c r="C580" s="153"/>
      <c r="D580" s="153"/>
      <c r="I580" s="154"/>
      <c r="J580" s="154"/>
      <c r="K580" s="154"/>
      <c r="L580" s="154"/>
      <c r="M580" s="154"/>
    </row>
    <row r="581" ht="15.75" customHeight="1">
      <c r="C581" s="153"/>
      <c r="D581" s="153"/>
      <c r="I581" s="154"/>
      <c r="J581" s="154"/>
      <c r="K581" s="154"/>
      <c r="L581" s="154"/>
      <c r="M581" s="154"/>
    </row>
    <row r="582" ht="15.75" customHeight="1">
      <c r="C582" s="153"/>
      <c r="D582" s="153"/>
      <c r="I582" s="154"/>
      <c r="J582" s="154"/>
      <c r="K582" s="154"/>
      <c r="L582" s="154"/>
      <c r="M582" s="154"/>
    </row>
    <row r="583" ht="15.75" customHeight="1">
      <c r="C583" s="153"/>
      <c r="D583" s="153"/>
      <c r="I583" s="154"/>
      <c r="J583" s="154"/>
      <c r="K583" s="154"/>
      <c r="L583" s="154"/>
      <c r="M583" s="154"/>
    </row>
    <row r="584" ht="15.75" customHeight="1">
      <c r="C584" s="153"/>
      <c r="D584" s="153"/>
      <c r="I584" s="154"/>
      <c r="J584" s="154"/>
      <c r="K584" s="154"/>
      <c r="L584" s="154"/>
      <c r="M584" s="154"/>
    </row>
    <row r="585" ht="15.75" customHeight="1">
      <c r="C585" s="153"/>
      <c r="D585" s="153"/>
      <c r="I585" s="154"/>
      <c r="J585" s="154"/>
      <c r="K585" s="154"/>
      <c r="L585" s="154"/>
      <c r="M585" s="154"/>
    </row>
    <row r="586" ht="15.75" customHeight="1">
      <c r="C586" s="153"/>
      <c r="D586" s="153"/>
      <c r="I586" s="154"/>
      <c r="J586" s="154"/>
      <c r="K586" s="154"/>
      <c r="L586" s="154"/>
      <c r="M586" s="154"/>
    </row>
    <row r="587" ht="15.75" customHeight="1">
      <c r="C587" s="153"/>
      <c r="D587" s="153"/>
      <c r="I587" s="154"/>
      <c r="J587" s="154"/>
      <c r="K587" s="154"/>
      <c r="L587" s="154"/>
      <c r="M587" s="154"/>
    </row>
    <row r="588" ht="15.75" customHeight="1">
      <c r="C588" s="153"/>
      <c r="D588" s="153"/>
      <c r="I588" s="154"/>
      <c r="J588" s="154"/>
      <c r="K588" s="154"/>
      <c r="L588" s="154"/>
      <c r="M588" s="154"/>
    </row>
    <row r="589" ht="15.75" customHeight="1">
      <c r="C589" s="153"/>
      <c r="D589" s="153"/>
      <c r="I589" s="154"/>
      <c r="J589" s="154"/>
      <c r="K589" s="154"/>
      <c r="L589" s="154"/>
      <c r="M589" s="154"/>
    </row>
    <row r="590" ht="15.75" customHeight="1">
      <c r="C590" s="153"/>
      <c r="D590" s="153"/>
      <c r="I590" s="154"/>
      <c r="J590" s="154"/>
      <c r="K590" s="154"/>
      <c r="L590" s="154"/>
      <c r="M590" s="154"/>
    </row>
    <row r="591" ht="15.75" customHeight="1">
      <c r="C591" s="153"/>
      <c r="D591" s="153"/>
      <c r="I591" s="154"/>
      <c r="J591" s="154"/>
      <c r="K591" s="154"/>
      <c r="L591" s="154"/>
      <c r="M591" s="154"/>
    </row>
    <row r="592" ht="15.75" customHeight="1">
      <c r="C592" s="153"/>
      <c r="D592" s="153"/>
      <c r="I592" s="154"/>
      <c r="J592" s="154"/>
      <c r="K592" s="154"/>
      <c r="L592" s="154"/>
      <c r="M592" s="154"/>
    </row>
    <row r="593" ht="15.75" customHeight="1">
      <c r="C593" s="153"/>
      <c r="D593" s="153"/>
      <c r="I593" s="154"/>
      <c r="J593" s="154"/>
      <c r="K593" s="154"/>
      <c r="L593" s="154"/>
      <c r="M593" s="154"/>
    </row>
    <row r="594" ht="15.75" customHeight="1">
      <c r="C594" s="153"/>
      <c r="D594" s="153"/>
      <c r="I594" s="154"/>
      <c r="J594" s="154"/>
      <c r="K594" s="154"/>
      <c r="L594" s="154"/>
      <c r="M594" s="154"/>
    </row>
    <row r="595" ht="15.75" customHeight="1">
      <c r="C595" s="153"/>
      <c r="D595" s="153"/>
      <c r="I595" s="154"/>
      <c r="J595" s="154"/>
      <c r="K595" s="154"/>
      <c r="L595" s="154"/>
      <c r="M595" s="154"/>
    </row>
    <row r="596" ht="15.75" customHeight="1">
      <c r="C596" s="153"/>
      <c r="D596" s="153"/>
      <c r="I596" s="154"/>
      <c r="J596" s="154"/>
      <c r="K596" s="154"/>
      <c r="L596" s="154"/>
      <c r="M596" s="154"/>
    </row>
    <row r="597" ht="15.75" customHeight="1">
      <c r="C597" s="153"/>
      <c r="D597" s="153"/>
      <c r="I597" s="154"/>
      <c r="J597" s="154"/>
      <c r="K597" s="154"/>
      <c r="L597" s="154"/>
      <c r="M597" s="154"/>
    </row>
    <row r="598" ht="15.75" customHeight="1">
      <c r="C598" s="153"/>
      <c r="D598" s="153"/>
      <c r="I598" s="154"/>
      <c r="J598" s="154"/>
      <c r="K598" s="154"/>
      <c r="L598" s="154"/>
      <c r="M598" s="154"/>
    </row>
    <row r="599" ht="15.75" customHeight="1">
      <c r="C599" s="153"/>
      <c r="D599" s="153"/>
      <c r="I599" s="154"/>
      <c r="J599" s="154"/>
      <c r="K599" s="154"/>
      <c r="L599" s="154"/>
      <c r="M599" s="154"/>
    </row>
    <row r="600" ht="15.75" customHeight="1">
      <c r="C600" s="153"/>
      <c r="D600" s="153"/>
      <c r="I600" s="154"/>
      <c r="J600" s="154"/>
      <c r="K600" s="154"/>
      <c r="L600" s="154"/>
      <c r="M600" s="154"/>
    </row>
    <row r="601" ht="15.75" customHeight="1">
      <c r="C601" s="153"/>
      <c r="D601" s="153"/>
      <c r="I601" s="154"/>
      <c r="J601" s="154"/>
      <c r="K601" s="154"/>
      <c r="L601" s="154"/>
      <c r="M601" s="154"/>
    </row>
    <row r="602" ht="15.75" customHeight="1">
      <c r="C602" s="153"/>
      <c r="D602" s="153"/>
      <c r="I602" s="154"/>
      <c r="J602" s="154"/>
      <c r="K602" s="154"/>
      <c r="L602" s="154"/>
      <c r="M602" s="154"/>
    </row>
    <row r="603" ht="15.75" customHeight="1">
      <c r="C603" s="153"/>
      <c r="D603" s="153"/>
      <c r="I603" s="154"/>
      <c r="J603" s="154"/>
      <c r="K603" s="154"/>
      <c r="L603" s="154"/>
      <c r="M603" s="154"/>
    </row>
    <row r="604" ht="15.75" customHeight="1">
      <c r="C604" s="153"/>
      <c r="D604" s="153"/>
      <c r="I604" s="154"/>
      <c r="J604" s="154"/>
      <c r="K604" s="154"/>
      <c r="L604" s="154"/>
      <c r="M604" s="154"/>
    </row>
    <row r="605" ht="15.75" customHeight="1">
      <c r="C605" s="153"/>
      <c r="D605" s="153"/>
      <c r="I605" s="154"/>
      <c r="J605" s="154"/>
      <c r="K605" s="154"/>
      <c r="L605" s="154"/>
      <c r="M605" s="154"/>
    </row>
    <row r="606" ht="15.75" customHeight="1">
      <c r="C606" s="153"/>
      <c r="D606" s="153"/>
      <c r="I606" s="154"/>
      <c r="J606" s="154"/>
      <c r="K606" s="154"/>
      <c r="L606" s="154"/>
      <c r="M606" s="154"/>
    </row>
    <row r="607" ht="15.75" customHeight="1">
      <c r="C607" s="153"/>
      <c r="D607" s="153"/>
      <c r="I607" s="154"/>
      <c r="J607" s="154"/>
      <c r="K607" s="154"/>
      <c r="L607" s="154"/>
      <c r="M607" s="154"/>
    </row>
    <row r="608" ht="15.75" customHeight="1">
      <c r="C608" s="153"/>
      <c r="D608" s="153"/>
      <c r="I608" s="154"/>
      <c r="J608" s="154"/>
      <c r="K608" s="154"/>
      <c r="L608" s="154"/>
      <c r="M608" s="154"/>
    </row>
    <row r="609" ht="15.75" customHeight="1">
      <c r="C609" s="153"/>
      <c r="D609" s="153"/>
      <c r="I609" s="154"/>
      <c r="J609" s="154"/>
      <c r="K609" s="154"/>
      <c r="L609" s="154"/>
      <c r="M609" s="154"/>
    </row>
    <row r="610" ht="15.75" customHeight="1">
      <c r="C610" s="153"/>
      <c r="D610" s="153"/>
      <c r="I610" s="154"/>
      <c r="J610" s="154"/>
      <c r="K610" s="154"/>
      <c r="L610" s="154"/>
      <c r="M610" s="154"/>
    </row>
    <row r="611" ht="15.75" customHeight="1">
      <c r="C611" s="153"/>
      <c r="D611" s="153"/>
      <c r="I611" s="154"/>
      <c r="J611" s="154"/>
      <c r="K611" s="154"/>
      <c r="L611" s="154"/>
      <c r="M611" s="154"/>
    </row>
    <row r="612" ht="15.75" customHeight="1">
      <c r="C612" s="153"/>
      <c r="D612" s="153"/>
      <c r="I612" s="154"/>
      <c r="J612" s="154"/>
      <c r="K612" s="154"/>
      <c r="L612" s="154"/>
      <c r="M612" s="154"/>
    </row>
    <row r="613" ht="15.75" customHeight="1">
      <c r="C613" s="153"/>
      <c r="D613" s="153"/>
      <c r="I613" s="154"/>
      <c r="J613" s="154"/>
      <c r="K613" s="154"/>
      <c r="L613" s="154"/>
      <c r="M613" s="154"/>
    </row>
    <row r="614" ht="15.75" customHeight="1">
      <c r="C614" s="153"/>
      <c r="D614" s="153"/>
      <c r="I614" s="154"/>
      <c r="J614" s="154"/>
      <c r="K614" s="154"/>
      <c r="L614" s="154"/>
      <c r="M614" s="154"/>
    </row>
    <row r="615" ht="15.75" customHeight="1">
      <c r="C615" s="153"/>
      <c r="D615" s="153"/>
      <c r="I615" s="154"/>
      <c r="J615" s="154"/>
      <c r="K615" s="154"/>
      <c r="L615" s="154"/>
      <c r="M615" s="154"/>
    </row>
    <row r="616" ht="15.75" customHeight="1">
      <c r="C616" s="153"/>
      <c r="D616" s="153"/>
      <c r="I616" s="154"/>
      <c r="J616" s="154"/>
      <c r="K616" s="154"/>
      <c r="L616" s="154"/>
      <c r="M616" s="154"/>
    </row>
    <row r="617" ht="15.75" customHeight="1">
      <c r="C617" s="153"/>
      <c r="D617" s="153"/>
      <c r="I617" s="154"/>
      <c r="J617" s="154"/>
      <c r="K617" s="154"/>
      <c r="L617" s="154"/>
      <c r="M617" s="154"/>
    </row>
    <row r="618" ht="15.75" customHeight="1">
      <c r="C618" s="153"/>
      <c r="D618" s="153"/>
      <c r="I618" s="154"/>
      <c r="J618" s="154"/>
      <c r="K618" s="154"/>
      <c r="L618" s="154"/>
      <c r="M618" s="154"/>
    </row>
    <row r="619" ht="15.75" customHeight="1">
      <c r="C619" s="153"/>
      <c r="D619" s="153"/>
      <c r="I619" s="154"/>
      <c r="J619" s="154"/>
      <c r="K619" s="154"/>
      <c r="L619" s="154"/>
      <c r="M619" s="154"/>
    </row>
    <row r="620" ht="15.75" customHeight="1">
      <c r="C620" s="153"/>
      <c r="D620" s="153"/>
      <c r="I620" s="154"/>
      <c r="J620" s="154"/>
      <c r="K620" s="154"/>
      <c r="L620" s="154"/>
      <c r="M620" s="154"/>
    </row>
    <row r="621" ht="15.75" customHeight="1">
      <c r="C621" s="153"/>
      <c r="D621" s="153"/>
      <c r="I621" s="154"/>
      <c r="J621" s="154"/>
      <c r="K621" s="154"/>
      <c r="L621" s="154"/>
      <c r="M621" s="154"/>
    </row>
    <row r="622" ht="15.75" customHeight="1">
      <c r="C622" s="153"/>
      <c r="D622" s="153"/>
      <c r="I622" s="154"/>
      <c r="J622" s="154"/>
      <c r="K622" s="154"/>
      <c r="L622" s="154"/>
      <c r="M622" s="154"/>
    </row>
    <row r="623" ht="15.75" customHeight="1">
      <c r="C623" s="153"/>
      <c r="D623" s="153"/>
      <c r="I623" s="154"/>
      <c r="J623" s="154"/>
      <c r="K623" s="154"/>
      <c r="L623" s="154"/>
      <c r="M623" s="154"/>
    </row>
    <row r="624" ht="15.75" customHeight="1">
      <c r="C624" s="153"/>
      <c r="D624" s="153"/>
      <c r="I624" s="154"/>
      <c r="J624" s="154"/>
      <c r="K624" s="154"/>
      <c r="L624" s="154"/>
      <c r="M624" s="154"/>
    </row>
    <row r="625" ht="15.75" customHeight="1">
      <c r="C625" s="153"/>
      <c r="D625" s="153"/>
      <c r="I625" s="154"/>
      <c r="J625" s="154"/>
      <c r="K625" s="154"/>
      <c r="L625" s="154"/>
      <c r="M625" s="154"/>
    </row>
    <row r="626" ht="15.75" customHeight="1">
      <c r="C626" s="153"/>
      <c r="D626" s="153"/>
      <c r="I626" s="154"/>
      <c r="J626" s="154"/>
      <c r="K626" s="154"/>
      <c r="L626" s="154"/>
      <c r="M626" s="154"/>
    </row>
    <row r="627" ht="15.75" customHeight="1">
      <c r="C627" s="153"/>
      <c r="D627" s="153"/>
      <c r="I627" s="154"/>
      <c r="J627" s="154"/>
      <c r="K627" s="154"/>
      <c r="L627" s="154"/>
      <c r="M627" s="154"/>
    </row>
    <row r="628" ht="15.75" customHeight="1">
      <c r="C628" s="153"/>
      <c r="D628" s="153"/>
      <c r="I628" s="154"/>
      <c r="J628" s="154"/>
      <c r="K628" s="154"/>
      <c r="L628" s="154"/>
      <c r="M628" s="154"/>
    </row>
    <row r="629" ht="15.75" customHeight="1">
      <c r="C629" s="153"/>
      <c r="D629" s="153"/>
      <c r="I629" s="154"/>
      <c r="J629" s="154"/>
      <c r="K629" s="154"/>
      <c r="L629" s="154"/>
      <c r="M629" s="154"/>
    </row>
    <row r="630" ht="15.75" customHeight="1">
      <c r="C630" s="153"/>
      <c r="D630" s="153"/>
      <c r="I630" s="154"/>
      <c r="J630" s="154"/>
      <c r="K630" s="154"/>
      <c r="L630" s="154"/>
      <c r="M630" s="154"/>
    </row>
    <row r="631" ht="15.75" customHeight="1">
      <c r="C631" s="153"/>
      <c r="D631" s="153"/>
      <c r="I631" s="154"/>
      <c r="J631" s="154"/>
      <c r="K631" s="154"/>
      <c r="L631" s="154"/>
      <c r="M631" s="154"/>
    </row>
    <row r="632" ht="15.75" customHeight="1">
      <c r="C632" s="153"/>
      <c r="D632" s="153"/>
      <c r="I632" s="154"/>
      <c r="J632" s="154"/>
      <c r="K632" s="154"/>
      <c r="L632" s="154"/>
      <c r="M632" s="154"/>
    </row>
    <row r="633" ht="15.75" customHeight="1">
      <c r="C633" s="153"/>
      <c r="D633" s="153"/>
      <c r="I633" s="154"/>
      <c r="J633" s="154"/>
      <c r="K633" s="154"/>
      <c r="L633" s="154"/>
      <c r="M633" s="154"/>
    </row>
    <row r="634" ht="15.75" customHeight="1">
      <c r="C634" s="153"/>
      <c r="D634" s="153"/>
      <c r="I634" s="154"/>
      <c r="J634" s="154"/>
      <c r="K634" s="154"/>
      <c r="L634" s="154"/>
      <c r="M634" s="154"/>
    </row>
    <row r="635" ht="15.75" customHeight="1">
      <c r="C635" s="153"/>
      <c r="D635" s="153"/>
      <c r="I635" s="154"/>
      <c r="J635" s="154"/>
      <c r="K635" s="154"/>
      <c r="L635" s="154"/>
      <c r="M635" s="154"/>
    </row>
    <row r="636" ht="15.75" customHeight="1">
      <c r="C636" s="153"/>
      <c r="D636" s="153"/>
      <c r="I636" s="154"/>
      <c r="J636" s="154"/>
      <c r="K636" s="154"/>
      <c r="L636" s="154"/>
      <c r="M636" s="154"/>
    </row>
    <row r="637" ht="15.75" customHeight="1">
      <c r="C637" s="153"/>
      <c r="D637" s="153"/>
      <c r="I637" s="154"/>
      <c r="J637" s="154"/>
      <c r="K637" s="154"/>
      <c r="L637" s="154"/>
      <c r="M637" s="154"/>
    </row>
    <row r="638" ht="15.75" customHeight="1">
      <c r="C638" s="153"/>
      <c r="D638" s="153"/>
      <c r="I638" s="154"/>
      <c r="J638" s="154"/>
      <c r="K638" s="154"/>
      <c r="L638" s="154"/>
      <c r="M638" s="154"/>
    </row>
    <row r="639" ht="15.75" customHeight="1">
      <c r="C639" s="153"/>
      <c r="D639" s="153"/>
      <c r="I639" s="154"/>
      <c r="J639" s="154"/>
      <c r="K639" s="154"/>
      <c r="L639" s="154"/>
      <c r="M639" s="154"/>
    </row>
    <row r="640" ht="15.75" customHeight="1">
      <c r="C640" s="153"/>
      <c r="D640" s="153"/>
      <c r="I640" s="154"/>
      <c r="J640" s="154"/>
      <c r="K640" s="154"/>
      <c r="L640" s="154"/>
      <c r="M640" s="154"/>
    </row>
    <row r="641" ht="15.75" customHeight="1">
      <c r="C641" s="153"/>
      <c r="D641" s="153"/>
      <c r="I641" s="154"/>
      <c r="J641" s="154"/>
      <c r="K641" s="154"/>
      <c r="L641" s="154"/>
      <c r="M641" s="154"/>
    </row>
    <row r="642" ht="15.75" customHeight="1">
      <c r="C642" s="153"/>
      <c r="D642" s="153"/>
      <c r="I642" s="154"/>
      <c r="J642" s="154"/>
      <c r="K642" s="154"/>
      <c r="L642" s="154"/>
      <c r="M642" s="154"/>
    </row>
    <row r="643" ht="15.75" customHeight="1">
      <c r="C643" s="153"/>
      <c r="D643" s="153"/>
      <c r="I643" s="154"/>
      <c r="J643" s="154"/>
      <c r="K643" s="154"/>
      <c r="L643" s="154"/>
      <c r="M643" s="154"/>
    </row>
    <row r="644" ht="15.75" customHeight="1">
      <c r="C644" s="153"/>
      <c r="D644" s="153"/>
      <c r="I644" s="154"/>
      <c r="J644" s="154"/>
      <c r="K644" s="154"/>
      <c r="L644" s="154"/>
      <c r="M644" s="154"/>
    </row>
    <row r="645" ht="15.75" customHeight="1">
      <c r="C645" s="153"/>
      <c r="D645" s="153"/>
      <c r="I645" s="154"/>
      <c r="J645" s="154"/>
      <c r="K645" s="154"/>
      <c r="L645" s="154"/>
      <c r="M645" s="154"/>
    </row>
    <row r="646" ht="15.75" customHeight="1">
      <c r="C646" s="153"/>
      <c r="D646" s="153"/>
      <c r="I646" s="154"/>
      <c r="J646" s="154"/>
      <c r="K646" s="154"/>
      <c r="L646" s="154"/>
      <c r="M646" s="154"/>
    </row>
    <row r="647" ht="15.75" customHeight="1">
      <c r="C647" s="153"/>
      <c r="D647" s="153"/>
      <c r="I647" s="154"/>
      <c r="J647" s="154"/>
      <c r="K647" s="154"/>
      <c r="L647" s="154"/>
      <c r="M647" s="154"/>
    </row>
    <row r="648" ht="15.75" customHeight="1">
      <c r="C648" s="153"/>
      <c r="D648" s="153"/>
      <c r="I648" s="154"/>
      <c r="J648" s="154"/>
      <c r="K648" s="154"/>
      <c r="L648" s="154"/>
      <c r="M648" s="154"/>
    </row>
    <row r="649" ht="15.75" customHeight="1">
      <c r="C649" s="153"/>
      <c r="D649" s="153"/>
      <c r="I649" s="154"/>
      <c r="J649" s="154"/>
      <c r="K649" s="154"/>
      <c r="L649" s="154"/>
      <c r="M649" s="154"/>
    </row>
    <row r="650" ht="15.75" customHeight="1">
      <c r="C650" s="153"/>
      <c r="D650" s="153"/>
      <c r="I650" s="154"/>
      <c r="J650" s="154"/>
      <c r="K650" s="154"/>
      <c r="L650" s="154"/>
      <c r="M650" s="154"/>
    </row>
    <row r="651" ht="15.75" customHeight="1">
      <c r="C651" s="153"/>
      <c r="D651" s="153"/>
      <c r="I651" s="154"/>
      <c r="J651" s="154"/>
      <c r="K651" s="154"/>
      <c r="L651" s="154"/>
      <c r="M651" s="154"/>
    </row>
    <row r="652" ht="15.75" customHeight="1">
      <c r="C652" s="153"/>
      <c r="D652" s="153"/>
      <c r="I652" s="154"/>
      <c r="J652" s="154"/>
      <c r="K652" s="154"/>
      <c r="L652" s="154"/>
      <c r="M652" s="154"/>
    </row>
    <row r="653" ht="15.75" customHeight="1">
      <c r="C653" s="153"/>
      <c r="D653" s="153"/>
      <c r="I653" s="154"/>
      <c r="J653" s="154"/>
      <c r="K653" s="154"/>
      <c r="L653" s="154"/>
      <c r="M653" s="154"/>
    </row>
    <row r="654" ht="15.75" customHeight="1">
      <c r="C654" s="153"/>
      <c r="D654" s="153"/>
      <c r="I654" s="154"/>
      <c r="J654" s="154"/>
      <c r="K654" s="154"/>
      <c r="L654" s="154"/>
      <c r="M654" s="154"/>
    </row>
    <row r="655" ht="15.75" customHeight="1">
      <c r="C655" s="153"/>
      <c r="D655" s="153"/>
      <c r="I655" s="154"/>
      <c r="J655" s="154"/>
      <c r="K655" s="154"/>
      <c r="L655" s="154"/>
      <c r="M655" s="154"/>
    </row>
    <row r="656" ht="15.75" customHeight="1">
      <c r="C656" s="153"/>
      <c r="D656" s="153"/>
      <c r="I656" s="154"/>
      <c r="J656" s="154"/>
      <c r="K656" s="154"/>
      <c r="L656" s="154"/>
      <c r="M656" s="154"/>
    </row>
    <row r="657" ht="15.75" customHeight="1">
      <c r="C657" s="153"/>
      <c r="D657" s="153"/>
      <c r="I657" s="154"/>
      <c r="J657" s="154"/>
      <c r="K657" s="154"/>
      <c r="L657" s="154"/>
      <c r="M657" s="154"/>
    </row>
    <row r="658" ht="15.75" customHeight="1">
      <c r="C658" s="153"/>
      <c r="D658" s="153"/>
      <c r="I658" s="154"/>
      <c r="J658" s="154"/>
      <c r="K658" s="154"/>
      <c r="L658" s="154"/>
      <c r="M658" s="154"/>
    </row>
    <row r="659" ht="15.75" customHeight="1">
      <c r="C659" s="153"/>
      <c r="D659" s="153"/>
      <c r="I659" s="154"/>
      <c r="J659" s="154"/>
      <c r="K659" s="154"/>
      <c r="L659" s="154"/>
      <c r="M659" s="154"/>
    </row>
    <row r="660" ht="15.75" customHeight="1">
      <c r="C660" s="153"/>
      <c r="D660" s="153"/>
      <c r="I660" s="154"/>
      <c r="J660" s="154"/>
      <c r="K660" s="154"/>
      <c r="L660" s="154"/>
      <c r="M660" s="154"/>
    </row>
    <row r="661" ht="15.75" customHeight="1">
      <c r="C661" s="153"/>
      <c r="D661" s="153"/>
      <c r="I661" s="154"/>
      <c r="J661" s="154"/>
      <c r="K661" s="154"/>
      <c r="L661" s="154"/>
      <c r="M661" s="154"/>
    </row>
    <row r="662" ht="15.75" customHeight="1">
      <c r="C662" s="153"/>
      <c r="D662" s="153"/>
      <c r="I662" s="154"/>
      <c r="J662" s="154"/>
      <c r="K662" s="154"/>
      <c r="L662" s="154"/>
      <c r="M662" s="154"/>
    </row>
    <row r="663" ht="15.75" customHeight="1">
      <c r="C663" s="153"/>
      <c r="D663" s="153"/>
      <c r="I663" s="154"/>
      <c r="J663" s="154"/>
      <c r="K663" s="154"/>
      <c r="L663" s="154"/>
      <c r="M663" s="154"/>
    </row>
    <row r="664" ht="15.75" customHeight="1">
      <c r="C664" s="153"/>
      <c r="D664" s="153"/>
      <c r="I664" s="154"/>
      <c r="J664" s="154"/>
      <c r="K664" s="154"/>
      <c r="L664" s="154"/>
      <c r="M664" s="154"/>
    </row>
    <row r="665" ht="15.75" customHeight="1">
      <c r="C665" s="153"/>
      <c r="D665" s="153"/>
      <c r="I665" s="154"/>
      <c r="J665" s="154"/>
      <c r="K665" s="154"/>
      <c r="L665" s="154"/>
      <c r="M665" s="154"/>
    </row>
    <row r="666" ht="15.75" customHeight="1">
      <c r="C666" s="153"/>
      <c r="D666" s="153"/>
      <c r="I666" s="154"/>
      <c r="J666" s="154"/>
      <c r="K666" s="154"/>
      <c r="L666" s="154"/>
      <c r="M666" s="154"/>
    </row>
    <row r="667" ht="15.75" customHeight="1">
      <c r="C667" s="153"/>
      <c r="D667" s="153"/>
      <c r="I667" s="154"/>
      <c r="J667" s="154"/>
      <c r="K667" s="154"/>
      <c r="L667" s="154"/>
      <c r="M667" s="154"/>
    </row>
    <row r="668" ht="15.75" customHeight="1">
      <c r="C668" s="153"/>
      <c r="D668" s="153"/>
      <c r="I668" s="154"/>
      <c r="J668" s="154"/>
      <c r="K668" s="154"/>
      <c r="L668" s="154"/>
      <c r="M668" s="154"/>
    </row>
    <row r="669" ht="15.75" customHeight="1">
      <c r="C669" s="153"/>
      <c r="D669" s="153"/>
      <c r="I669" s="154"/>
      <c r="J669" s="154"/>
      <c r="K669" s="154"/>
      <c r="L669" s="154"/>
      <c r="M669" s="154"/>
    </row>
    <row r="670" ht="15.75" customHeight="1">
      <c r="C670" s="153"/>
      <c r="D670" s="153"/>
      <c r="I670" s="154"/>
      <c r="J670" s="154"/>
      <c r="K670" s="154"/>
      <c r="L670" s="154"/>
      <c r="M670" s="154"/>
    </row>
    <row r="671" ht="15.75" customHeight="1">
      <c r="C671" s="153"/>
      <c r="D671" s="153"/>
      <c r="I671" s="154"/>
      <c r="J671" s="154"/>
      <c r="K671" s="154"/>
      <c r="L671" s="154"/>
      <c r="M671" s="154"/>
    </row>
    <row r="672" ht="15.75" customHeight="1">
      <c r="C672" s="153"/>
      <c r="D672" s="153"/>
      <c r="I672" s="154"/>
      <c r="J672" s="154"/>
      <c r="K672" s="154"/>
      <c r="L672" s="154"/>
      <c r="M672" s="154"/>
    </row>
    <row r="673" ht="15.75" customHeight="1">
      <c r="C673" s="153"/>
      <c r="D673" s="153"/>
      <c r="I673" s="154"/>
      <c r="J673" s="154"/>
      <c r="K673" s="154"/>
      <c r="L673" s="154"/>
      <c r="M673" s="154"/>
    </row>
    <row r="674" ht="15.75" customHeight="1">
      <c r="C674" s="153"/>
      <c r="D674" s="153"/>
      <c r="I674" s="154"/>
      <c r="J674" s="154"/>
      <c r="K674" s="154"/>
      <c r="L674" s="154"/>
      <c r="M674" s="154"/>
    </row>
    <row r="675" ht="15.75" customHeight="1">
      <c r="C675" s="153"/>
      <c r="D675" s="153"/>
      <c r="I675" s="154"/>
      <c r="J675" s="154"/>
      <c r="K675" s="154"/>
      <c r="L675" s="154"/>
      <c r="M675" s="154"/>
    </row>
    <row r="676" ht="15.75" customHeight="1">
      <c r="C676" s="153"/>
      <c r="D676" s="153"/>
      <c r="I676" s="154"/>
      <c r="J676" s="154"/>
      <c r="K676" s="154"/>
      <c r="L676" s="154"/>
      <c r="M676" s="154"/>
    </row>
    <row r="677" ht="15.75" customHeight="1">
      <c r="C677" s="153"/>
      <c r="D677" s="153"/>
      <c r="I677" s="154"/>
      <c r="J677" s="154"/>
      <c r="K677" s="154"/>
      <c r="L677" s="154"/>
      <c r="M677" s="154"/>
    </row>
    <row r="678" ht="15.75" customHeight="1">
      <c r="C678" s="153"/>
      <c r="D678" s="153"/>
      <c r="I678" s="154"/>
      <c r="J678" s="154"/>
      <c r="K678" s="154"/>
      <c r="L678" s="154"/>
      <c r="M678" s="154"/>
    </row>
    <row r="679" ht="15.75" customHeight="1">
      <c r="C679" s="153"/>
      <c r="D679" s="153"/>
      <c r="I679" s="154"/>
      <c r="J679" s="154"/>
      <c r="K679" s="154"/>
      <c r="L679" s="154"/>
      <c r="M679" s="154"/>
    </row>
    <row r="680" ht="15.75" customHeight="1">
      <c r="C680" s="153"/>
      <c r="D680" s="153"/>
      <c r="I680" s="154"/>
      <c r="J680" s="154"/>
      <c r="K680" s="154"/>
      <c r="L680" s="154"/>
      <c r="M680" s="154"/>
    </row>
    <row r="681" ht="15.75" customHeight="1">
      <c r="C681" s="153"/>
      <c r="D681" s="153"/>
      <c r="I681" s="154"/>
      <c r="J681" s="154"/>
      <c r="K681" s="154"/>
      <c r="L681" s="154"/>
      <c r="M681" s="154"/>
    </row>
    <row r="682" ht="15.75" customHeight="1">
      <c r="C682" s="153"/>
      <c r="D682" s="153"/>
      <c r="I682" s="154"/>
      <c r="J682" s="154"/>
      <c r="K682" s="154"/>
      <c r="L682" s="154"/>
      <c r="M682" s="154"/>
    </row>
    <row r="683" ht="15.75" customHeight="1">
      <c r="C683" s="153"/>
      <c r="D683" s="153"/>
      <c r="I683" s="154"/>
      <c r="J683" s="154"/>
      <c r="K683" s="154"/>
      <c r="L683" s="154"/>
      <c r="M683" s="154"/>
    </row>
    <row r="684" ht="15.75" customHeight="1">
      <c r="C684" s="153"/>
      <c r="D684" s="153"/>
      <c r="I684" s="154"/>
      <c r="J684" s="154"/>
      <c r="K684" s="154"/>
      <c r="L684" s="154"/>
      <c r="M684" s="154"/>
    </row>
    <row r="685" ht="15.75" customHeight="1">
      <c r="C685" s="153"/>
      <c r="D685" s="153"/>
      <c r="I685" s="154"/>
      <c r="J685" s="154"/>
      <c r="K685" s="154"/>
      <c r="L685" s="154"/>
      <c r="M685" s="154"/>
    </row>
    <row r="686" ht="15.75" customHeight="1">
      <c r="C686" s="153"/>
      <c r="D686" s="153"/>
      <c r="I686" s="154"/>
      <c r="J686" s="154"/>
      <c r="K686" s="154"/>
      <c r="L686" s="154"/>
      <c r="M686" s="154"/>
    </row>
    <row r="687" ht="15.75" customHeight="1">
      <c r="C687" s="153"/>
      <c r="D687" s="153"/>
      <c r="I687" s="154"/>
      <c r="J687" s="154"/>
      <c r="K687" s="154"/>
      <c r="L687" s="154"/>
      <c r="M687" s="154"/>
    </row>
    <row r="688" ht="15.75" customHeight="1">
      <c r="C688" s="153"/>
      <c r="D688" s="153"/>
      <c r="I688" s="154"/>
      <c r="J688" s="154"/>
      <c r="K688" s="154"/>
      <c r="L688" s="154"/>
      <c r="M688" s="154"/>
    </row>
    <row r="689" ht="15.75" customHeight="1">
      <c r="C689" s="153"/>
      <c r="D689" s="153"/>
      <c r="I689" s="154"/>
      <c r="J689" s="154"/>
      <c r="K689" s="154"/>
      <c r="L689" s="154"/>
      <c r="M689" s="154"/>
    </row>
    <row r="690" ht="15.75" customHeight="1">
      <c r="C690" s="153"/>
      <c r="D690" s="153"/>
      <c r="I690" s="154"/>
      <c r="J690" s="154"/>
      <c r="K690" s="154"/>
      <c r="L690" s="154"/>
      <c r="M690" s="154"/>
    </row>
    <row r="691" ht="15.75" customHeight="1">
      <c r="C691" s="153"/>
      <c r="D691" s="153"/>
      <c r="I691" s="154"/>
      <c r="J691" s="154"/>
      <c r="K691" s="154"/>
      <c r="L691" s="154"/>
      <c r="M691" s="154"/>
    </row>
    <row r="692" ht="15.75" customHeight="1">
      <c r="C692" s="153"/>
      <c r="D692" s="153"/>
      <c r="I692" s="154"/>
      <c r="J692" s="154"/>
      <c r="K692" s="154"/>
      <c r="L692" s="154"/>
      <c r="M692" s="154"/>
    </row>
    <row r="693" ht="15.75" customHeight="1">
      <c r="C693" s="153"/>
      <c r="D693" s="153"/>
      <c r="I693" s="154"/>
      <c r="J693" s="154"/>
      <c r="K693" s="154"/>
      <c r="L693" s="154"/>
      <c r="M693" s="154"/>
    </row>
    <row r="694" ht="15.75" customHeight="1">
      <c r="C694" s="153"/>
      <c r="D694" s="153"/>
      <c r="I694" s="154"/>
      <c r="J694" s="154"/>
      <c r="K694" s="154"/>
      <c r="L694" s="154"/>
      <c r="M694" s="154"/>
    </row>
    <row r="695" ht="15.75" customHeight="1">
      <c r="C695" s="153"/>
      <c r="D695" s="153"/>
      <c r="I695" s="154"/>
      <c r="J695" s="154"/>
      <c r="K695" s="154"/>
      <c r="L695" s="154"/>
      <c r="M695" s="154"/>
    </row>
    <row r="696" ht="15.75" customHeight="1">
      <c r="C696" s="153"/>
      <c r="D696" s="153"/>
      <c r="I696" s="154"/>
      <c r="J696" s="154"/>
      <c r="K696" s="154"/>
      <c r="L696" s="154"/>
      <c r="M696" s="154"/>
    </row>
    <row r="697" ht="15.75" customHeight="1">
      <c r="C697" s="153"/>
      <c r="D697" s="153"/>
      <c r="I697" s="154"/>
      <c r="J697" s="154"/>
      <c r="K697" s="154"/>
      <c r="L697" s="154"/>
      <c r="M697" s="154"/>
    </row>
    <row r="698" ht="15.75" customHeight="1">
      <c r="C698" s="153"/>
      <c r="D698" s="153"/>
      <c r="I698" s="154"/>
      <c r="J698" s="154"/>
      <c r="K698" s="154"/>
      <c r="L698" s="154"/>
      <c r="M698" s="154"/>
    </row>
    <row r="699" ht="15.75" customHeight="1">
      <c r="C699" s="153"/>
      <c r="D699" s="153"/>
      <c r="I699" s="154"/>
      <c r="J699" s="154"/>
      <c r="K699" s="154"/>
      <c r="L699" s="154"/>
      <c r="M699" s="154"/>
    </row>
    <row r="700" ht="15.75" customHeight="1">
      <c r="C700" s="153"/>
      <c r="D700" s="153"/>
      <c r="I700" s="154"/>
      <c r="J700" s="154"/>
      <c r="K700" s="154"/>
      <c r="L700" s="154"/>
      <c r="M700" s="154"/>
    </row>
    <row r="701" ht="15.75" customHeight="1">
      <c r="C701" s="153"/>
      <c r="D701" s="153"/>
      <c r="I701" s="154"/>
      <c r="J701" s="154"/>
      <c r="K701" s="154"/>
      <c r="L701" s="154"/>
      <c r="M701" s="154"/>
    </row>
    <row r="702" ht="15.75" customHeight="1">
      <c r="C702" s="153"/>
      <c r="D702" s="153"/>
      <c r="I702" s="154"/>
      <c r="J702" s="154"/>
      <c r="K702" s="154"/>
      <c r="L702" s="154"/>
      <c r="M702" s="154"/>
    </row>
    <row r="703" ht="15.75" customHeight="1">
      <c r="C703" s="153"/>
      <c r="D703" s="153"/>
      <c r="I703" s="154"/>
      <c r="J703" s="154"/>
      <c r="K703" s="154"/>
      <c r="L703" s="154"/>
      <c r="M703" s="154"/>
    </row>
    <row r="704" ht="15.75" customHeight="1">
      <c r="C704" s="153"/>
      <c r="D704" s="153"/>
      <c r="I704" s="154"/>
      <c r="J704" s="154"/>
      <c r="K704" s="154"/>
      <c r="L704" s="154"/>
      <c r="M704" s="154"/>
    </row>
    <row r="705" ht="15.75" customHeight="1">
      <c r="C705" s="153"/>
      <c r="D705" s="153"/>
      <c r="I705" s="154"/>
      <c r="J705" s="154"/>
      <c r="K705" s="154"/>
      <c r="L705" s="154"/>
      <c r="M705" s="154"/>
    </row>
    <row r="706" ht="15.75" customHeight="1">
      <c r="C706" s="153"/>
      <c r="D706" s="153"/>
      <c r="I706" s="154"/>
      <c r="J706" s="154"/>
      <c r="K706" s="154"/>
      <c r="L706" s="154"/>
      <c r="M706" s="154"/>
    </row>
    <row r="707" ht="15.75" customHeight="1">
      <c r="C707" s="153"/>
      <c r="D707" s="153"/>
      <c r="I707" s="154"/>
      <c r="J707" s="154"/>
      <c r="K707" s="154"/>
      <c r="L707" s="154"/>
      <c r="M707" s="154"/>
    </row>
    <row r="708" ht="15.75" customHeight="1">
      <c r="C708" s="153"/>
      <c r="D708" s="153"/>
      <c r="I708" s="154"/>
      <c r="J708" s="154"/>
      <c r="K708" s="154"/>
      <c r="L708" s="154"/>
      <c r="M708" s="154"/>
    </row>
    <row r="709" ht="15.75" customHeight="1">
      <c r="C709" s="153"/>
      <c r="D709" s="153"/>
      <c r="I709" s="154"/>
      <c r="J709" s="154"/>
      <c r="K709" s="154"/>
      <c r="L709" s="154"/>
      <c r="M709" s="154"/>
    </row>
    <row r="710" ht="15.75" customHeight="1">
      <c r="C710" s="153"/>
      <c r="D710" s="153"/>
      <c r="I710" s="154"/>
      <c r="J710" s="154"/>
      <c r="K710" s="154"/>
      <c r="L710" s="154"/>
      <c r="M710" s="154"/>
    </row>
    <row r="711" ht="15.75" customHeight="1">
      <c r="C711" s="153"/>
      <c r="D711" s="153"/>
      <c r="I711" s="154"/>
      <c r="J711" s="154"/>
      <c r="K711" s="154"/>
      <c r="L711" s="154"/>
      <c r="M711" s="154"/>
    </row>
    <row r="712" ht="15.75" customHeight="1">
      <c r="C712" s="153"/>
      <c r="D712" s="153"/>
      <c r="I712" s="154"/>
      <c r="J712" s="154"/>
      <c r="K712" s="154"/>
      <c r="L712" s="154"/>
      <c r="M712" s="154"/>
    </row>
    <row r="713" ht="15.75" customHeight="1">
      <c r="C713" s="153"/>
      <c r="D713" s="153"/>
      <c r="I713" s="154"/>
      <c r="J713" s="154"/>
      <c r="K713" s="154"/>
      <c r="L713" s="154"/>
      <c r="M713" s="154"/>
    </row>
    <row r="714" ht="15.75" customHeight="1">
      <c r="C714" s="153"/>
      <c r="D714" s="153"/>
      <c r="I714" s="154"/>
      <c r="J714" s="154"/>
      <c r="K714" s="154"/>
      <c r="L714" s="154"/>
      <c r="M714" s="154"/>
    </row>
    <row r="715" ht="15.75" customHeight="1">
      <c r="C715" s="153"/>
      <c r="D715" s="153"/>
      <c r="I715" s="154"/>
      <c r="J715" s="154"/>
      <c r="K715" s="154"/>
      <c r="L715" s="154"/>
      <c r="M715" s="154"/>
    </row>
    <row r="716" ht="15.75" customHeight="1">
      <c r="C716" s="153"/>
      <c r="D716" s="153"/>
      <c r="I716" s="154"/>
      <c r="J716" s="154"/>
      <c r="K716" s="154"/>
      <c r="L716" s="154"/>
      <c r="M716" s="154"/>
    </row>
    <row r="717" ht="15.75" customHeight="1">
      <c r="C717" s="153"/>
      <c r="D717" s="153"/>
      <c r="I717" s="154"/>
      <c r="J717" s="154"/>
      <c r="K717" s="154"/>
      <c r="L717" s="154"/>
      <c r="M717" s="154"/>
    </row>
    <row r="718" ht="15.75" customHeight="1">
      <c r="C718" s="153"/>
      <c r="D718" s="153"/>
      <c r="I718" s="154"/>
      <c r="J718" s="154"/>
      <c r="K718" s="154"/>
      <c r="L718" s="154"/>
      <c r="M718" s="154"/>
    </row>
    <row r="719" ht="15.75" customHeight="1">
      <c r="C719" s="153"/>
      <c r="D719" s="153"/>
      <c r="I719" s="154"/>
      <c r="J719" s="154"/>
      <c r="K719" s="154"/>
      <c r="L719" s="154"/>
      <c r="M719" s="154"/>
    </row>
    <row r="720" ht="15.75" customHeight="1">
      <c r="C720" s="153"/>
      <c r="D720" s="153"/>
      <c r="I720" s="154"/>
      <c r="J720" s="154"/>
      <c r="K720" s="154"/>
      <c r="L720" s="154"/>
      <c r="M720" s="154"/>
    </row>
    <row r="721" ht="15.75" customHeight="1">
      <c r="C721" s="153"/>
      <c r="D721" s="153"/>
      <c r="I721" s="154"/>
      <c r="J721" s="154"/>
      <c r="K721" s="154"/>
      <c r="L721" s="154"/>
      <c r="M721" s="154"/>
    </row>
    <row r="722" ht="15.75" customHeight="1">
      <c r="C722" s="153"/>
      <c r="D722" s="153"/>
      <c r="I722" s="154"/>
      <c r="J722" s="154"/>
      <c r="K722" s="154"/>
      <c r="L722" s="154"/>
      <c r="M722" s="154"/>
    </row>
    <row r="723" ht="15.75" customHeight="1">
      <c r="C723" s="153"/>
      <c r="D723" s="153"/>
      <c r="I723" s="154"/>
      <c r="J723" s="154"/>
      <c r="K723" s="154"/>
      <c r="L723" s="154"/>
      <c r="M723" s="154"/>
    </row>
    <row r="724" ht="15.75" customHeight="1">
      <c r="C724" s="153"/>
      <c r="D724" s="153"/>
      <c r="I724" s="154"/>
      <c r="J724" s="154"/>
      <c r="K724" s="154"/>
      <c r="L724" s="154"/>
      <c r="M724" s="154"/>
    </row>
    <row r="725" ht="15.75" customHeight="1">
      <c r="C725" s="153"/>
      <c r="D725" s="153"/>
      <c r="I725" s="154"/>
      <c r="J725" s="154"/>
      <c r="K725" s="154"/>
      <c r="L725" s="154"/>
      <c r="M725" s="154"/>
    </row>
    <row r="726" ht="15.75" customHeight="1">
      <c r="C726" s="153"/>
      <c r="D726" s="153"/>
      <c r="I726" s="154"/>
      <c r="J726" s="154"/>
      <c r="K726" s="154"/>
      <c r="L726" s="154"/>
      <c r="M726" s="154"/>
    </row>
    <row r="727" ht="15.75" customHeight="1">
      <c r="C727" s="153"/>
      <c r="D727" s="153"/>
      <c r="I727" s="154"/>
      <c r="J727" s="154"/>
      <c r="K727" s="154"/>
      <c r="L727" s="154"/>
      <c r="M727" s="154"/>
    </row>
    <row r="728" ht="15.75" customHeight="1">
      <c r="C728" s="153"/>
      <c r="D728" s="153"/>
      <c r="I728" s="154"/>
      <c r="J728" s="154"/>
      <c r="K728" s="154"/>
      <c r="L728" s="154"/>
      <c r="M728" s="154"/>
    </row>
    <row r="729" ht="15.75" customHeight="1">
      <c r="C729" s="153"/>
      <c r="D729" s="153"/>
      <c r="I729" s="154"/>
      <c r="J729" s="154"/>
      <c r="K729" s="154"/>
      <c r="L729" s="154"/>
      <c r="M729" s="154"/>
    </row>
    <row r="730" ht="15.75" customHeight="1">
      <c r="C730" s="153"/>
      <c r="D730" s="153"/>
      <c r="I730" s="154"/>
      <c r="J730" s="154"/>
      <c r="K730" s="154"/>
      <c r="L730" s="154"/>
      <c r="M730" s="154"/>
    </row>
    <row r="731" ht="15.75" customHeight="1">
      <c r="C731" s="153"/>
      <c r="D731" s="153"/>
      <c r="I731" s="154"/>
      <c r="J731" s="154"/>
      <c r="K731" s="154"/>
      <c r="L731" s="154"/>
      <c r="M731" s="154"/>
    </row>
    <row r="732" ht="15.75" customHeight="1">
      <c r="C732" s="153"/>
      <c r="D732" s="153"/>
      <c r="I732" s="154"/>
      <c r="J732" s="154"/>
      <c r="K732" s="154"/>
      <c r="L732" s="154"/>
      <c r="M732" s="154"/>
    </row>
    <row r="733" ht="15.75" customHeight="1">
      <c r="C733" s="153"/>
      <c r="D733" s="153"/>
      <c r="I733" s="154"/>
      <c r="J733" s="154"/>
      <c r="K733" s="154"/>
      <c r="L733" s="154"/>
      <c r="M733" s="154"/>
    </row>
    <row r="734" ht="15.75" customHeight="1">
      <c r="C734" s="153"/>
      <c r="D734" s="153"/>
      <c r="I734" s="154"/>
      <c r="J734" s="154"/>
      <c r="K734" s="154"/>
      <c r="L734" s="154"/>
      <c r="M734" s="154"/>
    </row>
    <row r="735" ht="15.75" customHeight="1">
      <c r="C735" s="153"/>
      <c r="D735" s="153"/>
      <c r="I735" s="154"/>
      <c r="J735" s="154"/>
      <c r="K735" s="154"/>
      <c r="L735" s="154"/>
      <c r="M735" s="154"/>
    </row>
    <row r="736" ht="15.75" customHeight="1">
      <c r="C736" s="153"/>
      <c r="D736" s="153"/>
      <c r="I736" s="154"/>
      <c r="J736" s="154"/>
      <c r="K736" s="154"/>
      <c r="L736" s="154"/>
      <c r="M736" s="154"/>
    </row>
    <row r="737" ht="15.75" customHeight="1">
      <c r="C737" s="153"/>
      <c r="D737" s="153"/>
      <c r="I737" s="154"/>
      <c r="J737" s="154"/>
      <c r="K737" s="154"/>
      <c r="L737" s="154"/>
      <c r="M737" s="154"/>
    </row>
    <row r="738" ht="15.75" customHeight="1">
      <c r="C738" s="153"/>
      <c r="D738" s="153"/>
      <c r="I738" s="154"/>
      <c r="J738" s="154"/>
      <c r="K738" s="154"/>
      <c r="L738" s="154"/>
      <c r="M738" s="154"/>
    </row>
    <row r="739" ht="15.75" customHeight="1">
      <c r="C739" s="153"/>
      <c r="D739" s="153"/>
      <c r="I739" s="154"/>
      <c r="J739" s="154"/>
      <c r="K739" s="154"/>
      <c r="L739" s="154"/>
      <c r="M739" s="154"/>
    </row>
    <row r="740" ht="15.75" customHeight="1">
      <c r="C740" s="153"/>
      <c r="D740" s="153"/>
      <c r="I740" s="154"/>
      <c r="J740" s="154"/>
      <c r="K740" s="154"/>
      <c r="L740" s="154"/>
      <c r="M740" s="154"/>
    </row>
    <row r="741" ht="15.75" customHeight="1">
      <c r="C741" s="153"/>
      <c r="D741" s="153"/>
      <c r="I741" s="154"/>
      <c r="J741" s="154"/>
      <c r="K741" s="154"/>
      <c r="L741" s="154"/>
      <c r="M741" s="154"/>
    </row>
    <row r="742" ht="15.75" customHeight="1">
      <c r="C742" s="153"/>
      <c r="D742" s="153"/>
      <c r="I742" s="154"/>
      <c r="J742" s="154"/>
      <c r="K742" s="154"/>
      <c r="L742" s="154"/>
      <c r="M742" s="154"/>
    </row>
    <row r="743" ht="15.75" customHeight="1">
      <c r="C743" s="153"/>
      <c r="D743" s="153"/>
      <c r="I743" s="154"/>
      <c r="J743" s="154"/>
      <c r="K743" s="154"/>
      <c r="L743" s="154"/>
      <c r="M743" s="154"/>
    </row>
    <row r="744" ht="15.75" customHeight="1">
      <c r="C744" s="153"/>
      <c r="D744" s="153"/>
      <c r="I744" s="154"/>
      <c r="J744" s="154"/>
      <c r="K744" s="154"/>
      <c r="L744" s="154"/>
      <c r="M744" s="154"/>
    </row>
    <row r="745" ht="15.75" customHeight="1">
      <c r="C745" s="153"/>
      <c r="D745" s="153"/>
      <c r="I745" s="154"/>
      <c r="J745" s="154"/>
      <c r="K745" s="154"/>
      <c r="L745" s="154"/>
      <c r="M745" s="154"/>
    </row>
    <row r="746" ht="15.75" customHeight="1">
      <c r="C746" s="153"/>
      <c r="D746" s="153"/>
      <c r="I746" s="154"/>
      <c r="J746" s="154"/>
      <c r="K746" s="154"/>
      <c r="L746" s="154"/>
      <c r="M746" s="154"/>
    </row>
    <row r="747" ht="15.75" customHeight="1">
      <c r="C747" s="153"/>
      <c r="D747" s="153"/>
      <c r="I747" s="154"/>
      <c r="J747" s="154"/>
      <c r="K747" s="154"/>
      <c r="L747" s="154"/>
      <c r="M747" s="154"/>
    </row>
    <row r="748" ht="15.75" customHeight="1">
      <c r="C748" s="153"/>
      <c r="D748" s="153"/>
      <c r="I748" s="154"/>
      <c r="J748" s="154"/>
      <c r="K748" s="154"/>
      <c r="L748" s="154"/>
      <c r="M748" s="154"/>
    </row>
    <row r="749" ht="15.75" customHeight="1">
      <c r="C749" s="153"/>
      <c r="D749" s="153"/>
      <c r="I749" s="154"/>
      <c r="J749" s="154"/>
      <c r="K749" s="154"/>
      <c r="L749" s="154"/>
      <c r="M749" s="154"/>
    </row>
    <row r="750" ht="15.75" customHeight="1">
      <c r="C750" s="153"/>
      <c r="D750" s="153"/>
      <c r="I750" s="154"/>
      <c r="J750" s="154"/>
      <c r="K750" s="154"/>
      <c r="L750" s="154"/>
      <c r="M750" s="154"/>
    </row>
    <row r="751" ht="15.75" customHeight="1">
      <c r="C751" s="153"/>
      <c r="D751" s="153"/>
      <c r="I751" s="154"/>
      <c r="J751" s="154"/>
      <c r="K751" s="154"/>
      <c r="L751" s="154"/>
      <c r="M751" s="154"/>
    </row>
    <row r="752" ht="15.75" customHeight="1">
      <c r="C752" s="153"/>
      <c r="D752" s="153"/>
      <c r="I752" s="154"/>
      <c r="J752" s="154"/>
      <c r="K752" s="154"/>
      <c r="L752" s="154"/>
      <c r="M752" s="154"/>
    </row>
    <row r="753" ht="15.75" customHeight="1">
      <c r="C753" s="153"/>
      <c r="D753" s="153"/>
      <c r="I753" s="154"/>
      <c r="J753" s="154"/>
      <c r="K753" s="154"/>
      <c r="L753" s="154"/>
      <c r="M753" s="154"/>
    </row>
    <row r="754" ht="15.75" customHeight="1">
      <c r="C754" s="153"/>
      <c r="D754" s="153"/>
      <c r="I754" s="154"/>
      <c r="J754" s="154"/>
      <c r="K754" s="154"/>
      <c r="L754" s="154"/>
      <c r="M754" s="154"/>
    </row>
    <row r="755" ht="15.75" customHeight="1">
      <c r="C755" s="153"/>
      <c r="D755" s="153"/>
      <c r="I755" s="154"/>
      <c r="J755" s="154"/>
      <c r="K755" s="154"/>
      <c r="L755" s="154"/>
      <c r="M755" s="154"/>
    </row>
    <row r="756" ht="15.75" customHeight="1">
      <c r="C756" s="153"/>
      <c r="D756" s="153"/>
      <c r="I756" s="154"/>
      <c r="J756" s="154"/>
      <c r="K756" s="154"/>
      <c r="L756" s="154"/>
      <c r="M756" s="154"/>
    </row>
    <row r="757" ht="15.75" customHeight="1">
      <c r="C757" s="153"/>
      <c r="D757" s="153"/>
      <c r="I757" s="154"/>
      <c r="J757" s="154"/>
      <c r="K757" s="154"/>
      <c r="L757" s="154"/>
      <c r="M757" s="154"/>
    </row>
    <row r="758" ht="15.75" customHeight="1">
      <c r="C758" s="153"/>
      <c r="D758" s="153"/>
      <c r="I758" s="154"/>
      <c r="J758" s="154"/>
      <c r="K758" s="154"/>
      <c r="L758" s="154"/>
      <c r="M758" s="154"/>
    </row>
    <row r="759" ht="15.75" customHeight="1">
      <c r="C759" s="153"/>
      <c r="D759" s="153"/>
      <c r="I759" s="154"/>
      <c r="J759" s="154"/>
      <c r="K759" s="154"/>
      <c r="L759" s="154"/>
      <c r="M759" s="154"/>
    </row>
    <row r="760" ht="15.75" customHeight="1">
      <c r="C760" s="153"/>
      <c r="D760" s="153"/>
      <c r="I760" s="154"/>
      <c r="J760" s="154"/>
      <c r="K760" s="154"/>
      <c r="L760" s="154"/>
      <c r="M760" s="154"/>
    </row>
    <row r="761" ht="15.75" customHeight="1">
      <c r="C761" s="153"/>
      <c r="D761" s="153"/>
      <c r="I761" s="154"/>
      <c r="J761" s="154"/>
      <c r="K761" s="154"/>
      <c r="L761" s="154"/>
      <c r="M761" s="154"/>
    </row>
    <row r="762" ht="15.75" customHeight="1">
      <c r="C762" s="153"/>
      <c r="D762" s="153"/>
      <c r="I762" s="154"/>
      <c r="J762" s="154"/>
      <c r="K762" s="154"/>
      <c r="L762" s="154"/>
      <c r="M762" s="154"/>
    </row>
    <row r="763" ht="15.75" customHeight="1">
      <c r="C763" s="153"/>
      <c r="D763" s="153"/>
      <c r="I763" s="154"/>
      <c r="J763" s="154"/>
      <c r="K763" s="154"/>
      <c r="L763" s="154"/>
      <c r="M763" s="154"/>
    </row>
    <row r="764" ht="15.75" customHeight="1">
      <c r="C764" s="153"/>
      <c r="D764" s="153"/>
      <c r="I764" s="154"/>
      <c r="J764" s="154"/>
      <c r="K764" s="154"/>
      <c r="L764" s="154"/>
      <c r="M764" s="154"/>
    </row>
    <row r="765" ht="15.75" customHeight="1">
      <c r="C765" s="153"/>
      <c r="D765" s="153"/>
      <c r="I765" s="154"/>
      <c r="J765" s="154"/>
      <c r="K765" s="154"/>
      <c r="L765" s="154"/>
      <c r="M765" s="154"/>
    </row>
    <row r="766" ht="15.75" customHeight="1">
      <c r="C766" s="153"/>
      <c r="D766" s="153"/>
      <c r="I766" s="154"/>
      <c r="J766" s="154"/>
      <c r="K766" s="154"/>
      <c r="L766" s="154"/>
      <c r="M766" s="154"/>
    </row>
    <row r="767" ht="15.75" customHeight="1">
      <c r="C767" s="153"/>
      <c r="D767" s="153"/>
      <c r="I767" s="154"/>
      <c r="J767" s="154"/>
      <c r="K767" s="154"/>
      <c r="L767" s="154"/>
      <c r="M767" s="154"/>
    </row>
    <row r="768" ht="15.75" customHeight="1">
      <c r="C768" s="153"/>
      <c r="D768" s="153"/>
      <c r="I768" s="154"/>
      <c r="J768" s="154"/>
      <c r="K768" s="154"/>
      <c r="L768" s="154"/>
      <c r="M768" s="154"/>
    </row>
    <row r="769" ht="15.75" customHeight="1">
      <c r="C769" s="153"/>
      <c r="D769" s="153"/>
      <c r="I769" s="154"/>
      <c r="J769" s="154"/>
      <c r="K769" s="154"/>
      <c r="L769" s="154"/>
      <c r="M769" s="154"/>
    </row>
    <row r="770" ht="15.75" customHeight="1">
      <c r="C770" s="153"/>
      <c r="D770" s="153"/>
      <c r="I770" s="154"/>
      <c r="J770" s="154"/>
      <c r="K770" s="154"/>
      <c r="L770" s="154"/>
      <c r="M770" s="154"/>
    </row>
    <row r="771" ht="15.75" customHeight="1">
      <c r="C771" s="153"/>
      <c r="D771" s="153"/>
      <c r="I771" s="154"/>
      <c r="J771" s="154"/>
      <c r="K771" s="154"/>
      <c r="L771" s="154"/>
      <c r="M771" s="154"/>
    </row>
    <row r="772" ht="15.75" customHeight="1">
      <c r="C772" s="153"/>
      <c r="D772" s="153"/>
      <c r="I772" s="154"/>
      <c r="J772" s="154"/>
      <c r="K772" s="154"/>
      <c r="L772" s="154"/>
      <c r="M772" s="154"/>
    </row>
    <row r="773" ht="15.75" customHeight="1">
      <c r="C773" s="153"/>
      <c r="D773" s="153"/>
      <c r="I773" s="154"/>
      <c r="J773" s="154"/>
      <c r="K773" s="154"/>
      <c r="L773" s="154"/>
      <c r="M773" s="154"/>
    </row>
    <row r="774" ht="15.75" customHeight="1">
      <c r="C774" s="153"/>
      <c r="D774" s="153"/>
      <c r="I774" s="154"/>
      <c r="J774" s="154"/>
      <c r="K774" s="154"/>
      <c r="L774" s="154"/>
      <c r="M774" s="154"/>
    </row>
    <row r="775" ht="15.75" customHeight="1">
      <c r="C775" s="153"/>
      <c r="D775" s="153"/>
      <c r="I775" s="154"/>
      <c r="J775" s="154"/>
      <c r="K775" s="154"/>
      <c r="L775" s="154"/>
      <c r="M775" s="154"/>
    </row>
    <row r="776" ht="15.75" customHeight="1">
      <c r="C776" s="153"/>
      <c r="D776" s="153"/>
      <c r="I776" s="154"/>
      <c r="J776" s="154"/>
      <c r="K776" s="154"/>
      <c r="L776" s="154"/>
      <c r="M776" s="154"/>
    </row>
    <row r="777" ht="15.75" customHeight="1">
      <c r="C777" s="153"/>
      <c r="D777" s="153"/>
      <c r="I777" s="154"/>
      <c r="J777" s="154"/>
      <c r="K777" s="154"/>
      <c r="L777" s="154"/>
      <c r="M777" s="154"/>
    </row>
    <row r="778" ht="15.75" customHeight="1">
      <c r="C778" s="153"/>
      <c r="D778" s="153"/>
      <c r="I778" s="154"/>
      <c r="J778" s="154"/>
      <c r="K778" s="154"/>
      <c r="L778" s="154"/>
      <c r="M778" s="154"/>
    </row>
    <row r="779" ht="15.75" customHeight="1">
      <c r="C779" s="153"/>
      <c r="D779" s="153"/>
      <c r="I779" s="154"/>
      <c r="J779" s="154"/>
      <c r="K779" s="154"/>
      <c r="L779" s="154"/>
      <c r="M779" s="154"/>
    </row>
    <row r="780" ht="15.75" customHeight="1">
      <c r="C780" s="153"/>
      <c r="D780" s="153"/>
      <c r="I780" s="154"/>
      <c r="J780" s="154"/>
      <c r="K780" s="154"/>
      <c r="L780" s="154"/>
      <c r="M780" s="154"/>
    </row>
    <row r="781" ht="15.75" customHeight="1">
      <c r="C781" s="153"/>
      <c r="D781" s="153"/>
      <c r="I781" s="154"/>
      <c r="J781" s="154"/>
      <c r="K781" s="154"/>
      <c r="L781" s="154"/>
      <c r="M781" s="154"/>
    </row>
    <row r="782" ht="15.75" customHeight="1">
      <c r="C782" s="153"/>
      <c r="D782" s="153"/>
      <c r="I782" s="154"/>
      <c r="J782" s="154"/>
      <c r="K782" s="154"/>
      <c r="L782" s="154"/>
      <c r="M782" s="154"/>
    </row>
    <row r="783" ht="15.75" customHeight="1">
      <c r="C783" s="153"/>
      <c r="D783" s="153"/>
      <c r="I783" s="154"/>
      <c r="J783" s="154"/>
      <c r="K783" s="154"/>
      <c r="L783" s="154"/>
      <c r="M783" s="154"/>
    </row>
    <row r="784" ht="15.75" customHeight="1">
      <c r="C784" s="153"/>
      <c r="D784" s="153"/>
      <c r="I784" s="154"/>
      <c r="J784" s="154"/>
      <c r="K784" s="154"/>
      <c r="L784" s="154"/>
      <c r="M784" s="154"/>
    </row>
    <row r="785" ht="15.75" customHeight="1">
      <c r="C785" s="153"/>
      <c r="D785" s="153"/>
      <c r="I785" s="154"/>
      <c r="J785" s="154"/>
      <c r="K785" s="154"/>
      <c r="L785" s="154"/>
      <c r="M785" s="154"/>
    </row>
    <row r="786" ht="15.75" customHeight="1">
      <c r="C786" s="153"/>
      <c r="D786" s="153"/>
      <c r="I786" s="154"/>
      <c r="J786" s="154"/>
      <c r="K786" s="154"/>
      <c r="L786" s="154"/>
      <c r="M786" s="154"/>
    </row>
    <row r="787" ht="15.75" customHeight="1">
      <c r="C787" s="153"/>
      <c r="D787" s="153"/>
      <c r="I787" s="154"/>
      <c r="J787" s="154"/>
      <c r="K787" s="154"/>
      <c r="L787" s="154"/>
      <c r="M787" s="154"/>
    </row>
    <row r="788" ht="15.75" customHeight="1">
      <c r="C788" s="153"/>
      <c r="D788" s="153"/>
      <c r="I788" s="154"/>
      <c r="J788" s="154"/>
      <c r="K788" s="154"/>
      <c r="L788" s="154"/>
      <c r="M788" s="154"/>
    </row>
    <row r="789" ht="15.75" customHeight="1">
      <c r="C789" s="153"/>
      <c r="D789" s="153"/>
      <c r="I789" s="154"/>
      <c r="J789" s="154"/>
      <c r="K789" s="154"/>
      <c r="L789" s="154"/>
      <c r="M789" s="154"/>
    </row>
    <row r="790" ht="15.75" customHeight="1">
      <c r="C790" s="153"/>
      <c r="D790" s="153"/>
      <c r="I790" s="154"/>
      <c r="J790" s="154"/>
      <c r="K790" s="154"/>
      <c r="L790" s="154"/>
      <c r="M790" s="154"/>
    </row>
    <row r="791" ht="15.75" customHeight="1">
      <c r="C791" s="153"/>
      <c r="D791" s="153"/>
      <c r="I791" s="154"/>
      <c r="J791" s="154"/>
      <c r="K791" s="154"/>
      <c r="L791" s="154"/>
      <c r="M791" s="154"/>
    </row>
    <row r="792" ht="15.75" customHeight="1">
      <c r="C792" s="153"/>
      <c r="D792" s="153"/>
      <c r="I792" s="154"/>
      <c r="J792" s="154"/>
      <c r="K792" s="154"/>
      <c r="L792" s="154"/>
      <c r="M792" s="154"/>
    </row>
    <row r="793" ht="15.75" customHeight="1">
      <c r="C793" s="153"/>
      <c r="D793" s="153"/>
      <c r="I793" s="154"/>
      <c r="J793" s="154"/>
      <c r="K793" s="154"/>
      <c r="L793" s="154"/>
      <c r="M793" s="154"/>
    </row>
    <row r="794" ht="15.75" customHeight="1">
      <c r="C794" s="153"/>
      <c r="D794" s="153"/>
      <c r="I794" s="154"/>
      <c r="J794" s="154"/>
      <c r="K794" s="154"/>
      <c r="L794" s="154"/>
      <c r="M794" s="154"/>
    </row>
    <row r="795" ht="15.75" customHeight="1">
      <c r="C795" s="153"/>
      <c r="D795" s="153"/>
      <c r="I795" s="154"/>
      <c r="J795" s="154"/>
      <c r="K795" s="154"/>
      <c r="L795" s="154"/>
      <c r="M795" s="154"/>
    </row>
    <row r="796" ht="15.75" customHeight="1">
      <c r="C796" s="153"/>
      <c r="D796" s="153"/>
      <c r="I796" s="154"/>
      <c r="J796" s="154"/>
      <c r="K796" s="154"/>
      <c r="L796" s="154"/>
      <c r="M796" s="154"/>
    </row>
    <row r="797" ht="15.75" customHeight="1">
      <c r="C797" s="153"/>
      <c r="D797" s="153"/>
      <c r="I797" s="154"/>
      <c r="J797" s="154"/>
      <c r="K797" s="154"/>
      <c r="L797" s="154"/>
      <c r="M797" s="154"/>
    </row>
    <row r="798" ht="15.75" customHeight="1">
      <c r="C798" s="153"/>
      <c r="D798" s="153"/>
      <c r="I798" s="154"/>
      <c r="J798" s="154"/>
      <c r="K798" s="154"/>
      <c r="L798" s="154"/>
      <c r="M798" s="154"/>
    </row>
    <row r="799" ht="15.75" customHeight="1">
      <c r="C799" s="153"/>
      <c r="D799" s="153"/>
      <c r="I799" s="154"/>
      <c r="J799" s="154"/>
      <c r="K799" s="154"/>
      <c r="L799" s="154"/>
      <c r="M799" s="154"/>
    </row>
    <row r="800" ht="15.75" customHeight="1">
      <c r="C800" s="153"/>
      <c r="D800" s="153"/>
      <c r="I800" s="154"/>
      <c r="J800" s="154"/>
      <c r="K800" s="154"/>
      <c r="L800" s="154"/>
      <c r="M800" s="154"/>
    </row>
    <row r="801" ht="15.75" customHeight="1">
      <c r="C801" s="153"/>
      <c r="D801" s="153"/>
      <c r="I801" s="154"/>
      <c r="J801" s="154"/>
      <c r="K801" s="154"/>
      <c r="L801" s="154"/>
      <c r="M801" s="154"/>
    </row>
    <row r="802" ht="15.75" customHeight="1">
      <c r="C802" s="153"/>
      <c r="D802" s="153"/>
      <c r="I802" s="154"/>
      <c r="J802" s="154"/>
      <c r="K802" s="154"/>
      <c r="L802" s="154"/>
      <c r="M802" s="154"/>
    </row>
    <row r="803" ht="15.75" customHeight="1">
      <c r="C803" s="153"/>
      <c r="D803" s="153"/>
      <c r="I803" s="154"/>
      <c r="J803" s="154"/>
      <c r="K803" s="154"/>
      <c r="L803" s="154"/>
      <c r="M803" s="154"/>
    </row>
    <row r="804" ht="15.75" customHeight="1">
      <c r="C804" s="153"/>
      <c r="D804" s="153"/>
      <c r="I804" s="154"/>
      <c r="J804" s="154"/>
      <c r="K804" s="154"/>
      <c r="L804" s="154"/>
      <c r="M804" s="154"/>
    </row>
    <row r="805" ht="15.75" customHeight="1">
      <c r="C805" s="153"/>
      <c r="D805" s="153"/>
      <c r="I805" s="154"/>
      <c r="J805" s="154"/>
      <c r="K805" s="154"/>
      <c r="L805" s="154"/>
      <c r="M805" s="154"/>
    </row>
    <row r="806" ht="15.75" customHeight="1">
      <c r="C806" s="153"/>
      <c r="D806" s="153"/>
      <c r="I806" s="154"/>
      <c r="J806" s="154"/>
      <c r="K806" s="154"/>
      <c r="L806" s="154"/>
      <c r="M806" s="154"/>
    </row>
    <row r="807" ht="15.75" customHeight="1">
      <c r="C807" s="153"/>
      <c r="D807" s="153"/>
      <c r="I807" s="154"/>
      <c r="J807" s="154"/>
      <c r="K807" s="154"/>
      <c r="L807" s="154"/>
      <c r="M807" s="154"/>
    </row>
    <row r="808" ht="15.75" customHeight="1">
      <c r="C808" s="153"/>
      <c r="D808" s="153"/>
      <c r="I808" s="154"/>
      <c r="J808" s="154"/>
      <c r="K808" s="154"/>
      <c r="L808" s="154"/>
      <c r="M808" s="154"/>
    </row>
    <row r="809" ht="15.75" customHeight="1">
      <c r="C809" s="153"/>
      <c r="D809" s="153"/>
      <c r="I809" s="154"/>
      <c r="J809" s="154"/>
      <c r="K809" s="154"/>
      <c r="L809" s="154"/>
      <c r="M809" s="154"/>
    </row>
    <row r="810" ht="15.75" customHeight="1">
      <c r="C810" s="153"/>
      <c r="D810" s="153"/>
      <c r="I810" s="154"/>
      <c r="J810" s="154"/>
      <c r="K810" s="154"/>
      <c r="L810" s="154"/>
      <c r="M810" s="154"/>
    </row>
    <row r="811" ht="15.75" customHeight="1">
      <c r="C811" s="153"/>
      <c r="D811" s="153"/>
      <c r="I811" s="154"/>
      <c r="J811" s="154"/>
      <c r="K811" s="154"/>
      <c r="L811" s="154"/>
      <c r="M811" s="154"/>
    </row>
    <row r="812" ht="15.75" customHeight="1">
      <c r="C812" s="153"/>
      <c r="D812" s="153"/>
      <c r="I812" s="154"/>
      <c r="J812" s="154"/>
      <c r="K812" s="154"/>
      <c r="L812" s="154"/>
      <c r="M812" s="154"/>
    </row>
    <row r="813" ht="15.75" customHeight="1">
      <c r="C813" s="153"/>
      <c r="D813" s="153"/>
      <c r="I813" s="154"/>
      <c r="J813" s="154"/>
      <c r="K813" s="154"/>
      <c r="L813" s="154"/>
      <c r="M813" s="154"/>
    </row>
    <row r="814" ht="15.75" customHeight="1">
      <c r="C814" s="153"/>
      <c r="D814" s="153"/>
      <c r="I814" s="154"/>
      <c r="J814" s="154"/>
      <c r="K814" s="154"/>
      <c r="L814" s="154"/>
      <c r="M814" s="154"/>
    </row>
    <row r="815" ht="15.75" customHeight="1">
      <c r="C815" s="153"/>
      <c r="D815" s="153"/>
      <c r="I815" s="154"/>
      <c r="J815" s="154"/>
      <c r="K815" s="154"/>
      <c r="L815" s="154"/>
      <c r="M815" s="154"/>
    </row>
    <row r="816" ht="15.75" customHeight="1">
      <c r="C816" s="153"/>
      <c r="D816" s="153"/>
      <c r="I816" s="154"/>
      <c r="J816" s="154"/>
      <c r="K816" s="154"/>
      <c r="L816" s="154"/>
      <c r="M816" s="154"/>
    </row>
    <row r="817" ht="15.75" customHeight="1">
      <c r="C817" s="153"/>
      <c r="D817" s="153"/>
      <c r="I817" s="154"/>
      <c r="J817" s="154"/>
      <c r="K817" s="154"/>
      <c r="L817" s="154"/>
      <c r="M817" s="154"/>
    </row>
    <row r="818" ht="15.75" customHeight="1">
      <c r="C818" s="153"/>
      <c r="D818" s="153"/>
      <c r="I818" s="154"/>
      <c r="J818" s="154"/>
      <c r="K818" s="154"/>
      <c r="L818" s="154"/>
      <c r="M818" s="154"/>
    </row>
    <row r="819" ht="15.75" customHeight="1">
      <c r="C819" s="153"/>
      <c r="D819" s="153"/>
      <c r="I819" s="154"/>
      <c r="J819" s="154"/>
      <c r="K819" s="154"/>
      <c r="L819" s="154"/>
      <c r="M819" s="154"/>
    </row>
    <row r="820" ht="15.75" customHeight="1">
      <c r="C820" s="153"/>
      <c r="D820" s="153"/>
      <c r="I820" s="154"/>
      <c r="J820" s="154"/>
      <c r="K820" s="154"/>
      <c r="L820" s="154"/>
      <c r="M820" s="154"/>
    </row>
    <row r="821" ht="15.75" customHeight="1">
      <c r="C821" s="153"/>
      <c r="D821" s="153"/>
      <c r="I821" s="154"/>
      <c r="J821" s="154"/>
      <c r="K821" s="154"/>
      <c r="L821" s="154"/>
      <c r="M821" s="154"/>
    </row>
    <row r="822" ht="15.75" customHeight="1">
      <c r="C822" s="153"/>
      <c r="D822" s="153"/>
      <c r="I822" s="154"/>
      <c r="J822" s="154"/>
      <c r="K822" s="154"/>
      <c r="L822" s="154"/>
      <c r="M822" s="154"/>
    </row>
    <row r="823" ht="15.75" customHeight="1">
      <c r="C823" s="153"/>
      <c r="D823" s="153"/>
      <c r="I823" s="154"/>
      <c r="J823" s="154"/>
      <c r="K823" s="154"/>
      <c r="L823" s="154"/>
      <c r="M823" s="154"/>
    </row>
    <row r="824" ht="15.75" customHeight="1">
      <c r="C824" s="153"/>
      <c r="D824" s="153"/>
      <c r="I824" s="154"/>
      <c r="J824" s="154"/>
      <c r="K824" s="154"/>
      <c r="L824" s="154"/>
      <c r="M824" s="154"/>
    </row>
    <row r="825" ht="15.75" customHeight="1">
      <c r="C825" s="153"/>
      <c r="D825" s="153"/>
      <c r="I825" s="154"/>
      <c r="J825" s="154"/>
      <c r="K825" s="154"/>
      <c r="L825" s="154"/>
      <c r="M825" s="154"/>
    </row>
    <row r="826" ht="15.75" customHeight="1">
      <c r="C826" s="153"/>
      <c r="D826" s="153"/>
      <c r="I826" s="154"/>
      <c r="J826" s="154"/>
      <c r="K826" s="154"/>
      <c r="L826" s="154"/>
      <c r="M826" s="154"/>
    </row>
    <row r="827" ht="15.75" customHeight="1">
      <c r="C827" s="153"/>
      <c r="D827" s="153"/>
      <c r="I827" s="154"/>
      <c r="J827" s="154"/>
      <c r="K827" s="154"/>
      <c r="L827" s="154"/>
      <c r="M827" s="154"/>
    </row>
    <row r="828" ht="15.75" customHeight="1">
      <c r="C828" s="153"/>
      <c r="D828" s="153"/>
      <c r="I828" s="154"/>
      <c r="J828" s="154"/>
      <c r="K828" s="154"/>
      <c r="L828" s="154"/>
      <c r="M828" s="154"/>
    </row>
    <row r="829" ht="15.75" customHeight="1">
      <c r="C829" s="153"/>
      <c r="D829" s="153"/>
      <c r="I829" s="154"/>
      <c r="J829" s="154"/>
      <c r="K829" s="154"/>
      <c r="L829" s="154"/>
      <c r="M829" s="154"/>
    </row>
    <row r="830" ht="15.75" customHeight="1">
      <c r="C830" s="153"/>
      <c r="D830" s="153"/>
      <c r="I830" s="154"/>
      <c r="J830" s="154"/>
      <c r="K830" s="154"/>
      <c r="L830" s="154"/>
      <c r="M830" s="154"/>
    </row>
    <row r="831" ht="15.75" customHeight="1">
      <c r="C831" s="153"/>
      <c r="D831" s="153"/>
      <c r="I831" s="154"/>
      <c r="J831" s="154"/>
      <c r="K831" s="154"/>
      <c r="L831" s="154"/>
      <c r="M831" s="154"/>
    </row>
    <row r="832" ht="15.75" customHeight="1">
      <c r="C832" s="153"/>
      <c r="D832" s="153"/>
      <c r="I832" s="154"/>
      <c r="J832" s="154"/>
      <c r="K832" s="154"/>
      <c r="L832" s="154"/>
      <c r="M832" s="154"/>
    </row>
    <row r="833" ht="15.75" customHeight="1">
      <c r="C833" s="153"/>
      <c r="D833" s="153"/>
      <c r="I833" s="154"/>
      <c r="J833" s="154"/>
      <c r="K833" s="154"/>
      <c r="L833" s="154"/>
      <c r="M833" s="154"/>
    </row>
    <row r="834" ht="15.75" customHeight="1">
      <c r="C834" s="153"/>
      <c r="D834" s="153"/>
      <c r="I834" s="154"/>
      <c r="J834" s="154"/>
      <c r="K834" s="154"/>
      <c r="L834" s="154"/>
      <c r="M834" s="154"/>
    </row>
    <row r="835" ht="15.75" customHeight="1">
      <c r="C835" s="153"/>
      <c r="D835" s="153"/>
      <c r="I835" s="154"/>
      <c r="J835" s="154"/>
      <c r="K835" s="154"/>
      <c r="L835" s="154"/>
      <c r="M835" s="154"/>
    </row>
    <row r="836" ht="15.75" customHeight="1">
      <c r="C836" s="153"/>
      <c r="D836" s="153"/>
      <c r="I836" s="154"/>
      <c r="J836" s="154"/>
      <c r="K836" s="154"/>
      <c r="L836" s="154"/>
      <c r="M836" s="154"/>
    </row>
    <row r="837" ht="15.75" customHeight="1">
      <c r="C837" s="153"/>
      <c r="D837" s="153"/>
      <c r="I837" s="154"/>
      <c r="J837" s="154"/>
      <c r="K837" s="154"/>
      <c r="L837" s="154"/>
      <c r="M837" s="154"/>
    </row>
    <row r="838" ht="15.75" customHeight="1">
      <c r="C838" s="153"/>
      <c r="D838" s="153"/>
      <c r="I838" s="154"/>
      <c r="J838" s="154"/>
      <c r="K838" s="154"/>
      <c r="L838" s="154"/>
      <c r="M838" s="154"/>
    </row>
    <row r="839" ht="15.75" customHeight="1">
      <c r="C839" s="153"/>
      <c r="D839" s="153"/>
      <c r="I839" s="154"/>
      <c r="J839" s="154"/>
      <c r="K839" s="154"/>
      <c r="L839" s="154"/>
      <c r="M839" s="154"/>
    </row>
    <row r="840" ht="15.75" customHeight="1">
      <c r="C840" s="153"/>
      <c r="D840" s="153"/>
      <c r="I840" s="154"/>
      <c r="J840" s="154"/>
      <c r="K840" s="154"/>
      <c r="L840" s="154"/>
      <c r="M840" s="154"/>
    </row>
    <row r="841" ht="15.75" customHeight="1">
      <c r="C841" s="153"/>
      <c r="D841" s="153"/>
      <c r="I841" s="154"/>
      <c r="J841" s="154"/>
      <c r="K841" s="154"/>
      <c r="L841" s="154"/>
      <c r="M841" s="154"/>
    </row>
    <row r="842" ht="15.75" customHeight="1">
      <c r="C842" s="153"/>
      <c r="D842" s="153"/>
      <c r="I842" s="154"/>
      <c r="J842" s="154"/>
      <c r="K842" s="154"/>
      <c r="L842" s="154"/>
      <c r="M842" s="154"/>
    </row>
    <row r="843" ht="15.75" customHeight="1">
      <c r="C843" s="153"/>
      <c r="D843" s="153"/>
      <c r="I843" s="154"/>
      <c r="J843" s="154"/>
      <c r="K843" s="154"/>
      <c r="L843" s="154"/>
      <c r="M843" s="154"/>
    </row>
    <row r="844" ht="15.75" customHeight="1">
      <c r="C844" s="153"/>
      <c r="D844" s="153"/>
      <c r="I844" s="154"/>
      <c r="J844" s="154"/>
      <c r="K844" s="154"/>
      <c r="L844" s="154"/>
      <c r="M844" s="154"/>
    </row>
    <row r="845" ht="15.75" customHeight="1">
      <c r="C845" s="153"/>
      <c r="D845" s="153"/>
      <c r="I845" s="154"/>
      <c r="J845" s="154"/>
      <c r="K845" s="154"/>
      <c r="L845" s="154"/>
      <c r="M845" s="154"/>
    </row>
    <row r="846" ht="15.75" customHeight="1">
      <c r="C846" s="153"/>
      <c r="D846" s="153"/>
      <c r="I846" s="154"/>
      <c r="J846" s="154"/>
      <c r="K846" s="154"/>
      <c r="L846" s="154"/>
      <c r="M846" s="154"/>
    </row>
    <row r="847" ht="15.75" customHeight="1">
      <c r="C847" s="153"/>
      <c r="D847" s="153"/>
      <c r="I847" s="154"/>
      <c r="J847" s="154"/>
      <c r="K847" s="154"/>
      <c r="L847" s="154"/>
      <c r="M847" s="154"/>
    </row>
    <row r="848" ht="15.75" customHeight="1">
      <c r="C848" s="153"/>
      <c r="D848" s="153"/>
      <c r="I848" s="154"/>
      <c r="J848" s="154"/>
      <c r="K848" s="154"/>
      <c r="L848" s="154"/>
      <c r="M848" s="154"/>
    </row>
    <row r="849" ht="15.75" customHeight="1">
      <c r="C849" s="153"/>
      <c r="D849" s="153"/>
      <c r="I849" s="154"/>
      <c r="J849" s="154"/>
      <c r="K849" s="154"/>
      <c r="L849" s="154"/>
      <c r="M849" s="154"/>
    </row>
    <row r="850" ht="15.75" customHeight="1">
      <c r="C850" s="153"/>
      <c r="D850" s="153"/>
      <c r="I850" s="154"/>
      <c r="J850" s="154"/>
      <c r="K850" s="154"/>
      <c r="L850" s="154"/>
      <c r="M850" s="154"/>
    </row>
    <row r="851" ht="15.75" customHeight="1">
      <c r="C851" s="153"/>
      <c r="D851" s="153"/>
      <c r="I851" s="154"/>
      <c r="J851" s="154"/>
      <c r="K851" s="154"/>
      <c r="L851" s="154"/>
      <c r="M851" s="154"/>
    </row>
    <row r="852" ht="15.75" customHeight="1">
      <c r="C852" s="153"/>
      <c r="D852" s="153"/>
      <c r="I852" s="154"/>
      <c r="J852" s="154"/>
      <c r="K852" s="154"/>
      <c r="L852" s="154"/>
      <c r="M852" s="154"/>
    </row>
    <row r="853" ht="15.75" customHeight="1">
      <c r="C853" s="153"/>
      <c r="D853" s="153"/>
      <c r="I853" s="154"/>
      <c r="J853" s="154"/>
      <c r="K853" s="154"/>
      <c r="L853" s="154"/>
      <c r="M853" s="154"/>
    </row>
    <row r="854" ht="15.75" customHeight="1">
      <c r="C854" s="153"/>
      <c r="D854" s="153"/>
      <c r="I854" s="154"/>
      <c r="J854" s="154"/>
      <c r="K854" s="154"/>
      <c r="L854" s="154"/>
      <c r="M854" s="154"/>
    </row>
    <row r="855" ht="15.75" customHeight="1">
      <c r="C855" s="153"/>
      <c r="D855" s="153"/>
      <c r="I855" s="154"/>
      <c r="J855" s="154"/>
      <c r="K855" s="154"/>
      <c r="L855" s="154"/>
      <c r="M855" s="154"/>
    </row>
    <row r="856" ht="15.75" customHeight="1">
      <c r="C856" s="153"/>
      <c r="D856" s="153"/>
      <c r="I856" s="154"/>
      <c r="J856" s="154"/>
      <c r="K856" s="154"/>
      <c r="L856" s="154"/>
      <c r="M856" s="154"/>
    </row>
    <row r="857" ht="15.75" customHeight="1">
      <c r="C857" s="153"/>
      <c r="D857" s="153"/>
      <c r="I857" s="154"/>
      <c r="J857" s="154"/>
      <c r="K857" s="154"/>
      <c r="L857" s="154"/>
      <c r="M857" s="154"/>
    </row>
    <row r="858" ht="15.75" customHeight="1">
      <c r="C858" s="153"/>
      <c r="D858" s="153"/>
      <c r="I858" s="154"/>
      <c r="J858" s="154"/>
      <c r="K858" s="154"/>
      <c r="L858" s="154"/>
      <c r="M858" s="154"/>
    </row>
    <row r="859" ht="15.75" customHeight="1">
      <c r="C859" s="153"/>
      <c r="D859" s="153"/>
      <c r="I859" s="154"/>
      <c r="J859" s="154"/>
      <c r="K859" s="154"/>
      <c r="L859" s="154"/>
      <c r="M859" s="154"/>
    </row>
    <row r="860" ht="15.75" customHeight="1">
      <c r="C860" s="153"/>
      <c r="D860" s="153"/>
      <c r="I860" s="154"/>
      <c r="J860" s="154"/>
      <c r="K860" s="154"/>
      <c r="L860" s="154"/>
      <c r="M860" s="154"/>
    </row>
    <row r="861" ht="15.75" customHeight="1">
      <c r="C861" s="153"/>
      <c r="D861" s="153"/>
      <c r="I861" s="154"/>
      <c r="J861" s="154"/>
      <c r="K861" s="154"/>
      <c r="L861" s="154"/>
      <c r="M861" s="154"/>
    </row>
    <row r="862" ht="15.75" customHeight="1">
      <c r="C862" s="153"/>
      <c r="D862" s="153"/>
      <c r="I862" s="154"/>
      <c r="J862" s="154"/>
      <c r="K862" s="154"/>
      <c r="L862" s="154"/>
      <c r="M862" s="154"/>
    </row>
    <row r="863" ht="15.75" customHeight="1">
      <c r="C863" s="153"/>
      <c r="D863" s="153"/>
      <c r="I863" s="154"/>
      <c r="J863" s="154"/>
      <c r="K863" s="154"/>
      <c r="L863" s="154"/>
      <c r="M863" s="154"/>
    </row>
    <row r="864" ht="15.75" customHeight="1">
      <c r="C864" s="153"/>
      <c r="D864" s="153"/>
      <c r="I864" s="154"/>
      <c r="J864" s="154"/>
      <c r="K864" s="154"/>
      <c r="L864" s="154"/>
      <c r="M864" s="154"/>
    </row>
    <row r="865" ht="15.75" customHeight="1">
      <c r="C865" s="153"/>
      <c r="D865" s="153"/>
      <c r="I865" s="154"/>
      <c r="J865" s="154"/>
      <c r="K865" s="154"/>
      <c r="L865" s="154"/>
      <c r="M865" s="154"/>
    </row>
    <row r="866" ht="15.75" customHeight="1">
      <c r="C866" s="153"/>
      <c r="D866" s="153"/>
      <c r="I866" s="154"/>
      <c r="J866" s="154"/>
      <c r="K866" s="154"/>
      <c r="L866" s="154"/>
      <c r="M866" s="154"/>
    </row>
    <row r="867" ht="15.75" customHeight="1">
      <c r="C867" s="153"/>
      <c r="D867" s="153"/>
      <c r="I867" s="154"/>
      <c r="J867" s="154"/>
      <c r="K867" s="154"/>
      <c r="L867" s="154"/>
      <c r="M867" s="154"/>
    </row>
    <row r="868" ht="15.75" customHeight="1">
      <c r="C868" s="153"/>
      <c r="D868" s="153"/>
      <c r="I868" s="154"/>
      <c r="J868" s="154"/>
      <c r="K868" s="154"/>
      <c r="L868" s="154"/>
      <c r="M868" s="154"/>
    </row>
    <row r="869" ht="15.75" customHeight="1">
      <c r="C869" s="153"/>
      <c r="D869" s="153"/>
      <c r="I869" s="154"/>
      <c r="J869" s="154"/>
      <c r="K869" s="154"/>
      <c r="L869" s="154"/>
      <c r="M869" s="154"/>
    </row>
    <row r="870" ht="15.75" customHeight="1">
      <c r="C870" s="153"/>
      <c r="D870" s="153"/>
      <c r="I870" s="154"/>
      <c r="J870" s="154"/>
      <c r="K870" s="154"/>
      <c r="L870" s="154"/>
      <c r="M870" s="154"/>
    </row>
    <row r="871" ht="15.75" customHeight="1">
      <c r="C871" s="153"/>
      <c r="D871" s="153"/>
      <c r="I871" s="154"/>
      <c r="J871" s="154"/>
      <c r="K871" s="154"/>
      <c r="L871" s="154"/>
      <c r="M871" s="154"/>
    </row>
    <row r="872" ht="15.75" customHeight="1">
      <c r="C872" s="153"/>
      <c r="D872" s="153"/>
      <c r="I872" s="154"/>
      <c r="J872" s="154"/>
      <c r="K872" s="154"/>
      <c r="L872" s="154"/>
      <c r="M872" s="154"/>
    </row>
    <row r="873" ht="15.75" customHeight="1">
      <c r="C873" s="153"/>
      <c r="D873" s="153"/>
      <c r="I873" s="154"/>
      <c r="J873" s="154"/>
      <c r="K873" s="154"/>
      <c r="L873" s="154"/>
      <c r="M873" s="154"/>
    </row>
    <row r="874" ht="15.75" customHeight="1">
      <c r="C874" s="153"/>
      <c r="D874" s="153"/>
      <c r="I874" s="154"/>
      <c r="J874" s="154"/>
      <c r="K874" s="154"/>
      <c r="L874" s="154"/>
      <c r="M874" s="154"/>
    </row>
    <row r="875" ht="15.75" customHeight="1">
      <c r="C875" s="153"/>
      <c r="D875" s="153"/>
      <c r="I875" s="154"/>
      <c r="J875" s="154"/>
      <c r="K875" s="154"/>
      <c r="L875" s="154"/>
      <c r="M875" s="154"/>
    </row>
    <row r="876" ht="15.75" customHeight="1">
      <c r="C876" s="153"/>
      <c r="D876" s="153"/>
      <c r="I876" s="154"/>
      <c r="J876" s="154"/>
      <c r="K876" s="154"/>
      <c r="L876" s="154"/>
      <c r="M876" s="154"/>
    </row>
    <row r="877" ht="15.75" customHeight="1">
      <c r="C877" s="153"/>
      <c r="D877" s="153"/>
      <c r="I877" s="154"/>
      <c r="J877" s="154"/>
      <c r="K877" s="154"/>
      <c r="L877" s="154"/>
      <c r="M877" s="154"/>
    </row>
    <row r="878" ht="15.75" customHeight="1">
      <c r="C878" s="153"/>
      <c r="D878" s="153"/>
      <c r="I878" s="154"/>
      <c r="J878" s="154"/>
      <c r="K878" s="154"/>
      <c r="L878" s="154"/>
      <c r="M878" s="154"/>
    </row>
    <row r="879" ht="15.75" customHeight="1">
      <c r="C879" s="153"/>
      <c r="D879" s="153"/>
      <c r="I879" s="154"/>
      <c r="J879" s="154"/>
      <c r="K879" s="154"/>
      <c r="L879" s="154"/>
      <c r="M879" s="154"/>
    </row>
    <row r="880" ht="15.75" customHeight="1">
      <c r="C880" s="153"/>
      <c r="D880" s="153"/>
      <c r="I880" s="154"/>
      <c r="J880" s="154"/>
      <c r="K880" s="154"/>
      <c r="L880" s="154"/>
      <c r="M880" s="154"/>
    </row>
    <row r="881" ht="15.75" customHeight="1">
      <c r="C881" s="153"/>
      <c r="D881" s="153"/>
      <c r="I881" s="154"/>
      <c r="J881" s="154"/>
      <c r="K881" s="154"/>
      <c r="L881" s="154"/>
      <c r="M881" s="154"/>
    </row>
    <row r="882" ht="15.75" customHeight="1">
      <c r="C882" s="153"/>
      <c r="D882" s="153"/>
      <c r="I882" s="154"/>
      <c r="J882" s="154"/>
      <c r="K882" s="154"/>
      <c r="L882" s="154"/>
      <c r="M882" s="154"/>
    </row>
    <row r="883" ht="15.75" customHeight="1">
      <c r="C883" s="153"/>
      <c r="D883" s="153"/>
      <c r="I883" s="154"/>
      <c r="J883" s="154"/>
      <c r="K883" s="154"/>
      <c r="L883" s="154"/>
      <c r="M883" s="154"/>
    </row>
    <row r="884" ht="15.75" customHeight="1">
      <c r="C884" s="153"/>
      <c r="D884" s="153"/>
      <c r="I884" s="154"/>
      <c r="J884" s="154"/>
      <c r="K884" s="154"/>
      <c r="L884" s="154"/>
      <c r="M884" s="154"/>
    </row>
    <row r="885" ht="15.75" customHeight="1">
      <c r="C885" s="153"/>
      <c r="D885" s="153"/>
      <c r="I885" s="154"/>
      <c r="J885" s="154"/>
      <c r="K885" s="154"/>
      <c r="L885" s="154"/>
      <c r="M885" s="154"/>
    </row>
    <row r="886" ht="15.75" customHeight="1">
      <c r="C886" s="153"/>
      <c r="D886" s="153"/>
      <c r="I886" s="154"/>
      <c r="J886" s="154"/>
      <c r="K886" s="154"/>
      <c r="L886" s="154"/>
      <c r="M886" s="154"/>
    </row>
    <row r="887" ht="15.75" customHeight="1">
      <c r="C887" s="153"/>
      <c r="D887" s="153"/>
      <c r="I887" s="154"/>
      <c r="J887" s="154"/>
      <c r="K887" s="154"/>
      <c r="L887" s="154"/>
      <c r="M887" s="154"/>
    </row>
    <row r="888" ht="15.75" customHeight="1">
      <c r="C888" s="153"/>
      <c r="D888" s="153"/>
      <c r="I888" s="154"/>
      <c r="J888" s="154"/>
      <c r="K888" s="154"/>
      <c r="L888" s="154"/>
      <c r="M888" s="154"/>
    </row>
    <row r="889" ht="15.75" customHeight="1">
      <c r="C889" s="153"/>
      <c r="D889" s="153"/>
      <c r="I889" s="154"/>
      <c r="J889" s="154"/>
      <c r="K889" s="154"/>
      <c r="L889" s="154"/>
      <c r="M889" s="154"/>
    </row>
    <row r="890" ht="15.75" customHeight="1">
      <c r="C890" s="153"/>
      <c r="D890" s="153"/>
      <c r="I890" s="154"/>
      <c r="J890" s="154"/>
      <c r="K890" s="154"/>
      <c r="L890" s="154"/>
      <c r="M890" s="154"/>
    </row>
    <row r="891" ht="15.75" customHeight="1">
      <c r="C891" s="153"/>
      <c r="D891" s="153"/>
      <c r="I891" s="154"/>
      <c r="J891" s="154"/>
      <c r="K891" s="154"/>
      <c r="L891" s="154"/>
      <c r="M891" s="154"/>
    </row>
    <row r="892" ht="15.75" customHeight="1">
      <c r="C892" s="153"/>
      <c r="D892" s="153"/>
      <c r="I892" s="154"/>
      <c r="J892" s="154"/>
      <c r="K892" s="154"/>
      <c r="L892" s="154"/>
      <c r="M892" s="154"/>
    </row>
    <row r="893" ht="15.75" customHeight="1">
      <c r="C893" s="153"/>
      <c r="D893" s="153"/>
      <c r="I893" s="154"/>
      <c r="J893" s="154"/>
      <c r="K893" s="154"/>
      <c r="L893" s="154"/>
      <c r="M893" s="154"/>
    </row>
    <row r="894" ht="15.75" customHeight="1">
      <c r="C894" s="153"/>
      <c r="D894" s="153"/>
      <c r="I894" s="154"/>
      <c r="J894" s="154"/>
      <c r="K894" s="154"/>
      <c r="L894" s="154"/>
      <c r="M894" s="154"/>
    </row>
    <row r="895" ht="15.75" customHeight="1">
      <c r="C895" s="153"/>
      <c r="D895" s="153"/>
      <c r="I895" s="154"/>
      <c r="J895" s="154"/>
      <c r="K895" s="154"/>
      <c r="L895" s="154"/>
      <c r="M895" s="154"/>
    </row>
    <row r="896" ht="15.75" customHeight="1">
      <c r="C896" s="153"/>
      <c r="D896" s="153"/>
      <c r="I896" s="154"/>
      <c r="J896" s="154"/>
      <c r="K896" s="154"/>
      <c r="L896" s="154"/>
      <c r="M896" s="154"/>
    </row>
    <row r="897" ht="15.75" customHeight="1">
      <c r="C897" s="153"/>
      <c r="D897" s="153"/>
      <c r="I897" s="154"/>
      <c r="J897" s="154"/>
      <c r="K897" s="154"/>
      <c r="L897" s="154"/>
      <c r="M897" s="154"/>
    </row>
    <row r="898" ht="15.75" customHeight="1">
      <c r="C898" s="153"/>
      <c r="D898" s="153"/>
      <c r="I898" s="154"/>
      <c r="J898" s="154"/>
      <c r="K898" s="154"/>
      <c r="L898" s="154"/>
      <c r="M898" s="154"/>
    </row>
    <row r="899" ht="15.75" customHeight="1">
      <c r="C899" s="153"/>
      <c r="D899" s="153"/>
      <c r="I899" s="154"/>
      <c r="J899" s="154"/>
      <c r="K899" s="154"/>
      <c r="L899" s="154"/>
      <c r="M899" s="154"/>
    </row>
    <row r="900" ht="15.75" customHeight="1">
      <c r="C900" s="153"/>
      <c r="D900" s="153"/>
      <c r="I900" s="154"/>
      <c r="J900" s="154"/>
      <c r="K900" s="154"/>
      <c r="L900" s="154"/>
      <c r="M900" s="154"/>
    </row>
    <row r="901" ht="15.75" customHeight="1">
      <c r="C901" s="153"/>
      <c r="D901" s="153"/>
      <c r="I901" s="154"/>
      <c r="J901" s="154"/>
      <c r="K901" s="154"/>
      <c r="L901" s="154"/>
      <c r="M901" s="154"/>
    </row>
    <row r="902" ht="15.75" customHeight="1">
      <c r="C902" s="153"/>
      <c r="D902" s="153"/>
      <c r="I902" s="154"/>
      <c r="J902" s="154"/>
      <c r="K902" s="154"/>
      <c r="L902" s="154"/>
      <c r="M902" s="154"/>
    </row>
    <row r="903" ht="15.75" customHeight="1">
      <c r="C903" s="153"/>
      <c r="D903" s="153"/>
      <c r="I903" s="154"/>
      <c r="J903" s="154"/>
      <c r="K903" s="154"/>
      <c r="L903" s="154"/>
      <c r="M903" s="154"/>
    </row>
    <row r="904" ht="15.75" customHeight="1">
      <c r="C904" s="153"/>
      <c r="D904" s="153"/>
      <c r="I904" s="154"/>
      <c r="J904" s="154"/>
      <c r="K904" s="154"/>
      <c r="L904" s="154"/>
      <c r="M904" s="154"/>
    </row>
    <row r="905" ht="15.75" customHeight="1">
      <c r="C905" s="153"/>
      <c r="D905" s="153"/>
      <c r="I905" s="154"/>
      <c r="J905" s="154"/>
      <c r="K905" s="154"/>
      <c r="L905" s="154"/>
      <c r="M905" s="154"/>
    </row>
    <row r="906" ht="15.75" customHeight="1">
      <c r="C906" s="153"/>
      <c r="D906" s="153"/>
      <c r="I906" s="154"/>
      <c r="J906" s="154"/>
      <c r="K906" s="154"/>
      <c r="L906" s="154"/>
      <c r="M906" s="154"/>
    </row>
    <row r="907" ht="15.75" customHeight="1">
      <c r="C907" s="153"/>
      <c r="D907" s="153"/>
      <c r="I907" s="154"/>
      <c r="J907" s="154"/>
      <c r="K907" s="154"/>
      <c r="L907" s="154"/>
      <c r="M907" s="154"/>
    </row>
    <row r="908" ht="15.75" customHeight="1">
      <c r="C908" s="153"/>
      <c r="D908" s="153"/>
      <c r="I908" s="154"/>
      <c r="J908" s="154"/>
      <c r="K908" s="154"/>
      <c r="L908" s="154"/>
      <c r="M908" s="154"/>
    </row>
    <row r="909" ht="15.75" customHeight="1">
      <c r="C909" s="153"/>
      <c r="D909" s="153"/>
      <c r="I909" s="154"/>
      <c r="J909" s="154"/>
      <c r="K909" s="154"/>
      <c r="L909" s="154"/>
      <c r="M909" s="154"/>
    </row>
    <row r="910" ht="15.75" customHeight="1">
      <c r="C910" s="153"/>
      <c r="D910" s="153"/>
      <c r="I910" s="154"/>
      <c r="J910" s="154"/>
      <c r="K910" s="154"/>
      <c r="L910" s="154"/>
      <c r="M910" s="154"/>
    </row>
    <row r="911" ht="15.75" customHeight="1">
      <c r="C911" s="153"/>
      <c r="D911" s="153"/>
      <c r="I911" s="154"/>
      <c r="J911" s="154"/>
      <c r="K911" s="154"/>
      <c r="L911" s="154"/>
      <c r="M911" s="154"/>
    </row>
    <row r="912" ht="15.75" customHeight="1">
      <c r="C912" s="153"/>
      <c r="D912" s="153"/>
      <c r="I912" s="154"/>
      <c r="J912" s="154"/>
      <c r="K912" s="154"/>
      <c r="L912" s="154"/>
      <c r="M912" s="154"/>
    </row>
    <row r="913" ht="15.75" customHeight="1">
      <c r="C913" s="153"/>
      <c r="D913" s="153"/>
      <c r="I913" s="154"/>
      <c r="J913" s="154"/>
      <c r="K913" s="154"/>
      <c r="L913" s="154"/>
      <c r="M913" s="154"/>
    </row>
    <row r="914" ht="15.75" customHeight="1">
      <c r="C914" s="153"/>
      <c r="D914" s="153"/>
      <c r="I914" s="154"/>
      <c r="J914" s="154"/>
      <c r="K914" s="154"/>
      <c r="L914" s="154"/>
      <c r="M914" s="154"/>
    </row>
    <row r="915" ht="15.75" customHeight="1">
      <c r="C915" s="153"/>
      <c r="D915" s="153"/>
      <c r="I915" s="154"/>
      <c r="J915" s="154"/>
      <c r="K915" s="154"/>
      <c r="L915" s="154"/>
      <c r="M915" s="154"/>
    </row>
    <row r="916" ht="15.75" customHeight="1">
      <c r="C916" s="153"/>
      <c r="D916" s="153"/>
      <c r="I916" s="154"/>
      <c r="J916" s="154"/>
      <c r="K916" s="154"/>
      <c r="L916" s="154"/>
      <c r="M916" s="154"/>
    </row>
    <row r="917" ht="15.75" customHeight="1">
      <c r="C917" s="153"/>
      <c r="D917" s="153"/>
      <c r="I917" s="154"/>
      <c r="J917" s="154"/>
      <c r="K917" s="154"/>
      <c r="L917" s="154"/>
      <c r="M917" s="154"/>
    </row>
    <row r="918" ht="15.75" customHeight="1">
      <c r="C918" s="153"/>
      <c r="D918" s="153"/>
      <c r="I918" s="154"/>
      <c r="J918" s="154"/>
      <c r="K918" s="154"/>
      <c r="L918" s="154"/>
      <c r="M918" s="154"/>
    </row>
    <row r="919" ht="15.75" customHeight="1">
      <c r="C919" s="153"/>
      <c r="D919" s="153"/>
      <c r="I919" s="154"/>
      <c r="J919" s="154"/>
      <c r="K919" s="154"/>
      <c r="L919" s="154"/>
      <c r="M919" s="154"/>
    </row>
    <row r="920" ht="15.75" customHeight="1">
      <c r="C920" s="153"/>
      <c r="D920" s="153"/>
      <c r="I920" s="154"/>
      <c r="J920" s="154"/>
      <c r="K920" s="154"/>
      <c r="L920" s="154"/>
      <c r="M920" s="154"/>
    </row>
    <row r="921" ht="15.75" customHeight="1">
      <c r="C921" s="153"/>
      <c r="D921" s="153"/>
      <c r="I921" s="154"/>
      <c r="J921" s="154"/>
      <c r="K921" s="154"/>
      <c r="L921" s="154"/>
      <c r="M921" s="154"/>
    </row>
    <row r="922" ht="15.75" customHeight="1">
      <c r="C922" s="153"/>
      <c r="D922" s="153"/>
      <c r="I922" s="154"/>
      <c r="J922" s="154"/>
      <c r="K922" s="154"/>
      <c r="L922" s="154"/>
      <c r="M922" s="154"/>
    </row>
    <row r="923" ht="15.75" customHeight="1">
      <c r="C923" s="153"/>
      <c r="D923" s="153"/>
      <c r="I923" s="154"/>
      <c r="J923" s="154"/>
      <c r="K923" s="154"/>
      <c r="L923" s="154"/>
      <c r="M923" s="154"/>
    </row>
    <row r="924" ht="15.75" customHeight="1">
      <c r="C924" s="153"/>
      <c r="D924" s="153"/>
      <c r="I924" s="154"/>
      <c r="J924" s="154"/>
      <c r="K924" s="154"/>
      <c r="L924" s="154"/>
      <c r="M924" s="154"/>
    </row>
    <row r="925" ht="15.75" customHeight="1">
      <c r="C925" s="153"/>
      <c r="D925" s="153"/>
      <c r="I925" s="154"/>
      <c r="J925" s="154"/>
      <c r="K925" s="154"/>
      <c r="L925" s="154"/>
      <c r="M925" s="154"/>
    </row>
    <row r="926" ht="15.75" customHeight="1">
      <c r="C926" s="153"/>
      <c r="D926" s="153"/>
      <c r="I926" s="154"/>
      <c r="J926" s="154"/>
      <c r="K926" s="154"/>
      <c r="L926" s="154"/>
      <c r="M926" s="154"/>
    </row>
    <row r="927" ht="15.75" customHeight="1">
      <c r="C927" s="153"/>
      <c r="D927" s="153"/>
      <c r="I927" s="154"/>
      <c r="J927" s="154"/>
      <c r="K927" s="154"/>
      <c r="L927" s="154"/>
      <c r="M927" s="154"/>
    </row>
    <row r="928" ht="15.75" customHeight="1">
      <c r="C928" s="153"/>
      <c r="D928" s="153"/>
      <c r="I928" s="154"/>
      <c r="J928" s="154"/>
      <c r="K928" s="154"/>
      <c r="L928" s="154"/>
      <c r="M928" s="154"/>
    </row>
    <row r="929" ht="15.75" customHeight="1">
      <c r="C929" s="153"/>
      <c r="D929" s="153"/>
      <c r="I929" s="154"/>
      <c r="J929" s="154"/>
      <c r="K929" s="154"/>
      <c r="L929" s="154"/>
      <c r="M929" s="154"/>
    </row>
    <row r="930" ht="15.75" customHeight="1">
      <c r="C930" s="153"/>
      <c r="D930" s="153"/>
      <c r="I930" s="154"/>
      <c r="J930" s="154"/>
      <c r="K930" s="154"/>
      <c r="L930" s="154"/>
      <c r="M930" s="154"/>
    </row>
    <row r="931" ht="15.75" customHeight="1">
      <c r="C931" s="153"/>
      <c r="D931" s="153"/>
      <c r="I931" s="154"/>
      <c r="J931" s="154"/>
      <c r="K931" s="154"/>
      <c r="L931" s="154"/>
      <c r="M931" s="154"/>
    </row>
    <row r="932" ht="15.75" customHeight="1">
      <c r="C932" s="153"/>
      <c r="D932" s="153"/>
      <c r="I932" s="154"/>
      <c r="J932" s="154"/>
      <c r="K932" s="154"/>
      <c r="L932" s="154"/>
      <c r="M932" s="154"/>
    </row>
    <row r="933" ht="15.75" customHeight="1">
      <c r="C933" s="153"/>
      <c r="D933" s="153"/>
      <c r="I933" s="154"/>
      <c r="J933" s="154"/>
      <c r="K933" s="154"/>
      <c r="L933" s="154"/>
      <c r="M933" s="154"/>
    </row>
    <row r="934" ht="15.75" customHeight="1">
      <c r="C934" s="153"/>
      <c r="D934" s="153"/>
      <c r="I934" s="154"/>
      <c r="J934" s="154"/>
      <c r="K934" s="154"/>
      <c r="L934" s="154"/>
      <c r="M934" s="154"/>
    </row>
    <row r="935" ht="15.75" customHeight="1">
      <c r="C935" s="153"/>
      <c r="D935" s="153"/>
      <c r="I935" s="154"/>
      <c r="J935" s="154"/>
      <c r="K935" s="154"/>
      <c r="L935" s="154"/>
      <c r="M935" s="154"/>
    </row>
    <row r="936" ht="15.75" customHeight="1">
      <c r="C936" s="153"/>
      <c r="D936" s="153"/>
      <c r="I936" s="154"/>
      <c r="J936" s="154"/>
      <c r="K936" s="154"/>
      <c r="L936" s="154"/>
      <c r="M936" s="154"/>
    </row>
    <row r="937" ht="15.75" customHeight="1">
      <c r="C937" s="153"/>
      <c r="D937" s="153"/>
      <c r="I937" s="154"/>
      <c r="J937" s="154"/>
      <c r="K937" s="154"/>
      <c r="L937" s="154"/>
      <c r="M937" s="154"/>
    </row>
    <row r="938" ht="15.75" customHeight="1">
      <c r="C938" s="153"/>
      <c r="D938" s="153"/>
      <c r="I938" s="154"/>
      <c r="J938" s="154"/>
      <c r="K938" s="154"/>
      <c r="L938" s="154"/>
      <c r="M938" s="154"/>
    </row>
    <row r="939" ht="15.75" customHeight="1">
      <c r="C939" s="153"/>
      <c r="D939" s="153"/>
      <c r="I939" s="154"/>
      <c r="J939" s="154"/>
      <c r="K939" s="154"/>
      <c r="L939" s="154"/>
      <c r="M939" s="154"/>
    </row>
    <row r="940" ht="15.75" customHeight="1">
      <c r="C940" s="153"/>
      <c r="D940" s="153"/>
      <c r="I940" s="154"/>
      <c r="J940" s="154"/>
      <c r="K940" s="154"/>
      <c r="L940" s="154"/>
      <c r="M940" s="154"/>
    </row>
    <row r="941" ht="15.75" customHeight="1">
      <c r="C941" s="153"/>
      <c r="D941" s="153"/>
      <c r="I941" s="154"/>
      <c r="J941" s="154"/>
      <c r="K941" s="154"/>
      <c r="L941" s="154"/>
      <c r="M941" s="154"/>
    </row>
    <row r="942" ht="15.75" customHeight="1">
      <c r="C942" s="153"/>
      <c r="D942" s="153"/>
      <c r="I942" s="154"/>
      <c r="J942" s="154"/>
      <c r="K942" s="154"/>
      <c r="L942" s="154"/>
      <c r="M942" s="154"/>
    </row>
    <row r="943" ht="15.75" customHeight="1">
      <c r="C943" s="153"/>
      <c r="D943" s="153"/>
      <c r="I943" s="154"/>
      <c r="J943" s="154"/>
      <c r="K943" s="154"/>
      <c r="L943" s="154"/>
      <c r="M943" s="154"/>
    </row>
    <row r="944" ht="15.75" customHeight="1">
      <c r="C944" s="153"/>
      <c r="D944" s="153"/>
      <c r="I944" s="154"/>
      <c r="J944" s="154"/>
      <c r="K944" s="154"/>
      <c r="L944" s="154"/>
      <c r="M944" s="154"/>
    </row>
    <row r="945" ht="15.75" customHeight="1">
      <c r="C945" s="153"/>
      <c r="D945" s="153"/>
      <c r="I945" s="154"/>
      <c r="J945" s="154"/>
      <c r="K945" s="154"/>
      <c r="L945" s="154"/>
      <c r="M945" s="154"/>
    </row>
    <row r="946" ht="15.75" customHeight="1">
      <c r="C946" s="153"/>
      <c r="D946" s="153"/>
      <c r="I946" s="154"/>
      <c r="J946" s="154"/>
      <c r="K946" s="154"/>
      <c r="L946" s="154"/>
      <c r="M946" s="154"/>
    </row>
    <row r="947" ht="15.75" customHeight="1">
      <c r="C947" s="153"/>
      <c r="D947" s="153"/>
      <c r="I947" s="154"/>
      <c r="J947" s="154"/>
      <c r="K947" s="154"/>
      <c r="L947" s="154"/>
      <c r="M947" s="154"/>
    </row>
    <row r="948" ht="15.75" customHeight="1">
      <c r="C948" s="153"/>
      <c r="D948" s="153"/>
      <c r="I948" s="154"/>
      <c r="J948" s="154"/>
      <c r="K948" s="154"/>
      <c r="L948" s="154"/>
      <c r="M948" s="154"/>
    </row>
    <row r="949" ht="15.75" customHeight="1">
      <c r="C949" s="153"/>
      <c r="D949" s="153"/>
      <c r="I949" s="154"/>
      <c r="J949" s="154"/>
      <c r="K949" s="154"/>
      <c r="L949" s="154"/>
      <c r="M949" s="154"/>
    </row>
    <row r="950" ht="15.75" customHeight="1">
      <c r="C950" s="153"/>
      <c r="D950" s="153"/>
      <c r="I950" s="154"/>
      <c r="J950" s="154"/>
      <c r="K950" s="154"/>
      <c r="L950" s="154"/>
      <c r="M950" s="154"/>
    </row>
    <row r="951" ht="15.75" customHeight="1">
      <c r="C951" s="153"/>
      <c r="D951" s="153"/>
      <c r="I951" s="154"/>
      <c r="J951" s="154"/>
      <c r="K951" s="154"/>
      <c r="L951" s="154"/>
      <c r="M951" s="154"/>
    </row>
    <row r="952" ht="15.75" customHeight="1">
      <c r="C952" s="153"/>
      <c r="D952" s="153"/>
      <c r="I952" s="154"/>
      <c r="J952" s="154"/>
      <c r="K952" s="154"/>
      <c r="L952" s="154"/>
      <c r="M952" s="154"/>
    </row>
    <row r="953" ht="15.75" customHeight="1">
      <c r="C953" s="153"/>
      <c r="D953" s="153"/>
      <c r="I953" s="154"/>
      <c r="J953" s="154"/>
      <c r="K953" s="154"/>
      <c r="L953" s="154"/>
      <c r="M953" s="154"/>
    </row>
    <row r="954" ht="15.75" customHeight="1">
      <c r="C954" s="153"/>
      <c r="D954" s="153"/>
      <c r="I954" s="154"/>
      <c r="J954" s="154"/>
      <c r="K954" s="154"/>
      <c r="L954" s="154"/>
      <c r="M954" s="154"/>
    </row>
    <row r="955" ht="15.75" customHeight="1">
      <c r="C955" s="153"/>
      <c r="D955" s="153"/>
      <c r="I955" s="154"/>
      <c r="J955" s="154"/>
      <c r="K955" s="154"/>
      <c r="L955" s="154"/>
      <c r="M955" s="154"/>
    </row>
    <row r="956" ht="15.75" customHeight="1">
      <c r="C956" s="153"/>
      <c r="D956" s="153"/>
      <c r="I956" s="154"/>
      <c r="J956" s="154"/>
      <c r="K956" s="154"/>
      <c r="L956" s="154"/>
      <c r="M956" s="154"/>
    </row>
    <row r="957" ht="15.75" customHeight="1">
      <c r="C957" s="153"/>
      <c r="D957" s="153"/>
      <c r="I957" s="154"/>
      <c r="J957" s="154"/>
      <c r="K957" s="154"/>
      <c r="L957" s="154"/>
      <c r="M957" s="154"/>
    </row>
    <row r="958" ht="15.75" customHeight="1">
      <c r="C958" s="153"/>
      <c r="D958" s="153"/>
      <c r="I958" s="154"/>
      <c r="J958" s="154"/>
      <c r="K958" s="154"/>
      <c r="L958" s="154"/>
      <c r="M958" s="154"/>
    </row>
    <row r="959" ht="15.75" customHeight="1">
      <c r="C959" s="153"/>
      <c r="D959" s="153"/>
      <c r="I959" s="154"/>
      <c r="J959" s="154"/>
      <c r="K959" s="154"/>
      <c r="L959" s="154"/>
      <c r="M959" s="154"/>
    </row>
    <row r="960" ht="15.75" customHeight="1">
      <c r="C960" s="153"/>
      <c r="D960" s="153"/>
      <c r="I960" s="154"/>
      <c r="J960" s="154"/>
      <c r="K960" s="154"/>
      <c r="L960" s="154"/>
      <c r="M960" s="154"/>
    </row>
    <row r="961" ht="15.75" customHeight="1">
      <c r="C961" s="153"/>
      <c r="D961" s="153"/>
      <c r="I961" s="154"/>
      <c r="J961" s="154"/>
      <c r="K961" s="154"/>
      <c r="L961" s="154"/>
      <c r="M961" s="154"/>
    </row>
    <row r="962" ht="15.75" customHeight="1">
      <c r="C962" s="153"/>
      <c r="D962" s="153"/>
      <c r="I962" s="154"/>
      <c r="J962" s="154"/>
      <c r="K962" s="154"/>
      <c r="L962" s="154"/>
      <c r="M962" s="154"/>
    </row>
    <row r="963" ht="15.75" customHeight="1">
      <c r="C963" s="153"/>
      <c r="D963" s="153"/>
      <c r="I963" s="154"/>
      <c r="J963" s="154"/>
      <c r="K963" s="154"/>
      <c r="L963" s="154"/>
      <c r="M963" s="154"/>
    </row>
    <row r="964" ht="15.75" customHeight="1">
      <c r="C964" s="153"/>
      <c r="D964" s="153"/>
      <c r="I964" s="154"/>
      <c r="J964" s="154"/>
      <c r="K964" s="154"/>
      <c r="L964" s="154"/>
      <c r="M964" s="154"/>
    </row>
    <row r="965" ht="15.75" customHeight="1">
      <c r="C965" s="153"/>
      <c r="D965" s="153"/>
      <c r="I965" s="154"/>
      <c r="J965" s="154"/>
      <c r="K965" s="154"/>
      <c r="L965" s="154"/>
      <c r="M965" s="154"/>
    </row>
    <row r="966" ht="15.75" customHeight="1">
      <c r="C966" s="153"/>
      <c r="D966" s="153"/>
      <c r="I966" s="154"/>
      <c r="J966" s="154"/>
      <c r="K966" s="154"/>
      <c r="L966" s="154"/>
      <c r="M966" s="154"/>
    </row>
    <row r="967" ht="15.75" customHeight="1">
      <c r="C967" s="153"/>
      <c r="D967" s="153"/>
      <c r="I967" s="154"/>
      <c r="J967" s="154"/>
      <c r="K967" s="154"/>
      <c r="L967" s="154"/>
      <c r="M967" s="154"/>
    </row>
    <row r="968" ht="15.75" customHeight="1">
      <c r="C968" s="153"/>
      <c r="D968" s="153"/>
      <c r="I968" s="154"/>
      <c r="J968" s="154"/>
      <c r="K968" s="154"/>
      <c r="L968" s="154"/>
      <c r="M968" s="154"/>
    </row>
    <row r="969" ht="15.75" customHeight="1">
      <c r="C969" s="153"/>
      <c r="D969" s="153"/>
      <c r="I969" s="154"/>
      <c r="J969" s="154"/>
      <c r="K969" s="154"/>
      <c r="L969" s="154"/>
      <c r="M969" s="154"/>
    </row>
    <row r="970" ht="15.75" customHeight="1">
      <c r="C970" s="153"/>
      <c r="D970" s="153"/>
      <c r="I970" s="154"/>
      <c r="J970" s="154"/>
      <c r="K970" s="154"/>
      <c r="L970" s="154"/>
      <c r="M970" s="154"/>
    </row>
    <row r="971" ht="15.75" customHeight="1">
      <c r="C971" s="153"/>
      <c r="D971" s="153"/>
      <c r="I971" s="154"/>
      <c r="J971" s="154"/>
      <c r="K971" s="154"/>
      <c r="L971" s="154"/>
      <c r="M971" s="154"/>
    </row>
    <row r="972" ht="15.75" customHeight="1">
      <c r="C972" s="153"/>
      <c r="D972" s="153"/>
      <c r="I972" s="154"/>
      <c r="J972" s="154"/>
      <c r="K972" s="154"/>
      <c r="L972" s="154"/>
      <c r="M972" s="154"/>
    </row>
    <row r="973" ht="15.75" customHeight="1">
      <c r="C973" s="153"/>
      <c r="D973" s="153"/>
      <c r="I973" s="154"/>
      <c r="J973" s="154"/>
      <c r="K973" s="154"/>
      <c r="L973" s="154"/>
      <c r="M973" s="154"/>
    </row>
    <row r="974" ht="15.75" customHeight="1">
      <c r="C974" s="153"/>
      <c r="D974" s="153"/>
      <c r="I974" s="154"/>
      <c r="J974" s="154"/>
      <c r="K974" s="154"/>
      <c r="L974" s="154"/>
      <c r="M974" s="154"/>
    </row>
    <row r="975" ht="15.75" customHeight="1">
      <c r="C975" s="153"/>
      <c r="D975" s="153"/>
      <c r="I975" s="154"/>
      <c r="J975" s="154"/>
      <c r="K975" s="154"/>
      <c r="L975" s="154"/>
      <c r="M975" s="154"/>
    </row>
    <row r="976" ht="15.75" customHeight="1">
      <c r="C976" s="153"/>
      <c r="D976" s="153"/>
      <c r="I976" s="154"/>
      <c r="J976" s="154"/>
      <c r="K976" s="154"/>
      <c r="L976" s="154"/>
      <c r="M976" s="154"/>
    </row>
    <row r="977" ht="15.75" customHeight="1">
      <c r="C977" s="153"/>
      <c r="D977" s="153"/>
      <c r="I977" s="154"/>
      <c r="J977" s="154"/>
      <c r="K977" s="154"/>
      <c r="L977" s="154"/>
      <c r="M977" s="154"/>
    </row>
    <row r="978" ht="15.75" customHeight="1">
      <c r="C978" s="153"/>
      <c r="D978" s="153"/>
      <c r="I978" s="154"/>
      <c r="J978" s="154"/>
      <c r="K978" s="154"/>
      <c r="L978" s="154"/>
      <c r="M978" s="154"/>
    </row>
    <row r="979" ht="15.75" customHeight="1">
      <c r="C979" s="153"/>
      <c r="D979" s="153"/>
      <c r="I979" s="154"/>
      <c r="J979" s="154"/>
      <c r="K979" s="154"/>
      <c r="L979" s="154"/>
      <c r="M979" s="154"/>
    </row>
    <row r="980" ht="15.75" customHeight="1">
      <c r="C980" s="153"/>
      <c r="D980" s="153"/>
      <c r="I980" s="154"/>
      <c r="J980" s="154"/>
      <c r="K980" s="154"/>
      <c r="L980" s="154"/>
      <c r="M980" s="154"/>
    </row>
    <row r="981" ht="15.75" customHeight="1">
      <c r="C981" s="153"/>
      <c r="D981" s="153"/>
      <c r="I981" s="154"/>
      <c r="J981" s="154"/>
      <c r="K981" s="154"/>
      <c r="L981" s="154"/>
      <c r="M981" s="154"/>
    </row>
    <row r="982" ht="15.75" customHeight="1">
      <c r="C982" s="153"/>
      <c r="D982" s="153"/>
      <c r="I982" s="154"/>
      <c r="J982" s="154"/>
      <c r="K982" s="154"/>
      <c r="L982" s="154"/>
      <c r="M982" s="154"/>
    </row>
    <row r="983" ht="15.75" customHeight="1">
      <c r="C983" s="153"/>
      <c r="D983" s="153"/>
      <c r="I983" s="154"/>
      <c r="J983" s="154"/>
      <c r="K983" s="154"/>
      <c r="L983" s="154"/>
      <c r="M983" s="154"/>
    </row>
    <row r="984" ht="15.75" customHeight="1">
      <c r="C984" s="153"/>
      <c r="D984" s="153"/>
      <c r="I984" s="154"/>
      <c r="J984" s="154"/>
      <c r="K984" s="154"/>
      <c r="L984" s="154"/>
      <c r="M984" s="154"/>
    </row>
    <row r="985" ht="15.75" customHeight="1">
      <c r="C985" s="153"/>
      <c r="D985" s="153"/>
      <c r="I985" s="154"/>
      <c r="J985" s="154"/>
      <c r="K985" s="154"/>
      <c r="L985" s="154"/>
      <c r="M985" s="154"/>
    </row>
    <row r="986" ht="15.75" customHeight="1">
      <c r="C986" s="153"/>
      <c r="D986" s="153"/>
      <c r="I986" s="154"/>
      <c r="J986" s="154"/>
      <c r="K986" s="154"/>
      <c r="L986" s="154"/>
      <c r="M986" s="154"/>
    </row>
    <row r="987" ht="15.75" customHeight="1">
      <c r="C987" s="153"/>
      <c r="D987" s="153"/>
      <c r="I987" s="154"/>
      <c r="J987" s="154"/>
      <c r="K987" s="154"/>
      <c r="L987" s="154"/>
      <c r="M987" s="154"/>
    </row>
    <row r="988" ht="15.75" customHeight="1">
      <c r="C988" s="153"/>
      <c r="D988" s="153"/>
      <c r="I988" s="154"/>
      <c r="J988" s="154"/>
      <c r="K988" s="154"/>
      <c r="L988" s="154"/>
      <c r="M988" s="154"/>
    </row>
    <row r="989" ht="15.75" customHeight="1">
      <c r="C989" s="153"/>
      <c r="D989" s="153"/>
      <c r="I989" s="154"/>
      <c r="J989" s="154"/>
      <c r="K989" s="154"/>
      <c r="L989" s="154"/>
      <c r="M989" s="154"/>
    </row>
    <row r="990" ht="15.75" customHeight="1">
      <c r="C990" s="153"/>
      <c r="D990" s="153"/>
      <c r="I990" s="154"/>
      <c r="J990" s="154"/>
      <c r="K990" s="154"/>
      <c r="L990" s="154"/>
      <c r="M990" s="154"/>
    </row>
    <row r="991" ht="15.75" customHeight="1">
      <c r="C991" s="153"/>
      <c r="D991" s="153"/>
      <c r="I991" s="154"/>
      <c r="J991" s="154"/>
      <c r="K991" s="154"/>
      <c r="L991" s="154"/>
      <c r="M991" s="154"/>
    </row>
    <row r="992" ht="15.75" customHeight="1">
      <c r="C992" s="153"/>
      <c r="D992" s="153"/>
      <c r="I992" s="154"/>
      <c r="J992" s="154"/>
      <c r="K992" s="154"/>
      <c r="L992" s="154"/>
      <c r="M992" s="154"/>
    </row>
    <row r="993" ht="15.75" customHeight="1">
      <c r="C993" s="153"/>
      <c r="D993" s="153"/>
      <c r="I993" s="154"/>
      <c r="J993" s="154"/>
      <c r="K993" s="154"/>
      <c r="L993" s="154"/>
      <c r="M993" s="154"/>
    </row>
    <row r="994" ht="15.75" customHeight="1">
      <c r="C994" s="153"/>
      <c r="D994" s="153"/>
      <c r="I994" s="154"/>
      <c r="J994" s="154"/>
      <c r="K994" s="154"/>
      <c r="L994" s="154"/>
      <c r="M994" s="154"/>
    </row>
    <row r="995" ht="15.75" customHeight="1">
      <c r="C995" s="153"/>
      <c r="D995" s="153"/>
      <c r="I995" s="154"/>
      <c r="J995" s="154"/>
      <c r="K995" s="154"/>
      <c r="L995" s="154"/>
      <c r="M995" s="154"/>
    </row>
    <row r="996" ht="15.75" customHeight="1">
      <c r="C996" s="153"/>
      <c r="D996" s="153"/>
      <c r="I996" s="154"/>
      <c r="J996" s="154"/>
      <c r="K996" s="154"/>
      <c r="L996" s="154"/>
      <c r="M996" s="154"/>
    </row>
    <row r="997" ht="15.75" customHeight="1">
      <c r="C997" s="153"/>
      <c r="D997" s="153"/>
      <c r="I997" s="154"/>
      <c r="J997" s="154"/>
      <c r="K997" s="154"/>
      <c r="L997" s="154"/>
      <c r="M997" s="154"/>
    </row>
    <row r="998" ht="15.75" customHeight="1">
      <c r="C998" s="153"/>
      <c r="D998" s="153"/>
      <c r="I998" s="154"/>
      <c r="J998" s="154"/>
      <c r="K998" s="154"/>
      <c r="L998" s="154"/>
      <c r="M998" s="154"/>
    </row>
    <row r="999" ht="15.75" customHeight="1">
      <c r="C999" s="153"/>
      <c r="D999" s="153"/>
      <c r="I999" s="154"/>
      <c r="J999" s="154"/>
      <c r="K999" s="154"/>
      <c r="L999" s="154"/>
      <c r="M999" s="154"/>
    </row>
    <row r="1000" ht="15.75" customHeight="1">
      <c r="C1000" s="153"/>
      <c r="D1000" s="153"/>
      <c r="I1000" s="154"/>
      <c r="J1000" s="154"/>
      <c r="K1000" s="154"/>
      <c r="L1000" s="154"/>
      <c r="M1000" s="154"/>
    </row>
    <row r="1001" ht="15.75" customHeight="1">
      <c r="C1001" s="153"/>
      <c r="D1001" s="153"/>
      <c r="I1001" s="154"/>
      <c r="J1001" s="154"/>
      <c r="K1001" s="154"/>
      <c r="L1001" s="154"/>
      <c r="M1001" s="154"/>
    </row>
    <row r="1002" ht="15.75" customHeight="1">
      <c r="C1002" s="153"/>
      <c r="D1002" s="153"/>
      <c r="I1002" s="154"/>
      <c r="J1002" s="154"/>
      <c r="K1002" s="154"/>
      <c r="L1002" s="154"/>
      <c r="M1002" s="154"/>
    </row>
    <row r="1003" ht="15.75" customHeight="1">
      <c r="C1003" s="153"/>
      <c r="D1003" s="153"/>
      <c r="I1003" s="154"/>
      <c r="J1003" s="154"/>
      <c r="K1003" s="154"/>
      <c r="L1003" s="154"/>
      <c r="M1003" s="154"/>
    </row>
    <row r="1004" ht="15.75" customHeight="1">
      <c r="C1004" s="153"/>
      <c r="D1004" s="153"/>
      <c r="I1004" s="154"/>
      <c r="J1004" s="154"/>
      <c r="K1004" s="154"/>
      <c r="L1004" s="154"/>
      <c r="M1004" s="154"/>
    </row>
    <row r="1005" ht="15.75" customHeight="1">
      <c r="C1005" s="153"/>
      <c r="D1005" s="153"/>
      <c r="I1005" s="154"/>
      <c r="J1005" s="154"/>
      <c r="K1005" s="154"/>
      <c r="L1005" s="154"/>
      <c r="M1005" s="154"/>
    </row>
    <row r="1006" ht="15.75" customHeight="1">
      <c r="C1006" s="153"/>
      <c r="D1006" s="153"/>
      <c r="I1006" s="154"/>
      <c r="J1006" s="154"/>
      <c r="K1006" s="154"/>
      <c r="L1006" s="154"/>
      <c r="M1006" s="154"/>
    </row>
    <row r="1007" ht="15.75" customHeight="1">
      <c r="C1007" s="153"/>
      <c r="D1007" s="153"/>
      <c r="I1007" s="154"/>
      <c r="J1007" s="154"/>
      <c r="K1007" s="154"/>
      <c r="L1007" s="154"/>
      <c r="M1007" s="154"/>
    </row>
    <row r="1008" ht="15.75" customHeight="1">
      <c r="C1008" s="153"/>
      <c r="D1008" s="153"/>
      <c r="I1008" s="154"/>
      <c r="J1008" s="154"/>
      <c r="K1008" s="154"/>
      <c r="L1008" s="154"/>
      <c r="M1008" s="154"/>
    </row>
    <row r="1009" ht="15.75" customHeight="1">
      <c r="C1009" s="153"/>
      <c r="D1009" s="153"/>
      <c r="I1009" s="154"/>
      <c r="J1009" s="154"/>
      <c r="K1009" s="154"/>
      <c r="L1009" s="154"/>
      <c r="M1009" s="154"/>
    </row>
    <row r="1010" ht="15.75" customHeight="1">
      <c r="C1010" s="153"/>
      <c r="D1010" s="153"/>
      <c r="I1010" s="154"/>
      <c r="J1010" s="154"/>
      <c r="K1010" s="154"/>
      <c r="L1010" s="154"/>
      <c r="M1010" s="154"/>
    </row>
    <row r="1011" ht="15.75" customHeight="1">
      <c r="C1011" s="153"/>
      <c r="D1011" s="153"/>
      <c r="I1011" s="154"/>
      <c r="J1011" s="154"/>
      <c r="K1011" s="154"/>
      <c r="L1011" s="154"/>
      <c r="M1011" s="154"/>
    </row>
    <row r="1012" ht="15.75" customHeight="1">
      <c r="C1012" s="153"/>
      <c r="D1012" s="153"/>
      <c r="I1012" s="154"/>
      <c r="J1012" s="154"/>
      <c r="K1012" s="154"/>
      <c r="L1012" s="154"/>
      <c r="M1012" s="154"/>
    </row>
    <row r="1013" ht="15.75" customHeight="1">
      <c r="C1013" s="153"/>
      <c r="D1013" s="153"/>
      <c r="I1013" s="154"/>
      <c r="J1013" s="154"/>
      <c r="K1013" s="154"/>
      <c r="L1013" s="154"/>
      <c r="M1013" s="154"/>
    </row>
    <row r="1014" ht="15.75" customHeight="1">
      <c r="C1014" s="153"/>
      <c r="D1014" s="153"/>
      <c r="I1014" s="154"/>
      <c r="J1014" s="154"/>
      <c r="K1014" s="154"/>
      <c r="L1014" s="154"/>
      <c r="M1014" s="154"/>
    </row>
    <row r="1015" ht="15.75" customHeight="1">
      <c r="C1015" s="153"/>
      <c r="D1015" s="153"/>
      <c r="I1015" s="154"/>
      <c r="J1015" s="154"/>
      <c r="K1015" s="154"/>
      <c r="L1015" s="154"/>
      <c r="M1015" s="154"/>
    </row>
    <row r="1016" ht="15.75" customHeight="1">
      <c r="C1016" s="153"/>
      <c r="D1016" s="153"/>
      <c r="I1016" s="154"/>
      <c r="J1016" s="154"/>
      <c r="K1016" s="154"/>
      <c r="L1016" s="154"/>
      <c r="M1016" s="154"/>
    </row>
    <row r="1017" ht="15.75" customHeight="1">
      <c r="C1017" s="153"/>
      <c r="D1017" s="153"/>
      <c r="I1017" s="154"/>
      <c r="J1017" s="154"/>
      <c r="K1017" s="154"/>
      <c r="L1017" s="154"/>
      <c r="M1017" s="154"/>
    </row>
    <row r="1018" ht="15.75" customHeight="1">
      <c r="C1018" s="153"/>
      <c r="D1018" s="153"/>
      <c r="I1018" s="154"/>
      <c r="J1018" s="154"/>
      <c r="K1018" s="154"/>
      <c r="L1018" s="154"/>
      <c r="M1018" s="154"/>
    </row>
    <row r="1019" ht="15.75" customHeight="1">
      <c r="C1019" s="153"/>
      <c r="D1019" s="153"/>
      <c r="I1019" s="154"/>
      <c r="J1019" s="154"/>
      <c r="K1019" s="154"/>
      <c r="L1019" s="154"/>
      <c r="M1019" s="154"/>
    </row>
    <row r="1020" ht="15.75" customHeight="1">
      <c r="C1020" s="153"/>
      <c r="D1020" s="153"/>
      <c r="I1020" s="154"/>
      <c r="J1020" s="154"/>
      <c r="K1020" s="154"/>
      <c r="L1020" s="154"/>
      <c r="M1020" s="154"/>
    </row>
    <row r="1021" ht="15.75" customHeight="1">
      <c r="C1021" s="153"/>
      <c r="D1021" s="153"/>
      <c r="I1021" s="154"/>
      <c r="J1021" s="154"/>
      <c r="K1021" s="154"/>
      <c r="L1021" s="154"/>
      <c r="M1021" s="154"/>
    </row>
    <row r="1022" ht="15.75" customHeight="1">
      <c r="C1022" s="153"/>
      <c r="D1022" s="153"/>
      <c r="I1022" s="154"/>
      <c r="J1022" s="154"/>
      <c r="K1022" s="154"/>
      <c r="L1022" s="154"/>
      <c r="M1022" s="154"/>
    </row>
    <row r="1023" ht="15.75" customHeight="1">
      <c r="C1023" s="153"/>
      <c r="D1023" s="153"/>
      <c r="I1023" s="154"/>
      <c r="J1023" s="154"/>
      <c r="K1023" s="154"/>
      <c r="L1023" s="154"/>
      <c r="M1023" s="154"/>
    </row>
    <row r="1024" ht="15.75" customHeight="1">
      <c r="C1024" s="153"/>
      <c r="D1024" s="153"/>
      <c r="I1024" s="154"/>
      <c r="J1024" s="154"/>
      <c r="K1024" s="154"/>
      <c r="L1024" s="154"/>
      <c r="M1024" s="154"/>
    </row>
    <row r="1025" ht="15.75" customHeight="1">
      <c r="C1025" s="153"/>
      <c r="D1025" s="153"/>
      <c r="I1025" s="154"/>
      <c r="J1025" s="154"/>
      <c r="K1025" s="154"/>
      <c r="L1025" s="154"/>
      <c r="M1025" s="154"/>
    </row>
    <row r="1026" ht="15.75" customHeight="1">
      <c r="C1026" s="153"/>
      <c r="D1026" s="153"/>
      <c r="I1026" s="154"/>
      <c r="J1026" s="154"/>
      <c r="K1026" s="154"/>
      <c r="L1026" s="154"/>
      <c r="M1026" s="154"/>
    </row>
    <row r="1027" ht="15.75" customHeight="1">
      <c r="C1027" s="153"/>
      <c r="D1027" s="153"/>
      <c r="I1027" s="154"/>
      <c r="J1027" s="154"/>
      <c r="K1027" s="154"/>
      <c r="L1027" s="154"/>
      <c r="M1027" s="154"/>
    </row>
    <row r="1028" ht="15.75" customHeight="1">
      <c r="C1028" s="153"/>
      <c r="D1028" s="153"/>
      <c r="I1028" s="154"/>
      <c r="J1028" s="154"/>
      <c r="K1028" s="154"/>
      <c r="L1028" s="154"/>
      <c r="M1028" s="154"/>
    </row>
    <row r="1029" ht="15.75" customHeight="1">
      <c r="C1029" s="153"/>
      <c r="D1029" s="153"/>
      <c r="I1029" s="154"/>
      <c r="J1029" s="154"/>
      <c r="K1029" s="154"/>
      <c r="L1029" s="154"/>
      <c r="M1029" s="154"/>
    </row>
    <row r="1030" ht="15.75" customHeight="1">
      <c r="C1030" s="153"/>
      <c r="D1030" s="153"/>
      <c r="I1030" s="154"/>
      <c r="J1030" s="154"/>
      <c r="K1030" s="154"/>
      <c r="L1030" s="154"/>
      <c r="M1030" s="154"/>
    </row>
    <row r="1031" ht="15.75" customHeight="1">
      <c r="C1031" s="153"/>
      <c r="D1031" s="153"/>
      <c r="I1031" s="154"/>
      <c r="J1031" s="154"/>
      <c r="K1031" s="154"/>
      <c r="L1031" s="154"/>
      <c r="M1031" s="154"/>
    </row>
    <row r="1032" ht="15.75" customHeight="1">
      <c r="C1032" s="153"/>
      <c r="D1032" s="153"/>
      <c r="I1032" s="154"/>
      <c r="J1032" s="154"/>
      <c r="K1032" s="154"/>
      <c r="L1032" s="154"/>
      <c r="M1032" s="154"/>
    </row>
    <row r="1033" ht="15.75" customHeight="1">
      <c r="C1033" s="153"/>
      <c r="D1033" s="153"/>
      <c r="I1033" s="154"/>
      <c r="J1033" s="154"/>
      <c r="K1033" s="154"/>
      <c r="L1033" s="154"/>
      <c r="M1033" s="154"/>
    </row>
    <row r="1034" ht="15.75" customHeight="1">
      <c r="C1034" s="153"/>
      <c r="D1034" s="153"/>
      <c r="I1034" s="154"/>
      <c r="J1034" s="154"/>
      <c r="K1034" s="154"/>
      <c r="L1034" s="154"/>
      <c r="M1034" s="154"/>
    </row>
    <row r="1035" ht="15.75" customHeight="1">
      <c r="C1035" s="153"/>
      <c r="D1035" s="153"/>
      <c r="I1035" s="154"/>
      <c r="J1035" s="154"/>
      <c r="K1035" s="154"/>
      <c r="L1035" s="154"/>
      <c r="M1035" s="154"/>
    </row>
    <row r="1036" ht="15.75" customHeight="1">
      <c r="C1036" s="153"/>
      <c r="D1036" s="153"/>
      <c r="I1036" s="154"/>
      <c r="J1036" s="154"/>
      <c r="K1036" s="154"/>
      <c r="L1036" s="154"/>
      <c r="M1036" s="154"/>
    </row>
    <row r="1037" ht="15.75" customHeight="1">
      <c r="C1037" s="153"/>
      <c r="D1037" s="153"/>
      <c r="I1037" s="154"/>
      <c r="J1037" s="154"/>
      <c r="K1037" s="154"/>
      <c r="L1037" s="154"/>
      <c r="M1037" s="154"/>
    </row>
    <row r="1038" ht="15.75" customHeight="1">
      <c r="C1038" s="153"/>
      <c r="D1038" s="153"/>
      <c r="I1038" s="154"/>
      <c r="J1038" s="154"/>
      <c r="K1038" s="154"/>
      <c r="L1038" s="154"/>
      <c r="M1038" s="154"/>
    </row>
    <row r="1039" ht="15.75" customHeight="1">
      <c r="C1039" s="153"/>
      <c r="D1039" s="153"/>
      <c r="I1039" s="154"/>
      <c r="J1039" s="154"/>
      <c r="K1039" s="154"/>
      <c r="L1039" s="154"/>
      <c r="M1039" s="154"/>
    </row>
    <row r="1040" ht="15.75" customHeight="1">
      <c r="C1040" s="153"/>
      <c r="D1040" s="153"/>
      <c r="I1040" s="154"/>
      <c r="J1040" s="154"/>
      <c r="K1040" s="154"/>
      <c r="L1040" s="154"/>
      <c r="M1040" s="154"/>
    </row>
    <row r="1041" ht="15.75" customHeight="1">
      <c r="C1041" s="153"/>
      <c r="D1041" s="153"/>
      <c r="I1041" s="154"/>
      <c r="J1041" s="154"/>
      <c r="K1041" s="154"/>
      <c r="L1041" s="154"/>
      <c r="M1041" s="154"/>
    </row>
    <row r="1042" ht="15.75" customHeight="1">
      <c r="C1042" s="153"/>
      <c r="D1042" s="153"/>
      <c r="I1042" s="154"/>
      <c r="J1042" s="154"/>
      <c r="K1042" s="154"/>
      <c r="L1042" s="154"/>
      <c r="M1042" s="154"/>
    </row>
    <row r="1043" ht="15.75" customHeight="1">
      <c r="C1043" s="153"/>
      <c r="D1043" s="153"/>
      <c r="I1043" s="154"/>
      <c r="J1043" s="154"/>
      <c r="K1043" s="154"/>
      <c r="L1043" s="154"/>
      <c r="M1043" s="154"/>
    </row>
    <row r="1044" ht="15.75" customHeight="1">
      <c r="C1044" s="153"/>
      <c r="D1044" s="153"/>
      <c r="I1044" s="154"/>
      <c r="J1044" s="154"/>
      <c r="K1044" s="154"/>
      <c r="L1044" s="154"/>
      <c r="M1044" s="15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17"/>
      <c r="F4" s="22">
        <v>46298.0</v>
      </c>
      <c r="G4" s="24"/>
      <c r="H4" s="26">
        <v>350000.0</v>
      </c>
      <c r="I4" s="28" t="s">
        <v>26</v>
      </c>
      <c r="J4" s="28" t="s">
        <v>28</v>
      </c>
      <c r="K4" s="28" t="s">
        <v>29</v>
      </c>
      <c r="L4" s="28" t="s">
        <v>30</v>
      </c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18" t="s">
        <v>31</v>
      </c>
      <c r="D5" s="18" t="s">
        <v>32</v>
      </c>
      <c r="E5" s="17"/>
      <c r="F5" s="28" t="s">
        <v>33</v>
      </c>
      <c r="G5" s="24"/>
      <c r="H5" s="26">
        <v>50000.0</v>
      </c>
      <c r="I5" s="28" t="s">
        <v>26</v>
      </c>
      <c r="J5" s="28" t="s">
        <v>28</v>
      </c>
      <c r="K5" s="28" t="s">
        <v>28</v>
      </c>
      <c r="L5" s="28" t="s">
        <v>34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36</v>
      </c>
      <c r="D6" s="18" t="s">
        <v>37</v>
      </c>
      <c r="E6" s="17"/>
      <c r="F6" s="28" t="s">
        <v>38</v>
      </c>
      <c r="G6" s="38" t="s">
        <v>39</v>
      </c>
      <c r="H6" s="26" t="s">
        <v>39</v>
      </c>
      <c r="I6" s="28" t="s">
        <v>26</v>
      </c>
      <c r="J6" s="28" t="s">
        <v>28</v>
      </c>
      <c r="K6" s="28" t="s">
        <v>28</v>
      </c>
      <c r="L6" s="28" t="s">
        <v>34</v>
      </c>
      <c r="M6" s="28" t="s">
        <v>40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41</v>
      </c>
      <c r="D7" s="18" t="s">
        <v>44</v>
      </c>
      <c r="E7" s="17"/>
      <c r="F7" s="28" t="s">
        <v>45</v>
      </c>
      <c r="G7" s="24"/>
      <c r="H7" s="26">
        <v>100000.0</v>
      </c>
      <c r="I7" s="28" t="s">
        <v>35</v>
      </c>
      <c r="J7" s="17"/>
      <c r="K7" s="17"/>
      <c r="L7" s="28" t="s">
        <v>34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50</v>
      </c>
      <c r="D8" s="18" t="s">
        <v>51</v>
      </c>
      <c r="E8" s="17"/>
      <c r="F8" s="28" t="s">
        <v>52</v>
      </c>
      <c r="G8" s="24"/>
      <c r="H8" s="26">
        <v>470000.0</v>
      </c>
      <c r="I8" s="28" t="s">
        <v>26</v>
      </c>
      <c r="J8" s="28" t="s">
        <v>28</v>
      </c>
      <c r="K8" s="28" t="s">
        <v>29</v>
      </c>
      <c r="L8" s="28" t="s">
        <v>34</v>
      </c>
      <c r="M8" s="28" t="s">
        <v>54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56</v>
      </c>
      <c r="D9" s="18" t="s">
        <v>23</v>
      </c>
      <c r="E9" s="17"/>
      <c r="F9" s="28" t="s">
        <v>47</v>
      </c>
      <c r="G9" s="24"/>
      <c r="H9" s="26">
        <v>250000.0</v>
      </c>
      <c r="I9" s="28" t="s">
        <v>26</v>
      </c>
      <c r="J9" s="28" t="s">
        <v>28</v>
      </c>
      <c r="K9" s="28" t="s">
        <v>29</v>
      </c>
      <c r="L9" s="28" t="s">
        <v>34</v>
      </c>
      <c r="M9" s="28" t="s">
        <v>40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57</v>
      </c>
      <c r="D10" s="18" t="s">
        <v>23</v>
      </c>
      <c r="E10" s="17"/>
      <c r="F10" s="28" t="s">
        <v>47</v>
      </c>
      <c r="G10" s="24"/>
      <c r="H10" s="26">
        <v>270000.0</v>
      </c>
      <c r="I10" s="28" t="s">
        <v>26</v>
      </c>
      <c r="J10" s="28" t="s">
        <v>28</v>
      </c>
      <c r="K10" s="28" t="s">
        <v>29</v>
      </c>
      <c r="L10" s="28" t="s">
        <v>34</v>
      </c>
      <c r="M10" s="28" t="s">
        <v>54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63</v>
      </c>
      <c r="D11" s="18" t="s">
        <v>23</v>
      </c>
      <c r="E11" s="17"/>
      <c r="F11" s="28" t="s">
        <v>47</v>
      </c>
      <c r="G11" s="24"/>
      <c r="H11" s="26">
        <v>270000.0</v>
      </c>
      <c r="I11" s="28" t="s">
        <v>26</v>
      </c>
      <c r="J11" s="28" t="s">
        <v>28</v>
      </c>
      <c r="K11" s="28" t="s">
        <v>29</v>
      </c>
      <c r="L11" s="28" t="s">
        <v>34</v>
      </c>
      <c r="M11" s="28" t="s">
        <v>54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65</v>
      </c>
      <c r="D12" s="18" t="s">
        <v>23</v>
      </c>
      <c r="E12" s="17"/>
      <c r="F12" s="48">
        <v>46299.0</v>
      </c>
      <c r="G12" s="24"/>
      <c r="H12" s="26">
        <v>250000.0</v>
      </c>
      <c r="I12" s="28" t="s">
        <v>26</v>
      </c>
      <c r="J12" s="28" t="s">
        <v>28</v>
      </c>
      <c r="K12" s="28" t="s">
        <v>29</v>
      </c>
      <c r="L12" s="28" t="s">
        <v>34</v>
      </c>
      <c r="M12" s="28" t="s">
        <v>40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70</v>
      </c>
      <c r="D13" s="18" t="s">
        <v>23</v>
      </c>
      <c r="E13" s="17"/>
      <c r="F13" s="48">
        <v>46299.0</v>
      </c>
      <c r="G13" s="24"/>
      <c r="H13" s="26">
        <v>290000.0</v>
      </c>
      <c r="I13" s="28" t="s">
        <v>26</v>
      </c>
      <c r="J13" s="28" t="s">
        <v>28</v>
      </c>
      <c r="K13" s="17"/>
      <c r="L13" s="28" t="s">
        <v>34</v>
      </c>
      <c r="M13" s="28" t="s">
        <v>73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75</v>
      </c>
      <c r="D14" s="18" t="s">
        <v>23</v>
      </c>
      <c r="E14" s="17"/>
      <c r="F14" s="48">
        <v>46299.0</v>
      </c>
      <c r="G14" s="24"/>
      <c r="H14" s="26">
        <v>270000.0</v>
      </c>
      <c r="I14" s="28" t="s">
        <v>26</v>
      </c>
      <c r="J14" s="28" t="s">
        <v>28</v>
      </c>
      <c r="K14" s="17"/>
      <c r="L14" s="28" t="s">
        <v>34</v>
      </c>
      <c r="M14" s="28" t="s">
        <v>77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80</v>
      </c>
      <c r="D15" s="18" t="s">
        <v>23</v>
      </c>
      <c r="E15" s="17"/>
      <c r="F15" s="48">
        <v>46299.0</v>
      </c>
      <c r="G15" s="38">
        <v>450000.0</v>
      </c>
      <c r="H15" s="26">
        <v>180000.0</v>
      </c>
      <c r="I15" s="28" t="s">
        <v>26</v>
      </c>
      <c r="J15" s="28" t="s">
        <v>28</v>
      </c>
      <c r="K15" s="28" t="s">
        <v>29</v>
      </c>
      <c r="L15" s="28" t="s">
        <v>34</v>
      </c>
      <c r="M15" s="28" t="s">
        <v>77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4" t="s">
        <v>82</v>
      </c>
      <c r="D16" s="18" t="s">
        <v>23</v>
      </c>
      <c r="E16" s="17"/>
      <c r="F16" s="48">
        <v>46299.0</v>
      </c>
      <c r="G16" s="38">
        <v>250000.0</v>
      </c>
      <c r="H16" s="56"/>
      <c r="I16" s="28" t="s">
        <v>26</v>
      </c>
      <c r="J16" s="28" t="s">
        <v>28</v>
      </c>
      <c r="K16" s="17"/>
      <c r="L16" s="28" t="s">
        <v>34</v>
      </c>
      <c r="M16" s="28" t="s">
        <v>73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86</v>
      </c>
      <c r="D17" s="18" t="s">
        <v>23</v>
      </c>
      <c r="E17" s="17"/>
      <c r="F17" s="48">
        <v>46299.0</v>
      </c>
      <c r="G17" s="38">
        <v>370000.0</v>
      </c>
      <c r="H17" s="56"/>
      <c r="I17" s="28" t="s">
        <v>26</v>
      </c>
      <c r="J17" s="28" t="s">
        <v>28</v>
      </c>
      <c r="K17" s="17"/>
      <c r="L17" s="17"/>
      <c r="M17" s="28" t="s">
        <v>54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89</v>
      </c>
      <c r="D18" s="18" t="s">
        <v>23</v>
      </c>
      <c r="E18" s="17"/>
      <c r="F18" s="48">
        <v>46299.0</v>
      </c>
      <c r="G18" s="38">
        <v>290000.0</v>
      </c>
      <c r="H18" s="56"/>
      <c r="I18" s="28" t="s">
        <v>26</v>
      </c>
      <c r="J18" s="28" t="s">
        <v>28</v>
      </c>
      <c r="K18" s="17"/>
      <c r="L18" s="17"/>
      <c r="M18" s="28" t="s">
        <v>40</v>
      </c>
      <c r="N18" s="37"/>
      <c r="O18" s="37"/>
      <c r="P18" s="37"/>
      <c r="Q18" s="59"/>
      <c r="R18" s="1"/>
    </row>
    <row r="19" ht="15.75" customHeight="1">
      <c r="A19" s="1"/>
      <c r="B19" s="17">
        <v>16.0</v>
      </c>
      <c r="C19" s="60" t="s">
        <v>92</v>
      </c>
      <c r="D19" s="18" t="s">
        <v>23</v>
      </c>
      <c r="E19" s="17"/>
      <c r="F19" s="48">
        <v>46299.0</v>
      </c>
      <c r="G19" s="38">
        <v>460000.0</v>
      </c>
      <c r="H19" s="56"/>
      <c r="I19" s="28" t="s">
        <v>26</v>
      </c>
      <c r="J19" s="28" t="s">
        <v>28</v>
      </c>
      <c r="K19" s="17"/>
      <c r="L19" s="28" t="s">
        <v>34</v>
      </c>
      <c r="M19" s="28" t="s">
        <v>40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97</v>
      </c>
      <c r="D20" s="18" t="s">
        <v>24</v>
      </c>
      <c r="E20" s="17"/>
      <c r="F20" s="48">
        <v>46299.0</v>
      </c>
      <c r="G20" s="24"/>
      <c r="H20" s="26">
        <v>610000.0</v>
      </c>
      <c r="I20" s="28" t="s">
        <v>26</v>
      </c>
      <c r="J20" s="28" t="s">
        <v>28</v>
      </c>
      <c r="K20" s="17"/>
      <c r="L20" s="28" t="s">
        <v>34</v>
      </c>
      <c r="M20" s="28" t="s">
        <v>73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8" t="s">
        <v>99</v>
      </c>
      <c r="D21" s="18" t="s">
        <v>23</v>
      </c>
      <c r="E21" s="17"/>
      <c r="F21" s="48">
        <v>46299.0</v>
      </c>
      <c r="G21" s="24"/>
      <c r="H21" s="26">
        <v>270000.0</v>
      </c>
      <c r="I21" s="28" t="s">
        <v>26</v>
      </c>
      <c r="J21" s="28" t="s">
        <v>28</v>
      </c>
      <c r="K21" s="17"/>
      <c r="L21" s="28" t="s">
        <v>34</v>
      </c>
      <c r="M21" s="28" t="s">
        <v>77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4" t="s">
        <v>102</v>
      </c>
      <c r="D22" s="18" t="s">
        <v>23</v>
      </c>
      <c r="E22" s="17"/>
      <c r="F22" s="48">
        <v>46299.0</v>
      </c>
      <c r="G22" s="38">
        <v>270000.0</v>
      </c>
      <c r="H22" s="56"/>
      <c r="I22" s="28" t="s">
        <v>26</v>
      </c>
      <c r="J22" s="28" t="s">
        <v>28</v>
      </c>
      <c r="K22" s="28" t="s">
        <v>29</v>
      </c>
      <c r="L22" s="28" t="s">
        <v>34</v>
      </c>
      <c r="M22" s="28" t="s">
        <v>54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8" t="s">
        <v>104</v>
      </c>
      <c r="D23" s="65"/>
      <c r="E23" s="17"/>
      <c r="F23" s="48">
        <v>46299.0</v>
      </c>
      <c r="G23" s="24"/>
      <c r="H23" s="26">
        <v>330000.0</v>
      </c>
      <c r="I23" s="28" t="s">
        <v>26</v>
      </c>
      <c r="J23" s="28" t="s">
        <v>28</v>
      </c>
      <c r="K23" s="28" t="s">
        <v>29</v>
      </c>
      <c r="L23" s="28" t="s">
        <v>34</v>
      </c>
      <c r="M23" s="28" t="s">
        <v>73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8" t="s">
        <v>108</v>
      </c>
      <c r="D24" s="65"/>
      <c r="E24" s="17"/>
      <c r="F24" s="48">
        <v>46299.0</v>
      </c>
      <c r="G24" s="38">
        <v>250000.0</v>
      </c>
      <c r="H24" s="56"/>
      <c r="I24" s="28" t="s">
        <v>26</v>
      </c>
      <c r="J24" s="28" t="s">
        <v>28</v>
      </c>
      <c r="K24" s="17"/>
      <c r="L24" s="28" t="s">
        <v>34</v>
      </c>
      <c r="M24" s="28" t="s">
        <v>54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8" t="s">
        <v>110</v>
      </c>
      <c r="D25" s="18" t="s">
        <v>23</v>
      </c>
      <c r="E25" s="17"/>
      <c r="F25" s="48">
        <v>46299.0</v>
      </c>
      <c r="G25" s="38">
        <v>290000.0</v>
      </c>
      <c r="H25" s="56"/>
      <c r="I25" s="28" t="s">
        <v>26</v>
      </c>
      <c r="J25" s="28" t="s">
        <v>28</v>
      </c>
      <c r="K25" s="17"/>
      <c r="L25" s="28" t="s">
        <v>34</v>
      </c>
      <c r="M25" s="28" t="s">
        <v>40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8" t="s">
        <v>112</v>
      </c>
      <c r="D26" s="18" t="s">
        <v>23</v>
      </c>
      <c r="E26" s="17"/>
      <c r="F26" s="48">
        <v>46299.0</v>
      </c>
      <c r="G26" s="24"/>
      <c r="H26" s="26">
        <v>250000.0</v>
      </c>
      <c r="I26" s="28" t="s">
        <v>26</v>
      </c>
      <c r="J26" s="28" t="s">
        <v>28</v>
      </c>
      <c r="K26" s="28" t="s">
        <v>29</v>
      </c>
      <c r="L26" s="28" t="s">
        <v>34</v>
      </c>
      <c r="M26" s="28" t="s">
        <v>77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4" t="s">
        <v>114</v>
      </c>
      <c r="D27" s="18" t="s">
        <v>23</v>
      </c>
      <c r="E27" s="17"/>
      <c r="F27" s="48">
        <v>46299.0</v>
      </c>
      <c r="G27" s="38">
        <v>430000.0</v>
      </c>
      <c r="H27" s="56"/>
      <c r="I27" s="28" t="s">
        <v>26</v>
      </c>
      <c r="J27" s="28" t="s">
        <v>28</v>
      </c>
      <c r="K27" s="17"/>
      <c r="L27" s="28" t="s">
        <v>34</v>
      </c>
      <c r="M27" s="28" t="s">
        <v>73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4" t="s">
        <v>115</v>
      </c>
      <c r="D28" s="18" t="s">
        <v>23</v>
      </c>
      <c r="E28" s="17"/>
      <c r="F28" s="48">
        <v>46299.0</v>
      </c>
      <c r="G28" s="24"/>
      <c r="H28" s="26">
        <v>150000.0</v>
      </c>
      <c r="I28" s="28" t="s">
        <v>26</v>
      </c>
      <c r="J28" s="28" t="s">
        <v>28</v>
      </c>
      <c r="K28" s="17"/>
      <c r="L28" s="28" t="s">
        <v>34</v>
      </c>
      <c r="M28" s="28" t="s">
        <v>77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8" t="s">
        <v>117</v>
      </c>
      <c r="D29" s="18" t="s">
        <v>23</v>
      </c>
      <c r="E29" s="17"/>
      <c r="F29" s="48">
        <v>46299.0</v>
      </c>
      <c r="G29" s="24"/>
      <c r="H29" s="26">
        <v>350000.0</v>
      </c>
      <c r="I29" s="28" t="s">
        <v>26</v>
      </c>
      <c r="J29" s="28" t="s">
        <v>28</v>
      </c>
      <c r="K29" s="17"/>
      <c r="L29" s="17"/>
      <c r="M29" s="28" t="s">
        <v>40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4" t="s">
        <v>119</v>
      </c>
      <c r="D30" s="65"/>
      <c r="E30" s="17"/>
      <c r="F30" s="48">
        <v>46299.0</v>
      </c>
      <c r="G30" s="38">
        <v>250000.0</v>
      </c>
      <c r="H30" s="56"/>
      <c r="I30" s="28" t="s">
        <v>26</v>
      </c>
      <c r="J30" s="28" t="s">
        <v>28</v>
      </c>
      <c r="K30" s="17"/>
      <c r="L30" s="28" t="s">
        <v>34</v>
      </c>
      <c r="M30" s="28" t="s">
        <v>73</v>
      </c>
      <c r="N30" s="37"/>
      <c r="O30" s="37"/>
      <c r="P30" s="37"/>
      <c r="Q30" s="59"/>
      <c r="R30" s="1"/>
    </row>
    <row r="31" ht="15.75" customHeight="1">
      <c r="A31" s="1"/>
      <c r="B31" s="17">
        <v>28.0</v>
      </c>
      <c r="C31" s="18" t="s">
        <v>120</v>
      </c>
      <c r="D31" s="18" t="s">
        <v>23</v>
      </c>
      <c r="E31" s="17"/>
      <c r="F31" s="48">
        <v>46299.0</v>
      </c>
      <c r="G31" s="24"/>
      <c r="H31" s="26">
        <v>310000.0</v>
      </c>
      <c r="I31" s="28" t="s">
        <v>26</v>
      </c>
      <c r="J31" s="28" t="s">
        <v>28</v>
      </c>
      <c r="K31" s="17"/>
      <c r="L31" s="28" t="s">
        <v>34</v>
      </c>
      <c r="M31" s="28" t="s">
        <v>77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4" t="s">
        <v>123</v>
      </c>
      <c r="D32" s="18" t="s">
        <v>23</v>
      </c>
      <c r="E32" s="17"/>
      <c r="F32" s="77"/>
      <c r="G32" s="24"/>
      <c r="H32" s="26">
        <v>330000.0</v>
      </c>
      <c r="I32" s="28" t="s">
        <v>26</v>
      </c>
      <c r="J32" s="28" t="s">
        <v>28</v>
      </c>
      <c r="K32" s="17"/>
      <c r="L32" s="28" t="s">
        <v>34</v>
      </c>
      <c r="M32" s="28" t="s">
        <v>40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8" t="s">
        <v>126</v>
      </c>
      <c r="D33" s="18" t="s">
        <v>23</v>
      </c>
      <c r="E33" s="17"/>
      <c r="F33" s="48">
        <v>46299.0</v>
      </c>
      <c r="G33" s="38">
        <v>250000.0</v>
      </c>
      <c r="H33" s="56"/>
      <c r="I33" s="28" t="s">
        <v>26</v>
      </c>
      <c r="J33" s="28" t="s">
        <v>28</v>
      </c>
      <c r="K33" s="17"/>
      <c r="L33" s="28" t="s">
        <v>34</v>
      </c>
      <c r="M33" s="28" t="s">
        <v>73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8" t="s">
        <v>128</v>
      </c>
      <c r="D34" s="18" t="s">
        <v>23</v>
      </c>
      <c r="E34" s="17"/>
      <c r="F34" s="48">
        <v>46299.0</v>
      </c>
      <c r="G34" s="38">
        <v>250000.0</v>
      </c>
      <c r="H34" s="56"/>
      <c r="I34" s="28" t="s">
        <v>26</v>
      </c>
      <c r="J34" s="28" t="s">
        <v>28</v>
      </c>
      <c r="K34" s="28" t="s">
        <v>29</v>
      </c>
      <c r="L34" s="28" t="s">
        <v>34</v>
      </c>
      <c r="M34" s="28" t="s">
        <v>77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8" t="s">
        <v>131</v>
      </c>
      <c r="D35" s="18" t="s">
        <v>24</v>
      </c>
      <c r="E35" s="17"/>
      <c r="F35" s="48">
        <v>46299.0</v>
      </c>
      <c r="G35" s="38">
        <v>420000.0</v>
      </c>
      <c r="H35" s="56"/>
      <c r="I35" s="28" t="s">
        <v>26</v>
      </c>
      <c r="J35" s="28" t="s">
        <v>28</v>
      </c>
      <c r="K35" s="28" t="s">
        <v>29</v>
      </c>
      <c r="L35" s="28" t="s">
        <v>34</v>
      </c>
      <c r="M35" s="28" t="s">
        <v>54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8" t="s">
        <v>134</v>
      </c>
      <c r="D36" s="18" t="s">
        <v>24</v>
      </c>
      <c r="E36" s="17"/>
      <c r="F36" s="48">
        <v>46299.0</v>
      </c>
      <c r="G36" s="38">
        <v>580000.0</v>
      </c>
      <c r="H36" s="56"/>
      <c r="I36" s="28" t="s">
        <v>26</v>
      </c>
      <c r="J36" s="28" t="s">
        <v>28</v>
      </c>
      <c r="K36" s="28" t="s">
        <v>29</v>
      </c>
      <c r="L36" s="28" t="s">
        <v>34</v>
      </c>
      <c r="M36" s="28" t="s">
        <v>40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4" t="s">
        <v>136</v>
      </c>
      <c r="D37" s="18" t="s">
        <v>23</v>
      </c>
      <c r="E37" s="17"/>
      <c r="F37" s="48">
        <v>46299.0</v>
      </c>
      <c r="G37" s="38">
        <v>430000.0</v>
      </c>
      <c r="H37" s="56"/>
      <c r="I37" s="28" t="s">
        <v>26</v>
      </c>
      <c r="J37" s="28" t="s">
        <v>28</v>
      </c>
      <c r="K37" s="17"/>
      <c r="L37" s="28" t="s">
        <v>34</v>
      </c>
      <c r="M37" s="28" t="s">
        <v>73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8" t="s">
        <v>139</v>
      </c>
      <c r="D38" s="18" t="s">
        <v>23</v>
      </c>
      <c r="E38" s="17"/>
      <c r="F38" s="48">
        <v>46299.0</v>
      </c>
      <c r="G38" s="38">
        <v>330000.0</v>
      </c>
      <c r="H38" s="56"/>
      <c r="I38" s="28" t="s">
        <v>26</v>
      </c>
      <c r="J38" s="28" t="s">
        <v>28</v>
      </c>
      <c r="K38" s="17"/>
      <c r="L38" s="17"/>
      <c r="M38" s="28" t="s">
        <v>73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8" t="s">
        <v>141</v>
      </c>
      <c r="D39" s="18" t="s">
        <v>23</v>
      </c>
      <c r="E39" s="17"/>
      <c r="F39" s="48">
        <v>46299.0</v>
      </c>
      <c r="G39" s="24"/>
      <c r="H39" s="26">
        <v>270000.0</v>
      </c>
      <c r="I39" s="28" t="s">
        <v>26</v>
      </c>
      <c r="J39" s="28" t="s">
        <v>28</v>
      </c>
      <c r="K39" s="17"/>
      <c r="L39" s="28" t="s">
        <v>34</v>
      </c>
      <c r="M39" s="28" t="s">
        <v>77</v>
      </c>
      <c r="N39" s="37"/>
      <c r="O39" s="37"/>
      <c r="P39" s="37"/>
      <c r="Q39" s="1"/>
      <c r="R39" s="1"/>
    </row>
    <row r="40" ht="15.75" customHeight="1">
      <c r="A40" s="1"/>
      <c r="B40" s="28">
        <v>37.0</v>
      </c>
      <c r="C40" s="18" t="s">
        <v>148</v>
      </c>
      <c r="D40" s="18" t="s">
        <v>23</v>
      </c>
      <c r="E40" s="17"/>
      <c r="F40" s="48">
        <v>46299.0</v>
      </c>
      <c r="G40" s="38" t="s">
        <v>39</v>
      </c>
      <c r="H40" s="26" t="s">
        <v>39</v>
      </c>
      <c r="I40" s="28" t="s">
        <v>26</v>
      </c>
      <c r="J40" s="28" t="s">
        <v>28</v>
      </c>
      <c r="K40" s="28" t="s">
        <v>29</v>
      </c>
      <c r="L40" s="28" t="s">
        <v>34</v>
      </c>
      <c r="M40" s="28" t="s">
        <v>73</v>
      </c>
      <c r="N40" s="37"/>
      <c r="O40" s="37"/>
      <c r="P40" s="37"/>
      <c r="Q40" s="1"/>
      <c r="R40" s="1"/>
    </row>
    <row r="41" ht="15.75" customHeight="1">
      <c r="A41" s="1"/>
      <c r="B41" s="28">
        <v>38.0</v>
      </c>
      <c r="C41" s="101" t="s">
        <v>154</v>
      </c>
      <c r="D41" s="18" t="s">
        <v>23</v>
      </c>
      <c r="E41" s="17"/>
      <c r="F41" s="48"/>
      <c r="G41" s="24"/>
      <c r="H41" s="26">
        <v>290000.0</v>
      </c>
      <c r="I41" s="28" t="s">
        <v>26</v>
      </c>
      <c r="J41" s="28" t="s">
        <v>28</v>
      </c>
      <c r="K41" s="28" t="s">
        <v>29</v>
      </c>
      <c r="L41" s="28" t="s">
        <v>34</v>
      </c>
      <c r="M41" s="28" t="s">
        <v>77</v>
      </c>
      <c r="N41" s="37"/>
      <c r="O41" s="37"/>
      <c r="P41" s="37"/>
      <c r="Q41" s="1"/>
      <c r="R41" s="1"/>
    </row>
    <row r="42" ht="15.75" customHeight="1">
      <c r="A42" s="1"/>
      <c r="B42" s="17"/>
      <c r="C42" s="18" t="s">
        <v>156</v>
      </c>
      <c r="D42" s="18" t="s">
        <v>23</v>
      </c>
      <c r="E42" s="17"/>
      <c r="F42" s="48"/>
      <c r="G42" s="24"/>
      <c r="H42" s="26">
        <v>310000.0</v>
      </c>
      <c r="I42" s="28" t="s">
        <v>26</v>
      </c>
      <c r="J42" s="28" t="s">
        <v>28</v>
      </c>
      <c r="K42" s="28" t="s">
        <v>29</v>
      </c>
      <c r="L42" s="28" t="s">
        <v>34</v>
      </c>
      <c r="M42" s="28" t="s">
        <v>40</v>
      </c>
      <c r="N42" s="37"/>
      <c r="O42" s="37"/>
      <c r="P42" s="37"/>
      <c r="Q42" s="1"/>
      <c r="R42" s="1"/>
    </row>
    <row r="43" ht="15.75" customHeight="1">
      <c r="A43" s="1"/>
      <c r="B43" s="17"/>
      <c r="C43" s="18" t="s">
        <v>157</v>
      </c>
      <c r="D43" s="65"/>
      <c r="E43" s="17"/>
      <c r="F43" s="77"/>
      <c r="G43" s="24"/>
      <c r="H43" s="26">
        <v>350000.0</v>
      </c>
      <c r="I43" s="28" t="s">
        <v>26</v>
      </c>
      <c r="J43" s="28" t="s">
        <v>28</v>
      </c>
      <c r="K43" s="17"/>
      <c r="L43" s="28" t="s">
        <v>34</v>
      </c>
      <c r="M43" s="28" t="s">
        <v>40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8" t="s">
        <v>159</v>
      </c>
      <c r="D44" s="18" t="s">
        <v>87</v>
      </c>
      <c r="E44" s="17"/>
      <c r="F44" s="28" t="s">
        <v>45</v>
      </c>
      <c r="G44" s="24"/>
      <c r="H44" s="26">
        <v>150000.0</v>
      </c>
      <c r="I44" s="28" t="s">
        <v>26</v>
      </c>
      <c r="J44" s="17"/>
      <c r="K44" s="17"/>
      <c r="L44" s="28" t="s">
        <v>34</v>
      </c>
      <c r="M44" s="28" t="s">
        <v>40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8" t="s">
        <v>161</v>
      </c>
      <c r="D45" s="18" t="s">
        <v>23</v>
      </c>
      <c r="E45" s="17"/>
      <c r="F45" s="48">
        <v>46299.0</v>
      </c>
      <c r="G45" s="38">
        <v>370000.0</v>
      </c>
      <c r="H45" s="56"/>
      <c r="I45" s="28" t="s">
        <v>26</v>
      </c>
      <c r="J45" s="28" t="s">
        <v>28</v>
      </c>
      <c r="K45" s="28" t="s">
        <v>29</v>
      </c>
      <c r="L45" s="28" t="s">
        <v>30</v>
      </c>
      <c r="M45" s="28" t="s">
        <v>54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8" t="s">
        <v>163</v>
      </c>
      <c r="D46" s="18" t="s">
        <v>23</v>
      </c>
      <c r="E46" s="17"/>
      <c r="F46" s="48">
        <v>46299.0</v>
      </c>
      <c r="G46" s="38">
        <v>0.0</v>
      </c>
      <c r="H46" s="26">
        <v>0.0</v>
      </c>
      <c r="I46" s="28" t="s">
        <v>26</v>
      </c>
      <c r="J46" s="28" t="s">
        <v>28</v>
      </c>
      <c r="K46" s="28" t="s">
        <v>29</v>
      </c>
      <c r="L46" s="28" t="s">
        <v>30</v>
      </c>
      <c r="M46" s="28" t="s">
        <v>40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8" t="s">
        <v>164</v>
      </c>
      <c r="D47" s="18" t="s">
        <v>23</v>
      </c>
      <c r="E47" s="17"/>
      <c r="F47" s="48">
        <v>46299.0</v>
      </c>
      <c r="G47" s="38">
        <v>270000.0</v>
      </c>
      <c r="H47" s="56"/>
      <c r="I47" s="28" t="s">
        <v>26</v>
      </c>
      <c r="J47" s="28" t="s">
        <v>28</v>
      </c>
      <c r="K47" s="28" t="s">
        <v>29</v>
      </c>
      <c r="L47" s="28" t="s">
        <v>30</v>
      </c>
      <c r="M47" s="28" t="s">
        <v>54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8" t="s">
        <v>166</v>
      </c>
      <c r="D48" s="18" t="s">
        <v>23</v>
      </c>
      <c r="E48" s="17"/>
      <c r="F48" s="48">
        <v>46299.0</v>
      </c>
      <c r="G48" s="38">
        <v>430000.0</v>
      </c>
      <c r="H48" s="56"/>
      <c r="I48" s="28" t="s">
        <v>26</v>
      </c>
      <c r="J48" s="28" t="s">
        <v>28</v>
      </c>
      <c r="K48" s="28" t="s">
        <v>29</v>
      </c>
      <c r="L48" s="28" t="s">
        <v>30</v>
      </c>
      <c r="M48" s="28" t="s">
        <v>77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8" t="s">
        <v>168</v>
      </c>
      <c r="D49" s="18" t="s">
        <v>23</v>
      </c>
      <c r="E49" s="17"/>
      <c r="F49" s="48">
        <v>46299.0</v>
      </c>
      <c r="G49" s="38">
        <v>250000.0</v>
      </c>
      <c r="H49" s="56"/>
      <c r="I49" s="28" t="s">
        <v>26</v>
      </c>
      <c r="J49" s="28" t="s">
        <v>28</v>
      </c>
      <c r="K49" s="28" t="s">
        <v>29</v>
      </c>
      <c r="L49" s="28" t="s">
        <v>30</v>
      </c>
      <c r="M49" s="28" t="s">
        <v>77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8" t="s">
        <v>169</v>
      </c>
      <c r="D50" s="18" t="s">
        <v>23</v>
      </c>
      <c r="E50" s="17"/>
      <c r="F50" s="48">
        <v>46299.0</v>
      </c>
      <c r="G50" s="24"/>
      <c r="H50" s="26">
        <v>530000.0</v>
      </c>
      <c r="I50" s="28" t="s">
        <v>26</v>
      </c>
      <c r="J50" s="28" t="s">
        <v>28</v>
      </c>
      <c r="K50" s="28" t="s">
        <v>29</v>
      </c>
      <c r="L50" s="28" t="s">
        <v>30</v>
      </c>
      <c r="M50" s="28" t="s">
        <v>73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8" t="s">
        <v>171</v>
      </c>
      <c r="D51" s="18" t="s">
        <v>23</v>
      </c>
      <c r="E51" s="17"/>
      <c r="F51" s="48">
        <v>46299.0</v>
      </c>
      <c r="G51" s="38">
        <v>330000.0</v>
      </c>
      <c r="H51" s="56"/>
      <c r="I51" s="28" t="s">
        <v>26</v>
      </c>
      <c r="J51" s="28" t="s">
        <v>28</v>
      </c>
      <c r="K51" s="28" t="s">
        <v>29</v>
      </c>
      <c r="L51" s="28" t="s">
        <v>30</v>
      </c>
      <c r="M51" s="28" t="s">
        <v>54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8" t="s">
        <v>172</v>
      </c>
      <c r="D52" s="18" t="s">
        <v>23</v>
      </c>
      <c r="E52" s="17"/>
      <c r="F52" s="48">
        <v>46299.0</v>
      </c>
      <c r="G52" s="38">
        <v>390000.0</v>
      </c>
      <c r="H52" s="56"/>
      <c r="I52" s="28" t="s">
        <v>26</v>
      </c>
      <c r="J52" s="28" t="s">
        <v>28</v>
      </c>
      <c r="K52" s="28" t="s">
        <v>29</v>
      </c>
      <c r="L52" s="28" t="s">
        <v>30</v>
      </c>
      <c r="M52" s="28" t="s">
        <v>54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8" t="s">
        <v>174</v>
      </c>
      <c r="D53" s="18" t="s">
        <v>23</v>
      </c>
      <c r="E53" s="17"/>
      <c r="F53" s="48">
        <v>46299.0</v>
      </c>
      <c r="G53" s="38">
        <v>350000.0</v>
      </c>
      <c r="H53" s="56"/>
      <c r="I53" s="28" t="s">
        <v>26</v>
      </c>
      <c r="J53" s="28" t="s">
        <v>28</v>
      </c>
      <c r="K53" s="28" t="s">
        <v>29</v>
      </c>
      <c r="L53" s="28" t="s">
        <v>30</v>
      </c>
      <c r="M53" s="28" t="s">
        <v>54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8" t="s">
        <v>176</v>
      </c>
      <c r="D54" s="18" t="s">
        <v>24</v>
      </c>
      <c r="E54" s="17"/>
      <c r="F54" s="48">
        <v>46299.0</v>
      </c>
      <c r="G54" s="38">
        <v>420000.0</v>
      </c>
      <c r="H54" s="56"/>
      <c r="I54" s="28" t="s">
        <v>26</v>
      </c>
      <c r="J54" s="28" t="s">
        <v>28</v>
      </c>
      <c r="K54" s="28" t="s">
        <v>29</v>
      </c>
      <c r="L54" s="28" t="s">
        <v>30</v>
      </c>
      <c r="M54" s="28" t="s">
        <v>54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8" t="s">
        <v>177</v>
      </c>
      <c r="D55" s="18" t="s">
        <v>46</v>
      </c>
      <c r="E55" s="17"/>
      <c r="F55" s="48">
        <v>46299.0</v>
      </c>
      <c r="G55" s="24"/>
      <c r="H55" s="26">
        <v>100000.0</v>
      </c>
      <c r="I55" s="28" t="s">
        <v>35</v>
      </c>
      <c r="J55" s="17"/>
      <c r="K55" s="17"/>
      <c r="L55" s="28" t="s">
        <v>30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8" t="s">
        <v>179</v>
      </c>
      <c r="D56" s="18" t="s">
        <v>23</v>
      </c>
      <c r="E56" s="28" t="s">
        <v>180</v>
      </c>
      <c r="F56" s="48">
        <v>46299.0</v>
      </c>
      <c r="G56" s="24"/>
      <c r="H56" s="26">
        <v>410000.0</v>
      </c>
      <c r="I56" s="28" t="s">
        <v>26</v>
      </c>
      <c r="J56" s="28" t="s">
        <v>28</v>
      </c>
      <c r="K56" s="28" t="s">
        <v>29</v>
      </c>
      <c r="L56" s="28" t="s">
        <v>30</v>
      </c>
      <c r="M56" s="28" t="s">
        <v>54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8" t="s">
        <v>181</v>
      </c>
      <c r="D57" s="18" t="s">
        <v>23</v>
      </c>
      <c r="E57" s="17"/>
      <c r="F57" s="48">
        <v>46301.0</v>
      </c>
      <c r="G57" s="24"/>
      <c r="H57" s="26">
        <v>100000.0</v>
      </c>
      <c r="I57" s="28" t="s">
        <v>35</v>
      </c>
      <c r="J57" s="17"/>
      <c r="K57" s="17"/>
      <c r="L57" s="28" t="s">
        <v>30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8" t="s">
        <v>183</v>
      </c>
      <c r="D58" s="18" t="s">
        <v>23</v>
      </c>
      <c r="E58" s="17"/>
      <c r="F58" s="28" t="s">
        <v>25</v>
      </c>
      <c r="G58" s="24"/>
      <c r="H58" s="26">
        <v>410000.0</v>
      </c>
      <c r="I58" s="28" t="s">
        <v>26</v>
      </c>
      <c r="J58" s="28" t="s">
        <v>28</v>
      </c>
      <c r="K58" s="28" t="s">
        <v>29</v>
      </c>
      <c r="L58" s="28" t="s">
        <v>34</v>
      </c>
      <c r="M58" s="28" t="s">
        <v>40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8" t="s">
        <v>184</v>
      </c>
      <c r="D59" s="18" t="s">
        <v>24</v>
      </c>
      <c r="E59" s="17"/>
      <c r="F59" s="28" t="s">
        <v>33</v>
      </c>
      <c r="G59" s="24"/>
      <c r="H59" s="26">
        <v>150000.0</v>
      </c>
      <c r="I59" s="28" t="s">
        <v>26</v>
      </c>
      <c r="J59" s="28" t="s">
        <v>28</v>
      </c>
      <c r="K59" s="28" t="s">
        <v>29</v>
      </c>
      <c r="L59" s="28" t="s">
        <v>34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65"/>
      <c r="D60" s="65"/>
      <c r="E60" s="17"/>
      <c r="F60" s="77"/>
      <c r="G60" s="24"/>
      <c r="H60" s="56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65"/>
      <c r="D61" s="65"/>
      <c r="E61" s="17"/>
      <c r="F61" s="77"/>
      <c r="G61" s="24"/>
      <c r="H61" s="56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65"/>
      <c r="D62" s="65"/>
      <c r="E62" s="17"/>
      <c r="F62" s="77"/>
      <c r="G62" s="24"/>
      <c r="H62" s="56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65"/>
      <c r="D63" s="65"/>
      <c r="E63" s="17"/>
      <c r="F63" s="77"/>
      <c r="G63" s="24"/>
      <c r="H63" s="56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65"/>
      <c r="D64" s="65"/>
      <c r="E64" s="17"/>
      <c r="F64" s="77"/>
      <c r="G64" s="24"/>
      <c r="H64" s="56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65"/>
      <c r="D65" s="65"/>
      <c r="E65" s="17"/>
      <c r="F65" s="77"/>
      <c r="G65" s="24"/>
      <c r="H65" s="56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65"/>
      <c r="D66" s="65"/>
      <c r="E66" s="17"/>
      <c r="F66" s="77"/>
      <c r="G66" s="24"/>
      <c r="H66" s="56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65"/>
      <c r="D67" s="65"/>
      <c r="E67" s="17"/>
      <c r="F67" s="77"/>
      <c r="G67" s="24"/>
      <c r="H67" s="56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65"/>
      <c r="D68" s="65"/>
      <c r="E68" s="17"/>
      <c r="F68" s="77"/>
      <c r="G68" s="24"/>
      <c r="H68" s="56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65"/>
      <c r="D69" s="65"/>
      <c r="E69" s="17"/>
      <c r="F69" s="77"/>
      <c r="G69" s="24"/>
      <c r="H69" s="56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65"/>
      <c r="D70" s="65"/>
      <c r="E70" s="17"/>
      <c r="F70" s="77"/>
      <c r="G70" s="24"/>
      <c r="H70" s="56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65"/>
      <c r="D71" s="65"/>
      <c r="E71" s="17"/>
      <c r="F71" s="77"/>
      <c r="G71" s="24"/>
      <c r="H71" s="56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65"/>
      <c r="D72" s="65"/>
      <c r="E72" s="17"/>
      <c r="F72" s="77"/>
      <c r="G72" s="24"/>
      <c r="H72" s="56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65"/>
      <c r="D73" s="65"/>
      <c r="E73" s="17"/>
      <c r="F73" s="77"/>
      <c r="G73" s="24"/>
      <c r="H73" s="56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65"/>
      <c r="D74" s="65"/>
      <c r="E74" s="17"/>
      <c r="F74" s="77"/>
      <c r="G74" s="24"/>
      <c r="H74" s="56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1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65" t="s">
        <v>7</v>
      </c>
      <c r="D78" s="74" t="s">
        <v>121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122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124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127</v>
      </c>
      <c r="O79" s="29"/>
      <c r="P79" s="1"/>
      <c r="Q79" s="1"/>
      <c r="R79" s="1"/>
    </row>
    <row r="80" ht="15.75" customHeight="1">
      <c r="A80" s="1"/>
      <c r="B80" s="82">
        <v>2.0</v>
      </c>
      <c r="C80" s="134" t="s">
        <v>205</v>
      </c>
      <c r="D80" s="135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6" t="s">
        <v>130</v>
      </c>
      <c r="O80" s="136"/>
      <c r="P80" s="1"/>
      <c r="Q80" s="1"/>
      <c r="R80" s="1"/>
    </row>
    <row r="81" ht="15.75" customHeight="1">
      <c r="A81" s="1"/>
      <c r="B81" s="75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88" t="s">
        <v>132</v>
      </c>
      <c r="O81" s="37"/>
      <c r="P81" s="1"/>
      <c r="Q81" s="1"/>
      <c r="R81" s="1"/>
    </row>
    <row r="82" ht="15.75" customHeight="1">
      <c r="A82" s="1"/>
      <c r="B82" s="82">
        <v>4.0</v>
      </c>
      <c r="C82" s="76"/>
      <c r="D82" s="91"/>
      <c r="E82" s="79"/>
      <c r="F82" s="1"/>
      <c r="G82" s="1"/>
      <c r="H82" s="1"/>
      <c r="I82" s="1"/>
      <c r="J82" s="1"/>
      <c r="K82" s="1"/>
      <c r="L82" s="1"/>
      <c r="M82" s="1"/>
      <c r="N82" s="93" t="s">
        <v>135</v>
      </c>
      <c r="O82" s="136"/>
      <c r="P82" s="1"/>
      <c r="Q82" s="1"/>
      <c r="R82" s="1"/>
    </row>
    <row r="83" ht="15.75" customHeight="1">
      <c r="A83" s="1"/>
      <c r="B83" s="75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94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1"/>
      <c r="E84" s="79"/>
      <c r="F84" s="1"/>
      <c r="G84" s="1"/>
      <c r="H84" s="1"/>
      <c r="I84" s="1"/>
      <c r="J84" s="1"/>
      <c r="K84" s="96" t="s">
        <v>140</v>
      </c>
      <c r="Q84" s="1"/>
      <c r="R84" s="1"/>
    </row>
    <row r="85" ht="15.75" customHeight="1">
      <c r="A85" s="1"/>
      <c r="B85" s="75">
        <v>7.0</v>
      </c>
      <c r="C85" s="76"/>
      <c r="D85" s="78"/>
      <c r="E85" s="79"/>
      <c r="F85" s="1"/>
      <c r="G85" s="1"/>
      <c r="H85" s="1"/>
      <c r="I85" s="1"/>
      <c r="J85" s="1"/>
      <c r="K85" s="98" t="s">
        <v>2</v>
      </c>
      <c r="L85" s="98" t="s">
        <v>142</v>
      </c>
      <c r="M85" s="98" t="s">
        <v>144</v>
      </c>
      <c r="N85" s="98" t="s">
        <v>145</v>
      </c>
      <c r="O85" s="98" t="s">
        <v>146</v>
      </c>
      <c r="P85" s="98" t="s">
        <v>147</v>
      </c>
      <c r="Q85" s="1"/>
      <c r="R85" s="1"/>
      <c r="AC85" s="99" t="s">
        <v>149</v>
      </c>
      <c r="AD85" s="99" t="s">
        <v>150</v>
      </c>
      <c r="AE85" s="99" t="s">
        <v>151</v>
      </c>
      <c r="AF85" s="99" t="s">
        <v>152</v>
      </c>
      <c r="AG85" s="99" t="s">
        <v>153</v>
      </c>
    </row>
    <row r="86" ht="15.75" customHeight="1">
      <c r="A86" s="1"/>
      <c r="B86" s="82">
        <v>8.0</v>
      </c>
      <c r="C86" s="76"/>
      <c r="D86" s="91"/>
      <c r="E86" s="79"/>
      <c r="F86" s="1"/>
      <c r="G86" s="1"/>
      <c r="H86" s="1"/>
      <c r="I86" s="1"/>
      <c r="J86" s="1"/>
      <c r="K86" s="103" t="str">
        <f t="shared" ref="K86:K89" si="2">IF(O79="","",O79)</f>
        <v/>
      </c>
      <c r="L86" s="111"/>
      <c r="M86" s="111"/>
      <c r="N86" s="111"/>
      <c r="O86" s="111"/>
      <c r="P86" s="111"/>
      <c r="Q86" s="2" t="s">
        <v>211</v>
      </c>
      <c r="R86" s="1"/>
      <c r="AC86" s="99" t="str">
        <f t="shared" ref="AC86:AC91" si="3">IF(AG86="","",IF(COUNT(L86:P86)&lt;5,"",L86/5*20+M86/5*25+N86/5*25+O86/5*15+P86/5*15))</f>
        <v/>
      </c>
      <c r="AD86" s="99" t="str">
        <f t="shared" ref="AD86:AD91" si="4">IF(AC86="","",IF(AC86&gt;=90,"Sangat Baik",IF(AC86&gt;=80,"Baik",IF(AC86&gt;=70,"Coaching","Underperform"))))</f>
        <v/>
      </c>
      <c r="AE86" s="99" t="str">
        <f t="shared" ref="AE86:AE91" si="5">IF(AG86="","",IF(OR(AG86="INDAH",AG86="ADDEL",AG86="AMEL",AG86="PENTIL",AG86="JIJANG"),"Admin/CS","Fotografer"))</f>
        <v/>
      </c>
      <c r="AF86" s="99" t="str">
        <f t="shared" ref="AF86:AF91" si="6">IF(OR(AG86="",COUNT(L86:P86)&lt;5),"",1)</f>
        <v/>
      </c>
      <c r="AG86" s="99" t="str">
        <f t="shared" ref="AG86:AG91" si="7">IFERROR(K86,"")</f>
        <v/>
      </c>
    </row>
    <row r="87" ht="15.75" customHeight="1">
      <c r="A87" s="1"/>
      <c r="B87" s="75">
        <v>9.0</v>
      </c>
      <c r="C87" s="76"/>
      <c r="D87" s="78"/>
      <c r="E87" s="79"/>
      <c r="F87" s="1"/>
      <c r="G87" s="1"/>
      <c r="H87" s="1"/>
      <c r="I87" s="1"/>
      <c r="J87" s="1"/>
      <c r="K87" s="103" t="str">
        <f t="shared" si="2"/>
        <v/>
      </c>
      <c r="L87" s="111"/>
      <c r="M87" s="111"/>
      <c r="N87" s="111"/>
      <c r="O87" s="111"/>
      <c r="P87" s="111"/>
      <c r="Q87" s="2" t="s">
        <v>213</v>
      </c>
      <c r="R87" s="1"/>
      <c r="AC87" s="99" t="str">
        <f t="shared" si="3"/>
        <v/>
      </c>
      <c r="AD87" s="99" t="str">
        <f t="shared" si="4"/>
        <v/>
      </c>
      <c r="AE87" s="99" t="str">
        <f t="shared" si="5"/>
        <v/>
      </c>
      <c r="AF87" s="99" t="str">
        <f t="shared" si="6"/>
        <v/>
      </c>
      <c r="AG87" s="99" t="str">
        <f t="shared" si="7"/>
        <v/>
      </c>
    </row>
    <row r="88" ht="15.75" customHeight="1">
      <c r="A88" s="1"/>
      <c r="B88" s="82">
        <v>10.0</v>
      </c>
      <c r="C88" s="76"/>
      <c r="D88" s="91"/>
      <c r="E88" s="79"/>
      <c r="F88" s="1"/>
      <c r="G88" s="1"/>
      <c r="H88" s="1"/>
      <c r="I88" s="1"/>
      <c r="J88" s="1"/>
      <c r="K88" s="103" t="str">
        <f t="shared" si="2"/>
        <v/>
      </c>
      <c r="L88" s="111"/>
      <c r="M88" s="111"/>
      <c r="N88" s="111"/>
      <c r="O88" s="111"/>
      <c r="P88" s="111"/>
      <c r="Q88" s="2" t="s">
        <v>214</v>
      </c>
      <c r="R88" s="1"/>
      <c r="AC88" s="99" t="str">
        <f t="shared" si="3"/>
        <v/>
      </c>
      <c r="AD88" s="99" t="str">
        <f t="shared" si="4"/>
        <v/>
      </c>
      <c r="AE88" s="99" t="str">
        <f t="shared" si="5"/>
        <v/>
      </c>
      <c r="AF88" s="99" t="str">
        <f t="shared" si="6"/>
        <v/>
      </c>
      <c r="AG88" s="99" t="str">
        <f t="shared" si="7"/>
        <v/>
      </c>
    </row>
    <row r="89" ht="15.75" customHeight="1">
      <c r="A89" s="1"/>
      <c r="B89" s="105">
        <v>11.0</v>
      </c>
      <c r="C89" s="107"/>
      <c r="D89" s="108"/>
      <c r="E89" s="79"/>
      <c r="F89" s="1"/>
      <c r="G89" s="1"/>
      <c r="H89" s="1"/>
      <c r="I89" s="1"/>
      <c r="J89" s="1"/>
      <c r="K89" s="103" t="str">
        <f t="shared" si="2"/>
        <v/>
      </c>
      <c r="L89" s="111"/>
      <c r="M89" s="111"/>
      <c r="N89" s="111"/>
      <c r="O89" s="111"/>
      <c r="P89" s="111"/>
      <c r="Q89" s="1"/>
      <c r="R89" s="1"/>
      <c r="AC89" s="99" t="str">
        <f t="shared" si="3"/>
        <v/>
      </c>
      <c r="AD89" s="99" t="str">
        <f t="shared" si="4"/>
        <v/>
      </c>
      <c r="AE89" s="99" t="str">
        <f t="shared" si="5"/>
        <v/>
      </c>
      <c r="AF89" s="99" t="str">
        <f t="shared" si="6"/>
        <v/>
      </c>
      <c r="AG89" s="99" t="str">
        <f t="shared" si="7"/>
        <v/>
      </c>
    </row>
    <row r="90" ht="15.75" customHeight="1">
      <c r="A90" s="1"/>
      <c r="B90" s="1"/>
      <c r="C90" s="3"/>
      <c r="D90" s="110">
        <f>SUM(D79:D89)</f>
        <v>8270000</v>
      </c>
      <c r="E90" s="1"/>
      <c r="F90" s="1"/>
      <c r="G90" s="1"/>
      <c r="H90" s="1"/>
      <c r="I90" s="1"/>
      <c r="J90" s="1"/>
      <c r="K90" s="103"/>
      <c r="L90" s="111"/>
      <c r="M90" s="111"/>
      <c r="N90" s="111"/>
      <c r="O90" s="111"/>
      <c r="P90" s="111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1"/>
      <c r="M91" s="111"/>
      <c r="N91" s="111"/>
      <c r="O91" s="111"/>
      <c r="P91" s="111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2" t="s">
        <v>185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3" t="s">
        <v>187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189</v>
      </c>
      <c r="M95" s="115" t="s">
        <v>190</v>
      </c>
    </row>
    <row r="96" ht="15.75" customHeight="1">
      <c r="K96" s="117" t="str">
        <f t="shared" ref="K96:K97" si="8">IF(O79="","",O79)</f>
        <v/>
      </c>
      <c r="L96" s="118">
        <v>3.0</v>
      </c>
      <c r="M96" s="121"/>
    </row>
    <row r="97" ht="15.75" customHeight="1">
      <c r="K97" s="117" t="str">
        <f t="shared" si="8"/>
        <v/>
      </c>
      <c r="L97" s="121"/>
      <c r="M97" s="121"/>
    </row>
    <row r="98" ht="15.75" customHeight="1"/>
    <row r="99" ht="19.5" customHeight="1">
      <c r="K99" s="123" t="s">
        <v>194</v>
      </c>
    </row>
    <row r="100" ht="19.5" customHeight="1">
      <c r="K100" s="124" t="s">
        <v>195</v>
      </c>
      <c r="M100" s="118">
        <v>24.0</v>
      </c>
    </row>
    <row r="101" ht="19.5" customHeight="1">
      <c r="K101" s="125" t="s">
        <v>197</v>
      </c>
      <c r="M101" s="126">
        <f>COUNTIF($I$4:$I$77,"DP")</f>
        <v>3</v>
      </c>
    </row>
    <row r="102" ht="19.5" customHeight="1">
      <c r="K102" s="125" t="s">
        <v>198</v>
      </c>
      <c r="M102" s="126">
        <f>COUNTIFS($I$4:$I$77,"&lt;&gt;DP",$I$4:$I$77,"&lt;&gt;")</f>
        <v>53</v>
      </c>
    </row>
    <row r="103" ht="19.5" customHeight="1">
      <c r="K103" s="128" t="s">
        <v>199</v>
      </c>
      <c r="M103" s="126">
        <f>M101+M102</f>
        <v>56</v>
      </c>
    </row>
    <row r="104" ht="19.5" customHeight="1">
      <c r="K104" s="124" t="s">
        <v>200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</row>
    <row r="4" ht="15.75" customHeight="1">
      <c r="A4" s="1"/>
      <c r="B4" s="17">
        <v>1.0</v>
      </c>
      <c r="C4" s="18" t="s">
        <v>217</v>
      </c>
      <c r="D4" s="18" t="s">
        <v>46</v>
      </c>
      <c r="E4" s="146"/>
      <c r="F4" s="28" t="s">
        <v>218</v>
      </c>
      <c r="G4" s="147"/>
      <c r="H4" s="26">
        <v>100000.0</v>
      </c>
      <c r="I4" s="28" t="s">
        <v>35</v>
      </c>
      <c r="J4" s="17"/>
      <c r="K4" s="17"/>
      <c r="L4" s="28" t="s">
        <v>34</v>
      </c>
      <c r="M4" s="17"/>
      <c r="N4" s="29"/>
      <c r="O4" s="29"/>
      <c r="P4" s="31"/>
      <c r="Q4" s="1"/>
      <c r="R4" s="1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</row>
    <row r="5" ht="15.75" customHeight="1">
      <c r="A5" s="1"/>
      <c r="B5" s="17">
        <v>2.0</v>
      </c>
      <c r="C5" s="18" t="s">
        <v>219</v>
      </c>
      <c r="D5" s="18" t="s">
        <v>23</v>
      </c>
      <c r="E5" s="146"/>
      <c r="F5" s="28" t="s">
        <v>220</v>
      </c>
      <c r="G5" s="147"/>
      <c r="H5" s="26">
        <v>250000.0</v>
      </c>
      <c r="I5" s="28" t="s">
        <v>26</v>
      </c>
      <c r="J5" s="28" t="s">
        <v>28</v>
      </c>
      <c r="K5" s="28" t="s">
        <v>29</v>
      </c>
      <c r="L5" s="28" t="s">
        <v>34</v>
      </c>
      <c r="M5" s="28" t="s">
        <v>40</v>
      </c>
      <c r="N5" s="37"/>
      <c r="O5" s="37"/>
      <c r="P5" s="37"/>
      <c r="Q5" s="1"/>
      <c r="R5" s="1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</row>
    <row r="6" ht="15.75" customHeight="1">
      <c r="A6" s="1"/>
      <c r="B6" s="17">
        <v>3.0</v>
      </c>
      <c r="C6" s="18" t="s">
        <v>86</v>
      </c>
      <c r="D6" s="18" t="s">
        <v>94</v>
      </c>
      <c r="E6" s="146"/>
      <c r="F6" s="28" t="s">
        <v>47</v>
      </c>
      <c r="G6" s="147"/>
      <c r="H6" s="26">
        <v>20000.0</v>
      </c>
      <c r="I6" s="28" t="s">
        <v>26</v>
      </c>
      <c r="J6" s="28" t="s">
        <v>28</v>
      </c>
      <c r="K6" s="28" t="s">
        <v>28</v>
      </c>
      <c r="L6" s="28" t="s">
        <v>34</v>
      </c>
      <c r="M6" s="17"/>
      <c r="N6" s="37"/>
      <c r="O6" s="37"/>
      <c r="P6" s="37"/>
      <c r="Q6" s="1"/>
      <c r="R6" s="1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</row>
    <row r="7" ht="15.75" customHeight="1">
      <c r="A7" s="1"/>
      <c r="B7" s="17">
        <v>4.0</v>
      </c>
      <c r="C7" s="18" t="s">
        <v>221</v>
      </c>
      <c r="D7" s="18" t="s">
        <v>94</v>
      </c>
      <c r="E7" s="146"/>
      <c r="F7" s="28" t="s">
        <v>33</v>
      </c>
      <c r="G7" s="147"/>
      <c r="H7" s="26">
        <v>125000.0</v>
      </c>
      <c r="I7" s="28" t="s">
        <v>26</v>
      </c>
      <c r="J7" s="28" t="s">
        <v>28</v>
      </c>
      <c r="K7" s="28" t="s">
        <v>28</v>
      </c>
      <c r="L7" s="28" t="s">
        <v>34</v>
      </c>
      <c r="M7" s="17"/>
      <c r="N7" s="37"/>
      <c r="O7" s="37"/>
      <c r="P7" s="37"/>
      <c r="Q7" s="1"/>
      <c r="R7" s="1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</row>
    <row r="8" ht="15.75" customHeight="1">
      <c r="A8" s="1"/>
      <c r="B8" s="17">
        <v>5.0</v>
      </c>
      <c r="C8" s="85" t="s">
        <v>222</v>
      </c>
      <c r="D8" s="18" t="s">
        <v>23</v>
      </c>
      <c r="E8" s="149"/>
      <c r="F8" s="28" t="s">
        <v>220</v>
      </c>
      <c r="G8" s="147"/>
      <c r="H8" s="26">
        <v>150000.0</v>
      </c>
      <c r="I8" s="28" t="s">
        <v>26</v>
      </c>
      <c r="J8" s="28" t="s">
        <v>28</v>
      </c>
      <c r="K8" s="28" t="s">
        <v>29</v>
      </c>
      <c r="L8" s="28" t="s">
        <v>34</v>
      </c>
      <c r="M8" s="28" t="s">
        <v>40</v>
      </c>
      <c r="N8" s="37"/>
      <c r="O8" s="37"/>
      <c r="P8" s="37"/>
      <c r="Q8" s="1"/>
      <c r="R8" s="1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</row>
    <row r="9" ht="15.75" customHeight="1">
      <c r="A9" s="1"/>
      <c r="B9" s="17">
        <v>6.0</v>
      </c>
      <c r="C9" s="18" t="s">
        <v>223</v>
      </c>
      <c r="D9" s="18" t="s">
        <v>24</v>
      </c>
      <c r="E9" s="146"/>
      <c r="F9" s="28" t="s">
        <v>33</v>
      </c>
      <c r="G9" s="147"/>
      <c r="H9" s="26">
        <v>150000.0</v>
      </c>
      <c r="I9" s="28" t="s">
        <v>26</v>
      </c>
      <c r="J9" s="28" t="s">
        <v>28</v>
      </c>
      <c r="K9" s="28" t="s">
        <v>28</v>
      </c>
      <c r="L9" s="28" t="s">
        <v>34</v>
      </c>
      <c r="M9" s="17"/>
      <c r="N9" s="37"/>
      <c r="O9" s="37"/>
      <c r="P9" s="37"/>
      <c r="Q9" s="1"/>
      <c r="R9" s="1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</row>
    <row r="10" ht="15.75" customHeight="1">
      <c r="A10" s="1"/>
      <c r="B10" s="17">
        <v>7.0</v>
      </c>
      <c r="C10" s="18" t="s">
        <v>224</v>
      </c>
      <c r="D10" s="18" t="s">
        <v>87</v>
      </c>
      <c r="E10" s="146"/>
      <c r="F10" s="150">
        <v>46300.0</v>
      </c>
      <c r="G10" s="147"/>
      <c r="H10" s="26">
        <v>50000.0</v>
      </c>
      <c r="I10" s="28" t="s">
        <v>26</v>
      </c>
      <c r="J10" s="28" t="s">
        <v>28</v>
      </c>
      <c r="K10" s="28" t="s">
        <v>29</v>
      </c>
      <c r="L10" s="28" t="s">
        <v>30</v>
      </c>
      <c r="M10" s="28" t="s">
        <v>54</v>
      </c>
      <c r="N10" s="37"/>
      <c r="O10" s="37"/>
      <c r="P10" s="37"/>
      <c r="Q10" s="1"/>
      <c r="R10" s="1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</row>
    <row r="11" ht="15.75" customHeight="1">
      <c r="A11" s="1"/>
      <c r="B11" s="17">
        <v>8.0</v>
      </c>
      <c r="C11" s="60" t="s">
        <v>225</v>
      </c>
      <c r="D11" s="18" t="s">
        <v>62</v>
      </c>
      <c r="E11" s="149"/>
      <c r="F11" s="151">
        <v>46299.0</v>
      </c>
      <c r="G11" s="147"/>
      <c r="H11" s="26">
        <v>30000.0</v>
      </c>
      <c r="I11" s="28" t="s">
        <v>26</v>
      </c>
      <c r="J11" s="17"/>
      <c r="K11" s="17"/>
      <c r="L11" s="28" t="s">
        <v>30</v>
      </c>
      <c r="M11" s="17"/>
      <c r="N11" s="37"/>
      <c r="O11" s="37"/>
      <c r="P11" s="37"/>
      <c r="Q11" s="1"/>
      <c r="R11" s="1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</row>
    <row r="12" ht="15.75" customHeight="1">
      <c r="A12" s="1"/>
      <c r="B12" s="17">
        <v>9.0</v>
      </c>
      <c r="C12" s="18" t="s">
        <v>226</v>
      </c>
      <c r="D12" s="18" t="s">
        <v>23</v>
      </c>
      <c r="E12" s="149"/>
      <c r="F12" s="150">
        <v>46301.0</v>
      </c>
      <c r="G12" s="147"/>
      <c r="H12" s="26">
        <v>100000.0</v>
      </c>
      <c r="I12" s="28" t="s">
        <v>35</v>
      </c>
      <c r="J12" s="17"/>
      <c r="K12" s="17"/>
      <c r="L12" s="28" t="s">
        <v>30</v>
      </c>
      <c r="M12" s="17"/>
      <c r="N12" s="37"/>
      <c r="O12" s="37"/>
      <c r="P12" s="37"/>
      <c r="Q12" s="1"/>
      <c r="R12" s="1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</row>
    <row r="13" ht="15.75" customHeight="1">
      <c r="A13" s="1"/>
      <c r="B13" s="17"/>
      <c r="C13" s="18" t="s">
        <v>227</v>
      </c>
      <c r="D13" s="18" t="s">
        <v>228</v>
      </c>
      <c r="E13" s="17"/>
      <c r="F13" s="150">
        <v>46267.0</v>
      </c>
      <c r="G13" s="152"/>
      <c r="H13" s="26">
        <v>20000.0</v>
      </c>
      <c r="I13" s="28" t="s">
        <v>26</v>
      </c>
      <c r="J13" s="17"/>
      <c r="K13" s="17"/>
      <c r="L13" s="28" t="s">
        <v>30</v>
      </c>
      <c r="M13" s="17"/>
      <c r="N13" s="37"/>
      <c r="O13" s="37"/>
      <c r="P13" s="37"/>
      <c r="Q13" s="1"/>
      <c r="R13" s="1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</row>
    <row r="14" ht="15.75" customHeight="1">
      <c r="A14" s="1"/>
      <c r="B14" s="17"/>
      <c r="C14" s="18" t="s">
        <v>177</v>
      </c>
      <c r="D14" s="18" t="s">
        <v>46</v>
      </c>
      <c r="E14" s="155">
        <v>0.2</v>
      </c>
      <c r="F14" s="150">
        <v>46270.0</v>
      </c>
      <c r="G14" s="152"/>
      <c r="H14" s="26">
        <v>80000.0</v>
      </c>
      <c r="I14" s="28" t="s">
        <v>26</v>
      </c>
      <c r="J14" s="28" t="s">
        <v>28</v>
      </c>
      <c r="K14" s="28" t="s">
        <v>29</v>
      </c>
      <c r="L14" s="28" t="s">
        <v>30</v>
      </c>
      <c r="M14" s="28" t="s">
        <v>54</v>
      </c>
      <c r="N14" s="37"/>
      <c r="O14" s="37"/>
      <c r="P14" s="37"/>
      <c r="Q14" s="1"/>
      <c r="R14" s="1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</row>
    <row r="15" ht="15.75" customHeight="1">
      <c r="A15" s="1"/>
      <c r="B15" s="17"/>
      <c r="C15" s="65"/>
      <c r="D15" s="65"/>
      <c r="E15" s="17"/>
      <c r="F15" s="17"/>
      <c r="G15" s="152"/>
      <c r="H15" s="56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</row>
    <row r="16" ht="18.75" customHeight="1">
      <c r="A16" s="1"/>
      <c r="B16" s="1"/>
      <c r="C16" s="3"/>
      <c r="D16" s="3"/>
      <c r="E16" s="1"/>
      <c r="F16" s="1"/>
      <c r="G16" s="131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</row>
    <row r="19" ht="15.75" customHeight="1">
      <c r="A19" s="1"/>
      <c r="B19" s="73" t="s">
        <v>1</v>
      </c>
      <c r="C19" s="74" t="s">
        <v>7</v>
      </c>
      <c r="D19" s="74" t="s">
        <v>121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122</v>
      </c>
      <c r="O19" s="74" t="s">
        <v>2</v>
      </c>
      <c r="P19" s="1"/>
      <c r="Q19" s="1"/>
      <c r="R19" s="1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</row>
    <row r="20" ht="15.75" customHeight="1">
      <c r="A20" s="1"/>
      <c r="B20" s="75">
        <v>1.0</v>
      </c>
      <c r="C20" s="76" t="s">
        <v>124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127</v>
      </c>
      <c r="O20" s="81" t="s">
        <v>34</v>
      </c>
      <c r="P20" s="1"/>
      <c r="Q20" s="1"/>
      <c r="R20" s="1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</row>
    <row r="21" ht="15.75" customHeight="1">
      <c r="A21" s="1"/>
      <c r="B21" s="82">
        <v>2.0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86" t="s">
        <v>130</v>
      </c>
      <c r="O21" s="87" t="s">
        <v>30</v>
      </c>
      <c r="P21" s="1"/>
      <c r="Q21" s="1"/>
      <c r="R21" s="1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88" t="s">
        <v>132</v>
      </c>
      <c r="O22" s="89" t="s">
        <v>40</v>
      </c>
      <c r="P22" s="1"/>
      <c r="Q22" s="1"/>
      <c r="R22" s="1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</row>
    <row r="23" ht="15.75" customHeight="1">
      <c r="A23" s="1"/>
      <c r="B23" s="82">
        <v>4.0</v>
      </c>
      <c r="C23" s="90"/>
      <c r="D23" s="91"/>
      <c r="E23" s="79"/>
      <c r="F23" s="1"/>
      <c r="G23" s="1"/>
      <c r="H23" s="1"/>
      <c r="I23" s="1"/>
      <c r="J23" s="1"/>
      <c r="K23" s="1"/>
      <c r="L23" s="1"/>
      <c r="M23" s="1"/>
      <c r="N23" s="93" t="s">
        <v>135</v>
      </c>
      <c r="O23" s="87" t="s">
        <v>54</v>
      </c>
      <c r="P23" s="1"/>
      <c r="Q23" s="1"/>
      <c r="R23" s="1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</row>
    <row r="25" ht="15.75" customHeight="1">
      <c r="A25" s="1"/>
      <c r="B25" s="82">
        <v>6.0</v>
      </c>
      <c r="C25" s="90"/>
      <c r="D25" s="91"/>
      <c r="E25" s="79"/>
      <c r="F25" s="1"/>
      <c r="G25" s="1"/>
      <c r="H25" s="1"/>
      <c r="I25" s="1"/>
      <c r="J25" s="1"/>
      <c r="K25" s="96" t="s">
        <v>140</v>
      </c>
      <c r="Q25" s="1"/>
      <c r="R25" s="1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98" t="s">
        <v>2</v>
      </c>
      <c r="L26" s="98" t="s">
        <v>142</v>
      </c>
      <c r="M26" s="98" t="s">
        <v>144</v>
      </c>
      <c r="N26" s="98" t="s">
        <v>145</v>
      </c>
      <c r="O26" s="98" t="s">
        <v>146</v>
      </c>
      <c r="P26" s="98" t="s">
        <v>147</v>
      </c>
      <c r="Q26" s="1"/>
      <c r="R26" s="1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 t="s">
        <v>149</v>
      </c>
      <c r="AD26" s="145" t="s">
        <v>150</v>
      </c>
      <c r="AE26" s="145" t="s">
        <v>151</v>
      </c>
      <c r="AF26" s="145" t="s">
        <v>152</v>
      </c>
      <c r="AG26" s="145" t="s">
        <v>153</v>
      </c>
    </row>
    <row r="27" ht="15.75" customHeight="1">
      <c r="A27" s="1"/>
      <c r="B27" s="82">
        <v>8.0</v>
      </c>
      <c r="C27" s="90"/>
      <c r="D27" s="91"/>
      <c r="E27" s="79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11"/>
      <c r="M27" s="111"/>
      <c r="N27" s="111"/>
      <c r="O27" s="111"/>
      <c r="P27" s="111"/>
      <c r="Q27" s="1"/>
      <c r="R27" s="1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 t="str">
        <f t="shared" ref="AC27:AC32" si="3">IF(AG27="","",IF(COUNT(L27:P27)&lt;5,"",L27/5*20+M27/5*25+N27/5*25+O27/5*15+P27/5*15))</f>
        <v/>
      </c>
      <c r="AD27" s="145" t="str">
        <f t="shared" ref="AD27:AD32" si="4">IF(AC27="","",IF(AC27&gt;=90,"Sangat Baik",IF(AC27&gt;=80,"Baik",IF(AC27&gt;=70,"Coaching","Underperform"))))</f>
        <v/>
      </c>
      <c r="AE27" s="145" t="str">
        <f t="shared" ref="AE27:AE32" si="5">IF(AG27="","",IF(OR(AG27="INDAH",AG27="ADDEL",AG27="AMEL",AG27="PENTIL",AG27="JIJANG"),"Admin/CS","Fotografer"))</f>
        <v>Admin/CS</v>
      </c>
      <c r="AF27" s="145" t="str">
        <f t="shared" ref="AF27:AF32" si="6">IF(OR(AG27="",COUNT(L27:P27)&lt;5),"",1)</f>
        <v/>
      </c>
      <c r="AG27" s="145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3" t="str">
        <f t="shared" si="2"/>
        <v>INDAH</v>
      </c>
      <c r="L28" s="111"/>
      <c r="M28" s="111"/>
      <c r="N28" s="111"/>
      <c r="O28" s="111"/>
      <c r="P28" s="111"/>
      <c r="Q28" s="1"/>
      <c r="R28" s="1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 t="str">
        <f t="shared" si="3"/>
        <v/>
      </c>
      <c r="AD28" s="145" t="str">
        <f t="shared" si="4"/>
        <v/>
      </c>
      <c r="AE28" s="145" t="str">
        <f t="shared" si="5"/>
        <v>Admin/CS</v>
      </c>
      <c r="AF28" s="145" t="str">
        <f t="shared" si="6"/>
        <v/>
      </c>
      <c r="AG28" s="145" t="str">
        <f t="shared" si="7"/>
        <v>INDAH</v>
      </c>
    </row>
    <row r="29" ht="15.75" customHeight="1">
      <c r="A29" s="1"/>
      <c r="B29" s="82">
        <v>10.0</v>
      </c>
      <c r="C29" s="90"/>
      <c r="D29" s="91"/>
      <c r="E29" s="79"/>
      <c r="F29" s="1"/>
      <c r="G29" s="1"/>
      <c r="H29" s="1"/>
      <c r="I29" s="1"/>
      <c r="J29" s="1"/>
      <c r="K29" s="103" t="str">
        <f t="shared" si="2"/>
        <v>ADIF</v>
      </c>
      <c r="L29" s="111"/>
      <c r="M29" s="111"/>
      <c r="N29" s="111"/>
      <c r="O29" s="111"/>
      <c r="P29" s="111"/>
      <c r="Q29" s="1"/>
      <c r="R29" s="1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 t="str">
        <f t="shared" si="3"/>
        <v/>
      </c>
      <c r="AD29" s="145" t="str">
        <f t="shared" si="4"/>
        <v/>
      </c>
      <c r="AE29" s="145" t="str">
        <f t="shared" si="5"/>
        <v>Fotografer</v>
      </c>
      <c r="AF29" s="145" t="str">
        <f t="shared" si="6"/>
        <v/>
      </c>
      <c r="AG29" s="145" t="str">
        <f t="shared" si="7"/>
        <v>ADIF</v>
      </c>
    </row>
    <row r="30" ht="15.75" customHeight="1">
      <c r="A30" s="1"/>
      <c r="B30" s="105">
        <v>11.0</v>
      </c>
      <c r="C30" s="107"/>
      <c r="D30" s="108"/>
      <c r="E30" s="79"/>
      <c r="F30" s="1"/>
      <c r="G30" s="1"/>
      <c r="H30" s="1"/>
      <c r="I30" s="1"/>
      <c r="J30" s="1"/>
      <c r="K30" s="103" t="str">
        <f t="shared" si="2"/>
        <v>SAKA</v>
      </c>
      <c r="L30" s="111"/>
      <c r="M30" s="111"/>
      <c r="N30" s="111"/>
      <c r="O30" s="111"/>
      <c r="P30" s="111"/>
      <c r="Q30" s="1"/>
      <c r="R30" s="1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 t="str">
        <f t="shared" si="3"/>
        <v/>
      </c>
      <c r="AD30" s="145" t="str">
        <f t="shared" si="4"/>
        <v/>
      </c>
      <c r="AE30" s="145" t="str">
        <f t="shared" si="5"/>
        <v>Fotografer</v>
      </c>
      <c r="AF30" s="145" t="str">
        <f t="shared" si="6"/>
        <v/>
      </c>
      <c r="AG30" s="145" t="str">
        <f t="shared" si="7"/>
        <v>SAKA</v>
      </c>
    </row>
    <row r="31" ht="15.75" customHeight="1">
      <c r="A31" s="1"/>
      <c r="B31" s="1"/>
      <c r="C31" s="3"/>
      <c r="D31" s="110">
        <f>SUM(D20:D30)</f>
        <v>0</v>
      </c>
      <c r="E31" s="1"/>
      <c r="F31" s="1"/>
      <c r="G31" s="1"/>
      <c r="H31" s="1"/>
      <c r="I31" s="1"/>
      <c r="J31" s="1"/>
      <c r="K31" s="103"/>
      <c r="L31" s="111"/>
      <c r="M31" s="111"/>
      <c r="N31" s="111"/>
      <c r="O31" s="111"/>
      <c r="P31" s="111"/>
      <c r="Q31" s="1"/>
      <c r="R31" s="1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 t="str">
        <f t="shared" si="3"/>
        <v/>
      </c>
      <c r="AD31" s="145" t="str">
        <f t="shared" si="4"/>
        <v/>
      </c>
      <c r="AE31" s="145" t="str">
        <f t="shared" si="5"/>
        <v/>
      </c>
      <c r="AF31" s="145" t="str">
        <f t="shared" si="6"/>
        <v/>
      </c>
      <c r="AG31" s="14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1"/>
      <c r="M32" s="111"/>
      <c r="N32" s="111"/>
      <c r="O32" s="111"/>
      <c r="P32" s="111"/>
      <c r="Q32" s="1"/>
      <c r="R32" s="1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 t="str">
        <f t="shared" si="3"/>
        <v/>
      </c>
      <c r="AD32" s="145" t="str">
        <f t="shared" si="4"/>
        <v/>
      </c>
      <c r="AE32" s="145" t="str">
        <f t="shared" si="5"/>
        <v/>
      </c>
      <c r="AF32" s="145" t="str">
        <f t="shared" si="6"/>
        <v/>
      </c>
      <c r="AG32" s="14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2" t="s">
        <v>185</v>
      </c>
      <c r="Q33" s="1"/>
      <c r="R33" s="1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187</v>
      </c>
      <c r="N35" s="1"/>
      <c r="O35" s="1"/>
      <c r="P35" s="1"/>
      <c r="Q35" s="1"/>
      <c r="R35" s="1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</row>
    <row r="36" ht="15.7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15" t="s">
        <v>8</v>
      </c>
      <c r="L36" s="115" t="s">
        <v>189</v>
      </c>
      <c r="M36" s="115" t="s">
        <v>190</v>
      </c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</row>
    <row r="37" ht="15.7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17" t="str">
        <f t="shared" ref="K37:K38" si="8">IF(O20="","",O20)</f>
        <v>AMEL</v>
      </c>
      <c r="L37" s="121"/>
      <c r="M37" s="121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</row>
    <row r="38" ht="15.7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17" t="str">
        <f t="shared" si="8"/>
        <v>INDAH</v>
      </c>
      <c r="L38" s="121"/>
      <c r="M38" s="118" t="s">
        <v>192</v>
      </c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</row>
    <row r="39" ht="15.7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</row>
    <row r="40" ht="19.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23" t="s">
        <v>194</v>
      </c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</row>
    <row r="41" ht="19.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24" t="s">
        <v>195</v>
      </c>
      <c r="M41" s="118">
        <v>6.0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</row>
    <row r="42" ht="19.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25" t="s">
        <v>197</v>
      </c>
      <c r="M42" s="126">
        <f>COUNTIF($I$4:$I$18,"DP")</f>
        <v>2</v>
      </c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</row>
    <row r="43" ht="19.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25" t="s">
        <v>198</v>
      </c>
      <c r="M43" s="126">
        <f>COUNTIFS($I$4:$I$18,"&lt;&gt;DP",$I$4:$I$18,"&lt;&gt;")</f>
        <v>9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</row>
    <row r="44" ht="19.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28" t="s">
        <v>199</v>
      </c>
      <c r="M44" s="126">
        <f>M42+M43</f>
        <v>11</v>
      </c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</row>
    <row r="45" ht="19.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24" t="s">
        <v>200</v>
      </c>
      <c r="M45" s="130">
        <f>IF(OR(M41="",M41=0),"",M42/M41)</f>
        <v>0.3333333333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</row>
    <row r="46" ht="15.7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</row>
    <row r="47" ht="15.7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</row>
    <row r="48" ht="15.7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</row>
    <row r="49" ht="15.7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</row>
    <row r="50" ht="15.7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</row>
    <row r="51" ht="15.7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</row>
    <row r="52" ht="15.7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</row>
    <row r="54" ht="15.75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</row>
    <row r="55" ht="15.75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</row>
    <row r="56" ht="15.75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</row>
    <row r="57" ht="15.75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</row>
    <row r="58" ht="15.75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</row>
    <row r="59" ht="15.75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</row>
    <row r="61" ht="15.75" customHeight="1">
      <c r="A61" s="145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</row>
    <row r="62" ht="15.75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</row>
    <row r="63" ht="15.75" customHeight="1">
      <c r="A63" s="145"/>
      <c r="B63" s="145"/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</row>
    <row r="64" ht="15.75" customHeight="1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</row>
    <row r="65" ht="15.75" customHeight="1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</row>
    <row r="66" ht="15.75" customHeight="1">
      <c r="A66" s="145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</row>
    <row r="67" ht="15.75" customHeight="1">
      <c r="A67" s="145"/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</row>
    <row r="68" ht="15.75" customHeight="1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</row>
    <row r="69" ht="15.75" customHeight="1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</row>
    <row r="71" ht="15.75" customHeight="1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</row>
    <row r="72" ht="15.75" customHeight="1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</row>
    <row r="73" ht="15.75" customHeight="1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</row>
    <row r="74" ht="15.75" customHeight="1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</row>
    <row r="75" ht="15.75" customHeight="1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</row>
    <row r="76" ht="15.75" customHeight="1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  <c r="AG77" s="145"/>
    </row>
    <row r="78" ht="15.75" customHeight="1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</row>
    <row r="79" ht="15.75" customHeight="1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</row>
    <row r="80" ht="15.75" customHeight="1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</row>
    <row r="99" ht="15.75" customHeight="1">
      <c r="A99" s="145"/>
      <c r="B99" s="145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</row>
    <row r="100" ht="15.75" customHeight="1">
      <c r="A100" s="145"/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</row>
    <row r="102" ht="15.75" customHeight="1">
      <c r="A102" s="145"/>
      <c r="B102" s="145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</row>
    <row r="104" ht="15.75" customHeight="1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</row>
    <row r="106" ht="15.75" customHeight="1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</row>
    <row r="107" ht="15.75" customHeight="1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  <c r="AG107" s="145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  <c r="AG108" s="145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  <c r="AG109" s="145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  <c r="AG110" s="145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  <c r="AG111" s="145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  <c r="AG112" s="145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  <c r="AG116" s="145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  <c r="AG117" s="145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  <c r="AG118" s="145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  <c r="AG119" s="145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  <c r="AG120" s="145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  <c r="AG121" s="145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  <c r="AG122" s="145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  <c r="AG123" s="145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  <c r="AG124" s="145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  <c r="AG125" s="145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  <c r="AG137" s="145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  <c r="AG138" s="145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  <c r="AG139" s="145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  <c r="AG140" s="145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  <c r="AG142" s="145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  <c r="AG143" s="145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  <c r="AG144" s="145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  <c r="AG145" s="145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  <c r="AG146" s="145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  <c r="AG147" s="145"/>
    </row>
    <row r="148" ht="15.75" customHeight="1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  <c r="AG148" s="145"/>
    </row>
    <row r="149" ht="15.75" customHeight="1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  <c r="AG149" s="145"/>
    </row>
    <row r="150" ht="15.75" customHeight="1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  <c r="AG150" s="145"/>
    </row>
    <row r="151" ht="15.75" customHeight="1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  <c r="AG151" s="145"/>
    </row>
    <row r="152" ht="15.75" customHeight="1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  <c r="AG152" s="145"/>
    </row>
    <row r="153" ht="15.75" customHeight="1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  <c r="AG153" s="145"/>
    </row>
    <row r="154" ht="15.75" customHeight="1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</row>
    <row r="155" ht="15.75" customHeight="1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</row>
    <row r="156" ht="15.75" customHeight="1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</row>
    <row r="157" ht="15.75" customHeight="1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  <c r="AG157" s="145"/>
    </row>
    <row r="158" ht="15.75" customHeight="1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  <c r="AG158" s="145"/>
    </row>
    <row r="159" ht="15.75" customHeight="1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</row>
    <row r="160" ht="15.75" customHeight="1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</row>
    <row r="161" ht="15.75" customHeight="1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</row>
    <row r="162" ht="15.75" customHeight="1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  <c r="AG162" s="145"/>
    </row>
    <row r="163" ht="15.75" customHeight="1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  <c r="AG163" s="145"/>
    </row>
    <row r="164" ht="15.75" customHeight="1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  <c r="AG164" s="145"/>
    </row>
    <row r="165" ht="15.75" customHeight="1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  <c r="AG165" s="145"/>
    </row>
    <row r="166" ht="15.75" customHeight="1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  <c r="AG166" s="145"/>
    </row>
    <row r="167" ht="15.75" customHeight="1">
      <c r="A167" s="145"/>
      <c r="B167" s="145"/>
      <c r="C167" s="145"/>
      <c r="D167" s="145"/>
      <c r="E167" s="145"/>
      <c r="F167" s="145"/>
      <c r="G167" s="145"/>
      <c r="H167" s="145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  <c r="AG167" s="145"/>
    </row>
    <row r="168" ht="15.75" customHeight="1">
      <c r="A168" s="145"/>
      <c r="B168" s="145"/>
      <c r="C168" s="145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  <c r="AG168" s="145"/>
    </row>
    <row r="169" ht="15.75" customHeight="1">
      <c r="A169" s="145"/>
      <c r="B169" s="145"/>
      <c r="C169" s="145"/>
      <c r="D169" s="145"/>
      <c r="E169" s="145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  <c r="AG169" s="145"/>
    </row>
    <row r="170" ht="15.75" customHeight="1">
      <c r="A170" s="145"/>
      <c r="B170" s="145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  <c r="AG170" s="145"/>
    </row>
    <row r="171" ht="15.75" customHeight="1">
      <c r="A171" s="145"/>
      <c r="B171" s="145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  <c r="AG171" s="145"/>
    </row>
    <row r="172" ht="15.75" customHeight="1">
      <c r="A172" s="145"/>
      <c r="B172" s="145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  <c r="AG172" s="145"/>
    </row>
    <row r="173" ht="15.75" customHeight="1">
      <c r="A173" s="145"/>
      <c r="B173" s="145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</row>
    <row r="174" ht="15.75" customHeight="1">
      <c r="A174" s="145"/>
      <c r="B174" s="145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</row>
    <row r="175" ht="15.75" customHeight="1">
      <c r="A175" s="145"/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</row>
    <row r="176" ht="15.75" customHeight="1">
      <c r="A176" s="145"/>
      <c r="B176" s="145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</row>
    <row r="177" ht="15.75" customHeight="1">
      <c r="A177" s="145"/>
      <c r="B177" s="145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  <c r="AG177" s="145"/>
    </row>
    <row r="178" ht="15.75" customHeight="1">
      <c r="A178" s="145"/>
      <c r="B178" s="145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  <c r="AG178" s="145"/>
    </row>
    <row r="179" ht="15.75" customHeight="1">
      <c r="A179" s="145"/>
      <c r="B179" s="145"/>
      <c r="C179" s="145"/>
      <c r="D179" s="145"/>
      <c r="E179" s="145"/>
      <c r="F179" s="145"/>
      <c r="G179" s="145"/>
      <c r="H179" s="145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</row>
    <row r="180" ht="15.75" customHeight="1">
      <c r="A180" s="145"/>
      <c r="B180" s="145"/>
      <c r="C180" s="145"/>
      <c r="D180" s="145"/>
      <c r="E180" s="145"/>
      <c r="F180" s="145"/>
      <c r="G180" s="145"/>
      <c r="H180" s="145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</row>
    <row r="181" ht="15.75" customHeight="1">
      <c r="A181" s="145"/>
      <c r="B181" s="145"/>
      <c r="C181" s="145"/>
      <c r="D181" s="145"/>
      <c r="E181" s="145"/>
      <c r="F181" s="145"/>
      <c r="G181" s="145"/>
      <c r="H181" s="145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</row>
    <row r="182" ht="15.75" customHeight="1">
      <c r="A182" s="145"/>
      <c r="B182" s="145"/>
      <c r="C182" s="145"/>
      <c r="D182" s="145"/>
      <c r="E182" s="145"/>
      <c r="F182" s="145"/>
      <c r="G182" s="145"/>
      <c r="H182" s="145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</row>
    <row r="183" ht="15.75" customHeight="1">
      <c r="A183" s="145"/>
      <c r="B183" s="145"/>
      <c r="C183" s="145"/>
      <c r="D183" s="145"/>
      <c r="E183" s="145"/>
      <c r="F183" s="145"/>
      <c r="G183" s="145"/>
      <c r="H183" s="145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</row>
    <row r="184" ht="15.75" customHeight="1">
      <c r="A184" s="145"/>
      <c r="B184" s="145"/>
      <c r="C184" s="145"/>
      <c r="D184" s="145"/>
      <c r="E184" s="145"/>
      <c r="F184" s="145"/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</row>
    <row r="185" ht="15.75" customHeight="1">
      <c r="A185" s="145"/>
      <c r="B185" s="145"/>
      <c r="C185" s="145"/>
      <c r="D185" s="145"/>
      <c r="E185" s="145"/>
      <c r="F185" s="145"/>
      <c r="G185" s="145"/>
      <c r="H185" s="145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</row>
    <row r="186" ht="15.75" customHeight="1">
      <c r="A186" s="145"/>
      <c r="B186" s="145"/>
      <c r="C186" s="145"/>
      <c r="D186" s="145"/>
      <c r="E186" s="145"/>
      <c r="F186" s="145"/>
      <c r="G186" s="145"/>
      <c r="H186" s="145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</row>
    <row r="187" ht="15.75" customHeight="1">
      <c r="A187" s="145"/>
      <c r="B187" s="145"/>
      <c r="C187" s="145"/>
      <c r="D187" s="145"/>
      <c r="E187" s="145"/>
      <c r="F187" s="145"/>
      <c r="G187" s="145"/>
      <c r="H187" s="145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</row>
    <row r="188" ht="15.75" customHeight="1">
      <c r="A188" s="145"/>
      <c r="B188" s="145"/>
      <c r="C188" s="145"/>
      <c r="D188" s="145"/>
      <c r="E188" s="145"/>
      <c r="F188" s="145"/>
      <c r="G188" s="145"/>
      <c r="H188" s="145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  <c r="AG188" s="145"/>
    </row>
    <row r="189" ht="15.75" customHeight="1">
      <c r="A189" s="145"/>
      <c r="B189" s="145"/>
      <c r="C189" s="145"/>
      <c r="D189" s="145"/>
      <c r="E189" s="145"/>
      <c r="F189" s="145"/>
      <c r="G189" s="145"/>
      <c r="H189" s="145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  <c r="AG189" s="145"/>
    </row>
    <row r="190" ht="15.75" customHeight="1">
      <c r="A190" s="145"/>
      <c r="B190" s="145"/>
      <c r="C190" s="145"/>
      <c r="D190" s="145"/>
      <c r="E190" s="145"/>
      <c r="F190" s="145"/>
      <c r="G190" s="145"/>
      <c r="H190" s="145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</row>
    <row r="191" ht="15.75" customHeight="1">
      <c r="A191" s="145"/>
      <c r="B191" s="145"/>
      <c r="C191" s="145"/>
      <c r="D191" s="145"/>
      <c r="E191" s="145"/>
      <c r="F191" s="145"/>
      <c r="G191" s="145"/>
      <c r="H191" s="145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  <c r="AG191" s="145"/>
    </row>
    <row r="192" ht="15.75" customHeight="1">
      <c r="A192" s="145"/>
      <c r="B192" s="145"/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  <c r="O192" s="145"/>
      <c r="P192" s="145"/>
      <c r="Q192" s="145"/>
      <c r="R192" s="145"/>
      <c r="S192" s="145"/>
      <c r="T192" s="145"/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  <c r="AG192" s="145"/>
    </row>
    <row r="193" ht="15.75" customHeight="1">
      <c r="A193" s="145"/>
      <c r="B193" s="145"/>
      <c r="C193" s="145"/>
      <c r="D193" s="145"/>
      <c r="E193" s="145"/>
      <c r="F193" s="145"/>
      <c r="G193" s="145"/>
      <c r="H193" s="145"/>
      <c r="I193" s="145"/>
      <c r="J193" s="145"/>
      <c r="K193" s="145"/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</row>
    <row r="194" ht="15.75" customHeight="1">
      <c r="A194" s="145"/>
      <c r="B194" s="145"/>
      <c r="C194" s="145"/>
      <c r="D194" s="145"/>
      <c r="E194" s="145"/>
      <c r="F194" s="145"/>
      <c r="G194" s="145"/>
      <c r="H194" s="145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</row>
    <row r="195" ht="15.75" customHeight="1">
      <c r="A195" s="145"/>
      <c r="B195" s="145"/>
      <c r="C195" s="145"/>
      <c r="D195" s="145"/>
      <c r="E195" s="145"/>
      <c r="F195" s="145"/>
      <c r="G195" s="145"/>
      <c r="H195" s="145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  <c r="AG195" s="145"/>
    </row>
    <row r="196" ht="15.75" customHeight="1">
      <c r="A196" s="145"/>
      <c r="B196" s="145"/>
      <c r="C196" s="145"/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  <c r="AG196" s="145"/>
    </row>
    <row r="197" ht="15.75" customHeight="1">
      <c r="A197" s="145"/>
      <c r="B197" s="145"/>
      <c r="C197" s="145"/>
      <c r="D197" s="145"/>
      <c r="E197" s="145"/>
      <c r="F197" s="145"/>
      <c r="G197" s="145"/>
      <c r="H197" s="145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  <c r="AG197" s="145"/>
    </row>
    <row r="198" ht="15.75" customHeight="1">
      <c r="A198" s="145"/>
      <c r="B198" s="145"/>
      <c r="C198" s="145"/>
      <c r="D198" s="145"/>
      <c r="E198" s="145"/>
      <c r="F198" s="145"/>
      <c r="G198" s="145"/>
      <c r="H198" s="145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  <c r="AG198" s="145"/>
    </row>
    <row r="199" ht="15.75" customHeight="1">
      <c r="A199" s="145"/>
      <c r="B199" s="145"/>
      <c r="C199" s="145"/>
      <c r="D199" s="145"/>
      <c r="E199" s="145"/>
      <c r="F199" s="145"/>
      <c r="G199" s="145"/>
      <c r="H199" s="145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  <c r="AG199" s="145"/>
    </row>
    <row r="200" ht="15.75" customHeight="1">
      <c r="A200" s="145"/>
      <c r="B200" s="145"/>
      <c r="C200" s="145"/>
      <c r="D200" s="145"/>
      <c r="E200" s="145"/>
      <c r="F200" s="145"/>
      <c r="G200" s="145"/>
      <c r="H200" s="145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  <c r="AG200" s="145"/>
    </row>
    <row r="201" ht="15.75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  <c r="AG201" s="145"/>
    </row>
    <row r="202" ht="15.75" customHeight="1">
      <c r="A202" s="145"/>
      <c r="B202" s="145"/>
      <c r="C202" s="145"/>
      <c r="D202" s="145"/>
      <c r="E202" s="145"/>
      <c r="F202" s="145"/>
      <c r="G202" s="145"/>
      <c r="H202" s="145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  <c r="AG202" s="145"/>
    </row>
    <row r="203" ht="15.75" customHeight="1">
      <c r="A203" s="145"/>
      <c r="B203" s="145"/>
      <c r="C203" s="145"/>
      <c r="D203" s="145"/>
      <c r="E203" s="145"/>
      <c r="F203" s="145"/>
      <c r="G203" s="145"/>
      <c r="H203" s="145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  <c r="AG203" s="145"/>
    </row>
    <row r="204" ht="15.75" customHeight="1">
      <c r="A204" s="145"/>
      <c r="B204" s="145"/>
      <c r="C204" s="145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</row>
    <row r="205" ht="15.75" customHeight="1">
      <c r="A205" s="145"/>
      <c r="B205" s="145"/>
      <c r="C205" s="145"/>
      <c r="D205" s="145"/>
      <c r="E205" s="145"/>
      <c r="F205" s="145"/>
      <c r="G205" s="145"/>
      <c r="H205" s="145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  <c r="AG205" s="145"/>
    </row>
    <row r="206" ht="15.75" customHeight="1">
      <c r="A206" s="145"/>
      <c r="B206" s="145"/>
      <c r="C206" s="145"/>
      <c r="D206" s="145"/>
      <c r="E206" s="145"/>
      <c r="F206" s="145"/>
      <c r="G206" s="145"/>
      <c r="H206" s="145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  <c r="AG206" s="145"/>
    </row>
    <row r="207" ht="15.75" customHeight="1">
      <c r="A207" s="145"/>
      <c r="B207" s="145"/>
      <c r="C207" s="145"/>
      <c r="D207" s="145"/>
      <c r="E207" s="145"/>
      <c r="F207" s="145"/>
      <c r="G207" s="145"/>
      <c r="H207" s="145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  <c r="AG207" s="145"/>
    </row>
    <row r="208" ht="15.75" customHeight="1">
      <c r="A208" s="145"/>
      <c r="B208" s="145"/>
      <c r="C208" s="145"/>
      <c r="D208" s="145"/>
      <c r="E208" s="145"/>
      <c r="F208" s="145"/>
      <c r="G208" s="145"/>
      <c r="H208" s="145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  <c r="AG208" s="145"/>
    </row>
    <row r="209" ht="15.75" customHeight="1">
      <c r="A209" s="145"/>
      <c r="B209" s="145"/>
      <c r="C209" s="145"/>
      <c r="D209" s="145"/>
      <c r="E209" s="145"/>
      <c r="F209" s="145"/>
      <c r="G209" s="145"/>
      <c r="H209" s="145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  <c r="AG209" s="145"/>
    </row>
    <row r="210" ht="15.75" customHeight="1">
      <c r="A210" s="145"/>
      <c r="B210" s="145"/>
      <c r="C210" s="145"/>
      <c r="D210" s="145"/>
      <c r="E210" s="145"/>
      <c r="F210" s="145"/>
      <c r="G210" s="145"/>
      <c r="H210" s="145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  <c r="AG210" s="145"/>
    </row>
    <row r="211" ht="15.75" customHeight="1">
      <c r="A211" s="145"/>
      <c r="B211" s="145"/>
      <c r="C211" s="145"/>
      <c r="D211" s="145"/>
      <c r="E211" s="145"/>
      <c r="F211" s="145"/>
      <c r="G211" s="145"/>
      <c r="H211" s="145"/>
      <c r="I211" s="145"/>
      <c r="J211" s="145"/>
      <c r="K211" s="145"/>
      <c r="L211" s="145"/>
      <c r="M211" s="145"/>
      <c r="N211" s="145"/>
      <c r="O211" s="145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  <c r="AG211" s="145"/>
    </row>
    <row r="212" ht="15.75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145"/>
      <c r="L212" s="145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  <c r="AG212" s="145"/>
    </row>
    <row r="213" ht="15.75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  <c r="AG213" s="145"/>
    </row>
    <row r="214" ht="15.75" customHeight="1">
      <c r="A214" s="145"/>
      <c r="B214" s="145"/>
      <c r="C214" s="145"/>
      <c r="D214" s="145"/>
      <c r="E214" s="145"/>
      <c r="F214" s="145"/>
      <c r="G214" s="145"/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  <c r="AG214" s="145"/>
    </row>
    <row r="215" ht="15.75" customHeight="1">
      <c r="A215" s="145"/>
      <c r="B215" s="145"/>
      <c r="C215" s="145"/>
      <c r="D215" s="145"/>
      <c r="E215" s="145"/>
      <c r="F215" s="145"/>
      <c r="G215" s="145"/>
      <c r="H215" s="145"/>
      <c r="I215" s="145"/>
      <c r="J215" s="145"/>
      <c r="K215" s="145"/>
      <c r="L215" s="145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  <c r="AG215" s="145"/>
    </row>
    <row r="216" ht="15.75" customHeight="1">
      <c r="A216" s="145"/>
      <c r="B216" s="145"/>
      <c r="C216" s="145"/>
      <c r="D216" s="145"/>
      <c r="E216" s="145"/>
      <c r="F216" s="145"/>
      <c r="G216" s="145"/>
      <c r="H216" s="145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  <c r="AG216" s="145"/>
    </row>
    <row r="217" ht="15.75" customHeight="1">
      <c r="A217" s="145"/>
      <c r="B217" s="145"/>
      <c r="C217" s="145"/>
      <c r="D217" s="145"/>
      <c r="E217" s="145"/>
      <c r="F217" s="145"/>
      <c r="G217" s="145"/>
      <c r="H217" s="145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  <c r="AG217" s="145"/>
    </row>
    <row r="218" ht="15.75" customHeight="1">
      <c r="A218" s="145"/>
      <c r="B218" s="145"/>
      <c r="C218" s="145"/>
      <c r="D218" s="145"/>
      <c r="E218" s="145"/>
      <c r="F218" s="145"/>
      <c r="G218" s="145"/>
      <c r="H218" s="145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  <c r="AG218" s="145"/>
    </row>
    <row r="219" ht="15.75" customHeight="1">
      <c r="A219" s="145"/>
      <c r="B219" s="145"/>
      <c r="C219" s="145"/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  <c r="AG219" s="145"/>
    </row>
    <row r="220" ht="15.75" customHeight="1">
      <c r="A220" s="145"/>
      <c r="B220" s="145"/>
      <c r="C220" s="145"/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  <c r="AG220" s="145"/>
    </row>
    <row r="221" ht="15.75" customHeight="1">
      <c r="A221" s="145"/>
      <c r="B221" s="145"/>
      <c r="C221" s="145"/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  <c r="AG221" s="145"/>
    </row>
    <row r="222" ht="15.75" customHeight="1">
      <c r="A222" s="145"/>
      <c r="B222" s="145"/>
      <c r="C222" s="145"/>
      <c r="D222" s="145"/>
      <c r="E222" s="145"/>
      <c r="F222" s="145"/>
      <c r="G222" s="145"/>
      <c r="H222" s="145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  <c r="AG222" s="145"/>
    </row>
    <row r="223" ht="15.75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  <c r="AG223" s="145"/>
    </row>
    <row r="224" ht="15.75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  <c r="AG224" s="145"/>
    </row>
    <row r="225" ht="15.75" customHeight="1">
      <c r="A225" s="145"/>
      <c r="B225" s="145"/>
      <c r="C225" s="145"/>
      <c r="D225" s="145"/>
      <c r="E225" s="145"/>
      <c r="F225" s="145"/>
      <c r="G225" s="145"/>
      <c r="H225" s="145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  <c r="AG225" s="145"/>
    </row>
    <row r="226" ht="15.75" customHeight="1">
      <c r="A226" s="145"/>
      <c r="B226" s="145"/>
      <c r="C226" s="145"/>
      <c r="D226" s="145"/>
      <c r="E226" s="145"/>
      <c r="F226" s="145"/>
      <c r="G226" s="145"/>
      <c r="H226" s="145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  <c r="AG226" s="145"/>
    </row>
    <row r="227" ht="15.75" customHeight="1">
      <c r="A227" s="145"/>
      <c r="B227" s="145"/>
      <c r="C227" s="145"/>
      <c r="D227" s="145"/>
      <c r="E227" s="145"/>
      <c r="F227" s="145"/>
      <c r="G227" s="145"/>
      <c r="H227" s="145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  <c r="AG227" s="145"/>
    </row>
    <row r="228" ht="15.75" customHeight="1">
      <c r="A228" s="145"/>
      <c r="B228" s="145"/>
      <c r="C228" s="145"/>
      <c r="D228" s="145"/>
      <c r="E228" s="145"/>
      <c r="F228" s="145"/>
      <c r="G228" s="145"/>
      <c r="H228" s="145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  <c r="AG228" s="145"/>
    </row>
    <row r="229" ht="15.75" customHeight="1">
      <c r="A229" s="145"/>
      <c r="B229" s="145"/>
      <c r="C229" s="145"/>
      <c r="D229" s="145"/>
      <c r="E229" s="145"/>
      <c r="F229" s="145"/>
      <c r="G229" s="145"/>
      <c r="H229" s="145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  <c r="AG229" s="145"/>
    </row>
    <row r="230" ht="15.75" customHeight="1">
      <c r="A230" s="145"/>
      <c r="B230" s="145"/>
      <c r="C230" s="145"/>
      <c r="D230" s="145"/>
      <c r="E230" s="145"/>
      <c r="F230" s="145"/>
      <c r="G230" s="145"/>
      <c r="H230" s="145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  <c r="AG230" s="145"/>
    </row>
    <row r="231" ht="15.75" customHeight="1">
      <c r="A231" s="145"/>
      <c r="B231" s="145"/>
      <c r="C231" s="145"/>
      <c r="D231" s="145"/>
      <c r="E231" s="145"/>
      <c r="F231" s="145"/>
      <c r="G231" s="145"/>
      <c r="H231" s="145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  <c r="AG231" s="145"/>
    </row>
    <row r="232" ht="15.75" customHeight="1">
      <c r="A232" s="145"/>
      <c r="B232" s="145"/>
      <c r="C232" s="145"/>
      <c r="D232" s="145"/>
      <c r="E232" s="145"/>
      <c r="F232" s="145"/>
      <c r="G232" s="145"/>
      <c r="H232" s="145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  <c r="AG232" s="145"/>
    </row>
    <row r="233" ht="15.75" customHeight="1">
      <c r="A233" s="145"/>
      <c r="B233" s="145"/>
      <c r="C233" s="145"/>
      <c r="D233" s="145"/>
      <c r="E233" s="145"/>
      <c r="F233" s="145"/>
      <c r="G233" s="145"/>
      <c r="H233" s="145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  <c r="AG233" s="145"/>
    </row>
    <row r="234" ht="15.75" customHeight="1">
      <c r="A234" s="145"/>
      <c r="B234" s="145"/>
      <c r="C234" s="145"/>
      <c r="D234" s="145"/>
      <c r="E234" s="145"/>
      <c r="F234" s="145"/>
      <c r="G234" s="145"/>
      <c r="H234" s="145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  <c r="AG234" s="145"/>
    </row>
    <row r="235" ht="15.75" customHeight="1">
      <c r="A235" s="145"/>
      <c r="B235" s="145"/>
      <c r="C235" s="145"/>
      <c r="D235" s="145"/>
      <c r="E235" s="145"/>
      <c r="F235" s="145"/>
      <c r="G235" s="145"/>
      <c r="H235" s="145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  <c r="AG235" s="145"/>
    </row>
    <row r="236" ht="15.75" customHeight="1">
      <c r="A236" s="145"/>
      <c r="B236" s="145"/>
      <c r="C236" s="145"/>
      <c r="D236" s="145"/>
      <c r="E236" s="145"/>
      <c r="F236" s="145"/>
      <c r="G236" s="145"/>
      <c r="H236" s="145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  <c r="AG236" s="145"/>
    </row>
    <row r="237" ht="15.75" customHeight="1">
      <c r="A237" s="145"/>
      <c r="B237" s="145"/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</row>
    <row r="238" ht="15.75" customHeight="1">
      <c r="A238" s="145"/>
      <c r="B238" s="145"/>
      <c r="C238" s="145"/>
      <c r="D238" s="145"/>
      <c r="E238" s="145"/>
      <c r="F238" s="145"/>
      <c r="G238" s="145"/>
      <c r="H238" s="145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  <c r="AG238" s="145"/>
    </row>
    <row r="239" ht="15.75" customHeight="1">
      <c r="A239" s="145"/>
      <c r="B239" s="145"/>
      <c r="C239" s="145"/>
      <c r="D239" s="145"/>
      <c r="E239" s="145"/>
      <c r="F239" s="145"/>
      <c r="G239" s="145"/>
      <c r="H239" s="145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  <c r="AG239" s="145"/>
    </row>
    <row r="240" ht="15.75" customHeight="1">
      <c r="A240" s="145"/>
      <c r="B240" s="145"/>
      <c r="C240" s="145"/>
      <c r="D240" s="145"/>
      <c r="E240" s="145"/>
      <c r="F240" s="145"/>
      <c r="G240" s="145"/>
      <c r="H240" s="145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  <c r="AG240" s="145"/>
    </row>
    <row r="241" ht="15.75" customHeight="1">
      <c r="A241" s="145"/>
      <c r="B241" s="145"/>
      <c r="C241" s="145"/>
      <c r="D241" s="145"/>
      <c r="E241" s="145"/>
      <c r="F241" s="145"/>
      <c r="G241" s="145"/>
      <c r="H241" s="145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  <c r="AG241" s="145"/>
    </row>
    <row r="242" ht="15.75" customHeight="1">
      <c r="A242" s="145"/>
      <c r="B242" s="145"/>
      <c r="C242" s="145"/>
      <c r="D242" s="145"/>
      <c r="E242" s="145"/>
      <c r="F242" s="145"/>
      <c r="G242" s="145"/>
      <c r="H242" s="145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  <c r="AG242" s="145"/>
    </row>
    <row r="243" ht="15.75" customHeight="1">
      <c r="A243" s="145"/>
      <c r="B243" s="145"/>
      <c r="C243" s="145"/>
      <c r="D243" s="145"/>
      <c r="E243" s="145"/>
      <c r="F243" s="145"/>
      <c r="G243" s="145"/>
      <c r="H243" s="145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</row>
    <row r="244" ht="15.75" customHeight="1">
      <c r="A244" s="145"/>
      <c r="B244" s="145"/>
      <c r="C244" s="145"/>
      <c r="D244" s="145"/>
      <c r="E244" s="145"/>
      <c r="F244" s="145"/>
      <c r="G244" s="145"/>
      <c r="H244" s="145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</row>
    <row r="245" ht="15.75" customHeight="1">
      <c r="A245" s="145"/>
      <c r="B245" s="145"/>
      <c r="C245" s="145"/>
      <c r="D245" s="145"/>
      <c r="E245" s="145"/>
      <c r="F245" s="145"/>
      <c r="G245" s="145"/>
      <c r="H245" s="145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</row>
    <row r="246" ht="15.75" customHeight="1">
      <c r="A246" s="145"/>
      <c r="B246" s="145"/>
      <c r="C246" s="145"/>
      <c r="D246" s="145"/>
      <c r="E246" s="145"/>
      <c r="F246" s="145"/>
      <c r="G246" s="145"/>
      <c r="H246" s="145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</row>
    <row r="247" ht="15.75" customHeight="1">
      <c r="A247" s="145"/>
      <c r="B247" s="145"/>
      <c r="C247" s="145"/>
      <c r="D247" s="145"/>
      <c r="E247" s="145"/>
      <c r="F247" s="145"/>
      <c r="G247" s="145"/>
      <c r="H247" s="145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</row>
    <row r="248" ht="15.75" customHeight="1">
      <c r="A248" s="145"/>
      <c r="B248" s="145"/>
      <c r="C248" s="145"/>
      <c r="D248" s="145"/>
      <c r="E248" s="145"/>
      <c r="F248" s="145"/>
      <c r="G248" s="145"/>
      <c r="H248" s="145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</row>
    <row r="249" ht="15.75" customHeight="1">
      <c r="A249" s="145"/>
      <c r="B249" s="145"/>
      <c r="C249" s="145"/>
      <c r="D249" s="145"/>
      <c r="E249" s="145"/>
      <c r="F249" s="145"/>
      <c r="G249" s="145"/>
      <c r="H249" s="145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</row>
    <row r="250" ht="15.75" customHeight="1">
      <c r="A250" s="145"/>
      <c r="B250" s="145"/>
      <c r="C250" s="145"/>
      <c r="D250" s="145"/>
      <c r="E250" s="145"/>
      <c r="F250" s="145"/>
      <c r="G250" s="145"/>
      <c r="H250" s="145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</row>
    <row r="251" ht="15.75" customHeight="1">
      <c r="A251" s="145"/>
      <c r="B251" s="145"/>
      <c r="C251" s="145"/>
      <c r="D251" s="145"/>
      <c r="E251" s="145"/>
      <c r="F251" s="145"/>
      <c r="G251" s="145"/>
      <c r="H251" s="145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</row>
    <row r="252" ht="15.75" customHeight="1">
      <c r="A252" s="145"/>
      <c r="B252" s="145"/>
      <c r="C252" s="145"/>
      <c r="D252" s="145"/>
      <c r="E252" s="145"/>
      <c r="F252" s="145"/>
      <c r="G252" s="145"/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</row>
    <row r="253" ht="15.75" customHeight="1">
      <c r="A253" s="145"/>
      <c r="B253" s="145"/>
      <c r="C253" s="145"/>
      <c r="D253" s="145"/>
      <c r="E253" s="145"/>
      <c r="F253" s="145"/>
      <c r="G253" s="145"/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</row>
    <row r="254" ht="15.75" customHeight="1">
      <c r="A254" s="145"/>
      <c r="B254" s="145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</row>
    <row r="255" ht="15.75" customHeight="1">
      <c r="A255" s="145"/>
      <c r="B255" s="145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</row>
    <row r="256" ht="15.75" customHeight="1">
      <c r="A256" s="145"/>
      <c r="B256" s="145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</row>
    <row r="257" ht="15.75" customHeight="1">
      <c r="A257" s="145"/>
      <c r="B257" s="145"/>
      <c r="C257" s="145"/>
      <c r="D257" s="145"/>
      <c r="E257" s="145"/>
      <c r="F257" s="145"/>
      <c r="G257" s="145"/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</row>
    <row r="258" ht="15.75" customHeight="1">
      <c r="A258" s="145"/>
      <c r="B258" s="145"/>
      <c r="C258" s="145"/>
      <c r="D258" s="145"/>
      <c r="E258" s="145"/>
      <c r="F258" s="145"/>
      <c r="G258" s="145"/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</row>
    <row r="259" ht="15.75" customHeight="1">
      <c r="A259" s="145"/>
      <c r="B259" s="145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</row>
    <row r="260" ht="15.75" customHeight="1">
      <c r="A260" s="145"/>
      <c r="B260" s="145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</row>
    <row r="261" ht="15.75" customHeight="1">
      <c r="A261" s="145"/>
      <c r="B261" s="145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</row>
    <row r="262" ht="15.75" customHeight="1">
      <c r="A262" s="145"/>
      <c r="B262" s="145"/>
      <c r="C262" s="145"/>
      <c r="D262" s="145"/>
      <c r="E262" s="145"/>
      <c r="F262" s="145"/>
      <c r="G262" s="145"/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</row>
    <row r="263" ht="15.75" customHeight="1">
      <c r="A263" s="145"/>
      <c r="B263" s="145"/>
      <c r="C263" s="145"/>
      <c r="D263" s="145"/>
      <c r="E263" s="145"/>
      <c r="F263" s="145"/>
      <c r="G263" s="145"/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</row>
    <row r="264" ht="15.75" customHeight="1">
      <c r="A264" s="145"/>
      <c r="B264" s="145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</row>
    <row r="265" ht="15.75" customHeight="1">
      <c r="A265" s="145"/>
      <c r="B265" s="145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</row>
    <row r="266" ht="15.75" customHeight="1">
      <c r="A266" s="145"/>
      <c r="B266" s="145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</row>
    <row r="267" ht="15.75" customHeight="1">
      <c r="A267" s="145"/>
      <c r="B267" s="145"/>
      <c r="C267" s="145"/>
      <c r="D267" s="145"/>
      <c r="E267" s="145"/>
      <c r="F267" s="145"/>
      <c r="G267" s="145"/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</row>
    <row r="268" ht="15.75" customHeight="1">
      <c r="A268" s="145"/>
      <c r="B268" s="145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</row>
    <row r="269" ht="15.75" customHeight="1">
      <c r="A269" s="145"/>
      <c r="B269" s="145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</row>
    <row r="270" ht="15.75" customHeight="1">
      <c r="A270" s="145"/>
      <c r="B270" s="145"/>
      <c r="C270" s="145"/>
      <c r="D270" s="145"/>
      <c r="E270" s="145"/>
      <c r="F270" s="145"/>
      <c r="G270" s="145"/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</row>
    <row r="271" ht="15.75" customHeigh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</row>
    <row r="272" ht="15.75" customHeight="1">
      <c r="A272" s="145"/>
      <c r="B272" s="145"/>
      <c r="C272" s="145"/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</row>
    <row r="273" ht="15.75" customHeight="1">
      <c r="A273" s="145"/>
      <c r="B273" s="145"/>
      <c r="C273" s="145"/>
      <c r="D273" s="145"/>
      <c r="E273" s="145"/>
      <c r="F273" s="145"/>
      <c r="G273" s="145"/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</row>
    <row r="274" ht="15.75" customHeight="1">
      <c r="A274" s="145"/>
      <c r="B274" s="145"/>
      <c r="C274" s="145"/>
      <c r="D274" s="145"/>
      <c r="E274" s="145"/>
      <c r="F274" s="145"/>
      <c r="G274" s="145"/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</row>
    <row r="275" ht="15.75" customHeight="1">
      <c r="A275" s="145"/>
      <c r="B275" s="145"/>
      <c r="C275" s="145"/>
      <c r="D275" s="145"/>
      <c r="E275" s="145"/>
      <c r="F275" s="145"/>
      <c r="G275" s="145"/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</row>
    <row r="276" ht="15.75" customHeight="1">
      <c r="A276" s="145"/>
      <c r="B276" s="145"/>
      <c r="C276" s="145"/>
      <c r="D276" s="145"/>
      <c r="E276" s="145"/>
      <c r="F276" s="145"/>
      <c r="G276" s="145"/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</row>
    <row r="277" ht="15.75" customHeight="1">
      <c r="A277" s="145"/>
      <c r="B277" s="145"/>
      <c r="C277" s="145"/>
      <c r="D277" s="145"/>
      <c r="E277" s="145"/>
      <c r="F277" s="145"/>
      <c r="G277" s="145"/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</row>
    <row r="278" ht="15.75" customHeight="1">
      <c r="A278" s="145"/>
      <c r="B278" s="145"/>
      <c r="C278" s="145"/>
      <c r="D278" s="145"/>
      <c r="E278" s="145"/>
      <c r="F278" s="145"/>
      <c r="G278" s="145"/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</row>
    <row r="279" ht="15.75" customHeight="1">
      <c r="A279" s="145"/>
      <c r="B279" s="145"/>
      <c r="C279" s="145"/>
      <c r="D279" s="145"/>
      <c r="E279" s="145"/>
      <c r="F279" s="145"/>
      <c r="G279" s="145"/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</row>
    <row r="280" ht="15.75" customHeight="1">
      <c r="A280" s="145"/>
      <c r="B280" s="145"/>
      <c r="C280" s="145"/>
      <c r="D280" s="145"/>
      <c r="E280" s="145"/>
      <c r="F280" s="145"/>
      <c r="G280" s="145"/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</row>
    <row r="281" ht="15.75" customHeight="1">
      <c r="A281" s="145"/>
      <c r="B281" s="145"/>
      <c r="C281" s="145"/>
      <c r="D281" s="145"/>
      <c r="E281" s="145"/>
      <c r="F281" s="145"/>
      <c r="G281" s="145"/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</row>
    <row r="282" ht="15.75" customHeight="1">
      <c r="A282" s="145"/>
      <c r="B282" s="145"/>
      <c r="C282" s="145"/>
      <c r="D282" s="145"/>
      <c r="E282" s="145"/>
      <c r="F282" s="145"/>
      <c r="G282" s="145"/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</row>
    <row r="283" ht="15.75" customHeight="1">
      <c r="A283" s="145"/>
      <c r="B283" s="145"/>
      <c r="C283" s="145"/>
      <c r="D283" s="145"/>
      <c r="E283" s="145"/>
      <c r="F283" s="145"/>
      <c r="G283" s="145"/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</row>
    <row r="284" ht="15.75" customHeight="1">
      <c r="A284" s="145"/>
      <c r="B284" s="145"/>
      <c r="C284" s="145"/>
      <c r="D284" s="145"/>
      <c r="E284" s="145"/>
      <c r="F284" s="145"/>
      <c r="G284" s="145"/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</row>
    <row r="285" ht="15.75" customHeight="1">
      <c r="A285" s="145"/>
      <c r="B285" s="145"/>
      <c r="C285" s="145"/>
      <c r="D285" s="145"/>
      <c r="E285" s="145"/>
      <c r="F285" s="145"/>
      <c r="G285" s="145"/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</row>
    <row r="286" ht="15.75" customHeight="1">
      <c r="A286" s="145"/>
      <c r="B286" s="145"/>
      <c r="C286" s="145"/>
      <c r="D286" s="145"/>
      <c r="E286" s="145"/>
      <c r="F286" s="145"/>
      <c r="G286" s="145"/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</row>
    <row r="287" ht="15.75" customHeight="1">
      <c r="A287" s="145"/>
      <c r="B287" s="145"/>
      <c r="C287" s="145"/>
      <c r="D287" s="145"/>
      <c r="E287" s="145"/>
      <c r="F287" s="145"/>
      <c r="G287" s="145"/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</row>
    <row r="288" ht="15.75" customHeight="1">
      <c r="A288" s="145"/>
      <c r="B288" s="145"/>
      <c r="C288" s="145"/>
      <c r="D288" s="145"/>
      <c r="E288" s="145"/>
      <c r="F288" s="145"/>
      <c r="G288" s="145"/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</row>
    <row r="289" ht="15.75" customHeight="1">
      <c r="A289" s="145"/>
      <c r="B289" s="145"/>
      <c r="C289" s="145"/>
      <c r="D289" s="145"/>
      <c r="E289" s="145"/>
      <c r="F289" s="145"/>
      <c r="G289" s="145"/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</row>
    <row r="290" ht="15.75" customHeight="1">
      <c r="A290" s="145"/>
      <c r="B290" s="145"/>
      <c r="C290" s="145"/>
      <c r="D290" s="145"/>
      <c r="E290" s="145"/>
      <c r="F290" s="145"/>
      <c r="G290" s="145"/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</row>
    <row r="291" ht="15.75" customHeight="1">
      <c r="A291" s="145"/>
      <c r="B291" s="145"/>
      <c r="C291" s="145"/>
      <c r="D291" s="145"/>
      <c r="E291" s="145"/>
      <c r="F291" s="145"/>
      <c r="G291" s="145"/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</row>
    <row r="292" ht="15.75" customHeight="1">
      <c r="A292" s="145"/>
      <c r="B292" s="145"/>
      <c r="C292" s="145"/>
      <c r="D292" s="145"/>
      <c r="E292" s="145"/>
      <c r="F292" s="145"/>
      <c r="G292" s="145"/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</row>
    <row r="293" ht="15.75" customHeight="1">
      <c r="A293" s="145"/>
      <c r="B293" s="145"/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</row>
    <row r="294" ht="15.75" customHeight="1">
      <c r="A294" s="145"/>
      <c r="B294" s="145"/>
      <c r="C294" s="145"/>
      <c r="D294" s="145"/>
      <c r="E294" s="145"/>
      <c r="F294" s="145"/>
      <c r="G294" s="145"/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</row>
    <row r="295" ht="15.75" customHeight="1">
      <c r="A295" s="145"/>
      <c r="B295" s="145"/>
      <c r="C295" s="145"/>
      <c r="D295" s="145"/>
      <c r="E295" s="145"/>
      <c r="F295" s="145"/>
      <c r="G295" s="145"/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</row>
    <row r="296" ht="15.75" customHeight="1">
      <c r="A296" s="145"/>
      <c r="B296" s="145"/>
      <c r="C296" s="145"/>
      <c r="D296" s="145"/>
      <c r="E296" s="145"/>
      <c r="F296" s="145"/>
      <c r="G296" s="145"/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</row>
    <row r="297" ht="15.75" customHeight="1">
      <c r="A297" s="145"/>
      <c r="B297" s="145"/>
      <c r="C297" s="145"/>
      <c r="D297" s="145"/>
      <c r="E297" s="145"/>
      <c r="F297" s="145"/>
      <c r="G297" s="145"/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</row>
    <row r="298" ht="15.75" customHeight="1">
      <c r="A298" s="145"/>
      <c r="B298" s="145"/>
      <c r="C298" s="145"/>
      <c r="D298" s="145"/>
      <c r="E298" s="145"/>
      <c r="F298" s="145"/>
      <c r="G298" s="145"/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</row>
    <row r="299" ht="15.75" customHeight="1">
      <c r="A299" s="145"/>
      <c r="B299" s="145"/>
      <c r="C299" s="145"/>
      <c r="D299" s="145"/>
      <c r="E299" s="145"/>
      <c r="F299" s="145"/>
      <c r="G299" s="145"/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</row>
    <row r="300" ht="15.75" customHeight="1">
      <c r="A300" s="145"/>
      <c r="B300" s="145"/>
      <c r="C300" s="145"/>
      <c r="D300" s="145"/>
      <c r="E300" s="145"/>
      <c r="F300" s="145"/>
      <c r="G300" s="145"/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</row>
    <row r="301" ht="15.75" customHeight="1">
      <c r="A301" s="145"/>
      <c r="B301" s="145"/>
      <c r="C301" s="145"/>
      <c r="D301" s="145"/>
      <c r="E301" s="145"/>
      <c r="F301" s="145"/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</row>
    <row r="302" ht="15.75" customHeight="1">
      <c r="A302" s="145"/>
      <c r="B302" s="145"/>
      <c r="C302" s="145"/>
      <c r="D302" s="145"/>
      <c r="E302" s="145"/>
      <c r="F302" s="145"/>
      <c r="G302" s="145"/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</row>
    <row r="303" ht="15.75" customHeight="1">
      <c r="A303" s="145"/>
      <c r="B303" s="145"/>
      <c r="C303" s="145"/>
      <c r="D303" s="145"/>
      <c r="E303" s="145"/>
      <c r="F303" s="145"/>
      <c r="G303" s="145"/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</row>
    <row r="304" ht="15.75" customHeight="1">
      <c r="A304" s="145"/>
      <c r="B304" s="145"/>
      <c r="C304" s="145"/>
      <c r="D304" s="145"/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</row>
    <row r="305" ht="15.75" customHeight="1">
      <c r="A305" s="145"/>
      <c r="B305" s="145"/>
      <c r="C305" s="145"/>
      <c r="D305" s="145"/>
      <c r="E305" s="145"/>
      <c r="F305" s="145"/>
      <c r="G305" s="145"/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</row>
    <row r="306" ht="15.75" customHeight="1">
      <c r="A306" s="145"/>
      <c r="B306" s="145"/>
      <c r="C306" s="145"/>
      <c r="D306" s="145"/>
      <c r="E306" s="145"/>
      <c r="F306" s="145"/>
      <c r="G306" s="145"/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</row>
    <row r="307" ht="15.75" customHeight="1">
      <c r="A307" s="145"/>
      <c r="B307" s="145"/>
      <c r="C307" s="145"/>
      <c r="D307" s="145"/>
      <c r="E307" s="145"/>
      <c r="F307" s="145"/>
      <c r="G307" s="145"/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</row>
    <row r="308" ht="15.75" customHeight="1">
      <c r="A308" s="145"/>
      <c r="B308" s="145"/>
      <c r="C308" s="145"/>
      <c r="D308" s="145"/>
      <c r="E308" s="145"/>
      <c r="F308" s="145"/>
      <c r="G308" s="145"/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</row>
    <row r="309" ht="15.75" customHeight="1">
      <c r="A309" s="145"/>
      <c r="B309" s="145"/>
      <c r="C309" s="145"/>
      <c r="D309" s="145"/>
      <c r="E309" s="145"/>
      <c r="F309" s="145"/>
      <c r="G309" s="145"/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</row>
    <row r="310" ht="15.75" customHeight="1">
      <c r="A310" s="145"/>
      <c r="B310" s="145"/>
      <c r="C310" s="145"/>
      <c r="D310" s="145"/>
      <c r="E310" s="145"/>
      <c r="F310" s="145"/>
      <c r="G310" s="145"/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</row>
    <row r="311" ht="15.75" customHeight="1">
      <c r="A311" s="145"/>
      <c r="B311" s="145"/>
      <c r="C311" s="145"/>
      <c r="D311" s="145"/>
      <c r="E311" s="145"/>
      <c r="F311" s="145"/>
      <c r="G311" s="145"/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</row>
    <row r="312" ht="15.75" customHeight="1">
      <c r="A312" s="145"/>
      <c r="B312" s="145"/>
      <c r="C312" s="145"/>
      <c r="D312" s="145"/>
      <c r="E312" s="145"/>
      <c r="F312" s="145"/>
      <c r="G312" s="145"/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</row>
    <row r="313" ht="15.75" customHeight="1">
      <c r="A313" s="145"/>
      <c r="B313" s="145"/>
      <c r="C313" s="145"/>
      <c r="D313" s="145"/>
      <c r="E313" s="145"/>
      <c r="F313" s="145"/>
      <c r="G313" s="145"/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</row>
    <row r="314" ht="15.75" customHeight="1">
      <c r="A314" s="145"/>
      <c r="B314" s="145"/>
      <c r="C314" s="145"/>
      <c r="D314" s="145"/>
      <c r="E314" s="145"/>
      <c r="F314" s="145"/>
      <c r="G314" s="145"/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</row>
    <row r="315" ht="15.75" customHeight="1">
      <c r="A315" s="145"/>
      <c r="B315" s="145"/>
      <c r="C315" s="145"/>
      <c r="D315" s="145"/>
      <c r="E315" s="145"/>
      <c r="F315" s="145"/>
      <c r="G315" s="145"/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</row>
    <row r="316" ht="15.75" customHeight="1">
      <c r="A316" s="145"/>
      <c r="B316" s="145"/>
      <c r="C316" s="145"/>
      <c r="D316" s="145"/>
      <c r="E316" s="145"/>
      <c r="F316" s="145"/>
      <c r="G316" s="145"/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</row>
    <row r="317" ht="15.75" customHeight="1">
      <c r="A317" s="145"/>
      <c r="B317" s="145"/>
      <c r="C317" s="145"/>
      <c r="D317" s="145"/>
      <c r="E317" s="145"/>
      <c r="F317" s="145"/>
      <c r="G317" s="145"/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</row>
    <row r="318" ht="15.75" customHeight="1">
      <c r="A318" s="145"/>
      <c r="B318" s="145"/>
      <c r="C318" s="145"/>
      <c r="D318" s="145"/>
      <c r="E318" s="145"/>
      <c r="F318" s="145"/>
      <c r="G318" s="145"/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</row>
    <row r="319" ht="15.75" customHeight="1">
      <c r="A319" s="145"/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</row>
    <row r="320" ht="15.75" customHeight="1">
      <c r="A320" s="145"/>
      <c r="B320" s="145"/>
      <c r="C320" s="145"/>
      <c r="D320" s="145"/>
      <c r="E320" s="145"/>
      <c r="F320" s="145"/>
      <c r="G320" s="145"/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</row>
    <row r="321" ht="15.75" customHeight="1">
      <c r="A321" s="145"/>
      <c r="B321" s="145"/>
      <c r="C321" s="145"/>
      <c r="D321" s="145"/>
      <c r="E321" s="145"/>
      <c r="F321" s="145"/>
      <c r="G321" s="145"/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</row>
    <row r="322" ht="15.75" customHeight="1">
      <c r="A322" s="145"/>
      <c r="B322" s="145"/>
      <c r="C322" s="145"/>
      <c r="D322" s="145"/>
      <c r="E322" s="145"/>
      <c r="F322" s="145"/>
      <c r="G322" s="145"/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</row>
    <row r="323" ht="15.75" customHeight="1">
      <c r="A323" s="145"/>
      <c r="B323" s="145"/>
      <c r="C323" s="145"/>
      <c r="D323" s="145"/>
      <c r="E323" s="145"/>
      <c r="F323" s="145"/>
      <c r="G323" s="145"/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</row>
    <row r="324" ht="15.75" customHeight="1">
      <c r="A324" s="145"/>
      <c r="B324" s="145"/>
      <c r="C324" s="145"/>
      <c r="D324" s="145"/>
      <c r="E324" s="145"/>
      <c r="F324" s="145"/>
      <c r="G324" s="145"/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</row>
    <row r="325" ht="15.75" customHeight="1">
      <c r="A325" s="145"/>
      <c r="B325" s="145"/>
      <c r="C325" s="145"/>
      <c r="D325" s="145"/>
      <c r="E325" s="145"/>
      <c r="F325" s="145"/>
      <c r="G325" s="145"/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</row>
    <row r="326" ht="15.75" customHeight="1">
      <c r="A326" s="145"/>
      <c r="B326" s="145"/>
      <c r="C326" s="145"/>
      <c r="D326" s="145"/>
      <c r="E326" s="145"/>
      <c r="F326" s="145"/>
      <c r="G326" s="145"/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</row>
    <row r="327" ht="15.75" customHeight="1">
      <c r="A327" s="145"/>
      <c r="B327" s="145"/>
      <c r="C327" s="145"/>
      <c r="D327" s="145"/>
      <c r="E327" s="145"/>
      <c r="F327" s="145"/>
      <c r="G327" s="145"/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</row>
    <row r="328" ht="15.75" customHeight="1">
      <c r="A328" s="145"/>
      <c r="B328" s="145"/>
      <c r="C328" s="145"/>
      <c r="D328" s="145"/>
      <c r="E328" s="145"/>
      <c r="F328" s="145"/>
      <c r="G328" s="145"/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</row>
    <row r="329" ht="15.75" customHeight="1">
      <c r="A329" s="145"/>
      <c r="B329" s="145"/>
      <c r="C329" s="145"/>
      <c r="D329" s="145"/>
      <c r="E329" s="145"/>
      <c r="F329" s="145"/>
      <c r="G329" s="145"/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</row>
    <row r="330" ht="15.75" customHeight="1">
      <c r="A330" s="145"/>
      <c r="B330" s="145"/>
      <c r="C330" s="145"/>
      <c r="D330" s="145"/>
      <c r="E330" s="145"/>
      <c r="F330" s="145"/>
      <c r="G330" s="145"/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</row>
    <row r="331" ht="15.75" customHeight="1">
      <c r="A331" s="145"/>
      <c r="B331" s="145"/>
      <c r="C331" s="145"/>
      <c r="D331" s="145"/>
      <c r="E331" s="145"/>
      <c r="F331" s="145"/>
      <c r="G331" s="145"/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</row>
    <row r="332" ht="15.75" customHeight="1">
      <c r="A332" s="145"/>
      <c r="B332" s="145"/>
      <c r="C332" s="145"/>
      <c r="D332" s="145"/>
      <c r="E332" s="145"/>
      <c r="F332" s="145"/>
      <c r="G332" s="145"/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</row>
    <row r="333" ht="15.75" customHeight="1">
      <c r="A333" s="145"/>
      <c r="B333" s="145"/>
      <c r="C333" s="145"/>
      <c r="D333" s="145"/>
      <c r="E333" s="145"/>
      <c r="F333" s="145"/>
      <c r="G333" s="145"/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</row>
    <row r="334" ht="15.75" customHeight="1">
      <c r="A334" s="145"/>
      <c r="B334" s="145"/>
      <c r="C334" s="145"/>
      <c r="D334" s="145"/>
      <c r="E334" s="145"/>
      <c r="F334" s="145"/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</row>
    <row r="335" ht="15.75" customHeight="1">
      <c r="A335" s="145"/>
      <c r="B335" s="145"/>
      <c r="C335" s="145"/>
      <c r="D335" s="145"/>
      <c r="E335" s="145"/>
      <c r="F335" s="145"/>
      <c r="G335" s="145"/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</row>
    <row r="336" ht="15.75" customHeight="1">
      <c r="A336" s="145"/>
      <c r="B336" s="145"/>
      <c r="C336" s="145"/>
      <c r="D336" s="145"/>
      <c r="E336" s="145"/>
      <c r="F336" s="145"/>
      <c r="G336" s="145"/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</row>
    <row r="337" ht="15.75" customHeight="1">
      <c r="A337" s="145"/>
      <c r="B337" s="145"/>
      <c r="C337" s="145"/>
      <c r="D337" s="145"/>
      <c r="E337" s="145"/>
      <c r="F337" s="145"/>
      <c r="G337" s="145"/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</row>
    <row r="338" ht="15.75" customHeight="1">
      <c r="A338" s="145"/>
      <c r="B338" s="145"/>
      <c r="C338" s="145"/>
      <c r="D338" s="145"/>
      <c r="E338" s="145"/>
      <c r="F338" s="145"/>
      <c r="G338" s="145"/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</row>
    <row r="339" ht="15.75" customHeight="1">
      <c r="A339" s="145"/>
      <c r="B339" s="145"/>
      <c r="C339" s="145"/>
      <c r="D339" s="145"/>
      <c r="E339" s="145"/>
      <c r="F339" s="145"/>
      <c r="G339" s="145"/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</row>
    <row r="340" ht="15.75" customHeight="1">
      <c r="A340" s="145"/>
      <c r="B340" s="145"/>
      <c r="C340" s="145"/>
      <c r="D340" s="145"/>
      <c r="E340" s="145"/>
      <c r="F340" s="145"/>
      <c r="G340" s="145"/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</row>
    <row r="341" ht="15.75" customHeight="1">
      <c r="A341" s="145"/>
      <c r="B341" s="145"/>
      <c r="C341" s="145"/>
      <c r="D341" s="145"/>
      <c r="E341" s="145"/>
      <c r="F341" s="145"/>
      <c r="G341" s="145"/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</row>
    <row r="342" ht="15.75" customHeight="1">
      <c r="A342" s="145"/>
      <c r="B342" s="145"/>
      <c r="C342" s="145"/>
      <c r="D342" s="145"/>
      <c r="E342" s="145"/>
      <c r="F342" s="145"/>
      <c r="G342" s="145"/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</row>
    <row r="343" ht="15.75" customHeight="1">
      <c r="A343" s="145"/>
      <c r="B343" s="145"/>
      <c r="C343" s="145"/>
      <c r="D343" s="145"/>
      <c r="E343" s="145"/>
      <c r="F343" s="145"/>
      <c r="G343" s="145"/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</row>
    <row r="344" ht="15.75" customHeight="1">
      <c r="A344" s="145"/>
      <c r="B344" s="145"/>
      <c r="C344" s="145"/>
      <c r="D344" s="145"/>
      <c r="E344" s="145"/>
      <c r="F344" s="145"/>
      <c r="G344" s="145"/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</row>
    <row r="345" ht="15.75" customHeight="1">
      <c r="A345" s="145"/>
      <c r="B345" s="145"/>
      <c r="C345" s="145"/>
      <c r="D345" s="145"/>
      <c r="E345" s="145"/>
      <c r="F345" s="145"/>
      <c r="G345" s="145"/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</row>
    <row r="346" ht="15.75" customHeight="1">
      <c r="A346" s="145"/>
      <c r="B346" s="145"/>
      <c r="C346" s="145"/>
      <c r="D346" s="145"/>
      <c r="E346" s="145"/>
      <c r="F346" s="145"/>
      <c r="G346" s="145"/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</row>
    <row r="347" ht="15.75" customHeight="1">
      <c r="A347" s="145"/>
      <c r="B347" s="145"/>
      <c r="C347" s="145"/>
      <c r="D347" s="145"/>
      <c r="E347" s="145"/>
      <c r="F347" s="145"/>
      <c r="G347" s="145"/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</row>
    <row r="348" ht="15.75" customHeight="1">
      <c r="A348" s="145"/>
      <c r="B348" s="145"/>
      <c r="C348" s="145"/>
      <c r="D348" s="145"/>
      <c r="E348" s="145"/>
      <c r="F348" s="145"/>
      <c r="G348" s="145"/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</row>
    <row r="349" ht="15.75" customHeight="1">
      <c r="A349" s="145"/>
      <c r="B349" s="145"/>
      <c r="C349" s="145"/>
      <c r="D349" s="145"/>
      <c r="E349" s="145"/>
      <c r="F349" s="145"/>
      <c r="G349" s="145"/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</row>
    <row r="350" ht="15.75" customHeight="1">
      <c r="A350" s="145"/>
      <c r="B350" s="145"/>
      <c r="C350" s="145"/>
      <c r="D350" s="145"/>
      <c r="E350" s="145"/>
      <c r="F350" s="145"/>
      <c r="G350" s="145"/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</row>
    <row r="351" ht="15.75" customHeight="1">
      <c r="A351" s="145"/>
      <c r="B351" s="145"/>
      <c r="C351" s="145"/>
      <c r="D351" s="145"/>
      <c r="E351" s="145"/>
      <c r="F351" s="145"/>
      <c r="G351" s="145"/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</row>
    <row r="352" ht="15.75" customHeight="1">
      <c r="A352" s="145"/>
      <c r="B352" s="145"/>
      <c r="C352" s="145"/>
      <c r="D352" s="145"/>
      <c r="E352" s="145"/>
      <c r="F352" s="145"/>
      <c r="G352" s="145"/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</row>
    <row r="353" ht="15.75" customHeight="1">
      <c r="A353" s="145"/>
      <c r="B353" s="145"/>
      <c r="C353" s="145"/>
      <c r="D353" s="145"/>
      <c r="E353" s="145"/>
      <c r="F353" s="145"/>
      <c r="G353" s="145"/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</row>
    <row r="354" ht="15.75" customHeight="1">
      <c r="A354" s="145"/>
      <c r="B354" s="145"/>
      <c r="C354" s="145"/>
      <c r="D354" s="145"/>
      <c r="E354" s="145"/>
      <c r="F354" s="145"/>
      <c r="G354" s="145"/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</row>
    <row r="355" ht="15.75" customHeight="1">
      <c r="A355" s="145"/>
      <c r="B355" s="145"/>
      <c r="C355" s="145"/>
      <c r="D355" s="145"/>
      <c r="E355" s="145"/>
      <c r="F355" s="145"/>
      <c r="G355" s="145"/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</row>
    <row r="356" ht="15.75" customHeight="1">
      <c r="A356" s="145"/>
      <c r="B356" s="145"/>
      <c r="C356" s="145"/>
      <c r="D356" s="145"/>
      <c r="E356" s="145"/>
      <c r="F356" s="145"/>
      <c r="G356" s="145"/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</row>
    <row r="357" ht="15.75" customHeight="1">
      <c r="A357" s="145"/>
      <c r="B357" s="145"/>
      <c r="C357" s="145"/>
      <c r="D357" s="145"/>
      <c r="E357" s="145"/>
      <c r="F357" s="145"/>
      <c r="G357" s="145"/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</row>
    <row r="358" ht="15.75" customHeight="1">
      <c r="A358" s="145"/>
      <c r="B358" s="145"/>
      <c r="C358" s="145"/>
      <c r="D358" s="145"/>
      <c r="E358" s="145"/>
      <c r="F358" s="145"/>
      <c r="G358" s="145"/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</row>
    <row r="359" ht="15.75" customHeight="1">
      <c r="A359" s="145"/>
      <c r="B359" s="145"/>
      <c r="C359" s="145"/>
      <c r="D359" s="145"/>
      <c r="E359" s="145"/>
      <c r="F359" s="145"/>
      <c r="G359" s="145"/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</row>
    <row r="360" ht="15.75" customHeight="1">
      <c r="A360" s="145"/>
      <c r="B360" s="145"/>
      <c r="C360" s="145"/>
      <c r="D360" s="145"/>
      <c r="E360" s="145"/>
      <c r="F360" s="145"/>
      <c r="G360" s="145"/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</row>
    <row r="361" ht="15.75" customHeight="1">
      <c r="A361" s="145"/>
      <c r="B361" s="145"/>
      <c r="C361" s="145"/>
      <c r="D361" s="145"/>
      <c r="E361" s="145"/>
      <c r="F361" s="145"/>
      <c r="G361" s="145"/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</row>
    <row r="362" ht="15.75" customHeight="1">
      <c r="A362" s="145"/>
      <c r="B362" s="145"/>
      <c r="C362" s="145"/>
      <c r="D362" s="145"/>
      <c r="E362" s="145"/>
      <c r="F362" s="145"/>
      <c r="G362" s="145"/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</row>
    <row r="363" ht="15.75" customHeight="1">
      <c r="A363" s="145"/>
      <c r="B363" s="145"/>
      <c r="C363" s="145"/>
      <c r="D363" s="145"/>
      <c r="E363" s="145"/>
      <c r="F363" s="145"/>
      <c r="G363" s="145"/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</row>
    <row r="364" ht="15.75" customHeight="1">
      <c r="A364" s="145"/>
      <c r="B364" s="145"/>
      <c r="C364" s="145"/>
      <c r="D364" s="145"/>
      <c r="E364" s="145"/>
      <c r="F364" s="145"/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  <c r="AG364" s="145"/>
    </row>
    <row r="365" ht="15.75" customHeight="1">
      <c r="A365" s="145"/>
      <c r="B365" s="145"/>
      <c r="C365" s="145"/>
      <c r="D365" s="145"/>
      <c r="E365" s="145"/>
      <c r="F365" s="145"/>
      <c r="G365" s="145"/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  <c r="AG365" s="145"/>
    </row>
    <row r="366" ht="15.75" customHeight="1">
      <c r="A366" s="145"/>
      <c r="B366" s="145"/>
      <c r="C366" s="145"/>
      <c r="D366" s="145"/>
      <c r="E366" s="145"/>
      <c r="F366" s="145"/>
      <c r="G366" s="145"/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  <c r="AG366" s="145"/>
    </row>
    <row r="367" ht="15.75" customHeight="1">
      <c r="A367" s="145"/>
      <c r="B367" s="145"/>
      <c r="C367" s="145"/>
      <c r="D367" s="145"/>
      <c r="E367" s="145"/>
      <c r="F367" s="145"/>
      <c r="G367" s="145"/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  <c r="AG367" s="145"/>
    </row>
    <row r="368" ht="15.75" customHeight="1">
      <c r="A368" s="145"/>
      <c r="B368" s="145"/>
      <c r="C368" s="145"/>
      <c r="D368" s="145"/>
      <c r="E368" s="145"/>
      <c r="F368" s="145"/>
      <c r="G368" s="145"/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</row>
    <row r="369" ht="15.75" customHeight="1">
      <c r="A369" s="145"/>
      <c r="B369" s="145"/>
      <c r="C369" s="145"/>
      <c r="D369" s="145"/>
      <c r="E369" s="145"/>
      <c r="F369" s="145"/>
      <c r="G369" s="145"/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  <c r="AG369" s="145"/>
    </row>
    <row r="370" ht="15.75" customHeight="1">
      <c r="A370" s="145"/>
      <c r="B370" s="145"/>
      <c r="C370" s="145"/>
      <c r="D370" s="145"/>
      <c r="E370" s="145"/>
      <c r="F370" s="145"/>
      <c r="G370" s="145"/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  <c r="AG370" s="145"/>
    </row>
    <row r="371" ht="15.75" customHeight="1">
      <c r="A371" s="145"/>
      <c r="B371" s="145"/>
      <c r="C371" s="145"/>
      <c r="D371" s="145"/>
      <c r="E371" s="145"/>
      <c r="F371" s="145"/>
      <c r="G371" s="145"/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  <c r="AG371" s="145"/>
    </row>
    <row r="372" ht="15.75" customHeight="1">
      <c r="A372" s="145"/>
      <c r="B372" s="145"/>
      <c r="C372" s="145"/>
      <c r="D372" s="145"/>
      <c r="E372" s="145"/>
      <c r="F372" s="145"/>
      <c r="G372" s="145"/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</row>
    <row r="373" ht="15.75" customHeight="1">
      <c r="A373" s="145"/>
      <c r="B373" s="145"/>
      <c r="C373" s="145"/>
      <c r="D373" s="145"/>
      <c r="E373" s="145"/>
      <c r="F373" s="145"/>
      <c r="G373" s="145"/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  <c r="AG373" s="145"/>
    </row>
    <row r="374" ht="15.75" customHeight="1">
      <c r="A374" s="145"/>
      <c r="B374" s="145"/>
      <c r="C374" s="145"/>
      <c r="D374" s="145"/>
      <c r="E374" s="145"/>
      <c r="F374" s="145"/>
      <c r="G374" s="145"/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  <c r="AG374" s="145"/>
    </row>
    <row r="375" ht="15.75" customHeight="1">
      <c r="A375" s="145"/>
      <c r="B375" s="145"/>
      <c r="C375" s="145"/>
      <c r="D375" s="145"/>
      <c r="E375" s="145"/>
      <c r="F375" s="145"/>
      <c r="G375" s="145"/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</row>
    <row r="376" ht="15.75" customHeight="1">
      <c r="A376" s="145"/>
      <c r="B376" s="145"/>
      <c r="C376" s="145"/>
      <c r="D376" s="145"/>
      <c r="E376" s="145"/>
      <c r="F376" s="145"/>
      <c r="G376" s="145"/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  <c r="AG376" s="145"/>
    </row>
    <row r="377" ht="15.75" customHeight="1">
      <c r="A377" s="145"/>
      <c r="B377" s="145"/>
      <c r="C377" s="145"/>
      <c r="D377" s="145"/>
      <c r="E377" s="145"/>
      <c r="F377" s="145"/>
      <c r="G377" s="145"/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  <c r="AG377" s="145"/>
    </row>
    <row r="378" ht="15.75" customHeight="1">
      <c r="A378" s="145"/>
      <c r="B378" s="145"/>
      <c r="C378" s="145"/>
      <c r="D378" s="145"/>
      <c r="E378" s="145"/>
      <c r="F378" s="145"/>
      <c r="G378" s="145"/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  <c r="AG378" s="145"/>
    </row>
    <row r="379" ht="15.75" customHeight="1">
      <c r="A379" s="145"/>
      <c r="B379" s="145"/>
      <c r="C379" s="145"/>
      <c r="D379" s="145"/>
      <c r="E379" s="145"/>
      <c r="F379" s="145"/>
      <c r="G379" s="145"/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  <c r="AG379" s="145"/>
    </row>
    <row r="380" ht="15.75" customHeight="1">
      <c r="A380" s="145"/>
      <c r="B380" s="145"/>
      <c r="C380" s="145"/>
      <c r="D380" s="145"/>
      <c r="E380" s="145"/>
      <c r="F380" s="145"/>
      <c r="G380" s="145"/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  <c r="AG380" s="145"/>
    </row>
    <row r="381" ht="15.75" customHeight="1">
      <c r="A381" s="145"/>
      <c r="B381" s="145"/>
      <c r="C381" s="145"/>
      <c r="D381" s="145"/>
      <c r="E381" s="145"/>
      <c r="F381" s="145"/>
      <c r="G381" s="145"/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  <c r="AG381" s="145"/>
    </row>
    <row r="382" ht="15.75" customHeight="1">
      <c r="A382" s="145"/>
      <c r="B382" s="145"/>
      <c r="C382" s="145"/>
      <c r="D382" s="145"/>
      <c r="E382" s="145"/>
      <c r="F382" s="145"/>
      <c r="G382" s="145"/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  <c r="AG382" s="145"/>
    </row>
    <row r="383" ht="15.75" customHeight="1">
      <c r="A383" s="145"/>
      <c r="B383" s="145"/>
      <c r="C383" s="145"/>
      <c r="D383" s="145"/>
      <c r="E383" s="145"/>
      <c r="F383" s="145"/>
      <c r="G383" s="145"/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  <c r="AG383" s="145"/>
    </row>
    <row r="384" ht="15.75" customHeight="1">
      <c r="A384" s="145"/>
      <c r="B384" s="145"/>
      <c r="C384" s="145"/>
      <c r="D384" s="145"/>
      <c r="E384" s="145"/>
      <c r="F384" s="145"/>
      <c r="G384" s="145"/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  <c r="AG384" s="145"/>
    </row>
    <row r="385" ht="15.75" customHeight="1">
      <c r="A385" s="145"/>
      <c r="B385" s="145"/>
      <c r="C385" s="145"/>
      <c r="D385" s="145"/>
      <c r="E385" s="145"/>
      <c r="F385" s="145"/>
      <c r="G385" s="145"/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  <c r="AG385" s="145"/>
    </row>
    <row r="386" ht="15.75" customHeight="1">
      <c r="A386" s="145"/>
      <c r="B386" s="145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</row>
    <row r="387" ht="15.75" customHeight="1">
      <c r="A387" s="145"/>
      <c r="B387" s="145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</row>
    <row r="388" ht="15.75" customHeight="1">
      <c r="A388" s="145"/>
      <c r="B388" s="145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</row>
    <row r="389" ht="15.75" customHeight="1">
      <c r="A389" s="145"/>
      <c r="B389" s="145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</row>
    <row r="390" ht="15.75" customHeight="1">
      <c r="A390" s="145"/>
      <c r="B390" s="145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</row>
    <row r="391" ht="15.75" customHeight="1">
      <c r="A391" s="145"/>
      <c r="B391" s="145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</row>
    <row r="392" ht="15.75" customHeight="1">
      <c r="A392" s="145"/>
      <c r="B392" s="145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</row>
    <row r="393" ht="15.75" customHeight="1">
      <c r="A393" s="145"/>
      <c r="B393" s="145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</row>
    <row r="394" ht="15.75" customHeight="1">
      <c r="A394" s="145"/>
      <c r="B394" s="145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</row>
    <row r="395" ht="15.75" customHeight="1">
      <c r="A395" s="145"/>
      <c r="B395" s="145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</row>
    <row r="396" ht="15.75" customHeight="1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</row>
    <row r="397" ht="15.75" customHeight="1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</row>
    <row r="398" ht="15.75" customHeight="1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</row>
    <row r="399" ht="15.75" customHeight="1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</row>
    <row r="400" ht="15.75" customHeight="1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  <c r="AG400" s="145"/>
    </row>
    <row r="401" ht="15.75" customHeight="1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  <c r="AG401" s="145"/>
    </row>
    <row r="402" ht="15.75" customHeight="1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  <c r="AG402" s="145"/>
    </row>
    <row r="403" ht="15.75" customHeight="1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  <c r="AG403" s="145"/>
    </row>
    <row r="404" ht="15.75" customHeight="1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  <c r="AG404" s="145"/>
    </row>
    <row r="405" ht="15.75" customHeight="1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  <c r="AG405" s="145"/>
    </row>
    <row r="406" ht="15.75" customHeight="1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  <c r="AG406" s="145"/>
    </row>
    <row r="407" ht="15.75" customHeight="1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  <c r="AG407" s="145"/>
    </row>
    <row r="408" ht="15.75" customHeight="1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  <c r="AG408" s="145"/>
    </row>
    <row r="409" ht="15.75" customHeight="1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  <c r="AG409" s="145"/>
    </row>
    <row r="410" ht="15.75" customHeight="1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  <c r="AG410" s="145"/>
    </row>
    <row r="411" ht="15.75" customHeight="1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  <c r="AG411" s="145"/>
    </row>
    <row r="412" ht="15.75" customHeight="1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  <c r="AG412" s="145"/>
    </row>
    <row r="413" ht="15.75" customHeight="1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  <c r="AG413" s="145"/>
    </row>
    <row r="414" ht="15.75" customHeight="1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  <c r="AG414" s="145"/>
    </row>
    <row r="415" ht="15.75" customHeight="1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  <c r="AG415" s="145"/>
    </row>
    <row r="416" ht="15.75" customHeight="1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  <c r="AG416" s="145"/>
    </row>
    <row r="417" ht="15.75" customHeight="1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  <c r="AG417" s="145"/>
    </row>
    <row r="418" ht="15.75" customHeight="1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  <c r="AG418" s="145"/>
    </row>
    <row r="419" ht="15.75" customHeight="1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  <c r="AG419" s="145"/>
    </row>
    <row r="420" ht="15.75" customHeight="1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  <c r="AG420" s="145"/>
    </row>
    <row r="421" ht="15.75" customHeight="1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  <c r="AG421" s="145"/>
    </row>
    <row r="422" ht="15.75" customHeight="1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  <c r="AG422" s="145"/>
    </row>
    <row r="423" ht="15.75" customHeight="1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  <c r="AG423" s="145"/>
    </row>
    <row r="424" ht="15.75" customHeight="1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  <c r="AG424" s="145"/>
    </row>
    <row r="425" ht="15.75" customHeight="1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  <c r="AG425" s="145"/>
    </row>
    <row r="426" ht="15.75" customHeight="1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  <c r="AG426" s="145"/>
    </row>
    <row r="427" ht="15.75" customHeight="1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  <c r="AG427" s="145"/>
    </row>
    <row r="428" ht="15.75" customHeight="1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  <c r="AG428" s="145"/>
    </row>
    <row r="429" ht="15.75" customHeight="1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  <c r="AG429" s="145"/>
    </row>
    <row r="430" ht="15.75" customHeight="1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  <c r="AG430" s="145"/>
    </row>
    <row r="431" ht="15.75" customHeight="1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  <c r="AG431" s="145"/>
    </row>
    <row r="432" ht="15.75" customHeight="1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  <c r="AG432" s="145"/>
    </row>
    <row r="433" ht="15.75" customHeight="1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  <c r="AG433" s="145"/>
    </row>
    <row r="434" ht="15.75" customHeight="1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  <c r="AG434" s="145"/>
    </row>
    <row r="435" ht="15.75" customHeight="1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  <c r="AG435" s="145"/>
    </row>
    <row r="436" ht="15.75" customHeight="1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  <c r="AG436" s="145"/>
    </row>
    <row r="437" ht="15.75" customHeight="1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  <c r="AG437" s="145"/>
    </row>
    <row r="438" ht="15.75" customHeight="1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  <c r="AG438" s="145"/>
    </row>
    <row r="439" ht="15.75" customHeight="1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  <c r="AG439" s="145"/>
    </row>
    <row r="440" ht="15.75" customHeight="1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  <c r="AG440" s="145"/>
    </row>
    <row r="441" ht="15.75" customHeight="1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  <c r="AG441" s="145"/>
    </row>
    <row r="442" ht="15.75" customHeight="1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  <c r="AG442" s="145"/>
    </row>
    <row r="443" ht="15.75" customHeight="1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  <c r="AG443" s="145"/>
    </row>
    <row r="444" ht="15.75" customHeight="1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  <c r="AG444" s="145"/>
    </row>
    <row r="445" ht="15.75" customHeight="1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  <c r="AG445" s="145"/>
    </row>
    <row r="446" ht="15.75" customHeight="1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  <c r="AG446" s="145"/>
    </row>
    <row r="447" ht="15.75" customHeight="1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  <c r="AG447" s="145"/>
    </row>
    <row r="448" ht="15.75" customHeight="1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  <c r="AG448" s="145"/>
    </row>
    <row r="449" ht="15.75" customHeight="1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  <c r="AG449" s="145"/>
    </row>
    <row r="450" ht="15.75" customHeight="1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  <c r="AG450" s="145"/>
    </row>
    <row r="451" ht="15.75" customHeight="1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  <c r="AG451" s="145"/>
    </row>
    <row r="452" ht="15.75" customHeight="1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  <c r="AG452" s="145"/>
    </row>
    <row r="453" ht="15.75" customHeight="1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  <c r="AG453" s="145"/>
    </row>
    <row r="454" ht="15.75" customHeight="1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  <c r="AG454" s="145"/>
    </row>
    <row r="455" ht="15.75" customHeight="1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  <c r="AG455" s="145"/>
    </row>
    <row r="456" ht="15.75" customHeight="1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  <c r="AG456" s="145"/>
    </row>
    <row r="457" ht="15.75" customHeight="1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  <c r="AG457" s="145"/>
    </row>
    <row r="458" ht="15.75" customHeight="1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  <c r="AG458" s="145"/>
    </row>
    <row r="459" ht="15.75" customHeight="1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  <c r="AG459" s="145"/>
    </row>
    <row r="460" ht="15.75" customHeight="1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  <c r="AG460" s="145"/>
    </row>
    <row r="461" ht="15.75" customHeight="1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  <c r="AG461" s="145"/>
    </row>
    <row r="462" ht="15.75" customHeight="1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  <c r="AG462" s="145"/>
    </row>
    <row r="463" ht="15.75" customHeight="1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  <c r="AG463" s="145"/>
    </row>
    <row r="464" ht="15.75" customHeight="1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  <c r="AG464" s="145"/>
    </row>
    <row r="465" ht="15.75" customHeight="1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  <c r="AG465" s="145"/>
    </row>
    <row r="466" ht="15.75" customHeight="1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  <c r="AG466" s="145"/>
    </row>
    <row r="467" ht="15.75" customHeight="1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  <c r="AG467" s="145"/>
    </row>
    <row r="468" ht="15.75" customHeight="1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  <c r="AG468" s="145"/>
    </row>
    <row r="469" ht="15.75" customHeight="1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  <c r="AG469" s="145"/>
    </row>
    <row r="470" ht="15.75" customHeight="1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  <c r="AG470" s="145"/>
    </row>
    <row r="471" ht="15.75" customHeight="1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  <c r="AG471" s="145"/>
    </row>
    <row r="472" ht="15.75" customHeight="1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  <c r="AG472" s="145"/>
    </row>
    <row r="473" ht="15.75" customHeight="1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  <c r="AG473" s="145"/>
    </row>
    <row r="474" ht="15.75" customHeight="1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  <c r="AG474" s="145"/>
    </row>
    <row r="475" ht="15.75" customHeight="1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  <c r="AG475" s="145"/>
    </row>
    <row r="476" ht="15.75" customHeight="1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  <c r="AG476" s="145"/>
    </row>
    <row r="477" ht="15.75" customHeight="1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  <c r="AG477" s="145"/>
    </row>
    <row r="478" ht="15.75" customHeight="1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  <c r="AG478" s="145"/>
    </row>
    <row r="479" ht="15.75" customHeight="1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  <c r="AG479" s="145"/>
    </row>
    <row r="480" ht="15.75" customHeight="1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  <c r="AG480" s="145"/>
    </row>
    <row r="481" ht="15.75" customHeight="1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  <c r="AG481" s="145"/>
    </row>
    <row r="482" ht="15.75" customHeight="1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  <c r="AG482" s="145"/>
    </row>
    <row r="483" ht="15.75" customHeight="1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  <c r="AG483" s="145"/>
    </row>
    <row r="484" ht="15.75" customHeight="1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  <c r="AG484" s="145"/>
    </row>
    <row r="485" ht="15.75" customHeight="1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  <c r="AG485" s="145"/>
    </row>
    <row r="486" ht="15.75" customHeight="1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  <c r="AG486" s="145"/>
    </row>
    <row r="487" ht="15.75" customHeight="1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  <c r="AG487" s="145"/>
    </row>
    <row r="488" ht="15.75" customHeight="1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  <c r="AG488" s="145"/>
    </row>
    <row r="489" ht="15.75" customHeight="1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  <c r="AG489" s="145"/>
    </row>
    <row r="490" ht="15.75" customHeight="1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  <c r="AG490" s="145"/>
    </row>
    <row r="491" ht="15.75" customHeight="1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  <c r="AG491" s="145"/>
    </row>
    <row r="492" ht="15.75" customHeight="1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  <c r="AG492" s="145"/>
    </row>
    <row r="493" ht="15.75" customHeight="1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  <c r="AG493" s="145"/>
    </row>
    <row r="494" ht="15.75" customHeight="1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  <c r="AG494" s="145"/>
    </row>
    <row r="495" ht="15.75" customHeight="1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  <c r="AG495" s="145"/>
    </row>
    <row r="496" ht="15.75" customHeight="1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  <c r="AG496" s="145"/>
    </row>
    <row r="497" ht="15.75" customHeight="1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  <c r="AG497" s="145"/>
    </row>
    <row r="498" ht="15.75" customHeight="1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  <c r="AG498" s="145"/>
    </row>
    <row r="499" ht="15.75" customHeight="1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  <c r="AG499" s="145"/>
    </row>
    <row r="500" ht="15.75" customHeight="1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  <c r="AG500" s="145"/>
    </row>
    <row r="501" ht="15.75" customHeight="1">
      <c r="A501" s="145"/>
      <c r="B501" s="145"/>
      <c r="C501" s="145"/>
      <c r="D501" s="145"/>
      <c r="E501" s="145"/>
      <c r="F501" s="145"/>
      <c r="G501" s="145"/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  <c r="AG501" s="145"/>
    </row>
    <row r="502" ht="15.75" customHeight="1">
      <c r="A502" s="145"/>
      <c r="B502" s="145"/>
      <c r="C502" s="145"/>
      <c r="D502" s="145"/>
      <c r="E502" s="145"/>
      <c r="F502" s="145"/>
      <c r="G502" s="145"/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  <c r="AG502" s="145"/>
    </row>
    <row r="503" ht="15.75" customHeight="1">
      <c r="A503" s="145"/>
      <c r="B503" s="145"/>
      <c r="C503" s="145"/>
      <c r="D503" s="145"/>
      <c r="E503" s="145"/>
      <c r="F503" s="145"/>
      <c r="G503" s="145"/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  <c r="AG503" s="145"/>
    </row>
    <row r="504" ht="15.75" customHeight="1">
      <c r="A504" s="145"/>
      <c r="B504" s="145"/>
      <c r="C504" s="145"/>
      <c r="D504" s="145"/>
      <c r="E504" s="145"/>
      <c r="F504" s="145"/>
      <c r="G504" s="145"/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  <c r="AG504" s="145"/>
    </row>
    <row r="505" ht="15.75" customHeight="1">
      <c r="A505" s="145"/>
      <c r="B505" s="145"/>
      <c r="C505" s="145"/>
      <c r="D505" s="145"/>
      <c r="E505" s="145"/>
      <c r="F505" s="145"/>
      <c r="G505" s="145"/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  <c r="AG505" s="145"/>
    </row>
    <row r="506" ht="15.75" customHeight="1">
      <c r="A506" s="145"/>
      <c r="B506" s="145"/>
      <c r="C506" s="145"/>
      <c r="D506" s="145"/>
      <c r="E506" s="145"/>
      <c r="F506" s="145"/>
      <c r="G506" s="145"/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  <c r="AG506" s="145"/>
    </row>
    <row r="507" ht="15.75" customHeight="1">
      <c r="A507" s="145"/>
      <c r="B507" s="145"/>
      <c r="C507" s="145"/>
      <c r="D507" s="145"/>
      <c r="E507" s="145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</row>
    <row r="508" ht="15.75" customHeight="1">
      <c r="A508" s="145"/>
      <c r="B508" s="145"/>
      <c r="C508" s="145"/>
      <c r="D508" s="145"/>
      <c r="E508" s="145"/>
      <c r="F508" s="145"/>
      <c r="G508" s="145"/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  <c r="AG508" s="145"/>
    </row>
    <row r="509" ht="15.75" customHeight="1">
      <c r="A509" s="145"/>
      <c r="B509" s="145"/>
      <c r="C509" s="145"/>
      <c r="D509" s="145"/>
      <c r="E509" s="145"/>
      <c r="F509" s="145"/>
      <c r="G509" s="145"/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  <c r="AG509" s="145"/>
    </row>
    <row r="510" ht="15.75" customHeight="1">
      <c r="A510" s="145"/>
      <c r="B510" s="145"/>
      <c r="C510" s="145"/>
      <c r="D510" s="145"/>
      <c r="E510" s="145"/>
      <c r="F510" s="145"/>
      <c r="G510" s="145"/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  <c r="AG510" s="145"/>
    </row>
    <row r="511" ht="15.75" customHeight="1">
      <c r="A511" s="145"/>
      <c r="B511" s="145"/>
      <c r="C511" s="145"/>
      <c r="D511" s="145"/>
      <c r="E511" s="145"/>
      <c r="F511" s="145"/>
      <c r="G511" s="145"/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  <c r="AG511" s="145"/>
    </row>
    <row r="512" ht="15.75" customHeight="1">
      <c r="A512" s="145"/>
      <c r="B512" s="145"/>
      <c r="C512" s="145"/>
      <c r="D512" s="145"/>
      <c r="E512" s="145"/>
      <c r="F512" s="145"/>
      <c r="G512" s="145"/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  <c r="AG512" s="145"/>
    </row>
    <row r="513" ht="15.75" customHeight="1">
      <c r="A513" s="145"/>
      <c r="B513" s="145"/>
      <c r="C513" s="145"/>
      <c r="D513" s="145"/>
      <c r="E513" s="145"/>
      <c r="F513" s="145"/>
      <c r="G513" s="145"/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  <c r="AG513" s="145"/>
    </row>
    <row r="514" ht="15.75" customHeight="1">
      <c r="A514" s="145"/>
      <c r="B514" s="145"/>
      <c r="C514" s="145"/>
      <c r="D514" s="145"/>
      <c r="E514" s="145"/>
      <c r="F514" s="145"/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  <c r="AG514" s="145"/>
    </row>
    <row r="515" ht="15.75" customHeight="1">
      <c r="A515" s="145"/>
      <c r="B515" s="145"/>
      <c r="C515" s="145"/>
      <c r="D515" s="145"/>
      <c r="E515" s="145"/>
      <c r="F515" s="145"/>
      <c r="G515" s="145"/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  <c r="AG515" s="145"/>
    </row>
    <row r="516" ht="15.75" customHeight="1">
      <c r="A516" s="145"/>
      <c r="B516" s="145"/>
      <c r="C516" s="145"/>
      <c r="D516" s="145"/>
      <c r="E516" s="145"/>
      <c r="F516" s="145"/>
      <c r="G516" s="145"/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  <c r="AG516" s="145"/>
    </row>
    <row r="517" ht="15.75" customHeight="1">
      <c r="A517" s="145"/>
      <c r="B517" s="145"/>
      <c r="C517" s="145"/>
      <c r="D517" s="145"/>
      <c r="E517" s="145"/>
      <c r="F517" s="145"/>
      <c r="G517" s="145"/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  <c r="AG517" s="145"/>
    </row>
    <row r="518" ht="15.75" customHeight="1">
      <c r="A518" s="145"/>
      <c r="B518" s="145"/>
      <c r="C518" s="145"/>
      <c r="D518" s="145"/>
      <c r="E518" s="145"/>
      <c r="F518" s="145"/>
      <c r="G518" s="145"/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  <c r="AG518" s="145"/>
    </row>
    <row r="519" ht="15.75" customHeight="1">
      <c r="A519" s="145"/>
      <c r="B519" s="145"/>
      <c r="C519" s="145"/>
      <c r="D519" s="145"/>
      <c r="E519" s="145"/>
      <c r="F519" s="145"/>
      <c r="G519" s="145"/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  <c r="AG519" s="145"/>
    </row>
    <row r="520" ht="15.75" customHeight="1">
      <c r="A520" s="145"/>
      <c r="B520" s="145"/>
      <c r="C520" s="145"/>
      <c r="D520" s="145"/>
      <c r="E520" s="145"/>
      <c r="F520" s="145"/>
      <c r="G520" s="145"/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  <c r="AG520" s="145"/>
    </row>
    <row r="521" ht="15.75" customHeight="1">
      <c r="A521" s="145"/>
      <c r="B521" s="145"/>
      <c r="C521" s="145"/>
      <c r="D521" s="145"/>
      <c r="E521" s="145"/>
      <c r="F521" s="145"/>
      <c r="G521" s="145"/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  <c r="AG521" s="145"/>
    </row>
    <row r="522" ht="15.75" customHeight="1">
      <c r="A522" s="145"/>
      <c r="B522" s="145"/>
      <c r="C522" s="145"/>
      <c r="D522" s="145"/>
      <c r="E522" s="145"/>
      <c r="F522" s="145"/>
      <c r="G522" s="145"/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  <c r="AG522" s="145"/>
    </row>
    <row r="523" ht="15.75" customHeight="1">
      <c r="A523" s="145"/>
      <c r="B523" s="145"/>
      <c r="C523" s="145"/>
      <c r="D523" s="145"/>
      <c r="E523" s="145"/>
      <c r="F523" s="145"/>
      <c r="G523" s="145"/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  <c r="AG523" s="145"/>
    </row>
    <row r="524" ht="15.75" customHeight="1">
      <c r="A524" s="145"/>
      <c r="B524" s="145"/>
      <c r="C524" s="145"/>
      <c r="D524" s="145"/>
      <c r="E524" s="145"/>
      <c r="F524" s="145"/>
      <c r="G524" s="145"/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  <c r="AG524" s="145"/>
    </row>
    <row r="525" ht="15.75" customHeight="1">
      <c r="A525" s="145"/>
      <c r="B525" s="145"/>
      <c r="C525" s="145"/>
      <c r="D525" s="145"/>
      <c r="E525" s="145"/>
      <c r="F525" s="145"/>
      <c r="G525" s="145"/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  <c r="AG525" s="145"/>
    </row>
    <row r="526" ht="15.75" customHeight="1">
      <c r="A526" s="145"/>
      <c r="B526" s="145"/>
      <c r="C526" s="145"/>
      <c r="D526" s="145"/>
      <c r="E526" s="145"/>
      <c r="F526" s="145"/>
      <c r="G526" s="145"/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  <c r="AG526" s="145"/>
    </row>
    <row r="527" ht="15.75" customHeight="1">
      <c r="A527" s="145"/>
      <c r="B527" s="145"/>
      <c r="C527" s="145"/>
      <c r="D527" s="145"/>
      <c r="E527" s="145"/>
      <c r="F527" s="145"/>
      <c r="G527" s="145"/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  <c r="AG527" s="145"/>
    </row>
    <row r="528" ht="15.75" customHeight="1">
      <c r="A528" s="145"/>
      <c r="B528" s="145"/>
      <c r="C528" s="145"/>
      <c r="D528" s="145"/>
      <c r="E528" s="145"/>
      <c r="F528" s="145"/>
      <c r="G528" s="145"/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  <c r="AG528" s="145"/>
    </row>
    <row r="529" ht="15.75" customHeight="1">
      <c r="A529" s="145"/>
      <c r="B529" s="145"/>
      <c r="C529" s="145"/>
      <c r="D529" s="145"/>
      <c r="E529" s="145"/>
      <c r="F529" s="145"/>
      <c r="G529" s="145"/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  <c r="AG529" s="145"/>
    </row>
    <row r="530" ht="15.75" customHeight="1">
      <c r="A530" s="145"/>
      <c r="B530" s="145"/>
      <c r="C530" s="145"/>
      <c r="D530" s="145"/>
      <c r="E530" s="145"/>
      <c r="F530" s="145"/>
      <c r="G530" s="145"/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  <c r="AG530" s="145"/>
    </row>
    <row r="531" ht="15.75" customHeight="1">
      <c r="A531" s="145"/>
      <c r="B531" s="145"/>
      <c r="C531" s="145"/>
      <c r="D531" s="145"/>
      <c r="E531" s="145"/>
      <c r="F531" s="145"/>
      <c r="G531" s="145"/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  <c r="AG531" s="145"/>
    </row>
    <row r="532" ht="15.75" customHeight="1">
      <c r="A532" s="145"/>
      <c r="B532" s="145"/>
      <c r="C532" s="145"/>
      <c r="D532" s="145"/>
      <c r="E532" s="145"/>
      <c r="F532" s="145"/>
      <c r="G532" s="145"/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  <c r="AG532" s="145"/>
    </row>
    <row r="533" ht="15.75" customHeight="1">
      <c r="A533" s="145"/>
      <c r="B533" s="145"/>
      <c r="C533" s="145"/>
      <c r="D533" s="145"/>
      <c r="E533" s="145"/>
      <c r="F533" s="145"/>
      <c r="G533" s="145"/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  <c r="AG533" s="145"/>
    </row>
    <row r="534" ht="15.75" customHeight="1">
      <c r="A534" s="145"/>
      <c r="B534" s="145"/>
      <c r="C534" s="145"/>
      <c r="D534" s="145"/>
      <c r="E534" s="145"/>
      <c r="F534" s="145"/>
      <c r="G534" s="145"/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  <c r="AG534" s="145"/>
    </row>
    <row r="535" ht="15.75" customHeight="1">
      <c r="A535" s="145"/>
      <c r="B535" s="145"/>
      <c r="C535" s="145"/>
      <c r="D535" s="145"/>
      <c r="E535" s="145"/>
      <c r="F535" s="145"/>
      <c r="G535" s="145"/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  <c r="AG535" s="145"/>
    </row>
    <row r="536" ht="15.75" customHeight="1">
      <c r="A536" s="145"/>
      <c r="B536" s="145"/>
      <c r="C536" s="145"/>
      <c r="D536" s="145"/>
      <c r="E536" s="145"/>
      <c r="F536" s="145"/>
      <c r="G536" s="145"/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  <c r="AG536" s="145"/>
    </row>
    <row r="537" ht="15.75" customHeight="1">
      <c r="A537" s="145"/>
      <c r="B537" s="145"/>
      <c r="C537" s="145"/>
      <c r="D537" s="145"/>
      <c r="E537" s="145"/>
      <c r="F537" s="145"/>
      <c r="G537" s="145"/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  <c r="AG537" s="145"/>
    </row>
    <row r="538" ht="15.75" customHeight="1">
      <c r="A538" s="145"/>
      <c r="B538" s="145"/>
      <c r="C538" s="145"/>
      <c r="D538" s="145"/>
      <c r="E538" s="145"/>
      <c r="F538" s="145"/>
      <c r="G538" s="145"/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  <c r="AG538" s="145"/>
    </row>
    <row r="539" ht="15.75" customHeight="1">
      <c r="A539" s="145"/>
      <c r="B539" s="145"/>
      <c r="C539" s="145"/>
      <c r="D539" s="145"/>
      <c r="E539" s="145"/>
      <c r="F539" s="145"/>
      <c r="G539" s="145"/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  <c r="AG539" s="145"/>
    </row>
    <row r="540" ht="15.75" customHeight="1">
      <c r="A540" s="145"/>
      <c r="B540" s="145"/>
      <c r="C540" s="145"/>
      <c r="D540" s="145"/>
      <c r="E540" s="145"/>
      <c r="F540" s="145"/>
      <c r="G540" s="145"/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  <c r="AG540" s="145"/>
    </row>
    <row r="541" ht="15.75" customHeight="1">
      <c r="A541" s="145"/>
      <c r="B541" s="145"/>
      <c r="C541" s="145"/>
      <c r="D541" s="145"/>
      <c r="E541" s="145"/>
      <c r="F541" s="145"/>
      <c r="G541" s="145"/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  <c r="AG541" s="145"/>
    </row>
    <row r="542" ht="15.75" customHeight="1">
      <c r="A542" s="145"/>
      <c r="B542" s="145"/>
      <c r="C542" s="145"/>
      <c r="D542" s="145"/>
      <c r="E542" s="145"/>
      <c r="F542" s="145"/>
      <c r="G542" s="145"/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  <c r="AG542" s="145"/>
    </row>
    <row r="543" ht="15.75" customHeight="1">
      <c r="A543" s="145"/>
      <c r="B543" s="145"/>
      <c r="C543" s="145"/>
      <c r="D543" s="145"/>
      <c r="E543" s="145"/>
      <c r="F543" s="145"/>
      <c r="G543" s="145"/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  <c r="AG543" s="145"/>
    </row>
    <row r="544" ht="15.75" customHeight="1">
      <c r="A544" s="145"/>
      <c r="B544" s="145"/>
      <c r="C544" s="145"/>
      <c r="D544" s="145"/>
      <c r="E544" s="145"/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  <c r="AG544" s="145"/>
    </row>
    <row r="545" ht="15.75" customHeight="1">
      <c r="A545" s="145"/>
      <c r="B545" s="145"/>
      <c r="C545" s="145"/>
      <c r="D545" s="145"/>
      <c r="E545" s="145"/>
      <c r="F545" s="145"/>
      <c r="G545" s="145"/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  <c r="AG545" s="145"/>
    </row>
    <row r="546" ht="15.75" customHeight="1">
      <c r="A546" s="145"/>
      <c r="B546" s="145"/>
      <c r="C546" s="145"/>
      <c r="D546" s="145"/>
      <c r="E546" s="145"/>
      <c r="F546" s="145"/>
      <c r="G546" s="145"/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  <c r="AG546" s="145"/>
    </row>
    <row r="547" ht="15.75" customHeight="1">
      <c r="A547" s="145"/>
      <c r="B547" s="145"/>
      <c r="C547" s="145"/>
      <c r="D547" s="145"/>
      <c r="E547" s="145"/>
      <c r="F547" s="145"/>
      <c r="G547" s="145"/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  <c r="AG547" s="145"/>
    </row>
    <row r="548" ht="15.75" customHeight="1">
      <c r="A548" s="145"/>
      <c r="B548" s="145"/>
      <c r="C548" s="145"/>
      <c r="D548" s="145"/>
      <c r="E548" s="145"/>
      <c r="F548" s="145"/>
      <c r="G548" s="145"/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  <c r="AG548" s="145"/>
    </row>
    <row r="549" ht="15.75" customHeight="1">
      <c r="A549" s="145"/>
      <c r="B549" s="145"/>
      <c r="C549" s="145"/>
      <c r="D549" s="145"/>
      <c r="E549" s="145"/>
      <c r="F549" s="145"/>
      <c r="G549" s="145"/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  <c r="AG549" s="145"/>
    </row>
    <row r="550" ht="15.75" customHeight="1">
      <c r="A550" s="145"/>
      <c r="B550" s="145"/>
      <c r="C550" s="145"/>
      <c r="D550" s="145"/>
      <c r="E550" s="145"/>
      <c r="F550" s="145"/>
      <c r="G550" s="145"/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  <c r="AG550" s="145"/>
    </row>
    <row r="551" ht="15.75" customHeight="1">
      <c r="A551" s="145"/>
      <c r="B551" s="145"/>
      <c r="C551" s="145"/>
      <c r="D551" s="145"/>
      <c r="E551" s="145"/>
      <c r="F551" s="145"/>
      <c r="G551" s="145"/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  <c r="AG551" s="145"/>
    </row>
    <row r="552" ht="15.75" customHeight="1">
      <c r="A552" s="145"/>
      <c r="B552" s="145"/>
      <c r="C552" s="145"/>
      <c r="D552" s="145"/>
      <c r="E552" s="145"/>
      <c r="F552" s="145"/>
      <c r="G552" s="145"/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  <c r="AG552" s="145"/>
    </row>
    <row r="553" ht="15.75" customHeight="1">
      <c r="A553" s="145"/>
      <c r="B553" s="145"/>
      <c r="C553" s="145"/>
      <c r="D553" s="145"/>
      <c r="E553" s="145"/>
      <c r="F553" s="145"/>
      <c r="G553" s="145"/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  <c r="AG553" s="145"/>
    </row>
    <row r="554" ht="15.75" customHeight="1">
      <c r="A554" s="145"/>
      <c r="B554" s="145"/>
      <c r="C554" s="145"/>
      <c r="D554" s="145"/>
      <c r="E554" s="145"/>
      <c r="F554" s="145"/>
      <c r="G554" s="145"/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  <c r="AG554" s="145"/>
    </row>
    <row r="555" ht="15.75" customHeight="1">
      <c r="A555" s="145"/>
      <c r="B555" s="145"/>
      <c r="C555" s="145"/>
      <c r="D555" s="145"/>
      <c r="E555" s="145"/>
      <c r="F555" s="145"/>
      <c r="G555" s="145"/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  <c r="AG555" s="145"/>
    </row>
    <row r="556" ht="15.75" customHeight="1">
      <c r="A556" s="145"/>
      <c r="B556" s="145"/>
      <c r="C556" s="145"/>
      <c r="D556" s="145"/>
      <c r="E556" s="145"/>
      <c r="F556" s="145"/>
      <c r="G556" s="145"/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  <c r="AG556" s="145"/>
    </row>
    <row r="557" ht="15.75" customHeight="1">
      <c r="A557" s="145"/>
      <c r="B557" s="145"/>
      <c r="C557" s="145"/>
      <c r="D557" s="145"/>
      <c r="E557" s="145"/>
      <c r="F557" s="145"/>
      <c r="G557" s="145"/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  <c r="AG557" s="145"/>
    </row>
    <row r="558" ht="15.75" customHeight="1">
      <c r="A558" s="145"/>
      <c r="B558" s="145"/>
      <c r="C558" s="145"/>
      <c r="D558" s="145"/>
      <c r="E558" s="145"/>
      <c r="F558" s="145"/>
      <c r="G558" s="145"/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  <c r="AG558" s="145"/>
    </row>
    <row r="559" ht="15.75" customHeight="1">
      <c r="A559" s="145"/>
      <c r="B559" s="145"/>
      <c r="C559" s="145"/>
      <c r="D559" s="145"/>
      <c r="E559" s="145"/>
      <c r="F559" s="145"/>
      <c r="G559" s="145"/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  <c r="AG559" s="145"/>
    </row>
    <row r="560" ht="15.75" customHeight="1">
      <c r="A560" s="145"/>
      <c r="B560" s="145"/>
      <c r="C560" s="145"/>
      <c r="D560" s="145"/>
      <c r="E560" s="145"/>
      <c r="F560" s="145"/>
      <c r="G560" s="145"/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  <c r="AG560" s="145"/>
    </row>
    <row r="561" ht="15.75" customHeight="1">
      <c r="A561" s="145"/>
      <c r="B561" s="145"/>
      <c r="C561" s="145"/>
      <c r="D561" s="145"/>
      <c r="E561" s="145"/>
      <c r="F561" s="145"/>
      <c r="G561" s="145"/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  <c r="AG561" s="145"/>
    </row>
    <row r="562" ht="15.75" customHeight="1">
      <c r="A562" s="145"/>
      <c r="B562" s="145"/>
      <c r="C562" s="145"/>
      <c r="D562" s="145"/>
      <c r="E562" s="145"/>
      <c r="F562" s="145"/>
      <c r="G562" s="145"/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  <c r="AG562" s="145"/>
    </row>
    <row r="563" ht="15.75" customHeight="1">
      <c r="A563" s="145"/>
      <c r="B563" s="145"/>
      <c r="C563" s="145"/>
      <c r="D563" s="145"/>
      <c r="E563" s="145"/>
      <c r="F563" s="145"/>
      <c r="G563" s="145"/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  <c r="AG563" s="145"/>
    </row>
    <row r="564" ht="15.75" customHeight="1">
      <c r="A564" s="145"/>
      <c r="B564" s="145"/>
      <c r="C564" s="145"/>
      <c r="D564" s="145"/>
      <c r="E564" s="145"/>
      <c r="F564" s="145"/>
      <c r="G564" s="145"/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  <c r="AG564" s="145"/>
    </row>
    <row r="565" ht="15.75" customHeight="1">
      <c r="A565" s="145"/>
      <c r="B565" s="145"/>
      <c r="C565" s="145"/>
      <c r="D565" s="145"/>
      <c r="E565" s="145"/>
      <c r="F565" s="145"/>
      <c r="G565" s="145"/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  <c r="AG565" s="145"/>
    </row>
    <row r="566" ht="15.75" customHeight="1">
      <c r="A566" s="145"/>
      <c r="B566" s="145"/>
      <c r="C566" s="145"/>
      <c r="D566" s="145"/>
      <c r="E566" s="145"/>
      <c r="F566" s="145"/>
      <c r="G566" s="145"/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  <c r="AG566" s="145"/>
    </row>
    <row r="567" ht="15.75" customHeight="1">
      <c r="A567" s="145"/>
      <c r="B567" s="145"/>
      <c r="C567" s="145"/>
      <c r="D567" s="145"/>
      <c r="E567" s="145"/>
      <c r="F567" s="145"/>
      <c r="G567" s="145"/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  <c r="AG567" s="145"/>
    </row>
    <row r="568" ht="15.75" customHeight="1">
      <c r="A568" s="145"/>
      <c r="B568" s="145"/>
      <c r="C568" s="145"/>
      <c r="D568" s="145"/>
      <c r="E568" s="145"/>
      <c r="F568" s="145"/>
      <c r="G568" s="145"/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  <c r="AG568" s="145"/>
    </row>
    <row r="569" ht="15.75" customHeight="1">
      <c r="A569" s="145"/>
      <c r="B569" s="145"/>
      <c r="C569" s="145"/>
      <c r="D569" s="145"/>
      <c r="E569" s="145"/>
      <c r="F569" s="145"/>
      <c r="G569" s="145"/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  <c r="AG569" s="145"/>
    </row>
    <row r="570" ht="15.75" customHeight="1">
      <c r="A570" s="145"/>
      <c r="B570" s="145"/>
      <c r="C570" s="145"/>
      <c r="D570" s="145"/>
      <c r="E570" s="145"/>
      <c r="F570" s="145"/>
      <c r="G570" s="145"/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  <c r="AG570" s="145"/>
    </row>
    <row r="571" ht="15.75" customHeight="1">
      <c r="A571" s="145"/>
      <c r="B571" s="145"/>
      <c r="C571" s="145"/>
      <c r="D571" s="145"/>
      <c r="E571" s="145"/>
      <c r="F571" s="145"/>
      <c r="G571" s="145"/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  <c r="AG571" s="145"/>
    </row>
    <row r="572" ht="15.75" customHeight="1">
      <c r="A572" s="145"/>
      <c r="B572" s="145"/>
      <c r="C572" s="145"/>
      <c r="D572" s="145"/>
      <c r="E572" s="145"/>
      <c r="F572" s="145"/>
      <c r="G572" s="145"/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  <c r="AG572" s="145"/>
    </row>
    <row r="573" ht="15.75" customHeight="1">
      <c r="A573" s="145"/>
      <c r="B573" s="145"/>
      <c r="C573" s="145"/>
      <c r="D573" s="145"/>
      <c r="E573" s="145"/>
      <c r="F573" s="145"/>
      <c r="G573" s="145"/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  <c r="AG573" s="145"/>
    </row>
    <row r="574" ht="15.75" customHeight="1">
      <c r="A574" s="145"/>
      <c r="B574" s="145"/>
      <c r="C574" s="145"/>
      <c r="D574" s="145"/>
      <c r="E574" s="145"/>
      <c r="F574" s="145"/>
      <c r="G574" s="145"/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  <c r="AG574" s="145"/>
    </row>
    <row r="575" ht="15.75" customHeight="1">
      <c r="A575" s="145"/>
      <c r="B575" s="145"/>
      <c r="C575" s="145"/>
      <c r="D575" s="145"/>
      <c r="E575" s="145"/>
      <c r="F575" s="145"/>
      <c r="G575" s="145"/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  <c r="AG575" s="145"/>
    </row>
    <row r="576" ht="15.75" customHeight="1">
      <c r="A576" s="145"/>
      <c r="B576" s="145"/>
      <c r="C576" s="145"/>
      <c r="D576" s="145"/>
      <c r="E576" s="145"/>
      <c r="F576" s="145"/>
      <c r="G576" s="145"/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  <c r="AG576" s="145"/>
    </row>
    <row r="577" ht="15.75" customHeight="1">
      <c r="A577" s="145"/>
      <c r="B577" s="145"/>
      <c r="C577" s="145"/>
      <c r="D577" s="145"/>
      <c r="E577" s="145"/>
      <c r="F577" s="145"/>
      <c r="G577" s="145"/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  <c r="AG577" s="145"/>
    </row>
    <row r="578" ht="15.75" customHeight="1">
      <c r="A578" s="145"/>
      <c r="B578" s="145"/>
      <c r="C578" s="145"/>
      <c r="D578" s="145"/>
      <c r="E578" s="145"/>
      <c r="F578" s="145"/>
      <c r="G578" s="145"/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  <c r="AG578" s="145"/>
    </row>
    <row r="579" ht="15.75" customHeight="1">
      <c r="A579" s="145"/>
      <c r="B579" s="145"/>
      <c r="C579" s="145"/>
      <c r="D579" s="145"/>
      <c r="E579" s="145"/>
      <c r="F579" s="145"/>
      <c r="G579" s="145"/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45"/>
      <c r="AG579" s="145"/>
    </row>
    <row r="580" ht="15.75" customHeight="1">
      <c r="A580" s="145"/>
      <c r="B580" s="145"/>
      <c r="C580" s="145"/>
      <c r="D580" s="145"/>
      <c r="E580" s="145"/>
      <c r="F580" s="145"/>
      <c r="G580" s="145"/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45"/>
      <c r="AG580" s="145"/>
    </row>
    <row r="581" ht="15.75" customHeight="1">
      <c r="A581" s="145"/>
      <c r="B581" s="145"/>
      <c r="C581" s="145"/>
      <c r="D581" s="145"/>
      <c r="E581" s="145"/>
      <c r="F581" s="145"/>
      <c r="G581" s="145"/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45"/>
      <c r="AG581" s="145"/>
    </row>
    <row r="582" ht="15.75" customHeight="1">
      <c r="A582" s="145"/>
      <c r="B582" s="145"/>
      <c r="C582" s="145"/>
      <c r="D582" s="145"/>
      <c r="E582" s="145"/>
      <c r="F582" s="145"/>
      <c r="G582" s="145"/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45"/>
      <c r="AG582" s="145"/>
    </row>
    <row r="583" ht="15.75" customHeight="1">
      <c r="A583" s="145"/>
      <c r="B583" s="145"/>
      <c r="C583" s="145"/>
      <c r="D583" s="145"/>
      <c r="E583" s="145"/>
      <c r="F583" s="145"/>
      <c r="G583" s="145"/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  <c r="AG583" s="145"/>
    </row>
    <row r="584" ht="15.75" customHeight="1">
      <c r="A584" s="145"/>
      <c r="B584" s="145"/>
      <c r="C584" s="145"/>
      <c r="D584" s="145"/>
      <c r="E584" s="145"/>
      <c r="F584" s="145"/>
      <c r="G584" s="145"/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  <c r="AG584" s="145"/>
    </row>
    <row r="585" ht="15.75" customHeight="1">
      <c r="A585" s="145"/>
      <c r="B585" s="145"/>
      <c r="C585" s="145"/>
      <c r="D585" s="145"/>
      <c r="E585" s="145"/>
      <c r="F585" s="145"/>
      <c r="G585" s="145"/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  <c r="AG585" s="145"/>
    </row>
    <row r="586" ht="15.75" customHeight="1">
      <c r="A586" s="145"/>
      <c r="B586" s="145"/>
      <c r="C586" s="145"/>
      <c r="D586" s="145"/>
      <c r="E586" s="145"/>
      <c r="F586" s="145"/>
      <c r="G586" s="145"/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  <c r="AG586" s="145"/>
    </row>
    <row r="587" ht="15.75" customHeight="1">
      <c r="A587" s="145"/>
      <c r="B587" s="145"/>
      <c r="C587" s="145"/>
      <c r="D587" s="145"/>
      <c r="E587" s="145"/>
      <c r="F587" s="145"/>
      <c r="G587" s="145"/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  <c r="AG587" s="145"/>
    </row>
    <row r="588" ht="15.75" customHeight="1">
      <c r="A588" s="145"/>
      <c r="B588" s="145"/>
      <c r="C588" s="145"/>
      <c r="D588" s="145"/>
      <c r="E588" s="145"/>
      <c r="F588" s="145"/>
      <c r="G588" s="145"/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  <c r="AG588" s="145"/>
    </row>
    <row r="589" ht="15.75" customHeight="1">
      <c r="A589" s="145"/>
      <c r="B589" s="145"/>
      <c r="C589" s="145"/>
      <c r="D589" s="145"/>
      <c r="E589" s="145"/>
      <c r="F589" s="145"/>
      <c r="G589" s="145"/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  <c r="AG589" s="145"/>
    </row>
    <row r="590" ht="15.75" customHeight="1">
      <c r="A590" s="145"/>
      <c r="B590" s="145"/>
      <c r="C590" s="145"/>
      <c r="D590" s="145"/>
      <c r="E590" s="145"/>
      <c r="F590" s="145"/>
      <c r="G590" s="145"/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  <c r="AG590" s="145"/>
    </row>
    <row r="591" ht="15.75" customHeight="1">
      <c r="A591" s="145"/>
      <c r="B591" s="145"/>
      <c r="C591" s="145"/>
      <c r="D591" s="145"/>
      <c r="E591" s="145"/>
      <c r="F591" s="145"/>
      <c r="G591" s="145"/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  <c r="AG591" s="145"/>
    </row>
    <row r="592" ht="15.75" customHeight="1">
      <c r="A592" s="145"/>
      <c r="B592" s="145"/>
      <c r="C592" s="145"/>
      <c r="D592" s="145"/>
      <c r="E592" s="145"/>
      <c r="F592" s="145"/>
      <c r="G592" s="145"/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  <c r="AG592" s="145"/>
    </row>
    <row r="593" ht="15.75" customHeight="1">
      <c r="A593" s="145"/>
      <c r="B593" s="145"/>
      <c r="C593" s="145"/>
      <c r="D593" s="145"/>
      <c r="E593" s="145"/>
      <c r="F593" s="145"/>
      <c r="G593" s="145"/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  <c r="AG593" s="145"/>
    </row>
    <row r="594" ht="15.75" customHeight="1">
      <c r="A594" s="145"/>
      <c r="B594" s="145"/>
      <c r="C594" s="145"/>
      <c r="D594" s="145"/>
      <c r="E594" s="145"/>
      <c r="F594" s="145"/>
      <c r="G594" s="145"/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  <c r="AG594" s="145"/>
    </row>
    <row r="595" ht="15.75" customHeight="1">
      <c r="A595" s="145"/>
      <c r="B595" s="145"/>
      <c r="C595" s="145"/>
      <c r="D595" s="145"/>
      <c r="E595" s="145"/>
      <c r="F595" s="145"/>
      <c r="G595" s="145"/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  <c r="AG595" s="145"/>
    </row>
    <row r="596" ht="15.75" customHeight="1">
      <c r="A596" s="145"/>
      <c r="B596" s="145"/>
      <c r="C596" s="145"/>
      <c r="D596" s="145"/>
      <c r="E596" s="145"/>
      <c r="F596" s="145"/>
      <c r="G596" s="145"/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  <c r="AG596" s="145"/>
    </row>
    <row r="597" ht="15.75" customHeight="1">
      <c r="A597" s="145"/>
      <c r="B597" s="145"/>
      <c r="C597" s="145"/>
      <c r="D597" s="145"/>
      <c r="E597" s="145"/>
      <c r="F597" s="145"/>
      <c r="G597" s="145"/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  <c r="AG597" s="145"/>
    </row>
    <row r="598" ht="15.75" customHeight="1">
      <c r="A598" s="145"/>
      <c r="B598" s="145"/>
      <c r="C598" s="145"/>
      <c r="D598" s="145"/>
      <c r="E598" s="145"/>
      <c r="F598" s="145"/>
      <c r="G598" s="145"/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  <c r="AG598" s="145"/>
    </row>
    <row r="599" ht="15.75" customHeight="1">
      <c r="A599" s="145"/>
      <c r="B599" s="145"/>
      <c r="C599" s="145"/>
      <c r="D599" s="145"/>
      <c r="E599" s="145"/>
      <c r="F599" s="145"/>
      <c r="G599" s="145"/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  <c r="AG599" s="145"/>
    </row>
    <row r="600" ht="15.75" customHeight="1">
      <c r="A600" s="145"/>
      <c r="B600" s="145"/>
      <c r="C600" s="145"/>
      <c r="D600" s="145"/>
      <c r="E600" s="145"/>
      <c r="F600" s="145"/>
      <c r="G600" s="145"/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  <c r="AG600" s="145"/>
    </row>
    <row r="601" ht="15.75" customHeight="1">
      <c r="A601" s="145"/>
      <c r="B601" s="145"/>
      <c r="C601" s="145"/>
      <c r="D601" s="145"/>
      <c r="E601" s="145"/>
      <c r="F601" s="145"/>
      <c r="G601" s="145"/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  <c r="AG601" s="145"/>
    </row>
    <row r="602" ht="15.75" customHeight="1">
      <c r="A602" s="145"/>
      <c r="B602" s="145"/>
      <c r="C602" s="145"/>
      <c r="D602" s="145"/>
      <c r="E602" s="145"/>
      <c r="F602" s="145"/>
      <c r="G602" s="145"/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  <c r="AG602" s="145"/>
    </row>
    <row r="603" ht="15.75" customHeight="1">
      <c r="A603" s="145"/>
      <c r="B603" s="145"/>
      <c r="C603" s="145"/>
      <c r="D603" s="145"/>
      <c r="E603" s="145"/>
      <c r="F603" s="145"/>
      <c r="G603" s="145"/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  <c r="AG603" s="145"/>
    </row>
    <row r="604" ht="15.75" customHeight="1">
      <c r="A604" s="145"/>
      <c r="B604" s="145"/>
      <c r="C604" s="145"/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  <c r="AG604" s="145"/>
    </row>
    <row r="605" ht="15.75" customHeight="1">
      <c r="A605" s="145"/>
      <c r="B605" s="145"/>
      <c r="C605" s="145"/>
      <c r="D605" s="145"/>
      <c r="E605" s="145"/>
      <c r="F605" s="145"/>
      <c r="G605" s="145"/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  <c r="AG605" s="145"/>
    </row>
    <row r="606" ht="15.75" customHeight="1">
      <c r="A606" s="145"/>
      <c r="B606" s="145"/>
      <c r="C606" s="145"/>
      <c r="D606" s="145"/>
      <c r="E606" s="145"/>
      <c r="F606" s="145"/>
      <c r="G606" s="145"/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  <c r="AG606" s="145"/>
    </row>
    <row r="607" ht="15.75" customHeight="1">
      <c r="A607" s="145"/>
      <c r="B607" s="145"/>
      <c r="C607" s="145"/>
      <c r="D607" s="145"/>
      <c r="E607" s="145"/>
      <c r="F607" s="145"/>
      <c r="G607" s="145"/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  <c r="AG607" s="145"/>
    </row>
    <row r="608" ht="15.75" customHeight="1">
      <c r="A608" s="145"/>
      <c r="B608" s="145"/>
      <c r="C608" s="145"/>
      <c r="D608" s="145"/>
      <c r="E608" s="145"/>
      <c r="F608" s="145"/>
      <c r="G608" s="145"/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  <c r="AG608" s="145"/>
    </row>
    <row r="609" ht="15.75" customHeight="1">
      <c r="A609" s="145"/>
      <c r="B609" s="145"/>
      <c r="C609" s="145"/>
      <c r="D609" s="145"/>
      <c r="E609" s="145"/>
      <c r="F609" s="145"/>
      <c r="G609" s="145"/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  <c r="AG609" s="145"/>
    </row>
    <row r="610" ht="15.75" customHeight="1">
      <c r="A610" s="145"/>
      <c r="B610" s="145"/>
      <c r="C610" s="145"/>
      <c r="D610" s="145"/>
      <c r="E610" s="145"/>
      <c r="F610" s="145"/>
      <c r="G610" s="145"/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  <c r="AG610" s="145"/>
    </row>
    <row r="611" ht="15.75" customHeight="1">
      <c r="A611" s="145"/>
      <c r="B611" s="145"/>
      <c r="C611" s="145"/>
      <c r="D611" s="145"/>
      <c r="E611" s="145"/>
      <c r="F611" s="145"/>
      <c r="G611" s="145"/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  <c r="AG611" s="145"/>
    </row>
    <row r="612" ht="15.75" customHeight="1">
      <c r="A612" s="145"/>
      <c r="B612" s="145"/>
      <c r="C612" s="145"/>
      <c r="D612" s="145"/>
      <c r="E612" s="145"/>
      <c r="F612" s="145"/>
      <c r="G612" s="145"/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  <c r="AG612" s="145"/>
    </row>
    <row r="613" ht="15.75" customHeight="1">
      <c r="A613" s="145"/>
      <c r="B613" s="145"/>
      <c r="C613" s="145"/>
      <c r="D613" s="145"/>
      <c r="E613" s="145"/>
      <c r="F613" s="145"/>
      <c r="G613" s="145"/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  <c r="AG613" s="145"/>
    </row>
    <row r="614" ht="15.75" customHeight="1">
      <c r="A614" s="145"/>
      <c r="B614" s="145"/>
      <c r="C614" s="145"/>
      <c r="D614" s="145"/>
      <c r="E614" s="145"/>
      <c r="F614" s="145"/>
      <c r="G614" s="145"/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  <c r="AG614" s="145"/>
    </row>
    <row r="615" ht="15.75" customHeight="1">
      <c r="A615" s="145"/>
      <c r="B615" s="145"/>
      <c r="C615" s="145"/>
      <c r="D615" s="145"/>
      <c r="E615" s="145"/>
      <c r="F615" s="145"/>
      <c r="G615" s="145"/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  <c r="AG615" s="145"/>
    </row>
    <row r="616" ht="15.75" customHeight="1">
      <c r="A616" s="145"/>
      <c r="B616" s="145"/>
      <c r="C616" s="145"/>
      <c r="D616" s="145"/>
      <c r="E616" s="145"/>
      <c r="F616" s="145"/>
      <c r="G616" s="145"/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  <c r="AG616" s="145"/>
    </row>
    <row r="617" ht="15.75" customHeight="1">
      <c r="A617" s="145"/>
      <c r="B617" s="145"/>
      <c r="C617" s="145"/>
      <c r="D617" s="145"/>
      <c r="E617" s="145"/>
      <c r="F617" s="145"/>
      <c r="G617" s="145"/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  <c r="AG617" s="145"/>
    </row>
    <row r="618" ht="15.75" customHeight="1">
      <c r="A618" s="145"/>
      <c r="B618" s="145"/>
      <c r="C618" s="145"/>
      <c r="D618" s="145"/>
      <c r="E618" s="145"/>
      <c r="F618" s="145"/>
      <c r="G618" s="145"/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  <c r="AG618" s="145"/>
    </row>
    <row r="619" ht="15.75" customHeight="1">
      <c r="A619" s="145"/>
      <c r="B619" s="145"/>
      <c r="C619" s="145"/>
      <c r="D619" s="145"/>
      <c r="E619" s="145"/>
      <c r="F619" s="145"/>
      <c r="G619" s="145"/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  <c r="AG619" s="145"/>
    </row>
    <row r="620" ht="15.75" customHeight="1">
      <c r="A620" s="145"/>
      <c r="B620" s="145"/>
      <c r="C620" s="145"/>
      <c r="D620" s="145"/>
      <c r="E620" s="145"/>
      <c r="F620" s="145"/>
      <c r="G620" s="145"/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  <c r="AG620" s="145"/>
    </row>
    <row r="621" ht="15.75" customHeight="1">
      <c r="A621" s="145"/>
      <c r="B621" s="145"/>
      <c r="C621" s="145"/>
      <c r="D621" s="145"/>
      <c r="E621" s="145"/>
      <c r="F621" s="145"/>
      <c r="G621" s="145"/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  <c r="AG621" s="145"/>
    </row>
    <row r="622" ht="15.75" customHeight="1">
      <c r="A622" s="145"/>
      <c r="B622" s="145"/>
      <c r="C622" s="145"/>
      <c r="D622" s="145"/>
      <c r="E622" s="145"/>
      <c r="F622" s="145"/>
      <c r="G622" s="145"/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  <c r="AG622" s="145"/>
    </row>
    <row r="623" ht="15.75" customHeight="1">
      <c r="A623" s="145"/>
      <c r="B623" s="145"/>
      <c r="C623" s="145"/>
      <c r="D623" s="145"/>
      <c r="E623" s="145"/>
      <c r="F623" s="145"/>
      <c r="G623" s="145"/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  <c r="AG623" s="145"/>
    </row>
    <row r="624" ht="15.75" customHeight="1">
      <c r="A624" s="145"/>
      <c r="B624" s="145"/>
      <c r="C624" s="145"/>
      <c r="D624" s="145"/>
      <c r="E624" s="145"/>
      <c r="F624" s="145"/>
      <c r="G624" s="145"/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  <c r="AG624" s="145"/>
    </row>
    <row r="625" ht="15.75" customHeight="1">
      <c r="A625" s="145"/>
      <c r="B625" s="145"/>
      <c r="C625" s="145"/>
      <c r="D625" s="145"/>
      <c r="E625" s="145"/>
      <c r="F625" s="145"/>
      <c r="G625" s="145"/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  <c r="AG625" s="145"/>
    </row>
    <row r="626" ht="15.75" customHeight="1">
      <c r="A626" s="145"/>
      <c r="B626" s="145"/>
      <c r="C626" s="145"/>
      <c r="D626" s="145"/>
      <c r="E626" s="145"/>
      <c r="F626" s="145"/>
      <c r="G626" s="145"/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  <c r="AG626" s="145"/>
    </row>
    <row r="627" ht="15.75" customHeight="1">
      <c r="A627" s="145"/>
      <c r="B627" s="145"/>
      <c r="C627" s="145"/>
      <c r="D627" s="145"/>
      <c r="E627" s="145"/>
      <c r="F627" s="145"/>
      <c r="G627" s="145"/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  <c r="AG627" s="145"/>
    </row>
    <row r="628" ht="15.75" customHeight="1">
      <c r="A628" s="145"/>
      <c r="B628" s="145"/>
      <c r="C628" s="145"/>
      <c r="D628" s="145"/>
      <c r="E628" s="145"/>
      <c r="F628" s="145"/>
      <c r="G628" s="145"/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  <c r="AG628" s="145"/>
    </row>
    <row r="629" ht="15.75" customHeight="1">
      <c r="A629" s="145"/>
      <c r="B629" s="145"/>
      <c r="C629" s="145"/>
      <c r="D629" s="145"/>
      <c r="E629" s="145"/>
      <c r="F629" s="145"/>
      <c r="G629" s="145"/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  <c r="AG629" s="145"/>
    </row>
    <row r="630" ht="15.75" customHeight="1">
      <c r="A630" s="145"/>
      <c r="B630" s="145"/>
      <c r="C630" s="145"/>
      <c r="D630" s="145"/>
      <c r="E630" s="145"/>
      <c r="F630" s="145"/>
      <c r="G630" s="145"/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  <c r="AG630" s="145"/>
    </row>
    <row r="631" ht="15.75" customHeight="1">
      <c r="A631" s="145"/>
      <c r="B631" s="145"/>
      <c r="C631" s="145"/>
      <c r="D631" s="145"/>
      <c r="E631" s="145"/>
      <c r="F631" s="145"/>
      <c r="G631" s="145"/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  <c r="AG631" s="145"/>
    </row>
    <row r="632" ht="15.75" customHeight="1">
      <c r="A632" s="145"/>
      <c r="B632" s="145"/>
      <c r="C632" s="145"/>
      <c r="D632" s="145"/>
      <c r="E632" s="145"/>
      <c r="F632" s="145"/>
      <c r="G632" s="145"/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  <c r="AG632" s="145"/>
    </row>
    <row r="633" ht="15.75" customHeight="1">
      <c r="A633" s="145"/>
      <c r="B633" s="145"/>
      <c r="C633" s="145"/>
      <c r="D633" s="145"/>
      <c r="E633" s="145"/>
      <c r="F633" s="145"/>
      <c r="G633" s="145"/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  <c r="AG633" s="145"/>
    </row>
    <row r="634" ht="15.75" customHeight="1">
      <c r="A634" s="145"/>
      <c r="B634" s="145"/>
      <c r="C634" s="145"/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  <c r="AG634" s="145"/>
    </row>
    <row r="635" ht="15.75" customHeight="1">
      <c r="A635" s="145"/>
      <c r="B635" s="145"/>
      <c r="C635" s="145"/>
      <c r="D635" s="145"/>
      <c r="E635" s="145"/>
      <c r="F635" s="145"/>
      <c r="G635" s="145"/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  <c r="AG635" s="145"/>
    </row>
    <row r="636" ht="15.75" customHeight="1">
      <c r="A636" s="145"/>
      <c r="B636" s="145"/>
      <c r="C636" s="145"/>
      <c r="D636" s="145"/>
      <c r="E636" s="145"/>
      <c r="F636" s="145"/>
      <c r="G636" s="145"/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  <c r="AG636" s="145"/>
    </row>
    <row r="637" ht="15.75" customHeight="1">
      <c r="A637" s="145"/>
      <c r="B637" s="145"/>
      <c r="C637" s="145"/>
      <c r="D637" s="145"/>
      <c r="E637" s="145"/>
      <c r="F637" s="145"/>
      <c r="G637" s="145"/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  <c r="AG637" s="145"/>
    </row>
    <row r="638" ht="15.75" customHeight="1">
      <c r="A638" s="145"/>
      <c r="B638" s="145"/>
      <c r="C638" s="145"/>
      <c r="D638" s="145"/>
      <c r="E638" s="145"/>
      <c r="F638" s="145"/>
      <c r="G638" s="145"/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45"/>
      <c r="AG638" s="145"/>
    </row>
    <row r="639" ht="15.75" customHeight="1">
      <c r="A639" s="145"/>
      <c r="B639" s="145"/>
      <c r="C639" s="145"/>
      <c r="D639" s="145"/>
      <c r="E639" s="145"/>
      <c r="F639" s="145"/>
      <c r="G639" s="145"/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45"/>
      <c r="AG639" s="145"/>
    </row>
    <row r="640" ht="15.75" customHeight="1">
      <c r="A640" s="145"/>
      <c r="B640" s="145"/>
      <c r="C640" s="145"/>
      <c r="D640" s="145"/>
      <c r="E640" s="145"/>
      <c r="F640" s="145"/>
      <c r="G640" s="145"/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45"/>
      <c r="AG640" s="145"/>
    </row>
    <row r="641" ht="15.75" customHeight="1">
      <c r="A641" s="145"/>
      <c r="B641" s="145"/>
      <c r="C641" s="145"/>
      <c r="D641" s="145"/>
      <c r="E641" s="145"/>
      <c r="F641" s="145"/>
      <c r="G641" s="145"/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  <c r="AG641" s="145"/>
    </row>
    <row r="642" ht="15.75" customHeight="1">
      <c r="A642" s="145"/>
      <c r="B642" s="145"/>
      <c r="C642" s="145"/>
      <c r="D642" s="145"/>
      <c r="E642" s="145"/>
      <c r="F642" s="145"/>
      <c r="G642" s="145"/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  <c r="AG642" s="145"/>
    </row>
    <row r="643" ht="15.75" customHeight="1">
      <c r="A643" s="145"/>
      <c r="B643" s="145"/>
      <c r="C643" s="145"/>
      <c r="D643" s="145"/>
      <c r="E643" s="145"/>
      <c r="F643" s="145"/>
      <c r="G643" s="145"/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45"/>
      <c r="AG643" s="145"/>
    </row>
    <row r="644" ht="15.75" customHeight="1">
      <c r="A644" s="145"/>
      <c r="B644" s="145"/>
      <c r="C644" s="145"/>
      <c r="D644" s="145"/>
      <c r="E644" s="145"/>
      <c r="F644" s="145"/>
      <c r="G644" s="145"/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45"/>
      <c r="AG644" s="145"/>
    </row>
    <row r="645" ht="15.75" customHeight="1">
      <c r="A645" s="145"/>
      <c r="B645" s="145"/>
      <c r="C645" s="145"/>
      <c r="D645" s="145"/>
      <c r="E645" s="145"/>
      <c r="F645" s="145"/>
      <c r="G645" s="145"/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45"/>
      <c r="AG645" s="145"/>
    </row>
    <row r="646" ht="15.75" customHeight="1">
      <c r="A646" s="145"/>
      <c r="B646" s="145"/>
      <c r="C646" s="145"/>
      <c r="D646" s="145"/>
      <c r="E646" s="145"/>
      <c r="F646" s="145"/>
      <c r="G646" s="145"/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  <c r="AG646" s="145"/>
    </row>
    <row r="647" ht="15.75" customHeight="1">
      <c r="A647" s="145"/>
      <c r="B647" s="145"/>
      <c r="C647" s="145"/>
      <c r="D647" s="145"/>
      <c r="E647" s="145"/>
      <c r="F647" s="145"/>
      <c r="G647" s="145"/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45"/>
      <c r="AG647" s="145"/>
    </row>
    <row r="648" ht="15.75" customHeight="1">
      <c r="A648" s="145"/>
      <c r="B648" s="145"/>
      <c r="C648" s="145"/>
      <c r="D648" s="145"/>
      <c r="E648" s="145"/>
      <c r="F648" s="145"/>
      <c r="G648" s="145"/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45"/>
      <c r="AG648" s="145"/>
    </row>
    <row r="649" ht="15.75" customHeight="1">
      <c r="A649" s="145"/>
      <c r="B649" s="145"/>
      <c r="C649" s="145"/>
      <c r="D649" s="145"/>
      <c r="E649" s="145"/>
      <c r="F649" s="145"/>
      <c r="G649" s="145"/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45"/>
      <c r="AG649" s="145"/>
    </row>
    <row r="650" ht="15.75" customHeight="1">
      <c r="A650" s="145"/>
      <c r="B650" s="145"/>
      <c r="C650" s="145"/>
      <c r="D650" s="145"/>
      <c r="E650" s="145"/>
      <c r="F650" s="145"/>
      <c r="G650" s="145"/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45"/>
      <c r="AG650" s="145"/>
    </row>
    <row r="651" ht="15.75" customHeight="1">
      <c r="A651" s="145"/>
      <c r="B651" s="145"/>
      <c r="C651" s="145"/>
      <c r="D651" s="145"/>
      <c r="E651" s="145"/>
      <c r="F651" s="145"/>
      <c r="G651" s="145"/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  <c r="AG651" s="145"/>
    </row>
    <row r="652" ht="15.75" customHeight="1">
      <c r="A652" s="145"/>
      <c r="B652" s="145"/>
      <c r="C652" s="145"/>
      <c r="D652" s="145"/>
      <c r="E652" s="145"/>
      <c r="F652" s="145"/>
      <c r="G652" s="145"/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  <c r="AG652" s="145"/>
    </row>
    <row r="653" ht="15.75" customHeight="1">
      <c r="A653" s="145"/>
      <c r="B653" s="145"/>
      <c r="C653" s="145"/>
      <c r="D653" s="145"/>
      <c r="E653" s="145"/>
      <c r="F653" s="145"/>
      <c r="G653" s="145"/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  <c r="AG653" s="145"/>
    </row>
    <row r="654" ht="15.75" customHeight="1">
      <c r="A654" s="145"/>
      <c r="B654" s="145"/>
      <c r="C654" s="145"/>
      <c r="D654" s="145"/>
      <c r="E654" s="145"/>
      <c r="F654" s="145"/>
      <c r="G654" s="145"/>
      <c r="H654" s="145"/>
      <c r="I654" s="145"/>
      <c r="J654" s="145"/>
      <c r="K654" s="145"/>
      <c r="L654" s="145"/>
      <c r="M654" s="145"/>
      <c r="N654" s="145"/>
      <c r="O654" s="145"/>
      <c r="P654" s="145"/>
      <c r="Q654" s="145"/>
      <c r="R654" s="145"/>
      <c r="S654" s="145"/>
      <c r="T654" s="145"/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  <c r="AG654" s="145"/>
    </row>
    <row r="655" ht="15.75" customHeight="1">
      <c r="A655" s="145"/>
      <c r="B655" s="145"/>
      <c r="C655" s="145"/>
      <c r="D655" s="145"/>
      <c r="E655" s="145"/>
      <c r="F655" s="145"/>
      <c r="G655" s="145"/>
      <c r="H655" s="145"/>
      <c r="I655" s="145"/>
      <c r="J655" s="145"/>
      <c r="K655" s="145"/>
      <c r="L655" s="145"/>
      <c r="M655" s="145"/>
      <c r="N655" s="145"/>
      <c r="O655" s="145"/>
      <c r="P655" s="145"/>
      <c r="Q655" s="145"/>
      <c r="R655" s="145"/>
      <c r="S655" s="145"/>
      <c r="T655" s="145"/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  <c r="AG655" s="145"/>
    </row>
    <row r="656" ht="15.75" customHeight="1">
      <c r="A656" s="145"/>
      <c r="B656" s="145"/>
      <c r="C656" s="145"/>
      <c r="D656" s="145"/>
      <c r="E656" s="145"/>
      <c r="F656" s="145"/>
      <c r="G656" s="145"/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45"/>
      <c r="AG656" s="145"/>
    </row>
    <row r="657" ht="15.75" customHeight="1">
      <c r="A657" s="145"/>
      <c r="B657" s="145"/>
      <c r="C657" s="145"/>
      <c r="D657" s="145"/>
      <c r="E657" s="145"/>
      <c r="F657" s="145"/>
      <c r="G657" s="145"/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  <c r="AG657" s="145"/>
    </row>
    <row r="658" ht="15.75" customHeight="1">
      <c r="A658" s="145"/>
      <c r="B658" s="145"/>
      <c r="C658" s="145"/>
      <c r="D658" s="145"/>
      <c r="E658" s="145"/>
      <c r="F658" s="145"/>
      <c r="G658" s="145"/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45"/>
      <c r="AG658" s="145"/>
    </row>
    <row r="659" ht="15.75" customHeight="1">
      <c r="A659" s="145"/>
      <c r="B659" s="145"/>
      <c r="C659" s="145"/>
      <c r="D659" s="145"/>
      <c r="E659" s="145"/>
      <c r="F659" s="145"/>
      <c r="G659" s="145"/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  <c r="AG659" s="145"/>
    </row>
    <row r="660" ht="15.75" customHeight="1">
      <c r="A660" s="145"/>
      <c r="B660" s="145"/>
      <c r="C660" s="145"/>
      <c r="D660" s="145"/>
      <c r="E660" s="145"/>
      <c r="F660" s="145"/>
      <c r="G660" s="145"/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  <c r="AG660" s="145"/>
    </row>
    <row r="661" ht="15.75" customHeight="1">
      <c r="A661" s="145"/>
      <c r="B661" s="145"/>
      <c r="C661" s="145"/>
      <c r="D661" s="145"/>
      <c r="E661" s="145"/>
      <c r="F661" s="145"/>
      <c r="G661" s="145"/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45"/>
      <c r="AG661" s="145"/>
    </row>
    <row r="662" ht="15.75" customHeight="1">
      <c r="A662" s="145"/>
      <c r="B662" s="145"/>
      <c r="C662" s="145"/>
      <c r="D662" s="145"/>
      <c r="E662" s="145"/>
      <c r="F662" s="145"/>
      <c r="G662" s="145"/>
      <c r="H662" s="145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5"/>
      <c r="AA662" s="145"/>
      <c r="AB662" s="145"/>
      <c r="AC662" s="145"/>
      <c r="AD662" s="145"/>
      <c r="AE662" s="145"/>
      <c r="AF662" s="145"/>
      <c r="AG662" s="145"/>
    </row>
    <row r="663" ht="15.75" customHeight="1">
      <c r="A663" s="145"/>
      <c r="B663" s="145"/>
      <c r="C663" s="145"/>
      <c r="D663" s="145"/>
      <c r="E663" s="145"/>
      <c r="F663" s="145"/>
      <c r="G663" s="145"/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45"/>
      <c r="AG663" s="145"/>
    </row>
    <row r="664" ht="15.75" customHeight="1">
      <c r="A664" s="145"/>
      <c r="B664" s="145"/>
      <c r="C664" s="145"/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  <c r="AG664" s="145"/>
    </row>
    <row r="665" ht="15.75" customHeight="1">
      <c r="A665" s="145"/>
      <c r="B665" s="145"/>
      <c r="C665" s="145"/>
      <c r="D665" s="145"/>
      <c r="E665" s="145"/>
      <c r="F665" s="145"/>
      <c r="G665" s="145"/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45"/>
      <c r="AG665" s="145"/>
    </row>
    <row r="666" ht="15.75" customHeight="1">
      <c r="A666" s="145"/>
      <c r="B666" s="145"/>
      <c r="C666" s="145"/>
      <c r="D666" s="145"/>
      <c r="E666" s="145"/>
      <c r="F666" s="145"/>
      <c r="G666" s="145"/>
      <c r="H666" s="145"/>
      <c r="I666" s="145"/>
      <c r="J666" s="145"/>
      <c r="K666" s="145"/>
      <c r="L666" s="14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X666" s="145"/>
      <c r="Y666" s="145"/>
      <c r="Z666" s="145"/>
      <c r="AA666" s="145"/>
      <c r="AB666" s="145"/>
      <c r="AC666" s="145"/>
      <c r="AD666" s="145"/>
      <c r="AE666" s="145"/>
      <c r="AF666" s="145"/>
      <c r="AG666" s="145"/>
    </row>
    <row r="667" ht="15.75" customHeight="1">
      <c r="A667" s="145"/>
      <c r="B667" s="145"/>
      <c r="C667" s="145"/>
      <c r="D667" s="145"/>
      <c r="E667" s="145"/>
      <c r="F667" s="145"/>
      <c r="G667" s="145"/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45"/>
      <c r="AG667" s="145"/>
    </row>
    <row r="668" ht="15.75" customHeight="1">
      <c r="A668" s="145"/>
      <c r="B668" s="145"/>
      <c r="C668" s="145"/>
      <c r="D668" s="145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5"/>
      <c r="AA668" s="145"/>
      <c r="AB668" s="145"/>
      <c r="AC668" s="145"/>
      <c r="AD668" s="145"/>
      <c r="AE668" s="145"/>
      <c r="AF668" s="145"/>
      <c r="AG668" s="145"/>
    </row>
    <row r="669" ht="15.75" customHeight="1">
      <c r="A669" s="145"/>
      <c r="B669" s="145"/>
      <c r="C669" s="145"/>
      <c r="D669" s="145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  <c r="AG669" s="145"/>
    </row>
    <row r="670" ht="15.75" customHeight="1">
      <c r="A670" s="145"/>
      <c r="B670" s="145"/>
      <c r="C670" s="145"/>
      <c r="D670" s="145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  <c r="AG670" s="145"/>
    </row>
    <row r="671" ht="15.75" customHeight="1">
      <c r="A671" s="145"/>
      <c r="B671" s="145"/>
      <c r="C671" s="145"/>
      <c r="D671" s="145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  <c r="AG671" s="145"/>
    </row>
    <row r="672" ht="15.75" customHeight="1">
      <c r="A672" s="145"/>
      <c r="B672" s="145"/>
      <c r="C672" s="145"/>
      <c r="D672" s="145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  <c r="AG672" s="145"/>
    </row>
    <row r="673" ht="15.75" customHeight="1">
      <c r="A673" s="145"/>
      <c r="B673" s="145"/>
      <c r="C673" s="145"/>
      <c r="D673" s="145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  <c r="AG673" s="145"/>
    </row>
    <row r="674" ht="15.75" customHeight="1">
      <c r="A674" s="145"/>
      <c r="B674" s="145"/>
      <c r="C674" s="145"/>
      <c r="D674" s="145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  <c r="AG674" s="145"/>
    </row>
    <row r="675" ht="15.75" customHeight="1">
      <c r="A675" s="145"/>
      <c r="B675" s="145"/>
      <c r="C675" s="145"/>
      <c r="D675" s="145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  <c r="AG675" s="145"/>
    </row>
    <row r="676" ht="15.75" customHeight="1">
      <c r="A676" s="145"/>
      <c r="B676" s="145"/>
      <c r="C676" s="145"/>
      <c r="D676" s="145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  <c r="AG676" s="145"/>
    </row>
    <row r="677" ht="15.75" customHeight="1">
      <c r="A677" s="145"/>
      <c r="B677" s="145"/>
      <c r="C677" s="145"/>
      <c r="D677" s="145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  <c r="AG677" s="145"/>
    </row>
    <row r="678" ht="15.75" customHeight="1">
      <c r="A678" s="145"/>
      <c r="B678" s="145"/>
      <c r="C678" s="145"/>
      <c r="D678" s="145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  <c r="AG678" s="145"/>
    </row>
    <row r="679" ht="15.75" customHeight="1">
      <c r="A679" s="145"/>
      <c r="B679" s="145"/>
      <c r="C679" s="145"/>
      <c r="D679" s="145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  <c r="AG679" s="145"/>
    </row>
    <row r="680" ht="15.75" customHeight="1">
      <c r="A680" s="145"/>
      <c r="B680" s="145"/>
      <c r="C680" s="145"/>
      <c r="D680" s="145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  <c r="AG680" s="145"/>
    </row>
    <row r="681" ht="15.75" customHeight="1">
      <c r="A681" s="145"/>
      <c r="B681" s="145"/>
      <c r="C681" s="145"/>
      <c r="D681" s="145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  <c r="AG681" s="145"/>
    </row>
    <row r="682" ht="15.75" customHeight="1">
      <c r="A682" s="145"/>
      <c r="B682" s="145"/>
      <c r="C682" s="145"/>
      <c r="D682" s="145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  <c r="AG682" s="145"/>
    </row>
    <row r="683" ht="15.75" customHeight="1">
      <c r="A683" s="145"/>
      <c r="B683" s="145"/>
      <c r="C683" s="145"/>
      <c r="D683" s="145"/>
      <c r="E683" s="145"/>
      <c r="F683" s="145"/>
      <c r="G683" s="145"/>
      <c r="H683" s="145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  <c r="AG683" s="145"/>
    </row>
    <row r="684" ht="15.75" customHeight="1">
      <c r="A684" s="145"/>
      <c r="B684" s="145"/>
      <c r="C684" s="145"/>
      <c r="D684" s="145"/>
      <c r="E684" s="145"/>
      <c r="F684" s="145"/>
      <c r="G684" s="145"/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  <c r="AG684" s="145"/>
    </row>
    <row r="685" ht="15.75" customHeight="1">
      <c r="A685" s="145"/>
      <c r="B685" s="145"/>
      <c r="C685" s="145"/>
      <c r="D685" s="145"/>
      <c r="E685" s="145"/>
      <c r="F685" s="145"/>
      <c r="G685" s="145"/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  <c r="AG685" s="145"/>
    </row>
    <row r="686" ht="15.75" customHeight="1">
      <c r="A686" s="145"/>
      <c r="B686" s="145"/>
      <c r="C686" s="145"/>
      <c r="D686" s="145"/>
      <c r="E686" s="145"/>
      <c r="F686" s="145"/>
      <c r="G686" s="145"/>
      <c r="H686" s="145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  <c r="AG686" s="145"/>
    </row>
    <row r="687" ht="15.75" customHeight="1">
      <c r="A687" s="145"/>
      <c r="B687" s="145"/>
      <c r="C687" s="145"/>
      <c r="D687" s="145"/>
      <c r="E687" s="145"/>
      <c r="F687" s="145"/>
      <c r="G687" s="145"/>
      <c r="H687" s="145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  <c r="AG687" s="145"/>
    </row>
    <row r="688" ht="15.75" customHeight="1">
      <c r="A688" s="145"/>
      <c r="B688" s="145"/>
      <c r="C688" s="145"/>
      <c r="D688" s="145"/>
      <c r="E688" s="145"/>
      <c r="F688" s="145"/>
      <c r="G688" s="145"/>
      <c r="H688" s="145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  <c r="AG688" s="145"/>
    </row>
    <row r="689" ht="15.75" customHeight="1">
      <c r="A689" s="145"/>
      <c r="B689" s="145"/>
      <c r="C689" s="145"/>
      <c r="D689" s="145"/>
      <c r="E689" s="145"/>
      <c r="F689" s="145"/>
      <c r="G689" s="145"/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  <c r="AG689" s="145"/>
    </row>
    <row r="690" ht="15.75" customHeight="1">
      <c r="A690" s="145"/>
      <c r="B690" s="145"/>
      <c r="C690" s="145"/>
      <c r="D690" s="145"/>
      <c r="E690" s="145"/>
      <c r="F690" s="145"/>
      <c r="G690" s="145"/>
      <c r="H690" s="145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  <c r="AG690" s="145"/>
    </row>
    <row r="691" ht="15.75" customHeight="1">
      <c r="A691" s="145"/>
      <c r="B691" s="145"/>
      <c r="C691" s="145"/>
      <c r="D691" s="145"/>
      <c r="E691" s="145"/>
      <c r="F691" s="145"/>
      <c r="G691" s="145"/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  <c r="AG691" s="145"/>
    </row>
    <row r="692" ht="15.75" customHeight="1">
      <c r="A692" s="145"/>
      <c r="B692" s="145"/>
      <c r="C692" s="145"/>
      <c r="D692" s="145"/>
      <c r="E692" s="145"/>
      <c r="F692" s="145"/>
      <c r="G692" s="145"/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45"/>
      <c r="AG692" s="145"/>
    </row>
    <row r="693" ht="15.75" customHeight="1">
      <c r="A693" s="145"/>
      <c r="B693" s="145"/>
      <c r="C693" s="145"/>
      <c r="D693" s="145"/>
      <c r="E693" s="145"/>
      <c r="F693" s="145"/>
      <c r="G693" s="145"/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  <c r="AG693" s="145"/>
    </row>
    <row r="694" ht="15.75" customHeight="1">
      <c r="A694" s="145"/>
      <c r="B694" s="145"/>
      <c r="C694" s="145"/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  <c r="AG694" s="145"/>
    </row>
    <row r="695" ht="15.75" customHeight="1">
      <c r="A695" s="145"/>
      <c r="B695" s="145"/>
      <c r="C695" s="145"/>
      <c r="D695" s="145"/>
      <c r="E695" s="145"/>
      <c r="F695" s="145"/>
      <c r="G695" s="145"/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  <c r="AG695" s="145"/>
    </row>
    <row r="696" ht="15.75" customHeight="1">
      <c r="A696" s="145"/>
      <c r="B696" s="145"/>
      <c r="C696" s="145"/>
      <c r="D696" s="145"/>
      <c r="E696" s="145"/>
      <c r="F696" s="145"/>
      <c r="G696" s="145"/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  <c r="AG696" s="145"/>
    </row>
    <row r="697" ht="15.75" customHeight="1">
      <c r="A697" s="145"/>
      <c r="B697" s="145"/>
      <c r="C697" s="145"/>
      <c r="D697" s="145"/>
      <c r="E697" s="145"/>
      <c r="F697" s="145"/>
      <c r="G697" s="145"/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45"/>
      <c r="AG697" s="145"/>
    </row>
    <row r="698" ht="15.75" customHeight="1">
      <c r="A698" s="145"/>
      <c r="B698" s="145"/>
      <c r="C698" s="145"/>
      <c r="D698" s="145"/>
      <c r="E698" s="145"/>
      <c r="F698" s="145"/>
      <c r="G698" s="145"/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45"/>
      <c r="AG698" s="145"/>
    </row>
    <row r="699" ht="15.75" customHeight="1">
      <c r="A699" s="145"/>
      <c r="B699" s="145"/>
      <c r="C699" s="145"/>
      <c r="D699" s="145"/>
      <c r="E699" s="145"/>
      <c r="F699" s="145"/>
      <c r="G699" s="145"/>
      <c r="H699" s="145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5"/>
      <c r="AA699" s="145"/>
      <c r="AB699" s="145"/>
      <c r="AC699" s="145"/>
      <c r="AD699" s="145"/>
      <c r="AE699" s="145"/>
      <c r="AF699" s="145"/>
      <c r="AG699" s="145"/>
    </row>
    <row r="700" ht="15.75" customHeight="1">
      <c r="A700" s="145"/>
      <c r="B700" s="145"/>
      <c r="C700" s="145"/>
      <c r="D700" s="145"/>
      <c r="E700" s="145"/>
      <c r="F700" s="145"/>
      <c r="G700" s="145"/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  <c r="AG700" s="145"/>
    </row>
    <row r="701" ht="15.75" customHeight="1">
      <c r="A701" s="145"/>
      <c r="B701" s="145"/>
      <c r="C701" s="145"/>
      <c r="D701" s="145"/>
      <c r="E701" s="145"/>
      <c r="F701" s="145"/>
      <c r="G701" s="145"/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  <c r="AG701" s="145"/>
    </row>
    <row r="702" ht="15.75" customHeight="1">
      <c r="A702" s="145"/>
      <c r="B702" s="145"/>
      <c r="C702" s="145"/>
      <c r="D702" s="145"/>
      <c r="E702" s="145"/>
      <c r="F702" s="145"/>
      <c r="G702" s="145"/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45"/>
      <c r="AG702" s="145"/>
    </row>
    <row r="703" ht="15.75" customHeight="1">
      <c r="A703" s="145"/>
      <c r="B703" s="145"/>
      <c r="C703" s="145"/>
      <c r="D703" s="145"/>
      <c r="E703" s="145"/>
      <c r="F703" s="145"/>
      <c r="G703" s="145"/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45"/>
      <c r="AG703" s="145"/>
    </row>
    <row r="704" ht="15.75" customHeight="1">
      <c r="A704" s="145"/>
      <c r="B704" s="145"/>
      <c r="C704" s="145"/>
      <c r="D704" s="145"/>
      <c r="E704" s="145"/>
      <c r="F704" s="145"/>
      <c r="G704" s="145"/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45"/>
      <c r="AG704" s="145"/>
    </row>
    <row r="705" ht="15.75" customHeight="1">
      <c r="A705" s="145"/>
      <c r="B705" s="145"/>
      <c r="C705" s="145"/>
      <c r="D705" s="145"/>
      <c r="E705" s="145"/>
      <c r="F705" s="145"/>
      <c r="G705" s="145"/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45"/>
      <c r="AG705" s="145"/>
    </row>
    <row r="706" ht="15.75" customHeight="1">
      <c r="A706" s="145"/>
      <c r="B706" s="145"/>
      <c r="C706" s="145"/>
      <c r="D706" s="145"/>
      <c r="E706" s="145"/>
      <c r="F706" s="145"/>
      <c r="G706" s="145"/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  <c r="AG706" s="145"/>
    </row>
    <row r="707" ht="15.75" customHeight="1">
      <c r="A707" s="145"/>
      <c r="B707" s="145"/>
      <c r="C707" s="145"/>
      <c r="D707" s="145"/>
      <c r="E707" s="145"/>
      <c r="F707" s="145"/>
      <c r="G707" s="145"/>
      <c r="H707" s="145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  <c r="AG707" s="145"/>
    </row>
    <row r="708" ht="15.75" customHeight="1">
      <c r="A708" s="145"/>
      <c r="B708" s="145"/>
      <c r="C708" s="145"/>
      <c r="D708" s="145"/>
      <c r="E708" s="145"/>
      <c r="F708" s="145"/>
      <c r="G708" s="145"/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  <c r="AG708" s="145"/>
    </row>
    <row r="709" ht="15.75" customHeight="1">
      <c r="A709" s="145"/>
      <c r="B709" s="145"/>
      <c r="C709" s="145"/>
      <c r="D709" s="145"/>
      <c r="E709" s="145"/>
      <c r="F709" s="145"/>
      <c r="G709" s="145"/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  <c r="AG709" s="145"/>
    </row>
    <row r="710" ht="15.75" customHeight="1">
      <c r="A710" s="145"/>
      <c r="B710" s="145"/>
      <c r="C710" s="145"/>
      <c r="D710" s="145"/>
      <c r="E710" s="145"/>
      <c r="F710" s="145"/>
      <c r="G710" s="145"/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  <c r="AG710" s="145"/>
    </row>
    <row r="711" ht="15.75" customHeight="1">
      <c r="A711" s="145"/>
      <c r="B711" s="145"/>
      <c r="C711" s="145"/>
      <c r="D711" s="145"/>
      <c r="E711" s="145"/>
      <c r="F711" s="145"/>
      <c r="G711" s="145"/>
      <c r="H711" s="145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  <c r="AG711" s="145"/>
    </row>
    <row r="712" ht="15.75" customHeight="1">
      <c r="A712" s="145"/>
      <c r="B712" s="145"/>
      <c r="C712" s="145"/>
      <c r="D712" s="145"/>
      <c r="E712" s="145"/>
      <c r="F712" s="145"/>
      <c r="G712" s="145"/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  <c r="AG712" s="145"/>
    </row>
    <row r="713" ht="15.75" customHeight="1">
      <c r="A713" s="145"/>
      <c r="B713" s="145"/>
      <c r="C713" s="145"/>
      <c r="D713" s="145"/>
      <c r="E713" s="145"/>
      <c r="F713" s="145"/>
      <c r="G713" s="145"/>
      <c r="H713" s="145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  <c r="AG713" s="145"/>
    </row>
    <row r="714" ht="15.75" customHeight="1">
      <c r="A714" s="145"/>
      <c r="B714" s="145"/>
      <c r="C714" s="145"/>
      <c r="D714" s="145"/>
      <c r="E714" s="145"/>
      <c r="F714" s="145"/>
      <c r="G714" s="145"/>
      <c r="H714" s="145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  <c r="AG714" s="145"/>
    </row>
    <row r="715" ht="15.75" customHeight="1">
      <c r="A715" s="145"/>
      <c r="B715" s="145"/>
      <c r="C715" s="145"/>
      <c r="D715" s="145"/>
      <c r="E715" s="145"/>
      <c r="F715" s="145"/>
      <c r="G715" s="145"/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  <c r="AG715" s="145"/>
    </row>
    <row r="716" ht="15.75" customHeight="1">
      <c r="A716" s="145"/>
      <c r="B716" s="145"/>
      <c r="C716" s="145"/>
      <c r="D716" s="145"/>
      <c r="E716" s="145"/>
      <c r="F716" s="145"/>
      <c r="G716" s="145"/>
      <c r="H716" s="145"/>
      <c r="I716" s="145"/>
      <c r="J716" s="145"/>
      <c r="K716" s="145"/>
      <c r="L716" s="145"/>
      <c r="M716" s="145"/>
      <c r="N716" s="145"/>
      <c r="O716" s="145"/>
      <c r="P716" s="145"/>
      <c r="Q716" s="145"/>
      <c r="R716" s="145"/>
      <c r="S716" s="145"/>
      <c r="T716" s="145"/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  <c r="AG716" s="145"/>
    </row>
    <row r="717" ht="15.75" customHeight="1">
      <c r="A717" s="145"/>
      <c r="B717" s="145"/>
      <c r="C717" s="145"/>
      <c r="D717" s="145"/>
      <c r="E717" s="145"/>
      <c r="F717" s="145"/>
      <c r="G717" s="145"/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  <c r="AG717" s="145"/>
    </row>
    <row r="718" ht="15.75" customHeight="1">
      <c r="A718" s="145"/>
      <c r="B718" s="145"/>
      <c r="C718" s="145"/>
      <c r="D718" s="145"/>
      <c r="E718" s="145"/>
      <c r="F718" s="145"/>
      <c r="G718" s="145"/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  <c r="AG718" s="145"/>
    </row>
    <row r="719" ht="15.75" customHeight="1">
      <c r="A719" s="145"/>
      <c r="B719" s="145"/>
      <c r="C719" s="145"/>
      <c r="D719" s="145"/>
      <c r="E719" s="145"/>
      <c r="F719" s="145"/>
      <c r="G719" s="145"/>
      <c r="H719" s="145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  <c r="AG719" s="145"/>
    </row>
    <row r="720" ht="15.75" customHeight="1">
      <c r="A720" s="145"/>
      <c r="B720" s="145"/>
      <c r="C720" s="145"/>
      <c r="D720" s="145"/>
      <c r="E720" s="145"/>
      <c r="F720" s="145"/>
      <c r="G720" s="145"/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  <c r="AG720" s="145"/>
    </row>
    <row r="721" ht="15.75" customHeight="1">
      <c r="A721" s="145"/>
      <c r="B721" s="145"/>
      <c r="C721" s="145"/>
      <c r="D721" s="145"/>
      <c r="E721" s="145"/>
      <c r="F721" s="145"/>
      <c r="G721" s="145"/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  <c r="AG721" s="145"/>
    </row>
    <row r="722" ht="15.75" customHeight="1">
      <c r="A722" s="145"/>
      <c r="B722" s="145"/>
      <c r="C722" s="145"/>
      <c r="D722" s="145"/>
      <c r="E722" s="145"/>
      <c r="F722" s="145"/>
      <c r="G722" s="145"/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  <c r="AG722" s="145"/>
    </row>
    <row r="723" ht="15.75" customHeight="1">
      <c r="A723" s="145"/>
      <c r="B723" s="145"/>
      <c r="C723" s="145"/>
      <c r="D723" s="145"/>
      <c r="E723" s="145"/>
      <c r="F723" s="145"/>
      <c r="G723" s="145"/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  <c r="AG723" s="145"/>
    </row>
    <row r="724" ht="15.75" customHeight="1">
      <c r="A724" s="145"/>
      <c r="B724" s="145"/>
      <c r="C724" s="145"/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  <c r="AG724" s="145"/>
    </row>
    <row r="725" ht="15.75" customHeight="1">
      <c r="A725" s="145"/>
      <c r="B725" s="145"/>
      <c r="C725" s="145"/>
      <c r="D725" s="145"/>
      <c r="E725" s="145"/>
      <c r="F725" s="145"/>
      <c r="G725" s="145"/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  <c r="AG725" s="145"/>
    </row>
    <row r="726" ht="15.75" customHeight="1">
      <c r="A726" s="145"/>
      <c r="B726" s="145"/>
      <c r="C726" s="145"/>
      <c r="D726" s="145"/>
      <c r="E726" s="145"/>
      <c r="F726" s="145"/>
      <c r="G726" s="145"/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  <c r="AG726" s="145"/>
    </row>
    <row r="727" ht="15.75" customHeight="1">
      <c r="A727" s="145"/>
      <c r="B727" s="145"/>
      <c r="C727" s="145"/>
      <c r="D727" s="145"/>
      <c r="E727" s="145"/>
      <c r="F727" s="145"/>
      <c r="G727" s="145"/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  <c r="AG727" s="145"/>
    </row>
    <row r="728" ht="15.75" customHeight="1">
      <c r="A728" s="145"/>
      <c r="B728" s="145"/>
      <c r="C728" s="145"/>
      <c r="D728" s="145"/>
      <c r="E728" s="145"/>
      <c r="F728" s="145"/>
      <c r="G728" s="145"/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  <c r="AG728" s="145"/>
    </row>
    <row r="729" ht="15.75" customHeight="1">
      <c r="A729" s="145"/>
      <c r="B729" s="145"/>
      <c r="C729" s="145"/>
      <c r="D729" s="145"/>
      <c r="E729" s="145"/>
      <c r="F729" s="145"/>
      <c r="G729" s="145"/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  <c r="AG729" s="145"/>
    </row>
    <row r="730" ht="15.75" customHeight="1">
      <c r="A730" s="145"/>
      <c r="B730" s="145"/>
      <c r="C730" s="145"/>
      <c r="D730" s="145"/>
      <c r="E730" s="145"/>
      <c r="F730" s="145"/>
      <c r="G730" s="145"/>
      <c r="H730" s="145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  <c r="AG730" s="145"/>
    </row>
    <row r="731" ht="15.75" customHeight="1">
      <c r="A731" s="145"/>
      <c r="B731" s="145"/>
      <c r="C731" s="145"/>
      <c r="D731" s="145"/>
      <c r="E731" s="145"/>
      <c r="F731" s="145"/>
      <c r="G731" s="145"/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  <c r="AG731" s="145"/>
    </row>
    <row r="732" ht="15.75" customHeight="1">
      <c r="A732" s="145"/>
      <c r="B732" s="145"/>
      <c r="C732" s="145"/>
      <c r="D732" s="145"/>
      <c r="E732" s="145"/>
      <c r="F732" s="145"/>
      <c r="G732" s="145"/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  <c r="AG732" s="145"/>
    </row>
    <row r="733" ht="15.75" customHeight="1">
      <c r="A733" s="145"/>
      <c r="B733" s="145"/>
      <c r="C733" s="145"/>
      <c r="D733" s="145"/>
      <c r="E733" s="145"/>
      <c r="F733" s="145"/>
      <c r="G733" s="145"/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  <c r="AG733" s="145"/>
    </row>
    <row r="734" ht="15.75" customHeight="1">
      <c r="A734" s="145"/>
      <c r="B734" s="145"/>
      <c r="C734" s="145"/>
      <c r="D734" s="145"/>
      <c r="E734" s="145"/>
      <c r="F734" s="145"/>
      <c r="G734" s="145"/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45"/>
      <c r="AG734" s="145"/>
    </row>
    <row r="735" ht="15.75" customHeight="1">
      <c r="A735" s="145"/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  <c r="AG735" s="145"/>
    </row>
    <row r="736" ht="15.75" customHeight="1">
      <c r="A736" s="145"/>
      <c r="B736" s="145"/>
      <c r="C736" s="145"/>
      <c r="D736" s="145"/>
      <c r="E736" s="145"/>
      <c r="F736" s="145"/>
      <c r="G736" s="145"/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  <c r="AG736" s="145"/>
    </row>
    <row r="737" ht="15.75" customHeight="1">
      <c r="A737" s="145"/>
      <c r="B737" s="145"/>
      <c r="C737" s="145"/>
      <c r="D737" s="145"/>
      <c r="E737" s="145"/>
      <c r="F737" s="145"/>
      <c r="G737" s="145"/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  <c r="AG737" s="145"/>
    </row>
    <row r="738" ht="15.75" customHeight="1">
      <c r="A738" s="145"/>
      <c r="B738" s="145"/>
      <c r="C738" s="145"/>
      <c r="D738" s="145"/>
      <c r="E738" s="145"/>
      <c r="F738" s="145"/>
      <c r="G738" s="145"/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  <c r="AG738" s="145"/>
    </row>
    <row r="739" ht="15.75" customHeight="1">
      <c r="A739" s="145"/>
      <c r="B739" s="145"/>
      <c r="C739" s="145"/>
      <c r="D739" s="145"/>
      <c r="E739" s="145"/>
      <c r="F739" s="145"/>
      <c r="G739" s="145"/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45"/>
      <c r="AG739" s="145"/>
    </row>
    <row r="740" ht="15.75" customHeight="1">
      <c r="A740" s="145"/>
      <c r="B740" s="145"/>
      <c r="C740" s="145"/>
      <c r="D740" s="145"/>
      <c r="E740" s="145"/>
      <c r="F740" s="145"/>
      <c r="G740" s="145"/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  <c r="AG740" s="145"/>
    </row>
    <row r="741" ht="15.75" customHeight="1">
      <c r="A741" s="145"/>
      <c r="B741" s="145"/>
      <c r="C741" s="145"/>
      <c r="D741" s="145"/>
      <c r="E741" s="145"/>
      <c r="F741" s="145"/>
      <c r="G741" s="145"/>
      <c r="H741" s="145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  <c r="AG741" s="145"/>
    </row>
    <row r="742" ht="15.75" customHeight="1">
      <c r="A742" s="145"/>
      <c r="B742" s="145"/>
      <c r="C742" s="145"/>
      <c r="D742" s="145"/>
      <c r="E742" s="145"/>
      <c r="F742" s="145"/>
      <c r="G742" s="145"/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  <c r="AG742" s="145"/>
    </row>
    <row r="743" ht="15.75" customHeight="1">
      <c r="A743" s="145"/>
      <c r="B743" s="145"/>
      <c r="C743" s="145"/>
      <c r="D743" s="145"/>
      <c r="E743" s="145"/>
      <c r="F743" s="145"/>
      <c r="G743" s="145"/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  <c r="AG743" s="145"/>
    </row>
    <row r="744" ht="15.75" customHeight="1">
      <c r="A744" s="145"/>
      <c r="B744" s="145"/>
      <c r="C744" s="145"/>
      <c r="D744" s="145"/>
      <c r="E744" s="145"/>
      <c r="F744" s="145"/>
      <c r="G744" s="145"/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  <c r="AG744" s="145"/>
    </row>
    <row r="745" ht="15.75" customHeight="1">
      <c r="A745" s="145"/>
      <c r="B745" s="145"/>
      <c r="C745" s="145"/>
      <c r="D745" s="145"/>
      <c r="E745" s="145"/>
      <c r="F745" s="145"/>
      <c r="G745" s="145"/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  <c r="AG745" s="145"/>
    </row>
    <row r="746" ht="15.75" customHeight="1">
      <c r="A746" s="145"/>
      <c r="B746" s="145"/>
      <c r="C746" s="145"/>
      <c r="D746" s="145"/>
      <c r="E746" s="145"/>
      <c r="F746" s="145"/>
      <c r="G746" s="145"/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  <c r="AG746" s="145"/>
    </row>
    <row r="747" ht="15.75" customHeight="1">
      <c r="A747" s="145"/>
      <c r="B747" s="145"/>
      <c r="C747" s="145"/>
      <c r="D747" s="145"/>
      <c r="E747" s="145"/>
      <c r="F747" s="145"/>
      <c r="G747" s="145"/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  <c r="AG747" s="145"/>
    </row>
    <row r="748" ht="15.75" customHeight="1">
      <c r="A748" s="145"/>
      <c r="B748" s="145"/>
      <c r="C748" s="145"/>
      <c r="D748" s="145"/>
      <c r="E748" s="145"/>
      <c r="F748" s="145"/>
      <c r="G748" s="145"/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  <c r="AG748" s="145"/>
    </row>
    <row r="749" ht="15.75" customHeight="1">
      <c r="A749" s="145"/>
      <c r="B749" s="145"/>
      <c r="C749" s="145"/>
      <c r="D749" s="145"/>
      <c r="E749" s="145"/>
      <c r="F749" s="145"/>
      <c r="G749" s="145"/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  <c r="AG749" s="145"/>
    </row>
    <row r="750" ht="15.75" customHeight="1">
      <c r="A750" s="145"/>
      <c r="B750" s="145"/>
      <c r="C750" s="145"/>
      <c r="D750" s="145"/>
      <c r="E750" s="145"/>
      <c r="F750" s="145"/>
      <c r="G750" s="145"/>
      <c r="H750" s="145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  <c r="AG750" s="145"/>
    </row>
    <row r="751" ht="15.75" customHeight="1">
      <c r="A751" s="145"/>
      <c r="B751" s="145"/>
      <c r="C751" s="145"/>
      <c r="D751" s="145"/>
      <c r="E751" s="145"/>
      <c r="F751" s="145"/>
      <c r="G751" s="145"/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  <c r="AG751" s="145"/>
    </row>
    <row r="752" ht="15.75" customHeight="1">
      <c r="A752" s="145"/>
      <c r="B752" s="145"/>
      <c r="C752" s="145"/>
      <c r="D752" s="145"/>
      <c r="E752" s="145"/>
      <c r="F752" s="145"/>
      <c r="G752" s="145"/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  <c r="AG752" s="145"/>
    </row>
    <row r="753" ht="15.75" customHeight="1">
      <c r="A753" s="145"/>
      <c r="B753" s="145"/>
      <c r="C753" s="145"/>
      <c r="D753" s="145"/>
      <c r="E753" s="145"/>
      <c r="F753" s="145"/>
      <c r="G753" s="145"/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  <c r="AG753" s="145"/>
    </row>
    <row r="754" ht="15.75" customHeight="1">
      <c r="A754" s="145"/>
      <c r="B754" s="145"/>
      <c r="C754" s="145"/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  <c r="AG754" s="145"/>
    </row>
    <row r="755" ht="15.75" customHeight="1">
      <c r="A755" s="145"/>
      <c r="B755" s="145"/>
      <c r="C755" s="145"/>
      <c r="D755" s="145"/>
      <c r="E755" s="145"/>
      <c r="F755" s="145"/>
      <c r="G755" s="145"/>
      <c r="H755" s="145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  <c r="AG755" s="145"/>
    </row>
    <row r="756" ht="15.75" customHeight="1">
      <c r="A756" s="145"/>
      <c r="B756" s="145"/>
      <c r="C756" s="145"/>
      <c r="D756" s="145"/>
      <c r="E756" s="145"/>
      <c r="F756" s="145"/>
      <c r="G756" s="145"/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  <c r="AG756" s="145"/>
    </row>
    <row r="757" ht="15.75" customHeight="1">
      <c r="A757" s="145"/>
      <c r="B757" s="145"/>
      <c r="C757" s="145"/>
      <c r="D757" s="145"/>
      <c r="E757" s="145"/>
      <c r="F757" s="145"/>
      <c r="G757" s="145"/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  <c r="AG757" s="145"/>
    </row>
    <row r="758" ht="15.75" customHeight="1">
      <c r="A758" s="145"/>
      <c r="B758" s="145"/>
      <c r="C758" s="145"/>
      <c r="D758" s="145"/>
      <c r="E758" s="145"/>
      <c r="F758" s="145"/>
      <c r="G758" s="145"/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  <c r="AG758" s="145"/>
    </row>
    <row r="759" ht="15.75" customHeight="1">
      <c r="A759" s="145"/>
      <c r="B759" s="145"/>
      <c r="C759" s="145"/>
      <c r="D759" s="145"/>
      <c r="E759" s="145"/>
      <c r="F759" s="145"/>
      <c r="G759" s="145"/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  <c r="AG759" s="145"/>
    </row>
    <row r="760" ht="15.75" customHeight="1">
      <c r="A760" s="145"/>
      <c r="B760" s="145"/>
      <c r="C760" s="145"/>
      <c r="D760" s="145"/>
      <c r="E760" s="145"/>
      <c r="F760" s="145"/>
      <c r="G760" s="145"/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  <c r="AG760" s="145"/>
    </row>
    <row r="761" ht="15.75" customHeight="1">
      <c r="A761" s="145"/>
      <c r="B761" s="145"/>
      <c r="C761" s="145"/>
      <c r="D761" s="145"/>
      <c r="E761" s="145"/>
      <c r="F761" s="145"/>
      <c r="G761" s="145"/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  <c r="AG761" s="145"/>
    </row>
    <row r="762" ht="15.75" customHeight="1">
      <c r="A762" s="145"/>
      <c r="B762" s="145"/>
      <c r="C762" s="145"/>
      <c r="D762" s="145"/>
      <c r="E762" s="145"/>
      <c r="F762" s="145"/>
      <c r="G762" s="145"/>
      <c r="H762" s="145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  <c r="AG762" s="145"/>
    </row>
    <row r="763" ht="15.75" customHeight="1">
      <c r="A763" s="145"/>
      <c r="B763" s="145"/>
      <c r="C763" s="145"/>
      <c r="D763" s="145"/>
      <c r="E763" s="145"/>
      <c r="F763" s="145"/>
      <c r="G763" s="145"/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  <c r="AG763" s="145"/>
    </row>
    <row r="764" ht="15.75" customHeight="1">
      <c r="A764" s="145"/>
      <c r="B764" s="145"/>
      <c r="C764" s="145"/>
      <c r="D764" s="145"/>
      <c r="E764" s="145"/>
      <c r="F764" s="145"/>
      <c r="G764" s="145"/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  <c r="AG764" s="145"/>
    </row>
    <row r="765" ht="15.75" customHeight="1">
      <c r="A765" s="145"/>
      <c r="B765" s="145"/>
      <c r="C765" s="145"/>
      <c r="D765" s="145"/>
      <c r="E765" s="145"/>
      <c r="F765" s="145"/>
      <c r="G765" s="145"/>
      <c r="H765" s="145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5"/>
      <c r="AA765" s="145"/>
      <c r="AB765" s="145"/>
      <c r="AC765" s="145"/>
      <c r="AD765" s="145"/>
      <c r="AE765" s="145"/>
      <c r="AF765" s="145"/>
      <c r="AG765" s="145"/>
    </row>
    <row r="766" ht="15.75" customHeight="1">
      <c r="A766" s="145"/>
      <c r="B766" s="145"/>
      <c r="C766" s="145"/>
      <c r="D766" s="145"/>
      <c r="E766" s="145"/>
      <c r="F766" s="145"/>
      <c r="G766" s="145"/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45"/>
      <c r="AG766" s="145"/>
    </row>
    <row r="767" ht="15.75" customHeight="1">
      <c r="A767" s="145"/>
      <c r="B767" s="145"/>
      <c r="C767" s="145"/>
      <c r="D767" s="145"/>
      <c r="E767" s="145"/>
      <c r="F767" s="145"/>
      <c r="G767" s="145"/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  <c r="AG767" s="145"/>
    </row>
    <row r="768" ht="15.75" customHeight="1">
      <c r="A768" s="145"/>
      <c r="B768" s="145"/>
      <c r="C768" s="145"/>
      <c r="D768" s="145"/>
      <c r="E768" s="145"/>
      <c r="F768" s="145"/>
      <c r="G768" s="145"/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45"/>
      <c r="AG768" s="145"/>
    </row>
    <row r="769" ht="15.75" customHeight="1">
      <c r="A769" s="145"/>
      <c r="B769" s="145"/>
      <c r="C769" s="145"/>
      <c r="D769" s="145"/>
      <c r="E769" s="145"/>
      <c r="F769" s="145"/>
      <c r="G769" s="145"/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45"/>
      <c r="AG769" s="145"/>
    </row>
    <row r="770" ht="15.75" customHeight="1">
      <c r="A770" s="145"/>
      <c r="B770" s="145"/>
      <c r="C770" s="145"/>
      <c r="D770" s="145"/>
      <c r="E770" s="145"/>
      <c r="F770" s="145"/>
      <c r="G770" s="145"/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45"/>
      <c r="AG770" s="145"/>
    </row>
    <row r="771" ht="15.75" customHeight="1">
      <c r="A771" s="145"/>
      <c r="B771" s="145"/>
      <c r="C771" s="145"/>
      <c r="D771" s="145"/>
      <c r="E771" s="145"/>
      <c r="F771" s="145"/>
      <c r="G771" s="145"/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45"/>
      <c r="AG771" s="145"/>
    </row>
    <row r="772" ht="15.75" customHeight="1">
      <c r="A772" s="145"/>
      <c r="B772" s="145"/>
      <c r="C772" s="145"/>
      <c r="D772" s="145"/>
      <c r="E772" s="145"/>
      <c r="F772" s="145"/>
      <c r="G772" s="145"/>
      <c r="H772" s="145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  <c r="AG772" s="145"/>
    </row>
    <row r="773" ht="15.75" customHeight="1">
      <c r="A773" s="145"/>
      <c r="B773" s="145"/>
      <c r="C773" s="145"/>
      <c r="D773" s="145"/>
      <c r="E773" s="145"/>
      <c r="F773" s="145"/>
      <c r="G773" s="145"/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  <c r="AG773" s="145"/>
    </row>
    <row r="774" ht="15.75" customHeight="1">
      <c r="A774" s="145"/>
      <c r="B774" s="145"/>
      <c r="C774" s="145"/>
      <c r="D774" s="145"/>
      <c r="E774" s="145"/>
      <c r="F774" s="145"/>
      <c r="G774" s="145"/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  <c r="AG774" s="145"/>
    </row>
    <row r="775" ht="15.75" customHeight="1">
      <c r="A775" s="145"/>
      <c r="B775" s="145"/>
      <c r="C775" s="145"/>
      <c r="D775" s="145"/>
      <c r="E775" s="145"/>
      <c r="F775" s="145"/>
      <c r="G775" s="145"/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  <c r="AG775" s="145"/>
    </row>
    <row r="776" ht="15.75" customHeight="1">
      <c r="A776" s="145"/>
      <c r="B776" s="145"/>
      <c r="C776" s="145"/>
      <c r="D776" s="145"/>
      <c r="E776" s="145"/>
      <c r="F776" s="145"/>
      <c r="G776" s="145"/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  <c r="AG776" s="145"/>
    </row>
    <row r="777" ht="15.75" customHeight="1">
      <c r="A777" s="145"/>
      <c r="B777" s="145"/>
      <c r="C777" s="145"/>
      <c r="D777" s="145"/>
      <c r="E777" s="145"/>
      <c r="F777" s="145"/>
      <c r="G777" s="145"/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  <c r="AG777" s="145"/>
    </row>
    <row r="778" ht="15.75" customHeight="1">
      <c r="A778" s="145"/>
      <c r="B778" s="145"/>
      <c r="C778" s="145"/>
      <c r="D778" s="145"/>
      <c r="E778" s="145"/>
      <c r="F778" s="145"/>
      <c r="G778" s="145"/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  <c r="AG778" s="145"/>
    </row>
    <row r="779" ht="15.75" customHeight="1">
      <c r="A779" s="145"/>
      <c r="B779" s="145"/>
      <c r="C779" s="145"/>
      <c r="D779" s="145"/>
      <c r="E779" s="145"/>
      <c r="F779" s="145"/>
      <c r="G779" s="145"/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  <c r="AG779" s="145"/>
    </row>
    <row r="780" ht="15.75" customHeight="1">
      <c r="A780" s="145"/>
      <c r="B780" s="145"/>
      <c r="C780" s="145"/>
      <c r="D780" s="145"/>
      <c r="E780" s="145"/>
      <c r="F780" s="145"/>
      <c r="G780" s="145"/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  <c r="AG780" s="145"/>
    </row>
    <row r="781" ht="15.75" customHeight="1">
      <c r="A781" s="145"/>
      <c r="B781" s="145"/>
      <c r="C781" s="145"/>
      <c r="D781" s="145"/>
      <c r="E781" s="145"/>
      <c r="F781" s="145"/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  <c r="AG781" s="145"/>
    </row>
    <row r="782" ht="15.75" customHeight="1">
      <c r="A782" s="145"/>
      <c r="B782" s="145"/>
      <c r="C782" s="145"/>
      <c r="D782" s="145"/>
      <c r="E782" s="145"/>
      <c r="F782" s="145"/>
      <c r="G782" s="145"/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  <c r="AG782" s="145"/>
    </row>
    <row r="783" ht="15.75" customHeight="1">
      <c r="A783" s="145"/>
      <c r="B783" s="145"/>
      <c r="C783" s="145"/>
      <c r="D783" s="145"/>
      <c r="E783" s="145"/>
      <c r="F783" s="145"/>
      <c r="G783" s="145"/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  <c r="AG783" s="145"/>
    </row>
    <row r="784" ht="15.75" customHeight="1">
      <c r="A784" s="145"/>
      <c r="B784" s="145"/>
      <c r="C784" s="145"/>
      <c r="D784" s="145"/>
      <c r="E784" s="145"/>
      <c r="F784" s="145"/>
      <c r="G784" s="145"/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  <c r="AG784" s="145"/>
    </row>
    <row r="785" ht="15.75" customHeight="1">
      <c r="A785" s="145"/>
      <c r="B785" s="145"/>
      <c r="C785" s="145"/>
      <c r="D785" s="145"/>
      <c r="E785" s="145"/>
      <c r="F785" s="145"/>
      <c r="G785" s="145"/>
      <c r="H785" s="145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  <c r="AG785" s="145"/>
    </row>
    <row r="786" ht="15.75" customHeight="1">
      <c r="A786" s="145"/>
      <c r="B786" s="145"/>
      <c r="C786" s="145"/>
      <c r="D786" s="145"/>
      <c r="E786" s="145"/>
      <c r="F786" s="145"/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  <c r="AG786" s="145"/>
    </row>
    <row r="787" ht="15.75" customHeight="1">
      <c r="A787" s="145"/>
      <c r="B787" s="145"/>
      <c r="C787" s="145"/>
      <c r="D787" s="145"/>
      <c r="E787" s="145"/>
      <c r="F787" s="145"/>
      <c r="G787" s="145"/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  <c r="AG787" s="145"/>
    </row>
    <row r="788" ht="15.75" customHeight="1">
      <c r="A788" s="145"/>
      <c r="B788" s="145"/>
      <c r="C788" s="145"/>
      <c r="D788" s="145"/>
      <c r="E788" s="145"/>
      <c r="F788" s="145"/>
      <c r="G788" s="145"/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  <c r="AG788" s="145"/>
    </row>
    <row r="789" ht="15.75" customHeight="1">
      <c r="A789" s="145"/>
      <c r="B789" s="145"/>
      <c r="C789" s="145"/>
      <c r="D789" s="145"/>
      <c r="E789" s="145"/>
      <c r="F789" s="145"/>
      <c r="G789" s="145"/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  <c r="AG789" s="145"/>
    </row>
    <row r="790" ht="15.75" customHeight="1">
      <c r="A790" s="145"/>
      <c r="B790" s="145"/>
      <c r="C790" s="145"/>
      <c r="D790" s="145"/>
      <c r="E790" s="145"/>
      <c r="F790" s="145"/>
      <c r="G790" s="145"/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  <c r="AG790" s="145"/>
    </row>
    <row r="791" ht="15.75" customHeight="1">
      <c r="A791" s="145"/>
      <c r="B791" s="145"/>
      <c r="C791" s="145"/>
      <c r="D791" s="145"/>
      <c r="E791" s="145"/>
      <c r="F791" s="145"/>
      <c r="G791" s="145"/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  <c r="AG791" s="145"/>
    </row>
    <row r="792" ht="15.75" customHeight="1">
      <c r="A792" s="145"/>
      <c r="B792" s="145"/>
      <c r="C792" s="145"/>
      <c r="D792" s="145"/>
      <c r="E792" s="145"/>
      <c r="F792" s="145"/>
      <c r="G792" s="145"/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  <c r="AG792" s="145"/>
    </row>
    <row r="793" ht="15.75" customHeight="1">
      <c r="A793" s="145"/>
      <c r="B793" s="145"/>
      <c r="C793" s="145"/>
      <c r="D793" s="145"/>
      <c r="E793" s="145"/>
      <c r="F793" s="145"/>
      <c r="G793" s="145"/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  <c r="AG793" s="145"/>
    </row>
    <row r="794" ht="15.75" customHeight="1">
      <c r="A794" s="145"/>
      <c r="B794" s="145"/>
      <c r="C794" s="145"/>
      <c r="D794" s="145"/>
      <c r="E794" s="145"/>
      <c r="F794" s="145"/>
      <c r="G794" s="145"/>
      <c r="H794" s="145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  <c r="AG794" s="145"/>
    </row>
    <row r="795" ht="15.75" customHeight="1">
      <c r="A795" s="145"/>
      <c r="B795" s="145"/>
      <c r="C795" s="145"/>
      <c r="D795" s="145"/>
      <c r="E795" s="145"/>
      <c r="F795" s="145"/>
      <c r="G795" s="145"/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  <c r="AG795" s="145"/>
    </row>
    <row r="796" ht="15.75" customHeight="1">
      <c r="A796" s="145"/>
      <c r="B796" s="145"/>
      <c r="C796" s="145"/>
      <c r="D796" s="145"/>
      <c r="E796" s="145"/>
      <c r="F796" s="145"/>
      <c r="G796" s="145"/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  <c r="AG796" s="145"/>
    </row>
    <row r="797" ht="15.75" customHeight="1">
      <c r="A797" s="145"/>
      <c r="B797" s="145"/>
      <c r="C797" s="145"/>
      <c r="D797" s="145"/>
      <c r="E797" s="145"/>
      <c r="F797" s="145"/>
      <c r="G797" s="145"/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  <c r="AG797" s="145"/>
    </row>
    <row r="798" ht="15.75" customHeight="1">
      <c r="A798" s="145"/>
      <c r="B798" s="145"/>
      <c r="C798" s="145"/>
      <c r="D798" s="145"/>
      <c r="E798" s="145"/>
      <c r="F798" s="145"/>
      <c r="G798" s="145"/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  <c r="AG798" s="145"/>
    </row>
    <row r="799" ht="15.75" customHeight="1">
      <c r="A799" s="145"/>
      <c r="B799" s="145"/>
      <c r="C799" s="145"/>
      <c r="D799" s="145"/>
      <c r="E799" s="145"/>
      <c r="F799" s="145"/>
      <c r="G799" s="145"/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  <c r="AG799" s="145"/>
    </row>
    <row r="800" ht="15.75" customHeight="1">
      <c r="A800" s="145"/>
      <c r="B800" s="145"/>
      <c r="C800" s="145"/>
      <c r="D800" s="145"/>
      <c r="E800" s="145"/>
      <c r="F800" s="145"/>
      <c r="G800" s="145"/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  <c r="AG800" s="145"/>
    </row>
    <row r="801" ht="15.75" customHeight="1">
      <c r="A801" s="145"/>
      <c r="B801" s="145"/>
      <c r="C801" s="145"/>
      <c r="D801" s="145"/>
      <c r="E801" s="145"/>
      <c r="F801" s="145"/>
      <c r="G801" s="145"/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  <c r="AG801" s="145"/>
    </row>
    <row r="802" ht="15.75" customHeight="1">
      <c r="A802" s="145"/>
      <c r="B802" s="145"/>
      <c r="C802" s="145"/>
      <c r="D802" s="145"/>
      <c r="E802" s="145"/>
      <c r="F802" s="145"/>
      <c r="G802" s="145"/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  <c r="AG802" s="145"/>
    </row>
    <row r="803" ht="15.75" customHeight="1">
      <c r="A803" s="145"/>
      <c r="B803" s="145"/>
      <c r="C803" s="145"/>
      <c r="D803" s="145"/>
      <c r="E803" s="145"/>
      <c r="F803" s="145"/>
      <c r="G803" s="145"/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  <c r="AG803" s="145"/>
    </row>
    <row r="804" ht="15.75" customHeight="1">
      <c r="A804" s="145"/>
      <c r="B804" s="145"/>
      <c r="C804" s="145"/>
      <c r="D804" s="145"/>
      <c r="E804" s="145"/>
      <c r="F804" s="145"/>
      <c r="G804" s="145"/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  <c r="AG804" s="145"/>
    </row>
    <row r="805" ht="15.75" customHeight="1">
      <c r="A805" s="145"/>
      <c r="B805" s="145"/>
      <c r="C805" s="145"/>
      <c r="D805" s="145"/>
      <c r="E805" s="145"/>
      <c r="F805" s="145"/>
      <c r="G805" s="145"/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  <c r="AG805" s="145"/>
    </row>
    <row r="806" ht="15.75" customHeight="1">
      <c r="A806" s="145"/>
      <c r="B806" s="145"/>
      <c r="C806" s="145"/>
      <c r="D806" s="145"/>
      <c r="E806" s="145"/>
      <c r="F806" s="145"/>
      <c r="G806" s="145"/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  <c r="AG806" s="145"/>
    </row>
    <row r="807" ht="15.75" customHeight="1">
      <c r="A807" s="145"/>
      <c r="B807" s="145"/>
      <c r="C807" s="145"/>
      <c r="D807" s="145"/>
      <c r="E807" s="145"/>
      <c r="F807" s="145"/>
      <c r="G807" s="145"/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  <c r="AG807" s="145"/>
    </row>
    <row r="808" ht="15.75" customHeight="1">
      <c r="A808" s="145"/>
      <c r="B808" s="145"/>
      <c r="C808" s="145"/>
      <c r="D808" s="145"/>
      <c r="E808" s="145"/>
      <c r="F808" s="145"/>
      <c r="G808" s="145"/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  <c r="AG808" s="145"/>
    </row>
    <row r="809" ht="15.75" customHeight="1">
      <c r="A809" s="145"/>
      <c r="B809" s="145"/>
      <c r="C809" s="145"/>
      <c r="D809" s="145"/>
      <c r="E809" s="145"/>
      <c r="F809" s="145"/>
      <c r="G809" s="145"/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  <c r="AG809" s="145"/>
    </row>
    <row r="810" ht="15.75" customHeight="1">
      <c r="A810" s="145"/>
      <c r="B810" s="145"/>
      <c r="C810" s="145"/>
      <c r="D810" s="145"/>
      <c r="E810" s="145"/>
      <c r="F810" s="145"/>
      <c r="G810" s="145"/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  <c r="AG810" s="145"/>
    </row>
    <row r="811" ht="15.75" customHeight="1">
      <c r="A811" s="145"/>
      <c r="B811" s="145"/>
      <c r="C811" s="145"/>
      <c r="D811" s="145"/>
      <c r="E811" s="145"/>
      <c r="F811" s="145"/>
      <c r="G811" s="145"/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  <c r="AG811" s="145"/>
    </row>
    <row r="812" ht="15.75" customHeight="1">
      <c r="A812" s="145"/>
      <c r="B812" s="145"/>
      <c r="C812" s="145"/>
      <c r="D812" s="145"/>
      <c r="E812" s="145"/>
      <c r="F812" s="145"/>
      <c r="G812" s="145"/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  <c r="AG812" s="145"/>
    </row>
    <row r="813" ht="15.75" customHeight="1">
      <c r="A813" s="145"/>
      <c r="B813" s="145"/>
      <c r="C813" s="145"/>
      <c r="D813" s="145"/>
      <c r="E813" s="145"/>
      <c r="F813" s="145"/>
      <c r="G813" s="145"/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  <c r="AG813" s="145"/>
    </row>
    <row r="814" ht="15.75" customHeight="1">
      <c r="A814" s="145"/>
      <c r="B814" s="145"/>
      <c r="C814" s="145"/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  <c r="AG814" s="145"/>
    </row>
    <row r="815" ht="15.75" customHeight="1">
      <c r="A815" s="145"/>
      <c r="B815" s="145"/>
      <c r="C815" s="145"/>
      <c r="D815" s="145"/>
      <c r="E815" s="145"/>
      <c r="F815" s="145"/>
      <c r="G815" s="145"/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  <c r="AG815" s="145"/>
    </row>
    <row r="816" ht="15.75" customHeight="1">
      <c r="A816" s="145"/>
      <c r="B816" s="145"/>
      <c r="C816" s="145"/>
      <c r="D816" s="145"/>
      <c r="E816" s="145"/>
      <c r="F816" s="145"/>
      <c r="G816" s="145"/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  <c r="AG816" s="145"/>
    </row>
    <row r="817" ht="15.75" customHeight="1">
      <c r="A817" s="145"/>
      <c r="B817" s="145"/>
      <c r="C817" s="145"/>
      <c r="D817" s="145"/>
      <c r="E817" s="145"/>
      <c r="F817" s="145"/>
      <c r="G817" s="145"/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  <c r="AG817" s="145"/>
    </row>
    <row r="818" ht="15.75" customHeight="1">
      <c r="A818" s="145"/>
      <c r="B818" s="145"/>
      <c r="C818" s="145"/>
      <c r="D818" s="145"/>
      <c r="E818" s="145"/>
      <c r="F818" s="145"/>
      <c r="G818" s="145"/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  <c r="AG818" s="145"/>
    </row>
    <row r="819" ht="15.75" customHeight="1">
      <c r="A819" s="145"/>
      <c r="B819" s="145"/>
      <c r="C819" s="145"/>
      <c r="D819" s="145"/>
      <c r="E819" s="145"/>
      <c r="F819" s="145"/>
      <c r="G819" s="145"/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  <c r="AG819" s="145"/>
    </row>
    <row r="820" ht="15.75" customHeight="1">
      <c r="A820" s="145"/>
      <c r="B820" s="145"/>
      <c r="C820" s="145"/>
      <c r="D820" s="145"/>
      <c r="E820" s="145"/>
      <c r="F820" s="145"/>
      <c r="G820" s="145"/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  <c r="AG820" s="145"/>
    </row>
    <row r="821" ht="15.75" customHeight="1">
      <c r="A821" s="145"/>
      <c r="B821" s="145"/>
      <c r="C821" s="145"/>
      <c r="D821" s="145"/>
      <c r="E821" s="145"/>
      <c r="F821" s="145"/>
      <c r="G821" s="145"/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  <c r="AG821" s="145"/>
    </row>
    <row r="822" ht="15.75" customHeight="1">
      <c r="A822" s="145"/>
      <c r="B822" s="145"/>
      <c r="C822" s="145"/>
      <c r="D822" s="145"/>
      <c r="E822" s="145"/>
      <c r="F822" s="145"/>
      <c r="G822" s="145"/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  <c r="AG822" s="145"/>
    </row>
    <row r="823" ht="15.75" customHeight="1">
      <c r="A823" s="145"/>
      <c r="B823" s="145"/>
      <c r="C823" s="145"/>
      <c r="D823" s="145"/>
      <c r="E823" s="145"/>
      <c r="F823" s="145"/>
      <c r="G823" s="145"/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  <c r="AG823" s="145"/>
    </row>
    <row r="824" ht="15.75" customHeight="1">
      <c r="A824" s="145"/>
      <c r="B824" s="145"/>
      <c r="C824" s="145"/>
      <c r="D824" s="145"/>
      <c r="E824" s="145"/>
      <c r="F824" s="145"/>
      <c r="G824" s="145"/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  <c r="AG824" s="145"/>
    </row>
    <row r="825" ht="15.75" customHeight="1">
      <c r="A825" s="145"/>
      <c r="B825" s="145"/>
      <c r="C825" s="145"/>
      <c r="D825" s="145"/>
      <c r="E825" s="145"/>
      <c r="F825" s="145"/>
      <c r="G825" s="145"/>
      <c r="H825" s="145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  <c r="AG825" s="145"/>
    </row>
    <row r="826" ht="15.75" customHeight="1">
      <c r="A826" s="145"/>
      <c r="B826" s="145"/>
      <c r="C826" s="145"/>
      <c r="D826" s="145"/>
      <c r="E826" s="145"/>
      <c r="F826" s="145"/>
      <c r="G826" s="145"/>
      <c r="H826" s="145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  <c r="AG826" s="145"/>
    </row>
    <row r="827" ht="15.75" customHeight="1">
      <c r="A827" s="145"/>
      <c r="B827" s="145"/>
      <c r="C827" s="145"/>
      <c r="D827" s="145"/>
      <c r="E827" s="145"/>
      <c r="F827" s="145"/>
      <c r="G827" s="145"/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  <c r="AG827" s="145"/>
    </row>
    <row r="828" ht="15.75" customHeight="1">
      <c r="A828" s="145"/>
      <c r="B828" s="145"/>
      <c r="C828" s="145"/>
      <c r="D828" s="145"/>
      <c r="E828" s="145"/>
      <c r="F828" s="145"/>
      <c r="G828" s="145"/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  <c r="AG828" s="145"/>
    </row>
    <row r="829" ht="15.75" customHeight="1">
      <c r="A829" s="145"/>
      <c r="B829" s="145"/>
      <c r="C829" s="145"/>
      <c r="D829" s="145"/>
      <c r="E829" s="145"/>
      <c r="F829" s="145"/>
      <c r="G829" s="145"/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  <c r="AG829" s="145"/>
    </row>
    <row r="830" ht="15.75" customHeight="1">
      <c r="A830" s="145"/>
      <c r="B830" s="145"/>
      <c r="C830" s="145"/>
      <c r="D830" s="145"/>
      <c r="E830" s="145"/>
      <c r="F830" s="145"/>
      <c r="G830" s="145"/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  <c r="AG830" s="145"/>
    </row>
    <row r="831" ht="15.75" customHeight="1">
      <c r="A831" s="145"/>
      <c r="B831" s="145"/>
      <c r="C831" s="145"/>
      <c r="D831" s="145"/>
      <c r="E831" s="145"/>
      <c r="F831" s="145"/>
      <c r="G831" s="145"/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  <c r="AG831" s="145"/>
    </row>
    <row r="832" ht="15.75" customHeight="1">
      <c r="A832" s="145"/>
      <c r="B832" s="145"/>
      <c r="C832" s="145"/>
      <c r="D832" s="145"/>
      <c r="E832" s="145"/>
      <c r="F832" s="145"/>
      <c r="G832" s="145"/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  <c r="AG832" s="145"/>
    </row>
    <row r="833" ht="15.75" customHeight="1">
      <c r="A833" s="145"/>
      <c r="B833" s="145"/>
      <c r="C833" s="145"/>
      <c r="D833" s="145"/>
      <c r="E833" s="145"/>
      <c r="F833" s="145"/>
      <c r="G833" s="145"/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  <c r="AG833" s="145"/>
    </row>
    <row r="834" ht="15.75" customHeight="1">
      <c r="A834" s="145"/>
      <c r="B834" s="145"/>
      <c r="C834" s="145"/>
      <c r="D834" s="145"/>
      <c r="E834" s="145"/>
      <c r="F834" s="145"/>
      <c r="G834" s="145"/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  <c r="AG834" s="145"/>
    </row>
    <row r="835" ht="15.75" customHeight="1">
      <c r="A835" s="145"/>
      <c r="B835" s="145"/>
      <c r="C835" s="145"/>
      <c r="D835" s="145"/>
      <c r="E835" s="145"/>
      <c r="F835" s="145"/>
      <c r="G835" s="145"/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  <c r="AG835" s="145"/>
    </row>
    <row r="836" ht="15.75" customHeight="1">
      <c r="A836" s="145"/>
      <c r="B836" s="145"/>
      <c r="C836" s="145"/>
      <c r="D836" s="145"/>
      <c r="E836" s="145"/>
      <c r="F836" s="145"/>
      <c r="G836" s="145"/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  <c r="AG836" s="145"/>
    </row>
    <row r="837" ht="15.75" customHeight="1">
      <c r="A837" s="145"/>
      <c r="B837" s="145"/>
      <c r="C837" s="145"/>
      <c r="D837" s="145"/>
      <c r="E837" s="145"/>
      <c r="F837" s="145"/>
      <c r="G837" s="145"/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  <c r="AG837" s="145"/>
    </row>
    <row r="838" ht="15.75" customHeight="1">
      <c r="A838" s="145"/>
      <c r="B838" s="145"/>
      <c r="C838" s="145"/>
      <c r="D838" s="145"/>
      <c r="E838" s="145"/>
      <c r="F838" s="145"/>
      <c r="G838" s="145"/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  <c r="AG838" s="145"/>
    </row>
    <row r="839" ht="15.75" customHeight="1">
      <c r="A839" s="145"/>
      <c r="B839" s="145"/>
      <c r="C839" s="145"/>
      <c r="D839" s="145"/>
      <c r="E839" s="145"/>
      <c r="F839" s="145"/>
      <c r="G839" s="145"/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  <c r="AG839" s="145"/>
    </row>
    <row r="840" ht="15.75" customHeight="1">
      <c r="A840" s="145"/>
      <c r="B840" s="145"/>
      <c r="C840" s="145"/>
      <c r="D840" s="145"/>
      <c r="E840" s="145"/>
      <c r="F840" s="145"/>
      <c r="G840" s="145"/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  <c r="AG840" s="145"/>
    </row>
    <row r="841" ht="15.75" customHeight="1">
      <c r="A841" s="145"/>
      <c r="B841" s="145"/>
      <c r="C841" s="145"/>
      <c r="D841" s="145"/>
      <c r="E841" s="145"/>
      <c r="F841" s="145"/>
      <c r="G841" s="145"/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  <c r="AG841" s="145"/>
    </row>
    <row r="842" ht="15.75" customHeight="1">
      <c r="A842" s="145"/>
      <c r="B842" s="145"/>
      <c r="C842" s="145"/>
      <c r="D842" s="145"/>
      <c r="E842" s="145"/>
      <c r="F842" s="145"/>
      <c r="G842" s="145"/>
      <c r="H842" s="145"/>
      <c r="I842" s="145"/>
      <c r="J842" s="145"/>
      <c r="K842" s="145"/>
      <c r="L842" s="145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45"/>
      <c r="Y842" s="145"/>
      <c r="Z842" s="145"/>
      <c r="AA842" s="145"/>
      <c r="AB842" s="145"/>
      <c r="AC842" s="145"/>
      <c r="AD842" s="145"/>
      <c r="AE842" s="145"/>
      <c r="AF842" s="145"/>
      <c r="AG842" s="145"/>
    </row>
    <row r="843" ht="15.75" customHeight="1">
      <c r="A843" s="145"/>
      <c r="B843" s="145"/>
      <c r="C843" s="145"/>
      <c r="D843" s="145"/>
      <c r="E843" s="145"/>
      <c r="F843" s="145"/>
      <c r="G843" s="145"/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45"/>
      <c r="AG843" s="145"/>
    </row>
    <row r="844" ht="15.75" customHeight="1">
      <c r="A844" s="145"/>
      <c r="B844" s="145"/>
      <c r="C844" s="145"/>
      <c r="D844" s="145"/>
      <c r="E844" s="145"/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  <c r="AG844" s="145"/>
    </row>
    <row r="845" ht="15.75" customHeight="1">
      <c r="A845" s="145"/>
      <c r="B845" s="145"/>
      <c r="C845" s="145"/>
      <c r="D845" s="145"/>
      <c r="E845" s="145"/>
      <c r="F845" s="145"/>
      <c r="G845" s="145"/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  <c r="AG845" s="145"/>
    </row>
    <row r="846" ht="15.75" customHeight="1">
      <c r="A846" s="145"/>
      <c r="B846" s="145"/>
      <c r="C846" s="145"/>
      <c r="D846" s="145"/>
      <c r="E846" s="145"/>
      <c r="F846" s="145"/>
      <c r="G846" s="145"/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  <c r="AG846" s="145"/>
    </row>
    <row r="847" ht="15.75" customHeight="1">
      <c r="A847" s="145"/>
      <c r="B847" s="145"/>
      <c r="C847" s="145"/>
      <c r="D847" s="145"/>
      <c r="E847" s="145"/>
      <c r="F847" s="145"/>
      <c r="G847" s="145"/>
      <c r="H847" s="145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  <c r="AG847" s="145"/>
    </row>
    <row r="848" ht="15.75" customHeight="1">
      <c r="A848" s="145"/>
      <c r="B848" s="145"/>
      <c r="C848" s="145"/>
      <c r="D848" s="145"/>
      <c r="E848" s="145"/>
      <c r="F848" s="145"/>
      <c r="G848" s="145"/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  <c r="AG848" s="145"/>
    </row>
    <row r="849" ht="15.75" customHeight="1">
      <c r="A849" s="145"/>
      <c r="B849" s="145"/>
      <c r="C849" s="145"/>
      <c r="D849" s="145"/>
      <c r="E849" s="145"/>
      <c r="F849" s="145"/>
      <c r="G849" s="145"/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  <c r="AG849" s="145"/>
    </row>
    <row r="850" ht="15.75" customHeight="1">
      <c r="A850" s="145"/>
      <c r="B850" s="145"/>
      <c r="C850" s="145"/>
      <c r="D850" s="145"/>
      <c r="E850" s="145"/>
      <c r="F850" s="145"/>
      <c r="G850" s="145"/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  <c r="AG850" s="145"/>
    </row>
    <row r="851" ht="15.75" customHeight="1">
      <c r="A851" s="145"/>
      <c r="B851" s="145"/>
      <c r="C851" s="145"/>
      <c r="D851" s="145"/>
      <c r="E851" s="145"/>
      <c r="F851" s="145"/>
      <c r="G851" s="145"/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  <c r="AG851" s="145"/>
    </row>
    <row r="852" ht="15.75" customHeight="1">
      <c r="A852" s="145"/>
      <c r="B852" s="145"/>
      <c r="C852" s="145"/>
      <c r="D852" s="145"/>
      <c r="E852" s="145"/>
      <c r="F852" s="145"/>
      <c r="G852" s="145"/>
      <c r="H852" s="145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  <c r="AG852" s="145"/>
    </row>
    <row r="853" ht="15.75" customHeight="1">
      <c r="A853" s="145"/>
      <c r="B853" s="145"/>
      <c r="C853" s="145"/>
      <c r="D853" s="145"/>
      <c r="E853" s="145"/>
      <c r="F853" s="145"/>
      <c r="G853" s="145"/>
      <c r="H853" s="145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  <c r="AG853" s="145"/>
    </row>
    <row r="854" ht="15.75" customHeight="1">
      <c r="A854" s="145"/>
      <c r="B854" s="145"/>
      <c r="C854" s="145"/>
      <c r="D854" s="145"/>
      <c r="E854" s="145"/>
      <c r="F854" s="145"/>
      <c r="G854" s="145"/>
      <c r="H854" s="145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  <c r="AG854" s="145"/>
    </row>
    <row r="855" ht="15.75" customHeight="1">
      <c r="A855" s="145"/>
      <c r="B855" s="145"/>
      <c r="C855" s="145"/>
      <c r="D855" s="145"/>
      <c r="E855" s="145"/>
      <c r="F855" s="145"/>
      <c r="G855" s="145"/>
      <c r="H855" s="145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  <c r="AG855" s="145"/>
    </row>
    <row r="856" ht="15.75" customHeight="1">
      <c r="A856" s="145"/>
      <c r="B856" s="145"/>
      <c r="C856" s="145"/>
      <c r="D856" s="145"/>
      <c r="E856" s="145"/>
      <c r="F856" s="145"/>
      <c r="G856" s="145"/>
      <c r="H856" s="145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  <c r="AG856" s="145"/>
    </row>
    <row r="857" ht="15.75" customHeight="1">
      <c r="A857" s="145"/>
      <c r="B857" s="145"/>
      <c r="C857" s="145"/>
      <c r="D857" s="145"/>
      <c r="E857" s="145"/>
      <c r="F857" s="145"/>
      <c r="G857" s="145"/>
      <c r="H857" s="145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  <c r="AG857" s="145"/>
    </row>
    <row r="858" ht="15.75" customHeight="1">
      <c r="A858" s="145"/>
      <c r="B858" s="145"/>
      <c r="C858" s="145"/>
      <c r="D858" s="145"/>
      <c r="E858" s="145"/>
      <c r="F858" s="145"/>
      <c r="G858" s="145"/>
      <c r="H858" s="145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  <c r="AG858" s="145"/>
    </row>
    <row r="859" ht="15.75" customHeight="1">
      <c r="A859" s="145"/>
      <c r="B859" s="145"/>
      <c r="C859" s="145"/>
      <c r="D859" s="145"/>
      <c r="E859" s="145"/>
      <c r="F859" s="145"/>
      <c r="G859" s="145"/>
      <c r="H859" s="145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  <c r="AG859" s="145"/>
    </row>
    <row r="860" ht="15.75" customHeight="1">
      <c r="A860" s="145"/>
      <c r="B860" s="145"/>
      <c r="C860" s="145"/>
      <c r="D860" s="145"/>
      <c r="E860" s="145"/>
      <c r="F860" s="145"/>
      <c r="G860" s="145"/>
      <c r="H860" s="145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  <c r="AG860" s="145"/>
    </row>
    <row r="861" ht="15.75" customHeight="1">
      <c r="A861" s="145"/>
      <c r="B861" s="145"/>
      <c r="C861" s="145"/>
      <c r="D861" s="145"/>
      <c r="E861" s="145"/>
      <c r="F861" s="145"/>
      <c r="G861" s="145"/>
      <c r="H861" s="145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  <c r="AG861" s="145"/>
    </row>
    <row r="862" ht="15.75" customHeight="1">
      <c r="A862" s="145"/>
      <c r="B862" s="145"/>
      <c r="C862" s="145"/>
      <c r="D862" s="145"/>
      <c r="E862" s="145"/>
      <c r="F862" s="145"/>
      <c r="G862" s="145"/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  <c r="AG862" s="145"/>
    </row>
    <row r="863" ht="15.75" customHeight="1">
      <c r="A863" s="145"/>
      <c r="B863" s="145"/>
      <c r="C863" s="145"/>
      <c r="D863" s="145"/>
      <c r="E863" s="145"/>
      <c r="F863" s="145"/>
      <c r="G863" s="145"/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  <c r="AG863" s="145"/>
    </row>
    <row r="864" ht="15.75" customHeight="1">
      <c r="A864" s="145"/>
      <c r="B864" s="145"/>
      <c r="C864" s="145"/>
      <c r="D864" s="145"/>
      <c r="E864" s="145"/>
      <c r="F864" s="145"/>
      <c r="G864" s="145"/>
      <c r="H864" s="145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  <c r="AG864" s="145"/>
    </row>
    <row r="865" ht="15.75" customHeight="1">
      <c r="A865" s="145"/>
      <c r="B865" s="145"/>
      <c r="C865" s="145"/>
      <c r="D865" s="145"/>
      <c r="E865" s="145"/>
      <c r="F865" s="145"/>
      <c r="G865" s="145"/>
      <c r="H865" s="145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  <c r="AG865" s="145"/>
    </row>
    <row r="866" ht="15.75" customHeight="1">
      <c r="A866" s="145"/>
      <c r="B866" s="145"/>
      <c r="C866" s="145"/>
      <c r="D866" s="145"/>
      <c r="E866" s="145"/>
      <c r="F866" s="145"/>
      <c r="G866" s="145"/>
      <c r="H866" s="145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  <c r="AG866" s="145"/>
    </row>
    <row r="867" ht="15.75" customHeight="1">
      <c r="A867" s="145"/>
      <c r="B867" s="145"/>
      <c r="C867" s="145"/>
      <c r="D867" s="145"/>
      <c r="E867" s="145"/>
      <c r="F867" s="145"/>
      <c r="G867" s="145"/>
      <c r="H867" s="145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  <c r="AG867" s="145"/>
    </row>
    <row r="868" ht="15.75" customHeight="1">
      <c r="A868" s="145"/>
      <c r="B868" s="145"/>
      <c r="C868" s="145"/>
      <c r="D868" s="145"/>
      <c r="E868" s="145"/>
      <c r="F868" s="145"/>
      <c r="G868" s="145"/>
      <c r="H868" s="145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  <c r="AG868" s="145"/>
    </row>
    <row r="869" ht="15.75" customHeight="1">
      <c r="A869" s="145"/>
      <c r="B869" s="145"/>
      <c r="C869" s="145"/>
      <c r="D869" s="145"/>
      <c r="E869" s="145"/>
      <c r="F869" s="145"/>
      <c r="G869" s="145"/>
      <c r="H869" s="145"/>
      <c r="I869" s="145"/>
      <c r="J869" s="145"/>
      <c r="K869" s="145"/>
      <c r="L869" s="145"/>
      <c r="M869" s="145"/>
      <c r="N869" s="145"/>
      <c r="O869" s="145"/>
      <c r="P869" s="145"/>
      <c r="Q869" s="145"/>
      <c r="R869" s="145"/>
      <c r="S869" s="145"/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  <c r="AG869" s="145"/>
    </row>
    <row r="870" ht="15.75" customHeight="1">
      <c r="A870" s="145"/>
      <c r="B870" s="145"/>
      <c r="C870" s="145"/>
      <c r="D870" s="145"/>
      <c r="E870" s="145"/>
      <c r="F870" s="145"/>
      <c r="G870" s="145"/>
      <c r="H870" s="145"/>
      <c r="I870" s="145"/>
      <c r="J870" s="145"/>
      <c r="K870" s="145"/>
      <c r="L870" s="145"/>
      <c r="M870" s="145"/>
      <c r="N870" s="145"/>
      <c r="O870" s="145"/>
      <c r="P870" s="145"/>
      <c r="Q870" s="145"/>
      <c r="R870" s="145"/>
      <c r="S870" s="145"/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  <c r="AG870" s="145"/>
    </row>
    <row r="871" ht="15.75" customHeight="1">
      <c r="A871" s="145"/>
      <c r="B871" s="145"/>
      <c r="C871" s="145"/>
      <c r="D871" s="145"/>
      <c r="E871" s="145"/>
      <c r="F871" s="145"/>
      <c r="G871" s="145"/>
      <c r="H871" s="145"/>
      <c r="I871" s="145"/>
      <c r="J871" s="145"/>
      <c r="K871" s="145"/>
      <c r="L871" s="145"/>
      <c r="M871" s="145"/>
      <c r="N871" s="145"/>
      <c r="O871" s="145"/>
      <c r="P871" s="145"/>
      <c r="Q871" s="145"/>
      <c r="R871" s="145"/>
      <c r="S871" s="145"/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  <c r="AG871" s="145"/>
    </row>
    <row r="872" ht="15.75" customHeight="1">
      <c r="A872" s="145"/>
      <c r="B872" s="145"/>
      <c r="C872" s="145"/>
      <c r="D872" s="145"/>
      <c r="E872" s="145"/>
      <c r="F872" s="145"/>
      <c r="G872" s="145"/>
      <c r="H872" s="145"/>
      <c r="I872" s="145"/>
      <c r="J872" s="145"/>
      <c r="K872" s="145"/>
      <c r="L872" s="145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  <c r="AG872" s="145"/>
    </row>
    <row r="873" ht="15.75" customHeight="1">
      <c r="A873" s="145"/>
      <c r="B873" s="145"/>
      <c r="C873" s="145"/>
      <c r="D873" s="145"/>
      <c r="E873" s="145"/>
      <c r="F873" s="145"/>
      <c r="G873" s="145"/>
      <c r="H873" s="145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  <c r="AG873" s="145"/>
    </row>
    <row r="874" ht="15.75" customHeight="1">
      <c r="A874" s="145"/>
      <c r="B874" s="145"/>
      <c r="C874" s="145"/>
      <c r="D874" s="145"/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  <c r="AG874" s="145"/>
    </row>
    <row r="875" ht="15.75" customHeight="1">
      <c r="A875" s="145"/>
      <c r="B875" s="145"/>
      <c r="C875" s="145"/>
      <c r="D875" s="145"/>
      <c r="E875" s="145"/>
      <c r="F875" s="145"/>
      <c r="G875" s="145"/>
      <c r="H875" s="145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  <c r="AG875" s="145"/>
    </row>
    <row r="876" ht="15.75" customHeight="1">
      <c r="A876" s="145"/>
      <c r="B876" s="145"/>
      <c r="C876" s="145"/>
      <c r="D876" s="145"/>
      <c r="E876" s="145"/>
      <c r="F876" s="145"/>
      <c r="G876" s="145"/>
      <c r="H876" s="145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  <c r="AG876" s="145"/>
    </row>
    <row r="877" ht="15.75" customHeight="1">
      <c r="A877" s="145"/>
      <c r="B877" s="145"/>
      <c r="C877" s="145"/>
      <c r="D877" s="145"/>
      <c r="E877" s="145"/>
      <c r="F877" s="145"/>
      <c r="G877" s="145"/>
      <c r="H877" s="145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  <c r="AG877" s="145"/>
    </row>
    <row r="878" ht="15.75" customHeight="1">
      <c r="A878" s="145"/>
      <c r="B878" s="145"/>
      <c r="C878" s="145"/>
      <c r="D878" s="145"/>
      <c r="E878" s="145"/>
      <c r="F878" s="145"/>
      <c r="G878" s="145"/>
      <c r="H878" s="145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  <c r="AG878" s="145"/>
    </row>
    <row r="879" ht="15.75" customHeight="1">
      <c r="A879" s="145"/>
      <c r="B879" s="145"/>
      <c r="C879" s="145"/>
      <c r="D879" s="145"/>
      <c r="E879" s="145"/>
      <c r="F879" s="145"/>
      <c r="G879" s="145"/>
      <c r="H879" s="145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  <c r="AG879" s="145"/>
    </row>
    <row r="880" ht="15.75" customHeight="1">
      <c r="A880" s="145"/>
      <c r="B880" s="145"/>
      <c r="C880" s="145"/>
      <c r="D880" s="145"/>
      <c r="E880" s="145"/>
      <c r="F880" s="145"/>
      <c r="G880" s="145"/>
      <c r="H880" s="145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5"/>
      <c r="AA880" s="145"/>
      <c r="AB880" s="145"/>
      <c r="AC880" s="145"/>
      <c r="AD880" s="145"/>
      <c r="AE880" s="145"/>
      <c r="AF880" s="145"/>
      <c r="AG880" s="145"/>
    </row>
    <row r="881" ht="15.75" customHeight="1">
      <c r="A881" s="145"/>
      <c r="B881" s="145"/>
      <c r="C881" s="145"/>
      <c r="D881" s="145"/>
      <c r="E881" s="145"/>
      <c r="F881" s="145"/>
      <c r="G881" s="145"/>
      <c r="H881" s="145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5"/>
      <c r="AA881" s="145"/>
      <c r="AB881" s="145"/>
      <c r="AC881" s="145"/>
      <c r="AD881" s="145"/>
      <c r="AE881" s="145"/>
      <c r="AF881" s="145"/>
      <c r="AG881" s="145"/>
    </row>
    <row r="882" ht="15.75" customHeight="1">
      <c r="A882" s="145"/>
      <c r="B882" s="145"/>
      <c r="C882" s="145"/>
      <c r="D882" s="145"/>
      <c r="E882" s="145"/>
      <c r="F882" s="145"/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5"/>
      <c r="AA882" s="145"/>
      <c r="AB882" s="145"/>
      <c r="AC882" s="145"/>
      <c r="AD882" s="145"/>
      <c r="AE882" s="145"/>
      <c r="AF882" s="145"/>
      <c r="AG882" s="145"/>
    </row>
    <row r="883" ht="15.75" customHeight="1">
      <c r="A883" s="145"/>
      <c r="B883" s="145"/>
      <c r="C883" s="145"/>
      <c r="D883" s="145"/>
      <c r="E883" s="145"/>
      <c r="F883" s="145"/>
      <c r="G883" s="145"/>
      <c r="H883" s="145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  <c r="AG883" s="145"/>
    </row>
    <row r="884" ht="15.75" customHeight="1">
      <c r="A884" s="145"/>
      <c r="B884" s="145"/>
      <c r="C884" s="145"/>
      <c r="D884" s="145"/>
      <c r="E884" s="145"/>
      <c r="F884" s="145"/>
      <c r="G884" s="145"/>
      <c r="H884" s="145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  <c r="AG884" s="145"/>
    </row>
    <row r="885" ht="15.75" customHeight="1">
      <c r="A885" s="145"/>
      <c r="B885" s="145"/>
      <c r="C885" s="145"/>
      <c r="D885" s="145"/>
      <c r="E885" s="145"/>
      <c r="F885" s="145"/>
      <c r="G885" s="145"/>
      <c r="H885" s="145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5"/>
      <c r="AA885" s="145"/>
      <c r="AB885" s="145"/>
      <c r="AC885" s="145"/>
      <c r="AD885" s="145"/>
      <c r="AE885" s="145"/>
      <c r="AF885" s="145"/>
      <c r="AG885" s="145"/>
    </row>
    <row r="886" ht="15.75" customHeight="1">
      <c r="A886" s="145"/>
      <c r="B886" s="145"/>
      <c r="C886" s="145"/>
      <c r="D886" s="145"/>
      <c r="E886" s="145"/>
      <c r="F886" s="145"/>
      <c r="G886" s="145"/>
      <c r="H886" s="145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  <c r="AG886" s="145"/>
    </row>
    <row r="887" ht="15.75" customHeight="1">
      <c r="A887" s="145"/>
      <c r="B887" s="145"/>
      <c r="C887" s="145"/>
      <c r="D887" s="145"/>
      <c r="E887" s="145"/>
      <c r="F887" s="145"/>
      <c r="G887" s="145"/>
      <c r="H887" s="145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  <c r="AG887" s="145"/>
    </row>
    <row r="888" ht="15.75" customHeight="1">
      <c r="A888" s="145"/>
      <c r="B888" s="145"/>
      <c r="C888" s="145"/>
      <c r="D888" s="145"/>
      <c r="E888" s="145"/>
      <c r="F888" s="145"/>
      <c r="G888" s="145"/>
      <c r="H888" s="145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  <c r="AG888" s="145"/>
    </row>
    <row r="889" ht="15.75" customHeight="1">
      <c r="A889" s="145"/>
      <c r="B889" s="145"/>
      <c r="C889" s="145"/>
      <c r="D889" s="145"/>
      <c r="E889" s="145"/>
      <c r="F889" s="145"/>
      <c r="G889" s="145"/>
      <c r="H889" s="145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  <c r="AG889" s="145"/>
    </row>
    <row r="890" ht="15.75" customHeight="1">
      <c r="A890" s="145"/>
      <c r="B890" s="145"/>
      <c r="C890" s="145"/>
      <c r="D890" s="145"/>
      <c r="E890" s="145"/>
      <c r="F890" s="145"/>
      <c r="G890" s="145"/>
      <c r="H890" s="145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5"/>
      <c r="AA890" s="145"/>
      <c r="AB890" s="145"/>
      <c r="AC890" s="145"/>
      <c r="AD890" s="145"/>
      <c r="AE890" s="145"/>
      <c r="AF890" s="145"/>
      <c r="AG890" s="145"/>
    </row>
    <row r="891" ht="15.75" customHeight="1">
      <c r="A891" s="145"/>
      <c r="B891" s="145"/>
      <c r="C891" s="145"/>
      <c r="D891" s="145"/>
      <c r="E891" s="145"/>
      <c r="F891" s="145"/>
      <c r="G891" s="145"/>
      <c r="H891" s="145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  <c r="AG891" s="145"/>
    </row>
    <row r="892" ht="15.75" customHeight="1">
      <c r="A892" s="145"/>
      <c r="B892" s="145"/>
      <c r="C892" s="145"/>
      <c r="D892" s="145"/>
      <c r="E892" s="145"/>
      <c r="F892" s="145"/>
      <c r="G892" s="145"/>
      <c r="H892" s="145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5"/>
      <c r="AA892" s="145"/>
      <c r="AB892" s="145"/>
      <c r="AC892" s="145"/>
      <c r="AD892" s="145"/>
      <c r="AE892" s="145"/>
      <c r="AF892" s="145"/>
      <c r="AG892" s="145"/>
    </row>
    <row r="893" ht="15.75" customHeight="1">
      <c r="A893" s="145"/>
      <c r="B893" s="145"/>
      <c r="C893" s="145"/>
      <c r="D893" s="145"/>
      <c r="E893" s="145"/>
      <c r="F893" s="145"/>
      <c r="G893" s="145"/>
      <c r="H893" s="145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  <c r="AG893" s="145"/>
    </row>
    <row r="894" ht="15.75" customHeight="1">
      <c r="A894" s="145"/>
      <c r="B894" s="145"/>
      <c r="C894" s="145"/>
      <c r="D894" s="145"/>
      <c r="E894" s="145"/>
      <c r="F894" s="145"/>
      <c r="G894" s="145"/>
      <c r="H894" s="145"/>
      <c r="I894" s="145"/>
      <c r="J894" s="145"/>
      <c r="K894" s="145"/>
      <c r="L894" s="145"/>
      <c r="M894" s="145"/>
      <c r="N894" s="145"/>
      <c r="O894" s="145"/>
      <c r="P894" s="145"/>
      <c r="Q894" s="145"/>
      <c r="R894" s="145"/>
      <c r="S894" s="145"/>
      <c r="T894" s="145"/>
      <c r="U894" s="145"/>
      <c r="V894" s="145"/>
      <c r="W894" s="145"/>
      <c r="X894" s="145"/>
      <c r="Y894" s="145"/>
      <c r="Z894" s="145"/>
      <c r="AA894" s="145"/>
      <c r="AB894" s="145"/>
      <c r="AC894" s="145"/>
      <c r="AD894" s="145"/>
      <c r="AE894" s="145"/>
      <c r="AF894" s="145"/>
      <c r="AG894" s="145"/>
    </row>
    <row r="895" ht="15.75" customHeight="1">
      <c r="A895" s="145"/>
      <c r="B895" s="145"/>
      <c r="C895" s="145"/>
      <c r="D895" s="145"/>
      <c r="E895" s="145"/>
      <c r="F895" s="145"/>
      <c r="G895" s="145"/>
      <c r="H895" s="145"/>
      <c r="I895" s="145"/>
      <c r="J895" s="145"/>
      <c r="K895" s="145"/>
      <c r="L895" s="145"/>
      <c r="M895" s="145"/>
      <c r="N895" s="145"/>
      <c r="O895" s="145"/>
      <c r="P895" s="145"/>
      <c r="Q895" s="145"/>
      <c r="R895" s="145"/>
      <c r="S895" s="145"/>
      <c r="T895" s="145"/>
      <c r="U895" s="145"/>
      <c r="V895" s="145"/>
      <c r="W895" s="145"/>
      <c r="X895" s="145"/>
      <c r="Y895" s="145"/>
      <c r="Z895" s="145"/>
      <c r="AA895" s="145"/>
      <c r="AB895" s="145"/>
      <c r="AC895" s="145"/>
      <c r="AD895" s="145"/>
      <c r="AE895" s="145"/>
      <c r="AF895" s="145"/>
      <c r="AG895" s="145"/>
    </row>
    <row r="896" ht="15.75" customHeight="1">
      <c r="A896" s="145"/>
      <c r="B896" s="145"/>
      <c r="C896" s="145"/>
      <c r="D896" s="145"/>
      <c r="E896" s="145"/>
      <c r="F896" s="145"/>
      <c r="G896" s="145"/>
      <c r="H896" s="145"/>
      <c r="I896" s="145"/>
      <c r="J896" s="145"/>
      <c r="K896" s="145"/>
      <c r="L896" s="145"/>
      <c r="M896" s="145"/>
      <c r="N896" s="145"/>
      <c r="O896" s="145"/>
      <c r="P896" s="145"/>
      <c r="Q896" s="145"/>
      <c r="R896" s="145"/>
      <c r="S896" s="145"/>
      <c r="T896" s="145"/>
      <c r="U896" s="145"/>
      <c r="V896" s="145"/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  <c r="AG896" s="145"/>
    </row>
    <row r="897" ht="15.75" customHeight="1">
      <c r="A897" s="145"/>
      <c r="B897" s="145"/>
      <c r="C897" s="145"/>
      <c r="D897" s="145"/>
      <c r="E897" s="145"/>
      <c r="F897" s="145"/>
      <c r="G897" s="145"/>
      <c r="H897" s="145"/>
      <c r="I897" s="145"/>
      <c r="J897" s="145"/>
      <c r="K897" s="145"/>
      <c r="L897" s="145"/>
      <c r="M897" s="145"/>
      <c r="N897" s="145"/>
      <c r="O897" s="145"/>
      <c r="P897" s="145"/>
      <c r="Q897" s="145"/>
      <c r="R897" s="145"/>
      <c r="S897" s="145"/>
      <c r="T897" s="145"/>
      <c r="U897" s="145"/>
      <c r="V897" s="145"/>
      <c r="W897" s="145"/>
      <c r="X897" s="145"/>
      <c r="Y897" s="145"/>
      <c r="Z897" s="145"/>
      <c r="AA897" s="145"/>
      <c r="AB897" s="145"/>
      <c r="AC897" s="145"/>
      <c r="AD897" s="145"/>
      <c r="AE897" s="145"/>
      <c r="AF897" s="145"/>
      <c r="AG897" s="145"/>
    </row>
    <row r="898" ht="15.75" customHeight="1">
      <c r="A898" s="145"/>
      <c r="B898" s="145"/>
      <c r="C898" s="145"/>
      <c r="D898" s="145"/>
      <c r="E898" s="145"/>
      <c r="F898" s="145"/>
      <c r="G898" s="145"/>
      <c r="H898" s="145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5"/>
      <c r="AA898" s="145"/>
      <c r="AB898" s="145"/>
      <c r="AC898" s="145"/>
      <c r="AD898" s="145"/>
      <c r="AE898" s="145"/>
      <c r="AF898" s="145"/>
      <c r="AG898" s="145"/>
    </row>
    <row r="899" ht="15.75" customHeight="1">
      <c r="A899" s="145"/>
      <c r="B899" s="145"/>
      <c r="C899" s="145"/>
      <c r="D899" s="145"/>
      <c r="E899" s="145"/>
      <c r="F899" s="145"/>
      <c r="G899" s="145"/>
      <c r="H899" s="145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5"/>
      <c r="AA899" s="145"/>
      <c r="AB899" s="145"/>
      <c r="AC899" s="145"/>
      <c r="AD899" s="145"/>
      <c r="AE899" s="145"/>
      <c r="AF899" s="145"/>
      <c r="AG899" s="145"/>
    </row>
    <row r="900" ht="15.75" customHeight="1">
      <c r="A900" s="145"/>
      <c r="B900" s="145"/>
      <c r="C900" s="145"/>
      <c r="D900" s="145"/>
      <c r="E900" s="145"/>
      <c r="F900" s="145"/>
      <c r="G900" s="145"/>
      <c r="H900" s="145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  <c r="AG900" s="145"/>
    </row>
    <row r="901" ht="15.75" customHeight="1">
      <c r="A901" s="145"/>
      <c r="B901" s="145"/>
      <c r="C901" s="145"/>
      <c r="D901" s="145"/>
      <c r="E901" s="145"/>
      <c r="F901" s="145"/>
      <c r="G901" s="145"/>
      <c r="H901" s="145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  <c r="AG901" s="145"/>
    </row>
    <row r="902" ht="15.75" customHeight="1">
      <c r="A902" s="145"/>
      <c r="B902" s="145"/>
      <c r="C902" s="145"/>
      <c r="D902" s="145"/>
      <c r="E902" s="145"/>
      <c r="F902" s="145"/>
      <c r="G902" s="145"/>
      <c r="H902" s="145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  <c r="AG902" s="145"/>
    </row>
    <row r="903" ht="15.75" customHeight="1">
      <c r="A903" s="145"/>
      <c r="B903" s="145"/>
      <c r="C903" s="145"/>
      <c r="D903" s="145"/>
      <c r="E903" s="145"/>
      <c r="F903" s="145"/>
      <c r="G903" s="145"/>
      <c r="H903" s="145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  <c r="AG903" s="145"/>
    </row>
    <row r="904" ht="15.75" customHeight="1">
      <c r="A904" s="145"/>
      <c r="B904" s="145"/>
      <c r="C904" s="145"/>
      <c r="D904" s="145"/>
      <c r="E904" s="145"/>
      <c r="F904" s="145"/>
      <c r="G904" s="145"/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  <c r="AG904" s="145"/>
    </row>
    <row r="905" ht="15.75" customHeight="1">
      <c r="A905" s="145"/>
      <c r="B905" s="145"/>
      <c r="C905" s="145"/>
      <c r="D905" s="145"/>
      <c r="E905" s="145"/>
      <c r="F905" s="145"/>
      <c r="G905" s="145"/>
      <c r="H905" s="145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  <c r="AG905" s="145"/>
    </row>
    <row r="906" ht="15.75" customHeight="1">
      <c r="A906" s="145"/>
      <c r="B906" s="145"/>
      <c r="C906" s="145"/>
      <c r="D906" s="145"/>
      <c r="E906" s="145"/>
      <c r="F906" s="145"/>
      <c r="G906" s="145"/>
      <c r="H906" s="145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  <c r="AG906" s="145"/>
    </row>
    <row r="907" ht="15.75" customHeight="1">
      <c r="A907" s="145"/>
      <c r="B907" s="145"/>
      <c r="C907" s="145"/>
      <c r="D907" s="145"/>
      <c r="E907" s="145"/>
      <c r="F907" s="145"/>
      <c r="G907" s="145"/>
      <c r="H907" s="145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5"/>
      <c r="AA907" s="145"/>
      <c r="AB907" s="145"/>
      <c r="AC907" s="145"/>
      <c r="AD907" s="145"/>
      <c r="AE907" s="145"/>
      <c r="AF907" s="145"/>
      <c r="AG907" s="145"/>
    </row>
    <row r="908" ht="15.75" customHeight="1">
      <c r="A908" s="145"/>
      <c r="B908" s="145"/>
      <c r="C908" s="145"/>
      <c r="D908" s="145"/>
      <c r="E908" s="145"/>
      <c r="F908" s="145"/>
      <c r="G908" s="145"/>
      <c r="H908" s="145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5"/>
      <c r="AA908" s="145"/>
      <c r="AB908" s="145"/>
      <c r="AC908" s="145"/>
      <c r="AD908" s="145"/>
      <c r="AE908" s="145"/>
      <c r="AF908" s="145"/>
      <c r="AG908" s="145"/>
    </row>
    <row r="909" ht="15.75" customHeight="1">
      <c r="A909" s="145"/>
      <c r="B909" s="145"/>
      <c r="C909" s="145"/>
      <c r="D909" s="145"/>
      <c r="E909" s="145"/>
      <c r="F909" s="145"/>
      <c r="G909" s="145"/>
      <c r="H909" s="145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5"/>
      <c r="AA909" s="145"/>
      <c r="AB909" s="145"/>
      <c r="AC909" s="145"/>
      <c r="AD909" s="145"/>
      <c r="AE909" s="145"/>
      <c r="AF909" s="145"/>
      <c r="AG909" s="145"/>
    </row>
    <row r="910" ht="15.75" customHeight="1">
      <c r="A910" s="145"/>
      <c r="B910" s="145"/>
      <c r="C910" s="145"/>
      <c r="D910" s="145"/>
      <c r="E910" s="145"/>
      <c r="F910" s="145"/>
      <c r="G910" s="145"/>
      <c r="H910" s="145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5"/>
      <c r="AA910" s="145"/>
      <c r="AB910" s="145"/>
      <c r="AC910" s="145"/>
      <c r="AD910" s="145"/>
      <c r="AE910" s="145"/>
      <c r="AF910" s="145"/>
      <c r="AG910" s="145"/>
    </row>
    <row r="911" ht="15.75" customHeight="1">
      <c r="A911" s="145"/>
      <c r="B911" s="145"/>
      <c r="C911" s="145"/>
      <c r="D911" s="145"/>
      <c r="E911" s="145"/>
      <c r="F911" s="145"/>
      <c r="G911" s="145"/>
      <c r="H911" s="145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5"/>
      <c r="AA911" s="145"/>
      <c r="AB911" s="145"/>
      <c r="AC911" s="145"/>
      <c r="AD911" s="145"/>
      <c r="AE911" s="145"/>
      <c r="AF911" s="145"/>
      <c r="AG911" s="145"/>
    </row>
    <row r="912" ht="15.75" customHeight="1">
      <c r="A912" s="145"/>
      <c r="B912" s="145"/>
      <c r="C912" s="145"/>
      <c r="D912" s="145"/>
      <c r="E912" s="145"/>
      <c r="F912" s="145"/>
      <c r="G912" s="145"/>
      <c r="H912" s="145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5"/>
      <c r="AA912" s="145"/>
      <c r="AB912" s="145"/>
      <c r="AC912" s="145"/>
      <c r="AD912" s="145"/>
      <c r="AE912" s="145"/>
      <c r="AF912" s="145"/>
      <c r="AG912" s="145"/>
    </row>
    <row r="913" ht="15.75" customHeight="1">
      <c r="A913" s="145"/>
      <c r="B913" s="145"/>
      <c r="C913" s="145"/>
      <c r="D913" s="145"/>
      <c r="E913" s="145"/>
      <c r="F913" s="145"/>
      <c r="G913" s="145"/>
      <c r="H913" s="145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5"/>
      <c r="AA913" s="145"/>
      <c r="AB913" s="145"/>
      <c r="AC913" s="145"/>
      <c r="AD913" s="145"/>
      <c r="AE913" s="145"/>
      <c r="AF913" s="145"/>
      <c r="AG913" s="145"/>
    </row>
    <row r="914" ht="15.75" customHeight="1">
      <c r="A914" s="145"/>
      <c r="B914" s="145"/>
      <c r="C914" s="145"/>
      <c r="D914" s="145"/>
      <c r="E914" s="145"/>
      <c r="F914" s="145"/>
      <c r="G914" s="145"/>
      <c r="H914" s="145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5"/>
      <c r="AA914" s="145"/>
      <c r="AB914" s="145"/>
      <c r="AC914" s="145"/>
      <c r="AD914" s="145"/>
      <c r="AE914" s="145"/>
      <c r="AF914" s="145"/>
      <c r="AG914" s="145"/>
    </row>
    <row r="915" ht="15.75" customHeight="1">
      <c r="A915" s="145"/>
      <c r="B915" s="145"/>
      <c r="C915" s="145"/>
      <c r="D915" s="145"/>
      <c r="E915" s="145"/>
      <c r="F915" s="145"/>
      <c r="G915" s="145"/>
      <c r="H915" s="145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5"/>
      <c r="AA915" s="145"/>
      <c r="AB915" s="145"/>
      <c r="AC915" s="145"/>
      <c r="AD915" s="145"/>
      <c r="AE915" s="145"/>
      <c r="AF915" s="145"/>
      <c r="AG915" s="145"/>
    </row>
    <row r="916" ht="15.75" customHeight="1">
      <c r="A916" s="145"/>
      <c r="B916" s="145"/>
      <c r="C916" s="145"/>
      <c r="D916" s="145"/>
      <c r="E916" s="145"/>
      <c r="F916" s="145"/>
      <c r="G916" s="145"/>
      <c r="H916" s="145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5"/>
      <c r="AA916" s="145"/>
      <c r="AB916" s="145"/>
      <c r="AC916" s="145"/>
      <c r="AD916" s="145"/>
      <c r="AE916" s="145"/>
      <c r="AF916" s="145"/>
      <c r="AG916" s="145"/>
    </row>
    <row r="917" ht="15.75" customHeight="1">
      <c r="A917" s="145"/>
      <c r="B917" s="145"/>
      <c r="C917" s="145"/>
      <c r="D917" s="145"/>
      <c r="E917" s="145"/>
      <c r="F917" s="145"/>
      <c r="G917" s="145"/>
      <c r="H917" s="145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5"/>
      <c r="AA917" s="145"/>
      <c r="AB917" s="145"/>
      <c r="AC917" s="145"/>
      <c r="AD917" s="145"/>
      <c r="AE917" s="145"/>
      <c r="AF917" s="145"/>
      <c r="AG917" s="145"/>
    </row>
    <row r="918" ht="15.75" customHeight="1">
      <c r="A918" s="145"/>
      <c r="B918" s="145"/>
      <c r="C918" s="145"/>
      <c r="D918" s="145"/>
      <c r="E918" s="145"/>
      <c r="F918" s="145"/>
      <c r="G918" s="145"/>
      <c r="H918" s="145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5"/>
      <c r="AA918" s="145"/>
      <c r="AB918" s="145"/>
      <c r="AC918" s="145"/>
      <c r="AD918" s="145"/>
      <c r="AE918" s="145"/>
      <c r="AF918" s="145"/>
      <c r="AG918" s="145"/>
    </row>
    <row r="919" ht="15.75" customHeight="1">
      <c r="A919" s="145"/>
      <c r="B919" s="145"/>
      <c r="C919" s="145"/>
      <c r="D919" s="145"/>
      <c r="E919" s="145"/>
      <c r="F919" s="145"/>
      <c r="G919" s="145"/>
      <c r="H919" s="145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5"/>
      <c r="AA919" s="145"/>
      <c r="AB919" s="145"/>
      <c r="AC919" s="145"/>
      <c r="AD919" s="145"/>
      <c r="AE919" s="145"/>
      <c r="AF919" s="145"/>
      <c r="AG919" s="145"/>
    </row>
    <row r="920" ht="15.75" customHeight="1">
      <c r="A920" s="145"/>
      <c r="B920" s="145"/>
      <c r="C920" s="145"/>
      <c r="D920" s="145"/>
      <c r="E920" s="145"/>
      <c r="F920" s="145"/>
      <c r="G920" s="145"/>
      <c r="H920" s="145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5"/>
      <c r="AA920" s="145"/>
      <c r="AB920" s="145"/>
      <c r="AC920" s="145"/>
      <c r="AD920" s="145"/>
      <c r="AE920" s="145"/>
      <c r="AF920" s="145"/>
      <c r="AG920" s="145"/>
    </row>
    <row r="921" ht="15.75" customHeight="1">
      <c r="A921" s="145"/>
      <c r="B921" s="145"/>
      <c r="C921" s="145"/>
      <c r="D921" s="145"/>
      <c r="E921" s="145"/>
      <c r="F921" s="145"/>
      <c r="G921" s="145"/>
      <c r="H921" s="145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  <c r="AG921" s="145"/>
    </row>
    <row r="922" ht="15.75" customHeight="1">
      <c r="A922" s="145"/>
      <c r="B922" s="145"/>
      <c r="C922" s="145"/>
      <c r="D922" s="145"/>
      <c r="E922" s="145"/>
      <c r="F922" s="145"/>
      <c r="G922" s="145"/>
      <c r="H922" s="145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  <c r="AG922" s="145"/>
    </row>
    <row r="923" ht="15.75" customHeight="1">
      <c r="A923" s="145"/>
      <c r="B923" s="145"/>
      <c r="C923" s="145"/>
      <c r="D923" s="145"/>
      <c r="E923" s="145"/>
      <c r="F923" s="145"/>
      <c r="G923" s="145"/>
      <c r="H923" s="145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  <c r="AG923" s="145"/>
    </row>
    <row r="924" ht="15.75" customHeight="1">
      <c r="A924" s="145"/>
      <c r="B924" s="145"/>
      <c r="C924" s="145"/>
      <c r="D924" s="145"/>
      <c r="E924" s="145"/>
      <c r="F924" s="145"/>
      <c r="G924" s="145"/>
      <c r="H924" s="145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  <c r="AG924" s="145"/>
    </row>
    <row r="925" ht="15.75" customHeight="1">
      <c r="A925" s="145"/>
      <c r="B925" s="145"/>
      <c r="C925" s="145"/>
      <c r="D925" s="145"/>
      <c r="E925" s="145"/>
      <c r="F925" s="145"/>
      <c r="G925" s="145"/>
      <c r="H925" s="145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5"/>
      <c r="AA925" s="145"/>
      <c r="AB925" s="145"/>
      <c r="AC925" s="145"/>
      <c r="AD925" s="145"/>
      <c r="AE925" s="145"/>
      <c r="AF925" s="145"/>
      <c r="AG925" s="145"/>
    </row>
    <row r="926" ht="15.75" customHeight="1">
      <c r="A926" s="145"/>
      <c r="B926" s="145"/>
      <c r="C926" s="145"/>
      <c r="D926" s="145"/>
      <c r="E926" s="145"/>
      <c r="F926" s="145"/>
      <c r="G926" s="145"/>
      <c r="H926" s="145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5"/>
      <c r="AA926" s="145"/>
      <c r="AB926" s="145"/>
      <c r="AC926" s="145"/>
      <c r="AD926" s="145"/>
      <c r="AE926" s="145"/>
      <c r="AF926" s="145"/>
      <c r="AG926" s="145"/>
    </row>
    <row r="927" ht="15.75" customHeight="1">
      <c r="A927" s="145"/>
      <c r="B927" s="145"/>
      <c r="C927" s="145"/>
      <c r="D927" s="145"/>
      <c r="E927" s="145"/>
      <c r="F927" s="145"/>
      <c r="G927" s="145"/>
      <c r="H927" s="145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5"/>
      <c r="AA927" s="145"/>
      <c r="AB927" s="145"/>
      <c r="AC927" s="145"/>
      <c r="AD927" s="145"/>
      <c r="AE927" s="145"/>
      <c r="AF927" s="145"/>
      <c r="AG927" s="145"/>
    </row>
    <row r="928" ht="15.75" customHeight="1">
      <c r="A928" s="145"/>
      <c r="B928" s="145"/>
      <c r="C928" s="145"/>
      <c r="D928" s="145"/>
      <c r="E928" s="145"/>
      <c r="F928" s="145"/>
      <c r="G928" s="145"/>
      <c r="H928" s="145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5"/>
      <c r="AA928" s="145"/>
      <c r="AB928" s="145"/>
      <c r="AC928" s="145"/>
      <c r="AD928" s="145"/>
      <c r="AE928" s="145"/>
      <c r="AF928" s="145"/>
      <c r="AG928" s="145"/>
    </row>
    <row r="929" ht="15.75" customHeight="1">
      <c r="A929" s="145"/>
      <c r="B929" s="145"/>
      <c r="C929" s="145"/>
      <c r="D929" s="145"/>
      <c r="E929" s="145"/>
      <c r="F929" s="145"/>
      <c r="G929" s="145"/>
      <c r="H929" s="145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5"/>
      <c r="AA929" s="145"/>
      <c r="AB929" s="145"/>
      <c r="AC929" s="145"/>
      <c r="AD929" s="145"/>
      <c r="AE929" s="145"/>
      <c r="AF929" s="145"/>
      <c r="AG929" s="145"/>
    </row>
    <row r="930" ht="15.75" customHeight="1">
      <c r="A930" s="145"/>
      <c r="B930" s="145"/>
      <c r="C930" s="145"/>
      <c r="D930" s="145"/>
      <c r="E930" s="145"/>
      <c r="F930" s="145"/>
      <c r="G930" s="145"/>
      <c r="H930" s="145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5"/>
      <c r="AA930" s="145"/>
      <c r="AB930" s="145"/>
      <c r="AC930" s="145"/>
      <c r="AD930" s="145"/>
      <c r="AE930" s="145"/>
      <c r="AF930" s="145"/>
      <c r="AG930" s="145"/>
    </row>
    <row r="931" ht="15.75" customHeight="1">
      <c r="A931" s="145"/>
      <c r="B931" s="145"/>
      <c r="C931" s="145"/>
      <c r="D931" s="145"/>
      <c r="E931" s="145"/>
      <c r="F931" s="145"/>
      <c r="G931" s="145"/>
      <c r="H931" s="145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5"/>
      <c r="AA931" s="145"/>
      <c r="AB931" s="145"/>
      <c r="AC931" s="145"/>
      <c r="AD931" s="145"/>
      <c r="AE931" s="145"/>
      <c r="AF931" s="145"/>
      <c r="AG931" s="145"/>
    </row>
    <row r="932" ht="15.75" customHeight="1">
      <c r="A932" s="145"/>
      <c r="B932" s="145"/>
      <c r="C932" s="145"/>
      <c r="D932" s="145"/>
      <c r="E932" s="145"/>
      <c r="F932" s="145"/>
      <c r="G932" s="145"/>
      <c r="H932" s="145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5"/>
      <c r="AA932" s="145"/>
      <c r="AB932" s="145"/>
      <c r="AC932" s="145"/>
      <c r="AD932" s="145"/>
      <c r="AE932" s="145"/>
      <c r="AF932" s="145"/>
      <c r="AG932" s="145"/>
    </row>
    <row r="933" ht="15.75" customHeight="1">
      <c r="A933" s="145"/>
      <c r="B933" s="145"/>
      <c r="C933" s="145"/>
      <c r="D933" s="145"/>
      <c r="E933" s="145"/>
      <c r="F933" s="145"/>
      <c r="G933" s="145"/>
      <c r="H933" s="145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5"/>
      <c r="AA933" s="145"/>
      <c r="AB933" s="145"/>
      <c r="AC933" s="145"/>
      <c r="AD933" s="145"/>
      <c r="AE933" s="145"/>
      <c r="AF933" s="145"/>
      <c r="AG933" s="145"/>
    </row>
    <row r="934" ht="15.75" customHeight="1">
      <c r="A934" s="145"/>
      <c r="B934" s="145"/>
      <c r="C934" s="145"/>
      <c r="D934" s="145"/>
      <c r="E934" s="145"/>
      <c r="F934" s="145"/>
      <c r="G934" s="145"/>
      <c r="H934" s="145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5"/>
      <c r="AA934" s="145"/>
      <c r="AB934" s="145"/>
      <c r="AC934" s="145"/>
      <c r="AD934" s="145"/>
      <c r="AE934" s="145"/>
      <c r="AF934" s="145"/>
      <c r="AG934" s="145"/>
    </row>
    <row r="935" ht="15.75" customHeight="1">
      <c r="A935" s="145"/>
      <c r="B935" s="145"/>
      <c r="C935" s="145"/>
      <c r="D935" s="145"/>
      <c r="E935" s="145"/>
      <c r="F935" s="145"/>
      <c r="G935" s="145"/>
      <c r="H935" s="145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5"/>
      <c r="AA935" s="145"/>
      <c r="AB935" s="145"/>
      <c r="AC935" s="145"/>
      <c r="AD935" s="145"/>
      <c r="AE935" s="145"/>
      <c r="AF935" s="145"/>
      <c r="AG935" s="145"/>
    </row>
    <row r="936" ht="15.75" customHeight="1">
      <c r="A936" s="145"/>
      <c r="B936" s="145"/>
      <c r="C936" s="145"/>
      <c r="D936" s="145"/>
      <c r="E936" s="145"/>
      <c r="F936" s="145"/>
      <c r="G936" s="145"/>
      <c r="H936" s="145"/>
      <c r="I936" s="145"/>
      <c r="J936" s="145"/>
      <c r="K936" s="145"/>
      <c r="L936" s="145"/>
      <c r="M936" s="145"/>
      <c r="N936" s="145"/>
      <c r="O936" s="145"/>
      <c r="P936" s="145"/>
      <c r="Q936" s="145"/>
      <c r="R936" s="145"/>
      <c r="S936" s="145"/>
      <c r="T936" s="145"/>
      <c r="U936" s="145"/>
      <c r="V936" s="145"/>
      <c r="W936" s="145"/>
      <c r="X936" s="145"/>
      <c r="Y936" s="145"/>
      <c r="Z936" s="145"/>
      <c r="AA936" s="145"/>
      <c r="AB936" s="145"/>
      <c r="AC936" s="145"/>
      <c r="AD936" s="145"/>
      <c r="AE936" s="145"/>
      <c r="AF936" s="145"/>
      <c r="AG936" s="145"/>
    </row>
    <row r="937" ht="15.75" customHeight="1">
      <c r="A937" s="145"/>
      <c r="B937" s="145"/>
      <c r="C937" s="145"/>
      <c r="D937" s="145"/>
      <c r="E937" s="145"/>
      <c r="F937" s="145"/>
      <c r="G937" s="145"/>
      <c r="H937" s="145"/>
      <c r="I937" s="145"/>
      <c r="J937" s="145"/>
      <c r="K937" s="145"/>
      <c r="L937" s="145"/>
      <c r="M937" s="145"/>
      <c r="N937" s="145"/>
      <c r="O937" s="145"/>
      <c r="P937" s="145"/>
      <c r="Q937" s="145"/>
      <c r="R937" s="145"/>
      <c r="S937" s="145"/>
      <c r="T937" s="145"/>
      <c r="U937" s="145"/>
      <c r="V937" s="145"/>
      <c r="W937" s="145"/>
      <c r="X937" s="145"/>
      <c r="Y937" s="145"/>
      <c r="Z937" s="145"/>
      <c r="AA937" s="145"/>
      <c r="AB937" s="145"/>
      <c r="AC937" s="145"/>
      <c r="AD937" s="145"/>
      <c r="AE937" s="145"/>
      <c r="AF937" s="145"/>
      <c r="AG937" s="145"/>
    </row>
    <row r="938" ht="15.75" customHeight="1">
      <c r="A938" s="145"/>
      <c r="B938" s="145"/>
      <c r="C938" s="145"/>
      <c r="D938" s="145"/>
      <c r="E938" s="145"/>
      <c r="F938" s="145"/>
      <c r="G938" s="145"/>
      <c r="H938" s="145"/>
      <c r="I938" s="145"/>
      <c r="J938" s="145"/>
      <c r="K938" s="145"/>
      <c r="L938" s="145"/>
      <c r="M938" s="145"/>
      <c r="N938" s="145"/>
      <c r="O938" s="145"/>
      <c r="P938" s="145"/>
      <c r="Q938" s="145"/>
      <c r="R938" s="145"/>
      <c r="S938" s="145"/>
      <c r="T938" s="145"/>
      <c r="U938" s="145"/>
      <c r="V938" s="145"/>
      <c r="W938" s="145"/>
      <c r="X938" s="145"/>
      <c r="Y938" s="145"/>
      <c r="Z938" s="145"/>
      <c r="AA938" s="145"/>
      <c r="AB938" s="145"/>
      <c r="AC938" s="145"/>
      <c r="AD938" s="145"/>
      <c r="AE938" s="145"/>
      <c r="AF938" s="145"/>
      <c r="AG938" s="145"/>
    </row>
    <row r="939" ht="15.75" customHeight="1">
      <c r="A939" s="145"/>
      <c r="B939" s="145"/>
      <c r="C939" s="145"/>
      <c r="D939" s="145"/>
      <c r="E939" s="145"/>
      <c r="F939" s="145"/>
      <c r="G939" s="145"/>
      <c r="H939" s="145"/>
      <c r="I939" s="145"/>
      <c r="J939" s="145"/>
      <c r="K939" s="145"/>
      <c r="L939" s="145"/>
      <c r="M939" s="145"/>
      <c r="N939" s="145"/>
      <c r="O939" s="145"/>
      <c r="P939" s="145"/>
      <c r="Q939" s="145"/>
      <c r="R939" s="145"/>
      <c r="S939" s="145"/>
      <c r="T939" s="145"/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  <c r="AG939" s="145"/>
    </row>
    <row r="940" ht="15.75" customHeight="1">
      <c r="A940" s="145"/>
      <c r="B940" s="145"/>
      <c r="C940" s="145"/>
      <c r="D940" s="145"/>
      <c r="E940" s="145"/>
      <c r="F940" s="145"/>
      <c r="G940" s="145"/>
      <c r="H940" s="145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  <c r="AG940" s="145"/>
    </row>
    <row r="941" ht="15.75" customHeight="1">
      <c r="A941" s="145"/>
      <c r="B941" s="145"/>
      <c r="C941" s="145"/>
      <c r="D941" s="145"/>
      <c r="E941" s="145"/>
      <c r="F941" s="145"/>
      <c r="G941" s="145"/>
      <c r="H941" s="145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  <c r="AG941" s="145"/>
    </row>
    <row r="942" ht="15.75" customHeight="1">
      <c r="A942" s="145"/>
      <c r="B942" s="145"/>
      <c r="C942" s="145"/>
      <c r="D942" s="145"/>
      <c r="E942" s="145"/>
      <c r="F942" s="145"/>
      <c r="G942" s="145"/>
      <c r="H942" s="145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  <c r="AG942" s="145"/>
    </row>
    <row r="943" ht="15.75" customHeight="1">
      <c r="A943" s="145"/>
      <c r="B943" s="145"/>
      <c r="C943" s="145"/>
      <c r="D943" s="145"/>
      <c r="E943" s="145"/>
      <c r="F943" s="145"/>
      <c r="G943" s="145"/>
      <c r="H943" s="145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  <c r="AG943" s="145"/>
    </row>
    <row r="944" ht="15.75" customHeight="1">
      <c r="A944" s="145"/>
      <c r="B944" s="145"/>
      <c r="C944" s="145"/>
      <c r="D944" s="145"/>
      <c r="E944" s="145"/>
      <c r="F944" s="145"/>
      <c r="G944" s="145"/>
      <c r="H944" s="145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  <c r="AG944" s="145"/>
    </row>
    <row r="945" ht="15.75" customHeight="1">
      <c r="A945" s="145"/>
      <c r="B945" s="145"/>
      <c r="C945" s="145"/>
      <c r="D945" s="145"/>
      <c r="E945" s="145"/>
      <c r="F945" s="145"/>
      <c r="G945" s="145"/>
      <c r="H945" s="145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  <c r="AG945" s="145"/>
    </row>
    <row r="946" ht="15.75" customHeight="1">
      <c r="A946" s="145"/>
      <c r="B946" s="145"/>
      <c r="C946" s="145"/>
      <c r="D946" s="145"/>
      <c r="E946" s="145"/>
      <c r="F946" s="145"/>
      <c r="G946" s="145"/>
      <c r="H946" s="145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  <c r="AG946" s="145"/>
    </row>
    <row r="947" ht="15.75" customHeight="1">
      <c r="A947" s="145"/>
      <c r="B947" s="145"/>
      <c r="C947" s="145"/>
      <c r="D947" s="145"/>
      <c r="E947" s="145"/>
      <c r="F947" s="145"/>
      <c r="G947" s="145"/>
      <c r="H947" s="145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  <c r="AG947" s="145"/>
    </row>
    <row r="948" ht="15.75" customHeight="1">
      <c r="A948" s="145"/>
      <c r="B948" s="145"/>
      <c r="C948" s="145"/>
      <c r="D948" s="145"/>
      <c r="E948" s="145"/>
      <c r="F948" s="145"/>
      <c r="G948" s="145"/>
      <c r="H948" s="145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  <c r="AG948" s="145"/>
    </row>
    <row r="949" ht="15.75" customHeight="1">
      <c r="A949" s="145"/>
      <c r="B949" s="145"/>
      <c r="C949" s="145"/>
      <c r="D949" s="145"/>
      <c r="E949" s="145"/>
      <c r="F949" s="145"/>
      <c r="G949" s="145"/>
      <c r="H949" s="145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  <c r="AG949" s="145"/>
    </row>
    <row r="950" ht="15.75" customHeight="1">
      <c r="A950" s="145"/>
      <c r="B950" s="145"/>
      <c r="C950" s="145"/>
      <c r="D950" s="145"/>
      <c r="E950" s="145"/>
      <c r="F950" s="145"/>
      <c r="G950" s="145"/>
      <c r="H950" s="145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  <c r="AG950" s="145"/>
    </row>
    <row r="951" ht="15.75" customHeight="1">
      <c r="A951" s="145"/>
      <c r="B951" s="145"/>
      <c r="C951" s="145"/>
      <c r="D951" s="145"/>
      <c r="E951" s="145"/>
      <c r="F951" s="145"/>
      <c r="G951" s="145"/>
      <c r="H951" s="145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  <c r="AG951" s="145"/>
    </row>
    <row r="952" ht="15.75" customHeight="1">
      <c r="A952" s="145"/>
      <c r="B952" s="145"/>
      <c r="C952" s="145"/>
      <c r="D952" s="145"/>
      <c r="E952" s="145"/>
      <c r="F952" s="145"/>
      <c r="G952" s="145"/>
      <c r="H952" s="145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5"/>
      <c r="AA952" s="145"/>
      <c r="AB952" s="145"/>
      <c r="AC952" s="145"/>
      <c r="AD952" s="145"/>
      <c r="AE952" s="145"/>
      <c r="AF952" s="145"/>
      <c r="AG952" s="145"/>
    </row>
    <row r="953" ht="15.75" customHeight="1">
      <c r="A953" s="145"/>
      <c r="B953" s="145"/>
      <c r="C953" s="145"/>
      <c r="D953" s="145"/>
      <c r="E953" s="145"/>
      <c r="F953" s="145"/>
      <c r="G953" s="145"/>
      <c r="H953" s="145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5"/>
      <c r="AA953" s="145"/>
      <c r="AB953" s="145"/>
      <c r="AC953" s="145"/>
      <c r="AD953" s="145"/>
      <c r="AE953" s="145"/>
      <c r="AF953" s="145"/>
      <c r="AG953" s="145"/>
    </row>
    <row r="954" ht="15.75" customHeight="1">
      <c r="A954" s="145"/>
      <c r="B954" s="145"/>
      <c r="C954" s="145"/>
      <c r="D954" s="145"/>
      <c r="E954" s="145"/>
      <c r="F954" s="145"/>
      <c r="G954" s="145"/>
      <c r="H954" s="145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5"/>
      <c r="AA954" s="145"/>
      <c r="AB954" s="145"/>
      <c r="AC954" s="145"/>
      <c r="AD954" s="145"/>
      <c r="AE954" s="145"/>
      <c r="AF954" s="145"/>
      <c r="AG954" s="145"/>
    </row>
    <row r="955" ht="15.75" customHeight="1">
      <c r="A955" s="145"/>
      <c r="B955" s="145"/>
      <c r="C955" s="145"/>
      <c r="D955" s="145"/>
      <c r="E955" s="145"/>
      <c r="F955" s="145"/>
      <c r="G955" s="145"/>
      <c r="H955" s="145"/>
      <c r="I955" s="145"/>
      <c r="J955" s="145"/>
      <c r="K955" s="145"/>
      <c r="L955" s="145"/>
      <c r="M955" s="145"/>
      <c r="N955" s="145"/>
      <c r="O955" s="145"/>
      <c r="P955" s="145"/>
      <c r="Q955" s="145"/>
      <c r="R955" s="145"/>
      <c r="S955" s="145"/>
      <c r="T955" s="145"/>
      <c r="U955" s="145"/>
      <c r="V955" s="145"/>
      <c r="W955" s="145"/>
      <c r="X955" s="145"/>
      <c r="Y955" s="145"/>
      <c r="Z955" s="145"/>
      <c r="AA955" s="145"/>
      <c r="AB955" s="145"/>
      <c r="AC955" s="145"/>
      <c r="AD955" s="145"/>
      <c r="AE955" s="145"/>
      <c r="AF955" s="145"/>
      <c r="AG955" s="145"/>
    </row>
    <row r="956" ht="15.75" customHeight="1">
      <c r="A956" s="145"/>
      <c r="B956" s="145"/>
      <c r="C956" s="145"/>
      <c r="D956" s="145"/>
      <c r="E956" s="145"/>
      <c r="F956" s="145"/>
      <c r="G956" s="145"/>
      <c r="H956" s="145"/>
      <c r="I956" s="145"/>
      <c r="J956" s="145"/>
      <c r="K956" s="145"/>
      <c r="L956" s="145"/>
      <c r="M956" s="145"/>
      <c r="N956" s="145"/>
      <c r="O956" s="145"/>
      <c r="P956" s="145"/>
      <c r="Q956" s="145"/>
      <c r="R956" s="145"/>
      <c r="S956" s="145"/>
      <c r="T956" s="145"/>
      <c r="U956" s="145"/>
      <c r="V956" s="145"/>
      <c r="W956" s="145"/>
      <c r="X956" s="145"/>
      <c r="Y956" s="145"/>
      <c r="Z956" s="145"/>
      <c r="AA956" s="145"/>
      <c r="AB956" s="145"/>
      <c r="AC956" s="145"/>
      <c r="AD956" s="145"/>
      <c r="AE956" s="145"/>
      <c r="AF956" s="145"/>
      <c r="AG956" s="145"/>
    </row>
    <row r="957" ht="15.75" customHeight="1">
      <c r="A957" s="145"/>
      <c r="B957" s="145"/>
      <c r="C957" s="145"/>
      <c r="D957" s="145"/>
      <c r="E957" s="145"/>
      <c r="F957" s="145"/>
      <c r="G957" s="145"/>
      <c r="H957" s="145"/>
      <c r="I957" s="145"/>
      <c r="J957" s="145"/>
      <c r="K957" s="145"/>
      <c r="L957" s="145"/>
      <c r="M957" s="145"/>
      <c r="N957" s="145"/>
      <c r="O957" s="145"/>
      <c r="P957" s="145"/>
      <c r="Q957" s="145"/>
      <c r="R957" s="145"/>
      <c r="S957" s="145"/>
      <c r="T957" s="145"/>
      <c r="U957" s="145"/>
      <c r="V957" s="145"/>
      <c r="W957" s="145"/>
      <c r="X957" s="145"/>
      <c r="Y957" s="145"/>
      <c r="Z957" s="145"/>
      <c r="AA957" s="145"/>
      <c r="AB957" s="145"/>
      <c r="AC957" s="145"/>
      <c r="AD957" s="145"/>
      <c r="AE957" s="145"/>
      <c r="AF957" s="145"/>
      <c r="AG957" s="145"/>
    </row>
    <row r="958" ht="15.75" customHeight="1">
      <c r="A958" s="145"/>
      <c r="B958" s="145"/>
      <c r="C958" s="145"/>
      <c r="D958" s="145"/>
      <c r="E958" s="145"/>
      <c r="F958" s="145"/>
      <c r="G958" s="145"/>
      <c r="H958" s="145"/>
      <c r="I958" s="145"/>
      <c r="J958" s="145"/>
      <c r="K958" s="145"/>
      <c r="L958" s="145"/>
      <c r="M958" s="145"/>
      <c r="N958" s="145"/>
      <c r="O958" s="145"/>
      <c r="P958" s="145"/>
      <c r="Q958" s="145"/>
      <c r="R958" s="145"/>
      <c r="S958" s="145"/>
      <c r="T958" s="145"/>
      <c r="U958" s="145"/>
      <c r="V958" s="145"/>
      <c r="W958" s="145"/>
      <c r="X958" s="145"/>
      <c r="Y958" s="145"/>
      <c r="Z958" s="145"/>
      <c r="AA958" s="145"/>
      <c r="AB958" s="145"/>
      <c r="AC958" s="145"/>
      <c r="AD958" s="145"/>
      <c r="AE958" s="145"/>
      <c r="AF958" s="145"/>
      <c r="AG958" s="145"/>
    </row>
    <row r="959" ht="15.75" customHeight="1">
      <c r="A959" s="145"/>
      <c r="B959" s="145"/>
      <c r="C959" s="145"/>
      <c r="D959" s="145"/>
      <c r="E959" s="145"/>
      <c r="F959" s="145"/>
      <c r="G959" s="145"/>
      <c r="H959" s="145"/>
      <c r="I959" s="145"/>
      <c r="J959" s="145"/>
      <c r="K959" s="145"/>
      <c r="L959" s="145"/>
      <c r="M959" s="145"/>
      <c r="N959" s="145"/>
      <c r="O959" s="145"/>
      <c r="P959" s="145"/>
      <c r="Q959" s="145"/>
      <c r="R959" s="145"/>
      <c r="S959" s="145"/>
      <c r="T959" s="145"/>
      <c r="U959" s="145"/>
      <c r="V959" s="145"/>
      <c r="W959" s="145"/>
      <c r="X959" s="145"/>
      <c r="Y959" s="145"/>
      <c r="Z959" s="145"/>
      <c r="AA959" s="145"/>
      <c r="AB959" s="145"/>
      <c r="AC959" s="145"/>
      <c r="AD959" s="145"/>
      <c r="AE959" s="145"/>
      <c r="AF959" s="145"/>
      <c r="AG959" s="145"/>
    </row>
    <row r="960" ht="15.75" customHeight="1">
      <c r="A960" s="145"/>
      <c r="B960" s="145"/>
      <c r="C960" s="145"/>
      <c r="D960" s="145"/>
      <c r="E960" s="145"/>
      <c r="F960" s="145"/>
      <c r="G960" s="145"/>
      <c r="H960" s="145"/>
      <c r="I960" s="145"/>
      <c r="J960" s="145"/>
      <c r="K960" s="145"/>
      <c r="L960" s="145"/>
      <c r="M960" s="145"/>
      <c r="N960" s="145"/>
      <c r="O960" s="145"/>
      <c r="P960" s="145"/>
      <c r="Q960" s="145"/>
      <c r="R960" s="145"/>
      <c r="S960" s="145"/>
      <c r="T960" s="145"/>
      <c r="U960" s="145"/>
      <c r="V960" s="145"/>
      <c r="W960" s="145"/>
      <c r="X960" s="145"/>
      <c r="Y960" s="145"/>
      <c r="Z960" s="145"/>
      <c r="AA960" s="145"/>
      <c r="AB960" s="145"/>
      <c r="AC960" s="145"/>
      <c r="AD960" s="145"/>
      <c r="AE960" s="145"/>
      <c r="AF960" s="145"/>
      <c r="AG960" s="145"/>
    </row>
    <row r="961" ht="15.75" customHeight="1">
      <c r="A961" s="145"/>
      <c r="B961" s="145"/>
      <c r="C961" s="145"/>
      <c r="D961" s="145"/>
      <c r="E961" s="145"/>
      <c r="F961" s="145"/>
      <c r="G961" s="145"/>
      <c r="H961" s="145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  <c r="AG961" s="145"/>
    </row>
    <row r="962" ht="15.75" customHeight="1">
      <c r="A962" s="145"/>
      <c r="B962" s="145"/>
      <c r="C962" s="145"/>
      <c r="D962" s="145"/>
      <c r="E962" s="145"/>
      <c r="F962" s="145"/>
      <c r="G962" s="145"/>
      <c r="H962" s="145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  <c r="AG962" s="145"/>
    </row>
    <row r="963" ht="15.75" customHeight="1">
      <c r="A963" s="145"/>
      <c r="B963" s="145"/>
      <c r="C963" s="145"/>
      <c r="D963" s="145"/>
      <c r="E963" s="145"/>
      <c r="F963" s="145"/>
      <c r="G963" s="145"/>
      <c r="H963" s="145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  <c r="AG963" s="145"/>
    </row>
    <row r="964" ht="15.75" customHeight="1">
      <c r="A964" s="145"/>
      <c r="B964" s="145"/>
      <c r="C964" s="145"/>
      <c r="D964" s="145"/>
      <c r="E964" s="145"/>
      <c r="F964" s="145"/>
      <c r="G964" s="145"/>
      <c r="H964" s="145"/>
      <c r="I964" s="145"/>
      <c r="J964" s="145"/>
      <c r="K964" s="145"/>
      <c r="L964" s="145"/>
      <c r="M964" s="145"/>
      <c r="N964" s="145"/>
      <c r="O964" s="145"/>
      <c r="P964" s="145"/>
      <c r="Q964" s="145"/>
      <c r="R964" s="145"/>
      <c r="S964" s="145"/>
      <c r="T964" s="145"/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  <c r="AG964" s="145"/>
    </row>
    <row r="965" ht="15.75" customHeight="1">
      <c r="A965" s="145"/>
      <c r="B965" s="145"/>
      <c r="C965" s="145"/>
      <c r="D965" s="145"/>
      <c r="E965" s="145"/>
      <c r="F965" s="145"/>
      <c r="G965" s="145"/>
      <c r="H965" s="145"/>
      <c r="I965" s="145"/>
      <c r="J965" s="145"/>
      <c r="K965" s="145"/>
      <c r="L965" s="145"/>
      <c r="M965" s="145"/>
      <c r="N965" s="145"/>
      <c r="O965" s="145"/>
      <c r="P965" s="145"/>
      <c r="Q965" s="145"/>
      <c r="R965" s="145"/>
      <c r="S965" s="145"/>
      <c r="T965" s="145"/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  <c r="AG965" s="145"/>
    </row>
    <row r="966" ht="15.75" customHeight="1">
      <c r="A966" s="145"/>
      <c r="B966" s="145"/>
      <c r="C966" s="145"/>
      <c r="D966" s="145"/>
      <c r="E966" s="145"/>
      <c r="F966" s="145"/>
      <c r="G966" s="145"/>
      <c r="H966" s="145"/>
      <c r="I966" s="145"/>
      <c r="J966" s="145"/>
      <c r="K966" s="145"/>
      <c r="L966" s="145"/>
      <c r="M966" s="145"/>
      <c r="N966" s="145"/>
      <c r="O966" s="145"/>
      <c r="P966" s="145"/>
      <c r="Q966" s="145"/>
      <c r="R966" s="145"/>
      <c r="S966" s="145"/>
      <c r="T966" s="145"/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  <c r="AG966" s="145"/>
    </row>
    <row r="967" ht="15.75" customHeight="1">
      <c r="A967" s="145"/>
      <c r="B967" s="145"/>
      <c r="C967" s="145"/>
      <c r="D967" s="145"/>
      <c r="E967" s="145"/>
      <c r="F967" s="145"/>
      <c r="G967" s="145"/>
      <c r="H967" s="145"/>
      <c r="I967" s="145"/>
      <c r="J967" s="145"/>
      <c r="K967" s="145"/>
      <c r="L967" s="145"/>
      <c r="M967" s="145"/>
      <c r="N967" s="145"/>
      <c r="O967" s="145"/>
      <c r="P967" s="145"/>
      <c r="Q967" s="145"/>
      <c r="R967" s="145"/>
      <c r="S967" s="145"/>
      <c r="T967" s="145"/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  <c r="AG967" s="145"/>
    </row>
    <row r="968" ht="15.75" customHeight="1">
      <c r="A968" s="145"/>
      <c r="B968" s="145"/>
      <c r="C968" s="145"/>
      <c r="D968" s="145"/>
      <c r="E968" s="145"/>
      <c r="F968" s="145"/>
      <c r="G968" s="145"/>
      <c r="H968" s="145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  <c r="AG968" s="145"/>
    </row>
    <row r="969" ht="15.75" customHeight="1">
      <c r="A969" s="145"/>
      <c r="B969" s="145"/>
      <c r="C969" s="145"/>
      <c r="D969" s="145"/>
      <c r="E969" s="145"/>
      <c r="F969" s="145"/>
      <c r="G969" s="145"/>
      <c r="H969" s="145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  <c r="AG969" s="145"/>
    </row>
    <row r="970" ht="15.75" customHeight="1">
      <c r="A970" s="145"/>
      <c r="B970" s="145"/>
      <c r="C970" s="145"/>
      <c r="D970" s="145"/>
      <c r="E970" s="145"/>
      <c r="F970" s="145"/>
      <c r="G970" s="145"/>
      <c r="H970" s="145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5"/>
      <c r="AA970" s="145"/>
      <c r="AB970" s="145"/>
      <c r="AC970" s="145"/>
      <c r="AD970" s="145"/>
      <c r="AE970" s="145"/>
      <c r="AF970" s="145"/>
      <c r="AG970" s="145"/>
    </row>
    <row r="971" ht="15.75" customHeight="1">
      <c r="A971" s="145"/>
      <c r="B971" s="145"/>
      <c r="C971" s="145"/>
      <c r="D971" s="145"/>
      <c r="E971" s="145"/>
      <c r="F971" s="145"/>
      <c r="G971" s="145"/>
      <c r="H971" s="145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5"/>
      <c r="AA971" s="145"/>
      <c r="AB971" s="145"/>
      <c r="AC971" s="145"/>
      <c r="AD971" s="145"/>
      <c r="AE971" s="145"/>
      <c r="AF971" s="145"/>
      <c r="AG971" s="145"/>
    </row>
    <row r="972" ht="15.75" customHeight="1">
      <c r="A972" s="145"/>
      <c r="B972" s="145"/>
      <c r="C972" s="145"/>
      <c r="D972" s="145"/>
      <c r="E972" s="145"/>
      <c r="F972" s="145"/>
      <c r="G972" s="145"/>
      <c r="H972" s="145"/>
      <c r="I972" s="145"/>
      <c r="J972" s="145"/>
      <c r="K972" s="145"/>
      <c r="L972" s="145"/>
      <c r="M972" s="145"/>
      <c r="N972" s="145"/>
      <c r="O972" s="145"/>
      <c r="P972" s="145"/>
      <c r="Q972" s="145"/>
      <c r="R972" s="145"/>
      <c r="S972" s="145"/>
      <c r="T972" s="145"/>
      <c r="U972" s="145"/>
      <c r="V972" s="145"/>
      <c r="W972" s="145"/>
      <c r="X972" s="145"/>
      <c r="Y972" s="145"/>
      <c r="Z972" s="145"/>
      <c r="AA972" s="145"/>
      <c r="AB972" s="145"/>
      <c r="AC972" s="145"/>
      <c r="AD972" s="145"/>
      <c r="AE972" s="145"/>
      <c r="AF972" s="145"/>
      <c r="AG972" s="145"/>
    </row>
    <row r="973" ht="15.75" customHeight="1">
      <c r="A973" s="145"/>
      <c r="B973" s="145"/>
      <c r="C973" s="145"/>
      <c r="D973" s="145"/>
      <c r="E973" s="145"/>
      <c r="F973" s="145"/>
      <c r="G973" s="145"/>
      <c r="H973" s="145"/>
      <c r="I973" s="145"/>
      <c r="J973" s="145"/>
      <c r="K973" s="145"/>
      <c r="L973" s="145"/>
      <c r="M973" s="145"/>
      <c r="N973" s="145"/>
      <c r="O973" s="145"/>
      <c r="P973" s="145"/>
      <c r="Q973" s="145"/>
      <c r="R973" s="145"/>
      <c r="S973" s="145"/>
      <c r="T973" s="145"/>
      <c r="U973" s="145"/>
      <c r="V973" s="145"/>
      <c r="W973" s="145"/>
      <c r="X973" s="145"/>
      <c r="Y973" s="145"/>
      <c r="Z973" s="145"/>
      <c r="AA973" s="145"/>
      <c r="AB973" s="145"/>
      <c r="AC973" s="145"/>
      <c r="AD973" s="145"/>
      <c r="AE973" s="145"/>
      <c r="AF973" s="145"/>
      <c r="AG973" s="145"/>
    </row>
    <row r="974" ht="15.75" customHeight="1">
      <c r="A974" s="145"/>
      <c r="B974" s="145"/>
      <c r="C974" s="145"/>
      <c r="D974" s="145"/>
      <c r="E974" s="145"/>
      <c r="F974" s="145"/>
      <c r="G974" s="145"/>
      <c r="H974" s="145"/>
      <c r="I974" s="145"/>
      <c r="J974" s="145"/>
      <c r="K974" s="145"/>
      <c r="L974" s="145"/>
      <c r="M974" s="145"/>
      <c r="N974" s="145"/>
      <c r="O974" s="145"/>
      <c r="P974" s="145"/>
      <c r="Q974" s="145"/>
      <c r="R974" s="145"/>
      <c r="S974" s="145"/>
      <c r="T974" s="145"/>
      <c r="U974" s="145"/>
      <c r="V974" s="145"/>
      <c r="W974" s="145"/>
      <c r="X974" s="145"/>
      <c r="Y974" s="145"/>
      <c r="Z974" s="145"/>
      <c r="AA974" s="145"/>
      <c r="AB974" s="145"/>
      <c r="AC974" s="145"/>
      <c r="AD974" s="145"/>
      <c r="AE974" s="145"/>
      <c r="AF974" s="145"/>
      <c r="AG974" s="145"/>
    </row>
    <row r="975" ht="15.75" customHeight="1">
      <c r="A975" s="145"/>
      <c r="B975" s="145"/>
      <c r="C975" s="145"/>
      <c r="D975" s="145"/>
      <c r="E975" s="145"/>
      <c r="F975" s="145"/>
      <c r="G975" s="145"/>
      <c r="H975" s="145"/>
      <c r="I975" s="145"/>
      <c r="J975" s="145"/>
      <c r="K975" s="145"/>
      <c r="L975" s="145"/>
      <c r="M975" s="145"/>
      <c r="N975" s="145"/>
      <c r="O975" s="145"/>
      <c r="P975" s="145"/>
      <c r="Q975" s="145"/>
      <c r="R975" s="145"/>
      <c r="S975" s="145"/>
      <c r="T975" s="145"/>
      <c r="U975" s="145"/>
      <c r="V975" s="145"/>
      <c r="W975" s="145"/>
      <c r="X975" s="145"/>
      <c r="Y975" s="145"/>
      <c r="Z975" s="145"/>
      <c r="AA975" s="145"/>
      <c r="AB975" s="145"/>
      <c r="AC975" s="145"/>
      <c r="AD975" s="145"/>
      <c r="AE975" s="145"/>
      <c r="AF975" s="145"/>
      <c r="AG975" s="145"/>
    </row>
    <row r="976" ht="15.75" customHeight="1">
      <c r="A976" s="145"/>
      <c r="B976" s="145"/>
      <c r="C976" s="145"/>
      <c r="D976" s="145"/>
      <c r="E976" s="145"/>
      <c r="F976" s="145"/>
      <c r="G976" s="145"/>
      <c r="H976" s="145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5"/>
      <c r="AA976" s="145"/>
      <c r="AB976" s="145"/>
      <c r="AC976" s="145"/>
      <c r="AD976" s="145"/>
      <c r="AE976" s="145"/>
      <c r="AF976" s="145"/>
      <c r="AG976" s="145"/>
    </row>
    <row r="977" ht="15.75" customHeight="1">
      <c r="A977" s="145"/>
      <c r="B977" s="145"/>
      <c r="C977" s="145"/>
      <c r="D977" s="145"/>
      <c r="E977" s="145"/>
      <c r="F977" s="145"/>
      <c r="G977" s="145"/>
      <c r="H977" s="145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5"/>
      <c r="AA977" s="145"/>
      <c r="AB977" s="145"/>
      <c r="AC977" s="145"/>
      <c r="AD977" s="145"/>
      <c r="AE977" s="145"/>
      <c r="AF977" s="145"/>
      <c r="AG977" s="145"/>
    </row>
    <row r="978" ht="15.75" customHeight="1">
      <c r="A978" s="145"/>
      <c r="B978" s="145"/>
      <c r="C978" s="145"/>
      <c r="D978" s="145"/>
      <c r="E978" s="145"/>
      <c r="F978" s="145"/>
      <c r="G978" s="145"/>
      <c r="H978" s="145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5"/>
      <c r="AA978" s="145"/>
      <c r="AB978" s="145"/>
      <c r="AC978" s="145"/>
      <c r="AD978" s="145"/>
      <c r="AE978" s="145"/>
      <c r="AF978" s="145"/>
      <c r="AG978" s="145"/>
    </row>
    <row r="979" ht="15.75" customHeight="1">
      <c r="A979" s="145"/>
      <c r="B979" s="145"/>
      <c r="C979" s="145"/>
      <c r="D979" s="145"/>
      <c r="E979" s="145"/>
      <c r="F979" s="145"/>
      <c r="G979" s="145"/>
      <c r="H979" s="145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  <c r="AG979" s="145"/>
    </row>
    <row r="980" ht="15.75" customHeight="1">
      <c r="A980" s="145"/>
      <c r="B980" s="145"/>
      <c r="C980" s="145"/>
      <c r="D980" s="145"/>
      <c r="E980" s="145"/>
      <c r="F980" s="145"/>
      <c r="G980" s="145"/>
      <c r="H980" s="145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  <c r="AG980" s="145"/>
    </row>
    <row r="981" ht="15.75" customHeight="1">
      <c r="A981" s="145"/>
      <c r="B981" s="145"/>
      <c r="C981" s="145"/>
      <c r="D981" s="145"/>
      <c r="E981" s="145"/>
      <c r="F981" s="145"/>
      <c r="G981" s="145"/>
      <c r="H981" s="145"/>
      <c r="I981" s="145"/>
      <c r="J981" s="145"/>
      <c r="K981" s="145"/>
      <c r="L981" s="145"/>
      <c r="M981" s="145"/>
      <c r="N981" s="145"/>
      <c r="O981" s="145"/>
      <c r="P981" s="145"/>
      <c r="Q981" s="145"/>
      <c r="R981" s="145"/>
      <c r="S981" s="145"/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  <c r="AG981" s="145"/>
    </row>
    <row r="982" ht="15.75" customHeight="1">
      <c r="A982" s="145"/>
      <c r="B982" s="145"/>
      <c r="C982" s="145"/>
      <c r="D982" s="145"/>
      <c r="E982" s="145"/>
      <c r="F982" s="145"/>
      <c r="G982" s="145"/>
      <c r="H982" s="145"/>
      <c r="I982" s="145"/>
      <c r="J982" s="145"/>
      <c r="K982" s="145"/>
      <c r="L982" s="145"/>
      <c r="M982" s="145"/>
      <c r="N982" s="145"/>
      <c r="O982" s="145"/>
      <c r="P982" s="145"/>
      <c r="Q982" s="145"/>
      <c r="R982" s="145"/>
      <c r="S982" s="145"/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  <c r="AG982" s="145"/>
    </row>
    <row r="983" ht="15.75" customHeight="1">
      <c r="A983" s="145"/>
      <c r="B983" s="145"/>
      <c r="C983" s="145"/>
      <c r="D983" s="145"/>
      <c r="E983" s="145"/>
      <c r="F983" s="145"/>
      <c r="G983" s="145"/>
      <c r="H983" s="145"/>
      <c r="I983" s="145"/>
      <c r="J983" s="145"/>
      <c r="K983" s="145"/>
      <c r="L983" s="145"/>
      <c r="M983" s="145"/>
      <c r="N983" s="145"/>
      <c r="O983" s="145"/>
      <c r="P983" s="145"/>
      <c r="Q983" s="145"/>
      <c r="R983" s="145"/>
      <c r="S983" s="145"/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  <c r="AG983" s="145"/>
    </row>
    <row r="984" ht="15.75" customHeight="1">
      <c r="A984" s="145"/>
      <c r="B984" s="145"/>
      <c r="C984" s="145"/>
      <c r="D984" s="145"/>
      <c r="E984" s="145"/>
      <c r="F984" s="145"/>
      <c r="G984" s="145"/>
      <c r="H984" s="145"/>
      <c r="I984" s="145"/>
      <c r="J984" s="145"/>
      <c r="K984" s="145"/>
      <c r="L984" s="145"/>
      <c r="M984" s="145"/>
      <c r="N984" s="145"/>
      <c r="O984" s="145"/>
      <c r="P984" s="145"/>
      <c r="Q984" s="145"/>
      <c r="R984" s="145"/>
      <c r="S984" s="145"/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  <c r="AG984" s="145"/>
    </row>
    <row r="985" ht="15.75" customHeight="1">
      <c r="A985" s="145"/>
      <c r="B985" s="145"/>
      <c r="C985" s="145"/>
      <c r="D985" s="145"/>
      <c r="E985" s="145"/>
      <c r="F985" s="145"/>
      <c r="G985" s="145"/>
      <c r="H985" s="145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  <c r="AG985" s="145"/>
    </row>
    <row r="986" ht="15.75" customHeight="1">
      <c r="A986" s="145"/>
      <c r="B986" s="145"/>
      <c r="C986" s="145"/>
      <c r="D986" s="145"/>
      <c r="E986" s="145"/>
      <c r="F986" s="145"/>
      <c r="G986" s="145"/>
      <c r="H986" s="145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  <c r="AG986" s="145"/>
    </row>
    <row r="987" ht="15.75" customHeight="1">
      <c r="A987" s="145"/>
      <c r="B987" s="145"/>
      <c r="C987" s="145"/>
      <c r="D987" s="145"/>
      <c r="E987" s="145"/>
      <c r="F987" s="145"/>
      <c r="G987" s="145"/>
      <c r="H987" s="145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  <c r="AG987" s="145"/>
    </row>
    <row r="988" ht="15.75" customHeight="1">
      <c r="A988" s="145"/>
      <c r="B988" s="145"/>
      <c r="C988" s="145"/>
      <c r="D988" s="145"/>
      <c r="E988" s="145"/>
      <c r="F988" s="145"/>
      <c r="G988" s="145"/>
      <c r="H988" s="145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  <c r="AG988" s="145"/>
    </row>
    <row r="989" ht="15.75" customHeight="1">
      <c r="A989" s="145"/>
      <c r="B989" s="145"/>
      <c r="C989" s="145"/>
      <c r="D989" s="145"/>
      <c r="E989" s="145"/>
      <c r="F989" s="145"/>
      <c r="G989" s="145"/>
      <c r="H989" s="145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  <c r="AG989" s="145"/>
    </row>
    <row r="990" ht="15.75" customHeight="1">
      <c r="A990" s="145"/>
      <c r="B990" s="145"/>
      <c r="C990" s="145"/>
      <c r="D990" s="145"/>
      <c r="E990" s="145"/>
      <c r="F990" s="145"/>
      <c r="G990" s="145"/>
      <c r="H990" s="145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  <c r="AG990" s="145"/>
    </row>
    <row r="991" ht="15.75" customHeight="1">
      <c r="A991" s="145"/>
      <c r="B991" s="145"/>
      <c r="C991" s="145"/>
      <c r="D991" s="145"/>
      <c r="E991" s="145"/>
      <c r="F991" s="145"/>
      <c r="G991" s="145"/>
      <c r="H991" s="145"/>
      <c r="I991" s="145"/>
      <c r="J991" s="145"/>
      <c r="K991" s="145"/>
      <c r="L991" s="145"/>
      <c r="M991" s="145"/>
      <c r="N991" s="145"/>
      <c r="O991" s="145"/>
      <c r="P991" s="145"/>
      <c r="Q991" s="145"/>
      <c r="R991" s="145"/>
      <c r="S991" s="145"/>
      <c r="T991" s="145"/>
      <c r="U991" s="145"/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  <c r="AG991" s="145"/>
    </row>
    <row r="992" ht="15.75" customHeight="1">
      <c r="A992" s="145"/>
      <c r="B992" s="145"/>
      <c r="C992" s="145"/>
      <c r="D992" s="145"/>
      <c r="E992" s="145"/>
      <c r="F992" s="145"/>
      <c r="G992" s="145"/>
      <c r="H992" s="145"/>
      <c r="I992" s="145"/>
      <c r="J992" s="145"/>
      <c r="K992" s="145"/>
      <c r="L992" s="145"/>
      <c r="M992" s="145"/>
      <c r="N992" s="145"/>
      <c r="O992" s="145"/>
      <c r="P992" s="145"/>
      <c r="Q992" s="145"/>
      <c r="R992" s="145"/>
      <c r="S992" s="145"/>
      <c r="T992" s="145"/>
      <c r="U992" s="145"/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  <c r="AG992" s="145"/>
    </row>
    <row r="993" ht="15.75" customHeight="1">
      <c r="A993" s="145"/>
      <c r="B993" s="145"/>
      <c r="C993" s="145"/>
      <c r="D993" s="145"/>
      <c r="E993" s="145"/>
      <c r="F993" s="145"/>
      <c r="G993" s="145"/>
      <c r="H993" s="145"/>
      <c r="I993" s="145"/>
      <c r="J993" s="145"/>
      <c r="K993" s="145"/>
      <c r="L993" s="145"/>
      <c r="M993" s="145"/>
      <c r="N993" s="145"/>
      <c r="O993" s="145"/>
      <c r="P993" s="145"/>
      <c r="Q993" s="145"/>
      <c r="R993" s="145"/>
      <c r="S993" s="145"/>
      <c r="T993" s="145"/>
      <c r="U993" s="145"/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  <c r="AG993" s="145"/>
    </row>
    <row r="994" ht="15.75" customHeight="1">
      <c r="A994" s="145"/>
      <c r="B994" s="145"/>
      <c r="C994" s="145"/>
      <c r="D994" s="145"/>
      <c r="E994" s="145"/>
      <c r="F994" s="145"/>
      <c r="G994" s="145"/>
      <c r="H994" s="145"/>
      <c r="I994" s="145"/>
      <c r="J994" s="145"/>
      <c r="K994" s="145"/>
      <c r="L994" s="145"/>
      <c r="M994" s="145"/>
      <c r="N994" s="145"/>
      <c r="O994" s="145"/>
      <c r="P994" s="145"/>
      <c r="Q994" s="145"/>
      <c r="R994" s="145"/>
      <c r="S994" s="145"/>
      <c r="T994" s="145"/>
      <c r="U994" s="145"/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  <c r="AG994" s="145"/>
    </row>
    <row r="995" ht="15.75" customHeight="1">
      <c r="A995" s="145"/>
      <c r="B995" s="145"/>
      <c r="C995" s="145"/>
      <c r="D995" s="145"/>
      <c r="E995" s="145"/>
      <c r="F995" s="145"/>
      <c r="G995" s="145"/>
      <c r="H995" s="145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  <c r="AG995" s="145"/>
    </row>
    <row r="996" ht="15.75" customHeight="1">
      <c r="A996" s="145"/>
      <c r="B996" s="145"/>
      <c r="C996" s="145"/>
      <c r="D996" s="145"/>
      <c r="E996" s="145"/>
      <c r="F996" s="145"/>
      <c r="G996" s="145"/>
      <c r="H996" s="145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  <c r="AG996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232</v>
      </c>
      <c r="D4" s="25" t="s">
        <v>44</v>
      </c>
      <c r="E4" s="23"/>
      <c r="F4" s="55">
        <v>46307.0</v>
      </c>
      <c r="G4" s="30"/>
      <c r="H4" s="34">
        <v>100000.0</v>
      </c>
      <c r="I4" s="27" t="s">
        <v>35</v>
      </c>
      <c r="J4" s="17"/>
      <c r="K4" s="17"/>
      <c r="L4" s="28" t="s">
        <v>30</v>
      </c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21" t="s">
        <v>233</v>
      </c>
      <c r="D5" s="25" t="s">
        <v>23</v>
      </c>
      <c r="E5" s="63" t="s">
        <v>234</v>
      </c>
      <c r="F5" s="55">
        <v>46301.0</v>
      </c>
      <c r="G5" s="30"/>
      <c r="H5" s="34">
        <v>390000.0</v>
      </c>
      <c r="I5" s="27" t="s">
        <v>26</v>
      </c>
      <c r="J5" s="28" t="s">
        <v>28</v>
      </c>
      <c r="K5" s="28" t="s">
        <v>29</v>
      </c>
      <c r="L5" s="28" t="s">
        <v>30</v>
      </c>
      <c r="M5" s="28" t="s">
        <v>40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235</v>
      </c>
      <c r="D6" s="25" t="s">
        <v>46</v>
      </c>
      <c r="E6" s="23"/>
      <c r="F6" s="55">
        <v>46303.0</v>
      </c>
      <c r="G6" s="30"/>
      <c r="H6" s="34">
        <v>100000.0</v>
      </c>
      <c r="I6" s="27" t="s">
        <v>35</v>
      </c>
      <c r="J6" s="17"/>
      <c r="K6" s="17"/>
      <c r="L6" s="28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50" t="s">
        <v>236</v>
      </c>
      <c r="D7" s="25" t="s">
        <v>23</v>
      </c>
      <c r="E7" s="23"/>
      <c r="F7" s="55">
        <v>46301.0</v>
      </c>
      <c r="G7" s="41"/>
      <c r="H7" s="43">
        <v>250000.0</v>
      </c>
      <c r="I7" s="27" t="s">
        <v>26</v>
      </c>
      <c r="J7" s="28" t="s">
        <v>28</v>
      </c>
      <c r="K7" s="28" t="s">
        <v>29</v>
      </c>
      <c r="L7" s="28" t="s">
        <v>30</v>
      </c>
      <c r="M7" s="28" t="s">
        <v>40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1" t="s">
        <v>237</v>
      </c>
      <c r="D8" s="25" t="s">
        <v>23</v>
      </c>
      <c r="E8" s="23"/>
      <c r="F8" s="55">
        <v>46301.0</v>
      </c>
      <c r="G8" s="30"/>
      <c r="H8" s="34">
        <v>250000.0</v>
      </c>
      <c r="I8" s="27" t="s">
        <v>26</v>
      </c>
      <c r="J8" s="28" t="s">
        <v>28</v>
      </c>
      <c r="K8" s="28" t="s">
        <v>29</v>
      </c>
      <c r="L8" s="28" t="s">
        <v>30</v>
      </c>
      <c r="M8" s="28" t="s">
        <v>40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238</v>
      </c>
      <c r="D9" s="25" t="s">
        <v>24</v>
      </c>
      <c r="E9" s="23"/>
      <c r="F9" s="55">
        <v>46301.0</v>
      </c>
      <c r="G9" s="51">
        <v>400000.0</v>
      </c>
      <c r="H9" s="127"/>
      <c r="I9" s="27" t="s">
        <v>26</v>
      </c>
      <c r="J9" s="28" t="s">
        <v>28</v>
      </c>
      <c r="K9" s="28" t="s">
        <v>29</v>
      </c>
      <c r="L9" s="28" t="s">
        <v>30</v>
      </c>
      <c r="M9" s="28" t="s">
        <v>40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239</v>
      </c>
      <c r="D10" s="25" t="s">
        <v>44</v>
      </c>
      <c r="E10" s="32"/>
      <c r="F10" s="55">
        <v>46306.0</v>
      </c>
      <c r="G10" s="41"/>
      <c r="H10" s="43">
        <v>100000.0</v>
      </c>
      <c r="I10" s="27" t="s">
        <v>35</v>
      </c>
      <c r="J10" s="17"/>
      <c r="K10" s="17"/>
      <c r="L10" s="28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240</v>
      </c>
      <c r="D11" s="21" t="s">
        <v>23</v>
      </c>
      <c r="E11" s="19"/>
      <c r="F11" s="150">
        <v>46301.0</v>
      </c>
      <c r="G11" s="161">
        <v>250000.0</v>
      </c>
      <c r="H11" s="56"/>
      <c r="I11" s="28" t="s">
        <v>26</v>
      </c>
      <c r="J11" s="28" t="s">
        <v>28</v>
      </c>
      <c r="K11" s="28" t="s">
        <v>29</v>
      </c>
      <c r="L11" s="28" t="s">
        <v>30</v>
      </c>
      <c r="M11" s="28" t="s">
        <v>40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0" t="s">
        <v>241</v>
      </c>
      <c r="D12" s="21" t="s">
        <v>23</v>
      </c>
      <c r="E12" s="19"/>
      <c r="F12" s="28" t="s">
        <v>25</v>
      </c>
      <c r="G12" s="161">
        <v>330000.0</v>
      </c>
      <c r="H12" s="56"/>
      <c r="I12" s="28" t="s">
        <v>26</v>
      </c>
      <c r="J12" s="28" t="s">
        <v>28</v>
      </c>
      <c r="K12" s="28" t="s">
        <v>29</v>
      </c>
      <c r="L12" s="28" t="s">
        <v>34</v>
      </c>
      <c r="M12" s="28" t="s">
        <v>40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242</v>
      </c>
      <c r="D13" s="21" t="s">
        <v>37</v>
      </c>
      <c r="E13" s="19"/>
      <c r="F13" s="28" t="s">
        <v>218</v>
      </c>
      <c r="G13" s="152"/>
      <c r="H13" s="26">
        <v>100000.0</v>
      </c>
      <c r="I13" s="28" t="s">
        <v>26</v>
      </c>
      <c r="J13" s="28"/>
      <c r="K13" s="28"/>
      <c r="L13" s="28" t="s">
        <v>34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243</v>
      </c>
      <c r="D14" s="21" t="s">
        <v>23</v>
      </c>
      <c r="E14" s="19"/>
      <c r="F14" s="28" t="s">
        <v>25</v>
      </c>
      <c r="G14" s="161">
        <v>250000.0</v>
      </c>
      <c r="H14" s="56"/>
      <c r="I14" s="28" t="s">
        <v>26</v>
      </c>
      <c r="J14" s="28" t="s">
        <v>28</v>
      </c>
      <c r="K14" s="28" t="s">
        <v>29</v>
      </c>
      <c r="L14" s="28" t="s">
        <v>34</v>
      </c>
      <c r="M14" s="28" t="s">
        <v>54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244</v>
      </c>
      <c r="D15" s="21" t="s">
        <v>23</v>
      </c>
      <c r="E15" s="19"/>
      <c r="F15" s="28" t="s">
        <v>25</v>
      </c>
      <c r="G15" s="152"/>
      <c r="H15" s="26">
        <v>350000.0</v>
      </c>
      <c r="I15" s="28" t="s">
        <v>26</v>
      </c>
      <c r="J15" s="28" t="s">
        <v>28</v>
      </c>
      <c r="K15" s="28" t="s">
        <v>29</v>
      </c>
      <c r="L15" s="28" t="s">
        <v>34</v>
      </c>
      <c r="M15" s="28" t="s">
        <v>54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8" t="s">
        <v>245</v>
      </c>
      <c r="D16" s="21" t="s">
        <v>23</v>
      </c>
      <c r="E16" s="19"/>
      <c r="F16" s="28" t="s">
        <v>25</v>
      </c>
      <c r="G16" s="152"/>
      <c r="H16" s="26">
        <v>330000.0</v>
      </c>
      <c r="I16" s="28" t="s">
        <v>26</v>
      </c>
      <c r="J16" s="28" t="s">
        <v>28</v>
      </c>
      <c r="K16" s="28" t="s">
        <v>29</v>
      </c>
      <c r="L16" s="28" t="s">
        <v>34</v>
      </c>
      <c r="M16" s="28" t="s">
        <v>54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246</v>
      </c>
      <c r="D17" s="21" t="s">
        <v>46</v>
      </c>
      <c r="E17" s="19"/>
      <c r="F17" s="28" t="s">
        <v>25</v>
      </c>
      <c r="G17" s="152"/>
      <c r="H17" s="26">
        <v>100000.0</v>
      </c>
      <c r="I17" s="28" t="s">
        <v>35</v>
      </c>
      <c r="J17" s="17"/>
      <c r="K17" s="17"/>
      <c r="L17" s="28" t="s">
        <v>34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246</v>
      </c>
      <c r="D18" s="21" t="s">
        <v>46</v>
      </c>
      <c r="E18" s="19"/>
      <c r="F18" s="28" t="s">
        <v>25</v>
      </c>
      <c r="G18" s="152"/>
      <c r="H18" s="26">
        <v>325000.0</v>
      </c>
      <c r="I18" s="28" t="s">
        <v>26</v>
      </c>
      <c r="J18" s="28" t="s">
        <v>28</v>
      </c>
      <c r="K18" s="28" t="s">
        <v>29</v>
      </c>
      <c r="L18" s="28" t="s">
        <v>34</v>
      </c>
      <c r="M18" s="28" t="s">
        <v>54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8" t="s">
        <v>247</v>
      </c>
      <c r="D19" s="21" t="s">
        <v>46</v>
      </c>
      <c r="E19" s="19"/>
      <c r="F19" s="28" t="s">
        <v>248</v>
      </c>
      <c r="G19" s="152"/>
      <c r="H19" s="26">
        <v>100000.0</v>
      </c>
      <c r="I19" s="28" t="s">
        <v>35</v>
      </c>
      <c r="J19" s="17"/>
      <c r="K19" s="17"/>
      <c r="L19" s="28" t="s">
        <v>34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121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122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124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127</v>
      </c>
      <c r="O24" s="81" t="s">
        <v>30</v>
      </c>
      <c r="P24" s="1"/>
      <c r="Q24" s="1"/>
      <c r="R24" s="1"/>
    </row>
    <row r="25" ht="15.75" customHeight="1">
      <c r="A25" s="1"/>
      <c r="B25" s="82">
        <v>2.0</v>
      </c>
      <c r="C25" s="95" t="s">
        <v>249</v>
      </c>
      <c r="D25" s="97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7" t="s">
        <v>34</v>
      </c>
      <c r="P25" s="1"/>
      <c r="Q25" s="1"/>
      <c r="R25" s="1"/>
    </row>
    <row r="26" ht="15.75" customHeight="1">
      <c r="A26" s="1"/>
      <c r="B26" s="75">
        <v>3.0</v>
      </c>
      <c r="C26" s="100"/>
      <c r="D26" s="102"/>
      <c r="E26" s="79"/>
      <c r="F26" s="1"/>
      <c r="G26" s="1"/>
      <c r="H26" s="1"/>
      <c r="I26" s="1"/>
      <c r="J26" s="1"/>
      <c r="K26" s="1"/>
      <c r="L26" s="1"/>
      <c r="M26" s="1"/>
      <c r="N26" s="88" t="s">
        <v>132</v>
      </c>
      <c r="O26" s="89" t="s">
        <v>40</v>
      </c>
      <c r="P26" s="1"/>
      <c r="Q26" s="1"/>
      <c r="R26" s="1"/>
    </row>
    <row r="27" ht="15.75" customHeight="1">
      <c r="A27" s="1"/>
      <c r="B27" s="82">
        <v>4.0</v>
      </c>
      <c r="C27" s="90"/>
      <c r="D27" s="91"/>
      <c r="E27" s="79"/>
      <c r="F27" s="1"/>
      <c r="G27" s="1"/>
      <c r="H27" s="1"/>
      <c r="I27" s="1"/>
      <c r="J27" s="1"/>
      <c r="K27" s="1"/>
      <c r="L27" s="1"/>
      <c r="M27" s="1"/>
      <c r="N27" s="93" t="s">
        <v>135</v>
      </c>
      <c r="O27" s="87" t="s">
        <v>54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82">
        <v>6.0</v>
      </c>
      <c r="C29" s="90"/>
      <c r="D29" s="91"/>
      <c r="E29" s="79"/>
      <c r="F29" s="1"/>
      <c r="G29" s="1"/>
      <c r="H29" s="1"/>
      <c r="I29" s="1"/>
      <c r="J29" s="1"/>
      <c r="K29" s="96" t="s">
        <v>140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8" t="s">
        <v>2</v>
      </c>
      <c r="L30" s="98" t="s">
        <v>142</v>
      </c>
      <c r="M30" s="98" t="s">
        <v>144</v>
      </c>
      <c r="N30" s="98" t="s">
        <v>145</v>
      </c>
      <c r="O30" s="98" t="s">
        <v>146</v>
      </c>
      <c r="P30" s="98" t="s">
        <v>147</v>
      </c>
      <c r="Q30" s="1"/>
      <c r="R30" s="1"/>
      <c r="AC30" s="99" t="s">
        <v>149</v>
      </c>
      <c r="AD30" s="99" t="s">
        <v>150</v>
      </c>
      <c r="AE30" s="99" t="s">
        <v>151</v>
      </c>
      <c r="AF30" s="99" t="s">
        <v>152</v>
      </c>
      <c r="AG30" s="99" t="s">
        <v>153</v>
      </c>
    </row>
    <row r="31" ht="15.75" customHeight="1">
      <c r="A31" s="1"/>
      <c r="B31" s="82">
        <v>8.0</v>
      </c>
      <c r="C31" s="90"/>
      <c r="D31" s="91"/>
      <c r="E31" s="79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11"/>
      <c r="M31" s="111"/>
      <c r="N31" s="111"/>
      <c r="O31" s="111"/>
      <c r="P31" s="111"/>
      <c r="Q31" s="1"/>
      <c r="R31" s="1"/>
      <c r="AC31" s="99" t="str">
        <f t="shared" ref="AC31:AC36" si="3">IF(AG31="","",IF(COUNT(L31:P31)&lt;5,"",L31/5*20+M31/5*25+N31/5*25+O31/5*15+P31/5*15))</f>
        <v/>
      </c>
      <c r="AD31" s="99" t="str">
        <f t="shared" ref="AD31:AD36" si="4">IF(AC31="","",IF(AC31&gt;=90,"Sangat Baik",IF(AC31&gt;=80,"Baik",IF(AC31&gt;=70,"Coaching","Underperform"))))</f>
        <v/>
      </c>
      <c r="AE31" s="99" t="str">
        <f t="shared" ref="AE31:AE36" si="5">IF(AG31="","",IF(OR(AG31="INDAH",AG31="ADDEL",AG31="AMEL",AG31="PENTIL",AG31="JIJANG"),"Admin/CS","Fotografer"))</f>
        <v>Admin/CS</v>
      </c>
      <c r="AF31" s="99" t="str">
        <f t="shared" ref="AF31:AF36" si="6">IF(OR(AG31="",COUNT(L31:P31)&lt;5),"",1)</f>
        <v/>
      </c>
      <c r="AG31" s="99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11"/>
      <c r="M32" s="111"/>
      <c r="N32" s="111"/>
      <c r="O32" s="111"/>
      <c r="P32" s="111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Admin/CS</v>
      </c>
      <c r="AF32" s="99" t="str">
        <f t="shared" si="6"/>
        <v/>
      </c>
      <c r="AG32" s="99" t="str">
        <f t="shared" si="7"/>
        <v>AMEL</v>
      </c>
    </row>
    <row r="33" ht="15.75" customHeight="1">
      <c r="A33" s="1"/>
      <c r="B33" s="82">
        <v>10.0</v>
      </c>
      <c r="C33" s="90"/>
      <c r="D33" s="91"/>
      <c r="E33" s="79"/>
      <c r="F33" s="1"/>
      <c r="G33" s="1"/>
      <c r="H33" s="1"/>
      <c r="I33" s="1"/>
      <c r="J33" s="1"/>
      <c r="K33" s="103" t="str">
        <f t="shared" si="2"/>
        <v>ADIF</v>
      </c>
      <c r="L33" s="111"/>
      <c r="M33" s="111"/>
      <c r="N33" s="111"/>
      <c r="O33" s="111"/>
      <c r="P33" s="111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>Fotografer</v>
      </c>
      <c r="AF33" s="99" t="str">
        <f t="shared" si="6"/>
        <v/>
      </c>
      <c r="AG33" s="99" t="str">
        <f t="shared" si="7"/>
        <v>ADIF</v>
      </c>
    </row>
    <row r="34" ht="15.75" customHeight="1">
      <c r="A34" s="1"/>
      <c r="B34" s="105">
        <v>11.0</v>
      </c>
      <c r="C34" s="107"/>
      <c r="D34" s="108"/>
      <c r="E34" s="79"/>
      <c r="F34" s="1"/>
      <c r="G34" s="1"/>
      <c r="H34" s="1"/>
      <c r="I34" s="1"/>
      <c r="J34" s="1"/>
      <c r="K34" s="103" t="str">
        <f t="shared" si="2"/>
        <v>SAKA</v>
      </c>
      <c r="L34" s="111"/>
      <c r="M34" s="111"/>
      <c r="N34" s="111"/>
      <c r="O34" s="111"/>
      <c r="P34" s="111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>Fotografer</v>
      </c>
      <c r="AF34" s="99" t="str">
        <f t="shared" si="6"/>
        <v/>
      </c>
      <c r="AG34" s="99" t="str">
        <f t="shared" si="7"/>
        <v>SAKA</v>
      </c>
    </row>
    <row r="35" ht="15.75" customHeight="1">
      <c r="A35" s="1"/>
      <c r="B35" s="1"/>
      <c r="C35" s="3"/>
      <c r="D35" s="110">
        <f>SUM(D24:D34)</f>
        <v>1150000</v>
      </c>
      <c r="E35" s="1"/>
      <c r="F35" s="1"/>
      <c r="G35" s="1"/>
      <c r="H35" s="1"/>
      <c r="I35" s="1"/>
      <c r="J35" s="1"/>
      <c r="K35" s="103"/>
      <c r="L35" s="111"/>
      <c r="M35" s="111"/>
      <c r="N35" s="111"/>
      <c r="O35" s="111"/>
      <c r="P35" s="111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1"/>
      <c r="M36" s="111"/>
      <c r="N36" s="111"/>
      <c r="O36" s="111"/>
      <c r="P36" s="111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2" t="s">
        <v>185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187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189</v>
      </c>
      <c r="M40" s="115" t="s">
        <v>190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21"/>
    </row>
    <row r="42" ht="15.75" customHeight="1">
      <c r="K42" s="117" t="str">
        <f t="shared" si="8"/>
        <v>AMEL</v>
      </c>
      <c r="L42" s="118">
        <v>3.0</v>
      </c>
      <c r="M42" s="121"/>
    </row>
    <row r="43" ht="15.75" customHeight="1"/>
    <row r="44" ht="19.5" customHeight="1">
      <c r="K44" s="123" t="s">
        <v>194</v>
      </c>
    </row>
    <row r="45" ht="19.5" customHeight="1">
      <c r="K45" s="124" t="s">
        <v>195</v>
      </c>
      <c r="M45" s="118">
        <v>26.0</v>
      </c>
    </row>
    <row r="46" ht="19.5" customHeight="1">
      <c r="K46" s="125" t="s">
        <v>197</v>
      </c>
      <c r="M46" s="126">
        <f>COUNTIF($I$4:$I$22,"DP")</f>
        <v>5</v>
      </c>
    </row>
    <row r="47" ht="19.5" customHeight="1">
      <c r="K47" s="125" t="s">
        <v>198</v>
      </c>
      <c r="M47" s="126">
        <f>COUNTIFS($I$4:$I$22,"&lt;&gt;DP",$I$4:$I$22,"&lt;&gt;")</f>
        <v>11</v>
      </c>
    </row>
    <row r="48" ht="19.5" customHeight="1">
      <c r="K48" s="128" t="s">
        <v>199</v>
      </c>
      <c r="M48" s="126">
        <f>M46+M47</f>
        <v>16</v>
      </c>
    </row>
    <row r="49" ht="19.5" customHeight="1">
      <c r="K49" s="124" t="s">
        <v>200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9"/>
      <c r="G4" s="30"/>
      <c r="H4" s="44"/>
      <c r="I4" s="19"/>
      <c r="J4" s="162"/>
      <c r="K4" s="162"/>
      <c r="L4" s="19"/>
      <c r="M4" s="162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6"/>
      <c r="D5" s="68"/>
      <c r="E5" s="23"/>
      <c r="F5" s="19"/>
      <c r="G5" s="30"/>
      <c r="H5" s="44"/>
      <c r="I5" s="19"/>
      <c r="J5" s="162"/>
      <c r="K5" s="162"/>
      <c r="L5" s="19"/>
      <c r="M5" s="162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53"/>
      <c r="F6" s="19"/>
      <c r="G6" s="41"/>
      <c r="H6" s="44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23"/>
      <c r="F7" s="19"/>
      <c r="G7" s="30"/>
      <c r="H7" s="44"/>
      <c r="I7" s="19"/>
      <c r="J7" s="162"/>
      <c r="K7" s="162"/>
      <c r="L7" s="19"/>
      <c r="M7" s="162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63"/>
      <c r="G8" s="30"/>
      <c r="H8" s="44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63"/>
      <c r="G9" s="30"/>
      <c r="H9" s="44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40"/>
      <c r="F10" s="163"/>
      <c r="G10" s="30"/>
      <c r="H10" s="44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32"/>
      <c r="F11" s="163"/>
      <c r="G11" s="30"/>
      <c r="H11" s="44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63"/>
      <c r="G12" s="30"/>
      <c r="H12" s="44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3"/>
      <c r="F13" s="163"/>
      <c r="G13" s="30"/>
      <c r="H13" s="44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66"/>
      <c r="D14" s="68"/>
      <c r="E14" s="23"/>
      <c r="F14" s="163"/>
      <c r="G14" s="30"/>
      <c r="H14" s="44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6"/>
      <c r="D15" s="68"/>
      <c r="E15" s="23"/>
      <c r="F15" s="163"/>
      <c r="G15" s="30"/>
      <c r="H15" s="44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6"/>
      <c r="D16" s="68"/>
      <c r="E16" s="23"/>
      <c r="F16" s="163"/>
      <c r="G16" s="30"/>
      <c r="H16" s="44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6"/>
      <c r="D17" s="68"/>
      <c r="E17" s="32"/>
      <c r="F17" s="163"/>
      <c r="G17" s="41"/>
      <c r="H17" s="127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65"/>
      <c r="D18" s="66"/>
      <c r="E18" s="19"/>
      <c r="F18" s="17"/>
      <c r="G18" s="152"/>
      <c r="H18" s="56"/>
      <c r="I18" s="17"/>
      <c r="J18" s="17"/>
      <c r="K18" s="17"/>
      <c r="L18" s="17"/>
      <c r="M18" s="17"/>
      <c r="N18" s="136"/>
      <c r="O18" s="136"/>
      <c r="P18" s="13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0</v>
      </c>
      <c r="H19" s="71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121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122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124</v>
      </c>
      <c r="D23" s="78">
        <f>SUM(G19)</f>
        <v>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127</v>
      </c>
      <c r="O23" s="29"/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9"/>
      <c r="F24" s="1"/>
      <c r="G24" s="1"/>
      <c r="H24" s="1"/>
      <c r="I24" s="1"/>
      <c r="J24" s="1"/>
      <c r="K24" s="1"/>
      <c r="L24" s="1"/>
      <c r="M24" s="1"/>
      <c r="N24" s="86" t="s">
        <v>130</v>
      </c>
      <c r="O24" s="136"/>
      <c r="P24" s="1"/>
      <c r="Q24" s="1"/>
      <c r="R24" s="1"/>
    </row>
    <row r="25" ht="15.75" customHeight="1">
      <c r="A25" s="1"/>
      <c r="B25" s="75">
        <v>3.0</v>
      </c>
      <c r="C25" s="100"/>
      <c r="D25" s="102"/>
      <c r="E25" s="79"/>
      <c r="F25" s="1"/>
      <c r="G25" s="1"/>
      <c r="H25" s="1"/>
      <c r="I25" s="1"/>
      <c r="J25" s="1"/>
      <c r="K25" s="1"/>
      <c r="L25" s="1"/>
      <c r="M25" s="1"/>
      <c r="N25" s="88" t="s">
        <v>132</v>
      </c>
      <c r="O25" s="37"/>
      <c r="P25" s="1"/>
      <c r="Q25" s="1"/>
      <c r="R25" s="1"/>
    </row>
    <row r="26" ht="15.75" customHeight="1">
      <c r="A26" s="1"/>
      <c r="B26" s="82">
        <v>4.0</v>
      </c>
      <c r="C26" s="90"/>
      <c r="D26" s="91"/>
      <c r="E26" s="79"/>
      <c r="F26" s="1"/>
      <c r="G26" s="1"/>
      <c r="H26" s="1"/>
      <c r="I26" s="1"/>
      <c r="J26" s="1"/>
      <c r="K26" s="1"/>
      <c r="L26" s="1"/>
      <c r="M26" s="1"/>
      <c r="N26" s="93" t="s">
        <v>135</v>
      </c>
      <c r="O26" s="136"/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92"/>
      <c r="G27" s="3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2">
        <v>6.0</v>
      </c>
      <c r="C28" s="90"/>
      <c r="D28" s="91"/>
      <c r="E28" s="79"/>
      <c r="F28" s="1"/>
      <c r="G28" s="1"/>
      <c r="H28" s="1"/>
      <c r="I28" s="1"/>
      <c r="J28" s="1"/>
      <c r="K28" s="96" t="s">
        <v>140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98" t="s">
        <v>2</v>
      </c>
      <c r="L29" s="98" t="s">
        <v>142</v>
      </c>
      <c r="M29" s="98" t="s">
        <v>144</v>
      </c>
      <c r="N29" s="98" t="s">
        <v>145</v>
      </c>
      <c r="O29" s="98" t="s">
        <v>146</v>
      </c>
      <c r="P29" s="98" t="s">
        <v>147</v>
      </c>
      <c r="Q29" s="1"/>
      <c r="R29" s="1"/>
      <c r="AC29" s="99" t="s">
        <v>149</v>
      </c>
      <c r="AD29" s="99" t="s">
        <v>150</v>
      </c>
      <c r="AE29" s="99" t="s">
        <v>151</v>
      </c>
      <c r="AF29" s="99" t="s">
        <v>152</v>
      </c>
      <c r="AG29" s="99" t="s">
        <v>153</v>
      </c>
    </row>
    <row r="30" ht="15.75" customHeight="1">
      <c r="A30" s="1"/>
      <c r="B30" s="82">
        <v>8.0</v>
      </c>
      <c r="C30" s="90"/>
      <c r="D30" s="91"/>
      <c r="E30" s="79"/>
      <c r="F30" s="1"/>
      <c r="G30" s="1"/>
      <c r="H30" s="1"/>
      <c r="I30" s="1"/>
      <c r="J30" s="1"/>
      <c r="K30" s="103" t="str">
        <f t="shared" ref="K30:K33" si="2">IF(O23="","",O23)</f>
        <v/>
      </c>
      <c r="L30" s="111"/>
      <c r="M30" s="111"/>
      <c r="N30" s="111"/>
      <c r="O30" s="111"/>
      <c r="P30" s="111"/>
      <c r="Q30" s="1"/>
      <c r="R30" s="1"/>
      <c r="AC30" s="99" t="str">
        <f t="shared" ref="AC30:AC35" si="3">IF(AG30="","",IF(COUNT(L30:P30)&lt;5,"",L30/5*20+M30/5*25+N30/5*25+O30/5*15+P30/5*15))</f>
        <v/>
      </c>
      <c r="AD30" s="99" t="str">
        <f t="shared" ref="AD30:AD35" si="4">IF(AC30="","",IF(AC30&gt;=90,"Sangat Baik",IF(AC30&gt;=80,"Baik",IF(AC30&gt;=70,"Coaching","Underperform"))))</f>
        <v/>
      </c>
      <c r="AE30" s="99" t="str">
        <f t="shared" ref="AE30:AE35" si="5">IF(AG30="","",IF(OR(AG30="INDAH",AG30="ADDEL",AG30="AMEL",AG30="PENTIL",AG30="JIJANG"),"Admin/CS","Fotografer"))</f>
        <v/>
      </c>
      <c r="AF30" s="99" t="str">
        <f t="shared" ref="AF30:AF35" si="6">IF(OR(AG30="",COUNT(L30:P30)&lt;5),"",1)</f>
        <v/>
      </c>
      <c r="AG30" s="99" t="str">
        <f t="shared" ref="AG30:AG35" si="7">IFERROR(K30,"")</f>
        <v/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103" t="str">
        <f t="shared" si="2"/>
        <v/>
      </c>
      <c r="L31" s="111"/>
      <c r="M31" s="111"/>
      <c r="N31" s="111"/>
      <c r="O31" s="111"/>
      <c r="P31" s="111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82">
        <v>10.0</v>
      </c>
      <c r="C32" s="90"/>
      <c r="D32" s="91"/>
      <c r="E32" s="79"/>
      <c r="F32" s="1"/>
      <c r="G32" s="1"/>
      <c r="H32" s="1"/>
      <c r="I32" s="1"/>
      <c r="J32" s="1"/>
      <c r="K32" s="103" t="str">
        <f t="shared" si="2"/>
        <v/>
      </c>
      <c r="L32" s="111"/>
      <c r="M32" s="111"/>
      <c r="N32" s="111"/>
      <c r="O32" s="111"/>
      <c r="P32" s="111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05">
        <v>11.0</v>
      </c>
      <c r="C33" s="107"/>
      <c r="D33" s="108"/>
      <c r="E33" s="79"/>
      <c r="F33" s="1"/>
      <c r="G33" s="1"/>
      <c r="H33" s="1"/>
      <c r="I33" s="1"/>
      <c r="J33" s="1"/>
      <c r="K33" s="103" t="str">
        <f t="shared" si="2"/>
        <v/>
      </c>
      <c r="L33" s="111"/>
      <c r="M33" s="111"/>
      <c r="N33" s="111"/>
      <c r="O33" s="111"/>
      <c r="P33" s="111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110">
        <f>SUM(D23:D33)</f>
        <v>0</v>
      </c>
      <c r="E34" s="1"/>
      <c r="F34" s="1"/>
      <c r="G34" s="1"/>
      <c r="H34" s="1"/>
      <c r="I34" s="1"/>
      <c r="J34" s="1"/>
      <c r="K34" s="103"/>
      <c r="L34" s="111"/>
      <c r="M34" s="111"/>
      <c r="N34" s="111"/>
      <c r="O34" s="111"/>
      <c r="P34" s="111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1"/>
      <c r="M35" s="111"/>
      <c r="N35" s="111"/>
      <c r="O35" s="111"/>
      <c r="P35" s="111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2" t="s">
        <v>185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3" t="s">
        <v>187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189</v>
      </c>
      <c r="M39" s="115" t="s">
        <v>190</v>
      </c>
    </row>
    <row r="40" ht="15.75" customHeight="1">
      <c r="K40" s="117" t="str">
        <f t="shared" ref="K40:K41" si="8">IF(O23="","",O23)</f>
        <v/>
      </c>
      <c r="L40" s="121"/>
      <c r="M40" s="121"/>
    </row>
    <row r="41" ht="15.75" customHeight="1">
      <c r="K41" s="117" t="str">
        <f t="shared" si="8"/>
        <v/>
      </c>
      <c r="L41" s="121">
        <v>4.0</v>
      </c>
      <c r="M41" s="121"/>
    </row>
    <row r="42" ht="15.75" customHeight="1"/>
    <row r="43" ht="19.5" customHeight="1">
      <c r="K43" s="123" t="s">
        <v>194</v>
      </c>
    </row>
    <row r="44" ht="19.5" customHeight="1">
      <c r="K44" s="124" t="s">
        <v>195</v>
      </c>
      <c r="M44" s="121">
        <v>49.0</v>
      </c>
    </row>
    <row r="45" ht="19.5" customHeight="1">
      <c r="K45" s="125" t="s">
        <v>197</v>
      </c>
      <c r="M45" s="126">
        <f>COUNTIF($I$4:$I$21,"DP")</f>
        <v>0</v>
      </c>
    </row>
    <row r="46" ht="19.5" customHeight="1">
      <c r="K46" s="125" t="s">
        <v>198</v>
      </c>
      <c r="M46" s="126">
        <f>COUNTIFS($I$4:$I$21,"&lt;&gt;DP",$I$4:$I$21,"&lt;&gt;")</f>
        <v>0</v>
      </c>
    </row>
    <row r="47" ht="19.5" customHeight="1">
      <c r="K47" s="128" t="s">
        <v>199</v>
      </c>
      <c r="M47" s="126">
        <f>M45+M46</f>
        <v>0</v>
      </c>
    </row>
    <row r="48" ht="19.5" customHeight="1">
      <c r="K48" s="124" t="s">
        <v>200</v>
      </c>
      <c r="M48" s="130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32"/>
      <c r="F4" s="164"/>
      <c r="G4" s="36"/>
      <c r="H4" s="165"/>
      <c r="I4" s="19"/>
      <c r="J4" s="19"/>
      <c r="K4" s="19"/>
      <c r="L4" s="19"/>
      <c r="M4" s="19"/>
      <c r="N4" s="17"/>
      <c r="O4" s="17"/>
      <c r="P4" s="129"/>
      <c r="Q4" s="1"/>
      <c r="R4" s="1"/>
    </row>
    <row r="5" ht="15.75" customHeight="1">
      <c r="A5" s="1"/>
      <c r="B5" s="17">
        <v>2.0</v>
      </c>
      <c r="C5" s="66"/>
      <c r="D5" s="68"/>
      <c r="E5" s="32"/>
      <c r="F5" s="164"/>
      <c r="G5" s="36"/>
      <c r="H5" s="165"/>
      <c r="I5" s="19"/>
      <c r="J5" s="19"/>
      <c r="K5" s="19"/>
      <c r="L5" s="19"/>
      <c r="M5" s="19"/>
      <c r="N5" s="17"/>
      <c r="O5" s="17"/>
      <c r="P5" s="17"/>
      <c r="Q5" s="1"/>
      <c r="R5" s="1"/>
    </row>
    <row r="6" ht="15.75" customHeight="1">
      <c r="A6" s="1"/>
      <c r="B6" s="17">
        <v>3.0</v>
      </c>
      <c r="C6" s="66"/>
      <c r="D6" s="68"/>
      <c r="E6" s="32"/>
      <c r="F6" s="163"/>
      <c r="G6" s="36"/>
      <c r="H6" s="165"/>
      <c r="I6" s="19"/>
      <c r="J6" s="19"/>
      <c r="K6" s="19"/>
      <c r="L6" s="19"/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66"/>
      <c r="D7" s="68"/>
      <c r="E7" s="32"/>
      <c r="F7" s="163"/>
      <c r="G7" s="36"/>
      <c r="H7" s="165"/>
      <c r="I7" s="19"/>
      <c r="J7" s="19"/>
      <c r="K7" s="19"/>
      <c r="L7" s="19"/>
      <c r="M7" s="19"/>
      <c r="N7" s="17"/>
      <c r="O7" s="17"/>
      <c r="P7" s="17"/>
      <c r="Q7" s="1"/>
      <c r="R7" s="1"/>
    </row>
    <row r="8" ht="15.75" customHeight="1">
      <c r="A8" s="1"/>
      <c r="B8" s="17">
        <v>5.0</v>
      </c>
      <c r="C8" s="66"/>
      <c r="D8" s="68"/>
      <c r="E8" s="32"/>
      <c r="F8" s="19"/>
      <c r="G8" s="45"/>
      <c r="H8" s="166"/>
      <c r="I8" s="19"/>
      <c r="J8" s="19"/>
      <c r="K8" s="19"/>
      <c r="L8" s="19"/>
      <c r="M8" s="19"/>
      <c r="N8" s="17"/>
      <c r="O8" s="17"/>
      <c r="P8" s="17"/>
      <c r="Q8" s="1"/>
      <c r="R8" s="1"/>
      <c r="S8" s="167"/>
    </row>
    <row r="9" ht="15.75" customHeight="1">
      <c r="A9" s="1"/>
      <c r="B9" s="17">
        <v>6.0</v>
      </c>
      <c r="C9" s="66"/>
      <c r="D9" s="68"/>
      <c r="E9" s="53"/>
      <c r="F9" s="19"/>
      <c r="G9" s="36"/>
      <c r="H9" s="165"/>
      <c r="I9" s="19"/>
      <c r="J9" s="19"/>
      <c r="K9" s="19"/>
      <c r="L9" s="19"/>
      <c r="M9" s="19"/>
      <c r="N9" s="17"/>
      <c r="O9" s="17"/>
      <c r="P9" s="17"/>
      <c r="Q9" s="1"/>
      <c r="R9" s="1"/>
      <c r="S9" s="167"/>
    </row>
    <row r="10" ht="15.75" customHeight="1">
      <c r="A10" s="1"/>
      <c r="B10" s="17">
        <v>7.0</v>
      </c>
      <c r="C10" s="66"/>
      <c r="D10" s="68"/>
      <c r="E10" s="53"/>
      <c r="F10" s="19"/>
      <c r="G10" s="36"/>
      <c r="H10" s="165"/>
      <c r="I10" s="19"/>
      <c r="J10" s="19"/>
      <c r="K10" s="19"/>
      <c r="L10" s="19"/>
      <c r="M10" s="19"/>
      <c r="N10" s="17"/>
      <c r="O10" s="17"/>
      <c r="P10" s="17"/>
      <c r="Q10" s="1"/>
      <c r="R10" s="1"/>
      <c r="S10" s="167"/>
      <c r="U10" s="167"/>
    </row>
    <row r="11" ht="15.75" customHeight="1">
      <c r="A11" s="1"/>
      <c r="B11" s="17">
        <v>8.0</v>
      </c>
      <c r="C11" s="66"/>
      <c r="D11" s="68"/>
      <c r="E11" s="32"/>
      <c r="F11" s="19"/>
      <c r="G11" s="36"/>
      <c r="H11" s="165"/>
      <c r="I11" s="19"/>
      <c r="J11" s="19"/>
      <c r="K11" s="19"/>
      <c r="L11" s="19"/>
      <c r="M11" s="19"/>
      <c r="N11" s="17"/>
      <c r="O11" s="17"/>
      <c r="P11" s="17"/>
      <c r="Q11" s="1"/>
      <c r="R11" s="1"/>
      <c r="S11" s="167"/>
      <c r="U11" s="167"/>
    </row>
    <row r="12" ht="15.75" customHeight="1">
      <c r="A12" s="1"/>
      <c r="B12" s="17">
        <v>9.0</v>
      </c>
      <c r="C12" s="66"/>
      <c r="D12" s="68"/>
      <c r="E12" s="32"/>
      <c r="F12" s="19"/>
      <c r="G12" s="36"/>
      <c r="H12" s="165"/>
      <c r="I12" s="19"/>
      <c r="J12" s="19"/>
      <c r="K12" s="19"/>
      <c r="L12" s="19"/>
      <c r="M12" s="19"/>
      <c r="N12" s="17"/>
      <c r="O12" s="17"/>
      <c r="P12" s="17"/>
      <c r="Q12" s="1"/>
      <c r="R12" s="1"/>
      <c r="S12" s="167"/>
      <c r="U12" s="167"/>
    </row>
    <row r="13" ht="15.75" customHeight="1">
      <c r="A13" s="1"/>
      <c r="B13" s="17">
        <v>10.0</v>
      </c>
      <c r="C13" s="19"/>
      <c r="D13" s="68"/>
      <c r="E13" s="32"/>
      <c r="F13" s="19"/>
      <c r="G13" s="36"/>
      <c r="H13" s="165"/>
      <c r="I13" s="19"/>
      <c r="J13" s="19"/>
      <c r="K13" s="19"/>
      <c r="L13" s="19"/>
      <c r="M13" s="19"/>
      <c r="N13" s="17"/>
      <c r="O13" s="17"/>
      <c r="P13" s="17"/>
      <c r="Q13" s="1"/>
      <c r="R13" s="1"/>
      <c r="S13" s="167"/>
      <c r="U13" s="167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100"/>
      <c r="D20" s="102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32"/>
      <c r="F4" s="19"/>
      <c r="G4" s="36"/>
      <c r="H4" s="1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6"/>
      <c r="D5" s="68"/>
      <c r="E5" s="53"/>
      <c r="F5" s="19"/>
      <c r="G5" s="36"/>
      <c r="H5" s="165"/>
      <c r="I5" s="19"/>
      <c r="J5" s="19"/>
      <c r="K5" s="19"/>
      <c r="L5" s="19"/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32"/>
      <c r="F6" s="19"/>
      <c r="G6" s="36"/>
      <c r="H6" s="165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2"/>
      <c r="F7" s="19"/>
      <c r="G7" s="36"/>
      <c r="H7" s="165"/>
      <c r="I7" s="19"/>
      <c r="J7" s="19"/>
      <c r="K7" s="19"/>
      <c r="L7" s="19"/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32"/>
      <c r="F8" s="19"/>
      <c r="G8" s="36"/>
      <c r="H8" s="165"/>
      <c r="I8" s="19"/>
      <c r="J8" s="19"/>
      <c r="K8" s="19"/>
      <c r="L8" s="19"/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32"/>
      <c r="F9" s="19"/>
      <c r="G9" s="36"/>
      <c r="H9" s="165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2"/>
      <c r="F10" s="19"/>
      <c r="G10" s="45"/>
      <c r="H10" s="166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32"/>
      <c r="F11" s="19"/>
      <c r="G11" s="45"/>
      <c r="H11" s="166"/>
      <c r="I11" s="19"/>
      <c r="J11" s="19"/>
      <c r="K11" s="19"/>
      <c r="L11" s="19"/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32"/>
      <c r="F12" s="19"/>
      <c r="G12" s="45"/>
      <c r="H12" s="166"/>
      <c r="I12" s="19"/>
      <c r="J12" s="19"/>
      <c r="K12" s="19"/>
      <c r="L12" s="19"/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32"/>
      <c r="F13" s="19"/>
      <c r="G13" s="36"/>
      <c r="H13" s="165"/>
      <c r="I13" s="19"/>
      <c r="J13" s="19"/>
      <c r="K13" s="19"/>
      <c r="L13" s="19"/>
      <c r="M13" s="19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100"/>
      <c r="D20" s="102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9"/>
      <c r="G4" s="30"/>
      <c r="H4" s="44"/>
      <c r="I4" s="19"/>
      <c r="J4" s="162"/>
      <c r="K4" s="162"/>
      <c r="L4" s="19"/>
      <c r="M4" s="162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6"/>
      <c r="D5" s="68"/>
      <c r="E5" s="23"/>
      <c r="F5" s="19"/>
      <c r="G5" s="30"/>
      <c r="H5" s="44"/>
      <c r="I5" s="19"/>
      <c r="J5" s="162"/>
      <c r="K5" s="162"/>
      <c r="L5" s="19"/>
      <c r="M5" s="162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23"/>
      <c r="F6" s="19"/>
      <c r="G6" s="41"/>
      <c r="H6" s="44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2"/>
      <c r="F7" s="19"/>
      <c r="G7" s="30"/>
      <c r="H7" s="44"/>
      <c r="I7" s="19"/>
      <c r="J7" s="162"/>
      <c r="K7" s="162"/>
      <c r="L7" s="19"/>
      <c r="M7" s="162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9"/>
      <c r="G8" s="30"/>
      <c r="H8" s="44"/>
      <c r="I8" s="19"/>
      <c r="J8" s="162"/>
      <c r="K8" s="162"/>
      <c r="L8" s="19"/>
      <c r="M8" s="162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9"/>
      <c r="G9" s="30"/>
      <c r="H9" s="44"/>
      <c r="I9" s="19"/>
      <c r="J9" s="162"/>
      <c r="K9" s="162"/>
      <c r="L9" s="19"/>
      <c r="M9" s="162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2"/>
      <c r="F10" s="19"/>
      <c r="G10" s="41"/>
      <c r="H10" s="127"/>
      <c r="I10" s="19"/>
      <c r="J10" s="162"/>
      <c r="K10" s="162"/>
      <c r="L10" s="19"/>
      <c r="M10" s="162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3"/>
      <c r="F11" s="19"/>
      <c r="G11" s="41"/>
      <c r="H11" s="127"/>
      <c r="I11" s="19"/>
      <c r="J11" s="162"/>
      <c r="K11" s="162"/>
      <c r="L11" s="19"/>
      <c r="M11" s="162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9"/>
      <c r="G12" s="30"/>
      <c r="H12" s="44"/>
      <c r="I12" s="19"/>
      <c r="J12" s="19"/>
      <c r="K12" s="19"/>
      <c r="L12" s="19"/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32"/>
      <c r="F13" s="69"/>
      <c r="G13" s="30"/>
      <c r="H13" s="44"/>
      <c r="I13" s="19"/>
      <c r="J13" s="19"/>
      <c r="K13" s="19"/>
      <c r="L13" s="19"/>
      <c r="M13" s="19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100"/>
      <c r="D20" s="102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83"/>
      <c r="D21" s="84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100"/>
      <c r="D22" s="102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9"/>
      <c r="G4" s="30"/>
      <c r="H4" s="44"/>
      <c r="I4" s="19"/>
      <c r="J4" s="162"/>
      <c r="K4" s="162"/>
      <c r="L4" s="19"/>
      <c r="M4" s="19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6"/>
      <c r="D5" s="68"/>
      <c r="E5" s="23"/>
      <c r="F5" s="19"/>
      <c r="G5" s="30"/>
      <c r="H5" s="44"/>
      <c r="I5" s="19"/>
      <c r="J5" s="162"/>
      <c r="K5" s="162"/>
      <c r="L5" s="19"/>
      <c r="M5" s="162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23"/>
      <c r="F6" s="19"/>
      <c r="G6" s="30"/>
      <c r="H6" s="44"/>
      <c r="I6" s="19"/>
      <c r="J6" s="162"/>
      <c r="K6" s="162"/>
      <c r="L6" s="19"/>
      <c r="M6" s="162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2"/>
      <c r="F7" s="19"/>
      <c r="G7" s="30"/>
      <c r="H7" s="44"/>
      <c r="I7" s="19"/>
      <c r="J7" s="19"/>
      <c r="K7" s="19"/>
      <c r="L7" s="19"/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9"/>
      <c r="G8" s="30"/>
      <c r="H8" s="44"/>
      <c r="I8" s="19"/>
      <c r="J8" s="162"/>
      <c r="K8" s="162"/>
      <c r="L8" s="19"/>
      <c r="M8" s="162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9"/>
      <c r="G9" s="30"/>
      <c r="H9" s="44"/>
      <c r="I9" s="19"/>
      <c r="J9" s="162"/>
      <c r="K9" s="162"/>
      <c r="L9" s="19"/>
      <c r="M9" s="162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23"/>
      <c r="F10" s="19"/>
      <c r="G10" s="30"/>
      <c r="H10" s="44"/>
      <c r="I10" s="19"/>
      <c r="J10" s="162"/>
      <c r="K10" s="162"/>
      <c r="L10" s="19"/>
      <c r="M10" s="162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3"/>
      <c r="F11" s="163"/>
      <c r="G11" s="30"/>
      <c r="H11" s="44"/>
      <c r="I11" s="19"/>
      <c r="J11" s="162"/>
      <c r="K11" s="162"/>
      <c r="L11" s="19"/>
      <c r="M11" s="162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63"/>
      <c r="G12" s="30"/>
      <c r="H12" s="44"/>
      <c r="I12" s="19"/>
      <c r="J12" s="162"/>
      <c r="K12" s="162"/>
      <c r="L12" s="19"/>
      <c r="M12" s="162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3"/>
      <c r="F13" s="163"/>
      <c r="G13" s="30"/>
      <c r="H13" s="44"/>
      <c r="I13" s="19"/>
      <c r="J13" s="19"/>
      <c r="K13" s="19"/>
      <c r="L13" s="19"/>
      <c r="M13" s="162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100"/>
      <c r="D20" s="102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/>
    </row>
    <row r="41" ht="19.5" customHeight="1">
      <c r="K41" s="125" t="s">
        <v>198</v>
      </c>
      <c r="M41" s="126"/>
    </row>
    <row r="42" ht="19.5" customHeight="1">
      <c r="K42" s="128" t="s">
        <v>199</v>
      </c>
      <c r="M42" s="126"/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7"/>
      <c r="D4" s="68"/>
      <c r="E4" s="23"/>
      <c r="F4" s="19"/>
      <c r="G4" s="30"/>
      <c r="H4" s="44"/>
      <c r="I4" s="19"/>
      <c r="J4" s="19"/>
      <c r="K4" s="19"/>
      <c r="L4" s="19"/>
      <c r="M4" s="162"/>
      <c r="N4" s="29"/>
      <c r="O4" s="29"/>
      <c r="P4" s="31"/>
      <c r="Q4" s="1"/>
      <c r="R4" s="1"/>
    </row>
    <row r="5" ht="15.75" customHeight="1">
      <c r="A5" s="1"/>
      <c r="B5" s="17">
        <v>2.0</v>
      </c>
      <c r="C5" s="19"/>
      <c r="D5" s="68"/>
      <c r="E5" s="23"/>
      <c r="F5" s="19"/>
      <c r="G5" s="30"/>
      <c r="H5" s="44"/>
      <c r="I5" s="19"/>
      <c r="J5" s="19"/>
      <c r="K5" s="19"/>
      <c r="L5" s="19"/>
      <c r="M5" s="162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67"/>
      <c r="D6" s="68"/>
      <c r="E6" s="23"/>
      <c r="F6" s="19"/>
      <c r="G6" s="30"/>
      <c r="H6" s="44"/>
      <c r="I6" s="19"/>
      <c r="J6" s="19"/>
      <c r="K6" s="19"/>
      <c r="L6" s="169"/>
      <c r="M6" s="162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2"/>
      <c r="F7" s="19"/>
      <c r="G7" s="30"/>
      <c r="H7" s="44"/>
      <c r="I7" s="19"/>
      <c r="J7" s="19"/>
      <c r="K7" s="19"/>
      <c r="L7" s="19"/>
      <c r="M7" s="162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3"/>
      <c r="F8" s="19"/>
      <c r="G8" s="30"/>
      <c r="H8" s="44"/>
      <c r="I8" s="19"/>
      <c r="J8" s="19"/>
      <c r="K8" s="19"/>
      <c r="L8" s="19"/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3"/>
      <c r="F9" s="19"/>
      <c r="G9" s="30"/>
      <c r="H9" s="44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23"/>
      <c r="F10" s="19"/>
      <c r="G10" s="30"/>
      <c r="H10" s="44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3"/>
      <c r="F11" s="19"/>
      <c r="G11" s="41"/>
      <c r="H11" s="127"/>
      <c r="I11" s="19"/>
      <c r="J11" s="19"/>
      <c r="K11" s="19"/>
      <c r="L11" s="19"/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3"/>
      <c r="F12" s="19"/>
      <c r="G12" s="30"/>
      <c r="H12" s="44"/>
      <c r="I12" s="19"/>
      <c r="J12" s="19"/>
      <c r="K12" s="19"/>
      <c r="L12" s="19"/>
      <c r="M12" s="162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3"/>
      <c r="F13" s="19"/>
      <c r="G13" s="30"/>
      <c r="H13" s="44"/>
      <c r="I13" s="19"/>
      <c r="J13" s="19"/>
      <c r="K13" s="19"/>
      <c r="L13" s="19"/>
      <c r="M13" s="162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100"/>
      <c r="D20" s="102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163"/>
      <c r="G4" s="30"/>
      <c r="H4" s="44"/>
      <c r="I4" s="19"/>
      <c r="J4" s="19"/>
      <c r="K4" s="19"/>
      <c r="L4" s="19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7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1"/>
      <c r="D12" s="66"/>
      <c r="E12" s="19"/>
      <c r="F12" s="1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/>
    </row>
    <row r="41" ht="19.5" customHeight="1">
      <c r="K41" s="125" t="s">
        <v>198</v>
      </c>
      <c r="M41" s="126"/>
    </row>
    <row r="42" ht="19.5" customHeight="1">
      <c r="K42" s="128" t="s">
        <v>199</v>
      </c>
      <c r="M42" s="126"/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29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0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1"/>
      <c r="D6" s="66"/>
      <c r="E6" s="19"/>
      <c r="F6" s="7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7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2"/>
      <c r="D8" s="66"/>
      <c r="E8" s="19"/>
      <c r="F8" s="7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7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1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0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0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7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7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7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">
        <v>30</v>
      </c>
      <c r="L35" s="121"/>
      <c r="M35" s="121"/>
      <c r="N35" s="176"/>
    </row>
    <row r="36" ht="15.75" customHeight="1">
      <c r="K36" s="117" t="s">
        <v>30</v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73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"/>
      <c r="G11" s="56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92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92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7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7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7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0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0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7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7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7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29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78"/>
    </row>
    <row r="41" ht="19.5" customHeight="1">
      <c r="K41" s="125" t="s">
        <v>198</v>
      </c>
      <c r="M41" s="126"/>
    </row>
    <row r="42" ht="19.5" customHeight="1">
      <c r="K42" s="128" t="s">
        <v>199</v>
      </c>
      <c r="M42" s="126"/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29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17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3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171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0"/>
      <c r="G4" s="152"/>
      <c r="H4" s="56"/>
      <c r="I4" s="17"/>
      <c r="J4" s="17"/>
      <c r="K4" s="17"/>
      <c r="L4" s="17"/>
      <c r="M4" s="17"/>
      <c r="N4" s="29"/>
      <c r="O4" s="29"/>
      <c r="P4" s="29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0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67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7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"/>
      <c r="G11" s="56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29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7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7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7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7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92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28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</row>
    <row r="35" ht="15.75" customHeight="1">
      <c r="K35" s="117" t="str">
        <f t="shared" ref="K35:K36" si="8">IF(O18="","",O18)</f>
        <v/>
      </c>
      <c r="L35" s="121"/>
      <c r="M35" s="121"/>
    </row>
    <row r="36" ht="15.75" customHeight="1">
      <c r="K36" s="117" t="str">
        <f t="shared" si="8"/>
        <v/>
      </c>
      <c r="L36" s="121"/>
      <c r="M36" s="121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3"/>
      <c r="F4" s="69"/>
      <c r="G4" s="30"/>
      <c r="H4" s="44"/>
      <c r="I4" s="19"/>
      <c r="J4" s="162"/>
      <c r="K4" s="162"/>
      <c r="L4" s="19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0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0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71"/>
      <c r="D9" s="66"/>
      <c r="E9" s="19"/>
      <c r="F9" s="170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0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0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0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0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121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122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127</v>
      </c>
      <c r="O18" s="29"/>
      <c r="P18" s="1"/>
      <c r="Q18" s="1"/>
      <c r="R18" s="1"/>
    </row>
    <row r="19" ht="15.75" customHeight="1">
      <c r="A19" s="1"/>
      <c r="B19" s="82">
        <v>2.0</v>
      </c>
      <c r="C19" s="90"/>
      <c r="D19" s="91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3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8" t="s">
        <v>132</v>
      </c>
      <c r="O20" s="37"/>
      <c r="P20" s="1"/>
      <c r="Q20" s="1"/>
      <c r="R20" s="1"/>
    </row>
    <row r="21" ht="15.75" customHeight="1">
      <c r="A21" s="1"/>
      <c r="B21" s="82">
        <v>4.0</v>
      </c>
      <c r="C21" s="90"/>
      <c r="D21" s="91"/>
      <c r="E21" s="79"/>
      <c r="F21" s="1"/>
      <c r="G21" s="1"/>
      <c r="H21" s="1"/>
      <c r="I21" s="1"/>
      <c r="J21" s="1"/>
      <c r="K21" s="1"/>
      <c r="L21" s="1"/>
      <c r="M21" s="1"/>
      <c r="N21" s="93" t="s">
        <v>135</v>
      </c>
      <c r="O21" s="13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2">
        <v>6.0</v>
      </c>
      <c r="C23" s="90"/>
      <c r="D23" s="91"/>
      <c r="E23" s="79"/>
      <c r="F23" s="1"/>
      <c r="G23" s="1"/>
      <c r="H23" s="1"/>
      <c r="I23" s="1"/>
      <c r="J23" s="1"/>
      <c r="K23" s="96" t="s">
        <v>140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8" t="s">
        <v>2</v>
      </c>
      <c r="L24" s="98" t="s">
        <v>142</v>
      </c>
      <c r="M24" s="98" t="s">
        <v>144</v>
      </c>
      <c r="N24" s="98" t="s">
        <v>145</v>
      </c>
      <c r="O24" s="98" t="s">
        <v>146</v>
      </c>
      <c r="P24" s="98" t="s">
        <v>147</v>
      </c>
      <c r="Q24" s="1"/>
      <c r="R24" s="1"/>
      <c r="AC24" s="99" t="s">
        <v>149</v>
      </c>
      <c r="AD24" s="99" t="s">
        <v>150</v>
      </c>
      <c r="AE24" s="99" t="s">
        <v>151</v>
      </c>
      <c r="AF24" s="99" t="s">
        <v>152</v>
      </c>
      <c r="AG24" s="99" t="s">
        <v>153</v>
      </c>
    </row>
    <row r="25" ht="15.75" customHeight="1">
      <c r="A25" s="1"/>
      <c r="B25" s="82">
        <v>8.0</v>
      </c>
      <c r="C25" s="90"/>
      <c r="D25" s="91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68"/>
      <c r="M26" s="168"/>
      <c r="N26" s="168"/>
      <c r="O26" s="168"/>
      <c r="P26" s="168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2">
        <v>10.0</v>
      </c>
      <c r="C27" s="90"/>
      <c r="D27" s="91"/>
      <c r="E27" s="79"/>
      <c r="F27" s="1"/>
      <c r="G27" s="1"/>
      <c r="H27" s="1"/>
      <c r="I27" s="1"/>
      <c r="J27" s="1"/>
      <c r="K27" s="103" t="str">
        <f t="shared" si="2"/>
        <v/>
      </c>
      <c r="L27" s="168"/>
      <c r="M27" s="168"/>
      <c r="N27" s="168"/>
      <c r="O27" s="168"/>
      <c r="P27" s="168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5">
        <v>11.0</v>
      </c>
      <c r="C28" s="107"/>
      <c r="D28" s="108"/>
      <c r="E28" s="79"/>
      <c r="F28" s="1"/>
      <c r="G28" s="1"/>
      <c r="H28" s="1"/>
      <c r="I28" s="1"/>
      <c r="J28" s="1"/>
      <c r="K28" s="103" t="str">
        <f t="shared" si="2"/>
        <v/>
      </c>
      <c r="L28" s="168"/>
      <c r="M28" s="168"/>
      <c r="N28" s="168"/>
      <c r="O28" s="168"/>
      <c r="P28" s="168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0">
        <f>SUM(D18:D28)</f>
        <v>0</v>
      </c>
      <c r="E29" s="1"/>
      <c r="F29" s="1"/>
      <c r="G29" s="1"/>
      <c r="H29" s="1"/>
      <c r="I29" s="1"/>
      <c r="J29" s="1"/>
      <c r="K29" s="103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2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187</v>
      </c>
      <c r="N33" s="174"/>
      <c r="O33" s="1"/>
      <c r="P33" s="1"/>
      <c r="Q33" s="1"/>
      <c r="R33" s="1"/>
    </row>
    <row r="34" ht="15.75" customHeight="1">
      <c r="K34" s="115" t="s">
        <v>8</v>
      </c>
      <c r="L34" s="115" t="s">
        <v>189</v>
      </c>
      <c r="M34" s="115" t="s">
        <v>190</v>
      </c>
      <c r="N34" s="175" t="s">
        <v>191</v>
      </c>
    </row>
    <row r="35" ht="15.75" customHeight="1">
      <c r="K35" s="117" t="str">
        <f t="shared" ref="K35:K36" si="8">IF(O18="","",O18)</f>
        <v/>
      </c>
      <c r="L35" s="121"/>
      <c r="M35" s="121"/>
      <c r="N35" s="176"/>
    </row>
    <row r="36" ht="15.75" customHeight="1">
      <c r="K36" s="117" t="str">
        <f t="shared" si="8"/>
        <v/>
      </c>
      <c r="L36" s="121"/>
      <c r="M36" s="121"/>
      <c r="N36" s="176"/>
    </row>
    <row r="37" ht="15.75" customHeight="1"/>
    <row r="38" ht="19.5" customHeight="1">
      <c r="K38" s="123" t="s">
        <v>194</v>
      </c>
    </row>
    <row r="39" ht="19.5" customHeight="1">
      <c r="K39" s="124" t="s">
        <v>195</v>
      </c>
      <c r="M39" s="121"/>
    </row>
    <row r="40" ht="19.5" customHeight="1">
      <c r="K40" s="125" t="s">
        <v>197</v>
      </c>
      <c r="M40" s="126">
        <f>COUNTIF($I$4:$I$16,"DP")</f>
        <v>0</v>
      </c>
    </row>
    <row r="41" ht="19.5" customHeight="1">
      <c r="K41" s="125" t="s">
        <v>198</v>
      </c>
      <c r="M41" s="126">
        <f>COUNTIFS($I$4:$I$16,"&lt;&gt;DP",$I$4:$I$16,"&lt;&gt;")</f>
        <v>0</v>
      </c>
    </row>
    <row r="42" ht="19.5" customHeight="1">
      <c r="K42" s="128" t="s">
        <v>199</v>
      </c>
      <c r="M42" s="126">
        <f>M40+M41</f>
        <v>0</v>
      </c>
    </row>
    <row r="43" ht="19.5" customHeight="1">
      <c r="K43" s="124" t="s">
        <v>200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70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77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0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7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7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7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7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7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7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121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122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124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127</v>
      </c>
      <c r="O19" s="29"/>
      <c r="P19" s="1"/>
      <c r="Q19" s="1"/>
      <c r="R19" s="1"/>
    </row>
    <row r="20" ht="15.75" customHeight="1">
      <c r="A20" s="1"/>
      <c r="B20" s="82">
        <v>2.0</v>
      </c>
      <c r="C20" s="90"/>
      <c r="D20" s="91"/>
      <c r="E20" s="79"/>
      <c r="F20" s="1"/>
      <c r="G20" s="92"/>
      <c r="H20" s="1"/>
      <c r="I20" s="1"/>
      <c r="J20" s="1"/>
      <c r="K20" s="1"/>
      <c r="L20" s="1"/>
      <c r="M20" s="1"/>
      <c r="N20" s="86" t="s">
        <v>130</v>
      </c>
      <c r="O20" s="136"/>
      <c r="P20" s="1"/>
      <c r="Q20" s="1"/>
      <c r="R20" s="1"/>
    </row>
    <row r="21" ht="15.75" customHeight="1">
      <c r="A21" s="1"/>
      <c r="B21" s="75">
        <v>3.0</v>
      </c>
      <c r="C21" s="76"/>
      <c r="D21" s="78"/>
      <c r="E21" s="79"/>
      <c r="F21" s="1"/>
      <c r="G21" s="92"/>
      <c r="H21" s="1"/>
      <c r="I21" s="1"/>
      <c r="J21" s="1"/>
      <c r="K21" s="1"/>
      <c r="L21" s="1"/>
      <c r="M21" s="1"/>
      <c r="N21" s="88" t="s">
        <v>132</v>
      </c>
      <c r="O21" s="37"/>
      <c r="P21" s="1"/>
      <c r="Q21" s="1"/>
      <c r="R21" s="1"/>
    </row>
    <row r="22" ht="15.75" customHeight="1">
      <c r="A22" s="1"/>
      <c r="B22" s="82">
        <v>4.0</v>
      </c>
      <c r="C22" s="90"/>
      <c r="D22" s="91"/>
      <c r="E22" s="79"/>
      <c r="F22" s="1"/>
      <c r="G22" s="1"/>
      <c r="H22" s="1"/>
      <c r="I22" s="1"/>
      <c r="J22" s="1"/>
      <c r="K22" s="1"/>
      <c r="L22" s="1"/>
      <c r="M22" s="1"/>
      <c r="N22" s="93" t="s">
        <v>135</v>
      </c>
      <c r="O22" s="136"/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82">
        <v>6.0</v>
      </c>
      <c r="C24" s="90"/>
      <c r="D24" s="91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0"/>
      <c r="D26" s="91"/>
      <c r="E26" s="79"/>
      <c r="F26" s="1"/>
      <c r="G26" s="1"/>
      <c r="H26" s="1"/>
      <c r="I26" s="1"/>
      <c r="J26" s="1"/>
      <c r="K26" s="96" t="s">
        <v>140</v>
      </c>
      <c r="Q26" s="1"/>
      <c r="R26" s="1"/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98" t="s">
        <v>2</v>
      </c>
      <c r="L27" s="98" t="s">
        <v>142</v>
      </c>
      <c r="M27" s="98" t="s">
        <v>144</v>
      </c>
      <c r="N27" s="98" t="s">
        <v>145</v>
      </c>
      <c r="O27" s="98" t="s">
        <v>146</v>
      </c>
      <c r="P27" s="98" t="s">
        <v>147</v>
      </c>
      <c r="Q27" s="1"/>
      <c r="R27" s="1"/>
      <c r="AC27" s="99" t="s">
        <v>149</v>
      </c>
      <c r="AD27" s="99" t="s">
        <v>150</v>
      </c>
      <c r="AE27" s="99" t="s">
        <v>151</v>
      </c>
      <c r="AF27" s="99" t="s">
        <v>152</v>
      </c>
      <c r="AG27" s="99" t="s">
        <v>153</v>
      </c>
    </row>
    <row r="28" ht="15.75" customHeight="1">
      <c r="A28" s="1"/>
      <c r="B28" s="82">
        <v>10.0</v>
      </c>
      <c r="C28" s="90"/>
      <c r="D28" s="91"/>
      <c r="E28" s="79"/>
      <c r="F28" s="1"/>
      <c r="G28" s="1"/>
      <c r="H28" s="1"/>
      <c r="I28" s="1"/>
      <c r="J28" s="1"/>
      <c r="K28" s="103" t="str">
        <f t="shared" ref="K28:K31" si="2">IF(O19="","",O19)</f>
        <v/>
      </c>
      <c r="L28" s="111"/>
      <c r="M28" s="111"/>
      <c r="N28" s="111"/>
      <c r="O28" s="111"/>
      <c r="P28" s="111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05">
        <v>11.0</v>
      </c>
      <c r="C29" s="107"/>
      <c r="D29" s="108"/>
      <c r="E29" s="79"/>
      <c r="F29" s="1"/>
      <c r="G29" s="1"/>
      <c r="H29" s="1"/>
      <c r="I29" s="1"/>
      <c r="J29" s="1"/>
      <c r="K29" s="103" t="str">
        <f t="shared" si="2"/>
        <v/>
      </c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110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1"/>
      <c r="M31" s="111"/>
      <c r="N31" s="111"/>
      <c r="O31" s="111"/>
      <c r="P31" s="111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1"/>
      <c r="M32" s="111"/>
      <c r="N32" s="111"/>
      <c r="O32" s="111"/>
      <c r="P32" s="111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1"/>
      <c r="M33" s="111"/>
      <c r="N33" s="111"/>
      <c r="O33" s="111"/>
      <c r="P33" s="111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2" t="s">
        <v>185</v>
      </c>
      <c r="Q34" s="1"/>
      <c r="R34" s="1"/>
    </row>
    <row r="35" ht="15.75" customHeight="1"/>
    <row r="36" ht="15.75" customHeight="1">
      <c r="K36" s="179" t="s">
        <v>187</v>
      </c>
    </row>
    <row r="37" ht="15.75" customHeight="1">
      <c r="K37" s="115" t="s">
        <v>8</v>
      </c>
      <c r="L37" s="115" t="s">
        <v>189</v>
      </c>
      <c r="M37" s="115" t="s">
        <v>190</v>
      </c>
    </row>
    <row r="38" ht="15.75" customHeight="1">
      <c r="K38" s="117" t="str">
        <f t="shared" ref="K38:K39" si="8">IF(O19="","",O19)</f>
        <v/>
      </c>
      <c r="L38" s="121"/>
      <c r="M38" s="121"/>
    </row>
    <row r="39" ht="15.75" customHeight="1">
      <c r="K39" s="117" t="str">
        <f t="shared" si="8"/>
        <v/>
      </c>
      <c r="L39" s="121"/>
      <c r="M39" s="121"/>
    </row>
    <row r="40" ht="15.75" customHeight="1"/>
    <row r="41" ht="19.5" customHeight="1">
      <c r="K41" s="123" t="s">
        <v>194</v>
      </c>
    </row>
    <row r="42" ht="19.5" customHeight="1">
      <c r="K42" s="124" t="s">
        <v>195</v>
      </c>
      <c r="M42" s="121"/>
    </row>
    <row r="43" ht="19.5" customHeight="1">
      <c r="K43" s="125" t="s">
        <v>197</v>
      </c>
      <c r="M43" s="126">
        <f>COUNTIF($I$4:$I$17,"DP")</f>
        <v>0</v>
      </c>
    </row>
    <row r="44" ht="19.5" customHeight="1">
      <c r="K44" s="125" t="s">
        <v>198</v>
      </c>
      <c r="M44" s="126">
        <f>COUNTIFS($I$4:$I$17,"&lt;&gt;DP",$I$4:$I$17,"&lt;&gt;")</f>
        <v>0</v>
      </c>
    </row>
    <row r="45" ht="19.5" customHeight="1">
      <c r="K45" s="128" t="s">
        <v>199</v>
      </c>
      <c r="M45" s="126">
        <f>M43+M44</f>
        <v>0</v>
      </c>
    </row>
    <row r="46" ht="19.5" customHeight="1">
      <c r="K46" s="124" t="s">
        <v>200</v>
      </c>
      <c r="M46" s="130" t="str">
        <f>IF(OR(M42="",M42=0),"",M43/M42)</f>
        <v/>
      </c>
    </row>
    <row r="47" ht="15.75" customHeight="1">
      <c r="A47" s="18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3" t="s">
        <v>253</v>
      </c>
      <c r="E49" s="183" t="s">
        <v>254</v>
      </c>
      <c r="I49" s="183" t="s">
        <v>256</v>
      </c>
      <c r="M49" s="183" t="s">
        <v>257</v>
      </c>
    </row>
    <row r="50" ht="15.75" customHeight="1">
      <c r="A50" s="185">
        <f>IFERROR(SUMIFS($D$56:$D$68,$C$56:$C$68,"&gt;0")/COUNTIFS($C$56:$C$68,"&gt;0"),0)</f>
        <v>97</v>
      </c>
      <c r="E50" s="185">
        <f>IFERROR(SUMIFS($D$56:$D$68,$B$56:$B$68,"Admin/CS",$C$56:$C$68,"&gt;0")/COUNTIFS($B$56:$B$68,"Admin/CS",$C$56:$C$68,"&gt;0"),0)</f>
        <v>95</v>
      </c>
      <c r="I50" s="185">
        <f>IFERROR(SUMIFS($D$56:$D$68,$B$56:$B$68,"Fotografer",$C$56:$C$68,"&gt;0")/COUNTIFS($B$56:$B$68,"Fotografer",$C$56:$C$68,"&gt;0"),0)</f>
        <v>99</v>
      </c>
      <c r="M50" s="18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7" t="s">
        <v>2</v>
      </c>
      <c r="B55" s="187" t="s">
        <v>264</v>
      </c>
      <c r="C55" s="187" t="s">
        <v>265</v>
      </c>
      <c r="D55" s="187" t="s">
        <v>266</v>
      </c>
      <c r="E55" s="187" t="s">
        <v>267</v>
      </c>
      <c r="F55" s="187" t="s">
        <v>268</v>
      </c>
      <c r="G55" s="187" t="s">
        <v>269</v>
      </c>
    </row>
    <row r="56" ht="15.75" customHeight="1">
      <c r="A56" s="188" t="str">
        <f>IF($A$78="","",$A$78)</f>
        <v>INDAH</v>
      </c>
      <c r="B56" s="188" t="str">
        <f>IF(A56="","",$B$78)</f>
        <v>Admin/CS</v>
      </c>
      <c r="C56" s="189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8" t="str">
        <f t="shared" ref="F56:F68" si="9">IF(D56="","",IF(D56&gt;=90,"Sangat Baik",IF(D56&gt;=80,"Baik",IF(D56&gt;=70,"Coaching","Underperform"))))</f>
        <v>Sangat Baik</v>
      </c>
      <c r="G56" s="191"/>
    </row>
    <row r="57" ht="15.75" customHeight="1">
      <c r="A57" s="188" t="str">
        <f>IF($A$79="","",$A$79)</f>
        <v>ADDEL</v>
      </c>
      <c r="B57" s="188" t="str">
        <f>IF(A57="","",$B$79)</f>
        <v>Admin/CS</v>
      </c>
      <c r="C57" s="189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8" t="str">
        <f t="shared" si="9"/>
        <v/>
      </c>
      <c r="G57" s="191"/>
    </row>
    <row r="58" ht="15.75" customHeight="1">
      <c r="A58" s="188" t="str">
        <f>IF($A$80="","",$A$80)</f>
        <v>AMEL</v>
      </c>
      <c r="B58" s="188" t="str">
        <f>IF(A58="","",$B$80)</f>
        <v>Admin/CS</v>
      </c>
      <c r="C58" s="189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8" t="str">
        <f t="shared" si="9"/>
        <v>Sangat Baik</v>
      </c>
      <c r="G58" s="191"/>
    </row>
    <row r="59" ht="15.75" customHeight="1">
      <c r="A59" s="188" t="str">
        <f>IF($A$81="","",$A$81)</f>
        <v>PENTIL</v>
      </c>
      <c r="B59" s="188" t="str">
        <f>IF(A59="","",$B$81)</f>
        <v>Admin/CS</v>
      </c>
      <c r="C59" s="189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8" t="str">
        <f t="shared" si="9"/>
        <v/>
      </c>
      <c r="G59" s="191"/>
    </row>
    <row r="60" ht="15.75" customHeight="1">
      <c r="A60" s="188" t="str">
        <f>IF($A$82="","",$A$82)</f>
        <v>JIJANG</v>
      </c>
      <c r="B60" s="188" t="str">
        <f>IF(A60="","",$B$82)</f>
        <v>Admin/CS</v>
      </c>
      <c r="C60" s="189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8" t="str">
        <f t="shared" si="9"/>
        <v/>
      </c>
      <c r="G60" s="191"/>
    </row>
    <row r="61" ht="15.75" customHeight="1">
      <c r="A61" s="188" t="str">
        <f>IF($A$83="","",$A$83)</f>
        <v>HANIF</v>
      </c>
      <c r="B61" s="188" t="str">
        <f>IF(A61="","",$B$83)</f>
        <v>Fotografer</v>
      </c>
      <c r="C61" s="189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8" t="str">
        <f t="shared" si="9"/>
        <v/>
      </c>
      <c r="G61" s="191"/>
    </row>
    <row r="62" ht="15.75" customHeight="1">
      <c r="A62" s="188" t="str">
        <f>IF($A$84="","",$A$84)</f>
        <v>FAHME</v>
      </c>
      <c r="B62" s="188" t="str">
        <f>IF(A62="","",$B$84)</f>
        <v>Fotografer</v>
      </c>
      <c r="C62" s="189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8" t="str">
        <f t="shared" si="9"/>
        <v/>
      </c>
      <c r="G62" s="191"/>
    </row>
    <row r="63" ht="15.75" customHeight="1">
      <c r="A63" s="188" t="str">
        <f>IF($A$85="","",$A$85)</f>
        <v>ADIF</v>
      </c>
      <c r="B63" s="188" t="str">
        <f>IF(A63="","",$B$85)</f>
        <v>Fotografer</v>
      </c>
      <c r="C63" s="189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8" t="str">
        <f t="shared" si="9"/>
        <v>Sangat Baik</v>
      </c>
      <c r="G63" s="191"/>
    </row>
    <row r="64" ht="15.75" customHeight="1">
      <c r="A64" s="188" t="str">
        <f>IF($A$86="","",$A$86)</f>
        <v>ABROR</v>
      </c>
      <c r="B64" s="188" t="str">
        <f>IF(A64="","",$B$86)</f>
        <v>Fotografer</v>
      </c>
      <c r="C64" s="189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8" t="str">
        <f t="shared" si="9"/>
        <v/>
      </c>
      <c r="G64" s="191"/>
    </row>
    <row r="65" ht="15.75" customHeight="1">
      <c r="A65" s="188" t="str">
        <f>IF($A$87="","",$A$87)</f>
        <v>FADEL</v>
      </c>
      <c r="B65" s="188" t="str">
        <f>IF(A65="","",$B$87)</f>
        <v>Fotografer</v>
      </c>
      <c r="C65" s="189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8" t="str">
        <f t="shared" si="9"/>
        <v/>
      </c>
      <c r="G65" s="191"/>
    </row>
    <row r="66" ht="15.75" customHeight="1">
      <c r="A66" s="188" t="str">
        <f>IF($A$88="","",$A$88)</f>
        <v>SAKA</v>
      </c>
      <c r="B66" s="188" t="str">
        <f>IF(A66="","",$B$88)</f>
        <v>Fotografer</v>
      </c>
      <c r="C66" s="189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8" t="str">
        <f t="shared" si="9"/>
        <v>Sangat Baik</v>
      </c>
      <c r="G66" s="191"/>
    </row>
    <row r="67" ht="15.75" customHeight="1">
      <c r="A67" s="188" t="str">
        <f>IF($A$89="","",$A$89)</f>
        <v/>
      </c>
      <c r="B67" s="188" t="str">
        <f>IF(A67="","",$B$89)</f>
        <v/>
      </c>
      <c r="C67" s="189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8" t="str">
        <f t="shared" si="9"/>
        <v/>
      </c>
      <c r="G67" s="191"/>
    </row>
    <row r="68" ht="15.75" customHeight="1">
      <c r="A68" s="188" t="str">
        <f>IF($A$90="","",$A$90)</f>
        <v/>
      </c>
      <c r="B68" s="188" t="str">
        <f>IF(A68="","",$B$90)</f>
        <v/>
      </c>
      <c r="C68" s="189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8" t="str">
        <f t="shared" si="9"/>
        <v/>
      </c>
      <c r="G68" s="191"/>
    </row>
    <row r="69" ht="15.75" customHeight="1"/>
    <row r="70" ht="15.75" customHeight="1">
      <c r="A70" s="194" t="s">
        <v>277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278</v>
      </c>
      <c r="B77" s="196" t="s">
        <v>279</v>
      </c>
      <c r="D77" s="179" t="s">
        <v>280</v>
      </c>
    </row>
    <row r="78" ht="15.75" customHeight="1">
      <c r="A78" s="192" t="s">
        <v>30</v>
      </c>
      <c r="B78" s="192" t="s">
        <v>270</v>
      </c>
      <c r="D78" s="197" t="s">
        <v>189</v>
      </c>
      <c r="E78" s="126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27</v>
      </c>
    </row>
    <row r="79" ht="15.75" customHeight="1">
      <c r="A79" s="192" t="s">
        <v>273</v>
      </c>
      <c r="B79" s="192" t="s">
        <v>270</v>
      </c>
      <c r="D79" s="197" t="s">
        <v>190</v>
      </c>
      <c r="E79" s="126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34</v>
      </c>
      <c r="B80" s="192" t="s">
        <v>270</v>
      </c>
      <c r="D80" s="197" t="s">
        <v>195</v>
      </c>
      <c r="E80" s="126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218</v>
      </c>
    </row>
    <row r="81" ht="15.75" customHeight="1">
      <c r="A81" s="192" t="s">
        <v>276</v>
      </c>
      <c r="B81" s="192" t="s">
        <v>270</v>
      </c>
      <c r="D81" s="197" t="s">
        <v>197</v>
      </c>
      <c r="E81" s="126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21</v>
      </c>
    </row>
    <row r="82" ht="15.75" customHeight="1">
      <c r="A82" s="192" t="s">
        <v>281</v>
      </c>
      <c r="B82" s="192" t="s">
        <v>270</v>
      </c>
      <c r="D82" s="197" t="s">
        <v>198</v>
      </c>
      <c r="E82" s="126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100</v>
      </c>
    </row>
    <row r="83" ht="15.75" customHeight="1">
      <c r="A83" s="192" t="s">
        <v>271</v>
      </c>
      <c r="B83" s="192" t="s">
        <v>282</v>
      </c>
      <c r="D83" s="197" t="s">
        <v>199</v>
      </c>
      <c r="E83" s="126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121</v>
      </c>
    </row>
    <row r="84" ht="15.75" customHeight="1">
      <c r="A84" s="192" t="s">
        <v>73</v>
      </c>
      <c r="B84" s="192" t="s">
        <v>282</v>
      </c>
      <c r="D84" s="197" t="s">
        <v>200</v>
      </c>
      <c r="E84" s="130">
        <f>IFERROR(E81/E80,0)</f>
        <v>0.09633027523</v>
      </c>
    </row>
    <row r="85" ht="15.75" customHeight="1">
      <c r="A85" s="192" t="s">
        <v>40</v>
      </c>
      <c r="B85" s="192" t="s">
        <v>282</v>
      </c>
    </row>
    <row r="86" ht="15.75" customHeight="1">
      <c r="A86" s="192" t="s">
        <v>77</v>
      </c>
      <c r="B86" s="192" t="s">
        <v>282</v>
      </c>
    </row>
    <row r="87" ht="15.75" customHeight="1">
      <c r="A87" s="192" t="s">
        <v>283</v>
      </c>
      <c r="B87" s="192" t="s">
        <v>282</v>
      </c>
    </row>
    <row r="88" ht="15.75" customHeight="1">
      <c r="A88" s="192" t="s">
        <v>54</v>
      </c>
      <c r="B88" s="192" t="s">
        <v>282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19"/>
      <c r="F4" s="129"/>
      <c r="G4" s="152"/>
      <c r="H4" s="56"/>
      <c r="I4" s="17"/>
      <c r="J4" s="17"/>
      <c r="K4" s="17"/>
      <c r="L4" s="17"/>
      <c r="M4" s="17"/>
      <c r="N4" s="29"/>
      <c r="O4" s="29"/>
      <c r="P4" s="31"/>
      <c r="Q4" s="1"/>
      <c r="R4" s="1"/>
    </row>
    <row r="5" ht="15.75" customHeight="1">
      <c r="A5" s="1"/>
      <c r="B5" s="17">
        <v>2.0</v>
      </c>
      <c r="C5" s="65"/>
      <c r="D5" s="66"/>
      <c r="E5" s="19"/>
      <c r="F5" s="129"/>
      <c r="G5" s="152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5"/>
      <c r="D6" s="66"/>
      <c r="E6" s="19"/>
      <c r="F6" s="17"/>
      <c r="G6" s="152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5"/>
      <c r="D7" s="66"/>
      <c r="E7" s="19"/>
      <c r="F7" s="17"/>
      <c r="G7" s="152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5"/>
      <c r="D8" s="66"/>
      <c r="E8" s="19"/>
      <c r="F8" s="17"/>
      <c r="G8" s="152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5"/>
      <c r="D9" s="66"/>
      <c r="E9" s="19"/>
      <c r="F9" s="17"/>
      <c r="G9" s="152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5"/>
      <c r="D10" s="66"/>
      <c r="E10" s="19"/>
      <c r="F10" s="17"/>
      <c r="G10" s="152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5"/>
      <c r="D11" s="66"/>
      <c r="E11" s="19"/>
      <c r="F11" s="17"/>
      <c r="G11" s="152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5"/>
      <c r="D12" s="66"/>
      <c r="E12" s="19"/>
      <c r="F12" s="17"/>
      <c r="G12" s="152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5"/>
      <c r="D13" s="66"/>
      <c r="E13" s="19"/>
      <c r="F13" s="17"/>
      <c r="G13" s="152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65"/>
      <c r="D14" s="66"/>
      <c r="E14" s="19"/>
      <c r="F14" s="17"/>
      <c r="G14" s="152"/>
      <c r="H14" s="56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65"/>
      <c r="D15" s="66"/>
      <c r="E15" s="19"/>
      <c r="F15" s="17"/>
      <c r="G15" s="152"/>
      <c r="H15" s="56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65"/>
      <c r="D16" s="66"/>
      <c r="E16" s="19"/>
      <c r="F16" s="17"/>
      <c r="G16" s="152"/>
      <c r="H16" s="56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65"/>
      <c r="D17" s="66"/>
      <c r="E17" s="19"/>
      <c r="F17" s="17"/>
      <c r="G17" s="152"/>
      <c r="H17" s="56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65"/>
      <c r="D18" s="66"/>
      <c r="E18" s="19"/>
      <c r="F18" s="17"/>
      <c r="G18" s="152"/>
      <c r="H18" s="56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65"/>
      <c r="D19" s="66"/>
      <c r="E19" s="19"/>
      <c r="F19" s="17"/>
      <c r="G19" s="152"/>
      <c r="H19" s="56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65"/>
      <c r="D20" s="66"/>
      <c r="E20" s="19"/>
      <c r="F20" s="17"/>
      <c r="G20" s="152"/>
      <c r="H20" s="56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65"/>
      <c r="D21" s="66"/>
      <c r="E21" s="19"/>
      <c r="F21" s="17"/>
      <c r="G21" s="152"/>
      <c r="H21" s="56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65"/>
      <c r="D22" s="66"/>
      <c r="E22" s="19"/>
      <c r="F22" s="17"/>
      <c r="G22" s="152"/>
      <c r="H22" s="56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65"/>
      <c r="D23" s="66"/>
      <c r="E23" s="19"/>
      <c r="F23" s="17"/>
      <c r="G23" s="152"/>
      <c r="H23" s="56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65"/>
      <c r="D24" s="66"/>
      <c r="E24" s="19"/>
      <c r="F24" s="17"/>
      <c r="G24" s="152"/>
      <c r="H24" s="56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65"/>
      <c r="D25" s="66"/>
      <c r="E25" s="19"/>
      <c r="F25" s="17"/>
      <c r="G25" s="152"/>
      <c r="H25" s="56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65"/>
      <c r="D26" s="66"/>
      <c r="E26" s="19"/>
      <c r="F26" s="17"/>
      <c r="G26" s="152"/>
      <c r="H26" s="56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65"/>
      <c r="D27" s="66"/>
      <c r="E27" s="19"/>
      <c r="F27" s="17"/>
      <c r="G27" s="152"/>
      <c r="H27" s="56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65"/>
      <c r="D28" s="66"/>
      <c r="E28" s="19"/>
      <c r="F28" s="17"/>
      <c r="G28" s="152"/>
      <c r="H28" s="56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65"/>
      <c r="D29" s="66"/>
      <c r="E29" s="19"/>
      <c r="F29" s="17"/>
      <c r="G29" s="152"/>
      <c r="H29" s="56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65"/>
      <c r="D30" s="66"/>
      <c r="E30" s="19"/>
      <c r="F30" s="17"/>
      <c r="G30" s="152"/>
      <c r="H30" s="56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65"/>
      <c r="D31" s="66"/>
      <c r="E31" s="19"/>
      <c r="F31" s="17"/>
      <c r="G31" s="152"/>
      <c r="H31" s="56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65"/>
      <c r="D32" s="66"/>
      <c r="E32" s="19"/>
      <c r="F32" s="17"/>
      <c r="G32" s="152"/>
      <c r="H32" s="56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65"/>
      <c r="D33" s="66"/>
      <c r="E33" s="19"/>
      <c r="F33" s="17"/>
      <c r="G33" s="152"/>
      <c r="H33" s="56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65"/>
      <c r="D34" s="66"/>
      <c r="E34" s="19"/>
      <c r="F34" s="17"/>
      <c r="G34" s="152"/>
      <c r="H34" s="56"/>
      <c r="I34" s="17"/>
      <c r="J34" s="17"/>
      <c r="K34" s="17"/>
      <c r="L34" s="17"/>
      <c r="M34" s="17"/>
      <c r="N34" s="136"/>
      <c r="O34" s="136"/>
      <c r="P34" s="13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1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121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122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124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127</v>
      </c>
      <c r="O39" s="29"/>
      <c r="P39" s="1"/>
      <c r="Q39" s="1"/>
      <c r="R39" s="1"/>
    </row>
    <row r="40" ht="15.75" customHeight="1">
      <c r="A40" s="1"/>
      <c r="B40" s="82">
        <v>2.0</v>
      </c>
      <c r="C40" s="90"/>
      <c r="D40" s="91"/>
      <c r="E40" s="79"/>
      <c r="F40" s="1"/>
      <c r="G40" s="1"/>
      <c r="H40" s="1"/>
      <c r="I40" s="1"/>
      <c r="J40" s="1"/>
      <c r="K40" s="1"/>
      <c r="L40" s="1"/>
      <c r="M40" s="1"/>
      <c r="N40" s="86" t="s">
        <v>130</v>
      </c>
      <c r="O40" s="136"/>
      <c r="P40" s="1"/>
      <c r="Q40" s="1"/>
      <c r="R40" s="1"/>
    </row>
    <row r="41" ht="15.75" customHeight="1">
      <c r="A41" s="1"/>
      <c r="B41" s="75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88" t="s">
        <v>132</v>
      </c>
      <c r="O41" s="37"/>
      <c r="P41" s="1"/>
      <c r="Q41" s="1"/>
      <c r="R41" s="1"/>
    </row>
    <row r="42" ht="15.75" customHeight="1">
      <c r="A42" s="1"/>
      <c r="B42" s="82">
        <v>4.0</v>
      </c>
      <c r="C42" s="90"/>
      <c r="D42" s="91"/>
      <c r="E42" s="79"/>
      <c r="F42" s="1"/>
      <c r="G42" s="1"/>
      <c r="H42" s="1"/>
      <c r="I42" s="1"/>
      <c r="J42" s="1"/>
      <c r="K42" s="1"/>
      <c r="L42" s="1"/>
      <c r="M42" s="1"/>
      <c r="N42" s="93" t="s">
        <v>135</v>
      </c>
      <c r="O42" s="136"/>
      <c r="P42" s="1"/>
      <c r="Q42" s="1"/>
      <c r="R42" s="1"/>
    </row>
    <row r="43" ht="15.75" customHeight="1">
      <c r="A43" s="1"/>
      <c r="B43" s="75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82"/>
      <c r="C44" s="90"/>
      <c r="D44" s="91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0"/>
      <c r="D46" s="91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0"/>
      <c r="D48" s="91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7"/>
      <c r="D49" s="108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250</v>
      </c>
      <c r="AU1" s="99" t="s">
        <v>251</v>
      </c>
    </row>
    <row r="2">
      <c r="A2" s="182" t="s">
        <v>252</v>
      </c>
      <c r="AU2" s="99">
        <v>1.0</v>
      </c>
    </row>
    <row r="3">
      <c r="AU3" s="99">
        <v>2.0</v>
      </c>
    </row>
    <row r="4">
      <c r="A4" s="184" t="s">
        <v>255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258</v>
      </c>
      <c r="CB4" s="99" t="s">
        <v>259</v>
      </c>
    </row>
    <row r="5">
      <c r="A5" s="186" t="s">
        <v>260</v>
      </c>
      <c r="B5" s="186" t="s">
        <v>3</v>
      </c>
      <c r="C5" s="186" t="s">
        <v>261</v>
      </c>
      <c r="D5" s="186" t="s">
        <v>262</v>
      </c>
      <c r="E5" s="186" t="s">
        <v>263</v>
      </c>
      <c r="X5" s="99" t="s">
        <v>46</v>
      </c>
      <c r="Y5" s="99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15</v>
      </c>
      <c r="Z5" s="99">
        <f t="shared" ref="Z5:Z17" si="1">Y5+(18-ROW())/100000</f>
        <v>15.00013</v>
      </c>
      <c r="AA5" s="99" t="s">
        <v>30</v>
      </c>
      <c r="AB5" s="99" t="s">
        <v>270</v>
      </c>
      <c r="AC5" s="99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99">
        <f t="shared" ref="AD5:AD15" si="2">AC5+(16-ROW())/100000</f>
        <v>4.00011</v>
      </c>
      <c r="AE5" s="99" t="s">
        <v>30</v>
      </c>
      <c r="AF5" s="99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35</v>
      </c>
      <c r="AG5" s="99">
        <f t="shared" ref="AG5:AG9" si="3">AF5+(10-ROW())/100000</f>
        <v>35.00005</v>
      </c>
      <c r="AH5" s="99" t="s">
        <v>271</v>
      </c>
      <c r="AI5" s="99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30</v>
      </c>
      <c r="AL5" s="99" t="s">
        <v>270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 t="str">
        <f>IF(COUNTIFS('4'!$AG$86:$AG$91,$AK5,'4'!$AF$86:$AF$91,1)=0,"",SUMIFS('4'!$AC$86:$AC$91,'4'!$AG$86:$AG$91,$AK5,'4'!$AF$86:$AF$91,1)/COUNTIFS('4'!$AG$86:$AG$91,$AK5,'4'!$AF$86:$AF$91,1))</f>
        <v/>
      </c>
      <c r="AZ5" s="99" t="str">
        <f>IF(COUNTIFS('5'!$AG$27:$AG$32,$AK5,'5'!$AF$27:$AF$32,1)=0,"",SUMIFS('5'!$AC$27:$AC$32,'5'!$AG$27:$AG$32,$AK5,'5'!$AF$27:$AF$32,1)/COUNTIFS('5'!$AG$27:$AG$32,$AK5,'5'!$AF$27:$AF$32,1))</f>
        <v/>
      </c>
      <c r="BA5" s="99" t="str">
        <f>IF(COUNTIFS('6'!$AG$31:$AG$36,$AK5,'6'!$AF$31:$AF$36,1)=0,"",SUMIFS('6'!$AC$31:$AC$36,'6'!$AG$31:$AG$36,$AK5,'6'!$AF$31:$AF$36,1)/COUNTIFS('6'!$AG$31:$AG$36,$AK5,'6'!$AF$31:$AF$36,1))</f>
        <v/>
      </c>
      <c r="BB5" s="99" t="str">
        <f>IF(COUNTIFS('7'!$AG$30:$AG$35,$AK5,'7'!$AF$30:$AF$35,1)=0,"",SUMIFS('7'!$AC$30:$AC$35,'7'!$AG$30:$AG$35,$AK5,'7'!$AF$30:$AF$35,1)/COUNTIFS('7'!$AG$30:$AG$35,$AK5,'7'!$AF$30:$AF$35,1))</f>
        <v/>
      </c>
      <c r="BC5" s="99" t="str">
        <f>IF(COUNTIFS('8'!$AG$25:$AG$30,$AK5,'8'!$AF$25:$AF$30,1)=0,"",SUMIFS('8'!$AC$25:$AC$30,'8'!$AG$25:$AG$30,$AK5,'8'!$AF$25:$AF$30,1)/COUNTIFS('8'!$AG$25:$AG$30,$AK5,'8'!$AF$25:$AF$30,1))</f>
        <v/>
      </c>
      <c r="BD5" s="99" t="str">
        <f>IF(COUNTIFS('9'!$AG$25:$AG$30,$AK5,'9'!$AF$25:$AF$30,1)=0,"",SUMIFS('9'!$AC$25:$AC$30,'9'!$AG$25:$AG$30,$AK5,'9'!$AF$25:$AF$30,1)/COUNTIFS('9'!$AG$25:$AG$30,$AK5,'9'!$AF$25:$AF$30,1))</f>
        <v/>
      </c>
      <c r="BE5" s="99" t="str">
        <f>IF(COUNTIFS('10'!$AG$25:$AG$30,$AK5,'10'!$AF$25:$AF$30,1)=0,"",SUMIFS('10'!$AC$25:$AC$30,'10'!$AG$25:$AG$30,$AK5,'10'!$AF$25:$AF$30,1)/COUNTIFS('10'!$AG$25:$AG$30,$AK5,'10'!$AF$25:$AF$30,1))</f>
        <v/>
      </c>
      <c r="BF5" s="99" t="str">
        <f>IF(COUNTIFS('11'!$AG$25:$AG$30,$AK5,'11'!$AF$25:$AF$30,1)=0,"",SUMIFS('11'!$AC$25:$AC$30,'11'!$AG$25:$AG$30,$AK5,'11'!$AF$25:$AF$30,1)/COUNTIFS('11'!$AG$25:$AG$30,$AK5,'11'!$AF$25:$AF$30,1))</f>
        <v/>
      </c>
      <c r="BG5" s="99" t="str">
        <f>IF(COUNTIFS('12'!$AG$25:$AG$30,$AK5,'12'!$AF$25:$AF$30,1)=0,"",SUMIFS('12'!$AC$25:$AC$30,'12'!$AG$25:$AG$30,$AK5,'12'!$AF$25:$AF$30,1)/COUNTIFS('12'!$AG$25:$AG$30,$AK5,'12'!$AF$25:$AF$30,1))</f>
        <v/>
      </c>
      <c r="BH5" s="99" t="str">
        <f>IF(COUNTIFS('13'!$AG$25:$AG$30,$AK5,'13'!$AF$25:$AF$30,1)=0,"",SUMIFS('13'!$AC$25:$AC$30,'13'!$AG$25:$AG$30,$AK5,'13'!$AF$25:$AF$30,1)/COUNTIFS('13'!$AG$25:$AG$30,$AK5,'13'!$AF$25:$AF$30,1))</f>
        <v/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 t="str">
        <f>IF(COUNTIFS('15'!$AG$25:$AG$30,$AK5,'15'!$AF$25:$AF$30,1)=0,"",SUMIFS('15'!$AC$25:$AC$30,'15'!$AG$25:$AG$30,$AK5,'15'!$AF$25:$AF$30,1)/COUNTIFS('15'!$AG$25:$AG$30,$AK5,'15'!$AF$25:$AF$30,1))</f>
        <v/>
      </c>
      <c r="BK5" s="99" t="str">
        <f>IF(COUNTIFS('16'!$AG$25:$AG$30,$AK5,'16'!$AF$25:$AF$30,1)=0,"",SUMIFS('16'!$AC$25:$AC$30,'16'!$AG$25:$AG$30,$AK5,'16'!$AF$25:$AF$30,1)/COUNTIFS('16'!$AG$25:$AG$30,$AK5,'16'!$AF$25:$AF$30,1))</f>
        <v/>
      </c>
      <c r="BL5" s="99" t="str">
        <f>IF(COUNTIFS('17'!$AG$25:$AG$30,$AK5,'17'!$AF$25:$AF$30,1)=0,"",SUMIFS('17'!$AC$25:$AC$30,'17'!$AG$25:$AG$30,$AK5,'17'!$AF$25:$AF$30,1)/COUNTIFS('17'!$AG$25:$AG$30,$AK5,'17'!$AF$25:$AF$30,1))</f>
        <v/>
      </c>
      <c r="BM5" s="99" t="str">
        <f>IF(COUNTIFS('18'!$AG$25:$AG$30,$AK5,'18'!$AF$25:$AF$30,1)=0,"",SUMIFS('18'!$AC$25:$AC$30,'18'!$AG$25:$AG$30,$AK5,'18'!$AF$25:$AF$30,1)/COUNTIFS('18'!$AG$25:$AG$30,$AK5,'18'!$AF$25:$AF$30,1))</f>
        <v/>
      </c>
      <c r="BN5" s="99" t="str">
        <f>IF(COUNTIFS('19'!$AG$25:$AG$30,$AK5,'19'!$AF$25:$AF$30,1)=0,"",SUMIFS('19'!$AC$25:$AC$30,'19'!$AG$25:$AG$30,$AK5,'19'!$AF$25:$AF$30,1)/COUNTIFS('19'!$AG$25:$AG$30,$AK5,'19'!$AF$25:$AF$30,1))</f>
        <v/>
      </c>
      <c r="BO5" s="99" t="str">
        <f>IF(COUNTIFS('20'!$AG$25:$AG$30,$AK5,'20'!$AF$25:$AF$30,1)=0,"",SUMIFS('20'!$AC$25:$AC$30,'20'!$AG$25:$AG$30,$AK5,'20'!$AF$25:$AF$30,1)/COUNTIFS('20'!$AG$25:$AG$30,$AK5,'20'!$AF$25:$AF$30,1))</f>
        <v/>
      </c>
      <c r="BP5" s="99" t="str">
        <f>IF(COUNTIFS('21'!$AG$25:$AG$30,$AK5,'21'!$AF$25:$AF$30,1)=0,"",SUMIFS('21'!$AC$25:$AC$30,'21'!$AG$25:$AG$30,$AK5,'21'!$AF$25:$AF$30,1)/COUNTIFS('21'!$AG$25:$AG$30,$AK5,'21'!$AF$25:$AF$30,1))</f>
        <v/>
      </c>
      <c r="BQ5" s="99" t="str">
        <f>IF(COUNTIFS('22'!$AG$25:$AG$30,$AK5,'22'!$AF$25:$AF$30,1)=0,"",SUMIFS('22'!$AC$25:$AC$30,'22'!$AG$25:$AG$30,$AK5,'22'!$AF$25:$AF$30,1)/COUNTIFS('22'!$AG$25:$AG$30,$AK5,'22'!$AF$25:$AF$30,1))</f>
        <v/>
      </c>
      <c r="BR5" s="99" t="str">
        <f>IF(COUNTIFS('23'!$AG$25:$AG$30,$AK5,'23'!$AF$25:$AF$30,1)=0,"",SUMIFS('23'!$AC$25:$AC$30,'23'!$AG$25:$AG$30,$AK5,'23'!$AF$25:$AF$30,1)/COUNTIFS('23'!$AG$25:$AG$30,$AK5,'23'!$AF$25:$AF$30,1))</f>
        <v/>
      </c>
      <c r="BS5" s="99" t="str">
        <f>IF(COUNTIFS('24'!$AG$25:$AG$30,$AK5,'24'!$AF$25:$AF$30,1)=0,"",SUMIFS('24'!$AC$25:$AC$30,'24'!$AG$25:$AG$30,$AK5,'24'!$AF$25:$AF$30,1)/COUNTIFS('24'!$AG$25:$AG$30,$AK5,'24'!$AF$25:$AF$30,1))</f>
        <v/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272</v>
      </c>
      <c r="CB5" s="99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66</v>
      </c>
      <c r="D6" s="193">
        <f t="shared" ref="D6:D18" si="9">IF(C6="","",C6/$C$19)</f>
        <v>0.6346153846</v>
      </c>
      <c r="E6" s="193">
        <f t="shared" ref="E6:E18" si="10">IF(D6="","",SUM($D$6:D6))</f>
        <v>0.6346153846</v>
      </c>
      <c r="X6" s="99" t="s">
        <v>23</v>
      </c>
      <c r="Y6" s="99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66</v>
      </c>
      <c r="Z6" s="99">
        <f t="shared" si="1"/>
        <v>66.00012</v>
      </c>
      <c r="AA6" s="99" t="s">
        <v>273</v>
      </c>
      <c r="AB6" s="99" t="s">
        <v>270</v>
      </c>
      <c r="AC6" s="99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273</v>
      </c>
      <c r="AF6" s="99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73</v>
      </c>
      <c r="AI6" s="99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273</v>
      </c>
      <c r="AL6" s="99" t="s">
        <v>270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IF(COUNTIFS('8'!$AG$25:$AG$30,$AK6,'8'!$AF$25:$AF$30,1)=0,"",SUMIFS('8'!$AC$25:$AC$30,'8'!$AG$25:$AG$30,$AK6,'8'!$AF$25:$AF$30,1)/COUNTIFS('8'!$AG$25:$AG$30,$AK6,'8'!$AF$25:$AF$30,1))</f>
        <v/>
      </c>
      <c r="BD6" s="99" t="str">
        <f>IF(COUNTIFS('9'!$AG$25:$AG$30,$AK6,'9'!$AF$25:$AF$30,1)=0,"",SUMIFS('9'!$AC$25:$AC$30,'9'!$AG$25:$AG$30,$AK6,'9'!$AF$25:$AF$30,1)/COUNTIFS('9'!$AG$25:$AG$30,$AK6,'9'!$AF$25:$AF$30,1))</f>
        <v/>
      </c>
      <c r="BE6" s="99" t="str">
        <f>IF(COUNTIFS('10'!$AG$25:$AG$30,$AK6,'10'!$AF$25:$AF$30,1)=0,"",SUMIFS('10'!$AC$25:$AC$30,'10'!$AG$25:$AG$30,$AK6,'10'!$AF$25:$AF$30,1)/COUNTIFS('10'!$AG$25:$AG$30,$AK6,'10'!$AF$25:$AF$30,1))</f>
        <v/>
      </c>
      <c r="BF6" s="99" t="str">
        <f>IF(COUNTIFS('11'!$AG$25:$AG$30,$AK6,'11'!$AF$25:$AF$30,1)=0,"",SUMIFS('11'!$AC$25:$AC$30,'11'!$AG$25:$AG$30,$AK6,'11'!$AF$25:$AF$30,1)/COUNTIFS('11'!$AG$25:$AG$30,$AK6,'11'!$AF$25:$AF$30,1))</f>
        <v/>
      </c>
      <c r="BG6" s="99" t="str">
        <f>IF(COUNTIFS('12'!$AG$25:$AG$30,$AK6,'12'!$AF$25:$AF$30,1)=0,"",SUMIFS('12'!$AC$25:$AC$30,'12'!$AG$25:$AG$30,$AK6,'12'!$AF$25:$AF$30,1)/COUNTIFS('12'!$AG$25:$AG$30,$AK6,'12'!$AF$25:$AF$30,1))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IF(COUNTIFS('15'!$AG$25:$AG$30,$AK6,'15'!$AF$25:$AF$30,1)=0,"",SUMIFS('15'!$AC$25:$AC$30,'15'!$AG$25:$AG$30,$AK6,'15'!$AF$25:$AF$30,1)/COUNTIFS('15'!$AG$25:$AG$30,$AK6,'15'!$AF$25:$AF$30,1))</f>
        <v/>
      </c>
      <c r="BK6" s="99" t="str">
        <f>IF(COUNTIFS('16'!$AG$25:$AG$30,$AK6,'16'!$AF$25:$AF$30,1)=0,"",SUMIFS('16'!$AC$25:$AC$30,'16'!$AG$25:$AG$30,$AK6,'16'!$AF$25:$AF$30,1)/COUNTIFS('16'!$AG$25:$AG$30,$AK6,'16'!$AF$25:$AF$30,1))</f>
        <v/>
      </c>
      <c r="BL6" s="99" t="str">
        <f>IF(COUNTIFS('17'!$AG$25:$AG$30,$AK6,'17'!$AF$25:$AF$30,1)=0,"",SUMIFS('17'!$AC$25:$AC$30,'17'!$AG$25:$AG$30,$AK6,'17'!$AF$25:$AF$30,1)/COUNTIFS('17'!$AG$25:$AG$30,$AK6,'17'!$AF$25:$AF$30,1))</f>
        <v/>
      </c>
      <c r="BM6" s="99" t="str">
        <f>IF(COUNTIFS('18'!$AG$25:$AG$30,$AK6,'18'!$AF$25:$AF$30,1)=0,"",SUMIFS('18'!$AC$25:$AC$30,'18'!$AG$25:$AG$30,$AK6,'18'!$AF$25:$AF$30,1)/COUNTIFS('18'!$AG$25:$AG$30,$AK6,'18'!$AF$25:$AF$30,1))</f>
        <v/>
      </c>
      <c r="BN6" s="99" t="str">
        <f>IF(COUNTIFS('19'!$AG$25:$AG$30,$AK6,'19'!$AF$25:$AF$30,1)=0,"",SUMIFS('19'!$AC$25:$AC$30,'19'!$AG$25:$AG$30,$AK6,'19'!$AF$25:$AF$30,1)/COUNTIFS('19'!$AG$25:$AG$30,$AK6,'19'!$AF$25:$AF$30,1))</f>
        <v/>
      </c>
      <c r="BO6" s="99" t="str">
        <f>IF(COUNTIFS('20'!$AG$25:$AG$30,$AK6,'20'!$AF$25:$AF$30,1)=0,"",SUMIFS('20'!$AC$25:$AC$30,'20'!$AG$25:$AG$30,$AK6,'20'!$AF$25:$AF$30,1)/COUNTIFS('20'!$AG$25:$AG$30,$AK6,'20'!$AF$25:$AF$30,1))</f>
        <v/>
      </c>
      <c r="BP6" s="99" t="str">
        <f>IF(COUNTIFS('21'!$AG$25:$AG$30,$AK6,'21'!$AF$25:$AF$30,1)=0,"",SUMIFS('21'!$AC$25:$AC$30,'21'!$AG$25:$AG$30,$AK6,'21'!$AF$25:$AF$30,1)/COUNTIFS('21'!$AG$25:$AG$30,$AK6,'21'!$AF$25:$AF$30,1))</f>
        <v/>
      </c>
      <c r="BQ6" s="99" t="str">
        <f>IF(COUNTIFS('22'!$AG$25:$AG$30,$AK6,'22'!$AF$25:$AF$30,1)=0,"",SUMIFS('22'!$AC$25:$AC$30,'22'!$AG$25:$AG$30,$AK6,'22'!$AF$25:$AF$30,1)/COUNTIFS('22'!$AG$25:$AG$30,$AK6,'22'!$AF$25:$AF$30,1))</f>
        <v/>
      </c>
      <c r="BR6" s="99" t="str">
        <f>IF(COUNTIFS('23'!$AG$25:$AG$30,$AK6,'23'!$AF$25:$AF$30,1)=0,"",SUMIFS('23'!$AC$25:$AC$30,'23'!$AG$25:$AG$30,$AK6,'23'!$AF$25:$AF$30,1)/COUNTIFS('23'!$AG$25:$AG$30,$AK6,'23'!$AF$25:$AF$30,1))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274</v>
      </c>
      <c r="CB6" s="99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15</v>
      </c>
      <c r="D7" s="193">
        <f t="shared" si="9"/>
        <v>0.1442307692</v>
      </c>
      <c r="E7" s="193">
        <f t="shared" si="10"/>
        <v>0.7788461538</v>
      </c>
      <c r="X7" s="99" t="s">
        <v>37</v>
      </c>
      <c r="Y7" s="99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99">
        <f t="shared" si="1"/>
        <v>4.00011</v>
      </c>
      <c r="AA7" s="99" t="s">
        <v>34</v>
      </c>
      <c r="AB7" s="99" t="s">
        <v>270</v>
      </c>
      <c r="AC7" s="99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99">
        <f t="shared" si="2"/>
        <v>6.00009</v>
      </c>
      <c r="AE7" s="99" t="s">
        <v>34</v>
      </c>
      <c r="AF7" s="99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76</v>
      </c>
      <c r="AG7" s="99">
        <f t="shared" si="3"/>
        <v>76.00003</v>
      </c>
      <c r="AH7" s="99" t="s">
        <v>40</v>
      </c>
      <c r="AI7" s="99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99">
        <f t="shared" si="4"/>
        <v>34.00004</v>
      </c>
      <c r="AK7" s="99" t="s">
        <v>34</v>
      </c>
      <c r="AL7" s="99" t="s">
        <v>270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9">
        <f t="shared" si="5"/>
        <v>90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 t="str">
        <f>IF(COUNTIFS('4'!$AG$86:$AG$91,$AK7,'4'!$AF$86:$AF$91,1)=0,"",SUMIFS('4'!$AC$86:$AC$91,'4'!$AG$86:$AG$91,$AK7,'4'!$AF$86:$AF$91,1)/COUNTIFS('4'!$AG$86:$AG$91,$AK7,'4'!$AF$86:$AF$91,1))</f>
        <v/>
      </c>
      <c r="AZ7" s="99" t="str">
        <f>IF(COUNTIFS('5'!$AG$27:$AG$32,$AK7,'5'!$AF$27:$AF$32,1)=0,"",SUMIFS('5'!$AC$27:$AC$32,'5'!$AG$27:$AG$32,$AK7,'5'!$AF$27:$AF$32,1)/COUNTIFS('5'!$AG$27:$AG$32,$AK7,'5'!$AF$27:$AF$32,1))</f>
        <v/>
      </c>
      <c r="BA7" s="99" t="str">
        <f>IF(COUNTIFS('6'!$AG$31:$AG$36,$AK7,'6'!$AF$31:$AF$36,1)=0,"",SUMIFS('6'!$AC$31:$AC$36,'6'!$AG$31:$AG$36,$AK7,'6'!$AF$31:$AF$36,1)/COUNTIFS('6'!$AG$31:$AG$36,$AK7,'6'!$AF$31:$AF$36,1))</f>
        <v/>
      </c>
      <c r="BB7" s="99" t="str">
        <f>IF(COUNTIFS('7'!$AG$30:$AG$35,$AK7,'7'!$AF$30:$AF$35,1)=0,"",SUMIFS('7'!$AC$30:$AC$35,'7'!$AG$30:$AG$35,$AK7,'7'!$AF$30:$AF$35,1)/COUNTIFS('7'!$AG$30:$AG$35,$AK7,'7'!$AF$30:$AF$35,1))</f>
        <v/>
      </c>
      <c r="BC7" s="99" t="str">
        <f>IF(COUNTIFS('8'!$AG$25:$AG$30,$AK7,'8'!$AF$25:$AF$30,1)=0,"",SUMIFS('8'!$AC$25:$AC$30,'8'!$AG$25:$AG$30,$AK7,'8'!$AF$25:$AF$30,1)/COUNTIFS('8'!$AG$25:$AG$30,$AK7,'8'!$AF$25:$AF$30,1))</f>
        <v/>
      </c>
      <c r="BD7" s="99" t="str">
        <f>IF(COUNTIFS('9'!$AG$25:$AG$30,$AK7,'9'!$AF$25:$AF$30,1)=0,"",SUMIFS('9'!$AC$25:$AC$30,'9'!$AG$25:$AG$30,$AK7,'9'!$AF$25:$AF$30,1)/COUNTIFS('9'!$AG$25:$AG$30,$AK7,'9'!$AF$25:$AF$30,1))</f>
        <v/>
      </c>
      <c r="BE7" s="99" t="str">
        <f>IF(COUNTIFS('10'!$AG$25:$AG$30,$AK7,'10'!$AF$25:$AF$30,1)=0,"",SUMIFS('10'!$AC$25:$AC$30,'10'!$AG$25:$AG$30,$AK7,'10'!$AF$25:$AF$30,1)/COUNTIFS('10'!$AG$25:$AG$30,$AK7,'10'!$AF$25:$AF$30,1))</f>
        <v/>
      </c>
      <c r="BF7" s="99" t="str">
        <f>IF(COUNTIFS('11'!$AG$25:$AG$30,$AK7,'11'!$AF$25:$AF$30,1)=0,"",SUMIFS('11'!$AC$25:$AC$30,'11'!$AG$25:$AG$30,$AK7,'11'!$AF$25:$AF$30,1)/COUNTIFS('11'!$AG$25:$AG$30,$AK7,'11'!$AF$25:$AF$30,1))</f>
        <v/>
      </c>
      <c r="BG7" s="99" t="str">
        <f>IF(COUNTIFS('12'!$AG$25:$AG$30,$AK7,'12'!$AF$25:$AF$30,1)=0,"",SUMIFS('12'!$AC$25:$AC$30,'12'!$AG$25:$AG$30,$AK7,'12'!$AF$25:$AF$30,1)/COUNTIFS('12'!$AG$25:$AG$30,$AK7,'12'!$AF$25:$AF$30,1))</f>
        <v/>
      </c>
      <c r="BH7" s="99" t="str">
        <f>IF(COUNTIFS('13'!$AG$25:$AG$30,$AK7,'13'!$AF$25:$AF$30,1)=0,"",SUMIFS('13'!$AC$25:$AC$30,'13'!$AG$25:$AG$30,$AK7,'13'!$AF$25:$AF$30,1)/COUNTIFS('13'!$AG$25:$AG$30,$AK7,'13'!$AF$25:$AF$30,1))</f>
        <v/>
      </c>
      <c r="BI7" s="99" t="str">
        <f>IF(COUNTIFS('14'!$AG$25:$AG$30,$AK7,'14'!$AF$25:$AF$30,1)=0,"",SUMIFS('14'!$AC$25:$AC$30,'14'!$AG$25:$AG$30,$AK7,'14'!$AF$25:$AF$30,1)/COUNTIFS('14'!$AG$25:$AG$30,$AK7,'14'!$AF$25:$AF$30,1))</f>
        <v/>
      </c>
      <c r="BJ7" s="99" t="str">
        <f>IF(COUNTIFS('15'!$AG$25:$AG$30,$AK7,'15'!$AF$25:$AF$30,1)=0,"",SUMIFS('15'!$AC$25:$AC$30,'15'!$AG$25:$AG$30,$AK7,'15'!$AF$25:$AF$30,1)/COUNTIFS('15'!$AG$25:$AG$30,$AK7,'15'!$AF$25:$AF$30,1))</f>
        <v/>
      </c>
      <c r="BK7" s="99" t="str">
        <f>IF(COUNTIFS('16'!$AG$25:$AG$30,$AK7,'16'!$AF$25:$AF$30,1)=0,"",SUMIFS('16'!$AC$25:$AC$30,'16'!$AG$25:$AG$30,$AK7,'16'!$AF$25:$AF$30,1)/COUNTIFS('16'!$AG$25:$AG$30,$AK7,'16'!$AF$25:$AF$30,1))</f>
        <v/>
      </c>
      <c r="BL7" s="99" t="str">
        <f>IF(COUNTIFS('17'!$AG$25:$AG$30,$AK7,'17'!$AF$25:$AF$30,1)=0,"",SUMIFS('17'!$AC$25:$AC$30,'17'!$AG$25:$AG$30,$AK7,'17'!$AF$25:$AF$30,1)/COUNTIFS('17'!$AG$25:$AG$30,$AK7,'17'!$AF$25:$AF$30,1))</f>
        <v/>
      </c>
      <c r="BM7" s="99" t="str">
        <f>IF(COUNTIFS('18'!$AG$25:$AG$30,$AK7,'18'!$AF$25:$AF$30,1)=0,"",SUMIFS('18'!$AC$25:$AC$30,'18'!$AG$25:$AG$30,$AK7,'18'!$AF$25:$AF$30,1)/COUNTIFS('18'!$AG$25:$AG$30,$AK7,'18'!$AF$25:$AF$30,1))</f>
        <v/>
      </c>
      <c r="BN7" s="99" t="str">
        <f>IF(COUNTIFS('19'!$AG$25:$AG$30,$AK7,'19'!$AF$25:$AF$30,1)=0,"",SUMIFS('19'!$AC$25:$AC$30,'19'!$AG$25:$AG$30,$AK7,'19'!$AF$25:$AF$30,1)/COUNTIFS('19'!$AG$25:$AG$30,$AK7,'19'!$AF$25:$AF$30,1))</f>
        <v/>
      </c>
      <c r="BO7" s="99" t="str">
        <f>IF(COUNTIFS('20'!$AG$25:$AG$30,$AK7,'20'!$AF$25:$AF$30,1)=0,"",SUMIFS('20'!$AC$25:$AC$30,'20'!$AG$25:$AG$30,$AK7,'20'!$AF$25:$AF$30,1)/COUNTIFS('20'!$AG$25:$AG$30,$AK7,'20'!$AF$25:$AF$30,1))</f>
        <v/>
      </c>
      <c r="BP7" s="99" t="str">
        <f>IF(COUNTIFS('21'!$AG$25:$AG$30,$AK7,'21'!$AF$25:$AF$30,1)=0,"",SUMIFS('21'!$AC$25:$AC$30,'21'!$AG$25:$AG$30,$AK7,'21'!$AF$25:$AF$30,1)/COUNTIFS('21'!$AG$25:$AG$30,$AK7,'21'!$AF$25:$AF$30,1))</f>
        <v/>
      </c>
      <c r="BQ7" s="99" t="str">
        <f>IF(COUNTIFS('22'!$AG$25:$AG$30,$AK7,'22'!$AF$25:$AF$30,1)=0,"",SUMIFS('22'!$AC$25:$AC$30,'22'!$AG$25:$AG$30,$AK7,'22'!$AF$25:$AF$30,1)/COUNTIFS('22'!$AG$25:$AG$30,$AK7,'22'!$AF$25:$AF$30,1))</f>
        <v/>
      </c>
      <c r="BR7" s="99" t="str">
        <f>IF(COUNTIFS('23'!$AG$25:$AG$30,$AK7,'23'!$AF$25:$AF$30,1)=0,"",SUMIFS('23'!$AC$25:$AC$30,'23'!$AG$25:$AG$30,$AK7,'23'!$AF$25:$AF$30,1)/COUNTIFS('23'!$AG$25:$AG$30,$AK7,'23'!$AF$25:$AF$30,1))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275</v>
      </c>
      <c r="CB7" s="99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8</v>
      </c>
      <c r="D8" s="193">
        <f t="shared" si="9"/>
        <v>0.07692307692</v>
      </c>
      <c r="E8" s="193">
        <f t="shared" si="10"/>
        <v>0.8557692308</v>
      </c>
      <c r="X8" s="99" t="s">
        <v>87</v>
      </c>
      <c r="Y8" s="99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9">
        <f t="shared" si="1"/>
        <v>3.0001</v>
      </c>
      <c r="AA8" s="99" t="s">
        <v>276</v>
      </c>
      <c r="AB8" s="99" t="s">
        <v>270</v>
      </c>
      <c r="AC8" s="99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276</v>
      </c>
      <c r="AF8" s="99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77</v>
      </c>
      <c r="AI8" s="99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276</v>
      </c>
      <c r="AL8" s="99" t="s">
        <v>270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IF(COUNTIFS('8'!$AG$25:$AG$30,$AK8,'8'!$AF$25:$AF$30,1)=0,"",SUMIFS('8'!$AC$25:$AC$30,'8'!$AG$25:$AG$30,$AK8,'8'!$AF$25:$AF$30,1)/COUNTIFS('8'!$AG$25:$AG$30,$AK8,'8'!$AF$25:$AF$30,1))</f>
        <v/>
      </c>
      <c r="BD8" s="99" t="str">
        <f>IF(COUNTIFS('9'!$AG$25:$AG$30,$AK8,'9'!$AF$25:$AF$30,1)=0,"",SUMIFS('9'!$AC$25:$AC$30,'9'!$AG$25:$AG$30,$AK8,'9'!$AF$25:$AF$30,1)/COUNTIFS('9'!$AG$25:$AG$30,$AK8,'9'!$AF$25:$AF$30,1))</f>
        <v/>
      </c>
      <c r="BE8" s="99" t="str">
        <f>IF(COUNTIFS('10'!$AG$25:$AG$30,$AK8,'10'!$AF$25:$AF$30,1)=0,"",SUMIFS('10'!$AC$25:$AC$30,'10'!$AG$25:$AG$30,$AK8,'10'!$AF$25:$AF$30,1)/COUNTIFS('10'!$AG$25:$AG$30,$AK8,'10'!$AF$25:$AF$30,1))</f>
        <v/>
      </c>
      <c r="BF8" s="99" t="str">
        <f>IF(COUNTIFS('11'!$AG$25:$AG$30,$AK8,'11'!$AF$25:$AF$30,1)=0,"",SUMIFS('11'!$AC$25:$AC$30,'11'!$AG$25:$AG$30,$AK8,'11'!$AF$25:$AF$30,1)/COUNTIFS('11'!$AG$25:$AG$30,$AK8,'11'!$AF$25:$AF$30,1))</f>
        <v/>
      </c>
      <c r="BG8" s="99" t="str">
        <f>IF(COUNTIFS('12'!$AG$25:$AG$30,$AK8,'12'!$AF$25:$AF$30,1)=0,"",SUMIFS('12'!$AC$25:$AC$30,'12'!$AG$25:$AG$30,$AK8,'12'!$AF$25:$AF$30,1)/COUNTIFS('12'!$AG$25:$AG$30,$AK8,'12'!$AF$25:$AF$30,1))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IF(COUNTIFS('15'!$AG$25:$AG$30,$AK8,'15'!$AF$25:$AF$30,1)=0,"",SUMIFS('15'!$AC$25:$AC$30,'15'!$AG$25:$AG$30,$AK8,'15'!$AF$25:$AF$30,1)/COUNTIFS('15'!$AG$25:$AG$30,$AK8,'15'!$AF$25:$AF$30,1))</f>
        <v/>
      </c>
      <c r="BK8" s="99" t="str">
        <f>IF(COUNTIFS('16'!$AG$25:$AG$30,$AK8,'16'!$AF$25:$AF$30,1)=0,"",SUMIFS('16'!$AC$25:$AC$30,'16'!$AG$25:$AG$30,$AK8,'16'!$AF$25:$AF$30,1)/COUNTIFS('16'!$AG$25:$AG$30,$AK8,'16'!$AF$25:$AF$30,1))</f>
        <v/>
      </c>
      <c r="BL8" s="99" t="str">
        <f>IF(COUNTIFS('17'!$AG$25:$AG$30,$AK8,'17'!$AF$25:$AF$30,1)=0,"",SUMIFS('17'!$AC$25:$AC$30,'17'!$AG$25:$AG$30,$AK8,'17'!$AF$25:$AF$30,1)/COUNTIFS('17'!$AG$25:$AG$30,$AK8,'17'!$AF$25:$AF$30,1))</f>
        <v/>
      </c>
      <c r="BM8" s="99" t="str">
        <f>IF(COUNTIFS('18'!$AG$25:$AG$30,$AK8,'18'!$AF$25:$AF$30,1)=0,"",SUMIFS('18'!$AC$25:$AC$30,'18'!$AG$25:$AG$30,$AK8,'18'!$AF$25:$AF$30,1)/COUNTIFS('18'!$AG$25:$AG$30,$AK8,'18'!$AF$25:$AF$30,1))</f>
        <v/>
      </c>
      <c r="BN8" s="99" t="str">
        <f>IF(COUNTIFS('19'!$AG$25:$AG$30,$AK8,'19'!$AF$25:$AF$30,1)=0,"",SUMIFS('19'!$AC$25:$AC$30,'19'!$AG$25:$AG$30,$AK8,'19'!$AF$25:$AF$30,1)/COUNTIFS('19'!$AG$25:$AG$30,$AK8,'19'!$AF$25:$AF$30,1))</f>
        <v/>
      </c>
      <c r="BO8" s="99" t="str">
        <f>IF(COUNTIFS('20'!$AG$25:$AG$30,$AK8,'20'!$AF$25:$AF$30,1)=0,"",SUMIFS('20'!$AC$25:$AC$30,'20'!$AG$25:$AG$30,$AK8,'20'!$AF$25:$AF$30,1)/COUNTIFS('20'!$AG$25:$AG$30,$AK8,'20'!$AF$25:$AF$30,1))</f>
        <v/>
      </c>
      <c r="BP8" s="99" t="str">
        <f>IF(COUNTIFS('21'!$AG$25:$AG$30,$AK8,'21'!$AF$25:$AF$30,1)=0,"",SUMIFS('21'!$AC$25:$AC$30,'21'!$AG$25:$AG$30,$AK8,'21'!$AF$25:$AF$30,1)/COUNTIFS('21'!$AG$25:$AG$30,$AK8,'21'!$AF$25:$AF$30,1))</f>
        <v/>
      </c>
      <c r="BQ8" s="99" t="str">
        <f>IF(COUNTIFS('22'!$AG$25:$AG$30,$AK8,'22'!$AF$25:$AF$30,1)=0,"",SUMIFS('22'!$AC$25:$AC$30,'22'!$AG$25:$AG$30,$AK8,'22'!$AF$25:$AF$30,1)/COUNTIFS('22'!$AG$25:$AG$30,$AK8,'22'!$AF$25:$AF$30,1))</f>
        <v/>
      </c>
      <c r="BR8" s="99" t="str">
        <f>IF(COUNTIFS('23'!$AG$25:$AG$30,$AK8,'23'!$AF$25:$AF$30,1)=0,"",SUMIFS('23'!$AC$25:$AC$30,'23'!$AG$25:$AG$30,$AK8,'23'!$AF$25:$AF$30,1)/COUNTIFS('23'!$AG$25:$AG$30,$AK8,'23'!$AF$25:$AF$30,1))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284</v>
      </c>
      <c r="CB8" s="99">
        <f t="shared" si="6"/>
        <v>0</v>
      </c>
    </row>
    <row r="9">
      <c r="A9" s="192">
        <f>IF(LARGE($Y$5:$Y$17,4)=0,"",4)</f>
        <v>4</v>
      </c>
      <c r="B9" s="192" t="str">
        <f t="shared" si="7"/>
        <v>Photofox</v>
      </c>
      <c r="C9" s="192">
        <f t="shared" si="8"/>
        <v>5</v>
      </c>
      <c r="D9" s="193">
        <f t="shared" si="9"/>
        <v>0.04807692308</v>
      </c>
      <c r="E9" s="193">
        <f t="shared" si="10"/>
        <v>0.9038461538</v>
      </c>
      <c r="X9" s="99" t="s">
        <v>285</v>
      </c>
      <c r="Y9" s="99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9">
        <f t="shared" si="1"/>
        <v>0.00009</v>
      </c>
      <c r="AA9" s="99" t="s">
        <v>281</v>
      </c>
      <c r="AB9" s="99" t="s">
        <v>270</v>
      </c>
      <c r="AC9" s="99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281</v>
      </c>
      <c r="AF9" s="99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283</v>
      </c>
      <c r="AI9" s="99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281</v>
      </c>
      <c r="AL9" s="99" t="s">
        <v>270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IF(COUNTIFS('8'!$AG$25:$AG$30,$AK9,'8'!$AF$25:$AF$30,1)=0,"",SUMIFS('8'!$AC$25:$AC$30,'8'!$AG$25:$AG$30,$AK9,'8'!$AF$25:$AF$30,1)/COUNTIFS('8'!$AG$25:$AG$30,$AK9,'8'!$AF$25:$AF$30,1))</f>
        <v/>
      </c>
      <c r="BD9" s="99" t="str">
        <f>IF(COUNTIFS('9'!$AG$25:$AG$30,$AK9,'9'!$AF$25:$AF$30,1)=0,"",SUMIFS('9'!$AC$25:$AC$30,'9'!$AG$25:$AG$30,$AK9,'9'!$AF$25:$AF$30,1)/COUNTIFS('9'!$AG$25:$AG$30,$AK9,'9'!$AF$25:$AF$30,1))</f>
        <v/>
      </c>
      <c r="BE9" s="99" t="str">
        <f>IF(COUNTIFS('10'!$AG$25:$AG$30,$AK9,'10'!$AF$25:$AF$30,1)=0,"",SUMIFS('10'!$AC$25:$AC$30,'10'!$AG$25:$AG$30,$AK9,'10'!$AF$25:$AF$30,1)/COUNTIFS('10'!$AG$25:$AG$30,$AK9,'10'!$AF$25:$AF$30,1))</f>
        <v/>
      </c>
      <c r="BF9" s="99" t="str">
        <f>IF(COUNTIFS('11'!$AG$25:$AG$30,$AK9,'11'!$AF$25:$AF$30,1)=0,"",SUMIFS('11'!$AC$25:$AC$30,'11'!$AG$25:$AG$30,$AK9,'11'!$AF$25:$AF$30,1)/COUNTIFS('11'!$AG$25:$AG$30,$AK9,'11'!$AF$25:$AF$30,1))</f>
        <v/>
      </c>
      <c r="BG9" s="99" t="str">
        <f>IF(COUNTIFS('12'!$AG$25:$AG$30,$AK9,'12'!$AF$25:$AF$30,1)=0,"",SUMIFS('12'!$AC$25:$AC$30,'12'!$AG$25:$AG$30,$AK9,'12'!$AF$25:$AF$30,1)/COUNTIFS('12'!$AG$25:$AG$30,$AK9,'12'!$AF$25:$AF$30,1))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IF(COUNTIFS('15'!$AG$25:$AG$30,$AK9,'15'!$AF$25:$AF$30,1)=0,"",SUMIFS('15'!$AC$25:$AC$30,'15'!$AG$25:$AG$30,$AK9,'15'!$AF$25:$AF$30,1)/COUNTIFS('15'!$AG$25:$AG$30,$AK9,'15'!$AF$25:$AF$30,1))</f>
        <v/>
      </c>
      <c r="BK9" s="99" t="str">
        <f>IF(COUNTIFS('16'!$AG$25:$AG$30,$AK9,'16'!$AF$25:$AF$30,1)=0,"",SUMIFS('16'!$AC$25:$AC$30,'16'!$AG$25:$AG$30,$AK9,'16'!$AF$25:$AF$30,1)/COUNTIFS('16'!$AG$25:$AG$30,$AK9,'16'!$AF$25:$AF$30,1))</f>
        <v/>
      </c>
      <c r="BL9" s="99" t="str">
        <f>IF(COUNTIFS('17'!$AG$25:$AG$30,$AK9,'17'!$AF$25:$AF$30,1)=0,"",SUMIFS('17'!$AC$25:$AC$30,'17'!$AG$25:$AG$30,$AK9,'17'!$AF$25:$AF$30,1)/COUNTIFS('17'!$AG$25:$AG$30,$AK9,'17'!$AF$25:$AF$30,1))</f>
        <v/>
      </c>
      <c r="BM9" s="99" t="str">
        <f>IF(COUNTIFS('18'!$AG$25:$AG$30,$AK9,'18'!$AF$25:$AF$30,1)=0,"",SUMIFS('18'!$AC$25:$AC$30,'18'!$AG$25:$AG$30,$AK9,'18'!$AF$25:$AF$30,1)/COUNTIFS('18'!$AG$25:$AG$30,$AK9,'18'!$AF$25:$AF$30,1))</f>
        <v/>
      </c>
      <c r="BN9" s="99" t="str">
        <f>IF(COUNTIFS('19'!$AG$25:$AG$30,$AK9,'19'!$AF$25:$AF$30,1)=0,"",SUMIFS('19'!$AC$25:$AC$30,'19'!$AG$25:$AG$30,$AK9,'19'!$AF$25:$AF$30,1)/COUNTIFS('19'!$AG$25:$AG$30,$AK9,'19'!$AF$25:$AF$30,1))</f>
        <v/>
      </c>
      <c r="BO9" s="99" t="str">
        <f>IF(COUNTIFS('20'!$AG$25:$AG$30,$AK9,'20'!$AF$25:$AF$30,1)=0,"",SUMIFS('20'!$AC$25:$AC$30,'20'!$AG$25:$AG$30,$AK9,'20'!$AF$25:$AF$30,1)/COUNTIFS('20'!$AG$25:$AG$30,$AK9,'20'!$AF$25:$AF$30,1))</f>
        <v/>
      </c>
      <c r="BP9" s="99" t="str">
        <f>IF(COUNTIFS('21'!$AG$25:$AG$30,$AK9,'21'!$AF$25:$AF$30,1)=0,"",SUMIFS('21'!$AC$25:$AC$30,'21'!$AG$25:$AG$30,$AK9,'21'!$AF$25:$AF$30,1)/COUNTIFS('21'!$AG$25:$AG$30,$AK9,'21'!$AF$25:$AF$30,1))</f>
        <v/>
      </c>
      <c r="BQ9" s="99" t="str">
        <f>IF(COUNTIFS('22'!$AG$25:$AG$30,$AK9,'22'!$AF$25:$AF$30,1)=0,"",SUMIFS('22'!$AC$25:$AC$30,'22'!$AG$25:$AG$30,$AK9,'22'!$AF$25:$AF$30,1)/COUNTIFS('22'!$AG$25:$AG$30,$AK9,'22'!$AF$25:$AF$30,1))</f>
        <v/>
      </c>
      <c r="BR9" s="99" t="str">
        <f>IF(COUNTIFS('23'!$AG$25:$AG$30,$AK9,'23'!$AF$25:$AF$30,1)=0,"",SUMIFS('23'!$AC$25:$AC$30,'23'!$AG$25:$AG$30,$AK9,'23'!$AF$25:$AF$30,1)/COUNTIFS('23'!$AG$25:$AG$30,$AK9,'23'!$AF$25:$AF$30,1))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Single</v>
      </c>
      <c r="C10" s="192">
        <f t="shared" si="8"/>
        <v>4</v>
      </c>
      <c r="D10" s="193">
        <f t="shared" si="9"/>
        <v>0.03846153846</v>
      </c>
      <c r="E10" s="193">
        <f t="shared" si="10"/>
        <v>0.9423076923</v>
      </c>
      <c r="X10" s="99" t="s">
        <v>44</v>
      </c>
      <c r="Y10" s="99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5</v>
      </c>
      <c r="Z10" s="99">
        <f t="shared" si="1"/>
        <v>5.00008</v>
      </c>
      <c r="AA10" s="99" t="s">
        <v>271</v>
      </c>
      <c r="AB10" s="99" t="s">
        <v>282</v>
      </c>
      <c r="AC10" s="99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54</v>
      </c>
      <c r="AI10" s="99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28</v>
      </c>
      <c r="AJ10" s="99">
        <f t="shared" si="4"/>
        <v>28.00001</v>
      </c>
      <c r="AK10" s="99" t="s">
        <v>271</v>
      </c>
      <c r="AL10" s="99" t="s">
        <v>282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IF(COUNTIFS('8'!$AG$25:$AG$30,$AK10,'8'!$AF$25:$AF$30,1)=0,"",SUMIFS('8'!$AC$25:$AC$30,'8'!$AG$25:$AG$30,$AK10,'8'!$AF$25:$AF$30,1)/COUNTIFS('8'!$AG$25:$AG$30,$AK10,'8'!$AF$25:$AF$30,1))</f>
        <v/>
      </c>
      <c r="BD10" s="99" t="str">
        <f>IF(COUNTIFS('9'!$AG$25:$AG$30,$AK10,'9'!$AF$25:$AF$30,1)=0,"",SUMIFS('9'!$AC$25:$AC$30,'9'!$AG$25:$AG$30,$AK10,'9'!$AF$25:$AF$30,1)/COUNTIFS('9'!$AG$25:$AG$30,$AK10,'9'!$AF$25:$AF$30,1))</f>
        <v/>
      </c>
      <c r="BE10" s="99" t="str">
        <f>IF(COUNTIFS('10'!$AG$25:$AG$30,$AK10,'10'!$AF$25:$AF$30,1)=0,"",SUMIFS('10'!$AC$25:$AC$30,'10'!$AG$25:$AG$30,$AK10,'10'!$AF$25:$AF$30,1)/COUNTIFS('10'!$AG$25:$AG$30,$AK10,'10'!$AF$25:$AF$30,1))</f>
        <v/>
      </c>
      <c r="BF10" s="99" t="str">
        <f>IF(COUNTIFS('11'!$AG$25:$AG$30,$AK10,'11'!$AF$25:$AF$30,1)=0,"",SUMIFS('11'!$AC$25:$AC$30,'11'!$AG$25:$AG$30,$AK10,'11'!$AF$25:$AF$30,1)/COUNTIFS('11'!$AG$25:$AG$30,$AK10,'11'!$AF$25:$AF$30,1))</f>
        <v/>
      </c>
      <c r="BG10" s="99" t="str">
        <f>IF(COUNTIFS('12'!$AG$25:$AG$30,$AK10,'12'!$AF$25:$AF$30,1)=0,"",SUMIFS('12'!$AC$25:$AC$30,'12'!$AG$25:$AG$30,$AK10,'12'!$AF$25:$AF$30,1)/COUNTIFS('12'!$AG$25:$AG$30,$AK10,'12'!$AF$25:$AF$30,1))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IF(COUNTIFS('15'!$AG$25:$AG$30,$AK10,'15'!$AF$25:$AF$30,1)=0,"",SUMIFS('15'!$AC$25:$AC$30,'15'!$AG$25:$AG$30,$AK10,'15'!$AF$25:$AF$30,1)/COUNTIFS('15'!$AG$25:$AG$30,$AK10,'15'!$AF$25:$AF$30,1))</f>
        <v/>
      </c>
      <c r="BK10" s="99" t="str">
        <f>IF(COUNTIFS('16'!$AG$25:$AG$30,$AK10,'16'!$AF$25:$AF$30,1)=0,"",SUMIFS('16'!$AC$25:$AC$30,'16'!$AG$25:$AG$30,$AK10,'16'!$AF$25:$AF$30,1)/COUNTIFS('16'!$AG$25:$AG$30,$AK10,'16'!$AF$25:$AF$30,1))</f>
        <v/>
      </c>
      <c r="BL10" s="99" t="str">
        <f>IF(COUNTIFS('17'!$AG$25:$AG$30,$AK10,'17'!$AF$25:$AF$30,1)=0,"",SUMIFS('17'!$AC$25:$AC$30,'17'!$AG$25:$AG$30,$AK10,'17'!$AF$25:$AF$30,1)/COUNTIFS('17'!$AG$25:$AG$30,$AK10,'17'!$AF$25:$AF$30,1))</f>
        <v/>
      </c>
      <c r="BM10" s="99" t="str">
        <f>IF(COUNTIFS('18'!$AG$25:$AG$30,$AK10,'18'!$AF$25:$AF$30,1)=0,"",SUMIFS('18'!$AC$25:$AC$30,'18'!$AG$25:$AG$30,$AK10,'18'!$AF$25:$AF$30,1)/COUNTIFS('18'!$AG$25:$AG$30,$AK10,'18'!$AF$25:$AF$30,1))</f>
        <v/>
      </c>
      <c r="BN10" s="99" t="str">
        <f>IF(COUNTIFS('19'!$AG$25:$AG$30,$AK10,'19'!$AF$25:$AF$30,1)=0,"",SUMIFS('19'!$AC$25:$AC$30,'19'!$AG$25:$AG$30,$AK10,'19'!$AF$25:$AF$30,1)/COUNTIFS('19'!$AG$25:$AG$30,$AK10,'19'!$AF$25:$AF$30,1))</f>
        <v/>
      </c>
      <c r="BO10" s="99" t="str">
        <f>IF(COUNTIFS('20'!$AG$25:$AG$30,$AK10,'20'!$AF$25:$AF$30,1)=0,"",SUMIFS('20'!$AC$25:$AC$30,'20'!$AG$25:$AG$30,$AK10,'20'!$AF$25:$AF$30,1)/COUNTIFS('20'!$AG$25:$AG$30,$AK10,'20'!$AF$25:$AF$30,1))</f>
        <v/>
      </c>
      <c r="BP10" s="99" t="str">
        <f>IF(COUNTIFS('21'!$AG$25:$AG$30,$AK10,'21'!$AF$25:$AF$30,1)=0,"",SUMIFS('21'!$AC$25:$AC$30,'21'!$AG$25:$AG$30,$AK10,'21'!$AF$25:$AF$30,1)/COUNTIFS('21'!$AG$25:$AG$30,$AK10,'21'!$AF$25:$AF$30,1))</f>
        <v/>
      </c>
      <c r="BQ10" s="99" t="str">
        <f>IF(COUNTIFS('22'!$AG$25:$AG$30,$AK10,'22'!$AF$25:$AF$30,1)=0,"",SUMIFS('22'!$AC$25:$AC$30,'22'!$AG$25:$AG$30,$AK10,'22'!$AF$25:$AF$30,1)/COUNTIFS('22'!$AG$25:$AG$30,$AK10,'22'!$AF$25:$AF$30,1))</f>
        <v/>
      </c>
      <c r="BR10" s="99" t="str">
        <f>IF(COUNTIFS('23'!$AG$25:$AG$30,$AK10,'23'!$AF$25:$AF$30,1)=0,"",SUMIFS('23'!$AC$25:$AC$30,'23'!$AG$25:$AG$30,$AK10,'23'!$AF$25:$AF$30,1)/COUNTIFS('23'!$AG$25:$AG$30,$AK10,'23'!$AF$25:$AF$30,1))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3</v>
      </c>
      <c r="D11" s="193">
        <f t="shared" si="9"/>
        <v>0.02884615385</v>
      </c>
      <c r="E11" s="193">
        <f t="shared" si="10"/>
        <v>0.9711538462</v>
      </c>
      <c r="X11" s="99" t="s">
        <v>286</v>
      </c>
      <c r="Y11" s="99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9">
        <f t="shared" si="1"/>
        <v>0.00007</v>
      </c>
      <c r="AA11" s="99" t="s">
        <v>73</v>
      </c>
      <c r="AB11" s="99" t="s">
        <v>282</v>
      </c>
      <c r="AC11" s="99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73</v>
      </c>
      <c r="AL11" s="99" t="s">
        <v>282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IF(COUNTIFS('8'!$AG$25:$AG$30,$AK11,'8'!$AF$25:$AF$30,1)=0,"",SUMIFS('8'!$AC$25:$AC$30,'8'!$AG$25:$AG$30,$AK11,'8'!$AF$25:$AF$30,1)/COUNTIFS('8'!$AG$25:$AG$30,$AK11,'8'!$AF$25:$AF$30,1))</f>
        <v/>
      </c>
      <c r="BD11" s="99" t="str">
        <f>IF(COUNTIFS('9'!$AG$25:$AG$30,$AK11,'9'!$AF$25:$AF$30,1)=0,"",SUMIFS('9'!$AC$25:$AC$30,'9'!$AG$25:$AG$30,$AK11,'9'!$AF$25:$AF$30,1)/COUNTIFS('9'!$AG$25:$AG$30,$AK11,'9'!$AF$25:$AF$30,1))</f>
        <v/>
      </c>
      <c r="BE11" s="99" t="str">
        <f>IF(COUNTIFS('10'!$AG$25:$AG$30,$AK11,'10'!$AF$25:$AF$30,1)=0,"",SUMIFS('10'!$AC$25:$AC$30,'10'!$AG$25:$AG$30,$AK11,'10'!$AF$25:$AF$30,1)/COUNTIFS('10'!$AG$25:$AG$30,$AK11,'10'!$AF$25:$AF$30,1))</f>
        <v/>
      </c>
      <c r="BF11" s="99" t="str">
        <f>IF(COUNTIFS('11'!$AG$25:$AG$30,$AK11,'11'!$AF$25:$AF$30,1)=0,"",SUMIFS('11'!$AC$25:$AC$30,'11'!$AG$25:$AG$30,$AK11,'11'!$AF$25:$AF$30,1)/COUNTIFS('11'!$AG$25:$AG$30,$AK11,'11'!$AF$25:$AF$30,1))</f>
        <v/>
      </c>
      <c r="BG11" s="99" t="str">
        <f>IF(COUNTIFS('12'!$AG$25:$AG$30,$AK11,'12'!$AF$25:$AF$30,1)=0,"",SUMIFS('12'!$AC$25:$AC$30,'12'!$AG$25:$AG$30,$AK11,'12'!$AF$25:$AF$30,1)/COUNTIFS('12'!$AG$25:$AG$30,$AK11,'12'!$AF$25:$AF$30,1))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IF(COUNTIFS('15'!$AG$25:$AG$30,$AK11,'15'!$AF$25:$AF$30,1)=0,"",SUMIFS('15'!$AC$25:$AC$30,'15'!$AG$25:$AG$30,$AK11,'15'!$AF$25:$AF$30,1)/COUNTIFS('15'!$AG$25:$AG$30,$AK11,'15'!$AF$25:$AF$30,1))</f>
        <v/>
      </c>
      <c r="BK11" s="99" t="str">
        <f>IF(COUNTIFS('16'!$AG$25:$AG$30,$AK11,'16'!$AF$25:$AF$30,1)=0,"",SUMIFS('16'!$AC$25:$AC$30,'16'!$AG$25:$AG$30,$AK11,'16'!$AF$25:$AF$30,1)/COUNTIFS('16'!$AG$25:$AG$30,$AK11,'16'!$AF$25:$AF$30,1))</f>
        <v/>
      </c>
      <c r="BL11" s="99" t="str">
        <f>IF(COUNTIFS('17'!$AG$25:$AG$30,$AK11,'17'!$AF$25:$AF$30,1)=0,"",SUMIFS('17'!$AC$25:$AC$30,'17'!$AG$25:$AG$30,$AK11,'17'!$AF$25:$AF$30,1)/COUNTIFS('17'!$AG$25:$AG$30,$AK11,'17'!$AF$25:$AF$30,1))</f>
        <v/>
      </c>
      <c r="BM11" s="99" t="str">
        <f>IF(COUNTIFS('18'!$AG$25:$AG$30,$AK11,'18'!$AF$25:$AF$30,1)=0,"",SUMIFS('18'!$AC$25:$AC$30,'18'!$AG$25:$AG$30,$AK11,'18'!$AF$25:$AF$30,1)/COUNTIFS('18'!$AG$25:$AG$30,$AK11,'18'!$AF$25:$AF$30,1))</f>
        <v/>
      </c>
      <c r="BN11" s="99" t="str">
        <f>IF(COUNTIFS('19'!$AG$25:$AG$30,$AK11,'19'!$AF$25:$AF$30,1)=0,"",SUMIFS('19'!$AC$25:$AC$30,'19'!$AG$25:$AG$30,$AK11,'19'!$AF$25:$AF$30,1)/COUNTIFS('19'!$AG$25:$AG$30,$AK11,'19'!$AF$25:$AF$30,1))</f>
        <v/>
      </c>
      <c r="BO11" s="99" t="str">
        <f>IF(COUNTIFS('20'!$AG$25:$AG$30,$AK11,'20'!$AF$25:$AF$30,1)=0,"",SUMIFS('20'!$AC$25:$AC$30,'20'!$AG$25:$AG$30,$AK11,'20'!$AF$25:$AF$30,1)/COUNTIFS('20'!$AG$25:$AG$30,$AK11,'20'!$AF$25:$AF$30,1))</f>
        <v/>
      </c>
      <c r="BP11" s="99" t="str">
        <f>IF(COUNTIFS('21'!$AG$25:$AG$30,$AK11,'21'!$AF$25:$AF$30,1)=0,"",SUMIFS('21'!$AC$25:$AC$30,'21'!$AG$25:$AG$30,$AK11,'21'!$AF$25:$AF$30,1)/COUNTIFS('21'!$AG$25:$AG$30,$AK11,'21'!$AF$25:$AF$30,1))</f>
        <v/>
      </c>
      <c r="BQ11" s="99" t="str">
        <f>IF(COUNTIFS('22'!$AG$25:$AG$30,$AK11,'22'!$AF$25:$AF$30,1)=0,"",SUMIFS('22'!$AC$25:$AC$30,'22'!$AG$25:$AG$30,$AK11,'22'!$AF$25:$AF$30,1)/COUNTIFS('22'!$AG$25:$AG$30,$AK11,'22'!$AF$25:$AF$30,1))</f>
        <v/>
      </c>
      <c r="BR11" s="99" t="str">
        <f>IF(COUNTIFS('23'!$AG$25:$AG$30,$AK11,'23'!$AF$25:$AF$30,1)=0,"",SUMIFS('23'!$AC$25:$AC$30,'23'!$AG$25:$AG$30,$AK11,'23'!$AF$25:$AF$30,1)/COUNTIFS('23'!$AG$25:$AG$30,$AK11,'23'!$AF$25:$AF$30,1))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0.009615384615</v>
      </c>
      <c r="E12" s="193">
        <f t="shared" si="10"/>
        <v>0.9807692308</v>
      </c>
      <c r="X12" s="99" t="s">
        <v>51</v>
      </c>
      <c r="Y12" s="99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40</v>
      </c>
      <c r="AB12" s="99" t="s">
        <v>282</v>
      </c>
      <c r="AC12" s="99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9">
        <f t="shared" si="2"/>
        <v>6.00004</v>
      </c>
      <c r="AK12" s="99" t="s">
        <v>40</v>
      </c>
      <c r="AL12" s="99" t="s">
        <v>282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9">
        <f t="shared" si="5"/>
        <v>98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 t="str">
        <f>IF(COUNTIFS('4'!$AG$86:$AG$91,$AK12,'4'!$AF$86:$AF$91,1)=0,"",SUMIFS('4'!$AC$86:$AC$91,'4'!$AG$86:$AG$91,$AK12,'4'!$AF$86:$AF$91,1)/COUNTIFS('4'!$AG$86:$AG$91,$AK12,'4'!$AF$86:$AF$91,1))</f>
        <v/>
      </c>
      <c r="AZ12" s="99" t="str">
        <f>IF(COUNTIFS('5'!$AG$27:$AG$32,$AK12,'5'!$AF$27:$AF$32,1)=0,"",SUMIFS('5'!$AC$27:$AC$32,'5'!$AG$27:$AG$32,$AK12,'5'!$AF$27:$AF$32,1)/COUNTIFS('5'!$AG$27:$AG$32,$AK12,'5'!$AF$27:$AF$32,1))</f>
        <v/>
      </c>
      <c r="BA12" s="99" t="str">
        <f>IF(COUNTIFS('6'!$AG$31:$AG$36,$AK12,'6'!$AF$31:$AF$36,1)=0,"",SUMIFS('6'!$AC$31:$AC$36,'6'!$AG$31:$AG$36,$AK12,'6'!$AF$31:$AF$36,1)/COUNTIFS('6'!$AG$31:$AG$36,$AK12,'6'!$AF$31:$AF$36,1))</f>
        <v/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 t="str">
        <f>IF(COUNTIFS('8'!$AG$25:$AG$30,$AK12,'8'!$AF$25:$AF$30,1)=0,"",SUMIFS('8'!$AC$25:$AC$30,'8'!$AG$25:$AG$30,$AK12,'8'!$AF$25:$AF$30,1)/COUNTIFS('8'!$AG$25:$AG$30,$AK12,'8'!$AF$25:$AF$30,1))</f>
        <v/>
      </c>
      <c r="BD12" s="99" t="str">
        <f>IF(COUNTIFS('9'!$AG$25:$AG$30,$AK12,'9'!$AF$25:$AF$30,1)=0,"",SUMIFS('9'!$AC$25:$AC$30,'9'!$AG$25:$AG$30,$AK12,'9'!$AF$25:$AF$30,1)/COUNTIFS('9'!$AG$25:$AG$30,$AK12,'9'!$AF$25:$AF$30,1))</f>
        <v/>
      </c>
      <c r="BE12" s="99" t="str">
        <f>IF(COUNTIFS('10'!$AG$25:$AG$30,$AK12,'10'!$AF$25:$AF$30,1)=0,"",SUMIFS('10'!$AC$25:$AC$30,'10'!$AG$25:$AG$30,$AK12,'10'!$AF$25:$AF$30,1)/COUNTIFS('10'!$AG$25:$AG$30,$AK12,'10'!$AF$25:$AF$30,1))</f>
        <v/>
      </c>
      <c r="BF12" s="99" t="str">
        <f>IF(COUNTIFS('11'!$AG$25:$AG$30,$AK12,'11'!$AF$25:$AF$30,1)=0,"",SUMIFS('11'!$AC$25:$AC$30,'11'!$AG$25:$AG$30,$AK12,'11'!$AF$25:$AF$30,1)/COUNTIFS('11'!$AG$25:$AG$30,$AK12,'11'!$AF$25:$AF$30,1))</f>
        <v/>
      </c>
      <c r="BG12" s="99" t="str">
        <f>IF(COUNTIFS('12'!$AG$25:$AG$30,$AK12,'12'!$AF$25:$AF$30,1)=0,"",SUMIFS('12'!$AC$25:$AC$30,'12'!$AG$25:$AG$30,$AK12,'12'!$AF$25:$AF$30,1)/COUNTIFS('12'!$AG$25:$AG$30,$AK12,'12'!$AF$25:$AF$30,1))</f>
        <v/>
      </c>
      <c r="BH12" s="99" t="str">
        <f>IF(COUNTIFS('13'!$AG$25:$AG$30,$AK12,'13'!$AF$25:$AF$30,1)=0,"",SUMIFS('13'!$AC$25:$AC$30,'13'!$AG$25:$AG$30,$AK12,'13'!$AF$25:$AF$30,1)/COUNTIFS('13'!$AG$25:$AG$30,$AK12,'13'!$AF$25:$AF$30,1))</f>
        <v/>
      </c>
      <c r="BI12" s="99" t="str">
        <f>IF(COUNTIFS('14'!$AG$25:$AG$30,$AK12,'14'!$AF$25:$AF$30,1)=0,"",SUMIFS('14'!$AC$25:$AC$30,'14'!$AG$25:$AG$30,$AK12,'14'!$AF$25:$AF$30,1)/COUNTIFS('14'!$AG$25:$AG$30,$AK12,'14'!$AF$25:$AF$30,1))</f>
        <v/>
      </c>
      <c r="BJ12" s="99" t="str">
        <f>IF(COUNTIFS('15'!$AG$25:$AG$30,$AK12,'15'!$AF$25:$AF$30,1)=0,"",SUMIFS('15'!$AC$25:$AC$30,'15'!$AG$25:$AG$30,$AK12,'15'!$AF$25:$AF$30,1)/COUNTIFS('15'!$AG$25:$AG$30,$AK12,'15'!$AF$25:$AF$30,1))</f>
        <v/>
      </c>
      <c r="BK12" s="99" t="str">
        <f>IF(COUNTIFS('16'!$AG$25:$AG$30,$AK12,'16'!$AF$25:$AF$30,1)=0,"",SUMIFS('16'!$AC$25:$AC$30,'16'!$AG$25:$AG$30,$AK12,'16'!$AF$25:$AF$30,1)/COUNTIFS('16'!$AG$25:$AG$30,$AK12,'16'!$AF$25:$AF$30,1))</f>
        <v/>
      </c>
      <c r="BL12" s="99" t="str">
        <f>IF(COUNTIFS('17'!$AG$25:$AG$30,$AK12,'17'!$AF$25:$AF$30,1)=0,"",SUMIFS('17'!$AC$25:$AC$30,'17'!$AG$25:$AG$30,$AK12,'17'!$AF$25:$AF$30,1)/COUNTIFS('17'!$AG$25:$AG$30,$AK12,'17'!$AF$25:$AF$30,1))</f>
        <v/>
      </c>
      <c r="BM12" s="99" t="str">
        <f>IF(COUNTIFS('18'!$AG$25:$AG$30,$AK12,'18'!$AF$25:$AF$30,1)=0,"",SUMIFS('18'!$AC$25:$AC$30,'18'!$AG$25:$AG$30,$AK12,'18'!$AF$25:$AF$30,1)/COUNTIFS('18'!$AG$25:$AG$30,$AK12,'18'!$AF$25:$AF$30,1))</f>
        <v/>
      </c>
      <c r="BN12" s="99" t="str">
        <f>IF(COUNTIFS('19'!$AG$25:$AG$30,$AK12,'19'!$AF$25:$AF$30,1)=0,"",SUMIFS('19'!$AC$25:$AC$30,'19'!$AG$25:$AG$30,$AK12,'19'!$AF$25:$AF$30,1)/COUNTIFS('19'!$AG$25:$AG$30,$AK12,'19'!$AF$25:$AF$30,1))</f>
        <v/>
      </c>
      <c r="BO12" s="99" t="str">
        <f>IF(COUNTIFS('20'!$AG$25:$AG$30,$AK12,'20'!$AF$25:$AF$30,1)=0,"",SUMIFS('20'!$AC$25:$AC$30,'20'!$AG$25:$AG$30,$AK12,'20'!$AF$25:$AF$30,1)/COUNTIFS('20'!$AG$25:$AG$30,$AK12,'20'!$AF$25:$AF$30,1))</f>
        <v/>
      </c>
      <c r="BP12" s="99" t="str">
        <f>IF(COUNTIFS('21'!$AG$25:$AG$30,$AK12,'21'!$AF$25:$AF$30,1)=0,"",SUMIFS('21'!$AC$25:$AC$30,'21'!$AG$25:$AG$30,$AK12,'21'!$AF$25:$AF$30,1)/COUNTIFS('21'!$AG$25:$AG$30,$AK12,'21'!$AF$25:$AF$30,1))</f>
        <v/>
      </c>
      <c r="BQ12" s="99" t="str">
        <f>IF(COUNTIFS('22'!$AG$25:$AG$30,$AK12,'22'!$AF$25:$AF$30,1)=0,"",SUMIFS('22'!$AC$25:$AC$30,'22'!$AG$25:$AG$30,$AK12,'22'!$AF$25:$AF$30,1)/COUNTIFS('22'!$AG$25:$AG$30,$AK12,'22'!$AF$25:$AF$30,1))</f>
        <v/>
      </c>
      <c r="BR12" s="99" t="str">
        <f>IF(COUNTIFS('23'!$AG$25:$AG$30,$AK12,'23'!$AF$25:$AF$30,1)=0,"",SUMIFS('23'!$AC$25:$AC$30,'23'!$AG$25:$AG$30,$AK12,'23'!$AF$25:$AF$30,1)/COUNTIFS('23'!$AG$25:$AG$30,$AK12,'23'!$AF$25:$AF$30,1))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0.009615384615</v>
      </c>
      <c r="E13" s="193">
        <f t="shared" si="10"/>
        <v>0.9903846154</v>
      </c>
      <c r="X13" s="99" t="s">
        <v>287</v>
      </c>
      <c r="Y13" s="99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9">
        <f t="shared" si="1"/>
        <v>0.00005</v>
      </c>
      <c r="AA13" s="99" t="s">
        <v>77</v>
      </c>
      <c r="AB13" s="99" t="s">
        <v>282</v>
      </c>
      <c r="AC13" s="99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77</v>
      </c>
      <c r="AL13" s="99" t="s">
        <v>282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IF(COUNTIFS('8'!$AG$25:$AG$30,$AK13,'8'!$AF$25:$AF$30,1)=0,"",SUMIFS('8'!$AC$25:$AC$30,'8'!$AG$25:$AG$30,$AK13,'8'!$AF$25:$AF$30,1)/COUNTIFS('8'!$AG$25:$AG$30,$AK13,'8'!$AF$25:$AF$30,1))</f>
        <v/>
      </c>
      <c r="BD13" s="99" t="str">
        <f>IF(COUNTIFS('9'!$AG$25:$AG$30,$AK13,'9'!$AF$25:$AF$30,1)=0,"",SUMIFS('9'!$AC$25:$AC$30,'9'!$AG$25:$AG$30,$AK13,'9'!$AF$25:$AF$30,1)/COUNTIFS('9'!$AG$25:$AG$30,$AK13,'9'!$AF$25:$AF$30,1))</f>
        <v/>
      </c>
      <c r="BE13" s="99" t="str">
        <f>IF(COUNTIFS('10'!$AG$25:$AG$30,$AK13,'10'!$AF$25:$AF$30,1)=0,"",SUMIFS('10'!$AC$25:$AC$30,'10'!$AG$25:$AG$30,$AK13,'10'!$AF$25:$AF$30,1)/COUNTIFS('10'!$AG$25:$AG$30,$AK13,'10'!$AF$25:$AF$30,1))</f>
        <v/>
      </c>
      <c r="BF13" s="99" t="str">
        <f>IF(COUNTIFS('11'!$AG$25:$AG$30,$AK13,'11'!$AF$25:$AF$30,1)=0,"",SUMIFS('11'!$AC$25:$AC$30,'11'!$AG$25:$AG$30,$AK13,'11'!$AF$25:$AF$30,1)/COUNTIFS('11'!$AG$25:$AG$30,$AK13,'11'!$AF$25:$AF$30,1))</f>
        <v/>
      </c>
      <c r="BG13" s="99" t="str">
        <f>IF(COUNTIFS('12'!$AG$25:$AG$30,$AK13,'12'!$AF$25:$AF$30,1)=0,"",SUMIFS('12'!$AC$25:$AC$30,'12'!$AG$25:$AG$30,$AK13,'12'!$AF$25:$AF$30,1)/COUNTIFS('12'!$AG$25:$AG$30,$AK13,'12'!$AF$25:$AF$30,1))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IF(COUNTIFS('15'!$AG$25:$AG$30,$AK13,'15'!$AF$25:$AF$30,1)=0,"",SUMIFS('15'!$AC$25:$AC$30,'15'!$AG$25:$AG$30,$AK13,'15'!$AF$25:$AF$30,1)/COUNTIFS('15'!$AG$25:$AG$30,$AK13,'15'!$AF$25:$AF$30,1))</f>
        <v/>
      </c>
      <c r="BK13" s="99" t="str">
        <f>IF(COUNTIFS('16'!$AG$25:$AG$30,$AK13,'16'!$AF$25:$AF$30,1)=0,"",SUMIFS('16'!$AC$25:$AC$30,'16'!$AG$25:$AG$30,$AK13,'16'!$AF$25:$AF$30,1)/COUNTIFS('16'!$AG$25:$AG$30,$AK13,'16'!$AF$25:$AF$30,1))</f>
        <v/>
      </c>
      <c r="BL13" s="99" t="str">
        <f>IF(COUNTIFS('17'!$AG$25:$AG$30,$AK13,'17'!$AF$25:$AF$30,1)=0,"",SUMIFS('17'!$AC$25:$AC$30,'17'!$AG$25:$AG$30,$AK13,'17'!$AF$25:$AF$30,1)/COUNTIFS('17'!$AG$25:$AG$30,$AK13,'17'!$AF$25:$AF$30,1))</f>
        <v/>
      </c>
      <c r="BM13" s="99" t="str">
        <f>IF(COUNTIFS('18'!$AG$25:$AG$30,$AK13,'18'!$AF$25:$AF$30,1)=0,"",SUMIFS('18'!$AC$25:$AC$30,'18'!$AG$25:$AG$30,$AK13,'18'!$AF$25:$AF$30,1)/COUNTIFS('18'!$AG$25:$AG$30,$AK13,'18'!$AF$25:$AF$30,1))</f>
        <v/>
      </c>
      <c r="BN13" s="99" t="str">
        <f>IF(COUNTIFS('19'!$AG$25:$AG$30,$AK13,'19'!$AF$25:$AF$30,1)=0,"",SUMIFS('19'!$AC$25:$AC$30,'19'!$AG$25:$AG$30,$AK13,'19'!$AF$25:$AF$30,1)/COUNTIFS('19'!$AG$25:$AG$30,$AK13,'19'!$AF$25:$AF$30,1))</f>
        <v/>
      </c>
      <c r="BO13" s="99" t="str">
        <f>IF(COUNTIFS('20'!$AG$25:$AG$30,$AK13,'20'!$AF$25:$AF$30,1)=0,"",SUMIFS('20'!$AC$25:$AC$30,'20'!$AG$25:$AG$30,$AK13,'20'!$AF$25:$AF$30,1)/COUNTIFS('20'!$AG$25:$AG$30,$AK13,'20'!$AF$25:$AF$30,1))</f>
        <v/>
      </c>
      <c r="BP13" s="99" t="str">
        <f>IF(COUNTIFS('21'!$AG$25:$AG$30,$AK13,'21'!$AF$25:$AF$30,1)=0,"",SUMIFS('21'!$AC$25:$AC$30,'21'!$AG$25:$AG$30,$AK13,'21'!$AF$25:$AF$30,1)/COUNTIFS('21'!$AG$25:$AG$30,$AK13,'21'!$AF$25:$AF$30,1))</f>
        <v/>
      </c>
      <c r="BQ13" s="99" t="str">
        <f>IF(COUNTIFS('22'!$AG$25:$AG$30,$AK13,'22'!$AF$25:$AF$30,1)=0,"",SUMIFS('22'!$AC$25:$AC$30,'22'!$AG$25:$AG$30,$AK13,'22'!$AF$25:$AF$30,1)/COUNTIFS('22'!$AG$25:$AG$30,$AK13,'22'!$AF$25:$AF$30,1))</f>
        <v/>
      </c>
      <c r="BR13" s="99" t="str">
        <f>IF(COUNTIFS('23'!$AG$25:$AG$30,$AK13,'23'!$AF$25:$AF$30,1)=0,"",SUMIFS('23'!$AC$25:$AC$30,'23'!$AG$25:$AG$30,$AK13,'23'!$AF$25:$AF$30,1)/COUNTIFS('23'!$AG$25:$AG$30,$AK13,'23'!$AF$25:$AF$30,1))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0.009615384615</v>
      </c>
      <c r="E14" s="193">
        <f t="shared" si="10"/>
        <v>1</v>
      </c>
      <c r="X14" s="99" t="s">
        <v>24</v>
      </c>
      <c r="Y14" s="99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9">
        <f t="shared" si="1"/>
        <v>8.00004</v>
      </c>
      <c r="AA14" s="99" t="s">
        <v>283</v>
      </c>
      <c r="AB14" s="99" t="s">
        <v>282</v>
      </c>
      <c r="AC14" s="99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283</v>
      </c>
      <c r="AL14" s="99" t="s">
        <v>282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IF(COUNTIFS('8'!$AG$25:$AG$30,$AK14,'8'!$AF$25:$AF$30,1)=0,"",SUMIFS('8'!$AC$25:$AC$30,'8'!$AG$25:$AG$30,$AK14,'8'!$AF$25:$AF$30,1)/COUNTIFS('8'!$AG$25:$AG$30,$AK14,'8'!$AF$25:$AF$30,1))</f>
        <v/>
      </c>
      <c r="BD14" s="99" t="str">
        <f>IF(COUNTIFS('9'!$AG$25:$AG$30,$AK14,'9'!$AF$25:$AF$30,1)=0,"",SUMIFS('9'!$AC$25:$AC$30,'9'!$AG$25:$AG$30,$AK14,'9'!$AF$25:$AF$30,1)/COUNTIFS('9'!$AG$25:$AG$30,$AK14,'9'!$AF$25:$AF$30,1))</f>
        <v/>
      </c>
      <c r="BE14" s="99" t="str">
        <f>IF(COUNTIFS('10'!$AG$25:$AG$30,$AK14,'10'!$AF$25:$AF$30,1)=0,"",SUMIFS('10'!$AC$25:$AC$30,'10'!$AG$25:$AG$30,$AK14,'10'!$AF$25:$AF$30,1)/COUNTIFS('10'!$AG$25:$AG$30,$AK14,'10'!$AF$25:$AF$30,1))</f>
        <v/>
      </c>
      <c r="BF14" s="99" t="str">
        <f>IF(COUNTIFS('11'!$AG$25:$AG$30,$AK14,'11'!$AF$25:$AF$30,1)=0,"",SUMIFS('11'!$AC$25:$AC$30,'11'!$AG$25:$AG$30,$AK14,'11'!$AF$25:$AF$30,1)/COUNTIFS('11'!$AG$25:$AG$30,$AK14,'11'!$AF$25:$AF$30,1))</f>
        <v/>
      </c>
      <c r="BG14" s="99" t="str">
        <f>IF(COUNTIFS('12'!$AG$25:$AG$30,$AK14,'12'!$AF$25:$AF$30,1)=0,"",SUMIFS('12'!$AC$25:$AC$30,'12'!$AG$25:$AG$30,$AK14,'12'!$AF$25:$AF$30,1)/COUNTIFS('12'!$AG$25:$AG$30,$AK14,'12'!$AF$25:$AF$30,1))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IF(COUNTIFS('15'!$AG$25:$AG$30,$AK14,'15'!$AF$25:$AF$30,1)=0,"",SUMIFS('15'!$AC$25:$AC$30,'15'!$AG$25:$AG$30,$AK14,'15'!$AF$25:$AF$30,1)/COUNTIFS('15'!$AG$25:$AG$30,$AK14,'15'!$AF$25:$AF$30,1))</f>
        <v/>
      </c>
      <c r="BK14" s="99" t="str">
        <f>IF(COUNTIFS('16'!$AG$25:$AG$30,$AK14,'16'!$AF$25:$AF$30,1)=0,"",SUMIFS('16'!$AC$25:$AC$30,'16'!$AG$25:$AG$30,$AK14,'16'!$AF$25:$AF$30,1)/COUNTIFS('16'!$AG$25:$AG$30,$AK14,'16'!$AF$25:$AF$30,1))</f>
        <v/>
      </c>
      <c r="BL14" s="99" t="str">
        <f>IF(COUNTIFS('17'!$AG$25:$AG$30,$AK14,'17'!$AF$25:$AF$30,1)=0,"",SUMIFS('17'!$AC$25:$AC$30,'17'!$AG$25:$AG$30,$AK14,'17'!$AF$25:$AF$30,1)/COUNTIFS('17'!$AG$25:$AG$30,$AK14,'17'!$AF$25:$AF$30,1))</f>
        <v/>
      </c>
      <c r="BM14" s="99" t="str">
        <f>IF(COUNTIFS('18'!$AG$25:$AG$30,$AK14,'18'!$AF$25:$AF$30,1)=0,"",SUMIFS('18'!$AC$25:$AC$30,'18'!$AG$25:$AG$30,$AK14,'18'!$AF$25:$AF$30,1)/COUNTIFS('18'!$AG$25:$AG$30,$AK14,'18'!$AF$25:$AF$30,1))</f>
        <v/>
      </c>
      <c r="BN14" s="99" t="str">
        <f>IF(COUNTIFS('19'!$AG$25:$AG$30,$AK14,'19'!$AF$25:$AF$30,1)=0,"",SUMIFS('19'!$AC$25:$AC$30,'19'!$AG$25:$AG$30,$AK14,'19'!$AF$25:$AF$30,1)/COUNTIFS('19'!$AG$25:$AG$30,$AK14,'19'!$AF$25:$AF$30,1))</f>
        <v/>
      </c>
      <c r="BO14" s="99" t="str">
        <f>IF(COUNTIFS('20'!$AG$25:$AG$30,$AK14,'20'!$AF$25:$AF$30,1)=0,"",SUMIFS('20'!$AC$25:$AC$30,'20'!$AG$25:$AG$30,$AK14,'20'!$AF$25:$AF$30,1)/COUNTIFS('20'!$AG$25:$AG$30,$AK14,'20'!$AF$25:$AF$30,1))</f>
        <v/>
      </c>
      <c r="BP14" s="99" t="str">
        <f>IF(COUNTIFS('21'!$AG$25:$AG$30,$AK14,'21'!$AF$25:$AF$30,1)=0,"",SUMIFS('21'!$AC$25:$AC$30,'21'!$AG$25:$AG$30,$AK14,'21'!$AF$25:$AF$30,1)/COUNTIFS('21'!$AG$25:$AG$30,$AK14,'21'!$AF$25:$AF$30,1))</f>
        <v/>
      </c>
      <c r="BQ14" s="99" t="str">
        <f>IF(COUNTIFS('22'!$AG$25:$AG$30,$AK14,'22'!$AF$25:$AF$30,1)=0,"",SUMIFS('22'!$AC$25:$AC$30,'22'!$AG$25:$AG$30,$AK14,'22'!$AF$25:$AF$30,1)/COUNTIFS('22'!$AG$25:$AG$30,$AK14,'22'!$AF$25:$AF$30,1))</f>
        <v/>
      </c>
      <c r="BR14" s="99" t="str">
        <f>IF(COUNTIFS('23'!$AG$25:$AG$30,$AK14,'23'!$AF$25:$AF$30,1)=0,"",SUMIFS('23'!$AC$25:$AC$30,'23'!$AG$25:$AG$30,$AK14,'23'!$AF$25:$AF$30,1)/COUNTIFS('23'!$AG$25:$AG$30,$AK14,'23'!$AF$25:$AF$30,1))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99" t="s">
        <v>79</v>
      </c>
      <c r="Y15" s="99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9">
        <f t="shared" si="1"/>
        <v>1.00003</v>
      </c>
      <c r="AA15" s="99" t="s">
        <v>54</v>
      </c>
      <c r="AB15" s="99" t="s">
        <v>282</v>
      </c>
      <c r="AC15" s="99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4</v>
      </c>
      <c r="AD15" s="99">
        <f t="shared" si="2"/>
        <v>4.00001</v>
      </c>
      <c r="AK15" s="99" t="s">
        <v>54</v>
      </c>
      <c r="AL15" s="99" t="s">
        <v>282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9">
        <f t="shared" si="5"/>
        <v>100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 t="str">
        <f>IF(COUNTIFS('4'!$AG$86:$AG$91,$AK15,'4'!$AF$86:$AF$91,1)=0,"",SUMIFS('4'!$AC$86:$AC$91,'4'!$AG$86:$AG$91,$AK15,'4'!$AF$86:$AF$91,1)/COUNTIFS('4'!$AG$86:$AG$91,$AK15,'4'!$AF$86:$AF$91,1))</f>
        <v/>
      </c>
      <c r="AZ15" s="99" t="str">
        <f>IF(COUNTIFS('5'!$AG$27:$AG$32,$AK15,'5'!$AF$27:$AF$32,1)=0,"",SUMIFS('5'!$AC$27:$AC$32,'5'!$AG$27:$AG$32,$AK15,'5'!$AF$27:$AF$32,1)/COUNTIFS('5'!$AG$27:$AG$32,$AK15,'5'!$AF$27:$AF$32,1))</f>
        <v/>
      </c>
      <c r="BA15" s="99" t="str">
        <f>IF(COUNTIFS('6'!$AG$31:$AG$36,$AK15,'6'!$AF$31:$AF$36,1)=0,"",SUMIFS('6'!$AC$31:$AC$36,'6'!$AG$31:$AG$36,$AK15,'6'!$AF$31:$AF$36,1)/COUNTIFS('6'!$AG$31:$AG$36,$AK15,'6'!$AF$31:$AF$36,1))</f>
        <v/>
      </c>
      <c r="BB15" s="99" t="str">
        <f>IF(COUNTIFS('7'!$AG$30:$AG$35,$AK15,'7'!$AF$30:$AF$35,1)=0,"",SUMIFS('7'!$AC$30:$AC$35,'7'!$AG$30:$AG$35,$AK15,'7'!$AF$30:$AF$35,1)/COUNTIFS('7'!$AG$30:$AG$35,$AK15,'7'!$AF$30:$AF$35,1))</f>
        <v/>
      </c>
      <c r="BC15" s="99" t="str">
        <f>IF(COUNTIFS('8'!$AG$25:$AG$30,$AK15,'8'!$AF$25:$AF$30,1)=0,"",SUMIFS('8'!$AC$25:$AC$30,'8'!$AG$25:$AG$30,$AK15,'8'!$AF$25:$AF$30,1)/COUNTIFS('8'!$AG$25:$AG$30,$AK15,'8'!$AF$25:$AF$30,1))</f>
        <v/>
      </c>
      <c r="BD15" s="99" t="str">
        <f>IF(COUNTIFS('9'!$AG$25:$AG$30,$AK15,'9'!$AF$25:$AF$30,1)=0,"",SUMIFS('9'!$AC$25:$AC$30,'9'!$AG$25:$AG$30,$AK15,'9'!$AF$25:$AF$30,1)/COUNTIFS('9'!$AG$25:$AG$30,$AK15,'9'!$AF$25:$AF$30,1))</f>
        <v/>
      </c>
      <c r="BE15" s="99" t="str">
        <f>IF(COUNTIFS('10'!$AG$25:$AG$30,$AK15,'10'!$AF$25:$AF$30,1)=0,"",SUMIFS('10'!$AC$25:$AC$30,'10'!$AG$25:$AG$30,$AK15,'10'!$AF$25:$AF$30,1)/COUNTIFS('10'!$AG$25:$AG$30,$AK15,'10'!$AF$25:$AF$30,1))</f>
        <v/>
      </c>
      <c r="BF15" s="99" t="str">
        <f>IF(COUNTIFS('11'!$AG$25:$AG$30,$AK15,'11'!$AF$25:$AF$30,1)=0,"",SUMIFS('11'!$AC$25:$AC$30,'11'!$AG$25:$AG$30,$AK15,'11'!$AF$25:$AF$30,1)/COUNTIFS('11'!$AG$25:$AG$30,$AK15,'11'!$AF$25:$AF$30,1))</f>
        <v/>
      </c>
      <c r="BG15" s="99" t="str">
        <f>IF(COUNTIFS('12'!$AG$25:$AG$30,$AK15,'12'!$AF$25:$AF$30,1)=0,"",SUMIFS('12'!$AC$25:$AC$30,'12'!$AG$25:$AG$30,$AK15,'12'!$AF$25:$AF$30,1)/COUNTIFS('12'!$AG$25:$AG$30,$AK15,'12'!$AF$25:$AF$30,1))</f>
        <v/>
      </c>
      <c r="BH15" s="99" t="str">
        <f>IF(COUNTIFS('13'!$AG$25:$AG$30,$AK15,'13'!$AF$25:$AF$30,1)=0,"",SUMIFS('13'!$AC$25:$AC$30,'13'!$AG$25:$AG$30,$AK15,'13'!$AF$25:$AF$30,1)/COUNTIFS('13'!$AG$25:$AG$30,$AK15,'13'!$AF$25:$AF$30,1))</f>
        <v/>
      </c>
      <c r="BI15" s="99" t="str">
        <f>IF(COUNTIFS('14'!$AG$25:$AG$30,$AK15,'14'!$AF$25:$AF$30,1)=0,"",SUMIFS('14'!$AC$25:$AC$30,'14'!$AG$25:$AG$30,$AK15,'14'!$AF$25:$AF$30,1)/COUNTIFS('14'!$AG$25:$AG$30,$AK15,'14'!$AF$25:$AF$30,1))</f>
        <v/>
      </c>
      <c r="BJ15" s="99" t="str">
        <f>IF(COUNTIFS('15'!$AG$25:$AG$30,$AK15,'15'!$AF$25:$AF$30,1)=0,"",SUMIFS('15'!$AC$25:$AC$30,'15'!$AG$25:$AG$30,$AK15,'15'!$AF$25:$AF$30,1)/COUNTIFS('15'!$AG$25:$AG$30,$AK15,'15'!$AF$25:$AF$30,1))</f>
        <v/>
      </c>
      <c r="BK15" s="99" t="str">
        <f>IF(COUNTIFS('16'!$AG$25:$AG$30,$AK15,'16'!$AF$25:$AF$30,1)=0,"",SUMIFS('16'!$AC$25:$AC$30,'16'!$AG$25:$AG$30,$AK15,'16'!$AF$25:$AF$30,1)/COUNTIFS('16'!$AG$25:$AG$30,$AK15,'16'!$AF$25:$AF$30,1))</f>
        <v/>
      </c>
      <c r="BL15" s="99" t="str">
        <f>IF(COUNTIFS('17'!$AG$25:$AG$30,$AK15,'17'!$AF$25:$AF$30,1)=0,"",SUMIFS('17'!$AC$25:$AC$30,'17'!$AG$25:$AG$30,$AK15,'17'!$AF$25:$AF$30,1)/COUNTIFS('17'!$AG$25:$AG$30,$AK15,'17'!$AF$25:$AF$30,1))</f>
        <v/>
      </c>
      <c r="BM15" s="99" t="str">
        <f>IF(COUNTIFS('18'!$AG$25:$AG$30,$AK15,'18'!$AF$25:$AF$30,1)=0,"",SUMIFS('18'!$AC$25:$AC$30,'18'!$AG$25:$AG$30,$AK15,'18'!$AF$25:$AF$30,1)/COUNTIFS('18'!$AG$25:$AG$30,$AK15,'18'!$AF$25:$AF$30,1))</f>
        <v/>
      </c>
      <c r="BN15" s="99" t="str">
        <f>IF(COUNTIFS('19'!$AG$25:$AG$30,$AK15,'19'!$AF$25:$AF$30,1)=0,"",SUMIFS('19'!$AC$25:$AC$30,'19'!$AG$25:$AG$30,$AK15,'19'!$AF$25:$AF$30,1)/COUNTIFS('19'!$AG$25:$AG$30,$AK15,'19'!$AF$25:$AF$30,1))</f>
        <v/>
      </c>
      <c r="BO15" s="99" t="str">
        <f>IF(COUNTIFS('20'!$AG$25:$AG$30,$AK15,'20'!$AF$25:$AF$30,1)=0,"",SUMIFS('20'!$AC$25:$AC$30,'20'!$AG$25:$AG$30,$AK15,'20'!$AF$25:$AF$30,1)/COUNTIFS('20'!$AG$25:$AG$30,$AK15,'20'!$AF$25:$AF$30,1))</f>
        <v/>
      </c>
      <c r="BP15" s="99" t="str">
        <f>IF(COUNTIFS('21'!$AG$25:$AG$30,$AK15,'21'!$AF$25:$AF$30,1)=0,"",SUMIFS('21'!$AC$25:$AC$30,'21'!$AG$25:$AG$30,$AK15,'21'!$AF$25:$AF$30,1)/COUNTIFS('21'!$AG$25:$AG$30,$AK15,'21'!$AF$25:$AF$30,1))</f>
        <v/>
      </c>
      <c r="BQ15" s="99" t="str">
        <f>IF(COUNTIFS('22'!$AG$25:$AG$30,$AK15,'22'!$AF$25:$AF$30,1)=0,"",SUMIFS('22'!$AC$25:$AC$30,'22'!$AG$25:$AG$30,$AK15,'22'!$AF$25:$AF$30,1)/COUNTIFS('22'!$AG$25:$AG$30,$AK15,'22'!$AF$25:$AF$30,1))</f>
        <v/>
      </c>
      <c r="BR15" s="99" t="str">
        <f>IF(COUNTIFS('23'!$AG$25:$AG$30,$AK15,'23'!$AF$25:$AF$30,1)=0,"",SUMIFS('23'!$AC$25:$AC$30,'23'!$AG$25:$AG$30,$AK15,'23'!$AF$25:$AF$30,1)/COUNTIFS('23'!$AG$25:$AG$30,$AK15,'23'!$AF$25:$AF$30,1))</f>
        <v/>
      </c>
      <c r="BS15" s="99" t="str">
        <f>IF(COUNTIFS('24'!$AG$25:$AG$30,$AK15,'24'!$AF$25:$AF$30,1)=0,"",SUMIFS('24'!$AC$25:$AC$30,'24'!$AG$25:$AG$30,$AK15,'24'!$AF$25:$AF$30,1)/COUNTIFS('24'!$AG$25:$AG$30,$AK15,'24'!$AF$25:$AF$30,1))</f>
        <v/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99" t="s">
        <v>288</v>
      </c>
      <c r="Y16" s="99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99" t="s">
        <v>74</v>
      </c>
      <c r="Y17" s="99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 t="str">
        <f t="shared" si="11"/>
        <v/>
      </c>
      <c r="AZ18" s="99" t="str">
        <f t="shared" si="11"/>
        <v/>
      </c>
      <c r="BA18" s="99" t="str">
        <f t="shared" si="11"/>
        <v/>
      </c>
      <c r="BB18" s="99" t="str">
        <f t="shared" si="11"/>
        <v/>
      </c>
      <c r="BC18" s="99" t="str">
        <f t="shared" si="11"/>
        <v/>
      </c>
      <c r="BD18" s="99" t="str">
        <f t="shared" si="11"/>
        <v/>
      </c>
      <c r="BE18" s="99" t="str">
        <f t="shared" si="11"/>
        <v/>
      </c>
      <c r="BF18" s="99" t="str">
        <f t="shared" si="11"/>
        <v/>
      </c>
      <c r="BG18" s="99" t="str">
        <f t="shared" si="11"/>
        <v/>
      </c>
      <c r="BH18" s="99" t="str">
        <f t="shared" si="11"/>
        <v/>
      </c>
      <c r="BI18" s="99" t="str">
        <f t="shared" si="11"/>
        <v/>
      </c>
      <c r="BJ18" s="99" t="str">
        <f t="shared" si="11"/>
        <v/>
      </c>
      <c r="BK18" s="99" t="str">
        <f t="shared" si="11"/>
        <v/>
      </c>
      <c r="BL18" s="99" t="str">
        <f t="shared" si="11"/>
        <v/>
      </c>
      <c r="BM18" s="99" t="str">
        <f t="shared" si="11"/>
        <v/>
      </c>
      <c r="BN18" s="99" t="str">
        <f t="shared" si="11"/>
        <v/>
      </c>
      <c r="BO18" s="99" t="str">
        <f t="shared" si="11"/>
        <v/>
      </c>
      <c r="BP18" s="99" t="str">
        <f t="shared" si="11"/>
        <v/>
      </c>
      <c r="BQ18" s="99" t="str">
        <f t="shared" si="11"/>
        <v/>
      </c>
      <c r="BR18" s="99" t="str">
        <f t="shared" si="11"/>
        <v/>
      </c>
      <c r="BS18" s="99" t="str">
        <f t="shared" si="11"/>
        <v/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192" t="s">
        <v>289</v>
      </c>
      <c r="C19" s="192">
        <f>SUM(C6:C18)</f>
        <v>104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84" t="s">
        <v>290</v>
      </c>
      <c r="F23" s="184" t="s">
        <v>291</v>
      </c>
    </row>
    <row r="24" ht="15.75" customHeight="1">
      <c r="A24" s="186" t="s">
        <v>2</v>
      </c>
      <c r="B24" s="186" t="s">
        <v>292</v>
      </c>
      <c r="C24" s="186" t="s">
        <v>293</v>
      </c>
      <c r="D24" s="186" t="s">
        <v>294</v>
      </c>
      <c r="F24" s="186" t="s">
        <v>260</v>
      </c>
      <c r="G24" s="186" t="s">
        <v>8</v>
      </c>
      <c r="H24" s="186" t="s">
        <v>295</v>
      </c>
      <c r="I24" s="186" t="s">
        <v>296</v>
      </c>
    </row>
    <row r="25" ht="15.75" customHeight="1">
      <c r="A25" s="192" t="str">
        <f t="array" ref="A25">IF(LARGE($AC$5:$AC$15,1)=0,"",INDEX($AA$5:$AA$15,MATCH(LARGE($AD$5:$AD$15,1),$AD$5:$AD$15,0)))</f>
        <v>AMEL</v>
      </c>
      <c r="B25" s="192" t="str">
        <f t="shared" ref="B25:B35" si="12">IF(A25="","",INDEX($AB$5:$AB$15,MATCH(A25,$AA$5:$AA$15,0)))</f>
        <v>Admin/CS</v>
      </c>
      <c r="C25" s="192">
        <f t="shared" ref="C25:C35" si="13">IF(A25="","",INDEX($AC$5:$AC$15,MATCH(A25,$AA$5:$AA$15,0)))</f>
        <v>6</v>
      </c>
      <c r="D25" s="193">
        <f t="shared" ref="D25:D35" si="14">IF(A25="","",IFERROR(C25/SUM($C$25:$C$35),0))</f>
        <v>0.3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76</v>
      </c>
      <c r="I25" s="193">
        <f t="shared" ref="I25:I29" si="17">IF(H25="","",IFERROR(H25/SUM($H$25:$H$29),0))</f>
        <v>0.6846846847</v>
      </c>
    </row>
    <row r="26" ht="15.75" customHeight="1">
      <c r="A26" s="192" t="str">
        <f t="array" ref="A26">IF(LARGE($AC$5:$AC$15,2)=0,"",INDEX($AA$5:$AA$15,MATCH(LARGE($AD$5:$AD$15,2),$AD$5:$AD$15,0)))</f>
        <v>ADIF</v>
      </c>
      <c r="B26" s="192" t="str">
        <f t="shared" si="12"/>
        <v>Fotografer</v>
      </c>
      <c r="C26" s="192">
        <f t="shared" si="13"/>
        <v>6</v>
      </c>
      <c r="D26" s="193">
        <f t="shared" si="14"/>
        <v>0.3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35</v>
      </c>
      <c r="I26" s="193">
        <f t="shared" si="17"/>
        <v>0.3153153153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4</v>
      </c>
      <c r="D27" s="193">
        <f t="shared" si="14"/>
        <v>0.2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4</v>
      </c>
      <c r="D28" s="193">
        <f t="shared" si="14"/>
        <v>0.2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84" t="s">
        <v>297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86" t="s">
        <v>260</v>
      </c>
      <c r="G32" s="186" t="s">
        <v>282</v>
      </c>
      <c r="H32" s="186" t="s">
        <v>295</v>
      </c>
      <c r="I32" s="186" t="s">
        <v>296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34</v>
      </c>
      <c r="I33" s="193">
        <f t="shared" ref="I33:I38" si="20">IF(H33="","",IFERROR(H33/SUM($H$33:$H$38),0))</f>
        <v>0.4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28</v>
      </c>
      <c r="I34" s="193">
        <f t="shared" si="20"/>
        <v>0.3294117647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0.1411764706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0.1294117647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4" t="s">
        <v>298</v>
      </c>
    </row>
    <row r="44" ht="15.75" customHeight="1"/>
    <row r="45" ht="15.75" customHeight="1">
      <c r="A45" s="186" t="s">
        <v>253</v>
      </c>
      <c r="D45" s="186" t="s">
        <v>299</v>
      </c>
      <c r="G45" s="186" t="s">
        <v>300</v>
      </c>
      <c r="J45" s="186" t="s">
        <v>301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6" t="s">
        <v>2</v>
      </c>
      <c r="B50" s="186" t="s">
        <v>292</v>
      </c>
      <c r="C50" s="186" t="s">
        <v>265</v>
      </c>
      <c r="D50" s="186" t="s">
        <v>266</v>
      </c>
      <c r="E50" s="186" t="s">
        <v>142</v>
      </c>
      <c r="F50" s="186" t="s">
        <v>144</v>
      </c>
      <c r="G50" s="186" t="s">
        <v>145</v>
      </c>
      <c r="H50" s="186" t="s">
        <v>146</v>
      </c>
      <c r="I50" s="186" t="s">
        <v>147</v>
      </c>
      <c r="J50" s="186" t="s">
        <v>302</v>
      </c>
      <c r="K50" s="186" t="s">
        <v>303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17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17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17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17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17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17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17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17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17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02" t="s">
        <v>304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