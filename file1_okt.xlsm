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sBwAbgbPZ09d1qVwTfpLAp9fGEQt0O8oBRCI++ytfQ="/>
    </ext>
  </extLst>
</workbook>
</file>

<file path=xl/sharedStrings.xml><?xml version="1.0" encoding="utf-8"?>
<sst xmlns="http://schemas.openxmlformats.org/spreadsheetml/2006/main" count="1816" uniqueCount="130">
  <si>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</si>
  <si>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</si>
  <si>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</si>
  <si>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</si>
  <si>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</si>
  <si>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</si>
  <si>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</si>
  <si>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</si>
  <si>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</si>
  <si>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</si>
  <si>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</si>
  <si>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</si>
  <si>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</si>
  <si>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</si>
  <si>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</si>
  <si>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</si>
  <si>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</si>
  <si>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</si>
  <si>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</si>
  <si>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</si>
  <si>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6 okt</t>
  </si>
  <si>
    <t>DP</t>
  </si>
  <si>
    <t>AMEL</t>
  </si>
  <si>
    <t>Rara</t>
  </si>
  <si>
    <t>Photofox</t>
  </si>
  <si>
    <t>1 okt</t>
  </si>
  <si>
    <t>Lunas</t>
  </si>
  <si>
    <t>Uploaded</t>
  </si>
  <si>
    <t>-</t>
  </si>
  <si>
    <t>ADIF</t>
  </si>
  <si>
    <t>Nadia</t>
  </si>
  <si>
    <t>22 okt</t>
  </si>
  <si>
    <t>Rotho</t>
  </si>
  <si>
    <t>Large Group</t>
  </si>
  <si>
    <t>Uji</t>
  </si>
  <si>
    <t>3 okt</t>
  </si>
  <si>
    <t>Nominal</t>
  </si>
  <si>
    <t>Shift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</si>
  <si>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</si>
  <si>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</si>
  <si>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</si>
  <si>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</si>
  <si>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</si>
  <si>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</si>
  <si>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</si>
  <si>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</si>
  <si>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</si>
  <si>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</si>
  <si>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</si>
  <si>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</si>
  <si>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</si>
  <si>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</si>
  <si>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</si>
  <si>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</si>
  <si>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</si>
  <si>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</si>
  <si>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</si>
  <si>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</si>
  <si>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</si>
  <si>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</si>
  <si>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</si>
  <si>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</si>
  <si>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</si>
  <si>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</si>
  <si>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</si>
  <si>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INDAH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</si>
  <si>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</si>
  <si>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</si>
  <si>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</si>
  <si>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</si>
  <si>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</si>
  <si>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</si>
  <si>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</si>
  <si>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</si>
  <si>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</si>
  <si>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</si>
  <si>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</si>
  <si>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</si>
  <si>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</si>
  <si>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</si>
  <si>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Admin/CS</t>
  </si>
  <si>
    <t>Posisi</t>
  </si>
  <si>
    <t>Hari Dinilai</t>
  </si>
  <si>
    <t>KPI Bulanan</t>
  </si>
  <si>
    <t>Hari Underperform</t>
  </si>
  <si>
    <t>Status Akhir</t>
  </si>
  <si>
    <t>Catatan Manager</t>
  </si>
  <si>
    <t>HANIF</t>
  </si>
  <si>
    <t>Sangat Baik</t>
  </si>
  <si>
    <t>ADDEL</t>
  </si>
  <si>
    <t>FAHME</t>
  </si>
  <si>
    <t>Baik</t>
  </si>
  <si>
    <t>Single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</si>
  <si>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</si>
  <si>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</si>
  <si>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</si>
  <si>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</si>
  <si>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</si>
  <si>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</si>
  <si>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</si>
  <si>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</si>
  <si>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</si>
  <si>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SAKA</t>
  </si>
  <si>
    <t>Coaching</t>
  </si>
  <si>
    <t>Couple A</t>
  </si>
  <si>
    <t>Underperform</t>
  </si>
  <si>
    <t>Pas Foto</t>
  </si>
  <si>
    <t>Family A</t>
  </si>
  <si>
    <t>Family B</t>
  </si>
  <si>
    <t>Couple C</t>
  </si>
  <si>
    <t>Graduation Premium</t>
  </si>
  <si>
    <t>Studio Rent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</si>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</sst>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2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14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2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6" fillId="0" fontId="5" numFmtId="165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2" fillId="0" fontId="1" numFmtId="165" xfId="0" applyBorder="1" applyFont="1" applyNumberFormat="1"/>
    <xf borderId="1" fillId="0" fontId="1" numFmtId="164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/>
    </xf>
    <xf borderId="6" fillId="0" fontId="1" numFmtId="0" xfId="0" applyBorder="1" applyFont="1"/>
    <xf borderId="6" fillId="0" fontId="1" numFmtId="9" xfId="0" applyAlignment="1" applyBorder="1" applyFont="1" applyNumberFormat="1">
      <alignment vertical="bottom"/>
    </xf>
    <xf borderId="2" fillId="0" fontId="1" numFmtId="165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right"/>
    </xf>
    <xf borderId="6" fillId="0" fontId="1" numFmtId="165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8" fillId="0" fontId="6" numFmtId="0" xfId="0" applyAlignment="1" applyBorder="1" applyFont="1">
      <alignment horizontal="center" vertical="center"/>
    </xf>
    <xf borderId="9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5" xfId="0" applyAlignment="1" applyBorder="1" applyFont="1" applyNumberFormat="1">
      <alignment horizontal="right"/>
    </xf>
    <xf borderId="5" fillId="4" fontId="2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right" vertical="center"/>
    </xf>
    <xf borderId="5" fillId="5" fontId="5" numFmtId="165" xfId="0" applyAlignment="1" applyBorder="1" applyFill="1" applyFont="1" applyNumberFormat="1">
      <alignment horizontal="center" vertical="center"/>
    </xf>
    <xf borderId="0" fillId="0" fontId="2" numFmtId="0" xfId="0" applyFont="1"/>
    <xf borderId="6" fillId="0" fontId="1" numFmtId="9" xfId="0" applyAlignment="1" applyBorder="1" applyFont="1" applyNumberFormat="1">
      <alignment horizont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7" fillId="4" fontId="1" numFmtId="0" xfId="0" applyAlignment="1" applyBorder="1" applyFill="1" applyFont="1">
      <alignment horizontal="left" vertical="center"/>
    </xf>
    <xf borderId="7" fillId="7" fontId="2" numFmtId="0" xfId="0" applyBorder="1" applyFill="1" applyFont="1"/>
    <xf borderId="1" fillId="0" fontId="1" numFmtId="0" xfId="0" applyAlignment="1" applyBorder="1" applyFont="1">
      <alignment horizontal="center" readingOrder="0" vertical="center"/>
    </xf>
    <xf borderId="7" fillId="7" fontId="2" numFmtId="165" xfId="0" applyAlignment="1" applyBorder="1" applyFill="1" applyFont="1" applyNumberFormat="1">
      <alignment horizontal="right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165" xfId="0" applyAlignment="1" applyFont="1" applyNumberFormat="1">
      <alignment horizontal="center" vertical="center"/>
    </xf>
    <xf borderId="0" fillId="8" fontId="7" numFmtId="0" xfId="0" applyAlignment="1" applyFill="1" applyFont="1">
      <alignment horizontal="center" vertical="center"/>
    </xf>
    <xf borderId="0" fillId="2" fontId="7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0" xfId="0" applyBorder="1" applyFont="1"/>
    <xf borderId="0" fillId="9" fontId="1" numFmtId="0" xfId="0" applyAlignment="1" applyFill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11" fontId="8" numFmtId="0" xfId="0" applyAlignment="1" applyFill="1" applyFont="1">
      <alignment horizontal="center" shrinkToFit="0" vertical="center" wrapText="1"/>
    </xf>
    <xf borderId="0" fillId="12" fontId="7" numFmtId="0" xfId="0" applyAlignment="1" applyFill="1" applyFont="1">
      <alignment horizontal="center" vertical="center"/>
    </xf>
    <xf borderId="0" fillId="12" fontId="9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horizontal="center" shrinkToFit="0" vertical="center" wrapText="0"/>
    </xf>
    <xf borderId="0" fillId="9" fontId="10" numFmtId="1" xfId="0" applyAlignment="1" applyFill="1" applyFont="1" applyNumberFormat="1">
      <alignment horizontal="center" shrinkToFit="0" vertical="center" wrapText="0"/>
    </xf>
    <xf borderId="0" fillId="13" fontId="11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horizontal="left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11" fontId="9" numFmtId="1" xfId="0" applyAlignment="1" applyFill="1" applyFont="1" applyNumberForma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14" fontId="9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4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7" fillId="0" fontId="1" numFmtId="0" xfId="0" applyAlignment="1" applyBorder="1" applyFont="1">
      <alignment horizontal="center"/>
    </xf>
    <xf borderId="0" fillId="11" fontId="9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7" fontId="15" numFmtId="0" xfId="0" applyAlignment="1" applyFill="1" applyFont="1">
      <alignment horizontal="left" shrinkToFit="0" vertical="bottom" wrapText="0"/>
    </xf>
    <xf borderId="0" fillId="18" fontId="16" numFmtId="0" xfId="0" applyAlignment="1" applyFill="1" applyFont="1">
      <alignment shrinkToFit="0" vertical="bottom" wrapText="0"/>
    </xf>
    <xf borderId="0" fillId="17" fontId="17" numFmtId="0" xfId="0" applyAlignment="1" applyFill="1" applyFont="1">
      <alignment horizontal="left" shrinkToFit="0" vertical="center" wrapText="0"/>
    </xf>
    <xf borderId="0" fillId="19" fontId="18" numFmtId="0" xfId="0" applyAlignment="1" applyFill="1" applyFont="1">
      <alignment horizontal="center" shrinkToFit="0" vertical="center" wrapText="1"/>
    </xf>
    <xf borderId="0" fillId="12" fontId="14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9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9" numFmtId="0" xfId="0" applyAlignment="1" applyFill="1" applyFont="1">
      <alignment horizontal="center" shrinkToFit="0" vertical="center" wrapText="1"/>
    </xf>
    <xf borderId="0" fillId="0" fontId="10" numFmtId="0" xfId="0" applyAlignment="1" applyFont="1">
      <alignment shrinkToFit="0" vertical="center" wrapText="1"/>
    </xf>
    <xf borderId="0" fillId="0" fontId="10" numFmtId="172" xfId="0" applyAlignment="1" applyFont="1" applyNumberFormat="1">
      <alignment shrinkToFit="0" vertical="center" wrapText="1"/>
    </xf>
    <xf borderId="0" fillId="0" fontId="10" numFmtId="171" xfId="0" applyAlignment="1" applyFont="1" applyNumberFormat="1">
      <alignment shrinkToFit="0" vertical="center" wrapText="1"/>
    </xf>
    <xf borderId="0" fillId="9" fontId="10" numFmtId="0" xfId="0" applyAlignment="1" applyFill="1" applyFont="1">
      <alignment shrinkToFit="0" vertical="center" wrapText="1"/>
    </xf>
    <xf borderId="0" fillId="0" fontId="10" numFmtId="0" xfId="0" applyAlignment="1" applyFont="1">
      <alignment shrinkToFit="0" vertical="bottom" wrapText="0"/>
    </xf>
    <xf borderId="0" fillId="0" fontId="10" numFmtId="168" xfId="0" applyAlignment="1" applyFont="1" applyNumberFormat="1">
      <alignment shrinkToFit="0" vertical="bottom" wrapText="0"/>
    </xf>
    <xf borderId="0" fillId="3" fontId="9" numFmtId="0" xfId="0" applyAlignment="1" applyFill="1" applyFont="1">
      <alignment horizontal="center" shrinkToFit="0" vertical="bottom" wrapText="0"/>
    </xf>
    <xf borderId="0" fillId="9" fontId="10" numFmtId="0" xfId="0" applyAlignment="1" applyFill="1" applyFont="1">
      <alignment shrinkToFit="0" vertical="top" wrapText="1"/>
    </xf>
    <xf borderId="0" fillId="8" fontId="9" numFmtId="0" xfId="0" applyAlignment="1" applyFill="1" applyFont="1">
      <alignment horizontal="center" shrinkToFit="0" vertical="center" wrapText="0"/>
    </xf>
    <xf borderId="0" fillId="0" fontId="9" numFmtId="0" xfId="0" applyAlignment="1" applyFont="1">
      <alignment shrinkToFit="0" vertical="center" wrapText="0"/>
    </xf>
    <xf borderId="0" fillId="16" fontId="21" numFmtId="168" xfId="0" applyAlignment="1" applyFill="1" applyFont="1" applyNumberFormat="1">
      <alignment horizontal="center" shrinkToFit="0" vertical="center" wrapText="0"/>
    </xf>
    <xf borderId="0" fillId="16" fontId="21" numFmtId="0" xfId="0" applyAlignment="1" applyFill="1" applyFont="1">
      <alignment horizontal="center" shrinkToFit="0" vertical="center" wrapText="0"/>
    </xf>
    <xf borderId="0" fillId="0" fontId="10" numFmtId="172" xfId="0" applyAlignment="1" applyFont="1" applyNumberFormat="1">
      <alignment shrinkToFit="0" vertical="bottom" wrapText="0"/>
    </xf>
    <xf borderId="0" fillId="0" fontId="10" numFmtId="2" xfId="0" applyAlignment="1" applyFont="1" applyNumberFormat="1">
      <alignment shrinkToFit="0" vertical="bottom" wrapText="0"/>
    </xf>
    <xf borderId="0" fillId="18" fontId="16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invertIfNegative val="0"/>
          <c:cat>
            <c:strRef>
              <c:f>'31'!$D$56:$D$68</c:f>
            </c:strRef>
          </c:cat>
          <c:val>
            <c:numRef>
              <c:f>'31'!$D$56:$D$68</c:f>
              <c:numCache/>
            </c:numRef>
          </c:val>
        </c:ser>
        <c:axId val="318420909"/>
        <c:axId val="1678960708"/>
      </c:barChart>
      <c:catAx>
        <c:axId val="3184209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678960708"/>
      </c:catAx>
      <c:valAx>
        <c:axId val="1678960708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31842090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axId val="1450760772"/>
        <c:axId val="1902301675"/>
      </c:lineChart>
      <c:catAx>
        <c:axId val="14507607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02301675"/>
      </c:catAx>
      <c:valAx>
        <c:axId val="1902301675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45076077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</c:dPt>
          <c:dPt>
            <c:idx val="4"/>
          </c:dPt>
          <c:dPt>
            <c:idx val="5"/>
          </c:dPt>
          <c:dPt>
            <c:idx val="6"/>
          </c:dPt>
          <c:dPt>
            <c:idx val="7"/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8" t="s">
        <v>18</v>
      </c>
      <c r="D4" s="20" t="s">
        <v>19</v>
      </c>
      <c r="E4" s="22"/>
      <c r="F4" s="24" t="s">
        <v>20</v>
      </c>
      <c r="G4" s="27"/>
      <c r="H4" s="29">
        <v>100000.0</v>
      </c>
      <c r="I4" s="24" t="s">
        <v>21</v>
      </c>
      <c r="J4" s="16"/>
      <c r="K4" s="16"/>
      <c r="L4" s="24" t="s">
        <v>22</v>
      </c>
      <c r="M4" s="16"/>
      <c r="N4" s="30"/>
      <c r="O4" s="30"/>
      <c r="P4" s="32"/>
      <c r="Q4" s="1"/>
      <c r="R4" s="1"/>
    </row>
    <row r="5" ht="15.75" customHeight="1">
      <c r="A5" s="1"/>
      <c r="B5" s="16">
        <v>2.0</v>
      </c>
      <c r="C5" s="18" t="s">
        <v>23</v>
      </c>
      <c r="D5" s="20" t="s">
        <v>24</v>
      </c>
      <c r="E5" s="22"/>
      <c r="F5" s="24" t="s">
        <v>25</v>
      </c>
      <c r="G5" s="39">
        <v>125000.0</v>
      </c>
      <c r="H5" s="33"/>
      <c r="I5" s="24" t="s">
        <v>26</v>
      </c>
      <c r="J5" s="24" t="s">
        <v>27</v>
      </c>
      <c r="K5" s="24" t="s">
        <v>28</v>
      </c>
      <c r="L5" s="24" t="s">
        <v>22</v>
      </c>
      <c r="M5" s="24" t="s">
        <v>29</v>
      </c>
      <c r="N5" s="34"/>
      <c r="O5" s="34"/>
      <c r="P5" s="34"/>
      <c r="Q5" s="1"/>
      <c r="R5" s="1"/>
    </row>
    <row r="6" ht="15.75" customHeight="1">
      <c r="A6" s="1"/>
      <c r="B6" s="16">
        <v>3.0</v>
      </c>
      <c r="C6" s="18" t="s">
        <v>30</v>
      </c>
      <c r="D6" s="20" t="s">
        <v>19</v>
      </c>
      <c r="E6" s="22"/>
      <c r="F6" s="24" t="s">
        <v>31</v>
      </c>
      <c r="G6" s="43"/>
      <c r="H6" s="45">
        <v>100000.0</v>
      </c>
      <c r="I6" s="24" t="s">
        <v>21</v>
      </c>
      <c r="J6" s="16"/>
      <c r="K6" s="16"/>
      <c r="L6" s="24" t="s">
        <v>22</v>
      </c>
      <c r="M6" s="16"/>
      <c r="N6" s="34"/>
      <c r="O6" s="34"/>
      <c r="P6" s="34"/>
      <c r="Q6" s="1"/>
      <c r="R6" s="1"/>
    </row>
    <row r="7" ht="15.75" customHeight="1">
      <c r="A7" s="1"/>
      <c r="B7" s="16">
        <v>4.0</v>
      </c>
      <c r="C7" s="18" t="s">
        <v>32</v>
      </c>
      <c r="D7" s="20" t="s">
        <v>33</v>
      </c>
      <c r="E7" s="22"/>
      <c r="F7" s="24" t="s">
        <v>25</v>
      </c>
      <c r="G7" s="43"/>
      <c r="H7" s="45">
        <v>200000.0</v>
      </c>
      <c r="I7" s="24" t="s">
        <v>26</v>
      </c>
      <c r="J7" s="24" t="s">
        <v>27</v>
      </c>
      <c r="K7" s="24" t="s">
        <v>27</v>
      </c>
      <c r="L7" s="24" t="s">
        <v>22</v>
      </c>
      <c r="M7" s="24" t="s">
        <v>29</v>
      </c>
      <c r="N7" s="34"/>
      <c r="O7" s="34"/>
      <c r="P7" s="34"/>
      <c r="Q7" s="1"/>
      <c r="R7" s="1"/>
    </row>
    <row r="8" ht="15.75" customHeight="1">
      <c r="A8" s="1"/>
      <c r="B8" s="16">
        <v>5.0</v>
      </c>
      <c r="C8" s="18" t="s">
        <v>34</v>
      </c>
      <c r="D8" s="20" t="s">
        <v>19</v>
      </c>
      <c r="E8" s="22"/>
      <c r="F8" s="24" t="s">
        <v>35</v>
      </c>
      <c r="G8" s="27"/>
      <c r="H8" s="29">
        <v>100000.0</v>
      </c>
      <c r="I8" s="24" t="s">
        <v>21</v>
      </c>
      <c r="J8" s="16"/>
      <c r="K8" s="16"/>
      <c r="L8" s="24" t="s">
        <v>22</v>
      </c>
      <c r="M8" s="16"/>
      <c r="N8" s="34"/>
      <c r="O8" s="34"/>
      <c r="P8" s="34"/>
      <c r="Q8" s="1"/>
      <c r="R8" s="1"/>
    </row>
    <row r="9" ht="15.75" customHeight="1">
      <c r="A9" s="1"/>
      <c r="B9" s="16">
        <v>6.0</v>
      </c>
      <c r="C9" s="47"/>
      <c r="D9" s="21"/>
      <c r="E9" s="48"/>
      <c r="F9" s="28"/>
      <c r="G9" s="43"/>
      <c r="H9" s="49"/>
      <c r="I9" s="16"/>
      <c r="J9" s="16"/>
      <c r="K9" s="16"/>
      <c r="L9" s="16"/>
      <c r="M9" s="16"/>
      <c r="N9" s="34"/>
      <c r="O9" s="34"/>
      <c r="P9" s="34"/>
      <c r="Q9" s="1"/>
      <c r="R9" s="1"/>
    </row>
    <row r="10" ht="15.75" customHeight="1">
      <c r="A10" s="1"/>
      <c r="B10" s="16">
        <v>7.0</v>
      </c>
      <c r="C10" s="17"/>
      <c r="D10" s="21"/>
      <c r="E10" s="48"/>
      <c r="F10" s="28"/>
      <c r="G10" s="43"/>
      <c r="H10" s="49"/>
      <c r="I10" s="16"/>
      <c r="J10" s="16"/>
      <c r="K10" s="16"/>
      <c r="L10" s="16"/>
      <c r="M10" s="16"/>
      <c r="N10" s="34"/>
      <c r="O10" s="34"/>
      <c r="P10" s="34"/>
      <c r="Q10" s="1"/>
      <c r="R10" s="1"/>
    </row>
    <row r="11" ht="15.75" customHeight="1">
      <c r="A11" s="1"/>
      <c r="B11" s="16">
        <v>8.0</v>
      </c>
      <c r="C11" s="17"/>
      <c r="D11" s="21"/>
      <c r="E11" s="48"/>
      <c r="F11" s="28"/>
      <c r="G11" s="27"/>
      <c r="H11" s="33"/>
      <c r="I11" s="16"/>
      <c r="J11" s="16"/>
      <c r="K11" s="16"/>
      <c r="L11" s="16"/>
      <c r="M11" s="16"/>
      <c r="N11" s="34"/>
      <c r="O11" s="34"/>
      <c r="P11" s="34"/>
      <c r="Q11" s="1"/>
      <c r="R11" s="1"/>
    </row>
    <row r="12" ht="15.75" customHeight="1">
      <c r="A12" s="1"/>
      <c r="B12" s="16">
        <v>9.0</v>
      </c>
      <c r="C12" s="47"/>
      <c r="D12" s="21"/>
      <c r="E12" s="48"/>
      <c r="F12" s="44"/>
      <c r="G12" s="43"/>
      <c r="H12" s="33"/>
      <c r="I12" s="16"/>
      <c r="J12" s="16"/>
      <c r="K12" s="16"/>
      <c r="L12" s="16"/>
      <c r="M12" s="16"/>
      <c r="N12" s="34"/>
      <c r="O12" s="34"/>
      <c r="P12" s="34"/>
      <c r="Q12" s="1"/>
      <c r="R12" s="1"/>
    </row>
    <row r="13" ht="15.75" customHeight="1">
      <c r="A13" s="1"/>
      <c r="B13" s="16">
        <v>10.0</v>
      </c>
      <c r="C13" s="17"/>
      <c r="D13" s="21"/>
      <c r="E13" s="48"/>
      <c r="F13" s="44"/>
      <c r="G13" s="27"/>
      <c r="H13" s="33"/>
      <c r="I13" s="16"/>
      <c r="J13" s="16"/>
      <c r="K13" s="16"/>
      <c r="L13" s="16"/>
      <c r="M13" s="16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/>
      <c r="H14" s="52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69" t="s">
        <v>22</v>
      </c>
      <c r="P18" s="1"/>
      <c r="Q18" s="1"/>
      <c r="R18" s="1"/>
    </row>
    <row r="19" ht="15.75" customHeight="1">
      <c r="A19" s="1"/>
      <c r="B19" s="62">
        <v>2.0</v>
      </c>
      <c r="C19" s="68"/>
      <c r="D19" s="70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73" t="s">
        <v>22</v>
      </c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74" t="s">
        <v>29</v>
      </c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75"/>
      <c r="G21" s="1"/>
      <c r="H21" s="1"/>
      <c r="I21" s="1"/>
      <c r="J21" s="1"/>
      <c r="K21" s="1"/>
      <c r="L21" s="1"/>
      <c r="M21" s="1"/>
      <c r="N21" s="71" t="s">
        <v>42</v>
      </c>
      <c r="O21" s="73" t="s">
        <v>29</v>
      </c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1">IF(O18="","",O18)</f>
        <v>AMEL</v>
      </c>
      <c r="L25" s="82"/>
      <c r="M25" s="82"/>
      <c r="N25" s="82"/>
      <c r="O25" s="82"/>
      <c r="P25" s="82"/>
      <c r="Q25" s="1"/>
      <c r="R25" s="1"/>
      <c r="AC25" s="78" t="str">
        <f t="shared" ref="AC25:AC30" si="2">IF(AG25="","",IF(COUNT(L25:P25)&lt;5,"",L25/5*20+M25/5*25+N25/5*25+O25/5*15+P25/5*15))</f>
        <v/>
      </c>
      <c r="AD25" s="78" t="str">
        <f t="shared" ref="AD25:AD30" si="3">IF(AC25="","",IF(AC25&gt;=90,"Sangat Baik",IF(AC25&gt;=80,"Baik",IF(AC25&gt;=70,"Coaching","Underperform"))))</f>
        <v/>
      </c>
      <c r="AE25" s="78" t="str">
        <f t="shared" ref="AE25:AE30" si="4">IF(AG25="","",IF(OR(AG25="INDAH",AG25="ADDEL",AG25="AMEL",AG25="PENTIL",AG25="JIJANG"),"Admin/CS","Fotografer"))</f>
        <v>Admin/CS</v>
      </c>
      <c r="AF25" s="78" t="str">
        <f t="shared" ref="AF25:AF30" si="5">IF(OR(AG25="",COUNT(L25:P25)&lt;5),"",1)</f>
        <v/>
      </c>
      <c r="AG25" s="78" t="str">
        <f t="shared" ref="AG25:AG30" si="6">IFERROR(K25,"")</f>
        <v>AMEL</v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1"/>
        <v>AMEL</v>
      </c>
      <c r="L26" s="82"/>
      <c r="M26" s="82"/>
      <c r="N26" s="82"/>
      <c r="O26" s="82"/>
      <c r="P26" s="82"/>
      <c r="Q26" s="1"/>
      <c r="R26" s="1"/>
      <c r="AC26" s="78" t="str">
        <f t="shared" si="2"/>
        <v/>
      </c>
      <c r="AD26" s="78" t="str">
        <f t="shared" si="3"/>
        <v/>
      </c>
      <c r="AE26" s="78" t="str">
        <f t="shared" si="4"/>
        <v>Admin/CS</v>
      </c>
      <c r="AF26" s="78" t="str">
        <f t="shared" si="5"/>
        <v/>
      </c>
      <c r="AG26" s="78" t="str">
        <f t="shared" si="6"/>
        <v>AMEL</v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1"/>
        <v>ADIF</v>
      </c>
      <c r="L27" s="82"/>
      <c r="M27" s="82"/>
      <c r="N27" s="82"/>
      <c r="O27" s="82"/>
      <c r="P27" s="82"/>
      <c r="Q27" s="1"/>
      <c r="R27" s="1"/>
      <c r="AC27" s="78" t="str">
        <f t="shared" si="2"/>
        <v/>
      </c>
      <c r="AD27" s="78" t="str">
        <f t="shared" si="3"/>
        <v/>
      </c>
      <c r="AE27" s="78" t="str">
        <f t="shared" si="4"/>
        <v>Fotografer</v>
      </c>
      <c r="AF27" s="78" t="str">
        <f t="shared" si="5"/>
        <v/>
      </c>
      <c r="AG27" s="78" t="str">
        <f t="shared" si="6"/>
        <v>ADIF</v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1"/>
        <v>ADIF</v>
      </c>
      <c r="L28" s="82"/>
      <c r="M28" s="82"/>
      <c r="N28" s="82"/>
      <c r="O28" s="82"/>
      <c r="P28" s="82"/>
      <c r="Q28" s="1"/>
      <c r="R28" s="1"/>
      <c r="AC28" s="78" t="str">
        <f t="shared" si="2"/>
        <v/>
      </c>
      <c r="AD28" s="78" t="str">
        <f t="shared" si="3"/>
        <v/>
      </c>
      <c r="AE28" s="78" t="str">
        <f t="shared" si="4"/>
        <v>Fotografer</v>
      </c>
      <c r="AF28" s="78" t="str">
        <f t="shared" si="5"/>
        <v/>
      </c>
      <c r="AG28" s="78" t="str">
        <f t="shared" si="6"/>
        <v>ADIF</v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2"/>
        <v/>
      </c>
      <c r="AD29" s="78" t="str">
        <f t="shared" si="3"/>
        <v/>
      </c>
      <c r="AE29" s="78" t="str">
        <f t="shared" si="4"/>
        <v/>
      </c>
      <c r="AF29" s="78" t="str">
        <f t="shared" si="5"/>
        <v/>
      </c>
      <c r="AG29" s="78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2"/>
        <v/>
      </c>
      <c r="AD30" s="78" t="str">
        <f t="shared" si="3"/>
        <v/>
      </c>
      <c r="AE30" s="78" t="str">
        <f t="shared" si="4"/>
        <v/>
      </c>
      <c r="AF30" s="78" t="str">
        <f t="shared" si="5"/>
        <v/>
      </c>
      <c r="AG30" s="78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7">IF(O18="","",O18)</f>
        <v>AMEL</v>
      </c>
      <c r="L35" s="91"/>
      <c r="M35" s="91"/>
    </row>
    <row r="36" ht="15.75" customHeight="1">
      <c r="K36" s="90" t="str">
        <f t="shared" si="7"/>
        <v>AMEL</v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3</v>
      </c>
    </row>
    <row r="41" ht="19.5" customHeight="1">
      <c r="K41" s="94" t="s">
        <v>61</v>
      </c>
      <c r="M41" s="95">
        <f>COUNTIFS($I$4:$I$16,"&lt;&gt;DP",$I$4:$I$16,"&lt;&gt;")</f>
        <v>2</v>
      </c>
    </row>
    <row r="42" ht="19.5" customHeight="1">
      <c r="K42" s="96" t="s">
        <v>62</v>
      </c>
      <c r="M42" s="95">
        <f>M40+M41</f>
        <v>5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"-,JIJANG,AXEL,PENTIL,FAHME,AMEL,INDAH,AMEL,ADDEL"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5"/>
      <c r="F4" s="28"/>
      <c r="G4" s="31"/>
      <c r="H4" s="33"/>
      <c r="I4" s="16"/>
      <c r="J4" s="16"/>
      <c r="K4" s="16"/>
      <c r="L4" s="16"/>
      <c r="M4" s="16"/>
      <c r="N4" s="30"/>
      <c r="O4" s="30"/>
      <c r="P4" s="32"/>
      <c r="Q4" s="1"/>
      <c r="R4" s="1"/>
    </row>
    <row r="5" ht="15.75" customHeight="1">
      <c r="A5" s="1"/>
      <c r="B5" s="14">
        <v>2.0</v>
      </c>
      <c r="C5" s="36"/>
      <c r="D5" s="21"/>
      <c r="E5" s="38"/>
      <c r="F5" s="16"/>
      <c r="G5" s="40"/>
      <c r="H5" s="41"/>
      <c r="I5" s="16"/>
      <c r="J5" s="16"/>
      <c r="K5" s="16"/>
      <c r="L5" s="16"/>
      <c r="M5" s="16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/>
      <c r="D6" s="21"/>
      <c r="E6" s="25"/>
      <c r="F6" s="44"/>
      <c r="G6" s="31"/>
      <c r="H6" s="33"/>
      <c r="I6" s="16"/>
      <c r="J6" s="16"/>
      <c r="K6" s="16"/>
      <c r="L6" s="16"/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/>
      <c r="D7" s="21"/>
      <c r="E7" s="38"/>
      <c r="F7" s="28"/>
      <c r="G7" s="31"/>
      <c r="H7" s="33"/>
      <c r="I7" s="16"/>
      <c r="J7" s="16"/>
      <c r="K7" s="16"/>
      <c r="L7" s="16"/>
      <c r="M7" s="1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47"/>
      <c r="D8" s="21"/>
      <c r="E8" s="25"/>
      <c r="F8" s="16"/>
      <c r="G8" s="40"/>
      <c r="H8" s="41"/>
      <c r="I8" s="16"/>
      <c r="J8" s="16"/>
      <c r="K8" s="16"/>
      <c r="L8" s="16"/>
      <c r="M8" s="16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/>
      <c r="D9" s="21"/>
      <c r="E9" s="25"/>
      <c r="F9" s="16"/>
      <c r="G9" s="40"/>
      <c r="H9" s="41"/>
      <c r="I9" s="16"/>
      <c r="J9" s="16"/>
      <c r="K9" s="16"/>
      <c r="L9" s="16"/>
      <c r="M9" s="16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/>
      <c r="D10" s="21"/>
      <c r="E10" s="25"/>
      <c r="F10" s="16"/>
      <c r="G10" s="31"/>
      <c r="H10" s="33"/>
      <c r="I10" s="16"/>
      <c r="J10" s="16"/>
      <c r="K10" s="16"/>
      <c r="L10" s="16"/>
      <c r="M10" s="16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6"/>
      <c r="D11" s="21"/>
      <c r="E11" s="25"/>
      <c r="F11" s="16"/>
      <c r="G11" s="31"/>
      <c r="H11" s="33"/>
      <c r="I11" s="16"/>
      <c r="J11" s="16"/>
      <c r="K11" s="16"/>
      <c r="L11" s="16"/>
      <c r="M11" s="16"/>
      <c r="N11" s="34"/>
      <c r="O11" s="34"/>
      <c r="P11" s="34"/>
      <c r="Q11" s="1"/>
      <c r="R11" s="1"/>
      <c r="S11" s="53"/>
    </row>
    <row r="12" ht="15.75" customHeight="1">
      <c r="A12" s="1"/>
      <c r="B12" s="14">
        <v>9.0</v>
      </c>
      <c r="C12" s="17"/>
      <c r="D12" s="21"/>
      <c r="E12" s="25"/>
      <c r="F12" s="16"/>
      <c r="G12" s="31"/>
      <c r="H12" s="33"/>
      <c r="I12" s="16"/>
      <c r="J12" s="16"/>
      <c r="K12" s="16"/>
      <c r="L12" s="16"/>
      <c r="M12" s="16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6"/>
      <c r="D13" s="21"/>
      <c r="E13" s="25"/>
      <c r="F13" s="16"/>
      <c r="G13" s="31"/>
      <c r="H13" s="33"/>
      <c r="I13" s="16"/>
      <c r="J13" s="16"/>
      <c r="K13" s="16"/>
      <c r="L13" s="16"/>
      <c r="M13" s="16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/>
      <c r="H14" s="52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8"/>
      <c r="D19" s="70"/>
      <c r="E19" s="60"/>
      <c r="F19" s="1"/>
      <c r="G19" s="1"/>
      <c r="H19" s="1"/>
      <c r="I19" s="1"/>
      <c r="J19" s="1"/>
      <c r="K19" s="1"/>
      <c r="L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79"/>
      <c r="D20" s="81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8"/>
      <c r="D21" s="70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79"/>
      <c r="D22" s="81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8"/>
      <c r="D23" s="70"/>
      <c r="E23" s="60"/>
      <c r="F23" s="75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75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1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2">IF(AG25="","",IF(COUNT(L25:P25)&lt;5,"",L25/5*20+M25/5*25+N25/5*25+O25/5*15+P25/5*15))</f>
        <v/>
      </c>
      <c r="AD25" s="78" t="str">
        <f t="shared" ref="AD25:AD30" si="3">IF(AC25="","",IF(AC25&gt;=90,"Sangat Baik",IF(AC25&gt;=80,"Baik",IF(AC25&gt;=70,"Coaching","Underperform"))))</f>
        <v/>
      </c>
      <c r="AE25" s="78" t="str">
        <f t="shared" ref="AE25:AE30" si="4">IF(AG25="","",IF(OR(AG25="INDAH",AG25="ADDEL",AG25="AMEL",AG25="PENTIL",AG25="JIJANG"),"Admin/CS","Fotografer"))</f>
        <v/>
      </c>
      <c r="AF25" s="78" t="str">
        <f t="shared" ref="AF25:AF30" si="5">IF(OR(AG25="",COUNT(L25:P25)&lt;5),"",1)</f>
        <v/>
      </c>
      <c r="AG25" s="78" t="str">
        <f t="shared" ref="AG25:AG30" si="6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1"/>
        <v/>
      </c>
      <c r="L26" s="82"/>
      <c r="M26" s="82"/>
      <c r="N26" s="82"/>
      <c r="O26" s="82"/>
      <c r="P26" s="82"/>
      <c r="Q26" s="1"/>
      <c r="R26" s="1"/>
      <c r="AC26" s="78" t="str">
        <f t="shared" si="2"/>
        <v/>
      </c>
      <c r="AD26" s="78" t="str">
        <f t="shared" si="3"/>
        <v/>
      </c>
      <c r="AE26" s="78" t="str">
        <f t="shared" si="4"/>
        <v/>
      </c>
      <c r="AF26" s="78" t="str">
        <f t="shared" si="5"/>
        <v/>
      </c>
      <c r="AG26" s="78" t="str">
        <f t="shared" si="6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1"/>
        <v/>
      </c>
      <c r="L27" s="82"/>
      <c r="M27" s="82"/>
      <c r="N27" s="82"/>
      <c r="O27" s="82"/>
      <c r="P27" s="82"/>
      <c r="Q27" s="1"/>
      <c r="R27" s="1"/>
      <c r="AC27" s="78" t="str">
        <f t="shared" si="2"/>
        <v/>
      </c>
      <c r="AD27" s="78" t="str">
        <f t="shared" si="3"/>
        <v/>
      </c>
      <c r="AE27" s="78" t="str">
        <f t="shared" si="4"/>
        <v/>
      </c>
      <c r="AF27" s="78" t="str">
        <f t="shared" si="5"/>
        <v/>
      </c>
      <c r="AG27" s="78" t="str">
        <f t="shared" si="6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1"/>
        <v/>
      </c>
      <c r="L28" s="82"/>
      <c r="M28" s="82"/>
      <c r="N28" s="82"/>
      <c r="O28" s="82"/>
      <c r="P28" s="82"/>
      <c r="Q28" s="1"/>
      <c r="R28" s="1"/>
      <c r="AC28" s="78" t="str">
        <f t="shared" si="2"/>
        <v/>
      </c>
      <c r="AD28" s="78" t="str">
        <f t="shared" si="3"/>
        <v/>
      </c>
      <c r="AE28" s="78" t="str">
        <f t="shared" si="4"/>
        <v/>
      </c>
      <c r="AF28" s="78" t="str">
        <f t="shared" si="5"/>
        <v/>
      </c>
      <c r="AG28" s="78" t="str">
        <f t="shared" si="6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2"/>
        <v/>
      </c>
      <c r="AD29" s="78" t="str">
        <f t="shared" si="3"/>
        <v/>
      </c>
      <c r="AE29" s="78" t="str">
        <f t="shared" si="4"/>
        <v/>
      </c>
      <c r="AF29" s="78" t="str">
        <f t="shared" si="5"/>
        <v/>
      </c>
      <c r="AG29" s="78" t="str">
        <f t="shared" si="6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2"/>
        <v/>
      </c>
      <c r="AD30" s="78" t="str">
        <f t="shared" si="3"/>
        <v/>
      </c>
      <c r="AE30" s="78" t="str">
        <f t="shared" si="4"/>
        <v/>
      </c>
      <c r="AF30" s="78" t="str">
        <f t="shared" si="5"/>
        <v/>
      </c>
      <c r="AG30" s="78" t="str">
        <f t="shared" si="6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7">IF(O18="","",O18)</f>
        <v/>
      </c>
      <c r="L35" s="91"/>
      <c r="M35" s="91"/>
    </row>
    <row r="36" ht="15.75" customHeight="1">
      <c r="K36" s="90" t="str">
        <f t="shared" si="7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3:M33"/>
    <mergeCell ref="K38:M38"/>
    <mergeCell ref="K39:L39"/>
    <mergeCell ref="K40:L40"/>
    <mergeCell ref="K41:L41"/>
    <mergeCell ref="K42:L42"/>
    <mergeCell ref="K43:L43"/>
    <mergeCell ref="L2:L3"/>
    <mergeCell ref="M2:M3"/>
    <mergeCell ref="N2:P2"/>
    <mergeCell ref="L18:M18"/>
    <mergeCell ref="L19:M19"/>
    <mergeCell ref="K23:P23"/>
    <mergeCell ref="K31:P31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L4:L13">
      <formula1>"-,JIJANG,AXEL,PENTIL,FAHME,AMEL,INDAH,ADDEL"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5"/>
      <c r="F4" s="16"/>
      <c r="G4" s="31"/>
      <c r="H4" s="33"/>
      <c r="I4" s="16"/>
      <c r="J4" s="37"/>
      <c r="K4" s="37"/>
      <c r="L4" s="16"/>
      <c r="M4" s="3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/>
      <c r="D5" s="21"/>
      <c r="E5" s="25"/>
      <c r="F5" s="16"/>
      <c r="G5" s="31"/>
      <c r="H5" s="33"/>
      <c r="I5" s="16"/>
      <c r="J5" s="37"/>
      <c r="K5" s="37"/>
      <c r="L5" s="16"/>
      <c r="M5" s="37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/>
      <c r="D6" s="21"/>
      <c r="E6" s="25"/>
      <c r="F6" s="16"/>
      <c r="G6" s="31"/>
      <c r="H6" s="33"/>
      <c r="I6" s="16"/>
      <c r="J6" s="37"/>
      <c r="K6" s="37"/>
      <c r="L6" s="16"/>
      <c r="M6" s="37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/>
      <c r="D7" s="21"/>
      <c r="E7" s="25"/>
      <c r="F7" s="16"/>
      <c r="G7" s="31"/>
      <c r="H7" s="33"/>
      <c r="I7" s="16"/>
      <c r="J7" s="16"/>
      <c r="K7" s="16"/>
      <c r="L7" s="16"/>
      <c r="M7" s="1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/>
      <c r="D8" s="21"/>
      <c r="E8" s="38"/>
      <c r="F8" s="16"/>
      <c r="G8" s="40"/>
      <c r="H8" s="41"/>
      <c r="I8" s="16"/>
      <c r="J8" s="16"/>
      <c r="K8" s="16"/>
      <c r="L8" s="16"/>
      <c r="M8" s="16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21"/>
      <c r="E9" s="16"/>
      <c r="F9" s="14"/>
      <c r="G9" s="51"/>
      <c r="H9" s="26"/>
      <c r="I9" s="14"/>
      <c r="J9" s="14"/>
      <c r="K9" s="14"/>
      <c r="L9" s="16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14"/>
      <c r="G10" s="51"/>
      <c r="H10" s="26"/>
      <c r="I10" s="14"/>
      <c r="J10" s="14"/>
      <c r="K10" s="14"/>
      <c r="L10" s="16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54"/>
      <c r="F11" s="14"/>
      <c r="G11" s="51"/>
      <c r="H11" s="26"/>
      <c r="I11" s="14"/>
      <c r="J11" s="14"/>
      <c r="K11" s="14"/>
      <c r="L11" s="16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/>
      <c r="D12" s="17"/>
      <c r="E12" s="16"/>
      <c r="F12" s="14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50">
        <f t="shared" ref="G13:H13" si="1">SUM(G4:G12)</f>
        <v>0</v>
      </c>
      <c r="H13" s="52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5" t="s">
        <v>0</v>
      </c>
      <c r="C16" s="56" t="s">
        <v>6</v>
      </c>
      <c r="D16" s="56" t="s">
        <v>36</v>
      </c>
      <c r="E16" s="1"/>
      <c r="F16" s="1"/>
      <c r="G16" s="1"/>
      <c r="H16" s="1"/>
      <c r="I16" s="1"/>
      <c r="J16" s="1"/>
      <c r="K16" s="1"/>
      <c r="L16" s="1"/>
      <c r="M16" s="1"/>
      <c r="N16" s="56" t="s">
        <v>37</v>
      </c>
      <c r="O16" s="56" t="s">
        <v>1</v>
      </c>
      <c r="P16" s="1"/>
      <c r="Q16" s="1"/>
      <c r="R16" s="1"/>
    </row>
    <row r="17" ht="15.75" customHeight="1">
      <c r="A17" s="1"/>
      <c r="B17" s="57">
        <v>1.0</v>
      </c>
      <c r="C17" s="58" t="s">
        <v>38</v>
      </c>
      <c r="D17" s="59">
        <f>SUM(G13)</f>
        <v>0</v>
      </c>
      <c r="E17" s="60"/>
      <c r="F17" s="1"/>
      <c r="G17" s="1"/>
      <c r="H17" s="1"/>
      <c r="I17" s="1"/>
      <c r="J17" s="1"/>
      <c r="K17" s="1"/>
      <c r="L17" s="1"/>
      <c r="M17" s="1"/>
      <c r="N17" s="61" t="s">
        <v>39</v>
      </c>
      <c r="O17" s="30"/>
      <c r="P17" s="1"/>
      <c r="Q17" s="1"/>
      <c r="R17" s="1"/>
    </row>
    <row r="18" ht="15.75" customHeight="1">
      <c r="A18" s="1"/>
      <c r="B18" s="62">
        <v>2.0</v>
      </c>
      <c r="C18" s="63"/>
      <c r="D18" s="64"/>
      <c r="E18" s="60"/>
      <c r="F18" s="1"/>
      <c r="G18" s="1"/>
      <c r="H18" s="1"/>
      <c r="I18" s="1"/>
      <c r="J18" s="1"/>
      <c r="K18" s="1"/>
      <c r="L18" s="1"/>
      <c r="M18" s="1"/>
      <c r="N18" s="65" t="s">
        <v>40</v>
      </c>
      <c r="O18" s="66"/>
      <c r="P18" s="1"/>
      <c r="Q18" s="1"/>
      <c r="R18" s="1"/>
    </row>
    <row r="19" ht="15.75" customHeight="1">
      <c r="A19" s="1"/>
      <c r="B19" s="57">
        <v>3.0</v>
      </c>
      <c r="C19" s="58"/>
      <c r="D19" s="59"/>
      <c r="E19" s="60"/>
      <c r="F19" s="1"/>
      <c r="G19" s="1"/>
      <c r="H19" s="1"/>
      <c r="I19" s="1"/>
      <c r="J19" s="1"/>
      <c r="K19" s="1"/>
      <c r="L19" s="1"/>
      <c r="M19" s="1"/>
      <c r="N19" s="67" t="s">
        <v>41</v>
      </c>
      <c r="O19" s="34"/>
      <c r="P19" s="1"/>
      <c r="Q19" s="1"/>
      <c r="R19" s="1"/>
    </row>
    <row r="20" ht="15.75" customHeight="1">
      <c r="A20" s="1"/>
      <c r="B20" s="62">
        <v>4.0</v>
      </c>
      <c r="C20" s="63"/>
      <c r="D20" s="64"/>
      <c r="E20" s="60"/>
      <c r="F20" s="1"/>
      <c r="G20" s="1"/>
      <c r="H20" s="1"/>
      <c r="I20" s="1"/>
      <c r="J20" s="1"/>
      <c r="K20" s="1"/>
      <c r="L20" s="1"/>
      <c r="M20" s="1"/>
      <c r="N20" s="71" t="s">
        <v>42</v>
      </c>
      <c r="O20" s="66"/>
      <c r="P20" s="1"/>
      <c r="Q20" s="1"/>
      <c r="R20" s="1"/>
    </row>
    <row r="21" ht="15.75" customHeight="1">
      <c r="A21" s="1"/>
      <c r="B21" s="57">
        <v>5.0</v>
      </c>
      <c r="C21" s="58"/>
      <c r="D21" s="59"/>
      <c r="E21" s="60"/>
      <c r="F21" s="1"/>
      <c r="G21" s="1"/>
      <c r="H21" s="1"/>
      <c r="I21" s="1"/>
      <c r="J21" s="1"/>
      <c r="K21" s="1"/>
      <c r="L21" s="1"/>
      <c r="M21" s="1"/>
      <c r="N21" s="72"/>
      <c r="O21" s="1"/>
      <c r="P21" s="1"/>
      <c r="Q21" s="1"/>
      <c r="R21" s="1"/>
    </row>
    <row r="22" ht="15.75" customHeight="1">
      <c r="A22" s="1"/>
      <c r="B22" s="62">
        <v>6.0</v>
      </c>
      <c r="C22" s="63"/>
      <c r="D22" s="64"/>
      <c r="E22" s="60"/>
      <c r="F22" s="1"/>
      <c r="G22" s="1"/>
      <c r="H22" s="1"/>
      <c r="I22" s="1"/>
      <c r="J22" s="1"/>
      <c r="K22" s="76" t="s">
        <v>43</v>
      </c>
      <c r="Q22" s="1"/>
      <c r="R22" s="1"/>
    </row>
    <row r="23" ht="15.75" customHeight="1">
      <c r="A23" s="1"/>
      <c r="B23" s="57">
        <v>7.0</v>
      </c>
      <c r="C23" s="58"/>
      <c r="D23" s="59"/>
      <c r="E23" s="60"/>
      <c r="F23" s="1"/>
      <c r="G23" s="1"/>
      <c r="H23" s="1"/>
      <c r="I23" s="1"/>
      <c r="J23" s="1"/>
      <c r="K23" s="77" t="s">
        <v>1</v>
      </c>
      <c r="L23" s="77" t="s">
        <v>44</v>
      </c>
      <c r="M23" s="77" t="s">
        <v>45</v>
      </c>
      <c r="N23" s="77" t="s">
        <v>46</v>
      </c>
      <c r="O23" s="77" t="s">
        <v>47</v>
      </c>
      <c r="P23" s="77" t="s">
        <v>48</v>
      </c>
      <c r="Q23" s="1"/>
      <c r="R23" s="1"/>
      <c r="AC23" s="78" t="s">
        <v>49</v>
      </c>
      <c r="AD23" s="78" t="s">
        <v>50</v>
      </c>
      <c r="AE23" s="78" t="s">
        <v>51</v>
      </c>
      <c r="AF23" s="78" t="s">
        <v>52</v>
      </c>
      <c r="AG23" s="78" t="s">
        <v>53</v>
      </c>
    </row>
    <row r="24" ht="15.75" customHeight="1">
      <c r="A24" s="1"/>
      <c r="B24" s="62">
        <v>8.0</v>
      </c>
      <c r="C24" s="63"/>
      <c r="D24" s="64"/>
      <c r="E24" s="60"/>
      <c r="F24" s="1"/>
      <c r="G24" s="1"/>
      <c r="H24" s="1"/>
      <c r="I24" s="1"/>
      <c r="J24" s="1"/>
      <c r="K24" s="80" t="str">
        <f t="shared" ref="K24:K27" si="2">IF(O17="","",O17)</f>
        <v/>
      </c>
      <c r="L24" s="82"/>
      <c r="M24" s="82"/>
      <c r="N24" s="82"/>
      <c r="O24" s="82"/>
      <c r="P24" s="82"/>
      <c r="Q24" s="1"/>
      <c r="R24" s="1"/>
      <c r="AC24" s="78" t="str">
        <f t="shared" ref="AC24:AC29" si="3">IF(AG24="","",IF(COUNT(L24:P24)&lt;5,"",L24/5*20+M24/5*25+N24/5*25+O24/5*15+P24/5*15))</f>
        <v/>
      </c>
      <c r="AD24" s="78" t="str">
        <f t="shared" ref="AD24:AD29" si="4">IF(AC24="","",IF(AC24&gt;=90,"Sangat Baik",IF(AC24&gt;=80,"Baik",IF(AC24&gt;=70,"Coaching","Underperform"))))</f>
        <v/>
      </c>
      <c r="AE24" s="78" t="str">
        <f t="shared" ref="AE24:AE29" si="5">IF(AG24="","",IF(OR(AG24="INDAH",AG24="ADDEL",AG24="AMEL",AG24="PENTIL",AG24="JIJANG"),"Admin/CS","Fotografer"))</f>
        <v/>
      </c>
      <c r="AF24" s="78" t="str">
        <f t="shared" ref="AF24:AF29" si="6">IF(OR(AG24="",COUNT(L24:P24)&lt;5),"",1)</f>
        <v/>
      </c>
      <c r="AG24" s="78" t="str">
        <f t="shared" ref="AG24:AG29" si="7">IFERROR(K24,"")</f>
        <v/>
      </c>
    </row>
    <row r="25" ht="15.75" customHeight="1">
      <c r="A25" s="1"/>
      <c r="B25" s="57">
        <v>9.0</v>
      </c>
      <c r="C25" s="58"/>
      <c r="D25" s="59"/>
      <c r="E25" s="60"/>
      <c r="F25" s="1"/>
      <c r="G25" s="1"/>
      <c r="H25" s="1"/>
      <c r="I25" s="1"/>
      <c r="J25" s="1"/>
      <c r="K25" s="80" t="str">
        <f t="shared" si="2"/>
        <v/>
      </c>
      <c r="L25" s="82"/>
      <c r="M25" s="82"/>
      <c r="N25" s="82"/>
      <c r="O25" s="82"/>
      <c r="P25" s="82"/>
      <c r="Q25" s="1"/>
      <c r="R25" s="1"/>
      <c r="AC25" s="78" t="str">
        <f t="shared" si="3"/>
        <v/>
      </c>
      <c r="AD25" s="78" t="str">
        <f t="shared" si="4"/>
        <v/>
      </c>
      <c r="AE25" s="78" t="str">
        <f t="shared" si="5"/>
        <v/>
      </c>
      <c r="AF25" s="78" t="str">
        <f t="shared" si="6"/>
        <v/>
      </c>
      <c r="AG25" s="78" t="str">
        <f t="shared" si="7"/>
        <v/>
      </c>
    </row>
    <row r="26" ht="15.75" customHeight="1">
      <c r="A26" s="1"/>
      <c r="B26" s="62">
        <v>10.0</v>
      </c>
      <c r="C26" s="63"/>
      <c r="D26" s="64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83">
        <v>11.0</v>
      </c>
      <c r="C27" s="84"/>
      <c r="D27" s="85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1"/>
      <c r="C28" s="2"/>
      <c r="D28" s="86">
        <f>SUM(D17:D27)</f>
        <v>0</v>
      </c>
      <c r="E28" s="1"/>
      <c r="F28" s="1"/>
      <c r="G28" s="1"/>
      <c r="H28" s="1"/>
      <c r="I28" s="1"/>
      <c r="J28" s="1"/>
      <c r="K28" s="80"/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7" t="s">
        <v>54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8" t="s">
        <v>55</v>
      </c>
      <c r="N32" s="1"/>
      <c r="O32" s="1"/>
      <c r="P32" s="1"/>
      <c r="Q32" s="1"/>
      <c r="R32" s="1"/>
    </row>
    <row r="33" ht="15.75" customHeight="1">
      <c r="K33" s="89" t="s">
        <v>7</v>
      </c>
      <c r="L33" s="89" t="s">
        <v>56</v>
      </c>
      <c r="M33" s="89" t="s">
        <v>57</v>
      </c>
    </row>
    <row r="34" ht="15.75" customHeight="1">
      <c r="K34" s="90" t="str">
        <f t="shared" ref="K34:K35" si="8">IF(O17="","",O17)</f>
        <v/>
      </c>
      <c r="L34" s="91"/>
      <c r="M34" s="91"/>
    </row>
    <row r="35" ht="15.75" customHeight="1">
      <c r="K35" s="90" t="str">
        <f t="shared" si="8"/>
        <v/>
      </c>
      <c r="L35" s="91"/>
      <c r="M35" s="91"/>
    </row>
    <row r="36" ht="15.75" customHeight="1"/>
    <row r="37" ht="19.5" customHeight="1">
      <c r="K37" s="92" t="s">
        <v>58</v>
      </c>
    </row>
    <row r="38" ht="19.5" customHeight="1">
      <c r="K38" s="93" t="s">
        <v>59</v>
      </c>
      <c r="M38" s="91"/>
    </row>
    <row r="39" ht="19.5" customHeight="1">
      <c r="K39" s="94" t="s">
        <v>60</v>
      </c>
      <c r="M39" s="95">
        <f>COUNTIF($I$4:$I$15,"DP")</f>
        <v>0</v>
      </c>
    </row>
    <row r="40" ht="19.5" customHeight="1">
      <c r="K40" s="94" t="s">
        <v>61</v>
      </c>
      <c r="M40" s="95">
        <f>COUNTIFS($I$4:$I$15,"&lt;&gt;DP",$I$4:$I$15,"&lt;&gt;")</f>
        <v>0</v>
      </c>
    </row>
    <row r="41" ht="19.5" customHeight="1">
      <c r="K41" s="96" t="s">
        <v>62</v>
      </c>
      <c r="M41" s="95">
        <f>M39+M40</f>
        <v>0</v>
      </c>
    </row>
    <row r="42" ht="19.5" customHeight="1">
      <c r="K42" s="93" t="s">
        <v>63</v>
      </c>
      <c r="M42" s="97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5"/>
      <c r="E4" s="14"/>
      <c r="F4" s="19"/>
      <c r="G4" s="23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5"/>
      <c r="E5" s="14"/>
      <c r="F5" s="19"/>
      <c r="G5" s="23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5"/>
      <c r="E6" s="14"/>
      <c r="F6" s="35"/>
      <c r="G6" s="23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5"/>
      <c r="E7" s="14"/>
      <c r="F7" s="35"/>
      <c r="G7" s="23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5"/>
      <c r="E8" s="14"/>
      <c r="F8" s="42"/>
      <c r="G8" s="23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5"/>
      <c r="E9" s="14"/>
      <c r="F9" s="42"/>
      <c r="G9" s="23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5"/>
      <c r="E10" s="14"/>
      <c r="F10" s="42"/>
      <c r="G10" s="23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46"/>
      <c r="D11" s="15"/>
      <c r="E11" s="14"/>
      <c r="F11" s="35"/>
      <c r="G11" s="23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5"/>
      <c r="E12" s="14"/>
      <c r="F12" s="42"/>
      <c r="G12" s="23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5"/>
      <c r="E13" s="14"/>
      <c r="F13" s="35"/>
      <c r="G13" s="23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98"/>
      <c r="T2" s="98"/>
      <c r="U2" s="98"/>
      <c r="V2" s="98"/>
      <c r="W2" s="98"/>
      <c r="X2" s="98"/>
      <c r="Y2" s="98"/>
      <c r="Z2" s="98"/>
      <c r="AA2" s="98"/>
      <c r="AB2" s="98"/>
      <c r="AC2" s="98"/>
      <c r="AD2" s="98"/>
      <c r="AE2" s="98"/>
      <c r="AF2" s="98"/>
      <c r="AG2" s="98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</row>
    <row r="4" ht="15.75" customHeight="1">
      <c r="A4" s="1"/>
      <c r="B4" s="14">
        <v>1.0</v>
      </c>
      <c r="C4" s="15"/>
      <c r="D4" s="15"/>
      <c r="E4" s="99"/>
      <c r="F4" s="19"/>
      <c r="G4" s="100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</row>
    <row r="5" ht="15.75" customHeight="1">
      <c r="A5" s="1"/>
      <c r="B5" s="14">
        <v>2.0</v>
      </c>
      <c r="C5" s="15"/>
      <c r="D5" s="15"/>
      <c r="E5" s="99"/>
      <c r="F5" s="19"/>
      <c r="G5" s="100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</row>
    <row r="6" ht="15.75" customHeight="1">
      <c r="A6" s="1"/>
      <c r="B6" s="14">
        <v>3.0</v>
      </c>
      <c r="C6" s="15"/>
      <c r="D6" s="15"/>
      <c r="E6" s="99"/>
      <c r="F6" s="35"/>
      <c r="G6" s="100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</row>
    <row r="7" ht="15.75" customHeight="1">
      <c r="A7" s="1"/>
      <c r="B7" s="14">
        <v>4.0</v>
      </c>
      <c r="C7" s="15"/>
      <c r="D7" s="15"/>
      <c r="E7" s="99"/>
      <c r="F7" s="35"/>
      <c r="G7" s="100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</row>
    <row r="8" ht="15.75" customHeight="1">
      <c r="A8" s="1"/>
      <c r="B8" s="14">
        <v>5.0</v>
      </c>
      <c r="C8" s="15"/>
      <c r="D8" s="15"/>
      <c r="E8" s="101"/>
      <c r="F8" s="35"/>
      <c r="G8" s="100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</row>
    <row r="9" ht="15.75" customHeight="1">
      <c r="A9" s="1"/>
      <c r="B9" s="14">
        <v>6.0</v>
      </c>
      <c r="C9" s="15"/>
      <c r="D9" s="15"/>
      <c r="E9" s="99"/>
      <c r="F9" s="35"/>
      <c r="G9" s="100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</row>
    <row r="10" ht="15.75" customHeight="1">
      <c r="A10" s="1"/>
      <c r="B10" s="14">
        <v>7.0</v>
      </c>
      <c r="C10" s="15"/>
      <c r="D10" s="15"/>
      <c r="E10" s="99"/>
      <c r="F10" s="35"/>
      <c r="G10" s="100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</row>
    <row r="11" ht="15.75" customHeight="1">
      <c r="A11" s="1"/>
      <c r="B11" s="14">
        <v>8.0</v>
      </c>
      <c r="C11" s="102"/>
      <c r="D11" s="15"/>
      <c r="E11" s="101"/>
      <c r="F11" s="103"/>
      <c r="G11" s="100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</row>
    <row r="12" ht="15.75" customHeight="1">
      <c r="A12" s="1"/>
      <c r="B12" s="14">
        <v>9.0</v>
      </c>
      <c r="C12" s="15"/>
      <c r="D12" s="15"/>
      <c r="E12" s="101"/>
      <c r="F12" s="42"/>
      <c r="G12" s="100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98"/>
      <c r="AF12" s="98"/>
      <c r="AG12" s="98"/>
    </row>
    <row r="13" ht="15.75" customHeight="1">
      <c r="A13" s="1"/>
      <c r="B13" s="14">
        <v>10.0</v>
      </c>
      <c r="C13" s="15"/>
      <c r="D13" s="15"/>
      <c r="E13" s="14"/>
      <c r="F13" s="14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  <c r="S19" s="98"/>
      <c r="T19" s="98"/>
      <c r="U19" s="98"/>
      <c r="V19" s="98"/>
      <c r="W19" s="98"/>
      <c r="X19" s="98"/>
      <c r="Y19" s="98"/>
      <c r="Z19" s="98"/>
      <c r="AA19" s="98"/>
      <c r="AB19" s="98"/>
      <c r="AC19" s="98"/>
      <c r="AD19" s="98"/>
      <c r="AE19" s="98"/>
      <c r="AF19" s="98"/>
      <c r="AG19" s="98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98"/>
      <c r="AF20" s="98"/>
      <c r="AG20" s="98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 t="s">
        <v>49</v>
      </c>
      <c r="AD24" s="98" t="s">
        <v>50</v>
      </c>
      <c r="AE24" s="98" t="s">
        <v>51</v>
      </c>
      <c r="AF24" s="98" t="s">
        <v>52</v>
      </c>
      <c r="AG24" s="9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S30" s="98"/>
      <c r="T30" s="98"/>
      <c r="U30" s="98"/>
      <c r="V30" s="98"/>
      <c r="W30" s="98"/>
      <c r="X30" s="98"/>
      <c r="Y30" s="98"/>
      <c r="Z30" s="98"/>
      <c r="AA30" s="98"/>
      <c r="AB30" s="98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</row>
    <row r="34" ht="15.75" customHeight="1">
      <c r="A34" s="98"/>
      <c r="B34" s="98"/>
      <c r="C34" s="98"/>
      <c r="D34" s="98"/>
      <c r="E34" s="98"/>
      <c r="F34" s="98"/>
      <c r="G34" s="98"/>
      <c r="H34" s="98"/>
      <c r="I34" s="98"/>
      <c r="J34" s="98"/>
      <c r="K34" s="89" t="s">
        <v>7</v>
      </c>
      <c r="L34" s="89" t="s">
        <v>56</v>
      </c>
      <c r="M34" s="89" t="s">
        <v>57</v>
      </c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</row>
    <row r="35" ht="15.75" customHeight="1">
      <c r="A35" s="98"/>
      <c r="B35" s="98"/>
      <c r="C35" s="98"/>
      <c r="D35" s="98"/>
      <c r="E35" s="98"/>
      <c r="F35" s="98"/>
      <c r="G35" s="98"/>
      <c r="H35" s="98"/>
      <c r="I35" s="98"/>
      <c r="J35" s="98"/>
      <c r="K35" s="90" t="str">
        <f t="shared" ref="K35:K36" si="8">IF(O18="","",O18)</f>
        <v/>
      </c>
      <c r="L35" s="91"/>
      <c r="M35" s="91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98"/>
      <c r="AC35" s="98"/>
      <c r="AD35" s="98"/>
      <c r="AE35" s="98"/>
      <c r="AF35" s="98"/>
      <c r="AG35" s="98"/>
    </row>
    <row r="36" ht="15.75" customHeight="1">
      <c r="A36" s="98"/>
      <c r="B36" s="98"/>
      <c r="C36" s="98"/>
      <c r="D36" s="98"/>
      <c r="E36" s="98"/>
      <c r="F36" s="98"/>
      <c r="G36" s="98"/>
      <c r="H36" s="98"/>
      <c r="I36" s="98"/>
      <c r="J36" s="98"/>
      <c r="K36" s="90" t="str">
        <f t="shared" si="8"/>
        <v/>
      </c>
      <c r="L36" s="91"/>
      <c r="M36" s="91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98"/>
      <c r="AC36" s="98"/>
      <c r="AD36" s="98"/>
      <c r="AE36" s="98"/>
      <c r="AF36" s="98"/>
      <c r="AG36" s="98"/>
    </row>
    <row r="37" ht="15.75" customHeight="1">
      <c r="A37" s="98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</row>
    <row r="38" ht="19.5" customHeight="1">
      <c r="A38" s="98"/>
      <c r="B38" s="98"/>
      <c r="C38" s="98"/>
      <c r="D38" s="98"/>
      <c r="E38" s="98"/>
      <c r="F38" s="98"/>
      <c r="G38" s="98"/>
      <c r="H38" s="98"/>
      <c r="I38" s="98"/>
      <c r="J38" s="98"/>
      <c r="K38" s="92" t="s">
        <v>58</v>
      </c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</row>
    <row r="39" ht="19.5" customHeight="1">
      <c r="A39" s="98"/>
      <c r="B39" s="98"/>
      <c r="C39" s="98"/>
      <c r="D39" s="98"/>
      <c r="E39" s="98"/>
      <c r="F39" s="98"/>
      <c r="G39" s="98"/>
      <c r="H39" s="98"/>
      <c r="I39" s="98"/>
      <c r="J39" s="98"/>
      <c r="K39" s="93" t="s">
        <v>59</v>
      </c>
      <c r="M39" s="91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</row>
    <row r="40" ht="19.5" customHeight="1">
      <c r="A40" s="98"/>
      <c r="B40" s="98"/>
      <c r="C40" s="98"/>
      <c r="D40" s="98"/>
      <c r="E40" s="98"/>
      <c r="F40" s="98"/>
      <c r="G40" s="98"/>
      <c r="H40" s="98"/>
      <c r="I40" s="98"/>
      <c r="J40" s="98"/>
      <c r="K40" s="94" t="s">
        <v>60</v>
      </c>
      <c r="M40" s="95">
        <f>COUNTIF($I$4:$I$16,"DP")</f>
        <v>0</v>
      </c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</row>
    <row r="41" ht="19.5" customHeight="1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4" t="s">
        <v>61</v>
      </c>
      <c r="M41" s="95">
        <f>COUNTIFS($I$4:$I$16,"&lt;&gt;DP",$I$4:$I$16,"&lt;&gt;")</f>
        <v>0</v>
      </c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</row>
    <row r="42" ht="19.5" customHeight="1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6" t="s">
        <v>62</v>
      </c>
      <c r="M42" s="95">
        <f>M40+M41</f>
        <v>0</v>
      </c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</row>
    <row r="43" ht="19.5" customHeight="1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3" t="s">
        <v>63</v>
      </c>
      <c r="M43" s="97" t="str">
        <f>IF(OR(M39="",M39=0),"",M40/M39)</f>
        <v/>
      </c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</row>
    <row r="44" ht="15.75" customHeight="1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</row>
    <row r="45" ht="15.75" customHeight="1">
      <c r="A45" s="98"/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</row>
    <row r="46" ht="15.75" customHeight="1">
      <c r="A46" s="98"/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</row>
    <row r="47" ht="15.75" customHeight="1">
      <c r="A47" s="98"/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</row>
    <row r="48" ht="15.75" customHeight="1">
      <c r="A48" s="98"/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</row>
    <row r="49" ht="15.75" customHeight="1">
      <c r="A49" s="98"/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</row>
    <row r="50" ht="15.75" customHeight="1">
      <c r="A50" s="98"/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</row>
    <row r="51" ht="15.75" customHeight="1">
      <c r="A51" s="98"/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</row>
    <row r="52" ht="15.75" customHeight="1">
      <c r="A52" s="98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</row>
    <row r="53" ht="15.75" customHeight="1">
      <c r="A53" s="98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</row>
    <row r="54" ht="15.75" customHeight="1">
      <c r="A54" s="98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</row>
    <row r="55" ht="15.75" customHeight="1">
      <c r="A55" s="98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98"/>
      <c r="AC55" s="98"/>
      <c r="AD55" s="98"/>
      <c r="AE55" s="98"/>
      <c r="AF55" s="98"/>
      <c r="AG55" s="98"/>
    </row>
    <row r="56" ht="15.75" customHeight="1">
      <c r="A56" s="98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</row>
    <row r="57" ht="15.75" customHeight="1">
      <c r="A57" s="98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98"/>
      <c r="AC57" s="98"/>
      <c r="AD57" s="98"/>
      <c r="AE57" s="98"/>
      <c r="AF57" s="98"/>
      <c r="AG57" s="98"/>
    </row>
    <row r="58" ht="15.75" customHeight="1">
      <c r="A58" s="98"/>
      <c r="B58" s="98"/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</row>
    <row r="59" ht="15.75" customHeight="1">
      <c r="A59" s="98"/>
      <c r="B59" s="98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</row>
    <row r="60" ht="15.75" customHeight="1">
      <c r="A60" s="98"/>
      <c r="B60" s="98"/>
      <c r="C60" s="98"/>
      <c r="D60" s="98"/>
      <c r="E60" s="98"/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</row>
    <row r="61" ht="15.75" customHeight="1">
      <c r="A61" s="98"/>
      <c r="B61" s="98"/>
      <c r="C61" s="98"/>
      <c r="D61" s="98"/>
      <c r="E61" s="98"/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</row>
    <row r="62" ht="15.75" customHeight="1">
      <c r="A62" s="98"/>
      <c r="B62" s="98"/>
      <c r="C62" s="98"/>
      <c r="D62" s="98"/>
      <c r="E62" s="98"/>
      <c r="F62" s="98"/>
      <c r="G62" s="98"/>
      <c r="H62" s="98"/>
      <c r="I62" s="98"/>
      <c r="J62" s="98"/>
      <c r="K62" s="98"/>
      <c r="L62" s="98"/>
      <c r="M62" s="98"/>
      <c r="N62" s="98"/>
      <c r="O62" s="98"/>
      <c r="P62" s="98"/>
      <c r="Q62" s="98"/>
      <c r="R62" s="98"/>
      <c r="S62" s="98"/>
      <c r="T62" s="98"/>
      <c r="U62" s="98"/>
      <c r="V62" s="98"/>
      <c r="W62" s="98"/>
      <c r="X62" s="98"/>
      <c r="Y62" s="98"/>
      <c r="Z62" s="98"/>
      <c r="AA62" s="98"/>
      <c r="AB62" s="98"/>
      <c r="AC62" s="98"/>
      <c r="AD62" s="98"/>
      <c r="AE62" s="98"/>
      <c r="AF62" s="98"/>
      <c r="AG62" s="98"/>
    </row>
    <row r="63" ht="15.75" customHeight="1">
      <c r="A63" s="98"/>
      <c r="B63" s="98"/>
      <c r="C63" s="98"/>
      <c r="D63" s="98"/>
      <c r="E63" s="98"/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</row>
    <row r="64" ht="15.75" customHeight="1">
      <c r="A64" s="98"/>
      <c r="B64" s="98"/>
      <c r="C64" s="98"/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</row>
    <row r="65" ht="15.75" customHeight="1">
      <c r="A65" s="98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</row>
    <row r="66" ht="15.75" customHeight="1">
      <c r="A66" s="98"/>
      <c r="B66" s="98"/>
      <c r="C66" s="98"/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</row>
    <row r="67" ht="15.75" customHeight="1">
      <c r="A67" s="98"/>
      <c r="B67" s="98"/>
      <c r="C67" s="98"/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98"/>
      <c r="AC67" s="98"/>
      <c r="AD67" s="98"/>
      <c r="AE67" s="98"/>
      <c r="AF67" s="98"/>
      <c r="AG67" s="98"/>
    </row>
    <row r="68" ht="15.75" customHeight="1">
      <c r="A68" s="98"/>
      <c r="B68" s="98"/>
      <c r="C68" s="98"/>
      <c r="D68" s="98"/>
      <c r="E68" s="98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</row>
    <row r="69" ht="15.75" customHeight="1">
      <c r="A69" s="98"/>
      <c r="B69" s="98"/>
      <c r="C69" s="98"/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</row>
    <row r="70" ht="15.75" customHeight="1">
      <c r="A70" s="98"/>
      <c r="B70" s="98"/>
      <c r="C70" s="98"/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</row>
    <row r="71" ht="15.75" customHeight="1">
      <c r="A71" s="98"/>
      <c r="B71" s="98"/>
      <c r="C71" s="98"/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98"/>
      <c r="AC71" s="98"/>
      <c r="AD71" s="98"/>
      <c r="AE71" s="98"/>
      <c r="AF71" s="98"/>
      <c r="AG71" s="98"/>
    </row>
    <row r="72" ht="15.75" customHeight="1">
      <c r="A72" s="98"/>
      <c r="B72" s="98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98"/>
      <c r="Z72" s="98"/>
      <c r="AA72" s="98"/>
      <c r="AB72" s="98"/>
      <c r="AC72" s="98"/>
      <c r="AD72" s="98"/>
      <c r="AE72" s="98"/>
      <c r="AF72" s="98"/>
      <c r="AG72" s="98"/>
    </row>
    <row r="73" ht="15.75" customHeight="1">
      <c r="A73" s="98"/>
      <c r="B73" s="98"/>
      <c r="C73" s="98"/>
      <c r="D73" s="98"/>
      <c r="E73" s="98"/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</row>
    <row r="74" ht="15.75" customHeight="1">
      <c r="A74" s="98"/>
      <c r="B74" s="98"/>
      <c r="C74" s="98"/>
      <c r="D74" s="98"/>
      <c r="E74" s="98"/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</row>
    <row r="75" ht="15.75" customHeight="1">
      <c r="A75" s="98"/>
      <c r="B75" s="98"/>
      <c r="C75" s="98"/>
      <c r="D75" s="98"/>
      <c r="E75" s="98"/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</row>
    <row r="76" ht="15.75" customHeight="1">
      <c r="A76" s="98"/>
      <c r="B76" s="98"/>
      <c r="C76" s="98"/>
      <c r="D76" s="98"/>
      <c r="E76" s="98"/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</row>
    <row r="77" ht="15.75" customHeight="1">
      <c r="A77" s="98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</row>
    <row r="78" ht="15.75" customHeight="1">
      <c r="A78" s="98"/>
      <c r="B78" s="98"/>
      <c r="C78" s="98"/>
      <c r="D78" s="98"/>
      <c r="E78" s="98"/>
      <c r="F78" s="98"/>
      <c r="G78" s="98"/>
      <c r="H78" s="98"/>
      <c r="I78" s="98"/>
      <c r="J78" s="98"/>
      <c r="K78" s="98"/>
      <c r="L78" s="98"/>
      <c r="M78" s="98"/>
      <c r="N78" s="98"/>
      <c r="O78" s="98"/>
      <c r="P78" s="98"/>
      <c r="Q78" s="98"/>
      <c r="R78" s="98"/>
      <c r="S78" s="98"/>
      <c r="T78" s="98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</row>
    <row r="79" ht="15.75" customHeight="1">
      <c r="A79" s="98"/>
      <c r="B79" s="98"/>
      <c r="C79" s="98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</row>
    <row r="80" ht="15.75" customHeight="1">
      <c r="A80" s="98"/>
      <c r="B80" s="98"/>
      <c r="C80" s="98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</row>
    <row r="81" ht="15.75" customHeight="1">
      <c r="A81" s="98"/>
      <c r="B81" s="98"/>
      <c r="C81" s="98"/>
      <c r="D81" s="98"/>
      <c r="E81" s="98"/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</row>
    <row r="82" ht="15.75" customHeight="1">
      <c r="A82" s="98"/>
      <c r="B82" s="98"/>
      <c r="C82" s="98"/>
      <c r="D82" s="98"/>
      <c r="E82" s="98"/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</row>
    <row r="83" ht="15.75" customHeight="1">
      <c r="A83" s="98"/>
      <c r="B83" s="98"/>
      <c r="C83" s="98"/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98"/>
      <c r="AE83" s="98"/>
      <c r="AF83" s="98"/>
      <c r="AG83" s="98"/>
    </row>
    <row r="84" ht="15.75" customHeight="1">
      <c r="A84" s="98"/>
      <c r="B84" s="98"/>
      <c r="C84" s="98"/>
      <c r="D84" s="98"/>
      <c r="E84" s="98"/>
      <c r="F84" s="98"/>
      <c r="G84" s="98"/>
      <c r="H84" s="98"/>
      <c r="I84" s="98"/>
      <c r="J84" s="98"/>
      <c r="K84" s="98"/>
      <c r="L84" s="98"/>
      <c r="M84" s="98"/>
      <c r="N84" s="98"/>
      <c r="O84" s="98"/>
      <c r="P84" s="98"/>
      <c r="Q84" s="98"/>
      <c r="R84" s="98"/>
      <c r="S84" s="98"/>
      <c r="T84" s="98"/>
      <c r="U84" s="98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</row>
    <row r="85" ht="15.75" customHeight="1">
      <c r="A85" s="98"/>
      <c r="B85" s="98"/>
      <c r="C85" s="98"/>
      <c r="D85" s="98"/>
      <c r="E85" s="98"/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</row>
    <row r="86" ht="15.75" customHeight="1">
      <c r="A86" s="98"/>
      <c r="B86" s="98"/>
      <c r="C86" s="98"/>
      <c r="D86" s="98"/>
      <c r="E86" s="98"/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</row>
    <row r="87" ht="15.75" customHeight="1">
      <c r="A87" s="98"/>
      <c r="B87" s="98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</row>
    <row r="88" ht="15.75" customHeight="1">
      <c r="A88" s="98"/>
      <c r="B88" s="98"/>
      <c r="C88" s="98"/>
      <c r="D88" s="98"/>
      <c r="E88" s="98"/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</row>
    <row r="89" ht="15.75" customHeight="1">
      <c r="A89" s="98"/>
      <c r="B89" s="98"/>
      <c r="C89" s="98"/>
      <c r="D89" s="98"/>
      <c r="E89" s="98"/>
      <c r="F89" s="98"/>
      <c r="G89" s="98"/>
      <c r="H89" s="98"/>
      <c r="I89" s="98"/>
      <c r="J89" s="98"/>
      <c r="K89" s="98"/>
      <c r="L89" s="98"/>
      <c r="M89" s="98"/>
      <c r="N89" s="98"/>
      <c r="O89" s="98"/>
      <c r="P89" s="98"/>
      <c r="Q89" s="98"/>
      <c r="R89" s="98"/>
      <c r="S89" s="98"/>
      <c r="T89" s="98"/>
      <c r="U89" s="98"/>
      <c r="V89" s="98"/>
      <c r="W89" s="98"/>
      <c r="X89" s="98"/>
      <c r="Y89" s="98"/>
      <c r="Z89" s="98"/>
      <c r="AA89" s="98"/>
      <c r="AB89" s="98"/>
      <c r="AC89" s="98"/>
      <c r="AD89" s="98"/>
      <c r="AE89" s="98"/>
      <c r="AF89" s="98"/>
      <c r="AG89" s="98"/>
    </row>
    <row r="90" ht="15.75" customHeight="1">
      <c r="A90" s="98"/>
      <c r="B90" s="98"/>
      <c r="C90" s="98"/>
      <c r="D90" s="98"/>
      <c r="E90" s="98"/>
      <c r="F90" s="98"/>
      <c r="G90" s="98"/>
      <c r="H90" s="98"/>
      <c r="I90" s="98"/>
      <c r="J90" s="98"/>
      <c r="K90" s="98"/>
      <c r="L90" s="98"/>
      <c r="M90" s="98"/>
      <c r="N90" s="98"/>
      <c r="O90" s="98"/>
      <c r="P90" s="98"/>
      <c r="Q90" s="98"/>
      <c r="R90" s="98"/>
      <c r="S90" s="9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</row>
    <row r="91" ht="15.75" customHeight="1">
      <c r="A91" s="98"/>
      <c r="B91" s="98"/>
      <c r="C91" s="98"/>
      <c r="D91" s="98"/>
      <c r="E91" s="98"/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</row>
    <row r="92" ht="15.75" customHeight="1">
      <c r="A92" s="98"/>
      <c r="B92" s="98"/>
      <c r="C92" s="98"/>
      <c r="D92" s="98"/>
      <c r="E92" s="98"/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</row>
    <row r="93" ht="15.75" customHeight="1">
      <c r="A93" s="98"/>
      <c r="B93" s="98"/>
      <c r="C93" s="98"/>
      <c r="D93" s="98"/>
      <c r="E93" s="98"/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</row>
    <row r="94" ht="15.75" customHeight="1">
      <c r="A94" s="98"/>
      <c r="B94" s="98"/>
      <c r="C94" s="98"/>
      <c r="D94" s="98"/>
      <c r="E94" s="98"/>
      <c r="F94" s="98"/>
      <c r="G94" s="98"/>
      <c r="H94" s="98"/>
      <c r="I94" s="98"/>
      <c r="J94" s="98"/>
      <c r="K94" s="98"/>
      <c r="L94" s="98"/>
      <c r="M94" s="98"/>
      <c r="N94" s="98"/>
      <c r="O94" s="98"/>
      <c r="P94" s="98"/>
      <c r="Q94" s="98"/>
      <c r="R94" s="98"/>
      <c r="S94" s="98"/>
      <c r="T94" s="98"/>
      <c r="U94" s="98"/>
      <c r="V94" s="98"/>
      <c r="W94" s="98"/>
      <c r="X94" s="98"/>
      <c r="Y94" s="98"/>
      <c r="Z94" s="98"/>
      <c r="AA94" s="98"/>
      <c r="AB94" s="98"/>
      <c r="AC94" s="98"/>
      <c r="AD94" s="98"/>
      <c r="AE94" s="98"/>
      <c r="AF94" s="98"/>
      <c r="AG94" s="98"/>
    </row>
    <row r="95" ht="15.75" customHeight="1">
      <c r="A95" s="98"/>
      <c r="B95" s="98"/>
      <c r="C95" s="98"/>
      <c r="D95" s="98"/>
      <c r="E95" s="98"/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</row>
    <row r="96" ht="15.75" customHeight="1">
      <c r="A96" s="98"/>
      <c r="B96" s="98"/>
      <c r="C96" s="98"/>
      <c r="D96" s="98"/>
      <c r="E96" s="98"/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</row>
    <row r="97" ht="15.75" customHeight="1">
      <c r="A97" s="98"/>
      <c r="B97" s="98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</row>
    <row r="98" ht="15.75" customHeight="1">
      <c r="A98" s="98"/>
      <c r="B98" s="98"/>
      <c r="C98" s="98"/>
      <c r="D98" s="98"/>
      <c r="E98" s="98"/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</row>
    <row r="99" ht="15.75" customHeight="1">
      <c r="A99" s="98"/>
      <c r="B99" s="98"/>
      <c r="C99" s="98"/>
      <c r="D99" s="98"/>
      <c r="E99" s="98"/>
      <c r="F99" s="98"/>
      <c r="G99" s="98"/>
      <c r="H99" s="98"/>
      <c r="I99" s="98"/>
      <c r="J99" s="98"/>
      <c r="K99" s="98"/>
      <c r="L99" s="98"/>
      <c r="M99" s="98"/>
      <c r="N99" s="98"/>
      <c r="O99" s="98"/>
      <c r="P99" s="98"/>
      <c r="Q99" s="98"/>
      <c r="R99" s="98"/>
      <c r="S99" s="98"/>
      <c r="T99" s="98"/>
      <c r="U99" s="98"/>
      <c r="V99" s="98"/>
      <c r="W99" s="98"/>
      <c r="X99" s="98"/>
      <c r="Y99" s="98"/>
      <c r="Z99" s="98"/>
      <c r="AA99" s="98"/>
      <c r="AB99" s="98"/>
      <c r="AC99" s="98"/>
      <c r="AD99" s="98"/>
      <c r="AE99" s="98"/>
      <c r="AF99" s="98"/>
      <c r="AG99" s="98"/>
    </row>
    <row r="100" ht="15.75" customHeight="1">
      <c r="A100" s="98"/>
      <c r="B100" s="98"/>
      <c r="C100" s="98"/>
      <c r="D100" s="98"/>
      <c r="E100" s="98"/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</row>
    <row r="101" ht="15.75" customHeight="1">
      <c r="A101" s="98"/>
      <c r="B101" s="98"/>
      <c r="C101" s="98"/>
      <c r="D101" s="98"/>
      <c r="E101" s="98"/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</row>
    <row r="102" ht="15.75" customHeight="1">
      <c r="A102" s="98"/>
      <c r="B102" s="98"/>
      <c r="C102" s="98"/>
      <c r="D102" s="98"/>
      <c r="E102" s="98"/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</row>
    <row r="103" ht="15.75" customHeight="1">
      <c r="A103" s="98"/>
      <c r="B103" s="98"/>
      <c r="C103" s="98"/>
      <c r="D103" s="98"/>
      <c r="E103" s="98"/>
      <c r="F103" s="98"/>
      <c r="G103" s="98"/>
      <c r="H103" s="98"/>
      <c r="I103" s="98"/>
      <c r="J103" s="98"/>
      <c r="K103" s="98"/>
      <c r="L103" s="98"/>
      <c r="M103" s="98"/>
      <c r="N103" s="98"/>
      <c r="O103" s="98"/>
      <c r="P103" s="98"/>
      <c r="Q103" s="98"/>
      <c r="R103" s="98"/>
      <c r="S103" s="98"/>
      <c r="T103" s="98"/>
      <c r="U103" s="98"/>
      <c r="V103" s="98"/>
      <c r="W103" s="98"/>
      <c r="X103" s="98"/>
      <c r="Y103" s="98"/>
      <c r="Z103" s="98"/>
      <c r="AA103" s="98"/>
      <c r="AB103" s="98"/>
      <c r="AC103" s="98"/>
      <c r="AD103" s="98"/>
      <c r="AE103" s="98"/>
      <c r="AF103" s="98"/>
      <c r="AG103" s="98"/>
    </row>
    <row r="104" ht="15.75" customHeight="1">
      <c r="A104" s="98"/>
      <c r="B104" s="98"/>
      <c r="C104" s="98"/>
      <c r="D104" s="98"/>
      <c r="E104" s="98"/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</row>
    <row r="105" ht="15.75" customHeight="1">
      <c r="A105" s="98"/>
      <c r="B105" s="98"/>
      <c r="C105" s="98"/>
      <c r="D105" s="98"/>
      <c r="E105" s="98"/>
      <c r="F105" s="98"/>
      <c r="G105" s="98"/>
      <c r="H105" s="98"/>
      <c r="I105" s="98"/>
      <c r="J105" s="98"/>
      <c r="K105" s="98"/>
      <c r="L105" s="98"/>
      <c r="M105" s="98"/>
      <c r="N105" s="98"/>
      <c r="O105" s="98"/>
      <c r="P105" s="98"/>
      <c r="Q105" s="98"/>
      <c r="R105" s="98"/>
      <c r="S105" s="98"/>
      <c r="T105" s="98"/>
      <c r="U105" s="98"/>
      <c r="V105" s="98"/>
      <c r="W105" s="98"/>
      <c r="X105" s="98"/>
      <c r="Y105" s="98"/>
      <c r="Z105" s="98"/>
      <c r="AA105" s="98"/>
      <c r="AB105" s="98"/>
      <c r="AC105" s="98"/>
      <c r="AD105" s="98"/>
      <c r="AE105" s="98"/>
      <c r="AF105" s="98"/>
      <c r="AG105" s="98"/>
    </row>
    <row r="106" ht="15.75" customHeight="1">
      <c r="A106" s="98"/>
      <c r="B106" s="98"/>
      <c r="C106" s="98"/>
      <c r="D106" s="98"/>
      <c r="E106" s="98"/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</row>
    <row r="107" ht="15.75" customHeight="1">
      <c r="A107" s="98"/>
      <c r="B107" s="98"/>
      <c r="C107" s="98"/>
      <c r="D107" s="98"/>
      <c r="E107" s="98"/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</row>
    <row r="108" ht="15.75" customHeight="1">
      <c r="A108" s="98"/>
      <c r="B108" s="98"/>
      <c r="C108" s="98"/>
      <c r="D108" s="98"/>
      <c r="E108" s="98"/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</row>
    <row r="109" ht="15.75" customHeight="1">
      <c r="A109" s="98"/>
      <c r="B109" s="98"/>
      <c r="C109" s="98"/>
      <c r="D109" s="98"/>
      <c r="E109" s="98"/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</row>
    <row r="110" ht="15.75" customHeight="1">
      <c r="A110" s="98"/>
      <c r="B110" s="98"/>
      <c r="C110" s="98"/>
      <c r="D110" s="98"/>
      <c r="E110" s="98"/>
      <c r="F110" s="98"/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</row>
    <row r="111" ht="15.75" customHeight="1">
      <c r="A111" s="98"/>
      <c r="B111" s="98"/>
      <c r="C111" s="98"/>
      <c r="D111" s="98"/>
      <c r="E111" s="98"/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</row>
    <row r="112" ht="15.75" customHeight="1">
      <c r="A112" s="98"/>
      <c r="B112" s="98"/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</row>
    <row r="113" ht="15.75" customHeight="1">
      <c r="A113" s="98"/>
      <c r="B113" s="98"/>
      <c r="C113" s="98"/>
      <c r="D113" s="98"/>
      <c r="E113" s="98"/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</row>
    <row r="114" ht="15.75" customHeight="1">
      <c r="A114" s="98"/>
      <c r="B114" s="98"/>
      <c r="C114" s="98"/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</row>
    <row r="115" ht="15.75" customHeight="1">
      <c r="A115" s="98"/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</row>
    <row r="116" ht="15.75" customHeight="1">
      <c r="A116" s="98"/>
      <c r="B116" s="98"/>
      <c r="C116" s="98"/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</row>
    <row r="117" ht="15.75" customHeight="1">
      <c r="A117" s="98"/>
      <c r="B117" s="98"/>
      <c r="C117" s="98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</row>
    <row r="118" ht="15.75" customHeight="1">
      <c r="A118" s="98"/>
      <c r="B118" s="98"/>
      <c r="C118" s="98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</row>
    <row r="119" ht="15.75" customHeight="1">
      <c r="A119" s="98"/>
      <c r="B119" s="98"/>
      <c r="C119" s="98"/>
      <c r="D119" s="98"/>
      <c r="E119" s="98"/>
      <c r="F119" s="98"/>
      <c r="G119" s="98"/>
      <c r="H119" s="98"/>
      <c r="I119" s="98"/>
      <c r="J119" s="98"/>
      <c r="K119" s="98"/>
      <c r="L119" s="98"/>
      <c r="M119" s="98"/>
      <c r="N119" s="98"/>
      <c r="O119" s="98"/>
      <c r="P119" s="98"/>
      <c r="Q119" s="98"/>
      <c r="R119" s="98"/>
      <c r="S119" s="98"/>
      <c r="T119" s="98"/>
      <c r="U119" s="98"/>
      <c r="V119" s="98"/>
      <c r="W119" s="98"/>
      <c r="X119" s="98"/>
      <c r="Y119" s="98"/>
      <c r="Z119" s="98"/>
      <c r="AA119" s="98"/>
      <c r="AB119" s="98"/>
      <c r="AC119" s="98"/>
      <c r="AD119" s="98"/>
      <c r="AE119" s="98"/>
      <c r="AF119" s="98"/>
      <c r="AG119" s="98"/>
    </row>
    <row r="120" ht="15.75" customHeight="1">
      <c r="A120" s="98"/>
      <c r="B120" s="98"/>
      <c r="C120" s="98"/>
      <c r="D120" s="98"/>
      <c r="E120" s="98"/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</row>
    <row r="121" ht="15.75" customHeight="1">
      <c r="A121" s="98"/>
      <c r="B121" s="98"/>
      <c r="C121" s="98"/>
      <c r="D121" s="98"/>
      <c r="E121" s="98"/>
      <c r="F121" s="98"/>
      <c r="G121" s="98"/>
      <c r="H121" s="98"/>
      <c r="I121" s="98"/>
      <c r="J121" s="98"/>
      <c r="K121" s="98"/>
      <c r="L121" s="98"/>
      <c r="M121" s="98"/>
      <c r="N121" s="98"/>
      <c r="O121" s="98"/>
      <c r="P121" s="98"/>
      <c r="Q121" s="98"/>
      <c r="R121" s="98"/>
      <c r="S121" s="98"/>
      <c r="T121" s="98"/>
      <c r="U121" s="98"/>
      <c r="V121" s="98"/>
      <c r="W121" s="98"/>
      <c r="X121" s="98"/>
      <c r="Y121" s="98"/>
      <c r="Z121" s="98"/>
      <c r="AA121" s="98"/>
      <c r="AB121" s="98"/>
      <c r="AC121" s="98"/>
      <c r="AD121" s="98"/>
      <c r="AE121" s="98"/>
      <c r="AF121" s="98"/>
      <c r="AG121" s="98"/>
    </row>
    <row r="122" ht="15.75" customHeight="1">
      <c r="A122" s="98"/>
      <c r="B122" s="98"/>
      <c r="C122" s="98"/>
      <c r="D122" s="98"/>
      <c r="E122" s="98"/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</row>
    <row r="123" ht="15.75" customHeight="1">
      <c r="A123" s="98"/>
      <c r="B123" s="98"/>
      <c r="C123" s="98"/>
      <c r="D123" s="98"/>
      <c r="E123" s="98"/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</row>
    <row r="124" ht="15.75" customHeight="1">
      <c r="A124" s="98"/>
      <c r="B124" s="98"/>
      <c r="C124" s="98"/>
      <c r="D124" s="98"/>
      <c r="E124" s="98"/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</row>
    <row r="125" ht="15.75" customHeight="1">
      <c r="A125" s="98"/>
      <c r="B125" s="98"/>
      <c r="C125" s="98"/>
      <c r="D125" s="98"/>
      <c r="E125" s="98"/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</row>
    <row r="126" ht="15.75" customHeight="1">
      <c r="A126" s="98"/>
      <c r="B126" s="98"/>
      <c r="C126" s="98"/>
      <c r="D126" s="98"/>
      <c r="E126" s="98"/>
      <c r="F126" s="98"/>
      <c r="G126" s="98"/>
      <c r="H126" s="98"/>
      <c r="I126" s="98"/>
      <c r="J126" s="98"/>
      <c r="K126" s="98"/>
      <c r="L126" s="98"/>
      <c r="M126" s="98"/>
      <c r="N126" s="98"/>
      <c r="O126" s="98"/>
      <c r="P126" s="98"/>
      <c r="Q126" s="98"/>
      <c r="R126" s="98"/>
      <c r="S126" s="98"/>
      <c r="T126" s="98"/>
      <c r="U126" s="98"/>
      <c r="V126" s="98"/>
      <c r="W126" s="98"/>
      <c r="X126" s="98"/>
      <c r="Y126" s="98"/>
      <c r="Z126" s="98"/>
      <c r="AA126" s="98"/>
      <c r="AB126" s="98"/>
      <c r="AC126" s="98"/>
      <c r="AD126" s="98"/>
      <c r="AE126" s="98"/>
      <c r="AF126" s="98"/>
      <c r="AG126" s="98"/>
    </row>
    <row r="127" ht="15.75" customHeight="1">
      <c r="A127" s="98"/>
      <c r="B127" s="98"/>
      <c r="C127" s="98"/>
      <c r="D127" s="98"/>
      <c r="E127" s="98"/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</row>
    <row r="128" ht="15.75" customHeight="1">
      <c r="A128" s="98"/>
      <c r="B128" s="98"/>
      <c r="C128" s="98"/>
      <c r="D128" s="98"/>
      <c r="E128" s="98"/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</row>
    <row r="129" ht="15.75" customHeight="1">
      <c r="A129" s="98"/>
      <c r="B129" s="98"/>
      <c r="C129" s="98"/>
      <c r="D129" s="98"/>
      <c r="E129" s="98"/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</row>
    <row r="130" ht="15.75" customHeight="1">
      <c r="A130" s="98"/>
      <c r="B130" s="98"/>
      <c r="C130" s="98"/>
      <c r="D130" s="98"/>
      <c r="E130" s="98"/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</row>
    <row r="131" ht="15.75" customHeight="1">
      <c r="A131" s="98"/>
      <c r="B131" s="98"/>
      <c r="C131" s="98"/>
      <c r="D131" s="98"/>
      <c r="E131" s="98"/>
      <c r="F131" s="98"/>
      <c r="G131" s="98"/>
      <c r="H131" s="98"/>
      <c r="I131" s="98"/>
      <c r="J131" s="98"/>
      <c r="K131" s="98"/>
      <c r="L131" s="98"/>
      <c r="M131" s="98"/>
      <c r="N131" s="98"/>
      <c r="O131" s="98"/>
      <c r="P131" s="98"/>
      <c r="Q131" s="98"/>
      <c r="R131" s="98"/>
      <c r="S131" s="98"/>
      <c r="T131" s="98"/>
      <c r="U131" s="98"/>
      <c r="V131" s="98"/>
      <c r="W131" s="98"/>
      <c r="X131" s="98"/>
      <c r="Y131" s="98"/>
      <c r="Z131" s="98"/>
      <c r="AA131" s="98"/>
      <c r="AB131" s="98"/>
      <c r="AC131" s="98"/>
      <c r="AD131" s="98"/>
      <c r="AE131" s="98"/>
      <c r="AF131" s="98"/>
      <c r="AG131" s="98"/>
    </row>
    <row r="132" ht="15.75" customHeight="1">
      <c r="A132" s="98"/>
      <c r="B132" s="98"/>
      <c r="C132" s="98"/>
      <c r="D132" s="98"/>
      <c r="E132" s="98"/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</row>
    <row r="133" ht="15.75" customHeight="1">
      <c r="A133" s="98"/>
      <c r="B133" s="98"/>
      <c r="C133" s="98"/>
      <c r="D133" s="98"/>
      <c r="E133" s="98"/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</row>
    <row r="134" ht="15.75" customHeight="1">
      <c r="A134" s="98"/>
      <c r="B134" s="98"/>
      <c r="C134" s="98"/>
      <c r="D134" s="98"/>
      <c r="E134" s="98"/>
      <c r="F134" s="98"/>
      <c r="G134" s="98"/>
      <c r="H134" s="98"/>
      <c r="I134" s="98"/>
      <c r="J134" s="98"/>
      <c r="K134" s="98"/>
      <c r="L134" s="98"/>
      <c r="M134" s="98"/>
      <c r="N134" s="98"/>
      <c r="O134" s="98"/>
      <c r="P134" s="98"/>
      <c r="Q134" s="98"/>
      <c r="R134" s="98"/>
      <c r="S134" s="98"/>
      <c r="T134" s="98"/>
      <c r="U134" s="98"/>
      <c r="V134" s="98"/>
      <c r="W134" s="98"/>
      <c r="X134" s="98"/>
      <c r="Y134" s="98"/>
      <c r="Z134" s="98"/>
      <c r="AA134" s="98"/>
      <c r="AB134" s="98"/>
      <c r="AC134" s="98"/>
      <c r="AD134" s="98"/>
      <c r="AE134" s="98"/>
      <c r="AF134" s="98"/>
      <c r="AG134" s="98"/>
    </row>
    <row r="135" ht="15.75" customHeight="1">
      <c r="A135" s="98"/>
      <c r="B135" s="98"/>
      <c r="C135" s="98"/>
      <c r="D135" s="98"/>
      <c r="E135" s="98"/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</row>
    <row r="136" ht="15.75" customHeight="1">
      <c r="A136" s="98"/>
      <c r="B136" s="98"/>
      <c r="C136" s="98"/>
      <c r="D136" s="98"/>
      <c r="E136" s="98"/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</row>
    <row r="137" ht="15.75" customHeight="1">
      <c r="A137" s="98"/>
      <c r="B137" s="98"/>
      <c r="C137" s="98"/>
      <c r="D137" s="98"/>
      <c r="E137" s="98"/>
      <c r="F137" s="98"/>
      <c r="G137" s="98"/>
      <c r="H137" s="98"/>
      <c r="I137" s="98"/>
      <c r="J137" s="98"/>
      <c r="K137" s="98"/>
      <c r="L137" s="98"/>
      <c r="M137" s="98"/>
      <c r="N137" s="98"/>
      <c r="O137" s="98"/>
      <c r="P137" s="98"/>
      <c r="Q137" s="98"/>
      <c r="R137" s="98"/>
      <c r="S137" s="98"/>
      <c r="T137" s="98"/>
      <c r="U137" s="98"/>
      <c r="V137" s="98"/>
      <c r="W137" s="98"/>
      <c r="X137" s="98"/>
      <c r="Y137" s="98"/>
      <c r="Z137" s="98"/>
      <c r="AA137" s="98"/>
      <c r="AB137" s="98"/>
      <c r="AC137" s="98"/>
      <c r="AD137" s="98"/>
      <c r="AE137" s="98"/>
      <c r="AF137" s="98"/>
      <c r="AG137" s="98"/>
    </row>
    <row r="138" ht="15.75" customHeight="1">
      <c r="A138" s="98"/>
      <c r="B138" s="98"/>
      <c r="C138" s="98"/>
      <c r="D138" s="98"/>
      <c r="E138" s="98"/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</row>
    <row r="139" ht="15.75" customHeight="1">
      <c r="A139" s="98"/>
      <c r="B139" s="98"/>
      <c r="C139" s="98"/>
      <c r="D139" s="98"/>
      <c r="E139" s="98"/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</row>
    <row r="140" ht="15.75" customHeight="1">
      <c r="A140" s="98"/>
      <c r="B140" s="98"/>
      <c r="C140" s="98"/>
      <c r="D140" s="98"/>
      <c r="E140" s="98"/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</row>
    <row r="141" ht="15.75" customHeight="1">
      <c r="A141" s="98"/>
      <c r="B141" s="98"/>
      <c r="C141" s="98"/>
      <c r="D141" s="98"/>
      <c r="E141" s="98"/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</row>
    <row r="142" ht="15.75" customHeight="1">
      <c r="A142" s="98"/>
      <c r="B142" s="98"/>
      <c r="C142" s="98"/>
      <c r="D142" s="98"/>
      <c r="E142" s="98"/>
      <c r="F142" s="98"/>
      <c r="G142" s="98"/>
      <c r="H142" s="98"/>
      <c r="I142" s="98"/>
      <c r="J142" s="98"/>
      <c r="K142" s="98"/>
      <c r="L142" s="98"/>
      <c r="M142" s="98"/>
      <c r="N142" s="98"/>
      <c r="O142" s="98"/>
      <c r="P142" s="98"/>
      <c r="Q142" s="98"/>
      <c r="R142" s="98"/>
      <c r="S142" s="98"/>
      <c r="T142" s="98"/>
      <c r="U142" s="98"/>
      <c r="V142" s="98"/>
      <c r="W142" s="98"/>
      <c r="X142" s="98"/>
      <c r="Y142" s="98"/>
      <c r="Z142" s="98"/>
      <c r="AA142" s="98"/>
      <c r="AB142" s="98"/>
      <c r="AC142" s="98"/>
      <c r="AD142" s="98"/>
      <c r="AE142" s="98"/>
      <c r="AF142" s="98"/>
      <c r="AG142" s="98"/>
    </row>
    <row r="143" ht="15.75" customHeight="1">
      <c r="A143" s="98"/>
      <c r="B143" s="98"/>
      <c r="C143" s="98"/>
      <c r="D143" s="98"/>
      <c r="E143" s="98"/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</row>
    <row r="144" ht="15.75" customHeight="1">
      <c r="A144" s="98"/>
      <c r="B144" s="98"/>
      <c r="C144" s="98"/>
      <c r="D144" s="98"/>
      <c r="E144" s="98"/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</row>
    <row r="145" ht="15.75" customHeight="1">
      <c r="A145" s="98"/>
      <c r="B145" s="98"/>
      <c r="C145" s="98"/>
      <c r="D145" s="98"/>
      <c r="E145" s="98"/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</row>
    <row r="146" ht="15.75" customHeight="1">
      <c r="A146" s="98"/>
      <c r="B146" s="98"/>
      <c r="C146" s="98"/>
      <c r="D146" s="98"/>
      <c r="E146" s="98"/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</row>
    <row r="147" ht="15.75" customHeight="1">
      <c r="A147" s="98"/>
      <c r="B147" s="98"/>
      <c r="C147" s="98"/>
      <c r="D147" s="98"/>
      <c r="E147" s="98"/>
      <c r="F147" s="98"/>
      <c r="G147" s="98"/>
      <c r="H147" s="98"/>
      <c r="I147" s="98"/>
      <c r="J147" s="98"/>
      <c r="K147" s="98"/>
      <c r="L147" s="98"/>
      <c r="M147" s="98"/>
      <c r="N147" s="98"/>
      <c r="O147" s="98"/>
      <c r="P147" s="98"/>
      <c r="Q147" s="98"/>
      <c r="R147" s="98"/>
      <c r="S147" s="98"/>
      <c r="T147" s="98"/>
      <c r="U147" s="98"/>
      <c r="V147" s="98"/>
      <c r="W147" s="98"/>
      <c r="X147" s="98"/>
      <c r="Y147" s="98"/>
      <c r="Z147" s="98"/>
      <c r="AA147" s="98"/>
      <c r="AB147" s="98"/>
      <c r="AC147" s="98"/>
      <c r="AD147" s="98"/>
      <c r="AE147" s="98"/>
      <c r="AF147" s="98"/>
      <c r="AG147" s="98"/>
    </row>
    <row r="148" ht="15.75" customHeight="1">
      <c r="A148" s="98"/>
      <c r="B148" s="98"/>
      <c r="C148" s="98"/>
      <c r="D148" s="98"/>
      <c r="E148" s="98"/>
      <c r="F148" s="98"/>
      <c r="G148" s="98"/>
      <c r="H148" s="98"/>
      <c r="I148" s="98"/>
      <c r="J148" s="98"/>
      <c r="K148" s="98"/>
      <c r="L148" s="98"/>
      <c r="M148" s="98"/>
      <c r="N148" s="98"/>
      <c r="O148" s="98"/>
      <c r="P148" s="98"/>
      <c r="Q148" s="98"/>
      <c r="R148" s="98"/>
      <c r="S148" s="98"/>
      <c r="T148" s="98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</row>
    <row r="149" ht="15.75" customHeight="1">
      <c r="A149" s="98"/>
      <c r="B149" s="98"/>
      <c r="C149" s="98"/>
      <c r="D149" s="98"/>
      <c r="E149" s="98"/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</row>
    <row r="150" ht="15.75" customHeight="1">
      <c r="A150" s="98"/>
      <c r="B150" s="98"/>
      <c r="C150" s="98"/>
      <c r="D150" s="98"/>
      <c r="E150" s="98"/>
      <c r="F150" s="98"/>
      <c r="G150" s="98"/>
      <c r="H150" s="98"/>
      <c r="I150" s="98"/>
      <c r="J150" s="98"/>
      <c r="K150" s="98"/>
      <c r="L150" s="98"/>
      <c r="M150" s="98"/>
      <c r="N150" s="98"/>
      <c r="O150" s="98"/>
      <c r="P150" s="98"/>
      <c r="Q150" s="98"/>
      <c r="R150" s="98"/>
      <c r="S150" s="98"/>
      <c r="T150" s="98"/>
      <c r="U150" s="98"/>
      <c r="V150" s="98"/>
      <c r="W150" s="98"/>
      <c r="X150" s="98"/>
      <c r="Y150" s="98"/>
      <c r="Z150" s="98"/>
      <c r="AA150" s="98"/>
      <c r="AB150" s="98"/>
      <c r="AC150" s="98"/>
      <c r="AD150" s="98"/>
      <c r="AE150" s="98"/>
      <c r="AF150" s="98"/>
      <c r="AG150" s="98"/>
    </row>
    <row r="151" ht="15.75" customHeight="1">
      <c r="A151" s="98"/>
      <c r="B151" s="98"/>
      <c r="C151" s="98"/>
      <c r="D151" s="98"/>
      <c r="E151" s="98"/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</row>
    <row r="152" ht="15.75" customHeight="1">
      <c r="A152" s="98"/>
      <c r="B152" s="98"/>
      <c r="C152" s="98"/>
      <c r="D152" s="98"/>
      <c r="E152" s="98"/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</row>
    <row r="153" ht="15.75" customHeight="1">
      <c r="A153" s="98"/>
      <c r="B153" s="98"/>
      <c r="C153" s="9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</row>
    <row r="154" ht="15.75" customHeight="1">
      <c r="A154" s="98"/>
      <c r="B154" s="98"/>
      <c r="C154" s="98"/>
      <c r="D154" s="98"/>
      <c r="E154" s="98"/>
      <c r="F154" s="98"/>
      <c r="G154" s="98"/>
      <c r="H154" s="98"/>
      <c r="I154" s="98"/>
      <c r="J154" s="98"/>
      <c r="K154" s="98"/>
      <c r="L154" s="98"/>
      <c r="M154" s="98"/>
      <c r="N154" s="98"/>
      <c r="O154" s="98"/>
      <c r="P154" s="98"/>
      <c r="Q154" s="98"/>
      <c r="R154" s="98"/>
      <c r="S154" s="98"/>
      <c r="T154" s="98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</row>
    <row r="155" ht="15.75" customHeight="1">
      <c r="A155" s="98"/>
      <c r="B155" s="98"/>
      <c r="C155" s="98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</row>
    <row r="156" ht="15.75" customHeight="1">
      <c r="A156" s="98"/>
      <c r="B156" s="98"/>
      <c r="C156" s="98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</row>
    <row r="157" ht="15.75" customHeight="1">
      <c r="A157" s="98"/>
      <c r="B157" s="98"/>
      <c r="C157" s="98"/>
      <c r="D157" s="98"/>
      <c r="E157" s="98"/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</row>
    <row r="158" ht="15.75" customHeight="1">
      <c r="A158" s="98"/>
      <c r="B158" s="98"/>
      <c r="C158" s="98"/>
      <c r="D158" s="98"/>
      <c r="E158" s="98"/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</row>
    <row r="159" ht="15.75" customHeight="1">
      <c r="A159" s="98"/>
      <c r="B159" s="98"/>
      <c r="C159" s="98"/>
      <c r="D159" s="98"/>
      <c r="E159" s="98"/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</row>
    <row r="160" ht="15.75" customHeight="1">
      <c r="A160" s="98"/>
      <c r="B160" s="98"/>
      <c r="C160" s="98"/>
      <c r="D160" s="98"/>
      <c r="E160" s="98"/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</row>
    <row r="161" ht="15.75" customHeight="1">
      <c r="A161" s="98"/>
      <c r="B161" s="98"/>
      <c r="C161" s="98"/>
      <c r="D161" s="98"/>
      <c r="E161" s="98"/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</row>
    <row r="162" ht="15.75" customHeight="1">
      <c r="A162" s="98"/>
      <c r="B162" s="98"/>
      <c r="C162" s="98"/>
      <c r="D162" s="98"/>
      <c r="E162" s="98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</row>
    <row r="163" ht="15.75" customHeight="1">
      <c r="A163" s="98"/>
      <c r="B163" s="98"/>
      <c r="C163" s="98"/>
      <c r="D163" s="98"/>
      <c r="E163" s="98"/>
      <c r="F163" s="98"/>
      <c r="G163" s="98"/>
      <c r="H163" s="98"/>
      <c r="I163" s="98"/>
      <c r="J163" s="98"/>
      <c r="K163" s="98"/>
      <c r="L163" s="98"/>
      <c r="M163" s="98"/>
      <c r="N163" s="98"/>
      <c r="O163" s="98"/>
      <c r="P163" s="98"/>
      <c r="Q163" s="98"/>
      <c r="R163" s="98"/>
      <c r="S163" s="98"/>
      <c r="T163" s="98"/>
      <c r="U163" s="98"/>
      <c r="V163" s="98"/>
      <c r="W163" s="98"/>
      <c r="X163" s="98"/>
      <c r="Y163" s="98"/>
      <c r="Z163" s="98"/>
      <c r="AA163" s="98"/>
      <c r="AB163" s="98"/>
      <c r="AC163" s="98"/>
      <c r="AD163" s="98"/>
      <c r="AE163" s="98"/>
      <c r="AF163" s="98"/>
      <c r="AG163" s="98"/>
    </row>
    <row r="164" ht="15.75" customHeight="1">
      <c r="A164" s="98"/>
      <c r="B164" s="98"/>
      <c r="C164" s="98"/>
      <c r="D164" s="98"/>
      <c r="E164" s="98"/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</row>
    <row r="165" ht="15.75" customHeight="1">
      <c r="A165" s="98"/>
      <c r="B165" s="98"/>
      <c r="C165" s="98"/>
      <c r="D165" s="98"/>
      <c r="E165" s="98"/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</row>
    <row r="166" ht="15.75" customHeight="1">
      <c r="A166" s="98"/>
      <c r="B166" s="98"/>
      <c r="C166" s="98"/>
      <c r="D166" s="98"/>
      <c r="E166" s="98"/>
      <c r="F166" s="98"/>
      <c r="G166" s="98"/>
      <c r="H166" s="98"/>
      <c r="I166" s="98"/>
      <c r="J166" s="98"/>
      <c r="K166" s="98"/>
      <c r="L166" s="98"/>
      <c r="M166" s="98"/>
      <c r="N166" s="98"/>
      <c r="O166" s="98"/>
      <c r="P166" s="98"/>
      <c r="Q166" s="98"/>
      <c r="R166" s="98"/>
      <c r="S166" s="98"/>
      <c r="T166" s="98"/>
      <c r="U166" s="98"/>
      <c r="V166" s="98"/>
      <c r="W166" s="98"/>
      <c r="X166" s="98"/>
      <c r="Y166" s="98"/>
      <c r="Z166" s="98"/>
      <c r="AA166" s="98"/>
      <c r="AB166" s="98"/>
      <c r="AC166" s="98"/>
      <c r="AD166" s="98"/>
      <c r="AE166" s="98"/>
      <c r="AF166" s="98"/>
      <c r="AG166" s="98"/>
    </row>
    <row r="167" ht="15.75" customHeight="1">
      <c r="A167" s="98"/>
      <c r="B167" s="98"/>
      <c r="C167" s="98"/>
      <c r="D167" s="98"/>
      <c r="E167" s="98"/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</row>
    <row r="168" ht="15.75" customHeight="1">
      <c r="A168" s="98"/>
      <c r="B168" s="98"/>
      <c r="C168" s="98"/>
      <c r="D168" s="98"/>
      <c r="E168" s="98"/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</row>
    <row r="169" ht="15.75" customHeight="1">
      <c r="A169" s="98"/>
      <c r="B169" s="98"/>
      <c r="C169" s="98"/>
      <c r="D169" s="98"/>
      <c r="E169" s="98"/>
      <c r="F169" s="98"/>
      <c r="G169" s="98"/>
      <c r="H169" s="98"/>
      <c r="I169" s="98"/>
      <c r="J169" s="98"/>
      <c r="K169" s="98"/>
      <c r="L169" s="98"/>
      <c r="M169" s="98"/>
      <c r="N169" s="98"/>
      <c r="O169" s="98"/>
      <c r="P169" s="98"/>
      <c r="Q169" s="98"/>
      <c r="R169" s="98"/>
      <c r="S169" s="98"/>
      <c r="T169" s="98"/>
      <c r="U169" s="98"/>
      <c r="V169" s="98"/>
      <c r="W169" s="98"/>
      <c r="X169" s="98"/>
      <c r="Y169" s="98"/>
      <c r="Z169" s="98"/>
      <c r="AA169" s="98"/>
      <c r="AB169" s="98"/>
      <c r="AC169" s="98"/>
      <c r="AD169" s="98"/>
      <c r="AE169" s="98"/>
      <c r="AF169" s="98"/>
      <c r="AG169" s="98"/>
    </row>
    <row r="170" ht="15.75" customHeight="1">
      <c r="A170" s="98"/>
      <c r="B170" s="98"/>
      <c r="C170" s="98"/>
      <c r="D170" s="98"/>
      <c r="E170" s="98"/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</row>
    <row r="171" ht="15.75" customHeight="1">
      <c r="A171" s="98"/>
      <c r="B171" s="98"/>
      <c r="C171" s="98"/>
      <c r="D171" s="98"/>
      <c r="E171" s="98"/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</row>
    <row r="172" ht="15.75" customHeight="1">
      <c r="A172" s="98"/>
      <c r="B172" s="98"/>
      <c r="C172" s="98"/>
      <c r="D172" s="98"/>
      <c r="E172" s="98"/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</row>
    <row r="173" ht="15.75" customHeight="1">
      <c r="A173" s="98"/>
      <c r="B173" s="98"/>
      <c r="C173" s="98"/>
      <c r="D173" s="98"/>
      <c r="E173" s="98"/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</row>
    <row r="174" ht="15.75" customHeight="1">
      <c r="A174" s="98"/>
      <c r="B174" s="98"/>
      <c r="C174" s="98"/>
      <c r="D174" s="98"/>
      <c r="E174" s="98"/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</row>
    <row r="175" ht="15.75" customHeight="1">
      <c r="A175" s="98"/>
      <c r="B175" s="98"/>
      <c r="C175" s="98"/>
      <c r="D175" s="98"/>
      <c r="E175" s="98"/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</row>
    <row r="176" ht="15.75" customHeight="1">
      <c r="A176" s="98"/>
      <c r="B176" s="98"/>
      <c r="C176" s="98"/>
      <c r="D176" s="98"/>
      <c r="E176" s="98"/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</row>
    <row r="177" ht="15.75" customHeight="1">
      <c r="A177" s="98"/>
      <c r="B177" s="98"/>
      <c r="C177" s="98"/>
      <c r="D177" s="98"/>
      <c r="E177" s="98"/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</row>
    <row r="178" ht="15.75" customHeight="1">
      <c r="A178" s="98"/>
      <c r="B178" s="98"/>
      <c r="C178" s="98"/>
      <c r="D178" s="98"/>
      <c r="E178" s="98"/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</row>
    <row r="179" ht="15.75" customHeight="1">
      <c r="A179" s="98"/>
      <c r="B179" s="98"/>
      <c r="C179" s="98"/>
      <c r="D179" s="98"/>
      <c r="E179" s="98"/>
      <c r="F179" s="98"/>
      <c r="G179" s="98"/>
      <c r="H179" s="98"/>
      <c r="I179" s="98"/>
      <c r="J179" s="98"/>
      <c r="K179" s="98"/>
      <c r="L179" s="98"/>
      <c r="M179" s="98"/>
      <c r="N179" s="98"/>
      <c r="O179" s="98"/>
      <c r="P179" s="98"/>
      <c r="Q179" s="98"/>
      <c r="R179" s="98"/>
      <c r="S179" s="98"/>
      <c r="T179" s="98"/>
      <c r="U179" s="98"/>
      <c r="V179" s="98"/>
      <c r="W179" s="98"/>
      <c r="X179" s="98"/>
      <c r="Y179" s="98"/>
      <c r="Z179" s="98"/>
      <c r="AA179" s="98"/>
      <c r="AB179" s="98"/>
      <c r="AC179" s="98"/>
      <c r="AD179" s="98"/>
      <c r="AE179" s="98"/>
      <c r="AF179" s="98"/>
      <c r="AG179" s="98"/>
    </row>
    <row r="180" ht="15.75" customHeight="1">
      <c r="A180" s="98"/>
      <c r="B180" s="98"/>
      <c r="C180" s="98"/>
      <c r="D180" s="98"/>
      <c r="E180" s="98"/>
      <c r="F180" s="98"/>
      <c r="G180" s="98"/>
      <c r="H180" s="98"/>
      <c r="I180" s="98"/>
      <c r="J180" s="98"/>
      <c r="K180" s="98"/>
      <c r="L180" s="98"/>
      <c r="M180" s="98"/>
      <c r="N180" s="98"/>
      <c r="O180" s="98"/>
      <c r="P180" s="98"/>
      <c r="Q180" s="98"/>
      <c r="R180" s="98"/>
      <c r="S180" s="98"/>
      <c r="T180" s="98"/>
      <c r="U180" s="98"/>
      <c r="V180" s="98"/>
      <c r="W180" s="98"/>
      <c r="X180" s="98"/>
      <c r="Y180" s="98"/>
      <c r="Z180" s="98"/>
      <c r="AA180" s="98"/>
      <c r="AB180" s="98"/>
      <c r="AC180" s="98"/>
      <c r="AD180" s="98"/>
      <c r="AE180" s="98"/>
      <c r="AF180" s="98"/>
      <c r="AG180" s="98"/>
    </row>
    <row r="181" ht="15.75" customHeight="1">
      <c r="A181" s="98"/>
      <c r="B181" s="98"/>
      <c r="C181" s="98"/>
      <c r="D181" s="98"/>
      <c r="E181" s="98"/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</row>
    <row r="182" ht="15.75" customHeight="1">
      <c r="A182" s="98"/>
      <c r="B182" s="98"/>
      <c r="C182" s="98"/>
      <c r="D182" s="98"/>
      <c r="E182" s="98"/>
      <c r="F182" s="98"/>
      <c r="G182" s="98"/>
      <c r="H182" s="98"/>
      <c r="I182" s="98"/>
      <c r="J182" s="98"/>
      <c r="K182" s="98"/>
      <c r="L182" s="98"/>
      <c r="M182" s="98"/>
      <c r="N182" s="98"/>
      <c r="O182" s="98"/>
      <c r="P182" s="98"/>
      <c r="Q182" s="98"/>
      <c r="R182" s="98"/>
      <c r="S182" s="98"/>
      <c r="T182" s="98"/>
      <c r="U182" s="98"/>
      <c r="V182" s="98"/>
      <c r="W182" s="98"/>
      <c r="X182" s="98"/>
      <c r="Y182" s="98"/>
      <c r="Z182" s="98"/>
      <c r="AA182" s="98"/>
      <c r="AB182" s="98"/>
      <c r="AC182" s="98"/>
      <c r="AD182" s="98"/>
      <c r="AE182" s="98"/>
      <c r="AF182" s="98"/>
      <c r="AG182" s="98"/>
    </row>
    <row r="183" ht="15.75" customHeight="1">
      <c r="A183" s="98"/>
      <c r="B183" s="98"/>
      <c r="C183" s="98"/>
      <c r="D183" s="98"/>
      <c r="E183" s="98"/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</row>
    <row r="184" ht="15.75" customHeight="1">
      <c r="A184" s="98"/>
      <c r="B184" s="98"/>
      <c r="C184" s="98"/>
      <c r="D184" s="98"/>
      <c r="E184" s="98"/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</row>
    <row r="185" ht="15.75" customHeight="1">
      <c r="A185" s="98"/>
      <c r="B185" s="98"/>
      <c r="C185" s="98"/>
      <c r="D185" s="98"/>
      <c r="E185" s="98"/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</row>
    <row r="186" ht="15.75" customHeight="1">
      <c r="A186" s="98"/>
      <c r="B186" s="98"/>
      <c r="C186" s="98"/>
      <c r="D186" s="98"/>
      <c r="E186" s="98"/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</row>
    <row r="187" ht="15.75" customHeight="1">
      <c r="A187" s="98"/>
      <c r="B187" s="98"/>
      <c r="C187" s="98"/>
      <c r="D187" s="98"/>
      <c r="E187" s="98"/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</row>
    <row r="188" ht="15.75" customHeight="1">
      <c r="A188" s="98"/>
      <c r="B188" s="98"/>
      <c r="C188" s="98"/>
      <c r="D188" s="98"/>
      <c r="E188" s="98"/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</row>
    <row r="189" ht="15.75" customHeight="1">
      <c r="A189" s="98"/>
      <c r="B189" s="98"/>
      <c r="C189" s="98"/>
      <c r="D189" s="98"/>
      <c r="E189" s="98"/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</row>
    <row r="190" ht="15.75" customHeight="1">
      <c r="A190" s="98"/>
      <c r="B190" s="98"/>
      <c r="C190" s="98"/>
      <c r="D190" s="98"/>
      <c r="E190" s="98"/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</row>
    <row r="191" ht="15.75" customHeight="1">
      <c r="A191" s="98"/>
      <c r="B191" s="98"/>
      <c r="C191" s="98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</row>
    <row r="192" ht="15.75" customHeight="1">
      <c r="A192" s="98"/>
      <c r="B192" s="98"/>
      <c r="C192" s="98"/>
      <c r="D192" s="98"/>
      <c r="E192" s="98"/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</row>
    <row r="193" ht="15.75" customHeight="1">
      <c r="A193" s="98"/>
      <c r="B193" s="98"/>
      <c r="C193" s="98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</row>
    <row r="194" ht="15.75" customHeight="1">
      <c r="A194" s="98"/>
      <c r="B194" s="98"/>
      <c r="C194" s="98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</row>
    <row r="195" ht="15.75" customHeight="1">
      <c r="A195" s="98"/>
      <c r="B195" s="98"/>
      <c r="C195" s="98"/>
      <c r="D195" s="98"/>
      <c r="E195" s="98"/>
      <c r="F195" s="98"/>
      <c r="G195" s="98"/>
      <c r="H195" s="98"/>
      <c r="I195" s="98"/>
      <c r="J195" s="98"/>
      <c r="K195" s="98"/>
      <c r="L195" s="98"/>
      <c r="M195" s="98"/>
      <c r="N195" s="98"/>
      <c r="O195" s="98"/>
      <c r="P195" s="98"/>
      <c r="Q195" s="98"/>
      <c r="R195" s="98"/>
      <c r="S195" s="98"/>
      <c r="T195" s="98"/>
      <c r="U195" s="98"/>
      <c r="V195" s="98"/>
      <c r="W195" s="98"/>
      <c r="X195" s="98"/>
      <c r="Y195" s="98"/>
      <c r="Z195" s="98"/>
      <c r="AA195" s="98"/>
      <c r="AB195" s="98"/>
      <c r="AC195" s="98"/>
      <c r="AD195" s="98"/>
      <c r="AE195" s="98"/>
      <c r="AF195" s="98"/>
      <c r="AG195" s="98"/>
    </row>
    <row r="196" ht="15.75" customHeight="1">
      <c r="A196" s="98"/>
      <c r="B196" s="98"/>
      <c r="C196" s="98"/>
      <c r="D196" s="98"/>
      <c r="E196" s="98"/>
      <c r="F196" s="98"/>
      <c r="G196" s="98"/>
      <c r="H196" s="98"/>
      <c r="I196" s="98"/>
      <c r="J196" s="98"/>
      <c r="K196" s="98"/>
      <c r="L196" s="98"/>
      <c r="M196" s="98"/>
      <c r="N196" s="98"/>
      <c r="O196" s="98"/>
      <c r="P196" s="98"/>
      <c r="Q196" s="98"/>
      <c r="R196" s="98"/>
      <c r="S196" s="98"/>
      <c r="T196" s="98"/>
      <c r="U196" s="98"/>
      <c r="V196" s="98"/>
      <c r="W196" s="98"/>
      <c r="X196" s="98"/>
      <c r="Y196" s="98"/>
      <c r="Z196" s="98"/>
      <c r="AA196" s="98"/>
      <c r="AB196" s="98"/>
      <c r="AC196" s="98"/>
      <c r="AD196" s="98"/>
      <c r="AE196" s="98"/>
      <c r="AF196" s="98"/>
      <c r="AG196" s="98"/>
    </row>
    <row r="197" ht="15.75" customHeight="1">
      <c r="A197" s="98"/>
      <c r="B197" s="98"/>
      <c r="C197" s="98"/>
      <c r="D197" s="98"/>
      <c r="E197" s="98"/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</row>
    <row r="198" ht="15.75" customHeight="1">
      <c r="A198" s="98"/>
      <c r="B198" s="98"/>
      <c r="C198" s="98"/>
      <c r="D198" s="98"/>
      <c r="E198" s="98"/>
      <c r="F198" s="98"/>
      <c r="G198" s="98"/>
      <c r="H198" s="98"/>
      <c r="I198" s="98"/>
      <c r="J198" s="98"/>
      <c r="K198" s="98"/>
      <c r="L198" s="98"/>
      <c r="M198" s="98"/>
      <c r="N198" s="98"/>
      <c r="O198" s="98"/>
      <c r="P198" s="98"/>
      <c r="Q198" s="98"/>
      <c r="R198" s="98"/>
      <c r="S198" s="98"/>
      <c r="T198" s="98"/>
      <c r="U198" s="98"/>
      <c r="V198" s="98"/>
      <c r="W198" s="98"/>
      <c r="X198" s="98"/>
      <c r="Y198" s="98"/>
      <c r="Z198" s="98"/>
      <c r="AA198" s="98"/>
      <c r="AB198" s="98"/>
      <c r="AC198" s="98"/>
      <c r="AD198" s="98"/>
      <c r="AE198" s="98"/>
      <c r="AF198" s="98"/>
      <c r="AG198" s="98"/>
    </row>
    <row r="199" ht="15.75" customHeight="1">
      <c r="A199" s="98"/>
      <c r="B199" s="98"/>
      <c r="C199" s="98"/>
      <c r="D199" s="98"/>
      <c r="E199" s="98"/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</row>
    <row r="200" ht="15.75" customHeight="1">
      <c r="A200" s="98"/>
      <c r="B200" s="98"/>
      <c r="C200" s="98"/>
      <c r="D200" s="98"/>
      <c r="E200" s="98"/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</row>
    <row r="201" ht="15.75" customHeight="1">
      <c r="A201" s="98"/>
      <c r="B201" s="98"/>
      <c r="C201" s="98"/>
      <c r="D201" s="98"/>
      <c r="E201" s="98"/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</row>
    <row r="202" ht="15.75" customHeight="1">
      <c r="A202" s="98"/>
      <c r="B202" s="98"/>
      <c r="C202" s="98"/>
      <c r="D202" s="98"/>
      <c r="E202" s="98"/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</row>
    <row r="203" ht="15.75" customHeight="1">
      <c r="A203" s="98"/>
      <c r="B203" s="98"/>
      <c r="C203" s="98"/>
      <c r="D203" s="98"/>
      <c r="E203" s="98"/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</row>
    <row r="204" ht="15.75" customHeight="1">
      <c r="A204" s="98"/>
      <c r="B204" s="98"/>
      <c r="C204" s="98"/>
      <c r="D204" s="98"/>
      <c r="E204" s="98"/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</row>
    <row r="205" ht="15.75" customHeight="1">
      <c r="A205" s="98"/>
      <c r="B205" s="98"/>
      <c r="C205" s="98"/>
      <c r="D205" s="98"/>
      <c r="E205" s="98"/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</row>
    <row r="206" ht="15.75" customHeight="1">
      <c r="A206" s="98"/>
      <c r="B206" s="98"/>
      <c r="C206" s="98"/>
      <c r="D206" s="98"/>
      <c r="E206" s="98"/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</row>
    <row r="207" ht="15.75" customHeight="1">
      <c r="A207" s="98"/>
      <c r="B207" s="98"/>
      <c r="C207" s="98"/>
      <c r="D207" s="98"/>
      <c r="E207" s="98"/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</row>
    <row r="208" ht="15.75" customHeight="1">
      <c r="A208" s="98"/>
      <c r="B208" s="98"/>
      <c r="C208" s="98"/>
      <c r="D208" s="98"/>
      <c r="E208" s="98"/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</row>
    <row r="209" ht="15.75" customHeight="1">
      <c r="A209" s="98"/>
      <c r="B209" s="98"/>
      <c r="C209" s="98"/>
      <c r="D209" s="98"/>
      <c r="E209" s="98"/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</row>
    <row r="210" ht="15.75" customHeight="1">
      <c r="A210" s="98"/>
      <c r="B210" s="98"/>
      <c r="C210" s="98"/>
      <c r="D210" s="98"/>
      <c r="E210" s="98"/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</row>
    <row r="211" ht="15.75" customHeight="1">
      <c r="A211" s="98"/>
      <c r="B211" s="98"/>
      <c r="C211" s="98"/>
      <c r="D211" s="98"/>
      <c r="E211" s="98"/>
      <c r="F211" s="98"/>
      <c r="G211" s="98"/>
      <c r="H211" s="98"/>
      <c r="I211" s="98"/>
      <c r="J211" s="98"/>
      <c r="K211" s="98"/>
      <c r="L211" s="98"/>
      <c r="M211" s="98"/>
      <c r="N211" s="98"/>
      <c r="O211" s="98"/>
      <c r="P211" s="98"/>
      <c r="Q211" s="98"/>
      <c r="R211" s="98"/>
      <c r="S211" s="98"/>
      <c r="T211" s="98"/>
      <c r="U211" s="98"/>
      <c r="V211" s="98"/>
      <c r="W211" s="98"/>
      <c r="X211" s="98"/>
      <c r="Y211" s="98"/>
      <c r="Z211" s="98"/>
      <c r="AA211" s="98"/>
      <c r="AB211" s="98"/>
      <c r="AC211" s="98"/>
      <c r="AD211" s="98"/>
      <c r="AE211" s="98"/>
      <c r="AF211" s="98"/>
      <c r="AG211" s="98"/>
    </row>
    <row r="212" ht="15.75" customHeight="1">
      <c r="A212" s="98"/>
      <c r="B212" s="98"/>
      <c r="C212" s="98"/>
      <c r="D212" s="98"/>
      <c r="E212" s="98"/>
      <c r="F212" s="98"/>
      <c r="G212" s="98"/>
      <c r="H212" s="98"/>
      <c r="I212" s="98"/>
      <c r="J212" s="98"/>
      <c r="K212" s="98"/>
      <c r="L212" s="98"/>
      <c r="M212" s="98"/>
      <c r="N212" s="98"/>
      <c r="O212" s="98"/>
      <c r="P212" s="98"/>
      <c r="Q212" s="98"/>
      <c r="R212" s="98"/>
      <c r="S212" s="98"/>
      <c r="T212" s="98"/>
      <c r="U212" s="98"/>
      <c r="V212" s="98"/>
      <c r="W212" s="98"/>
      <c r="X212" s="98"/>
      <c r="Y212" s="98"/>
      <c r="Z212" s="98"/>
      <c r="AA212" s="98"/>
      <c r="AB212" s="98"/>
      <c r="AC212" s="98"/>
      <c r="AD212" s="98"/>
      <c r="AE212" s="98"/>
      <c r="AF212" s="98"/>
      <c r="AG212" s="98"/>
    </row>
    <row r="213" ht="15.75" customHeight="1">
      <c r="A213" s="98"/>
      <c r="B213" s="98"/>
      <c r="C213" s="98"/>
      <c r="D213" s="98"/>
      <c r="E213" s="98"/>
      <c r="F213" s="98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</row>
    <row r="214" ht="15.75" customHeight="1">
      <c r="A214" s="98"/>
      <c r="B214" s="98"/>
      <c r="C214" s="98"/>
      <c r="D214" s="98"/>
      <c r="E214" s="98"/>
      <c r="F214" s="98"/>
      <c r="G214" s="98"/>
      <c r="H214" s="98"/>
      <c r="I214" s="98"/>
      <c r="J214" s="98"/>
      <c r="K214" s="98"/>
      <c r="L214" s="98"/>
      <c r="M214" s="98"/>
      <c r="N214" s="98"/>
      <c r="O214" s="98"/>
      <c r="P214" s="98"/>
      <c r="Q214" s="98"/>
      <c r="R214" s="98"/>
      <c r="S214" s="98"/>
      <c r="T214" s="98"/>
      <c r="U214" s="98"/>
      <c r="V214" s="98"/>
      <c r="W214" s="98"/>
      <c r="X214" s="98"/>
      <c r="Y214" s="98"/>
      <c r="Z214" s="98"/>
      <c r="AA214" s="98"/>
      <c r="AB214" s="98"/>
      <c r="AC214" s="98"/>
      <c r="AD214" s="98"/>
      <c r="AE214" s="98"/>
      <c r="AF214" s="98"/>
      <c r="AG214" s="98"/>
    </row>
    <row r="215" ht="15.75" customHeight="1">
      <c r="A215" s="98"/>
      <c r="B215" s="98"/>
      <c r="C215" s="98"/>
      <c r="D215" s="98"/>
      <c r="E215" s="98"/>
      <c r="F215" s="98"/>
      <c r="G215" s="98"/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</row>
    <row r="216" ht="15.75" customHeight="1">
      <c r="A216" s="98"/>
      <c r="B216" s="98"/>
      <c r="C216" s="98"/>
      <c r="D216" s="98"/>
      <c r="E216" s="98"/>
      <c r="F216" s="98"/>
      <c r="G216" s="98"/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</row>
    <row r="217" ht="15.75" customHeight="1">
      <c r="A217" s="98"/>
      <c r="B217" s="98"/>
      <c r="C217" s="98"/>
      <c r="D217" s="98"/>
      <c r="E217" s="98"/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</row>
    <row r="218" ht="15.75" customHeight="1">
      <c r="A218" s="98"/>
      <c r="B218" s="98"/>
      <c r="C218" s="98"/>
      <c r="D218" s="98"/>
      <c r="E218" s="98"/>
      <c r="F218" s="98"/>
      <c r="G218" s="98"/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</row>
    <row r="219" ht="15.75" customHeight="1">
      <c r="A219" s="98"/>
      <c r="B219" s="98"/>
      <c r="C219" s="98"/>
      <c r="D219" s="98"/>
      <c r="E219" s="98"/>
      <c r="F219" s="98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</row>
    <row r="220" ht="15.75" customHeight="1">
      <c r="A220" s="98"/>
      <c r="B220" s="98"/>
      <c r="C220" s="98"/>
      <c r="D220" s="98"/>
      <c r="E220" s="98"/>
      <c r="F220" s="98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</row>
    <row r="221" ht="15.75" customHeight="1">
      <c r="A221" s="98"/>
      <c r="B221" s="98"/>
      <c r="C221" s="98"/>
      <c r="D221" s="98"/>
      <c r="E221" s="98"/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</row>
    <row r="222" ht="15.75" customHeight="1">
      <c r="A222" s="98"/>
      <c r="B222" s="98"/>
      <c r="C222" s="98"/>
      <c r="D222" s="98"/>
      <c r="E222" s="98"/>
      <c r="F222" s="98"/>
      <c r="G222" s="98"/>
      <c r="H222" s="98"/>
      <c r="I222" s="98"/>
      <c r="J222" s="98"/>
      <c r="K222" s="98"/>
      <c r="L222" s="98"/>
      <c r="M222" s="98"/>
      <c r="N222" s="98"/>
      <c r="O222" s="98"/>
      <c r="P222" s="98"/>
      <c r="Q222" s="98"/>
      <c r="R222" s="98"/>
      <c r="S222" s="98"/>
      <c r="T222" s="98"/>
      <c r="U222" s="98"/>
      <c r="V222" s="98"/>
      <c r="W222" s="98"/>
      <c r="X222" s="98"/>
      <c r="Y222" s="98"/>
      <c r="Z222" s="98"/>
      <c r="AA222" s="98"/>
      <c r="AB222" s="98"/>
      <c r="AC222" s="98"/>
      <c r="AD222" s="98"/>
      <c r="AE222" s="98"/>
      <c r="AF222" s="98"/>
      <c r="AG222" s="98"/>
    </row>
    <row r="223" ht="15.75" customHeight="1">
      <c r="A223" s="98"/>
      <c r="B223" s="98"/>
      <c r="C223" s="98"/>
      <c r="D223" s="98"/>
      <c r="E223" s="98"/>
      <c r="F223" s="98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</row>
    <row r="224" ht="15.75" customHeight="1">
      <c r="A224" s="98"/>
      <c r="B224" s="98"/>
      <c r="C224" s="98"/>
      <c r="D224" s="98"/>
      <c r="E224" s="98"/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</row>
    <row r="225" ht="15.75" customHeight="1">
      <c r="A225" s="98"/>
      <c r="B225" s="98"/>
      <c r="C225" s="98"/>
      <c r="D225" s="98"/>
      <c r="E225" s="98"/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</row>
    <row r="226" ht="15.75" customHeight="1">
      <c r="A226" s="98"/>
      <c r="B226" s="98"/>
      <c r="C226" s="98"/>
      <c r="D226" s="98"/>
      <c r="E226" s="98"/>
      <c r="F226" s="98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</row>
    <row r="227" ht="15.75" customHeight="1">
      <c r="A227" s="98"/>
      <c r="B227" s="98"/>
      <c r="C227" s="98"/>
      <c r="D227" s="98"/>
      <c r="E227" s="98"/>
      <c r="F227" s="98"/>
      <c r="G227" s="98"/>
      <c r="H227" s="98"/>
      <c r="I227" s="98"/>
      <c r="J227" s="98"/>
      <c r="K227" s="98"/>
      <c r="L227" s="98"/>
      <c r="M227" s="98"/>
      <c r="N227" s="98"/>
      <c r="O227" s="98"/>
      <c r="P227" s="98"/>
      <c r="Q227" s="98"/>
      <c r="R227" s="98"/>
      <c r="S227" s="98"/>
      <c r="T227" s="98"/>
      <c r="U227" s="98"/>
      <c r="V227" s="98"/>
      <c r="W227" s="98"/>
      <c r="X227" s="98"/>
      <c r="Y227" s="98"/>
      <c r="Z227" s="98"/>
      <c r="AA227" s="98"/>
      <c r="AB227" s="98"/>
      <c r="AC227" s="98"/>
      <c r="AD227" s="98"/>
      <c r="AE227" s="98"/>
      <c r="AF227" s="98"/>
      <c r="AG227" s="98"/>
    </row>
    <row r="228" ht="15.75" customHeight="1">
      <c r="A228" s="98"/>
      <c r="B228" s="98"/>
      <c r="C228" s="98"/>
      <c r="D228" s="98"/>
      <c r="E228" s="98"/>
      <c r="F228" s="98"/>
      <c r="G228" s="98"/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</row>
    <row r="229" ht="15.75" customHeight="1">
      <c r="A229" s="98"/>
      <c r="B229" s="98"/>
      <c r="C229" s="98"/>
      <c r="D229" s="98"/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</row>
    <row r="230" ht="15.75" customHeight="1">
      <c r="A230" s="98"/>
      <c r="B230" s="98"/>
      <c r="C230" s="98"/>
      <c r="D230" s="98"/>
      <c r="E230" s="98"/>
      <c r="F230" s="98"/>
      <c r="G230" s="98"/>
      <c r="H230" s="98"/>
      <c r="I230" s="98"/>
      <c r="J230" s="98"/>
      <c r="K230" s="98"/>
      <c r="L230" s="98"/>
      <c r="M230" s="98"/>
      <c r="N230" s="98"/>
      <c r="O230" s="98"/>
      <c r="P230" s="98"/>
      <c r="Q230" s="98"/>
      <c r="R230" s="98"/>
      <c r="S230" s="98"/>
      <c r="T230" s="98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</row>
    <row r="231" ht="15.75" customHeight="1">
      <c r="A231" s="98"/>
      <c r="B231" s="98"/>
      <c r="C231" s="98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</row>
    <row r="232" ht="15.75" customHeight="1">
      <c r="A232" s="98"/>
      <c r="B232" s="98"/>
      <c r="C232" s="98"/>
      <c r="D232" s="98"/>
      <c r="E232" s="98"/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</row>
    <row r="233" ht="15.75" customHeight="1">
      <c r="A233" s="98"/>
      <c r="B233" s="98"/>
      <c r="C233" s="98"/>
      <c r="D233" s="98"/>
      <c r="E233" s="98"/>
      <c r="F233" s="98"/>
      <c r="G233" s="98"/>
      <c r="H233" s="98"/>
      <c r="I233" s="98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</row>
    <row r="234" ht="15.75" customHeight="1">
      <c r="A234" s="98"/>
      <c r="B234" s="98"/>
      <c r="C234" s="98"/>
      <c r="D234" s="98"/>
      <c r="E234" s="98"/>
      <c r="F234" s="98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</row>
    <row r="235" ht="15.75" customHeight="1">
      <c r="A235" s="98"/>
      <c r="B235" s="98"/>
      <c r="C235" s="98"/>
      <c r="D235" s="98"/>
      <c r="E235" s="98"/>
      <c r="F235" s="98"/>
      <c r="G235" s="98"/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</row>
    <row r="236" ht="15.75" customHeight="1">
      <c r="A236" s="98"/>
      <c r="B236" s="98"/>
      <c r="C236" s="98"/>
      <c r="D236" s="98"/>
      <c r="E236" s="98"/>
      <c r="F236" s="98"/>
      <c r="G236" s="98"/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</row>
    <row r="237" ht="15.75" customHeight="1">
      <c r="A237" s="98"/>
      <c r="B237" s="98"/>
      <c r="C237" s="98"/>
      <c r="D237" s="98"/>
      <c r="E237" s="98"/>
      <c r="F237" s="98"/>
      <c r="G237" s="98"/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</row>
    <row r="238" ht="15.75" customHeight="1">
      <c r="A238" s="98"/>
      <c r="B238" s="98"/>
      <c r="C238" s="98"/>
      <c r="D238" s="98"/>
      <c r="E238" s="98"/>
      <c r="F238" s="98"/>
      <c r="G238" s="98"/>
      <c r="H238" s="98"/>
      <c r="I238" s="98"/>
      <c r="J238" s="98"/>
      <c r="K238" s="98"/>
      <c r="L238" s="98"/>
      <c r="M238" s="98"/>
      <c r="N238" s="98"/>
      <c r="O238" s="98"/>
      <c r="P238" s="98"/>
      <c r="Q238" s="98"/>
      <c r="R238" s="98"/>
      <c r="S238" s="98"/>
      <c r="T238" s="98"/>
      <c r="U238" s="98"/>
      <c r="V238" s="98"/>
      <c r="W238" s="98"/>
      <c r="X238" s="98"/>
      <c r="Y238" s="98"/>
      <c r="Z238" s="98"/>
      <c r="AA238" s="98"/>
      <c r="AB238" s="98"/>
      <c r="AC238" s="98"/>
      <c r="AD238" s="98"/>
      <c r="AE238" s="98"/>
      <c r="AF238" s="98"/>
      <c r="AG238" s="98"/>
    </row>
    <row r="239" ht="15.75" customHeight="1">
      <c r="A239" s="98"/>
      <c r="B239" s="98"/>
      <c r="C239" s="98"/>
      <c r="D239" s="98"/>
      <c r="E239" s="98"/>
      <c r="F239" s="98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</row>
    <row r="240" ht="15.75" customHeight="1">
      <c r="A240" s="98"/>
      <c r="B240" s="98"/>
      <c r="C240" s="98"/>
      <c r="D240" s="98"/>
      <c r="E240" s="98"/>
      <c r="F240" s="98"/>
      <c r="G240" s="98"/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</row>
    <row r="241" ht="15.75" customHeight="1">
      <c r="A241" s="98"/>
      <c r="B241" s="98"/>
      <c r="C241" s="98"/>
      <c r="D241" s="98"/>
      <c r="E241" s="98"/>
      <c r="F241" s="98"/>
      <c r="G241" s="98"/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</row>
    <row r="242" ht="15.75" customHeight="1">
      <c r="A242" s="98"/>
      <c r="B242" s="98"/>
      <c r="C242" s="98"/>
      <c r="D242" s="98"/>
      <c r="E242" s="98"/>
      <c r="F242" s="98"/>
      <c r="G242" s="98"/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</row>
    <row r="243" ht="15.75" customHeight="1">
      <c r="A243" s="98"/>
      <c r="B243" s="98"/>
      <c r="C243" s="98"/>
      <c r="D243" s="98"/>
      <c r="E243" s="98"/>
      <c r="F243" s="98"/>
      <c r="G243" s="98"/>
      <c r="H243" s="98"/>
      <c r="I243" s="98"/>
      <c r="J243" s="98"/>
      <c r="K243" s="98"/>
      <c r="L243" s="98"/>
      <c r="M243" s="98"/>
      <c r="N243" s="98"/>
      <c r="O243" s="98"/>
      <c r="P243" s="98"/>
      <c r="Q243" s="98"/>
      <c r="R243" s="98"/>
      <c r="S243" s="98"/>
      <c r="T243" s="98"/>
      <c r="U243" s="98"/>
      <c r="V243" s="98"/>
      <c r="W243" s="98"/>
      <c r="X243" s="98"/>
      <c r="Y243" s="98"/>
      <c r="Z243" s="98"/>
      <c r="AA243" s="98"/>
      <c r="AB243" s="98"/>
      <c r="AC243" s="98"/>
      <c r="AD243" s="98"/>
      <c r="AE243" s="98"/>
      <c r="AF243" s="98"/>
      <c r="AG243" s="98"/>
    </row>
    <row r="244" ht="15.75" customHeight="1">
      <c r="A244" s="98"/>
      <c r="B244" s="98"/>
      <c r="C244" s="98"/>
      <c r="D244" s="98"/>
      <c r="E244" s="98"/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</row>
    <row r="245" ht="15.75" customHeight="1">
      <c r="A245" s="98"/>
      <c r="B245" s="98"/>
      <c r="C245" s="98"/>
      <c r="D245" s="98"/>
      <c r="E245" s="98"/>
      <c r="F245" s="98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</row>
    <row r="246" ht="15.75" customHeight="1">
      <c r="A246" s="98"/>
      <c r="B246" s="98"/>
      <c r="C246" s="98"/>
      <c r="D246" s="98"/>
      <c r="E246" s="98"/>
      <c r="F246" s="98"/>
      <c r="G246" s="98"/>
      <c r="H246" s="98"/>
      <c r="I246" s="98"/>
      <c r="J246" s="98"/>
      <c r="K246" s="98"/>
      <c r="L246" s="98"/>
      <c r="M246" s="98"/>
      <c r="N246" s="98"/>
      <c r="O246" s="98"/>
      <c r="P246" s="98"/>
      <c r="Q246" s="98"/>
      <c r="R246" s="98"/>
      <c r="S246" s="98"/>
      <c r="T246" s="98"/>
      <c r="U246" s="98"/>
      <c r="V246" s="98"/>
      <c r="W246" s="98"/>
      <c r="X246" s="98"/>
      <c r="Y246" s="98"/>
      <c r="Z246" s="98"/>
      <c r="AA246" s="98"/>
      <c r="AB246" s="98"/>
      <c r="AC246" s="98"/>
      <c r="AD246" s="98"/>
      <c r="AE246" s="98"/>
      <c r="AF246" s="98"/>
      <c r="AG246" s="98"/>
    </row>
    <row r="247" ht="15.75" customHeight="1">
      <c r="A247" s="98"/>
      <c r="B247" s="98"/>
      <c r="C247" s="98"/>
      <c r="D247" s="98"/>
      <c r="E247" s="98"/>
      <c r="F247" s="98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</row>
    <row r="248" ht="15.75" customHeight="1">
      <c r="A248" s="98"/>
      <c r="B248" s="98"/>
      <c r="C248" s="98"/>
      <c r="D248" s="98"/>
      <c r="E248" s="98"/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</row>
    <row r="249" ht="15.75" customHeight="1">
      <c r="A249" s="98"/>
      <c r="B249" s="98"/>
      <c r="C249" s="98"/>
      <c r="D249" s="98"/>
      <c r="E249" s="98"/>
      <c r="F249" s="98"/>
      <c r="G249" s="98"/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</row>
    <row r="250" ht="15.75" customHeight="1">
      <c r="A250" s="98"/>
      <c r="B250" s="98"/>
      <c r="C250" s="98"/>
      <c r="D250" s="98"/>
      <c r="E250" s="98"/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</row>
    <row r="251" ht="15.75" customHeight="1">
      <c r="A251" s="98"/>
      <c r="B251" s="98"/>
      <c r="C251" s="98"/>
      <c r="D251" s="98"/>
      <c r="E251" s="98"/>
      <c r="F251" s="98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</row>
    <row r="252" ht="15.75" customHeight="1">
      <c r="A252" s="98"/>
      <c r="B252" s="98"/>
      <c r="C252" s="98"/>
      <c r="D252" s="98"/>
      <c r="E252" s="98"/>
      <c r="F252" s="98"/>
      <c r="G252" s="98"/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</row>
    <row r="253" ht="15.75" customHeight="1">
      <c r="A253" s="98"/>
      <c r="B253" s="98"/>
      <c r="C253" s="98"/>
      <c r="D253" s="98"/>
      <c r="E253" s="98"/>
      <c r="F253" s="98"/>
      <c r="G253" s="98"/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</row>
    <row r="254" ht="15.75" customHeight="1">
      <c r="A254" s="98"/>
      <c r="B254" s="98"/>
      <c r="C254" s="98"/>
      <c r="D254" s="98"/>
      <c r="E254" s="98"/>
      <c r="F254" s="98"/>
      <c r="G254" s="98"/>
      <c r="H254" s="98"/>
      <c r="I254" s="98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</row>
    <row r="255" ht="15.75" customHeight="1">
      <c r="A255" s="98"/>
      <c r="B255" s="98"/>
      <c r="C255" s="98"/>
      <c r="D255" s="98"/>
      <c r="E255" s="98"/>
      <c r="F255" s="98"/>
      <c r="G255" s="98"/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</row>
    <row r="256" ht="15.75" customHeight="1">
      <c r="A256" s="98"/>
      <c r="B256" s="98"/>
      <c r="C256" s="98"/>
      <c r="D256" s="98"/>
      <c r="E256" s="98"/>
      <c r="F256" s="98"/>
      <c r="G256" s="98"/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</row>
    <row r="257" ht="15.75" customHeight="1">
      <c r="A257" s="98"/>
      <c r="B257" s="98"/>
      <c r="C257" s="98"/>
      <c r="D257" s="98"/>
      <c r="E257" s="98"/>
      <c r="F257" s="98"/>
      <c r="G257" s="98"/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</row>
    <row r="258" ht="15.75" customHeight="1">
      <c r="A258" s="98"/>
      <c r="B258" s="98"/>
      <c r="C258" s="98"/>
      <c r="D258" s="98"/>
      <c r="E258" s="98"/>
      <c r="F258" s="98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</row>
    <row r="259" ht="15.75" customHeight="1">
      <c r="A259" s="98"/>
      <c r="B259" s="98"/>
      <c r="C259" s="98"/>
      <c r="D259" s="98"/>
      <c r="E259" s="98"/>
      <c r="F259" s="98"/>
      <c r="G259" s="98"/>
      <c r="H259" s="98"/>
      <c r="I259" s="98"/>
      <c r="J259" s="98"/>
      <c r="K259" s="98"/>
      <c r="L259" s="98"/>
      <c r="M259" s="98"/>
      <c r="N259" s="98"/>
      <c r="O259" s="98"/>
      <c r="P259" s="98"/>
      <c r="Q259" s="98"/>
      <c r="R259" s="98"/>
      <c r="S259" s="98"/>
      <c r="T259" s="98"/>
      <c r="U259" s="98"/>
      <c r="V259" s="98"/>
      <c r="W259" s="98"/>
      <c r="X259" s="98"/>
      <c r="Y259" s="98"/>
      <c r="Z259" s="98"/>
      <c r="AA259" s="98"/>
      <c r="AB259" s="98"/>
      <c r="AC259" s="98"/>
      <c r="AD259" s="98"/>
      <c r="AE259" s="98"/>
      <c r="AF259" s="98"/>
      <c r="AG259" s="98"/>
    </row>
    <row r="260" ht="15.75" customHeight="1">
      <c r="A260" s="98"/>
      <c r="B260" s="98"/>
      <c r="C260" s="98"/>
      <c r="D260" s="98"/>
      <c r="E260" s="98"/>
      <c r="F260" s="98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</row>
    <row r="261" ht="15.75" customHeight="1">
      <c r="A261" s="98"/>
      <c r="B261" s="98"/>
      <c r="C261" s="98"/>
      <c r="D261" s="98"/>
      <c r="E261" s="98"/>
      <c r="F261" s="98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</row>
    <row r="262" ht="15.75" customHeight="1">
      <c r="A262" s="98"/>
      <c r="B262" s="98"/>
      <c r="C262" s="98"/>
      <c r="D262" s="98"/>
      <c r="E262" s="98"/>
      <c r="F262" s="98"/>
      <c r="G262" s="98"/>
      <c r="H262" s="98"/>
      <c r="I262" s="98"/>
      <c r="J262" s="98"/>
      <c r="K262" s="98"/>
      <c r="L262" s="98"/>
      <c r="M262" s="98"/>
      <c r="N262" s="98"/>
      <c r="O262" s="98"/>
      <c r="P262" s="98"/>
      <c r="Q262" s="98"/>
      <c r="R262" s="98"/>
      <c r="S262" s="98"/>
      <c r="T262" s="98"/>
      <c r="U262" s="98"/>
      <c r="V262" s="98"/>
      <c r="W262" s="98"/>
      <c r="X262" s="98"/>
      <c r="Y262" s="98"/>
      <c r="Z262" s="98"/>
      <c r="AA262" s="98"/>
      <c r="AB262" s="98"/>
      <c r="AC262" s="98"/>
      <c r="AD262" s="98"/>
      <c r="AE262" s="98"/>
      <c r="AF262" s="98"/>
      <c r="AG262" s="98"/>
    </row>
    <row r="263" ht="15.75" customHeight="1">
      <c r="A263" s="98"/>
      <c r="B263" s="98"/>
      <c r="C263" s="98"/>
      <c r="D263" s="98"/>
      <c r="E263" s="98"/>
      <c r="F263" s="98"/>
      <c r="G263" s="98"/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</row>
    <row r="264" ht="15.75" customHeight="1">
      <c r="A264" s="98"/>
      <c r="B264" s="98"/>
      <c r="C264" s="98"/>
      <c r="D264" s="98"/>
      <c r="E264" s="98"/>
      <c r="F264" s="98"/>
      <c r="G264" s="98"/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</row>
    <row r="265" ht="15.75" customHeight="1">
      <c r="A265" s="98"/>
      <c r="B265" s="98"/>
      <c r="C265" s="98"/>
      <c r="D265" s="98"/>
      <c r="E265" s="98"/>
      <c r="F265" s="98"/>
      <c r="G265" s="98"/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</row>
    <row r="266" ht="15.75" customHeight="1">
      <c r="A266" s="98"/>
      <c r="B266" s="98"/>
      <c r="C266" s="98"/>
      <c r="D266" s="98"/>
      <c r="E266" s="98"/>
      <c r="F266" s="98"/>
      <c r="G266" s="98"/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</row>
    <row r="267" ht="15.75" customHeight="1">
      <c r="A267" s="98"/>
      <c r="B267" s="98"/>
      <c r="C267" s="98"/>
      <c r="D267" s="98"/>
      <c r="E267" s="98"/>
      <c r="F267" s="98"/>
      <c r="G267" s="98"/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</row>
    <row r="268" ht="15.75" customHeight="1">
      <c r="A268" s="98"/>
      <c r="B268" s="98"/>
      <c r="C268" s="98"/>
      <c r="D268" s="98"/>
      <c r="E268" s="98"/>
      <c r="F268" s="98"/>
      <c r="G268" s="98"/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</row>
    <row r="269" ht="15.75" customHeight="1">
      <c r="A269" s="98"/>
      <c r="B269" s="98"/>
      <c r="C269" s="98"/>
      <c r="D269" s="98"/>
      <c r="E269" s="98"/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</row>
    <row r="270" ht="15.75" customHeight="1">
      <c r="A270" s="98"/>
      <c r="B270" s="98"/>
      <c r="C270" s="98"/>
      <c r="D270" s="98"/>
      <c r="E270" s="98"/>
      <c r="F270" s="98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</row>
    <row r="271" ht="15.75" customHeight="1">
      <c r="A271" s="98"/>
      <c r="B271" s="98"/>
      <c r="C271" s="98"/>
      <c r="D271" s="98"/>
      <c r="E271" s="98"/>
      <c r="F271" s="98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</row>
    <row r="272" ht="15.75" customHeight="1">
      <c r="A272" s="98"/>
      <c r="B272" s="98"/>
      <c r="C272" s="98"/>
      <c r="D272" s="98"/>
      <c r="E272" s="98"/>
      <c r="F272" s="98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</row>
    <row r="273" ht="15.75" customHeight="1">
      <c r="A273" s="98"/>
      <c r="B273" s="98"/>
      <c r="C273" s="98"/>
      <c r="D273" s="98"/>
      <c r="E273" s="98"/>
      <c r="F273" s="98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</row>
    <row r="274" ht="15.75" customHeight="1">
      <c r="A274" s="98"/>
      <c r="B274" s="98"/>
      <c r="C274" s="98"/>
      <c r="D274" s="98"/>
      <c r="E274" s="98"/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</row>
    <row r="275" ht="15.75" customHeight="1">
      <c r="A275" s="98"/>
      <c r="B275" s="98"/>
      <c r="C275" s="98"/>
      <c r="D275" s="98"/>
      <c r="E275" s="98"/>
      <c r="F275" s="98"/>
      <c r="G275" s="98"/>
      <c r="H275" s="98"/>
      <c r="I275" s="98"/>
      <c r="J275" s="98"/>
      <c r="K275" s="98"/>
      <c r="L275" s="98"/>
      <c r="M275" s="98"/>
      <c r="N275" s="98"/>
      <c r="O275" s="98"/>
      <c r="P275" s="98"/>
      <c r="Q275" s="98"/>
      <c r="R275" s="98"/>
      <c r="S275" s="98"/>
      <c r="T275" s="98"/>
      <c r="U275" s="98"/>
      <c r="V275" s="98"/>
      <c r="W275" s="98"/>
      <c r="X275" s="98"/>
      <c r="Y275" s="98"/>
      <c r="Z275" s="98"/>
      <c r="AA275" s="98"/>
      <c r="AB275" s="98"/>
      <c r="AC275" s="98"/>
      <c r="AD275" s="98"/>
      <c r="AE275" s="98"/>
      <c r="AF275" s="98"/>
      <c r="AG275" s="98"/>
    </row>
    <row r="276" ht="15.75" customHeight="1">
      <c r="A276" s="98"/>
      <c r="B276" s="98"/>
      <c r="C276" s="98"/>
      <c r="D276" s="98"/>
      <c r="E276" s="98"/>
      <c r="F276" s="98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</row>
    <row r="277" ht="15.75" customHeight="1">
      <c r="A277" s="98"/>
      <c r="B277" s="98"/>
      <c r="C277" s="98"/>
      <c r="D277" s="98"/>
      <c r="E277" s="98"/>
      <c r="F277" s="98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</row>
    <row r="278" ht="15.75" customHeight="1">
      <c r="A278" s="98"/>
      <c r="B278" s="98"/>
      <c r="C278" s="98"/>
      <c r="D278" s="98"/>
      <c r="E278" s="98"/>
      <c r="F278" s="98"/>
      <c r="G278" s="98"/>
      <c r="H278" s="98"/>
      <c r="I278" s="98"/>
      <c r="J278" s="98"/>
      <c r="K278" s="98"/>
      <c r="L278" s="98"/>
      <c r="M278" s="98"/>
      <c r="N278" s="98"/>
      <c r="O278" s="98"/>
      <c r="P278" s="98"/>
      <c r="Q278" s="98"/>
      <c r="R278" s="98"/>
      <c r="S278" s="98"/>
      <c r="T278" s="98"/>
      <c r="U278" s="98"/>
      <c r="V278" s="98"/>
      <c r="W278" s="98"/>
      <c r="X278" s="98"/>
      <c r="Y278" s="98"/>
      <c r="Z278" s="98"/>
      <c r="AA278" s="98"/>
      <c r="AB278" s="98"/>
      <c r="AC278" s="98"/>
      <c r="AD278" s="98"/>
      <c r="AE278" s="98"/>
      <c r="AF278" s="98"/>
      <c r="AG278" s="98"/>
    </row>
    <row r="279" ht="15.75" customHeight="1">
      <c r="A279" s="98"/>
      <c r="B279" s="98"/>
      <c r="C279" s="98"/>
      <c r="D279" s="98"/>
      <c r="E279" s="98"/>
      <c r="F279" s="98"/>
      <c r="G279" s="98"/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</row>
    <row r="280" ht="15.75" customHeight="1">
      <c r="A280" s="98"/>
      <c r="B280" s="98"/>
      <c r="C280" s="98"/>
      <c r="D280" s="98"/>
      <c r="E280" s="98"/>
      <c r="F280" s="98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</row>
    <row r="281" ht="15.75" customHeight="1">
      <c r="A281" s="98"/>
      <c r="B281" s="98"/>
      <c r="C281" s="98"/>
      <c r="D281" s="98"/>
      <c r="E281" s="98"/>
      <c r="F281" s="98"/>
      <c r="G281" s="98"/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</row>
    <row r="282" ht="15.75" customHeight="1">
      <c r="A282" s="98"/>
      <c r="B282" s="98"/>
      <c r="C282" s="98"/>
      <c r="D282" s="98"/>
      <c r="E282" s="98"/>
      <c r="F282" s="98"/>
      <c r="G282" s="98"/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</row>
    <row r="283" ht="15.75" customHeight="1">
      <c r="A283" s="98"/>
      <c r="B283" s="98"/>
      <c r="C283" s="98"/>
      <c r="D283" s="98"/>
      <c r="E283" s="98"/>
      <c r="F283" s="98"/>
      <c r="G283" s="98"/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</row>
    <row r="284" ht="15.75" customHeight="1">
      <c r="A284" s="98"/>
      <c r="B284" s="98"/>
      <c r="C284" s="98"/>
      <c r="D284" s="98"/>
      <c r="E284" s="98"/>
      <c r="F284" s="98"/>
      <c r="G284" s="98"/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</row>
    <row r="285" ht="15.75" customHeight="1">
      <c r="A285" s="98"/>
      <c r="B285" s="98"/>
      <c r="C285" s="98"/>
      <c r="D285" s="98"/>
      <c r="E285" s="98"/>
      <c r="F285" s="98"/>
      <c r="G285" s="98"/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</row>
    <row r="286" ht="15.75" customHeight="1">
      <c r="A286" s="98"/>
      <c r="B286" s="98"/>
      <c r="C286" s="98"/>
      <c r="D286" s="98"/>
      <c r="E286" s="98"/>
      <c r="F286" s="98"/>
      <c r="G286" s="98"/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</row>
    <row r="287" ht="15.75" customHeight="1">
      <c r="A287" s="98"/>
      <c r="B287" s="98"/>
      <c r="C287" s="98"/>
      <c r="D287" s="98"/>
      <c r="E287" s="98"/>
      <c r="F287" s="98"/>
      <c r="G287" s="98"/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</row>
    <row r="288" ht="15.75" customHeight="1">
      <c r="A288" s="98"/>
      <c r="B288" s="98"/>
      <c r="C288" s="98"/>
      <c r="D288" s="98"/>
      <c r="E288" s="98"/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</row>
    <row r="289" ht="15.75" customHeight="1">
      <c r="A289" s="98"/>
      <c r="B289" s="98"/>
      <c r="C289" s="98"/>
      <c r="D289" s="98"/>
      <c r="E289" s="98"/>
      <c r="F289" s="98"/>
      <c r="G289" s="98"/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</row>
    <row r="290" ht="15.75" customHeight="1">
      <c r="A290" s="98"/>
      <c r="B290" s="98"/>
      <c r="C290" s="98"/>
      <c r="D290" s="98"/>
      <c r="E290" s="98"/>
      <c r="F290" s="98"/>
      <c r="G290" s="98"/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</row>
    <row r="291" ht="15.75" customHeight="1">
      <c r="A291" s="98"/>
      <c r="B291" s="98"/>
      <c r="C291" s="98"/>
      <c r="D291" s="98"/>
      <c r="E291" s="98"/>
      <c r="F291" s="98"/>
      <c r="G291" s="98"/>
      <c r="H291" s="98"/>
      <c r="I291" s="98"/>
      <c r="J291" s="98"/>
      <c r="K291" s="98"/>
      <c r="L291" s="98"/>
      <c r="M291" s="98"/>
      <c r="N291" s="98"/>
      <c r="O291" s="98"/>
      <c r="P291" s="98"/>
      <c r="Q291" s="98"/>
      <c r="R291" s="98"/>
      <c r="S291" s="98"/>
      <c r="T291" s="98"/>
      <c r="U291" s="98"/>
      <c r="V291" s="98"/>
      <c r="W291" s="98"/>
      <c r="X291" s="98"/>
      <c r="Y291" s="98"/>
      <c r="Z291" s="98"/>
      <c r="AA291" s="98"/>
      <c r="AB291" s="98"/>
      <c r="AC291" s="98"/>
      <c r="AD291" s="98"/>
      <c r="AE291" s="98"/>
      <c r="AF291" s="98"/>
      <c r="AG291" s="98"/>
    </row>
    <row r="292" ht="15.75" customHeight="1">
      <c r="A292" s="98"/>
      <c r="B292" s="98"/>
      <c r="C292" s="98"/>
      <c r="D292" s="98"/>
      <c r="E292" s="98"/>
      <c r="F292" s="98"/>
      <c r="G292" s="98"/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</row>
    <row r="293" ht="15.75" customHeight="1">
      <c r="A293" s="98"/>
      <c r="B293" s="98"/>
      <c r="C293" s="98"/>
      <c r="D293" s="98"/>
      <c r="E293" s="98"/>
      <c r="F293" s="98"/>
      <c r="G293" s="98"/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</row>
    <row r="294" ht="15.75" customHeight="1">
      <c r="A294" s="98"/>
      <c r="B294" s="98"/>
      <c r="C294" s="98"/>
      <c r="D294" s="98"/>
      <c r="E294" s="98"/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</row>
    <row r="295" ht="15.75" customHeight="1">
      <c r="A295" s="98"/>
      <c r="B295" s="98"/>
      <c r="C295" s="98"/>
      <c r="D295" s="98"/>
      <c r="E295" s="98"/>
      <c r="F295" s="98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</row>
    <row r="296" ht="15.75" customHeight="1">
      <c r="A296" s="98"/>
      <c r="B296" s="98"/>
      <c r="C296" s="98"/>
      <c r="D296" s="98"/>
      <c r="E296" s="98"/>
      <c r="F296" s="98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</row>
    <row r="297" ht="15.75" customHeight="1">
      <c r="A297" s="98"/>
      <c r="B297" s="98"/>
      <c r="C297" s="98"/>
      <c r="D297" s="98"/>
      <c r="E297" s="98"/>
      <c r="F297" s="98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</row>
    <row r="298" ht="15.75" customHeight="1">
      <c r="A298" s="98"/>
      <c r="B298" s="98"/>
      <c r="C298" s="98"/>
      <c r="D298" s="98"/>
      <c r="E298" s="98"/>
      <c r="F298" s="98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</row>
    <row r="299" ht="15.75" customHeight="1">
      <c r="A299" s="98"/>
      <c r="B299" s="98"/>
      <c r="C299" s="98"/>
      <c r="D299" s="98"/>
      <c r="E299" s="98"/>
      <c r="F299" s="98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</row>
    <row r="300" ht="15.75" customHeight="1">
      <c r="A300" s="98"/>
      <c r="B300" s="98"/>
      <c r="C300" s="98"/>
      <c r="D300" s="98"/>
      <c r="E300" s="98"/>
      <c r="F300" s="98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</row>
    <row r="301" ht="15.75" customHeight="1">
      <c r="A301" s="98"/>
      <c r="B301" s="98"/>
      <c r="C301" s="98"/>
      <c r="D301" s="98"/>
      <c r="E301" s="98"/>
      <c r="F301" s="98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</row>
    <row r="302" ht="15.75" customHeight="1">
      <c r="A302" s="98"/>
      <c r="B302" s="98"/>
      <c r="C302" s="98"/>
      <c r="D302" s="98"/>
      <c r="E302" s="98"/>
      <c r="F302" s="98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</row>
    <row r="303" ht="15.75" customHeight="1">
      <c r="A303" s="98"/>
      <c r="B303" s="98"/>
      <c r="C303" s="98"/>
      <c r="D303" s="98"/>
      <c r="E303" s="98"/>
      <c r="F303" s="98"/>
      <c r="G303" s="98"/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</row>
    <row r="304" ht="15.75" customHeight="1">
      <c r="A304" s="98"/>
      <c r="B304" s="98"/>
      <c r="C304" s="98"/>
      <c r="D304" s="98"/>
      <c r="E304" s="98"/>
      <c r="F304" s="98"/>
      <c r="G304" s="98"/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</row>
    <row r="305" ht="15.75" customHeight="1">
      <c r="A305" s="98"/>
      <c r="B305" s="98"/>
      <c r="C305" s="98"/>
      <c r="D305" s="98"/>
      <c r="E305" s="98"/>
      <c r="F305" s="98"/>
      <c r="G305" s="98"/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</row>
    <row r="306" ht="15.75" customHeight="1">
      <c r="A306" s="98"/>
      <c r="B306" s="98"/>
      <c r="C306" s="98"/>
      <c r="D306" s="98"/>
      <c r="E306" s="98"/>
      <c r="F306" s="98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</row>
    <row r="307" ht="15.75" customHeight="1">
      <c r="A307" s="98"/>
      <c r="B307" s="98"/>
      <c r="C307" s="98"/>
      <c r="D307" s="98"/>
      <c r="E307" s="98"/>
      <c r="F307" s="98"/>
      <c r="G307" s="98"/>
      <c r="H307" s="98"/>
      <c r="I307" s="98"/>
      <c r="J307" s="98"/>
      <c r="K307" s="98"/>
      <c r="L307" s="98"/>
      <c r="M307" s="98"/>
      <c r="N307" s="98"/>
      <c r="O307" s="98"/>
      <c r="P307" s="98"/>
      <c r="Q307" s="98"/>
      <c r="R307" s="98"/>
      <c r="S307" s="98"/>
      <c r="T307" s="98"/>
      <c r="U307" s="98"/>
      <c r="V307" s="98"/>
      <c r="W307" s="98"/>
      <c r="X307" s="98"/>
      <c r="Y307" s="98"/>
      <c r="Z307" s="98"/>
      <c r="AA307" s="98"/>
      <c r="AB307" s="98"/>
      <c r="AC307" s="98"/>
      <c r="AD307" s="98"/>
      <c r="AE307" s="98"/>
      <c r="AF307" s="98"/>
      <c r="AG307" s="98"/>
    </row>
    <row r="308" ht="15.75" customHeight="1">
      <c r="A308" s="98"/>
      <c r="B308" s="98"/>
      <c r="C308" s="98"/>
      <c r="D308" s="98"/>
      <c r="E308" s="98"/>
      <c r="F308" s="98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</row>
    <row r="309" ht="15.75" customHeight="1">
      <c r="A309" s="98"/>
      <c r="B309" s="98"/>
      <c r="C309" s="98"/>
      <c r="D309" s="98"/>
      <c r="E309" s="98"/>
      <c r="F309" s="98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</row>
    <row r="310" ht="15.75" customHeight="1">
      <c r="A310" s="98"/>
      <c r="B310" s="98"/>
      <c r="C310" s="98"/>
      <c r="D310" s="98"/>
      <c r="E310" s="98"/>
      <c r="F310" s="98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</row>
    <row r="311" ht="15.75" customHeight="1">
      <c r="A311" s="98"/>
      <c r="B311" s="98"/>
      <c r="C311" s="98"/>
      <c r="D311" s="98"/>
      <c r="E311" s="98"/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</row>
    <row r="312" ht="15.75" customHeight="1">
      <c r="A312" s="98"/>
      <c r="B312" s="98"/>
      <c r="C312" s="98"/>
      <c r="D312" s="98"/>
      <c r="E312" s="98"/>
      <c r="F312" s="98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</row>
    <row r="313" ht="15.75" customHeight="1">
      <c r="A313" s="98"/>
      <c r="B313" s="98"/>
      <c r="C313" s="98"/>
      <c r="D313" s="98"/>
      <c r="E313" s="98"/>
      <c r="F313" s="98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</row>
    <row r="314" ht="15.75" customHeight="1">
      <c r="A314" s="98"/>
      <c r="B314" s="98"/>
      <c r="C314" s="98"/>
      <c r="D314" s="98"/>
      <c r="E314" s="98"/>
      <c r="F314" s="98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</row>
    <row r="315" ht="15.75" customHeight="1">
      <c r="A315" s="98"/>
      <c r="B315" s="98"/>
      <c r="C315" s="98"/>
      <c r="D315" s="98"/>
      <c r="E315" s="98"/>
      <c r="F315" s="98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</row>
    <row r="316" ht="15.75" customHeight="1">
      <c r="A316" s="98"/>
      <c r="B316" s="98"/>
      <c r="C316" s="98"/>
      <c r="D316" s="98"/>
      <c r="E316" s="98"/>
      <c r="F316" s="98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</row>
    <row r="317" ht="15.75" customHeight="1">
      <c r="A317" s="98"/>
      <c r="B317" s="98"/>
      <c r="C317" s="98"/>
      <c r="D317" s="98"/>
      <c r="E317" s="98"/>
      <c r="F317" s="98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</row>
    <row r="318" ht="15.75" customHeight="1">
      <c r="A318" s="98"/>
      <c r="B318" s="98"/>
      <c r="C318" s="98"/>
      <c r="D318" s="98"/>
      <c r="E318" s="98"/>
      <c r="F318" s="98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</row>
    <row r="319" ht="15.75" customHeight="1">
      <c r="A319" s="98"/>
      <c r="B319" s="98"/>
      <c r="C319" s="98"/>
      <c r="D319" s="98"/>
      <c r="E319" s="98"/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</row>
    <row r="320" ht="15.75" customHeight="1">
      <c r="A320" s="98"/>
      <c r="B320" s="98"/>
      <c r="C320" s="98"/>
      <c r="D320" s="98"/>
      <c r="E320" s="98"/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</row>
    <row r="321" ht="15.75" customHeight="1">
      <c r="A321" s="98"/>
      <c r="B321" s="98"/>
      <c r="C321" s="98"/>
      <c r="D321" s="98"/>
      <c r="E321" s="98"/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</row>
    <row r="322" ht="15.75" customHeight="1">
      <c r="A322" s="98"/>
      <c r="B322" s="98"/>
      <c r="C322" s="98"/>
      <c r="D322" s="98"/>
      <c r="E322" s="98"/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</row>
    <row r="323" ht="15.75" customHeight="1">
      <c r="A323" s="98"/>
      <c r="B323" s="98"/>
      <c r="C323" s="98"/>
      <c r="D323" s="98"/>
      <c r="E323" s="98"/>
      <c r="F323" s="98"/>
      <c r="G323" s="98"/>
      <c r="H323" s="98"/>
      <c r="I323" s="98"/>
      <c r="J323" s="98"/>
      <c r="K323" s="98"/>
      <c r="L323" s="98"/>
      <c r="M323" s="98"/>
      <c r="N323" s="98"/>
      <c r="O323" s="98"/>
      <c r="P323" s="98"/>
      <c r="Q323" s="98"/>
      <c r="R323" s="98"/>
      <c r="S323" s="98"/>
      <c r="T323" s="98"/>
      <c r="U323" s="98"/>
      <c r="V323" s="98"/>
      <c r="W323" s="98"/>
      <c r="X323" s="98"/>
      <c r="Y323" s="98"/>
      <c r="Z323" s="98"/>
      <c r="AA323" s="98"/>
      <c r="AB323" s="98"/>
      <c r="AC323" s="98"/>
      <c r="AD323" s="98"/>
      <c r="AE323" s="98"/>
      <c r="AF323" s="98"/>
      <c r="AG323" s="98"/>
    </row>
    <row r="324" ht="15.75" customHeight="1">
      <c r="A324" s="98"/>
      <c r="B324" s="98"/>
      <c r="C324" s="98"/>
      <c r="D324" s="98"/>
      <c r="E324" s="98"/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</row>
    <row r="325" ht="15.75" customHeight="1">
      <c r="A325" s="98"/>
      <c r="B325" s="98"/>
      <c r="C325" s="98"/>
      <c r="D325" s="98"/>
      <c r="E325" s="98"/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</row>
    <row r="326" ht="15.75" customHeight="1">
      <c r="A326" s="98"/>
      <c r="B326" s="98"/>
      <c r="C326" s="98"/>
      <c r="D326" s="98"/>
      <c r="E326" s="98"/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</row>
    <row r="327" ht="15.75" customHeight="1">
      <c r="A327" s="98"/>
      <c r="B327" s="98"/>
      <c r="C327" s="98"/>
      <c r="D327" s="98"/>
      <c r="E327" s="98"/>
      <c r="F327" s="98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</row>
    <row r="328" ht="15.75" customHeight="1">
      <c r="A328" s="98"/>
      <c r="B328" s="98"/>
      <c r="C328" s="98"/>
      <c r="D328" s="98"/>
      <c r="E328" s="98"/>
      <c r="F328" s="98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</row>
    <row r="329" ht="15.75" customHeight="1">
      <c r="A329" s="98"/>
      <c r="B329" s="98"/>
      <c r="C329" s="98"/>
      <c r="D329" s="98"/>
      <c r="E329" s="98"/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</row>
    <row r="330" ht="15.75" customHeight="1">
      <c r="A330" s="98"/>
      <c r="B330" s="98"/>
      <c r="C330" s="98"/>
      <c r="D330" s="98"/>
      <c r="E330" s="98"/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</row>
    <row r="331" ht="15.75" customHeight="1">
      <c r="A331" s="98"/>
      <c r="B331" s="98"/>
      <c r="C331" s="98"/>
      <c r="D331" s="98"/>
      <c r="E331" s="98"/>
      <c r="F331" s="98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</row>
    <row r="332" ht="15.75" customHeight="1">
      <c r="A332" s="98"/>
      <c r="B332" s="98"/>
      <c r="C332" s="98"/>
      <c r="D332" s="98"/>
      <c r="E332" s="98"/>
      <c r="F332" s="98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</row>
    <row r="333" ht="15.75" customHeight="1">
      <c r="A333" s="98"/>
      <c r="B333" s="98"/>
      <c r="C333" s="98"/>
      <c r="D333" s="98"/>
      <c r="E333" s="98"/>
      <c r="F333" s="98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</row>
    <row r="334" ht="15.75" customHeight="1">
      <c r="A334" s="98"/>
      <c r="B334" s="98"/>
      <c r="C334" s="98"/>
      <c r="D334" s="98"/>
      <c r="E334" s="98"/>
      <c r="F334" s="98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</row>
    <row r="335" ht="15.75" customHeight="1">
      <c r="A335" s="98"/>
      <c r="B335" s="98"/>
      <c r="C335" s="98"/>
      <c r="D335" s="98"/>
      <c r="E335" s="98"/>
      <c r="F335" s="98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</row>
    <row r="336" ht="15.75" customHeight="1">
      <c r="A336" s="98"/>
      <c r="B336" s="98"/>
      <c r="C336" s="98"/>
      <c r="D336" s="98"/>
      <c r="E336" s="98"/>
      <c r="F336" s="98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</row>
    <row r="337" ht="15.75" customHeight="1">
      <c r="A337" s="98"/>
      <c r="B337" s="98"/>
      <c r="C337" s="98"/>
      <c r="D337" s="98"/>
      <c r="E337" s="98"/>
      <c r="F337" s="98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</row>
    <row r="338" ht="15.75" customHeight="1">
      <c r="A338" s="98"/>
      <c r="B338" s="98"/>
      <c r="C338" s="98"/>
      <c r="D338" s="98"/>
      <c r="E338" s="98"/>
      <c r="F338" s="98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</row>
    <row r="339" ht="15.75" customHeight="1">
      <c r="A339" s="98"/>
      <c r="B339" s="98"/>
      <c r="C339" s="98"/>
      <c r="D339" s="98"/>
      <c r="E339" s="98"/>
      <c r="F339" s="98"/>
      <c r="G339" s="98"/>
      <c r="H339" s="98"/>
      <c r="I339" s="98"/>
      <c r="J339" s="98"/>
      <c r="K339" s="98"/>
      <c r="L339" s="98"/>
      <c r="M339" s="98"/>
      <c r="N339" s="98"/>
      <c r="O339" s="98"/>
      <c r="P339" s="98"/>
      <c r="Q339" s="98"/>
      <c r="R339" s="98"/>
      <c r="S339" s="98"/>
      <c r="T339" s="98"/>
      <c r="U339" s="98"/>
      <c r="V339" s="98"/>
      <c r="W339" s="98"/>
      <c r="X339" s="98"/>
      <c r="Y339" s="98"/>
      <c r="Z339" s="98"/>
      <c r="AA339" s="98"/>
      <c r="AB339" s="98"/>
      <c r="AC339" s="98"/>
      <c r="AD339" s="98"/>
      <c r="AE339" s="98"/>
      <c r="AF339" s="98"/>
      <c r="AG339" s="98"/>
    </row>
    <row r="340" ht="15.75" customHeight="1">
      <c r="A340" s="98"/>
      <c r="B340" s="98"/>
      <c r="C340" s="98"/>
      <c r="D340" s="98"/>
      <c r="E340" s="98"/>
      <c r="F340" s="98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</row>
    <row r="341" ht="15.75" customHeight="1">
      <c r="A341" s="98"/>
      <c r="B341" s="98"/>
      <c r="C341" s="98"/>
      <c r="D341" s="98"/>
      <c r="E341" s="98"/>
      <c r="F341" s="98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</row>
    <row r="342" ht="15.75" customHeight="1">
      <c r="A342" s="98"/>
      <c r="B342" s="98"/>
      <c r="C342" s="98"/>
      <c r="D342" s="98"/>
      <c r="E342" s="98"/>
      <c r="F342" s="98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</row>
    <row r="343" ht="15.75" customHeight="1">
      <c r="A343" s="98"/>
      <c r="B343" s="98"/>
      <c r="C343" s="98"/>
      <c r="D343" s="98"/>
      <c r="E343" s="98"/>
      <c r="F343" s="98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</row>
    <row r="344" ht="15.75" customHeight="1">
      <c r="A344" s="98"/>
      <c r="B344" s="98"/>
      <c r="C344" s="98"/>
      <c r="D344" s="98"/>
      <c r="E344" s="98"/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</row>
    <row r="345" ht="15.75" customHeight="1">
      <c r="A345" s="98"/>
      <c r="B345" s="98"/>
      <c r="C345" s="98"/>
      <c r="D345" s="98"/>
      <c r="E345" s="98"/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</row>
    <row r="346" ht="15.75" customHeight="1">
      <c r="A346" s="98"/>
      <c r="B346" s="98"/>
      <c r="C346" s="98"/>
      <c r="D346" s="98"/>
      <c r="E346" s="98"/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</row>
    <row r="347" ht="15.75" customHeight="1">
      <c r="A347" s="98"/>
      <c r="B347" s="98"/>
      <c r="C347" s="98"/>
      <c r="D347" s="98"/>
      <c r="E347" s="98"/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</row>
    <row r="348" ht="15.75" customHeight="1">
      <c r="A348" s="98"/>
      <c r="B348" s="98"/>
      <c r="C348" s="98"/>
      <c r="D348" s="98"/>
      <c r="E348" s="98"/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</row>
    <row r="349" ht="15.75" customHeight="1">
      <c r="A349" s="98"/>
      <c r="B349" s="98"/>
      <c r="C349" s="98"/>
      <c r="D349" s="98"/>
      <c r="E349" s="98"/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</row>
    <row r="350" ht="15.75" customHeight="1">
      <c r="A350" s="98"/>
      <c r="B350" s="98"/>
      <c r="C350" s="98"/>
      <c r="D350" s="98"/>
      <c r="E350" s="98"/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</row>
    <row r="351" ht="15.75" customHeight="1">
      <c r="A351" s="98"/>
      <c r="B351" s="98"/>
      <c r="C351" s="98"/>
      <c r="D351" s="98"/>
      <c r="E351" s="98"/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</row>
    <row r="352" ht="15.75" customHeight="1">
      <c r="A352" s="98"/>
      <c r="B352" s="98"/>
      <c r="C352" s="98"/>
      <c r="D352" s="98"/>
      <c r="E352" s="98"/>
      <c r="F352" s="98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</row>
    <row r="353" ht="15.75" customHeight="1">
      <c r="A353" s="98"/>
      <c r="B353" s="98"/>
      <c r="C353" s="98"/>
      <c r="D353" s="98"/>
      <c r="E353" s="98"/>
      <c r="F353" s="98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</row>
    <row r="354" ht="15.75" customHeight="1">
      <c r="A354" s="98"/>
      <c r="B354" s="98"/>
      <c r="C354" s="98"/>
      <c r="D354" s="98"/>
      <c r="E354" s="98"/>
      <c r="F354" s="98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</row>
    <row r="355" ht="15.75" customHeight="1">
      <c r="A355" s="98"/>
      <c r="B355" s="98"/>
      <c r="C355" s="98"/>
      <c r="D355" s="98"/>
      <c r="E355" s="98"/>
      <c r="F355" s="98"/>
      <c r="G355" s="98"/>
      <c r="H355" s="98"/>
      <c r="I355" s="98"/>
      <c r="J355" s="98"/>
      <c r="K355" s="98"/>
      <c r="L355" s="98"/>
      <c r="M355" s="98"/>
      <c r="N355" s="98"/>
      <c r="O355" s="98"/>
      <c r="P355" s="98"/>
      <c r="Q355" s="98"/>
      <c r="R355" s="98"/>
      <c r="S355" s="98"/>
      <c r="T355" s="98"/>
      <c r="U355" s="98"/>
      <c r="V355" s="98"/>
      <c r="W355" s="98"/>
      <c r="X355" s="98"/>
      <c r="Y355" s="98"/>
      <c r="Z355" s="98"/>
      <c r="AA355" s="98"/>
      <c r="AB355" s="98"/>
      <c r="AC355" s="98"/>
      <c r="AD355" s="98"/>
      <c r="AE355" s="98"/>
      <c r="AF355" s="98"/>
      <c r="AG355" s="98"/>
    </row>
    <row r="356" ht="15.75" customHeight="1">
      <c r="A356" s="98"/>
      <c r="B356" s="98"/>
      <c r="C356" s="98"/>
      <c r="D356" s="98"/>
      <c r="E356" s="98"/>
      <c r="F356" s="98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</row>
    <row r="357" ht="15.75" customHeight="1">
      <c r="A357" s="98"/>
      <c r="B357" s="98"/>
      <c r="C357" s="98"/>
      <c r="D357" s="98"/>
      <c r="E357" s="98"/>
      <c r="F357" s="98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</row>
    <row r="358" ht="15.75" customHeight="1">
      <c r="A358" s="98"/>
      <c r="B358" s="98"/>
      <c r="C358" s="98"/>
      <c r="D358" s="98"/>
      <c r="E358" s="98"/>
      <c r="F358" s="98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</row>
    <row r="359" ht="15.75" customHeight="1">
      <c r="A359" s="98"/>
      <c r="B359" s="98"/>
      <c r="C359" s="98"/>
      <c r="D359" s="98"/>
      <c r="E359" s="98"/>
      <c r="F359" s="98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</row>
    <row r="360" ht="15.75" customHeight="1">
      <c r="A360" s="98"/>
      <c r="B360" s="98"/>
      <c r="C360" s="98"/>
      <c r="D360" s="98"/>
      <c r="E360" s="98"/>
      <c r="F360" s="98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</row>
    <row r="361" ht="15.75" customHeight="1">
      <c r="A361" s="98"/>
      <c r="B361" s="98"/>
      <c r="C361" s="98"/>
      <c r="D361" s="98"/>
      <c r="E361" s="98"/>
      <c r="F361" s="98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</row>
    <row r="362" ht="15.75" customHeight="1">
      <c r="A362" s="98"/>
      <c r="B362" s="98"/>
      <c r="C362" s="98"/>
      <c r="D362" s="98"/>
      <c r="E362" s="98"/>
      <c r="F362" s="98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</row>
    <row r="363" ht="15.75" customHeight="1">
      <c r="A363" s="98"/>
      <c r="B363" s="98"/>
      <c r="C363" s="98"/>
      <c r="D363" s="98"/>
      <c r="E363" s="98"/>
      <c r="F363" s="98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</row>
    <row r="364" ht="15.75" customHeight="1">
      <c r="A364" s="98"/>
      <c r="B364" s="98"/>
      <c r="C364" s="98"/>
      <c r="D364" s="98"/>
      <c r="E364" s="98"/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</row>
    <row r="365" ht="15.75" customHeight="1">
      <c r="A365" s="98"/>
      <c r="B365" s="98"/>
      <c r="C365" s="98"/>
      <c r="D365" s="98"/>
      <c r="E365" s="98"/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</row>
    <row r="366" ht="15.75" customHeight="1">
      <c r="A366" s="98"/>
      <c r="B366" s="98"/>
      <c r="C366" s="98"/>
      <c r="D366" s="98"/>
      <c r="E366" s="98"/>
      <c r="F366" s="98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</row>
    <row r="367" ht="15.75" customHeight="1">
      <c r="A367" s="98"/>
      <c r="B367" s="98"/>
      <c r="C367" s="98"/>
      <c r="D367" s="98"/>
      <c r="E367" s="98"/>
      <c r="F367" s="98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</row>
    <row r="368" ht="15.75" customHeight="1">
      <c r="A368" s="98"/>
      <c r="B368" s="98"/>
      <c r="C368" s="98"/>
      <c r="D368" s="98"/>
      <c r="E368" s="98"/>
      <c r="F368" s="98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</row>
    <row r="369" ht="15.75" customHeight="1">
      <c r="A369" s="98"/>
      <c r="B369" s="98"/>
      <c r="C369" s="98"/>
      <c r="D369" s="98"/>
      <c r="E369" s="98"/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</row>
    <row r="370" ht="15.75" customHeight="1">
      <c r="A370" s="98"/>
      <c r="B370" s="98"/>
      <c r="C370" s="98"/>
      <c r="D370" s="98"/>
      <c r="E370" s="98"/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</row>
    <row r="371" ht="15.75" customHeight="1">
      <c r="A371" s="98"/>
      <c r="B371" s="98"/>
      <c r="C371" s="98"/>
      <c r="D371" s="98"/>
      <c r="E371" s="98"/>
      <c r="F371" s="98"/>
      <c r="G371" s="98"/>
      <c r="H371" s="98"/>
      <c r="I371" s="98"/>
      <c r="J371" s="98"/>
      <c r="K371" s="98"/>
      <c r="L371" s="98"/>
      <c r="M371" s="98"/>
      <c r="N371" s="98"/>
      <c r="O371" s="98"/>
      <c r="P371" s="98"/>
      <c r="Q371" s="98"/>
      <c r="R371" s="98"/>
      <c r="S371" s="98"/>
      <c r="T371" s="98"/>
      <c r="U371" s="98"/>
      <c r="V371" s="98"/>
      <c r="W371" s="98"/>
      <c r="X371" s="98"/>
      <c r="Y371" s="98"/>
      <c r="Z371" s="98"/>
      <c r="AA371" s="98"/>
      <c r="AB371" s="98"/>
      <c r="AC371" s="98"/>
      <c r="AD371" s="98"/>
      <c r="AE371" s="98"/>
      <c r="AF371" s="98"/>
      <c r="AG371" s="98"/>
    </row>
    <row r="372" ht="15.75" customHeight="1">
      <c r="A372" s="98"/>
      <c r="B372" s="98"/>
      <c r="C372" s="98"/>
      <c r="D372" s="98"/>
      <c r="E372" s="98"/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</row>
    <row r="373" ht="15.75" customHeight="1">
      <c r="A373" s="98"/>
      <c r="B373" s="98"/>
      <c r="C373" s="98"/>
      <c r="D373" s="98"/>
      <c r="E373" s="98"/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</row>
    <row r="374" ht="15.75" customHeight="1">
      <c r="A374" s="98"/>
      <c r="B374" s="98"/>
      <c r="C374" s="98"/>
      <c r="D374" s="98"/>
      <c r="E374" s="98"/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</row>
    <row r="375" ht="15.75" customHeight="1">
      <c r="A375" s="98"/>
      <c r="B375" s="98"/>
      <c r="C375" s="98"/>
      <c r="D375" s="98"/>
      <c r="E375" s="98"/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</row>
    <row r="376" ht="15.75" customHeight="1">
      <c r="A376" s="98"/>
      <c r="B376" s="98"/>
      <c r="C376" s="98"/>
      <c r="D376" s="98"/>
      <c r="E376" s="98"/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</row>
    <row r="377" ht="15.75" customHeight="1">
      <c r="A377" s="98"/>
      <c r="B377" s="98"/>
      <c r="C377" s="98"/>
      <c r="D377" s="98"/>
      <c r="E377" s="98"/>
      <c r="F377" s="98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</row>
    <row r="378" ht="15.75" customHeight="1">
      <c r="A378" s="98"/>
      <c r="B378" s="98"/>
      <c r="C378" s="98"/>
      <c r="D378" s="98"/>
      <c r="E378" s="98"/>
      <c r="F378" s="98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</row>
    <row r="379" ht="15.75" customHeight="1">
      <c r="A379" s="98"/>
      <c r="B379" s="98"/>
      <c r="C379" s="98"/>
      <c r="D379" s="98"/>
      <c r="E379" s="98"/>
      <c r="F379" s="98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</row>
    <row r="380" ht="15.75" customHeight="1">
      <c r="A380" s="98"/>
      <c r="B380" s="98"/>
      <c r="C380" s="98"/>
      <c r="D380" s="98"/>
      <c r="E380" s="98"/>
      <c r="F380" s="98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</row>
    <row r="381" ht="15.75" customHeight="1">
      <c r="A381" s="98"/>
      <c r="B381" s="98"/>
      <c r="C381" s="98"/>
      <c r="D381" s="98"/>
      <c r="E381" s="98"/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</row>
    <row r="382" ht="15.75" customHeight="1">
      <c r="A382" s="98"/>
      <c r="B382" s="98"/>
      <c r="C382" s="98"/>
      <c r="D382" s="98"/>
      <c r="E382" s="98"/>
      <c r="F382" s="98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</row>
    <row r="383" ht="15.75" customHeight="1">
      <c r="A383" s="98"/>
      <c r="B383" s="98"/>
      <c r="C383" s="98"/>
      <c r="D383" s="98"/>
      <c r="E383" s="98"/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</row>
    <row r="384" ht="15.75" customHeight="1">
      <c r="A384" s="98"/>
      <c r="B384" s="98"/>
      <c r="C384" s="98"/>
      <c r="D384" s="98"/>
      <c r="E384" s="98"/>
      <c r="F384" s="98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</row>
    <row r="385" ht="15.75" customHeight="1">
      <c r="A385" s="98"/>
      <c r="B385" s="98"/>
      <c r="C385" s="98"/>
      <c r="D385" s="98"/>
      <c r="E385" s="98"/>
      <c r="F385" s="98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</row>
    <row r="386" ht="15.75" customHeight="1">
      <c r="A386" s="98"/>
      <c r="B386" s="98"/>
      <c r="C386" s="98"/>
      <c r="D386" s="98"/>
      <c r="E386" s="98"/>
      <c r="F386" s="98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</row>
    <row r="387" ht="15.75" customHeight="1">
      <c r="A387" s="98"/>
      <c r="B387" s="98"/>
      <c r="C387" s="98"/>
      <c r="D387" s="98"/>
      <c r="E387" s="98"/>
      <c r="F387" s="98"/>
      <c r="G387" s="98"/>
      <c r="H387" s="98"/>
      <c r="I387" s="98"/>
      <c r="J387" s="98"/>
      <c r="K387" s="98"/>
      <c r="L387" s="98"/>
      <c r="M387" s="98"/>
      <c r="N387" s="98"/>
      <c r="O387" s="98"/>
      <c r="P387" s="98"/>
      <c r="Q387" s="98"/>
      <c r="R387" s="98"/>
      <c r="S387" s="98"/>
      <c r="T387" s="98"/>
      <c r="U387" s="98"/>
      <c r="V387" s="98"/>
      <c r="W387" s="98"/>
      <c r="X387" s="98"/>
      <c r="Y387" s="98"/>
      <c r="Z387" s="98"/>
      <c r="AA387" s="98"/>
      <c r="AB387" s="98"/>
      <c r="AC387" s="98"/>
      <c r="AD387" s="98"/>
      <c r="AE387" s="98"/>
      <c r="AF387" s="98"/>
      <c r="AG387" s="98"/>
    </row>
    <row r="388" ht="15.75" customHeight="1">
      <c r="A388" s="98"/>
      <c r="B388" s="98"/>
      <c r="C388" s="98"/>
      <c r="D388" s="98"/>
      <c r="E388" s="98"/>
      <c r="F388" s="98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</row>
    <row r="389" ht="15.75" customHeight="1">
      <c r="A389" s="98"/>
      <c r="B389" s="98"/>
      <c r="C389" s="98"/>
      <c r="D389" s="98"/>
      <c r="E389" s="98"/>
      <c r="F389" s="98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</row>
    <row r="390" ht="15.75" customHeight="1">
      <c r="A390" s="98"/>
      <c r="B390" s="98"/>
      <c r="C390" s="98"/>
      <c r="D390" s="98"/>
      <c r="E390" s="98"/>
      <c r="F390" s="98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</row>
    <row r="391" ht="15.75" customHeight="1">
      <c r="A391" s="98"/>
      <c r="B391" s="98"/>
      <c r="C391" s="98"/>
      <c r="D391" s="98"/>
      <c r="E391" s="98"/>
      <c r="F391" s="98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</row>
    <row r="392" ht="15.75" customHeight="1">
      <c r="A392" s="98"/>
      <c r="B392" s="98"/>
      <c r="C392" s="98"/>
      <c r="D392" s="98"/>
      <c r="E392" s="98"/>
      <c r="F392" s="98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</row>
    <row r="393" ht="15.75" customHeight="1">
      <c r="A393" s="98"/>
      <c r="B393" s="98"/>
      <c r="C393" s="98"/>
      <c r="D393" s="98"/>
      <c r="E393" s="98"/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</row>
    <row r="394" ht="15.75" customHeight="1">
      <c r="A394" s="98"/>
      <c r="B394" s="98"/>
      <c r="C394" s="98"/>
      <c r="D394" s="98"/>
      <c r="E394" s="98"/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</row>
    <row r="395" ht="15.75" customHeight="1">
      <c r="A395" s="98"/>
      <c r="B395" s="98"/>
      <c r="C395" s="98"/>
      <c r="D395" s="98"/>
      <c r="E395" s="98"/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</row>
    <row r="396" ht="15.75" customHeight="1">
      <c r="A396" s="98"/>
      <c r="B396" s="98"/>
      <c r="C396" s="98"/>
      <c r="D396" s="98"/>
      <c r="E396" s="98"/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</row>
    <row r="397" ht="15.75" customHeight="1">
      <c r="A397" s="98"/>
      <c r="B397" s="98"/>
      <c r="C397" s="98"/>
      <c r="D397" s="98"/>
      <c r="E397" s="98"/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</row>
    <row r="398" ht="15.75" customHeight="1">
      <c r="A398" s="98"/>
      <c r="B398" s="98"/>
      <c r="C398" s="98"/>
      <c r="D398" s="98"/>
      <c r="E398" s="98"/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</row>
    <row r="399" ht="15.75" customHeight="1">
      <c r="A399" s="98"/>
      <c r="B399" s="98"/>
      <c r="C399" s="98"/>
      <c r="D399" s="98"/>
      <c r="E399" s="98"/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</row>
    <row r="400" ht="15.75" customHeight="1">
      <c r="A400" s="98"/>
      <c r="B400" s="98"/>
      <c r="C400" s="98"/>
      <c r="D400" s="98"/>
      <c r="E400" s="98"/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</row>
    <row r="401" ht="15.75" customHeight="1">
      <c r="A401" s="98"/>
      <c r="B401" s="98"/>
      <c r="C401" s="98"/>
      <c r="D401" s="98"/>
      <c r="E401" s="98"/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</row>
    <row r="402" ht="15.75" customHeight="1">
      <c r="A402" s="98"/>
      <c r="B402" s="98"/>
      <c r="C402" s="98"/>
      <c r="D402" s="98"/>
      <c r="E402" s="98"/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</row>
    <row r="403" ht="15.75" customHeight="1">
      <c r="A403" s="98"/>
      <c r="B403" s="98"/>
      <c r="C403" s="98"/>
      <c r="D403" s="98"/>
      <c r="E403" s="98"/>
      <c r="F403" s="98"/>
      <c r="G403" s="98"/>
      <c r="H403" s="98"/>
      <c r="I403" s="98"/>
      <c r="J403" s="98"/>
      <c r="K403" s="98"/>
      <c r="L403" s="98"/>
      <c r="M403" s="98"/>
      <c r="N403" s="98"/>
      <c r="O403" s="98"/>
      <c r="P403" s="98"/>
      <c r="Q403" s="98"/>
      <c r="R403" s="98"/>
      <c r="S403" s="98"/>
      <c r="T403" s="98"/>
      <c r="U403" s="98"/>
      <c r="V403" s="98"/>
      <c r="W403" s="98"/>
      <c r="X403" s="98"/>
      <c r="Y403" s="98"/>
      <c r="Z403" s="98"/>
      <c r="AA403" s="98"/>
      <c r="AB403" s="98"/>
      <c r="AC403" s="98"/>
      <c r="AD403" s="98"/>
      <c r="AE403" s="98"/>
      <c r="AF403" s="98"/>
      <c r="AG403" s="98"/>
    </row>
    <row r="404" ht="15.75" customHeight="1">
      <c r="A404" s="98"/>
      <c r="B404" s="98"/>
      <c r="C404" s="98"/>
      <c r="D404" s="98"/>
      <c r="E404" s="98"/>
      <c r="F404" s="98"/>
      <c r="G404" s="98"/>
      <c r="H404" s="98"/>
      <c r="I404" s="98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</row>
    <row r="405" ht="15.75" customHeight="1">
      <c r="A405" s="98"/>
      <c r="B405" s="98"/>
      <c r="C405" s="98"/>
      <c r="D405" s="98"/>
      <c r="E405" s="98"/>
      <c r="F405" s="98"/>
      <c r="G405" s="98"/>
      <c r="H405" s="98"/>
      <c r="I405" s="98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</row>
    <row r="406" ht="15.75" customHeight="1">
      <c r="A406" s="98"/>
      <c r="B406" s="98"/>
      <c r="C406" s="98"/>
      <c r="D406" s="98"/>
      <c r="E406" s="98"/>
      <c r="F406" s="98"/>
      <c r="G406" s="98"/>
      <c r="H406" s="98"/>
      <c r="I406" s="98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</row>
    <row r="407" ht="15.75" customHeight="1">
      <c r="A407" s="98"/>
      <c r="B407" s="98"/>
      <c r="C407" s="98"/>
      <c r="D407" s="98"/>
      <c r="E407" s="98"/>
      <c r="F407" s="98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</row>
    <row r="408" ht="15.75" customHeight="1">
      <c r="A408" s="98"/>
      <c r="B408" s="98"/>
      <c r="C408" s="98"/>
      <c r="D408" s="98"/>
      <c r="E408" s="98"/>
      <c r="F408" s="98"/>
      <c r="G408" s="98"/>
      <c r="H408" s="98"/>
      <c r="I408" s="98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</row>
    <row r="409" ht="15.75" customHeight="1">
      <c r="A409" s="98"/>
      <c r="B409" s="98"/>
      <c r="C409" s="98"/>
      <c r="D409" s="98"/>
      <c r="E409" s="98"/>
      <c r="F409" s="98"/>
      <c r="G409" s="98"/>
      <c r="H409" s="98"/>
      <c r="I409" s="98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</row>
    <row r="410" ht="15.75" customHeight="1">
      <c r="A410" s="98"/>
      <c r="B410" s="98"/>
      <c r="C410" s="98"/>
      <c r="D410" s="98"/>
      <c r="E410" s="98"/>
      <c r="F410" s="98"/>
      <c r="G410" s="98"/>
      <c r="H410" s="98"/>
      <c r="I410" s="98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</row>
    <row r="411" ht="15.75" customHeight="1">
      <c r="A411" s="98"/>
      <c r="B411" s="98"/>
      <c r="C411" s="98"/>
      <c r="D411" s="98"/>
      <c r="E411" s="98"/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</row>
    <row r="412" ht="15.75" customHeight="1">
      <c r="A412" s="98"/>
      <c r="B412" s="98"/>
      <c r="C412" s="98"/>
      <c r="D412" s="98"/>
      <c r="E412" s="98"/>
      <c r="F412" s="98"/>
      <c r="G412" s="98"/>
      <c r="H412" s="98"/>
      <c r="I412" s="98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</row>
    <row r="413" ht="15.75" customHeight="1">
      <c r="A413" s="98"/>
      <c r="B413" s="98"/>
      <c r="C413" s="98"/>
      <c r="D413" s="98"/>
      <c r="E413" s="98"/>
      <c r="F413" s="98"/>
      <c r="G413" s="98"/>
      <c r="H413" s="98"/>
      <c r="I413" s="98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</row>
    <row r="414" ht="15.75" customHeight="1">
      <c r="A414" s="98"/>
      <c r="B414" s="98"/>
      <c r="C414" s="98"/>
      <c r="D414" s="98"/>
      <c r="E414" s="98"/>
      <c r="F414" s="98"/>
      <c r="G414" s="98"/>
      <c r="H414" s="98"/>
      <c r="I414" s="98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</row>
    <row r="415" ht="15.75" customHeight="1">
      <c r="A415" s="98"/>
      <c r="B415" s="98"/>
      <c r="C415" s="98"/>
      <c r="D415" s="98"/>
      <c r="E415" s="98"/>
      <c r="F415" s="98"/>
      <c r="G415" s="98"/>
      <c r="H415" s="98"/>
      <c r="I415" s="98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</row>
    <row r="416" ht="15.75" customHeight="1">
      <c r="A416" s="98"/>
      <c r="B416" s="98"/>
      <c r="C416" s="98"/>
      <c r="D416" s="98"/>
      <c r="E416" s="98"/>
      <c r="F416" s="98"/>
      <c r="G416" s="98"/>
      <c r="H416" s="98"/>
      <c r="I416" s="98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</row>
    <row r="417" ht="15.75" customHeight="1">
      <c r="A417" s="98"/>
      <c r="B417" s="98"/>
      <c r="C417" s="98"/>
      <c r="D417" s="98"/>
      <c r="E417" s="98"/>
      <c r="F417" s="98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</row>
    <row r="418" ht="15.75" customHeight="1">
      <c r="A418" s="98"/>
      <c r="B418" s="98"/>
      <c r="C418" s="98"/>
      <c r="D418" s="98"/>
      <c r="E418" s="98"/>
      <c r="F418" s="98"/>
      <c r="G418" s="98"/>
      <c r="H418" s="98"/>
      <c r="I418" s="98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</row>
    <row r="419" ht="15.75" customHeight="1">
      <c r="A419" s="98"/>
      <c r="B419" s="98"/>
      <c r="C419" s="98"/>
      <c r="D419" s="98"/>
      <c r="E419" s="98"/>
      <c r="F419" s="98"/>
      <c r="G419" s="98"/>
      <c r="H419" s="98"/>
      <c r="I419" s="98"/>
      <c r="J419" s="98"/>
      <c r="K419" s="98"/>
      <c r="L419" s="98"/>
      <c r="M419" s="98"/>
      <c r="N419" s="98"/>
      <c r="O419" s="98"/>
      <c r="P419" s="98"/>
      <c r="Q419" s="98"/>
      <c r="R419" s="98"/>
      <c r="S419" s="98"/>
      <c r="T419" s="98"/>
      <c r="U419" s="98"/>
      <c r="V419" s="98"/>
      <c r="W419" s="98"/>
      <c r="X419" s="98"/>
      <c r="Y419" s="98"/>
      <c r="Z419" s="98"/>
      <c r="AA419" s="98"/>
      <c r="AB419" s="98"/>
      <c r="AC419" s="98"/>
      <c r="AD419" s="98"/>
      <c r="AE419" s="98"/>
      <c r="AF419" s="98"/>
      <c r="AG419" s="98"/>
    </row>
    <row r="420" ht="15.75" customHeight="1">
      <c r="A420" s="98"/>
      <c r="B420" s="98"/>
      <c r="C420" s="98"/>
      <c r="D420" s="98"/>
      <c r="E420" s="98"/>
      <c r="F420" s="98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</row>
    <row r="421" ht="15.75" customHeight="1">
      <c r="A421" s="98"/>
      <c r="B421" s="98"/>
      <c r="C421" s="98"/>
      <c r="D421" s="98"/>
      <c r="E421" s="98"/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</row>
    <row r="422" ht="15.75" customHeight="1">
      <c r="A422" s="98"/>
      <c r="B422" s="98"/>
      <c r="C422" s="98"/>
      <c r="D422" s="98"/>
      <c r="E422" s="98"/>
      <c r="F422" s="98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</row>
    <row r="423" ht="15.75" customHeight="1">
      <c r="A423" s="98"/>
      <c r="B423" s="98"/>
      <c r="C423" s="98"/>
      <c r="D423" s="98"/>
      <c r="E423" s="98"/>
      <c r="F423" s="98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</row>
    <row r="424" ht="15.75" customHeight="1">
      <c r="A424" s="98"/>
      <c r="B424" s="98"/>
      <c r="C424" s="98"/>
      <c r="D424" s="98"/>
      <c r="E424" s="98"/>
      <c r="F424" s="98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</row>
    <row r="425" ht="15.75" customHeight="1">
      <c r="A425" s="98"/>
      <c r="B425" s="98"/>
      <c r="C425" s="98"/>
      <c r="D425" s="98"/>
      <c r="E425" s="98"/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</row>
    <row r="426" ht="15.75" customHeight="1">
      <c r="A426" s="98"/>
      <c r="B426" s="98"/>
      <c r="C426" s="98"/>
      <c r="D426" s="98"/>
      <c r="E426" s="98"/>
      <c r="F426" s="98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</row>
    <row r="427" ht="15.75" customHeight="1">
      <c r="A427" s="98"/>
      <c r="B427" s="98"/>
      <c r="C427" s="98"/>
      <c r="D427" s="98"/>
      <c r="E427" s="98"/>
      <c r="F427" s="98"/>
      <c r="G427" s="98"/>
      <c r="H427" s="98"/>
      <c r="I427" s="98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</row>
    <row r="428" ht="15.75" customHeight="1">
      <c r="A428" s="98"/>
      <c r="B428" s="98"/>
      <c r="C428" s="98"/>
      <c r="D428" s="98"/>
      <c r="E428" s="98"/>
      <c r="F428" s="98"/>
      <c r="G428" s="98"/>
      <c r="H428" s="98"/>
      <c r="I428" s="98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</row>
    <row r="429" ht="15.75" customHeight="1">
      <c r="A429" s="98"/>
      <c r="B429" s="98"/>
      <c r="C429" s="98"/>
      <c r="D429" s="98"/>
      <c r="E429" s="98"/>
      <c r="F429" s="98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</row>
    <row r="430" ht="15.75" customHeight="1">
      <c r="A430" s="98"/>
      <c r="B430" s="98"/>
      <c r="C430" s="98"/>
      <c r="D430" s="98"/>
      <c r="E430" s="98"/>
      <c r="F430" s="98"/>
      <c r="G430" s="98"/>
      <c r="H430" s="98"/>
      <c r="I430" s="98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</row>
    <row r="431" ht="15.75" customHeight="1">
      <c r="A431" s="98"/>
      <c r="B431" s="98"/>
      <c r="C431" s="98"/>
      <c r="D431" s="98"/>
      <c r="E431" s="98"/>
      <c r="F431" s="98"/>
      <c r="G431" s="98"/>
      <c r="H431" s="98"/>
      <c r="I431" s="98"/>
      <c r="J431" s="98"/>
      <c r="K431" s="98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</row>
    <row r="432" ht="15.75" customHeight="1">
      <c r="A432" s="98"/>
      <c r="B432" s="98"/>
      <c r="C432" s="98"/>
      <c r="D432" s="98"/>
      <c r="E432" s="98"/>
      <c r="F432" s="98"/>
      <c r="G432" s="98"/>
      <c r="H432" s="98"/>
      <c r="I432" s="98"/>
      <c r="J432" s="98"/>
      <c r="K432" s="98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</row>
    <row r="433" ht="15.75" customHeight="1">
      <c r="A433" s="98"/>
      <c r="B433" s="98"/>
      <c r="C433" s="98"/>
      <c r="D433" s="98"/>
      <c r="E433" s="98"/>
      <c r="F433" s="98"/>
      <c r="G433" s="98"/>
      <c r="H433" s="98"/>
      <c r="I433" s="98"/>
      <c r="J433" s="98"/>
      <c r="K433" s="98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</row>
    <row r="434" ht="15.75" customHeight="1">
      <c r="A434" s="98"/>
      <c r="B434" s="98"/>
      <c r="C434" s="98"/>
      <c r="D434" s="98"/>
      <c r="E434" s="98"/>
      <c r="F434" s="98"/>
      <c r="G434" s="98"/>
      <c r="H434" s="98"/>
      <c r="I434" s="98"/>
      <c r="J434" s="98"/>
      <c r="K434" s="98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</row>
    <row r="435" ht="15.75" customHeight="1">
      <c r="A435" s="98"/>
      <c r="B435" s="98"/>
      <c r="C435" s="98"/>
      <c r="D435" s="98"/>
      <c r="E435" s="98"/>
      <c r="F435" s="98"/>
      <c r="G435" s="98"/>
      <c r="H435" s="98"/>
      <c r="I435" s="98"/>
      <c r="J435" s="98"/>
      <c r="K435" s="98"/>
      <c r="L435" s="98"/>
      <c r="M435" s="98"/>
      <c r="N435" s="98"/>
      <c r="O435" s="98"/>
      <c r="P435" s="98"/>
      <c r="Q435" s="98"/>
      <c r="R435" s="98"/>
      <c r="S435" s="98"/>
      <c r="T435" s="98"/>
      <c r="U435" s="98"/>
      <c r="V435" s="98"/>
      <c r="W435" s="98"/>
      <c r="X435" s="98"/>
      <c r="Y435" s="98"/>
      <c r="Z435" s="98"/>
      <c r="AA435" s="98"/>
      <c r="AB435" s="98"/>
      <c r="AC435" s="98"/>
      <c r="AD435" s="98"/>
      <c r="AE435" s="98"/>
      <c r="AF435" s="98"/>
      <c r="AG435" s="98"/>
    </row>
    <row r="436" ht="15.75" customHeight="1">
      <c r="A436" s="98"/>
      <c r="B436" s="98"/>
      <c r="C436" s="98"/>
      <c r="D436" s="98"/>
      <c r="E436" s="98"/>
      <c r="F436" s="98"/>
      <c r="G436" s="98"/>
      <c r="H436" s="98"/>
      <c r="I436" s="98"/>
      <c r="J436" s="98"/>
      <c r="K436" s="98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</row>
    <row r="437" ht="15.75" customHeight="1">
      <c r="A437" s="98"/>
      <c r="B437" s="98"/>
      <c r="C437" s="98"/>
      <c r="D437" s="98"/>
      <c r="E437" s="98"/>
      <c r="F437" s="98"/>
      <c r="G437" s="98"/>
      <c r="H437" s="98"/>
      <c r="I437" s="98"/>
      <c r="J437" s="98"/>
      <c r="K437" s="98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</row>
    <row r="438" ht="15.75" customHeight="1">
      <c r="A438" s="98"/>
      <c r="B438" s="98"/>
      <c r="C438" s="98"/>
      <c r="D438" s="98"/>
      <c r="E438" s="98"/>
      <c r="F438" s="98"/>
      <c r="G438" s="98"/>
      <c r="H438" s="98"/>
      <c r="I438" s="98"/>
      <c r="J438" s="98"/>
      <c r="K438" s="98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</row>
    <row r="439" ht="15.75" customHeight="1">
      <c r="A439" s="98"/>
      <c r="B439" s="98"/>
      <c r="C439" s="98"/>
      <c r="D439" s="98"/>
      <c r="E439" s="98"/>
      <c r="F439" s="98"/>
      <c r="G439" s="98"/>
      <c r="H439" s="98"/>
      <c r="I439" s="98"/>
      <c r="J439" s="98"/>
      <c r="K439" s="98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</row>
    <row r="440" ht="15.75" customHeight="1">
      <c r="A440" s="98"/>
      <c r="B440" s="98"/>
      <c r="C440" s="98"/>
      <c r="D440" s="98"/>
      <c r="E440" s="98"/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</row>
    <row r="441" ht="15.75" customHeight="1">
      <c r="A441" s="98"/>
      <c r="B441" s="98"/>
      <c r="C441" s="98"/>
      <c r="D441" s="98"/>
      <c r="E441" s="98"/>
      <c r="F441" s="98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</row>
    <row r="442" ht="15.75" customHeight="1">
      <c r="A442" s="98"/>
      <c r="B442" s="98"/>
      <c r="C442" s="98"/>
      <c r="D442" s="98"/>
      <c r="E442" s="98"/>
      <c r="F442" s="98"/>
      <c r="G442" s="98"/>
      <c r="H442" s="98"/>
      <c r="I442" s="98"/>
      <c r="J442" s="98"/>
      <c r="K442" s="98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</row>
    <row r="443" ht="15.75" customHeight="1">
      <c r="A443" s="98"/>
      <c r="B443" s="98"/>
      <c r="C443" s="98"/>
      <c r="D443" s="98"/>
      <c r="E443" s="98"/>
      <c r="F443" s="98"/>
      <c r="G443" s="98"/>
      <c r="H443" s="98"/>
      <c r="I443" s="98"/>
      <c r="J443" s="98"/>
      <c r="K443" s="98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</row>
    <row r="444" ht="15.75" customHeight="1">
      <c r="A444" s="98"/>
      <c r="B444" s="98"/>
      <c r="C444" s="98"/>
      <c r="D444" s="98"/>
      <c r="E444" s="98"/>
      <c r="F444" s="98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</row>
    <row r="445" ht="15.75" customHeight="1">
      <c r="A445" s="98"/>
      <c r="B445" s="98"/>
      <c r="C445" s="98"/>
      <c r="D445" s="98"/>
      <c r="E445" s="98"/>
      <c r="F445" s="98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</row>
    <row r="446" ht="15.75" customHeight="1">
      <c r="A446" s="98"/>
      <c r="B446" s="98"/>
      <c r="C446" s="98"/>
      <c r="D446" s="98"/>
      <c r="E446" s="98"/>
      <c r="F446" s="98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</row>
    <row r="447" ht="15.75" customHeight="1">
      <c r="A447" s="98"/>
      <c r="B447" s="98"/>
      <c r="C447" s="98"/>
      <c r="D447" s="98"/>
      <c r="E447" s="98"/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</row>
    <row r="448" ht="15.75" customHeight="1">
      <c r="A448" s="98"/>
      <c r="B448" s="98"/>
      <c r="C448" s="98"/>
      <c r="D448" s="98"/>
      <c r="E448" s="98"/>
      <c r="F448" s="98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</row>
    <row r="449" ht="15.75" customHeight="1">
      <c r="A449" s="98"/>
      <c r="B449" s="98"/>
      <c r="C449" s="98"/>
      <c r="D449" s="98"/>
      <c r="E449" s="98"/>
      <c r="F449" s="98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</row>
    <row r="450" ht="15.75" customHeight="1">
      <c r="A450" s="98"/>
      <c r="B450" s="98"/>
      <c r="C450" s="98"/>
      <c r="D450" s="98"/>
      <c r="E450" s="98"/>
      <c r="F450" s="98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</row>
    <row r="451" ht="15.75" customHeight="1">
      <c r="A451" s="98"/>
      <c r="B451" s="98"/>
      <c r="C451" s="98"/>
      <c r="D451" s="98"/>
      <c r="E451" s="98"/>
      <c r="F451" s="98"/>
      <c r="G451" s="98"/>
      <c r="H451" s="98"/>
      <c r="I451" s="98"/>
      <c r="J451" s="98"/>
      <c r="K451" s="98"/>
      <c r="L451" s="98"/>
      <c r="M451" s="98"/>
      <c r="N451" s="98"/>
      <c r="O451" s="98"/>
      <c r="P451" s="98"/>
      <c r="Q451" s="98"/>
      <c r="R451" s="98"/>
      <c r="S451" s="98"/>
      <c r="T451" s="98"/>
      <c r="U451" s="98"/>
      <c r="V451" s="98"/>
      <c r="W451" s="98"/>
      <c r="X451" s="98"/>
      <c r="Y451" s="98"/>
      <c r="Z451" s="98"/>
      <c r="AA451" s="98"/>
      <c r="AB451" s="98"/>
      <c r="AC451" s="98"/>
      <c r="AD451" s="98"/>
      <c r="AE451" s="98"/>
      <c r="AF451" s="98"/>
      <c r="AG451" s="98"/>
    </row>
    <row r="452" ht="15.75" customHeight="1">
      <c r="A452" s="98"/>
      <c r="B452" s="98"/>
      <c r="C452" s="98"/>
      <c r="D452" s="98"/>
      <c r="E452" s="98"/>
      <c r="F452" s="98"/>
      <c r="G452" s="98"/>
      <c r="H452" s="98"/>
      <c r="I452" s="98"/>
      <c r="J452" s="98"/>
      <c r="K452" s="98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</row>
    <row r="453" ht="15.75" customHeight="1">
      <c r="A453" s="98"/>
      <c r="B453" s="98"/>
      <c r="C453" s="98"/>
      <c r="D453" s="98"/>
      <c r="E453" s="98"/>
      <c r="F453" s="98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</row>
    <row r="454" ht="15.75" customHeight="1">
      <c r="A454" s="98"/>
      <c r="B454" s="98"/>
      <c r="C454" s="98"/>
      <c r="D454" s="98"/>
      <c r="E454" s="98"/>
      <c r="F454" s="98"/>
      <c r="G454" s="98"/>
      <c r="H454" s="98"/>
      <c r="I454" s="98"/>
      <c r="J454" s="98"/>
      <c r="K454" s="98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</row>
    <row r="455" ht="15.75" customHeight="1">
      <c r="A455" s="98"/>
      <c r="B455" s="98"/>
      <c r="C455" s="98"/>
      <c r="D455" s="98"/>
      <c r="E455" s="98"/>
      <c r="F455" s="98"/>
      <c r="G455" s="98"/>
      <c r="H455" s="98"/>
      <c r="I455" s="98"/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</row>
    <row r="456" ht="15.75" customHeight="1">
      <c r="A456" s="98"/>
      <c r="B456" s="98"/>
      <c r="C456" s="98"/>
      <c r="D456" s="98"/>
      <c r="E456" s="98"/>
      <c r="F456" s="98"/>
      <c r="G456" s="98"/>
      <c r="H456" s="98"/>
      <c r="I456" s="98"/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</row>
    <row r="457" ht="15.75" customHeight="1">
      <c r="A457" s="98"/>
      <c r="B457" s="98"/>
      <c r="C457" s="98"/>
      <c r="D457" s="98"/>
      <c r="E457" s="98"/>
      <c r="F457" s="98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</row>
    <row r="458" ht="15.75" customHeight="1">
      <c r="A458" s="98"/>
      <c r="B458" s="98"/>
      <c r="C458" s="98"/>
      <c r="D458" s="98"/>
      <c r="E458" s="98"/>
      <c r="F458" s="98"/>
      <c r="G458" s="98"/>
      <c r="H458" s="98"/>
      <c r="I458" s="98"/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</row>
    <row r="459" ht="15.75" customHeight="1">
      <c r="A459" s="98"/>
      <c r="B459" s="98"/>
      <c r="C459" s="98"/>
      <c r="D459" s="98"/>
      <c r="E459" s="98"/>
      <c r="F459" s="98"/>
      <c r="G459" s="98"/>
      <c r="H459" s="98"/>
      <c r="I459" s="98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</row>
    <row r="460" ht="15.75" customHeight="1">
      <c r="A460" s="98"/>
      <c r="B460" s="98"/>
      <c r="C460" s="98"/>
      <c r="D460" s="98"/>
      <c r="E460" s="98"/>
      <c r="F460" s="98"/>
      <c r="G460" s="98"/>
      <c r="H460" s="98"/>
      <c r="I460" s="98"/>
      <c r="J460" s="98"/>
      <c r="K460" s="98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</row>
    <row r="461" ht="15.75" customHeight="1">
      <c r="A461" s="98"/>
      <c r="B461" s="98"/>
      <c r="C461" s="98"/>
      <c r="D461" s="98"/>
      <c r="E461" s="98"/>
      <c r="F461" s="98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</row>
    <row r="462" ht="15.75" customHeight="1">
      <c r="A462" s="98"/>
      <c r="B462" s="98"/>
      <c r="C462" s="98"/>
      <c r="D462" s="98"/>
      <c r="E462" s="98"/>
      <c r="F462" s="98"/>
      <c r="G462" s="98"/>
      <c r="H462" s="98"/>
      <c r="I462" s="98"/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</row>
    <row r="463" ht="15.75" customHeight="1">
      <c r="A463" s="98"/>
      <c r="B463" s="98"/>
      <c r="C463" s="98"/>
      <c r="D463" s="98"/>
      <c r="E463" s="98"/>
      <c r="F463" s="98"/>
      <c r="G463" s="98"/>
      <c r="H463" s="98"/>
      <c r="I463" s="98"/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</row>
    <row r="464" ht="15.75" customHeight="1">
      <c r="A464" s="98"/>
      <c r="B464" s="98"/>
      <c r="C464" s="98"/>
      <c r="D464" s="98"/>
      <c r="E464" s="98"/>
      <c r="F464" s="98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</row>
    <row r="465" ht="15.75" customHeight="1">
      <c r="A465" s="98"/>
      <c r="B465" s="98"/>
      <c r="C465" s="98"/>
      <c r="D465" s="98"/>
      <c r="E465" s="98"/>
      <c r="F465" s="98"/>
      <c r="G465" s="98"/>
      <c r="H465" s="98"/>
      <c r="I465" s="98"/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</row>
    <row r="466" ht="15.75" customHeight="1">
      <c r="A466" s="98"/>
      <c r="B466" s="98"/>
      <c r="C466" s="98"/>
      <c r="D466" s="98"/>
      <c r="E466" s="98"/>
      <c r="F466" s="98"/>
      <c r="G466" s="98"/>
      <c r="H466" s="98"/>
      <c r="I466" s="98"/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</row>
    <row r="467" ht="15.75" customHeight="1">
      <c r="A467" s="98"/>
      <c r="B467" s="98"/>
      <c r="C467" s="98"/>
      <c r="D467" s="98"/>
      <c r="E467" s="98"/>
      <c r="F467" s="98"/>
      <c r="G467" s="98"/>
      <c r="H467" s="98"/>
      <c r="I467" s="98"/>
      <c r="J467" s="98"/>
      <c r="K467" s="98"/>
      <c r="L467" s="98"/>
      <c r="M467" s="98"/>
      <c r="N467" s="98"/>
      <c r="O467" s="98"/>
      <c r="P467" s="98"/>
      <c r="Q467" s="98"/>
      <c r="R467" s="98"/>
      <c r="S467" s="98"/>
      <c r="T467" s="98"/>
      <c r="U467" s="98"/>
      <c r="V467" s="98"/>
      <c r="W467" s="98"/>
      <c r="X467" s="98"/>
      <c r="Y467" s="98"/>
      <c r="Z467" s="98"/>
      <c r="AA467" s="98"/>
      <c r="AB467" s="98"/>
      <c r="AC467" s="98"/>
      <c r="AD467" s="98"/>
      <c r="AE467" s="98"/>
      <c r="AF467" s="98"/>
      <c r="AG467" s="98"/>
    </row>
    <row r="468" ht="15.75" customHeight="1">
      <c r="A468" s="98"/>
      <c r="B468" s="98"/>
      <c r="C468" s="98"/>
      <c r="D468" s="98"/>
      <c r="E468" s="98"/>
      <c r="F468" s="98"/>
      <c r="G468" s="98"/>
      <c r="H468" s="98"/>
      <c r="I468" s="98"/>
      <c r="J468" s="98"/>
      <c r="K468" s="98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</row>
    <row r="469" ht="15.75" customHeight="1">
      <c r="A469" s="98"/>
      <c r="B469" s="98"/>
      <c r="C469" s="98"/>
      <c r="D469" s="98"/>
      <c r="E469" s="98"/>
      <c r="F469" s="98"/>
      <c r="G469" s="98"/>
      <c r="H469" s="98"/>
      <c r="I469" s="98"/>
      <c r="J469" s="98"/>
      <c r="K469" s="98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</row>
    <row r="470" ht="15.75" customHeight="1">
      <c r="A470" s="98"/>
      <c r="B470" s="98"/>
      <c r="C470" s="98"/>
      <c r="D470" s="98"/>
      <c r="E470" s="98"/>
      <c r="F470" s="98"/>
      <c r="G470" s="98"/>
      <c r="H470" s="98"/>
      <c r="I470" s="98"/>
      <c r="J470" s="98"/>
      <c r="K470" s="98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</row>
    <row r="471" ht="15.75" customHeight="1">
      <c r="A471" s="98"/>
      <c r="B471" s="98"/>
      <c r="C471" s="98"/>
      <c r="D471" s="98"/>
      <c r="E471" s="98"/>
      <c r="F471" s="98"/>
      <c r="G471" s="98"/>
      <c r="H471" s="98"/>
      <c r="I471" s="98"/>
      <c r="J471" s="98"/>
      <c r="K471" s="98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</row>
    <row r="472" ht="15.75" customHeight="1">
      <c r="A472" s="98"/>
      <c r="B472" s="98"/>
      <c r="C472" s="98"/>
      <c r="D472" s="98"/>
      <c r="E472" s="98"/>
      <c r="F472" s="98"/>
      <c r="G472" s="98"/>
      <c r="H472" s="98"/>
      <c r="I472" s="98"/>
      <c r="J472" s="98"/>
      <c r="K472" s="98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</row>
    <row r="473" ht="15.75" customHeight="1">
      <c r="A473" s="98"/>
      <c r="B473" s="98"/>
      <c r="C473" s="98"/>
      <c r="D473" s="98"/>
      <c r="E473" s="98"/>
      <c r="F473" s="98"/>
      <c r="G473" s="98"/>
      <c r="H473" s="98"/>
      <c r="I473" s="98"/>
      <c r="J473" s="98"/>
      <c r="K473" s="98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</row>
    <row r="474" ht="15.75" customHeight="1">
      <c r="A474" s="98"/>
      <c r="B474" s="98"/>
      <c r="C474" s="98"/>
      <c r="D474" s="98"/>
      <c r="E474" s="98"/>
      <c r="F474" s="98"/>
      <c r="G474" s="98"/>
      <c r="H474" s="98"/>
      <c r="I474" s="98"/>
      <c r="J474" s="98"/>
      <c r="K474" s="98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</row>
    <row r="475" ht="15.75" customHeight="1">
      <c r="A475" s="98"/>
      <c r="B475" s="98"/>
      <c r="C475" s="98"/>
      <c r="D475" s="98"/>
      <c r="E475" s="98"/>
      <c r="F475" s="98"/>
      <c r="G475" s="98"/>
      <c r="H475" s="98"/>
      <c r="I475" s="98"/>
      <c r="J475" s="98"/>
      <c r="K475" s="98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</row>
    <row r="476" ht="15.75" customHeight="1">
      <c r="A476" s="98"/>
      <c r="B476" s="98"/>
      <c r="C476" s="98"/>
      <c r="D476" s="98"/>
      <c r="E476" s="98"/>
      <c r="F476" s="98"/>
      <c r="G476" s="98"/>
      <c r="H476" s="98"/>
      <c r="I476" s="98"/>
      <c r="J476" s="98"/>
      <c r="K476" s="98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</row>
    <row r="477" ht="15.75" customHeight="1">
      <c r="A477" s="98"/>
      <c r="B477" s="98"/>
      <c r="C477" s="98"/>
      <c r="D477" s="98"/>
      <c r="E477" s="98"/>
      <c r="F477" s="98"/>
      <c r="G477" s="98"/>
      <c r="H477" s="98"/>
      <c r="I477" s="98"/>
      <c r="J477" s="98"/>
      <c r="K477" s="98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</row>
    <row r="478" ht="15.75" customHeight="1">
      <c r="A478" s="98"/>
      <c r="B478" s="98"/>
      <c r="C478" s="98"/>
      <c r="D478" s="98"/>
      <c r="E478" s="98"/>
      <c r="F478" s="98"/>
      <c r="G478" s="98"/>
      <c r="H478" s="98"/>
      <c r="I478" s="98"/>
      <c r="J478" s="98"/>
      <c r="K478" s="98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</row>
    <row r="479" ht="15.75" customHeight="1">
      <c r="A479" s="98"/>
      <c r="B479" s="98"/>
      <c r="C479" s="98"/>
      <c r="D479" s="98"/>
      <c r="E479" s="98"/>
      <c r="F479" s="98"/>
      <c r="G479" s="98"/>
      <c r="H479" s="98"/>
      <c r="I479" s="98"/>
      <c r="J479" s="98"/>
      <c r="K479" s="98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</row>
    <row r="480" ht="15.75" customHeight="1">
      <c r="A480" s="98"/>
      <c r="B480" s="98"/>
      <c r="C480" s="98"/>
      <c r="D480" s="98"/>
      <c r="E480" s="98"/>
      <c r="F480" s="98"/>
      <c r="G480" s="98"/>
      <c r="H480" s="98"/>
      <c r="I480" s="98"/>
      <c r="J480" s="98"/>
      <c r="K480" s="98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</row>
    <row r="481" ht="15.75" customHeight="1">
      <c r="A481" s="98"/>
      <c r="B481" s="98"/>
      <c r="C481" s="98"/>
      <c r="D481" s="98"/>
      <c r="E481" s="98"/>
      <c r="F481" s="98"/>
      <c r="G481" s="98"/>
      <c r="H481" s="98"/>
      <c r="I481" s="98"/>
      <c r="J481" s="98"/>
      <c r="K481" s="98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</row>
    <row r="482" ht="15.75" customHeight="1">
      <c r="A482" s="98"/>
      <c r="B482" s="98"/>
      <c r="C482" s="98"/>
      <c r="D482" s="98"/>
      <c r="E482" s="98"/>
      <c r="F482" s="98"/>
      <c r="G482" s="98"/>
      <c r="H482" s="98"/>
      <c r="I482" s="98"/>
      <c r="J482" s="98"/>
      <c r="K482" s="98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</row>
    <row r="483" ht="15.75" customHeight="1">
      <c r="A483" s="98"/>
      <c r="B483" s="98"/>
      <c r="C483" s="98"/>
      <c r="D483" s="98"/>
      <c r="E483" s="98"/>
      <c r="F483" s="98"/>
      <c r="G483" s="98"/>
      <c r="H483" s="98"/>
      <c r="I483" s="98"/>
      <c r="J483" s="98"/>
      <c r="K483" s="98"/>
      <c r="L483" s="98"/>
      <c r="M483" s="98"/>
      <c r="N483" s="98"/>
      <c r="O483" s="98"/>
      <c r="P483" s="98"/>
      <c r="Q483" s="98"/>
      <c r="R483" s="98"/>
      <c r="S483" s="98"/>
      <c r="T483" s="98"/>
      <c r="U483" s="98"/>
      <c r="V483" s="98"/>
      <c r="W483" s="98"/>
      <c r="X483" s="98"/>
      <c r="Y483" s="98"/>
      <c r="Z483" s="98"/>
      <c r="AA483" s="98"/>
      <c r="AB483" s="98"/>
      <c r="AC483" s="98"/>
      <c r="AD483" s="98"/>
      <c r="AE483" s="98"/>
      <c r="AF483" s="98"/>
      <c r="AG483" s="98"/>
    </row>
    <row r="484" ht="15.75" customHeight="1">
      <c r="A484" s="98"/>
      <c r="B484" s="98"/>
      <c r="C484" s="98"/>
      <c r="D484" s="98"/>
      <c r="E484" s="98"/>
      <c r="F484" s="98"/>
      <c r="G484" s="98"/>
      <c r="H484" s="98"/>
      <c r="I484" s="98"/>
      <c r="J484" s="98"/>
      <c r="K484" s="98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</row>
    <row r="485" ht="15.75" customHeight="1">
      <c r="A485" s="98"/>
      <c r="B485" s="98"/>
      <c r="C485" s="98"/>
      <c r="D485" s="98"/>
      <c r="E485" s="98"/>
      <c r="F485" s="98"/>
      <c r="G485" s="98"/>
      <c r="H485" s="98"/>
      <c r="I485" s="98"/>
      <c r="J485" s="98"/>
      <c r="K485" s="98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</row>
    <row r="486" ht="15.75" customHeight="1">
      <c r="A486" s="98"/>
      <c r="B486" s="98"/>
      <c r="C486" s="98"/>
      <c r="D486" s="98"/>
      <c r="E486" s="98"/>
      <c r="F486" s="98"/>
      <c r="G486" s="98"/>
      <c r="H486" s="98"/>
      <c r="I486" s="98"/>
      <c r="J486" s="98"/>
      <c r="K486" s="98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</row>
    <row r="487" ht="15.75" customHeight="1">
      <c r="A487" s="98"/>
      <c r="B487" s="98"/>
      <c r="C487" s="98"/>
      <c r="D487" s="98"/>
      <c r="E487" s="98"/>
      <c r="F487" s="98"/>
      <c r="G487" s="98"/>
      <c r="H487" s="98"/>
      <c r="I487" s="98"/>
      <c r="J487" s="98"/>
      <c r="K487" s="98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</row>
    <row r="488" ht="15.75" customHeight="1">
      <c r="A488" s="98"/>
      <c r="B488" s="98"/>
      <c r="C488" s="98"/>
      <c r="D488" s="98"/>
      <c r="E488" s="98"/>
      <c r="F488" s="98"/>
      <c r="G488" s="98"/>
      <c r="H488" s="98"/>
      <c r="I488" s="98"/>
      <c r="J488" s="98"/>
      <c r="K488" s="98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</row>
    <row r="489" ht="15.75" customHeight="1">
      <c r="A489" s="98"/>
      <c r="B489" s="98"/>
      <c r="C489" s="98"/>
      <c r="D489" s="98"/>
      <c r="E489" s="98"/>
      <c r="F489" s="98"/>
      <c r="G489" s="98"/>
      <c r="H489" s="98"/>
      <c r="I489" s="98"/>
      <c r="J489" s="98"/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</row>
    <row r="490" ht="15.75" customHeight="1">
      <c r="A490" s="98"/>
      <c r="B490" s="98"/>
      <c r="C490" s="98"/>
      <c r="D490" s="98"/>
      <c r="E490" s="98"/>
      <c r="F490" s="98"/>
      <c r="G490" s="98"/>
      <c r="H490" s="98"/>
      <c r="I490" s="98"/>
      <c r="J490" s="98"/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</row>
    <row r="491" ht="15.75" customHeight="1">
      <c r="A491" s="98"/>
      <c r="B491" s="98"/>
      <c r="C491" s="98"/>
      <c r="D491" s="98"/>
      <c r="E491" s="98"/>
      <c r="F491" s="98"/>
      <c r="G491" s="98"/>
      <c r="H491" s="98"/>
      <c r="I491" s="98"/>
      <c r="J491" s="98"/>
      <c r="K491" s="98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</row>
    <row r="492" ht="15.75" customHeight="1">
      <c r="A492" s="98"/>
      <c r="B492" s="98"/>
      <c r="C492" s="98"/>
      <c r="D492" s="98"/>
      <c r="E492" s="98"/>
      <c r="F492" s="98"/>
      <c r="G492" s="98"/>
      <c r="H492" s="98"/>
      <c r="I492" s="98"/>
      <c r="J492" s="98"/>
      <c r="K492" s="98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</row>
    <row r="493" ht="15.75" customHeight="1">
      <c r="A493" s="98"/>
      <c r="B493" s="98"/>
      <c r="C493" s="98"/>
      <c r="D493" s="98"/>
      <c r="E493" s="98"/>
      <c r="F493" s="98"/>
      <c r="G493" s="98"/>
      <c r="H493" s="98"/>
      <c r="I493" s="98"/>
      <c r="J493" s="98"/>
      <c r="K493" s="98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</row>
    <row r="494" ht="15.75" customHeight="1">
      <c r="A494" s="98"/>
      <c r="B494" s="98"/>
      <c r="C494" s="98"/>
      <c r="D494" s="98"/>
      <c r="E494" s="98"/>
      <c r="F494" s="98"/>
      <c r="G494" s="98"/>
      <c r="H494" s="98"/>
      <c r="I494" s="98"/>
      <c r="J494" s="98"/>
      <c r="K494" s="98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</row>
    <row r="495" ht="15.75" customHeight="1">
      <c r="A495" s="98"/>
      <c r="B495" s="98"/>
      <c r="C495" s="98"/>
      <c r="D495" s="98"/>
      <c r="E495" s="98"/>
      <c r="F495" s="98"/>
      <c r="G495" s="98"/>
      <c r="H495" s="98"/>
      <c r="I495" s="98"/>
      <c r="J495" s="98"/>
      <c r="K495" s="98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</row>
    <row r="496" ht="15.75" customHeight="1">
      <c r="A496" s="98"/>
      <c r="B496" s="98"/>
      <c r="C496" s="98"/>
      <c r="D496" s="98"/>
      <c r="E496" s="98"/>
      <c r="F496" s="98"/>
      <c r="G496" s="98"/>
      <c r="H496" s="98"/>
      <c r="I496" s="98"/>
      <c r="J496" s="98"/>
      <c r="K496" s="98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</row>
    <row r="497" ht="15.75" customHeight="1">
      <c r="A497" s="98"/>
      <c r="B497" s="98"/>
      <c r="C497" s="98"/>
      <c r="D497" s="98"/>
      <c r="E497" s="98"/>
      <c r="F497" s="98"/>
      <c r="G497" s="98"/>
      <c r="H497" s="98"/>
      <c r="I497" s="98"/>
      <c r="J497" s="98"/>
      <c r="K497" s="98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</row>
    <row r="498" ht="15.75" customHeight="1">
      <c r="A498" s="98"/>
      <c r="B498" s="98"/>
      <c r="C498" s="98"/>
      <c r="D498" s="98"/>
      <c r="E498" s="98"/>
      <c r="F498" s="98"/>
      <c r="G498" s="98"/>
      <c r="H498" s="98"/>
      <c r="I498" s="98"/>
      <c r="J498" s="98"/>
      <c r="K498" s="98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</row>
    <row r="499" ht="15.75" customHeight="1">
      <c r="A499" s="98"/>
      <c r="B499" s="98"/>
      <c r="C499" s="98"/>
      <c r="D499" s="98"/>
      <c r="E499" s="98"/>
      <c r="F499" s="98"/>
      <c r="G499" s="98"/>
      <c r="H499" s="98"/>
      <c r="I499" s="98"/>
      <c r="J499" s="98"/>
      <c r="K499" s="98"/>
      <c r="L499" s="98"/>
      <c r="M499" s="98"/>
      <c r="N499" s="98"/>
      <c r="O499" s="98"/>
      <c r="P499" s="98"/>
      <c r="Q499" s="98"/>
      <c r="R499" s="98"/>
      <c r="S499" s="98"/>
      <c r="T499" s="98"/>
      <c r="U499" s="98"/>
      <c r="V499" s="98"/>
      <c r="W499" s="98"/>
      <c r="X499" s="98"/>
      <c r="Y499" s="98"/>
      <c r="Z499" s="98"/>
      <c r="AA499" s="98"/>
      <c r="AB499" s="98"/>
      <c r="AC499" s="98"/>
      <c r="AD499" s="98"/>
      <c r="AE499" s="98"/>
      <c r="AF499" s="98"/>
      <c r="AG499" s="98"/>
    </row>
    <row r="500" ht="15.75" customHeight="1">
      <c r="A500" s="98"/>
      <c r="B500" s="98"/>
      <c r="C500" s="98"/>
      <c r="D500" s="98"/>
      <c r="E500" s="98"/>
      <c r="F500" s="98"/>
      <c r="G500" s="98"/>
      <c r="H500" s="98"/>
      <c r="I500" s="98"/>
      <c r="J500" s="98"/>
      <c r="K500" s="98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</row>
    <row r="501" ht="15.75" customHeight="1">
      <c r="A501" s="98"/>
      <c r="B501" s="98"/>
      <c r="C501" s="98"/>
      <c r="D501" s="98"/>
      <c r="E501" s="98"/>
      <c r="F501" s="98"/>
      <c r="G501" s="98"/>
      <c r="H501" s="98"/>
      <c r="I501" s="98"/>
      <c r="J501" s="98"/>
      <c r="K501" s="98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</row>
    <row r="502" ht="15.75" customHeight="1">
      <c r="A502" s="98"/>
      <c r="B502" s="98"/>
      <c r="C502" s="98"/>
      <c r="D502" s="98"/>
      <c r="E502" s="98"/>
      <c r="F502" s="98"/>
      <c r="G502" s="98"/>
      <c r="H502" s="98"/>
      <c r="I502" s="98"/>
      <c r="J502" s="98"/>
      <c r="K502" s="98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</row>
    <row r="503" ht="15.75" customHeight="1">
      <c r="A503" s="98"/>
      <c r="B503" s="98"/>
      <c r="C503" s="98"/>
      <c r="D503" s="98"/>
      <c r="E503" s="98"/>
      <c r="F503" s="98"/>
      <c r="G503" s="98"/>
      <c r="H503" s="98"/>
      <c r="I503" s="98"/>
      <c r="J503" s="98"/>
      <c r="K503" s="98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  <c r="AA503" s="98"/>
      <c r="AB503" s="98"/>
      <c r="AC503" s="98"/>
      <c r="AD503" s="98"/>
      <c r="AE503" s="98"/>
      <c r="AF503" s="98"/>
      <c r="AG503" s="98"/>
    </row>
    <row r="504" ht="15.75" customHeight="1">
      <c r="A504" s="98"/>
      <c r="B504" s="98"/>
      <c r="C504" s="98"/>
      <c r="D504" s="98"/>
      <c r="E504" s="98"/>
      <c r="F504" s="98"/>
      <c r="G504" s="98"/>
      <c r="H504" s="98"/>
      <c r="I504" s="98"/>
      <c r="J504" s="98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  <c r="AA504" s="98"/>
      <c r="AB504" s="98"/>
      <c r="AC504" s="98"/>
      <c r="AD504" s="98"/>
      <c r="AE504" s="98"/>
      <c r="AF504" s="98"/>
      <c r="AG504" s="98"/>
    </row>
    <row r="505" ht="15.75" customHeight="1">
      <c r="A505" s="98"/>
      <c r="B505" s="98"/>
      <c r="C505" s="98"/>
      <c r="D505" s="98"/>
      <c r="E505" s="98"/>
      <c r="F505" s="98"/>
      <c r="G505" s="98"/>
      <c r="H505" s="98"/>
      <c r="I505" s="98"/>
      <c r="J505" s="98"/>
      <c r="K505" s="98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  <c r="AA505" s="98"/>
      <c r="AB505" s="98"/>
      <c r="AC505" s="98"/>
      <c r="AD505" s="98"/>
      <c r="AE505" s="98"/>
      <c r="AF505" s="98"/>
      <c r="AG505" s="98"/>
    </row>
    <row r="506" ht="15.75" customHeight="1">
      <c r="A506" s="98"/>
      <c r="B506" s="98"/>
      <c r="C506" s="98"/>
      <c r="D506" s="98"/>
      <c r="E506" s="98"/>
      <c r="F506" s="98"/>
      <c r="G506" s="98"/>
      <c r="H506" s="98"/>
      <c r="I506" s="98"/>
      <c r="J506" s="98"/>
      <c r="K506" s="98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  <c r="AA506" s="98"/>
      <c r="AB506" s="98"/>
      <c r="AC506" s="98"/>
      <c r="AD506" s="98"/>
      <c r="AE506" s="98"/>
      <c r="AF506" s="98"/>
      <c r="AG506" s="98"/>
    </row>
    <row r="507" ht="15.75" customHeight="1">
      <c r="A507" s="98"/>
      <c r="B507" s="98"/>
      <c r="C507" s="98"/>
      <c r="D507" s="98"/>
      <c r="E507" s="98"/>
      <c r="F507" s="98"/>
      <c r="G507" s="98"/>
      <c r="H507" s="98"/>
      <c r="I507" s="98"/>
      <c r="J507" s="98"/>
      <c r="K507" s="98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  <c r="AA507" s="98"/>
      <c r="AB507" s="98"/>
      <c r="AC507" s="98"/>
      <c r="AD507" s="98"/>
      <c r="AE507" s="98"/>
      <c r="AF507" s="98"/>
      <c r="AG507" s="98"/>
    </row>
    <row r="508" ht="15.75" customHeight="1">
      <c r="A508" s="98"/>
      <c r="B508" s="98"/>
      <c r="C508" s="98"/>
      <c r="D508" s="98"/>
      <c r="E508" s="98"/>
      <c r="F508" s="98"/>
      <c r="G508" s="98"/>
      <c r="H508" s="98"/>
      <c r="I508" s="98"/>
      <c r="J508" s="98"/>
      <c r="K508" s="98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  <c r="AA508" s="98"/>
      <c r="AB508" s="98"/>
      <c r="AC508" s="98"/>
      <c r="AD508" s="98"/>
      <c r="AE508" s="98"/>
      <c r="AF508" s="98"/>
      <c r="AG508" s="98"/>
    </row>
    <row r="509" ht="15.75" customHeight="1">
      <c r="A509" s="98"/>
      <c r="B509" s="98"/>
      <c r="C509" s="98"/>
      <c r="D509" s="98"/>
      <c r="E509" s="98"/>
      <c r="F509" s="98"/>
      <c r="G509" s="98"/>
      <c r="H509" s="98"/>
      <c r="I509" s="98"/>
      <c r="J509" s="98"/>
      <c r="K509" s="98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  <c r="AA509" s="98"/>
      <c r="AB509" s="98"/>
      <c r="AC509" s="98"/>
      <c r="AD509" s="98"/>
      <c r="AE509" s="98"/>
      <c r="AF509" s="98"/>
      <c r="AG509" s="98"/>
    </row>
    <row r="510" ht="15.75" customHeight="1">
      <c r="A510" s="98"/>
      <c r="B510" s="98"/>
      <c r="C510" s="98"/>
      <c r="D510" s="98"/>
      <c r="E510" s="98"/>
      <c r="F510" s="98"/>
      <c r="G510" s="98"/>
      <c r="H510" s="98"/>
      <c r="I510" s="98"/>
      <c r="J510" s="98"/>
      <c r="K510" s="98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  <c r="AA510" s="98"/>
      <c r="AB510" s="98"/>
      <c r="AC510" s="98"/>
      <c r="AD510" s="98"/>
      <c r="AE510" s="98"/>
      <c r="AF510" s="98"/>
      <c r="AG510" s="98"/>
    </row>
    <row r="511" ht="15.75" customHeight="1">
      <c r="A511" s="98"/>
      <c r="B511" s="98"/>
      <c r="C511" s="98"/>
      <c r="D511" s="98"/>
      <c r="E511" s="98"/>
      <c r="F511" s="98"/>
      <c r="G511" s="98"/>
      <c r="H511" s="98"/>
      <c r="I511" s="98"/>
      <c r="J511" s="98"/>
      <c r="K511" s="98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  <c r="AA511" s="98"/>
      <c r="AB511" s="98"/>
      <c r="AC511" s="98"/>
      <c r="AD511" s="98"/>
      <c r="AE511" s="98"/>
      <c r="AF511" s="98"/>
      <c r="AG511" s="98"/>
    </row>
    <row r="512" ht="15.75" customHeight="1">
      <c r="A512" s="98"/>
      <c r="B512" s="98"/>
      <c r="C512" s="98"/>
      <c r="D512" s="98"/>
      <c r="E512" s="98"/>
      <c r="F512" s="98"/>
      <c r="G512" s="98"/>
      <c r="H512" s="98"/>
      <c r="I512" s="98"/>
      <c r="J512" s="98"/>
      <c r="K512" s="98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  <c r="AA512" s="98"/>
      <c r="AB512" s="98"/>
      <c r="AC512" s="98"/>
      <c r="AD512" s="98"/>
      <c r="AE512" s="98"/>
      <c r="AF512" s="98"/>
      <c r="AG512" s="98"/>
    </row>
    <row r="513" ht="15.75" customHeight="1">
      <c r="A513" s="98"/>
      <c r="B513" s="98"/>
      <c r="C513" s="98"/>
      <c r="D513" s="98"/>
      <c r="E513" s="98"/>
      <c r="F513" s="98"/>
      <c r="G513" s="98"/>
      <c r="H513" s="98"/>
      <c r="I513" s="98"/>
      <c r="J513" s="98"/>
      <c r="K513" s="98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  <c r="AA513" s="98"/>
      <c r="AB513" s="98"/>
      <c r="AC513" s="98"/>
      <c r="AD513" s="98"/>
      <c r="AE513" s="98"/>
      <c r="AF513" s="98"/>
      <c r="AG513" s="98"/>
    </row>
    <row r="514" ht="15.75" customHeight="1">
      <c r="A514" s="98"/>
      <c r="B514" s="98"/>
      <c r="C514" s="98"/>
      <c r="D514" s="98"/>
      <c r="E514" s="98"/>
      <c r="F514" s="98"/>
      <c r="G514" s="98"/>
      <c r="H514" s="98"/>
      <c r="I514" s="98"/>
      <c r="J514" s="98"/>
      <c r="K514" s="98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  <c r="AA514" s="98"/>
      <c r="AB514" s="98"/>
      <c r="AC514" s="98"/>
      <c r="AD514" s="98"/>
      <c r="AE514" s="98"/>
      <c r="AF514" s="98"/>
      <c r="AG514" s="98"/>
    </row>
    <row r="515" ht="15.75" customHeight="1">
      <c r="A515" s="98"/>
      <c r="B515" s="98"/>
      <c r="C515" s="98"/>
      <c r="D515" s="98"/>
      <c r="E515" s="98"/>
      <c r="F515" s="98"/>
      <c r="G515" s="98"/>
      <c r="H515" s="98"/>
      <c r="I515" s="98"/>
      <c r="J515" s="98"/>
      <c r="K515" s="98"/>
      <c r="L515" s="98"/>
      <c r="M515" s="98"/>
      <c r="N515" s="98"/>
      <c r="O515" s="98"/>
      <c r="P515" s="98"/>
      <c r="Q515" s="98"/>
      <c r="R515" s="98"/>
      <c r="S515" s="98"/>
      <c r="T515" s="98"/>
      <c r="U515" s="98"/>
      <c r="V515" s="98"/>
      <c r="W515" s="98"/>
      <c r="X515" s="98"/>
      <c r="Y515" s="98"/>
      <c r="Z515" s="98"/>
      <c r="AA515" s="98"/>
      <c r="AB515" s="98"/>
      <c r="AC515" s="98"/>
      <c r="AD515" s="98"/>
      <c r="AE515" s="98"/>
      <c r="AF515" s="98"/>
      <c r="AG515" s="98"/>
    </row>
    <row r="516" ht="15.75" customHeight="1">
      <c r="A516" s="98"/>
      <c r="B516" s="98"/>
      <c r="C516" s="98"/>
      <c r="D516" s="98"/>
      <c r="E516" s="98"/>
      <c r="F516" s="98"/>
      <c r="G516" s="98"/>
      <c r="H516" s="98"/>
      <c r="I516" s="98"/>
      <c r="J516" s="98"/>
      <c r="K516" s="98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  <c r="AA516" s="98"/>
      <c r="AB516" s="98"/>
      <c r="AC516" s="98"/>
      <c r="AD516" s="98"/>
      <c r="AE516" s="98"/>
      <c r="AF516" s="98"/>
      <c r="AG516" s="98"/>
    </row>
    <row r="517" ht="15.75" customHeight="1">
      <c r="A517" s="98"/>
      <c r="B517" s="98"/>
      <c r="C517" s="98"/>
      <c r="D517" s="98"/>
      <c r="E517" s="98"/>
      <c r="F517" s="98"/>
      <c r="G517" s="98"/>
      <c r="H517" s="98"/>
      <c r="I517" s="98"/>
      <c r="J517" s="98"/>
      <c r="K517" s="98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  <c r="AA517" s="98"/>
      <c r="AB517" s="98"/>
      <c r="AC517" s="98"/>
      <c r="AD517" s="98"/>
      <c r="AE517" s="98"/>
      <c r="AF517" s="98"/>
      <c r="AG517" s="98"/>
    </row>
    <row r="518" ht="15.75" customHeight="1">
      <c r="A518" s="98"/>
      <c r="B518" s="98"/>
      <c r="C518" s="98"/>
      <c r="D518" s="98"/>
      <c r="E518" s="98"/>
      <c r="F518" s="98"/>
      <c r="G518" s="98"/>
      <c r="H518" s="98"/>
      <c r="I518" s="98"/>
      <c r="J518" s="98"/>
      <c r="K518" s="98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  <c r="AA518" s="98"/>
      <c r="AB518" s="98"/>
      <c r="AC518" s="98"/>
      <c r="AD518" s="98"/>
      <c r="AE518" s="98"/>
      <c r="AF518" s="98"/>
      <c r="AG518" s="98"/>
    </row>
    <row r="519" ht="15.75" customHeight="1">
      <c r="A519" s="98"/>
      <c r="B519" s="98"/>
      <c r="C519" s="98"/>
      <c r="D519" s="98"/>
      <c r="E519" s="98"/>
      <c r="F519" s="98"/>
      <c r="G519" s="98"/>
      <c r="H519" s="98"/>
      <c r="I519" s="98"/>
      <c r="J519" s="98"/>
      <c r="K519" s="98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  <c r="AA519" s="98"/>
      <c r="AB519" s="98"/>
      <c r="AC519" s="98"/>
      <c r="AD519" s="98"/>
      <c r="AE519" s="98"/>
      <c r="AF519" s="98"/>
      <c r="AG519" s="98"/>
    </row>
    <row r="520" ht="15.75" customHeight="1">
      <c r="A520" s="98"/>
      <c r="B520" s="98"/>
      <c r="C520" s="98"/>
      <c r="D520" s="98"/>
      <c r="E520" s="98"/>
      <c r="F520" s="98"/>
      <c r="G520" s="98"/>
      <c r="H520" s="98"/>
      <c r="I520" s="98"/>
      <c r="J520" s="98"/>
      <c r="K520" s="98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  <c r="AA520" s="98"/>
      <c r="AB520" s="98"/>
      <c r="AC520" s="98"/>
      <c r="AD520" s="98"/>
      <c r="AE520" s="98"/>
      <c r="AF520" s="98"/>
      <c r="AG520" s="98"/>
    </row>
    <row r="521" ht="15.75" customHeight="1">
      <c r="A521" s="98"/>
      <c r="B521" s="98"/>
      <c r="C521" s="98"/>
      <c r="D521" s="98"/>
      <c r="E521" s="98"/>
      <c r="F521" s="98"/>
      <c r="G521" s="98"/>
      <c r="H521" s="98"/>
      <c r="I521" s="98"/>
      <c r="J521" s="98"/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</row>
    <row r="522" ht="15.75" customHeight="1">
      <c r="A522" s="98"/>
      <c r="B522" s="98"/>
      <c r="C522" s="98"/>
      <c r="D522" s="98"/>
      <c r="E522" s="98"/>
      <c r="F522" s="98"/>
      <c r="G522" s="98"/>
      <c r="H522" s="98"/>
      <c r="I522" s="98"/>
      <c r="J522" s="98"/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</row>
    <row r="523" ht="15.75" customHeight="1">
      <c r="A523" s="98"/>
      <c r="B523" s="98"/>
      <c r="C523" s="98"/>
      <c r="D523" s="98"/>
      <c r="E523" s="98"/>
      <c r="F523" s="98"/>
      <c r="G523" s="98"/>
      <c r="H523" s="98"/>
      <c r="I523" s="98"/>
      <c r="J523" s="98"/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</row>
    <row r="524" ht="15.75" customHeight="1">
      <c r="A524" s="98"/>
      <c r="B524" s="98"/>
      <c r="C524" s="98"/>
      <c r="D524" s="98"/>
      <c r="E524" s="98"/>
      <c r="F524" s="98"/>
      <c r="G524" s="98"/>
      <c r="H524" s="98"/>
      <c r="I524" s="98"/>
      <c r="J524" s="98"/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</row>
    <row r="525" ht="15.75" customHeight="1">
      <c r="A525" s="98"/>
      <c r="B525" s="98"/>
      <c r="C525" s="98"/>
      <c r="D525" s="98"/>
      <c r="E525" s="98"/>
      <c r="F525" s="98"/>
      <c r="G525" s="98"/>
      <c r="H525" s="98"/>
      <c r="I525" s="98"/>
      <c r="J525" s="98"/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</row>
    <row r="526" ht="15.75" customHeight="1">
      <c r="A526" s="98"/>
      <c r="B526" s="98"/>
      <c r="C526" s="98"/>
      <c r="D526" s="98"/>
      <c r="E526" s="98"/>
      <c r="F526" s="98"/>
      <c r="G526" s="98"/>
      <c r="H526" s="98"/>
      <c r="I526" s="98"/>
      <c r="J526" s="98"/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</row>
    <row r="527" ht="15.75" customHeight="1">
      <c r="A527" s="98"/>
      <c r="B527" s="98"/>
      <c r="C527" s="98"/>
      <c r="D527" s="98"/>
      <c r="E527" s="98"/>
      <c r="F527" s="98"/>
      <c r="G527" s="98"/>
      <c r="H527" s="98"/>
      <c r="I527" s="98"/>
      <c r="J527" s="98"/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</row>
    <row r="528" ht="15.75" customHeight="1">
      <c r="A528" s="98"/>
      <c r="B528" s="98"/>
      <c r="C528" s="98"/>
      <c r="D528" s="98"/>
      <c r="E528" s="98"/>
      <c r="F528" s="98"/>
      <c r="G528" s="98"/>
      <c r="H528" s="98"/>
      <c r="I528" s="98"/>
      <c r="J528" s="98"/>
      <c r="K528" s="98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</row>
    <row r="529" ht="15.75" customHeight="1">
      <c r="A529" s="98"/>
      <c r="B529" s="98"/>
      <c r="C529" s="98"/>
      <c r="D529" s="98"/>
      <c r="E529" s="98"/>
      <c r="F529" s="98"/>
      <c r="G529" s="98"/>
      <c r="H529" s="98"/>
      <c r="I529" s="98"/>
      <c r="J529" s="98"/>
      <c r="K529" s="98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</row>
    <row r="530" ht="15.75" customHeight="1">
      <c r="A530" s="98"/>
      <c r="B530" s="98"/>
      <c r="C530" s="98"/>
      <c r="D530" s="98"/>
      <c r="E530" s="98"/>
      <c r="F530" s="98"/>
      <c r="G530" s="98"/>
      <c r="H530" s="98"/>
      <c r="I530" s="98"/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</row>
    <row r="531" ht="15.75" customHeight="1">
      <c r="A531" s="98"/>
      <c r="B531" s="98"/>
      <c r="C531" s="98"/>
      <c r="D531" s="98"/>
      <c r="E531" s="98"/>
      <c r="F531" s="98"/>
      <c r="G531" s="98"/>
      <c r="H531" s="98"/>
      <c r="I531" s="98"/>
      <c r="J531" s="98"/>
      <c r="K531" s="98"/>
      <c r="L531" s="98"/>
      <c r="M531" s="98"/>
      <c r="N531" s="98"/>
      <c r="O531" s="98"/>
      <c r="P531" s="98"/>
      <c r="Q531" s="98"/>
      <c r="R531" s="98"/>
      <c r="S531" s="98"/>
      <c r="T531" s="98"/>
      <c r="U531" s="98"/>
      <c r="V531" s="98"/>
      <c r="W531" s="98"/>
      <c r="X531" s="98"/>
      <c r="Y531" s="98"/>
      <c r="Z531" s="98"/>
      <c r="AA531" s="98"/>
      <c r="AB531" s="98"/>
      <c r="AC531" s="98"/>
      <c r="AD531" s="98"/>
      <c r="AE531" s="98"/>
      <c r="AF531" s="98"/>
      <c r="AG531" s="98"/>
    </row>
    <row r="532" ht="15.75" customHeight="1">
      <c r="A532" s="98"/>
      <c r="B532" s="98"/>
      <c r="C532" s="98"/>
      <c r="D532" s="98"/>
      <c r="E532" s="98"/>
      <c r="F532" s="98"/>
      <c r="G532" s="98"/>
      <c r="H532" s="98"/>
      <c r="I532" s="98"/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</row>
    <row r="533" ht="15.75" customHeight="1">
      <c r="A533" s="98"/>
      <c r="B533" s="98"/>
      <c r="C533" s="98"/>
      <c r="D533" s="98"/>
      <c r="E533" s="98"/>
      <c r="F533" s="98"/>
      <c r="G533" s="98"/>
      <c r="H533" s="98"/>
      <c r="I533" s="98"/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</row>
    <row r="534" ht="15.75" customHeight="1">
      <c r="A534" s="98"/>
      <c r="B534" s="98"/>
      <c r="C534" s="98"/>
      <c r="D534" s="98"/>
      <c r="E534" s="98"/>
      <c r="F534" s="98"/>
      <c r="G534" s="98"/>
      <c r="H534" s="98"/>
      <c r="I534" s="98"/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</row>
    <row r="535" ht="15.75" customHeight="1">
      <c r="A535" s="98"/>
      <c r="B535" s="98"/>
      <c r="C535" s="98"/>
      <c r="D535" s="98"/>
      <c r="E535" s="98"/>
      <c r="F535" s="98"/>
      <c r="G535" s="98"/>
      <c r="H535" s="98"/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</row>
    <row r="536" ht="15.75" customHeight="1">
      <c r="A536" s="98"/>
      <c r="B536" s="98"/>
      <c r="C536" s="98"/>
      <c r="D536" s="98"/>
      <c r="E536" s="98"/>
      <c r="F536" s="98"/>
      <c r="G536" s="98"/>
      <c r="H536" s="98"/>
      <c r="I536" s="98"/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</row>
    <row r="537" ht="15.75" customHeight="1">
      <c r="A537" s="98"/>
      <c r="B537" s="98"/>
      <c r="C537" s="98"/>
      <c r="D537" s="98"/>
      <c r="E537" s="98"/>
      <c r="F537" s="98"/>
      <c r="G537" s="98"/>
      <c r="H537" s="98"/>
      <c r="I537" s="98"/>
      <c r="J537" s="98"/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</row>
    <row r="538" ht="15.75" customHeight="1">
      <c r="A538" s="98"/>
      <c r="B538" s="98"/>
      <c r="C538" s="98"/>
      <c r="D538" s="98"/>
      <c r="E538" s="98"/>
      <c r="F538" s="98"/>
      <c r="G538" s="98"/>
      <c r="H538" s="98"/>
      <c r="I538" s="98"/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</row>
    <row r="539" ht="15.75" customHeight="1">
      <c r="A539" s="98"/>
      <c r="B539" s="98"/>
      <c r="C539" s="98"/>
      <c r="D539" s="98"/>
      <c r="E539" s="98"/>
      <c r="F539" s="98"/>
      <c r="G539" s="98"/>
      <c r="H539" s="98"/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</row>
    <row r="540" ht="15.75" customHeight="1">
      <c r="A540" s="98"/>
      <c r="B540" s="98"/>
      <c r="C540" s="98"/>
      <c r="D540" s="98"/>
      <c r="E540" s="98"/>
      <c r="F540" s="98"/>
      <c r="G540" s="98"/>
      <c r="H540" s="98"/>
      <c r="I540" s="98"/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</row>
    <row r="541" ht="15.75" customHeight="1">
      <c r="A541" s="98"/>
      <c r="B541" s="98"/>
      <c r="C541" s="98"/>
      <c r="D541" s="98"/>
      <c r="E541" s="98"/>
      <c r="F541" s="98"/>
      <c r="G541" s="98"/>
      <c r="H541" s="98"/>
      <c r="I541" s="98"/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</row>
    <row r="542" ht="15.75" customHeight="1">
      <c r="A542" s="98"/>
      <c r="B542" s="98"/>
      <c r="C542" s="98"/>
      <c r="D542" s="98"/>
      <c r="E542" s="98"/>
      <c r="F542" s="98"/>
      <c r="G542" s="98"/>
      <c r="H542" s="98"/>
      <c r="I542" s="98"/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</row>
    <row r="543" ht="15.75" customHeight="1">
      <c r="A543" s="98"/>
      <c r="B543" s="98"/>
      <c r="C543" s="98"/>
      <c r="D543" s="98"/>
      <c r="E543" s="98"/>
      <c r="F543" s="98"/>
      <c r="G543" s="98"/>
      <c r="H543" s="98"/>
      <c r="I543" s="98"/>
      <c r="J543" s="98"/>
      <c r="K543" s="98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  <c r="AA543" s="98"/>
      <c r="AB543" s="98"/>
      <c r="AC543" s="98"/>
      <c r="AD543" s="98"/>
      <c r="AE543" s="98"/>
      <c r="AF543" s="98"/>
      <c r="AG543" s="98"/>
    </row>
    <row r="544" ht="15.75" customHeight="1">
      <c r="A544" s="98"/>
      <c r="B544" s="98"/>
      <c r="C544" s="98"/>
      <c r="D544" s="98"/>
      <c r="E544" s="98"/>
      <c r="F544" s="98"/>
      <c r="G544" s="98"/>
      <c r="H544" s="98"/>
      <c r="I544" s="98"/>
      <c r="J544" s="98"/>
      <c r="K544" s="98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  <c r="AA544" s="98"/>
      <c r="AB544" s="98"/>
      <c r="AC544" s="98"/>
      <c r="AD544" s="98"/>
      <c r="AE544" s="98"/>
      <c r="AF544" s="98"/>
      <c r="AG544" s="98"/>
    </row>
    <row r="545" ht="15.75" customHeight="1">
      <c r="A545" s="98"/>
      <c r="B545" s="98"/>
      <c r="C545" s="98"/>
      <c r="D545" s="98"/>
      <c r="E545" s="98"/>
      <c r="F545" s="98"/>
      <c r="G545" s="98"/>
      <c r="H545" s="98"/>
      <c r="I545" s="98"/>
      <c r="J545" s="98"/>
      <c r="K545" s="98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  <c r="AA545" s="98"/>
      <c r="AB545" s="98"/>
      <c r="AC545" s="98"/>
      <c r="AD545" s="98"/>
      <c r="AE545" s="98"/>
      <c r="AF545" s="98"/>
      <c r="AG545" s="98"/>
    </row>
    <row r="546" ht="15.75" customHeight="1">
      <c r="A546" s="98"/>
      <c r="B546" s="98"/>
      <c r="C546" s="98"/>
      <c r="D546" s="98"/>
      <c r="E546" s="98"/>
      <c r="F546" s="98"/>
      <c r="G546" s="98"/>
      <c r="H546" s="98"/>
      <c r="I546" s="98"/>
      <c r="J546" s="98"/>
      <c r="K546" s="98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  <c r="AA546" s="98"/>
      <c r="AB546" s="98"/>
      <c r="AC546" s="98"/>
      <c r="AD546" s="98"/>
      <c r="AE546" s="98"/>
      <c r="AF546" s="98"/>
      <c r="AG546" s="98"/>
    </row>
    <row r="547" ht="15.75" customHeight="1">
      <c r="A547" s="98"/>
      <c r="B547" s="98"/>
      <c r="C547" s="98"/>
      <c r="D547" s="98"/>
      <c r="E547" s="98"/>
      <c r="F547" s="98"/>
      <c r="G547" s="98"/>
      <c r="H547" s="98"/>
      <c r="I547" s="98"/>
      <c r="J547" s="98"/>
      <c r="K547" s="98"/>
      <c r="L547" s="98"/>
      <c r="M547" s="98"/>
      <c r="N547" s="98"/>
      <c r="O547" s="98"/>
      <c r="P547" s="98"/>
      <c r="Q547" s="98"/>
      <c r="R547" s="98"/>
      <c r="S547" s="98"/>
      <c r="T547" s="98"/>
      <c r="U547" s="98"/>
      <c r="V547" s="98"/>
      <c r="W547" s="98"/>
      <c r="X547" s="98"/>
      <c r="Y547" s="98"/>
      <c r="Z547" s="98"/>
      <c r="AA547" s="98"/>
      <c r="AB547" s="98"/>
      <c r="AC547" s="98"/>
      <c r="AD547" s="98"/>
      <c r="AE547" s="98"/>
      <c r="AF547" s="98"/>
      <c r="AG547" s="98"/>
    </row>
    <row r="548" ht="15.75" customHeight="1">
      <c r="A548" s="98"/>
      <c r="B548" s="98"/>
      <c r="C548" s="98"/>
      <c r="D548" s="98"/>
      <c r="E548" s="98"/>
      <c r="F548" s="98"/>
      <c r="G548" s="98"/>
      <c r="H548" s="98"/>
      <c r="I548" s="98"/>
      <c r="J548" s="98"/>
      <c r="K548" s="98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  <c r="AA548" s="98"/>
      <c r="AB548" s="98"/>
      <c r="AC548" s="98"/>
      <c r="AD548" s="98"/>
      <c r="AE548" s="98"/>
      <c r="AF548" s="98"/>
      <c r="AG548" s="98"/>
    </row>
    <row r="549" ht="15.75" customHeight="1">
      <c r="A549" s="98"/>
      <c r="B549" s="98"/>
      <c r="C549" s="98"/>
      <c r="D549" s="98"/>
      <c r="E549" s="98"/>
      <c r="F549" s="98"/>
      <c r="G549" s="98"/>
      <c r="H549" s="98"/>
      <c r="I549" s="98"/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</row>
    <row r="550" ht="15.75" customHeight="1">
      <c r="A550" s="98"/>
      <c r="B550" s="98"/>
      <c r="C550" s="98"/>
      <c r="D550" s="98"/>
      <c r="E550" s="98"/>
      <c r="F550" s="98"/>
      <c r="G550" s="98"/>
      <c r="H550" s="98"/>
      <c r="I550" s="98"/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  <c r="AA550" s="98"/>
      <c r="AB550" s="98"/>
      <c r="AC550" s="98"/>
      <c r="AD550" s="98"/>
      <c r="AE550" s="98"/>
      <c r="AF550" s="98"/>
      <c r="AG550" s="98"/>
    </row>
    <row r="551" ht="15.75" customHeight="1">
      <c r="A551" s="98"/>
      <c r="B551" s="98"/>
      <c r="C551" s="98"/>
      <c r="D551" s="98"/>
      <c r="E551" s="98"/>
      <c r="F551" s="98"/>
      <c r="G551" s="98"/>
      <c r="H551" s="98"/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</row>
    <row r="552" ht="15.75" customHeight="1">
      <c r="A552" s="98"/>
      <c r="B552" s="98"/>
      <c r="C552" s="98"/>
      <c r="D552" s="98"/>
      <c r="E552" s="98"/>
      <c r="F552" s="98"/>
      <c r="G552" s="98"/>
      <c r="H552" s="98"/>
      <c r="I552" s="98"/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</row>
    <row r="553" ht="15.75" customHeight="1">
      <c r="A553" s="98"/>
      <c r="B553" s="98"/>
      <c r="C553" s="98"/>
      <c r="D553" s="98"/>
      <c r="E553" s="98"/>
      <c r="F553" s="98"/>
      <c r="G553" s="98"/>
      <c r="H553" s="98"/>
      <c r="I553" s="98"/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  <c r="AA553" s="98"/>
      <c r="AB553" s="98"/>
      <c r="AC553" s="98"/>
      <c r="AD553" s="98"/>
      <c r="AE553" s="98"/>
      <c r="AF553" s="98"/>
      <c r="AG553" s="98"/>
    </row>
    <row r="554" ht="15.75" customHeight="1">
      <c r="A554" s="98"/>
      <c r="B554" s="98"/>
      <c r="C554" s="98"/>
      <c r="D554" s="98"/>
      <c r="E554" s="98"/>
      <c r="F554" s="98"/>
      <c r="G554" s="98"/>
      <c r="H554" s="98"/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</row>
    <row r="555" ht="15.75" customHeight="1">
      <c r="A555" s="98"/>
      <c r="B555" s="98"/>
      <c r="C555" s="98"/>
      <c r="D555" s="98"/>
      <c r="E555" s="98"/>
      <c r="F555" s="98"/>
      <c r="G555" s="98"/>
      <c r="H555" s="98"/>
      <c r="I555" s="98"/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</row>
    <row r="556" ht="15.75" customHeight="1">
      <c r="A556" s="98"/>
      <c r="B556" s="98"/>
      <c r="C556" s="98"/>
      <c r="D556" s="98"/>
      <c r="E556" s="98"/>
      <c r="F556" s="98"/>
      <c r="G556" s="98"/>
      <c r="H556" s="98"/>
      <c r="I556" s="98"/>
      <c r="J556" s="98"/>
      <c r="K556" s="98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  <c r="AA556" s="98"/>
      <c r="AB556" s="98"/>
      <c r="AC556" s="98"/>
      <c r="AD556" s="98"/>
      <c r="AE556" s="98"/>
      <c r="AF556" s="98"/>
      <c r="AG556" s="98"/>
    </row>
    <row r="557" ht="15.75" customHeight="1">
      <c r="A557" s="98"/>
      <c r="B557" s="98"/>
      <c r="C557" s="98"/>
      <c r="D557" s="98"/>
      <c r="E557" s="98"/>
      <c r="F557" s="98"/>
      <c r="G557" s="98"/>
      <c r="H557" s="98"/>
      <c r="I557" s="98"/>
      <c r="J557" s="98"/>
      <c r="K557" s="98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  <c r="AA557" s="98"/>
      <c r="AB557" s="98"/>
      <c r="AC557" s="98"/>
      <c r="AD557" s="98"/>
      <c r="AE557" s="98"/>
      <c r="AF557" s="98"/>
      <c r="AG557" s="98"/>
    </row>
    <row r="558" ht="15.75" customHeight="1">
      <c r="A558" s="98"/>
      <c r="B558" s="98"/>
      <c r="C558" s="98"/>
      <c r="D558" s="98"/>
      <c r="E558" s="98"/>
      <c r="F558" s="98"/>
      <c r="G558" s="98"/>
      <c r="H558" s="98"/>
      <c r="I558" s="98"/>
      <c r="J558" s="98"/>
      <c r="K558" s="98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  <c r="AA558" s="98"/>
      <c r="AB558" s="98"/>
      <c r="AC558" s="98"/>
      <c r="AD558" s="98"/>
      <c r="AE558" s="98"/>
      <c r="AF558" s="98"/>
      <c r="AG558" s="98"/>
    </row>
    <row r="559" ht="15.75" customHeight="1">
      <c r="A559" s="98"/>
      <c r="B559" s="98"/>
      <c r="C559" s="98"/>
      <c r="D559" s="98"/>
      <c r="E559" s="98"/>
      <c r="F559" s="98"/>
      <c r="G559" s="98"/>
      <c r="H559" s="98"/>
      <c r="I559" s="98"/>
      <c r="J559" s="98"/>
      <c r="K559" s="98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  <c r="AA559" s="98"/>
      <c r="AB559" s="98"/>
      <c r="AC559" s="98"/>
      <c r="AD559" s="98"/>
      <c r="AE559" s="98"/>
      <c r="AF559" s="98"/>
      <c r="AG559" s="98"/>
    </row>
    <row r="560" ht="15.75" customHeight="1">
      <c r="A560" s="98"/>
      <c r="B560" s="98"/>
      <c r="C560" s="98"/>
      <c r="D560" s="98"/>
      <c r="E560" s="98"/>
      <c r="F560" s="98"/>
      <c r="G560" s="98"/>
      <c r="H560" s="98"/>
      <c r="I560" s="98"/>
      <c r="J560" s="98"/>
      <c r="K560" s="98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  <c r="AA560" s="98"/>
      <c r="AB560" s="98"/>
      <c r="AC560" s="98"/>
      <c r="AD560" s="98"/>
      <c r="AE560" s="98"/>
      <c r="AF560" s="98"/>
      <c r="AG560" s="98"/>
    </row>
    <row r="561" ht="15.75" customHeight="1">
      <c r="A561" s="98"/>
      <c r="B561" s="98"/>
      <c r="C561" s="98"/>
      <c r="D561" s="98"/>
      <c r="E561" s="98"/>
      <c r="F561" s="98"/>
      <c r="G561" s="98"/>
      <c r="H561" s="98"/>
      <c r="I561" s="98"/>
      <c r="J561" s="98"/>
      <c r="K561" s="98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  <c r="AA561" s="98"/>
      <c r="AB561" s="98"/>
      <c r="AC561" s="98"/>
      <c r="AD561" s="98"/>
      <c r="AE561" s="98"/>
      <c r="AF561" s="98"/>
      <c r="AG561" s="98"/>
    </row>
    <row r="562" ht="15.75" customHeight="1">
      <c r="A562" s="98"/>
      <c r="B562" s="98"/>
      <c r="C562" s="98"/>
      <c r="D562" s="98"/>
      <c r="E562" s="98"/>
      <c r="F562" s="98"/>
      <c r="G562" s="98"/>
      <c r="H562" s="98"/>
      <c r="I562" s="98"/>
      <c r="J562" s="98"/>
      <c r="K562" s="98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  <c r="AA562" s="98"/>
      <c r="AB562" s="98"/>
      <c r="AC562" s="98"/>
      <c r="AD562" s="98"/>
      <c r="AE562" s="98"/>
      <c r="AF562" s="98"/>
      <c r="AG562" s="98"/>
    </row>
    <row r="563" ht="15.75" customHeight="1">
      <c r="A563" s="98"/>
      <c r="B563" s="98"/>
      <c r="C563" s="98"/>
      <c r="D563" s="98"/>
      <c r="E563" s="98"/>
      <c r="F563" s="98"/>
      <c r="G563" s="98"/>
      <c r="H563" s="98"/>
      <c r="I563" s="98"/>
      <c r="J563" s="98"/>
      <c r="K563" s="98"/>
      <c r="L563" s="98"/>
      <c r="M563" s="98"/>
      <c r="N563" s="98"/>
      <c r="O563" s="98"/>
      <c r="P563" s="98"/>
      <c r="Q563" s="98"/>
      <c r="R563" s="98"/>
      <c r="S563" s="98"/>
      <c r="T563" s="98"/>
      <c r="U563" s="98"/>
      <c r="V563" s="98"/>
      <c r="W563" s="98"/>
      <c r="X563" s="98"/>
      <c r="Y563" s="98"/>
      <c r="Z563" s="98"/>
      <c r="AA563" s="98"/>
      <c r="AB563" s="98"/>
      <c r="AC563" s="98"/>
      <c r="AD563" s="98"/>
      <c r="AE563" s="98"/>
      <c r="AF563" s="98"/>
      <c r="AG563" s="98"/>
    </row>
    <row r="564" ht="15.75" customHeight="1">
      <c r="A564" s="98"/>
      <c r="B564" s="98"/>
      <c r="C564" s="98"/>
      <c r="D564" s="98"/>
      <c r="E564" s="98"/>
      <c r="F564" s="98"/>
      <c r="G564" s="98"/>
      <c r="H564" s="98"/>
      <c r="I564" s="98"/>
      <c r="J564" s="98"/>
      <c r="K564" s="98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  <c r="AA564" s="98"/>
      <c r="AB564" s="98"/>
      <c r="AC564" s="98"/>
      <c r="AD564" s="98"/>
      <c r="AE564" s="98"/>
      <c r="AF564" s="98"/>
      <c r="AG564" s="98"/>
    </row>
    <row r="565" ht="15.75" customHeight="1">
      <c r="A565" s="98"/>
      <c r="B565" s="98"/>
      <c r="C565" s="98"/>
      <c r="D565" s="98"/>
      <c r="E565" s="98"/>
      <c r="F565" s="98"/>
      <c r="G565" s="98"/>
      <c r="H565" s="98"/>
      <c r="I565" s="98"/>
      <c r="J565" s="98"/>
      <c r="K565" s="98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  <c r="AA565" s="98"/>
      <c r="AB565" s="98"/>
      <c r="AC565" s="98"/>
      <c r="AD565" s="98"/>
      <c r="AE565" s="98"/>
      <c r="AF565" s="98"/>
      <c r="AG565" s="98"/>
    </row>
    <row r="566" ht="15.75" customHeight="1">
      <c r="A566" s="98"/>
      <c r="B566" s="98"/>
      <c r="C566" s="98"/>
      <c r="D566" s="98"/>
      <c r="E566" s="98"/>
      <c r="F566" s="98"/>
      <c r="G566" s="98"/>
      <c r="H566" s="98"/>
      <c r="I566" s="98"/>
      <c r="J566" s="98"/>
      <c r="K566" s="98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  <c r="AA566" s="98"/>
      <c r="AB566" s="98"/>
      <c r="AC566" s="98"/>
      <c r="AD566" s="98"/>
      <c r="AE566" s="98"/>
      <c r="AF566" s="98"/>
      <c r="AG566" s="98"/>
    </row>
    <row r="567" ht="15.75" customHeight="1">
      <c r="A567" s="98"/>
      <c r="B567" s="98"/>
      <c r="C567" s="98"/>
      <c r="D567" s="98"/>
      <c r="E567" s="98"/>
      <c r="F567" s="98"/>
      <c r="G567" s="98"/>
      <c r="H567" s="98"/>
      <c r="I567" s="98"/>
      <c r="J567" s="98"/>
      <c r="K567" s="98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  <c r="AA567" s="98"/>
      <c r="AB567" s="98"/>
      <c r="AC567" s="98"/>
      <c r="AD567" s="98"/>
      <c r="AE567" s="98"/>
      <c r="AF567" s="98"/>
      <c r="AG567" s="98"/>
    </row>
    <row r="568" ht="15.75" customHeight="1">
      <c r="A568" s="98"/>
      <c r="B568" s="98"/>
      <c r="C568" s="98"/>
      <c r="D568" s="98"/>
      <c r="E568" s="98"/>
      <c r="F568" s="98"/>
      <c r="G568" s="98"/>
      <c r="H568" s="98"/>
      <c r="I568" s="98"/>
      <c r="J568" s="98"/>
      <c r="K568" s="98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  <c r="AA568" s="98"/>
      <c r="AB568" s="98"/>
      <c r="AC568" s="98"/>
      <c r="AD568" s="98"/>
      <c r="AE568" s="98"/>
      <c r="AF568" s="98"/>
      <c r="AG568" s="98"/>
    </row>
    <row r="569" ht="15.75" customHeight="1">
      <c r="A569" s="98"/>
      <c r="B569" s="98"/>
      <c r="C569" s="98"/>
      <c r="D569" s="98"/>
      <c r="E569" s="98"/>
      <c r="F569" s="98"/>
      <c r="G569" s="98"/>
      <c r="H569" s="98"/>
      <c r="I569" s="98"/>
      <c r="J569" s="98"/>
      <c r="K569" s="98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  <c r="AA569" s="98"/>
      <c r="AB569" s="98"/>
      <c r="AC569" s="98"/>
      <c r="AD569" s="98"/>
      <c r="AE569" s="98"/>
      <c r="AF569" s="98"/>
      <c r="AG569" s="98"/>
    </row>
    <row r="570" ht="15.75" customHeight="1">
      <c r="A570" s="98"/>
      <c r="B570" s="98"/>
      <c r="C570" s="98"/>
      <c r="D570" s="98"/>
      <c r="E570" s="98"/>
      <c r="F570" s="98"/>
      <c r="G570" s="98"/>
      <c r="H570" s="98"/>
      <c r="I570" s="98"/>
      <c r="J570" s="98"/>
      <c r="K570" s="98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  <c r="AA570" s="98"/>
      <c r="AB570" s="98"/>
      <c r="AC570" s="98"/>
      <c r="AD570" s="98"/>
      <c r="AE570" s="98"/>
      <c r="AF570" s="98"/>
      <c r="AG570" s="98"/>
    </row>
    <row r="571" ht="15.75" customHeight="1">
      <c r="A571" s="98"/>
      <c r="B571" s="98"/>
      <c r="C571" s="98"/>
      <c r="D571" s="98"/>
      <c r="E571" s="98"/>
      <c r="F571" s="98"/>
      <c r="G571" s="98"/>
      <c r="H571" s="98"/>
      <c r="I571" s="98"/>
      <c r="J571" s="98"/>
      <c r="K571" s="98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  <c r="AA571" s="98"/>
      <c r="AB571" s="98"/>
      <c r="AC571" s="98"/>
      <c r="AD571" s="98"/>
      <c r="AE571" s="98"/>
      <c r="AF571" s="98"/>
      <c r="AG571" s="98"/>
    </row>
    <row r="572" ht="15.75" customHeight="1">
      <c r="A572" s="98"/>
      <c r="B572" s="98"/>
      <c r="C572" s="98"/>
      <c r="D572" s="98"/>
      <c r="E572" s="98"/>
      <c r="F572" s="98"/>
      <c r="G572" s="98"/>
      <c r="H572" s="98"/>
      <c r="I572" s="98"/>
      <c r="J572" s="98"/>
      <c r="K572" s="98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  <c r="AA572" s="98"/>
      <c r="AB572" s="98"/>
      <c r="AC572" s="98"/>
      <c r="AD572" s="98"/>
      <c r="AE572" s="98"/>
      <c r="AF572" s="98"/>
      <c r="AG572" s="98"/>
    </row>
    <row r="573" ht="15.75" customHeight="1">
      <c r="A573" s="98"/>
      <c r="B573" s="98"/>
      <c r="C573" s="98"/>
      <c r="D573" s="98"/>
      <c r="E573" s="98"/>
      <c r="F573" s="98"/>
      <c r="G573" s="98"/>
      <c r="H573" s="98"/>
      <c r="I573" s="98"/>
      <c r="J573" s="98"/>
      <c r="K573" s="98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  <c r="AA573" s="98"/>
      <c r="AB573" s="98"/>
      <c r="AC573" s="98"/>
      <c r="AD573" s="98"/>
      <c r="AE573" s="98"/>
      <c r="AF573" s="98"/>
      <c r="AG573" s="98"/>
    </row>
    <row r="574" ht="15.75" customHeight="1">
      <c r="A574" s="98"/>
      <c r="B574" s="98"/>
      <c r="C574" s="98"/>
      <c r="D574" s="98"/>
      <c r="E574" s="98"/>
      <c r="F574" s="98"/>
      <c r="G574" s="98"/>
      <c r="H574" s="98"/>
      <c r="I574" s="98"/>
      <c r="J574" s="98"/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</row>
    <row r="575" ht="15.75" customHeight="1">
      <c r="A575" s="98"/>
      <c r="B575" s="98"/>
      <c r="C575" s="98"/>
      <c r="D575" s="98"/>
      <c r="E575" s="98"/>
      <c r="F575" s="98"/>
      <c r="G575" s="98"/>
      <c r="H575" s="98"/>
      <c r="I575" s="98"/>
      <c r="J575" s="98"/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</row>
    <row r="576" ht="15.75" customHeight="1">
      <c r="A576" s="98"/>
      <c r="B576" s="98"/>
      <c r="C576" s="98"/>
      <c r="D576" s="98"/>
      <c r="E576" s="98"/>
      <c r="F576" s="98"/>
      <c r="G576" s="98"/>
      <c r="H576" s="98"/>
      <c r="I576" s="98"/>
      <c r="J576" s="98"/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</row>
    <row r="577" ht="15.75" customHeight="1">
      <c r="A577" s="98"/>
      <c r="B577" s="98"/>
      <c r="C577" s="98"/>
      <c r="D577" s="98"/>
      <c r="E577" s="98"/>
      <c r="F577" s="98"/>
      <c r="G577" s="98"/>
      <c r="H577" s="98"/>
      <c r="I577" s="98"/>
      <c r="J577" s="98"/>
      <c r="K577" s="98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  <c r="AA577" s="98"/>
      <c r="AB577" s="98"/>
      <c r="AC577" s="98"/>
      <c r="AD577" s="98"/>
      <c r="AE577" s="98"/>
      <c r="AF577" s="98"/>
      <c r="AG577" s="98"/>
    </row>
    <row r="578" ht="15.75" customHeight="1">
      <c r="A578" s="98"/>
      <c r="B578" s="98"/>
      <c r="C578" s="98"/>
      <c r="D578" s="98"/>
      <c r="E578" s="98"/>
      <c r="F578" s="98"/>
      <c r="G578" s="98"/>
      <c r="H578" s="98"/>
      <c r="I578" s="98"/>
      <c r="J578" s="98"/>
      <c r="K578" s="98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  <c r="AA578" s="98"/>
      <c r="AB578" s="98"/>
      <c r="AC578" s="98"/>
      <c r="AD578" s="98"/>
      <c r="AE578" s="98"/>
      <c r="AF578" s="98"/>
      <c r="AG578" s="98"/>
    </row>
    <row r="579" ht="15.75" customHeight="1">
      <c r="A579" s="98"/>
      <c r="B579" s="98"/>
      <c r="C579" s="98"/>
      <c r="D579" s="98"/>
      <c r="E579" s="98"/>
      <c r="F579" s="98"/>
      <c r="G579" s="98"/>
      <c r="H579" s="98"/>
      <c r="I579" s="98"/>
      <c r="J579" s="98"/>
      <c r="K579" s="98"/>
      <c r="L579" s="98"/>
      <c r="M579" s="98"/>
      <c r="N579" s="98"/>
      <c r="O579" s="98"/>
      <c r="P579" s="98"/>
      <c r="Q579" s="98"/>
      <c r="R579" s="98"/>
      <c r="S579" s="98"/>
      <c r="T579" s="98"/>
      <c r="U579" s="98"/>
      <c r="V579" s="98"/>
      <c r="W579" s="98"/>
      <c r="X579" s="98"/>
      <c r="Y579" s="98"/>
      <c r="Z579" s="98"/>
      <c r="AA579" s="98"/>
      <c r="AB579" s="98"/>
      <c r="AC579" s="98"/>
      <c r="AD579" s="98"/>
      <c r="AE579" s="98"/>
      <c r="AF579" s="98"/>
      <c r="AG579" s="98"/>
    </row>
    <row r="580" ht="15.75" customHeight="1">
      <c r="A580" s="98"/>
      <c r="B580" s="98"/>
      <c r="C580" s="98"/>
      <c r="D580" s="98"/>
      <c r="E580" s="98"/>
      <c r="F580" s="98"/>
      <c r="G580" s="98"/>
      <c r="H580" s="98"/>
      <c r="I580" s="98"/>
      <c r="J580" s="98"/>
      <c r="K580" s="98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  <c r="AA580" s="98"/>
      <c r="AB580" s="98"/>
      <c r="AC580" s="98"/>
      <c r="AD580" s="98"/>
      <c r="AE580" s="98"/>
      <c r="AF580" s="98"/>
      <c r="AG580" s="98"/>
    </row>
    <row r="581" ht="15.75" customHeight="1">
      <c r="A581" s="98"/>
      <c r="B581" s="98"/>
      <c r="C581" s="98"/>
      <c r="D581" s="98"/>
      <c r="E581" s="98"/>
      <c r="F581" s="98"/>
      <c r="G581" s="98"/>
      <c r="H581" s="98"/>
      <c r="I581" s="98"/>
      <c r="J581" s="98"/>
      <c r="K581" s="98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  <c r="AA581" s="98"/>
      <c r="AB581" s="98"/>
      <c r="AC581" s="98"/>
      <c r="AD581" s="98"/>
      <c r="AE581" s="98"/>
      <c r="AF581" s="98"/>
      <c r="AG581" s="98"/>
    </row>
    <row r="582" ht="15.75" customHeight="1">
      <c r="A582" s="98"/>
      <c r="B582" s="98"/>
      <c r="C582" s="98"/>
      <c r="D582" s="98"/>
      <c r="E582" s="98"/>
      <c r="F582" s="98"/>
      <c r="G582" s="98"/>
      <c r="H582" s="98"/>
      <c r="I582" s="98"/>
      <c r="J582" s="98"/>
      <c r="K582" s="98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  <c r="AA582" s="98"/>
      <c r="AB582" s="98"/>
      <c r="AC582" s="98"/>
      <c r="AD582" s="98"/>
      <c r="AE582" s="98"/>
      <c r="AF582" s="98"/>
      <c r="AG582" s="98"/>
    </row>
    <row r="583" ht="15.75" customHeight="1">
      <c r="A583" s="98"/>
      <c r="B583" s="98"/>
      <c r="C583" s="98"/>
      <c r="D583" s="98"/>
      <c r="E583" s="98"/>
      <c r="F583" s="98"/>
      <c r="G583" s="98"/>
      <c r="H583" s="98"/>
      <c r="I583" s="98"/>
      <c r="J583" s="98"/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</row>
    <row r="584" ht="15.75" customHeight="1">
      <c r="A584" s="98"/>
      <c r="B584" s="98"/>
      <c r="C584" s="98"/>
      <c r="D584" s="98"/>
      <c r="E584" s="98"/>
      <c r="F584" s="98"/>
      <c r="G584" s="98"/>
      <c r="H584" s="98"/>
      <c r="I584" s="98"/>
      <c r="J584" s="98"/>
      <c r="K584" s="98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</row>
    <row r="585" ht="15.75" customHeight="1">
      <c r="A585" s="98"/>
      <c r="B585" s="98"/>
      <c r="C585" s="98"/>
      <c r="D585" s="98"/>
      <c r="E585" s="98"/>
      <c r="F585" s="98"/>
      <c r="G585" s="98"/>
      <c r="H585" s="98"/>
      <c r="I585" s="98"/>
      <c r="J585" s="98"/>
      <c r="K585" s="98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</row>
    <row r="586" ht="15.75" customHeight="1">
      <c r="A586" s="98"/>
      <c r="B586" s="98"/>
      <c r="C586" s="98"/>
      <c r="D586" s="98"/>
      <c r="E586" s="98"/>
      <c r="F586" s="98"/>
      <c r="G586" s="98"/>
      <c r="H586" s="98"/>
      <c r="I586" s="98"/>
      <c r="J586" s="98"/>
      <c r="K586" s="98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</row>
    <row r="587" ht="15.75" customHeight="1">
      <c r="A587" s="98"/>
      <c r="B587" s="98"/>
      <c r="C587" s="98"/>
      <c r="D587" s="98"/>
      <c r="E587" s="98"/>
      <c r="F587" s="98"/>
      <c r="G587" s="98"/>
      <c r="H587" s="98"/>
      <c r="I587" s="98"/>
      <c r="J587" s="98"/>
      <c r="K587" s="98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</row>
    <row r="588" ht="15.75" customHeight="1">
      <c r="A588" s="98"/>
      <c r="B588" s="98"/>
      <c r="C588" s="98"/>
      <c r="D588" s="98"/>
      <c r="E588" s="98"/>
      <c r="F588" s="98"/>
      <c r="G588" s="98"/>
      <c r="H588" s="98"/>
      <c r="I588" s="98"/>
      <c r="J588" s="98"/>
      <c r="K588" s="98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</row>
    <row r="589" ht="15.75" customHeight="1">
      <c r="A589" s="98"/>
      <c r="B589" s="98"/>
      <c r="C589" s="98"/>
      <c r="D589" s="98"/>
      <c r="E589" s="98"/>
      <c r="F589" s="98"/>
      <c r="G589" s="98"/>
      <c r="H589" s="98"/>
      <c r="I589" s="98"/>
      <c r="J589" s="98"/>
      <c r="K589" s="98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</row>
    <row r="590" ht="15.75" customHeight="1">
      <c r="A590" s="98"/>
      <c r="B590" s="98"/>
      <c r="C590" s="98"/>
      <c r="D590" s="98"/>
      <c r="E590" s="98"/>
      <c r="F590" s="98"/>
      <c r="G590" s="98"/>
      <c r="H590" s="98"/>
      <c r="I590" s="98"/>
      <c r="J590" s="98"/>
      <c r="K590" s="98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</row>
    <row r="591" ht="15.75" customHeight="1">
      <c r="A591" s="98"/>
      <c r="B591" s="98"/>
      <c r="C591" s="98"/>
      <c r="D591" s="98"/>
      <c r="E591" s="98"/>
      <c r="F591" s="98"/>
      <c r="G591" s="98"/>
      <c r="H591" s="98"/>
      <c r="I591" s="98"/>
      <c r="J591" s="98"/>
      <c r="K591" s="98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</row>
    <row r="592" ht="15.75" customHeight="1">
      <c r="A592" s="98"/>
      <c r="B592" s="98"/>
      <c r="C592" s="98"/>
      <c r="D592" s="98"/>
      <c r="E592" s="98"/>
      <c r="F592" s="98"/>
      <c r="G592" s="98"/>
      <c r="H592" s="98"/>
      <c r="I592" s="98"/>
      <c r="J592" s="98"/>
      <c r="K592" s="98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</row>
    <row r="593" ht="15.75" customHeight="1">
      <c r="A593" s="98"/>
      <c r="B593" s="98"/>
      <c r="C593" s="98"/>
      <c r="D593" s="98"/>
      <c r="E593" s="98"/>
      <c r="F593" s="98"/>
      <c r="G593" s="98"/>
      <c r="H593" s="98"/>
      <c r="I593" s="98"/>
      <c r="J593" s="98"/>
      <c r="K593" s="98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</row>
    <row r="594" ht="15.75" customHeight="1">
      <c r="A594" s="98"/>
      <c r="B594" s="98"/>
      <c r="C594" s="98"/>
      <c r="D594" s="98"/>
      <c r="E594" s="98"/>
      <c r="F594" s="98"/>
      <c r="G594" s="98"/>
      <c r="H594" s="98"/>
      <c r="I594" s="98"/>
      <c r="J594" s="98"/>
      <c r="K594" s="98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</row>
    <row r="595" ht="15.75" customHeight="1">
      <c r="A595" s="98"/>
      <c r="B595" s="98"/>
      <c r="C595" s="98"/>
      <c r="D595" s="98"/>
      <c r="E595" s="98"/>
      <c r="F595" s="98"/>
      <c r="G595" s="98"/>
      <c r="H595" s="98"/>
      <c r="I595" s="98"/>
      <c r="J595" s="98"/>
      <c r="K595" s="98"/>
      <c r="L595" s="98"/>
      <c r="M595" s="98"/>
      <c r="N595" s="98"/>
      <c r="O595" s="98"/>
      <c r="P595" s="98"/>
      <c r="Q595" s="98"/>
      <c r="R595" s="98"/>
      <c r="S595" s="98"/>
      <c r="T595" s="98"/>
      <c r="U595" s="98"/>
      <c r="V595" s="98"/>
      <c r="W595" s="98"/>
      <c r="X595" s="98"/>
      <c r="Y595" s="98"/>
      <c r="Z595" s="98"/>
      <c r="AA595" s="98"/>
      <c r="AB595" s="98"/>
      <c r="AC595" s="98"/>
      <c r="AD595" s="98"/>
      <c r="AE595" s="98"/>
      <c r="AF595" s="98"/>
      <c r="AG595" s="98"/>
    </row>
    <row r="596" ht="15.75" customHeight="1">
      <c r="A596" s="98"/>
      <c r="B596" s="98"/>
      <c r="C596" s="98"/>
      <c r="D596" s="98"/>
      <c r="E596" s="98"/>
      <c r="F596" s="98"/>
      <c r="G596" s="98"/>
      <c r="H596" s="98"/>
      <c r="I596" s="98"/>
      <c r="J596" s="98"/>
      <c r="K596" s="98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</row>
    <row r="597" ht="15.75" customHeight="1">
      <c r="A597" s="98"/>
      <c r="B597" s="98"/>
      <c r="C597" s="98"/>
      <c r="D597" s="98"/>
      <c r="E597" s="98"/>
      <c r="F597" s="98"/>
      <c r="G597" s="98"/>
      <c r="H597" s="98"/>
      <c r="I597" s="98"/>
      <c r="J597" s="98"/>
      <c r="K597" s="98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</row>
    <row r="598" ht="15.75" customHeight="1">
      <c r="A598" s="98"/>
      <c r="B598" s="98"/>
      <c r="C598" s="98"/>
      <c r="D598" s="98"/>
      <c r="E598" s="98"/>
      <c r="F598" s="98"/>
      <c r="G598" s="98"/>
      <c r="H598" s="98"/>
      <c r="I598" s="98"/>
      <c r="J598" s="98"/>
      <c r="K598" s="98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</row>
    <row r="599" ht="15.75" customHeight="1">
      <c r="A599" s="98"/>
      <c r="B599" s="98"/>
      <c r="C599" s="98"/>
      <c r="D599" s="98"/>
      <c r="E599" s="98"/>
      <c r="F599" s="98"/>
      <c r="G599" s="98"/>
      <c r="H599" s="98"/>
      <c r="I599" s="98"/>
      <c r="J599" s="98"/>
      <c r="K599" s="98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</row>
    <row r="600" ht="15.75" customHeight="1">
      <c r="A600" s="98"/>
      <c r="B600" s="98"/>
      <c r="C600" s="98"/>
      <c r="D600" s="98"/>
      <c r="E600" s="98"/>
      <c r="F600" s="98"/>
      <c r="G600" s="98"/>
      <c r="H600" s="98"/>
      <c r="I600" s="98"/>
      <c r="J600" s="98"/>
      <c r="K600" s="98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</row>
    <row r="601" ht="15.75" customHeight="1">
      <c r="A601" s="98"/>
      <c r="B601" s="98"/>
      <c r="C601" s="98"/>
      <c r="D601" s="98"/>
      <c r="E601" s="98"/>
      <c r="F601" s="98"/>
      <c r="G601" s="98"/>
      <c r="H601" s="98"/>
      <c r="I601" s="98"/>
      <c r="J601" s="98"/>
      <c r="K601" s="98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</row>
    <row r="602" ht="15.75" customHeight="1">
      <c r="A602" s="98"/>
      <c r="B602" s="98"/>
      <c r="C602" s="98"/>
      <c r="D602" s="98"/>
      <c r="E602" s="98"/>
      <c r="F602" s="98"/>
      <c r="G602" s="98"/>
      <c r="H602" s="98"/>
      <c r="I602" s="98"/>
      <c r="J602" s="98"/>
      <c r="K602" s="98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</row>
    <row r="603" ht="15.75" customHeight="1">
      <c r="A603" s="98"/>
      <c r="B603" s="98"/>
      <c r="C603" s="98"/>
      <c r="D603" s="98"/>
      <c r="E603" s="98"/>
      <c r="F603" s="98"/>
      <c r="G603" s="98"/>
      <c r="H603" s="98"/>
      <c r="I603" s="98"/>
      <c r="J603" s="98"/>
      <c r="K603" s="98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</row>
    <row r="604" ht="15.75" customHeight="1">
      <c r="A604" s="98"/>
      <c r="B604" s="98"/>
      <c r="C604" s="98"/>
      <c r="D604" s="98"/>
      <c r="E604" s="98"/>
      <c r="F604" s="98"/>
      <c r="G604" s="98"/>
      <c r="H604" s="98"/>
      <c r="I604" s="98"/>
      <c r="J604" s="98"/>
      <c r="K604" s="98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</row>
    <row r="605" ht="15.75" customHeight="1">
      <c r="A605" s="98"/>
      <c r="B605" s="98"/>
      <c r="C605" s="98"/>
      <c r="D605" s="98"/>
      <c r="E605" s="98"/>
      <c r="F605" s="98"/>
      <c r="G605" s="98"/>
      <c r="H605" s="98"/>
      <c r="I605" s="98"/>
      <c r="J605" s="98"/>
      <c r="K605" s="98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</row>
    <row r="606" ht="15.75" customHeight="1">
      <c r="A606" s="98"/>
      <c r="B606" s="98"/>
      <c r="C606" s="98"/>
      <c r="D606" s="98"/>
      <c r="E606" s="98"/>
      <c r="F606" s="98"/>
      <c r="G606" s="98"/>
      <c r="H606" s="98"/>
      <c r="I606" s="98"/>
      <c r="J606" s="98"/>
      <c r="K606" s="98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</row>
    <row r="607" ht="15.75" customHeight="1">
      <c r="A607" s="98"/>
      <c r="B607" s="98"/>
      <c r="C607" s="98"/>
      <c r="D607" s="98"/>
      <c r="E607" s="98"/>
      <c r="F607" s="98"/>
      <c r="G607" s="98"/>
      <c r="H607" s="98"/>
      <c r="I607" s="98"/>
      <c r="J607" s="98"/>
      <c r="K607" s="98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</row>
    <row r="608" ht="15.75" customHeight="1">
      <c r="A608" s="98"/>
      <c r="B608" s="98"/>
      <c r="C608" s="98"/>
      <c r="D608" s="98"/>
      <c r="E608" s="98"/>
      <c r="F608" s="98"/>
      <c r="G608" s="98"/>
      <c r="H608" s="98"/>
      <c r="I608" s="98"/>
      <c r="J608" s="98"/>
      <c r="K608" s="98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</row>
    <row r="609" ht="15.75" customHeight="1">
      <c r="A609" s="98"/>
      <c r="B609" s="98"/>
      <c r="C609" s="98"/>
      <c r="D609" s="98"/>
      <c r="E609" s="98"/>
      <c r="F609" s="98"/>
      <c r="G609" s="98"/>
      <c r="H609" s="98"/>
      <c r="I609" s="98"/>
      <c r="J609" s="98"/>
      <c r="K609" s="98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</row>
    <row r="610" ht="15.75" customHeight="1">
      <c r="A610" s="98"/>
      <c r="B610" s="98"/>
      <c r="C610" s="98"/>
      <c r="D610" s="98"/>
      <c r="E610" s="98"/>
      <c r="F610" s="98"/>
      <c r="G610" s="98"/>
      <c r="H610" s="98"/>
      <c r="I610" s="98"/>
      <c r="J610" s="98"/>
      <c r="K610" s="98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</row>
    <row r="611" ht="15.75" customHeight="1">
      <c r="A611" s="98"/>
      <c r="B611" s="98"/>
      <c r="C611" s="98"/>
      <c r="D611" s="98"/>
      <c r="E611" s="98"/>
      <c r="F611" s="98"/>
      <c r="G611" s="98"/>
      <c r="H611" s="98"/>
      <c r="I611" s="98"/>
      <c r="J611" s="98"/>
      <c r="K611" s="98"/>
      <c r="L611" s="98"/>
      <c r="M611" s="98"/>
      <c r="N611" s="98"/>
      <c r="O611" s="98"/>
      <c r="P611" s="98"/>
      <c r="Q611" s="98"/>
      <c r="R611" s="98"/>
      <c r="S611" s="98"/>
      <c r="T611" s="98"/>
      <c r="U611" s="98"/>
      <c r="V611" s="98"/>
      <c r="W611" s="98"/>
      <c r="X611" s="98"/>
      <c r="Y611" s="98"/>
      <c r="Z611" s="98"/>
      <c r="AA611" s="98"/>
      <c r="AB611" s="98"/>
      <c r="AC611" s="98"/>
      <c r="AD611" s="98"/>
      <c r="AE611" s="98"/>
      <c r="AF611" s="98"/>
      <c r="AG611" s="98"/>
    </row>
    <row r="612" ht="15.75" customHeight="1">
      <c r="A612" s="98"/>
      <c r="B612" s="98"/>
      <c r="C612" s="98"/>
      <c r="D612" s="98"/>
      <c r="E612" s="98"/>
      <c r="F612" s="98"/>
      <c r="G612" s="98"/>
      <c r="H612" s="98"/>
      <c r="I612" s="98"/>
      <c r="J612" s="98"/>
      <c r="K612" s="98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</row>
    <row r="613" ht="15.75" customHeight="1">
      <c r="A613" s="98"/>
      <c r="B613" s="98"/>
      <c r="C613" s="98"/>
      <c r="D613" s="98"/>
      <c r="E613" s="98"/>
      <c r="F613" s="98"/>
      <c r="G613" s="98"/>
      <c r="H613" s="98"/>
      <c r="I613" s="98"/>
      <c r="J613" s="98"/>
      <c r="K613" s="98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</row>
    <row r="614" ht="15.75" customHeight="1">
      <c r="A614" s="98"/>
      <c r="B614" s="98"/>
      <c r="C614" s="98"/>
      <c r="D614" s="98"/>
      <c r="E614" s="98"/>
      <c r="F614" s="98"/>
      <c r="G614" s="98"/>
      <c r="H614" s="98"/>
      <c r="I614" s="98"/>
      <c r="J614" s="98"/>
      <c r="K614" s="98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</row>
    <row r="615" ht="15.75" customHeight="1">
      <c r="A615" s="98"/>
      <c r="B615" s="98"/>
      <c r="C615" s="98"/>
      <c r="D615" s="98"/>
      <c r="E615" s="98"/>
      <c r="F615" s="98"/>
      <c r="G615" s="98"/>
      <c r="H615" s="98"/>
      <c r="I615" s="98"/>
      <c r="J615" s="98"/>
      <c r="K615" s="98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</row>
    <row r="616" ht="15.75" customHeight="1">
      <c r="A616" s="98"/>
      <c r="B616" s="98"/>
      <c r="C616" s="98"/>
      <c r="D616" s="98"/>
      <c r="E616" s="98"/>
      <c r="F616" s="98"/>
      <c r="G616" s="98"/>
      <c r="H616" s="98"/>
      <c r="I616" s="98"/>
      <c r="J616" s="98"/>
      <c r="K616" s="98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</row>
    <row r="617" ht="15.75" customHeight="1">
      <c r="A617" s="98"/>
      <c r="B617" s="98"/>
      <c r="C617" s="98"/>
      <c r="D617" s="98"/>
      <c r="E617" s="98"/>
      <c r="F617" s="98"/>
      <c r="G617" s="98"/>
      <c r="H617" s="98"/>
      <c r="I617" s="98"/>
      <c r="J617" s="98"/>
      <c r="K617" s="98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</row>
    <row r="618" ht="15.75" customHeight="1">
      <c r="A618" s="98"/>
      <c r="B618" s="98"/>
      <c r="C618" s="98"/>
      <c r="D618" s="98"/>
      <c r="E618" s="98"/>
      <c r="F618" s="98"/>
      <c r="G618" s="98"/>
      <c r="H618" s="98"/>
      <c r="I618" s="98"/>
      <c r="J618" s="98"/>
      <c r="K618" s="98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</row>
    <row r="619" ht="15.75" customHeight="1">
      <c r="A619" s="98"/>
      <c r="B619" s="98"/>
      <c r="C619" s="98"/>
      <c r="D619" s="98"/>
      <c r="E619" s="98"/>
      <c r="F619" s="98"/>
      <c r="G619" s="98"/>
      <c r="H619" s="98"/>
      <c r="I619" s="98"/>
      <c r="J619" s="98"/>
      <c r="K619" s="98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</row>
    <row r="620" ht="15.75" customHeight="1">
      <c r="A620" s="98"/>
      <c r="B620" s="98"/>
      <c r="C620" s="98"/>
      <c r="D620" s="98"/>
      <c r="E620" s="98"/>
      <c r="F620" s="98"/>
      <c r="G620" s="98"/>
      <c r="H620" s="98"/>
      <c r="I620" s="98"/>
      <c r="J620" s="98"/>
      <c r="K620" s="98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</row>
    <row r="621" ht="15.75" customHeight="1">
      <c r="A621" s="98"/>
      <c r="B621" s="98"/>
      <c r="C621" s="98"/>
      <c r="D621" s="98"/>
      <c r="E621" s="98"/>
      <c r="F621" s="98"/>
      <c r="G621" s="98"/>
      <c r="H621" s="98"/>
      <c r="I621" s="98"/>
      <c r="J621" s="98"/>
      <c r="K621" s="98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</row>
    <row r="622" ht="15.75" customHeight="1">
      <c r="A622" s="98"/>
      <c r="B622" s="98"/>
      <c r="C622" s="98"/>
      <c r="D622" s="98"/>
      <c r="E622" s="98"/>
      <c r="F622" s="98"/>
      <c r="G622" s="98"/>
      <c r="H622" s="98"/>
      <c r="I622" s="98"/>
      <c r="J622" s="98"/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</row>
    <row r="623" ht="15.75" customHeight="1">
      <c r="A623" s="98"/>
      <c r="B623" s="98"/>
      <c r="C623" s="98"/>
      <c r="D623" s="98"/>
      <c r="E623" s="98"/>
      <c r="F623" s="98"/>
      <c r="G623" s="98"/>
      <c r="H623" s="98"/>
      <c r="I623" s="98"/>
      <c r="J623" s="98"/>
      <c r="K623" s="98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</row>
    <row r="624" ht="15.75" customHeight="1">
      <c r="A624" s="98"/>
      <c r="B624" s="98"/>
      <c r="C624" s="98"/>
      <c r="D624" s="98"/>
      <c r="E624" s="98"/>
      <c r="F624" s="98"/>
      <c r="G624" s="98"/>
      <c r="H624" s="98"/>
      <c r="I624" s="98"/>
      <c r="J624" s="98"/>
      <c r="K624" s="98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</row>
    <row r="625" ht="15.75" customHeight="1">
      <c r="A625" s="98"/>
      <c r="B625" s="98"/>
      <c r="C625" s="98"/>
      <c r="D625" s="98"/>
      <c r="E625" s="98"/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</row>
    <row r="626" ht="15.75" customHeight="1">
      <c r="A626" s="98"/>
      <c r="B626" s="98"/>
      <c r="C626" s="98"/>
      <c r="D626" s="98"/>
      <c r="E626" s="98"/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</row>
    <row r="627" ht="15.75" customHeight="1">
      <c r="A627" s="98"/>
      <c r="B627" s="98"/>
      <c r="C627" s="98"/>
      <c r="D627" s="98"/>
      <c r="E627" s="98"/>
      <c r="F627" s="98"/>
      <c r="G627" s="98"/>
      <c r="H627" s="98"/>
      <c r="I627" s="98"/>
      <c r="J627" s="98"/>
      <c r="K627" s="98"/>
      <c r="L627" s="98"/>
      <c r="M627" s="98"/>
      <c r="N627" s="98"/>
      <c r="O627" s="98"/>
      <c r="P627" s="98"/>
      <c r="Q627" s="98"/>
      <c r="R627" s="98"/>
      <c r="S627" s="98"/>
      <c r="T627" s="98"/>
      <c r="U627" s="98"/>
      <c r="V627" s="98"/>
      <c r="W627" s="98"/>
      <c r="X627" s="98"/>
      <c r="Y627" s="98"/>
      <c r="Z627" s="98"/>
      <c r="AA627" s="98"/>
      <c r="AB627" s="98"/>
      <c r="AC627" s="98"/>
      <c r="AD627" s="98"/>
      <c r="AE627" s="98"/>
      <c r="AF627" s="98"/>
      <c r="AG627" s="98"/>
    </row>
    <row r="628" ht="15.75" customHeight="1">
      <c r="A628" s="98"/>
      <c r="B628" s="98"/>
      <c r="C628" s="98"/>
      <c r="D628" s="98"/>
      <c r="E628" s="98"/>
      <c r="F628" s="98"/>
      <c r="G628" s="98"/>
      <c r="H628" s="98"/>
      <c r="I628" s="98"/>
      <c r="J628" s="98"/>
      <c r="K628" s="98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  <c r="AA628" s="98"/>
      <c r="AB628" s="98"/>
      <c r="AC628" s="98"/>
      <c r="AD628" s="98"/>
      <c r="AE628" s="98"/>
      <c r="AF628" s="98"/>
      <c r="AG628" s="98"/>
    </row>
    <row r="629" ht="15.75" customHeight="1">
      <c r="A629" s="98"/>
      <c r="B629" s="98"/>
      <c r="C629" s="98"/>
      <c r="D629" s="98"/>
      <c r="E629" s="98"/>
      <c r="F629" s="98"/>
      <c r="G629" s="98"/>
      <c r="H629" s="98"/>
      <c r="I629" s="98"/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</row>
    <row r="630" ht="15.75" customHeight="1">
      <c r="A630" s="98"/>
      <c r="B630" s="98"/>
      <c r="C630" s="98"/>
      <c r="D630" s="98"/>
      <c r="E630" s="98"/>
      <c r="F630" s="98"/>
      <c r="G630" s="98"/>
      <c r="H630" s="98"/>
      <c r="I630" s="98"/>
      <c r="J630" s="98"/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</row>
    <row r="631" ht="15.75" customHeight="1">
      <c r="A631" s="98"/>
      <c r="B631" s="98"/>
      <c r="C631" s="98"/>
      <c r="D631" s="98"/>
      <c r="E631" s="98"/>
      <c r="F631" s="98"/>
      <c r="G631" s="98"/>
      <c r="H631" s="98"/>
      <c r="I631" s="98"/>
      <c r="J631" s="98"/>
      <c r="K631" s="98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</row>
    <row r="632" ht="15.75" customHeight="1">
      <c r="A632" s="98"/>
      <c r="B632" s="98"/>
      <c r="C632" s="98"/>
      <c r="D632" s="98"/>
      <c r="E632" s="98"/>
      <c r="F632" s="98"/>
      <c r="G632" s="98"/>
      <c r="H632" s="98"/>
      <c r="I632" s="98"/>
      <c r="J632" s="98"/>
      <c r="K632" s="98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</row>
    <row r="633" ht="15.75" customHeight="1">
      <c r="A633" s="98"/>
      <c r="B633" s="98"/>
      <c r="C633" s="98"/>
      <c r="D633" s="98"/>
      <c r="E633" s="98"/>
      <c r="F633" s="98"/>
      <c r="G633" s="98"/>
      <c r="H633" s="98"/>
      <c r="I633" s="98"/>
      <c r="J633" s="98"/>
      <c r="K633" s="98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</row>
    <row r="634" ht="15.75" customHeight="1">
      <c r="A634" s="98"/>
      <c r="B634" s="98"/>
      <c r="C634" s="98"/>
      <c r="D634" s="98"/>
      <c r="E634" s="98"/>
      <c r="F634" s="98"/>
      <c r="G634" s="98"/>
      <c r="H634" s="98"/>
      <c r="I634" s="98"/>
      <c r="J634" s="98"/>
      <c r="K634" s="98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</row>
    <row r="635" ht="15.75" customHeight="1">
      <c r="A635" s="98"/>
      <c r="B635" s="98"/>
      <c r="C635" s="98"/>
      <c r="D635" s="98"/>
      <c r="E635" s="98"/>
      <c r="F635" s="98"/>
      <c r="G635" s="98"/>
      <c r="H635" s="98"/>
      <c r="I635" s="98"/>
      <c r="J635" s="98"/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</row>
    <row r="636" ht="15.75" customHeight="1">
      <c r="A636" s="98"/>
      <c r="B636" s="98"/>
      <c r="C636" s="98"/>
      <c r="D636" s="98"/>
      <c r="E636" s="98"/>
      <c r="F636" s="98"/>
      <c r="G636" s="98"/>
      <c r="H636" s="98"/>
      <c r="I636" s="98"/>
      <c r="J636" s="98"/>
      <c r="K636" s="98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</row>
    <row r="637" ht="15.75" customHeight="1">
      <c r="A637" s="98"/>
      <c r="B637" s="98"/>
      <c r="C637" s="98"/>
      <c r="D637" s="98"/>
      <c r="E637" s="98"/>
      <c r="F637" s="98"/>
      <c r="G637" s="98"/>
      <c r="H637" s="98"/>
      <c r="I637" s="98"/>
      <c r="J637" s="98"/>
      <c r="K637" s="98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</row>
    <row r="638" ht="15.75" customHeight="1">
      <c r="A638" s="98"/>
      <c r="B638" s="98"/>
      <c r="C638" s="98"/>
      <c r="D638" s="98"/>
      <c r="E638" s="98"/>
      <c r="F638" s="98"/>
      <c r="G638" s="98"/>
      <c r="H638" s="98"/>
      <c r="I638" s="98"/>
      <c r="J638" s="98"/>
      <c r="K638" s="98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</row>
    <row r="639" ht="15.75" customHeight="1">
      <c r="A639" s="98"/>
      <c r="B639" s="98"/>
      <c r="C639" s="98"/>
      <c r="D639" s="98"/>
      <c r="E639" s="98"/>
      <c r="F639" s="98"/>
      <c r="G639" s="98"/>
      <c r="H639" s="98"/>
      <c r="I639" s="98"/>
      <c r="J639" s="98"/>
      <c r="K639" s="98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  <c r="AA639" s="98"/>
      <c r="AB639" s="98"/>
      <c r="AC639" s="98"/>
      <c r="AD639" s="98"/>
      <c r="AE639" s="98"/>
      <c r="AF639" s="98"/>
      <c r="AG639" s="98"/>
    </row>
    <row r="640" ht="15.75" customHeight="1">
      <c r="A640" s="98"/>
      <c r="B640" s="98"/>
      <c r="C640" s="98"/>
      <c r="D640" s="98"/>
      <c r="E640" s="98"/>
      <c r="F640" s="98"/>
      <c r="G640" s="98"/>
      <c r="H640" s="98"/>
      <c r="I640" s="98"/>
      <c r="J640" s="98"/>
      <c r="K640" s="98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</row>
    <row r="641" ht="15.75" customHeight="1">
      <c r="A641" s="98"/>
      <c r="B641" s="98"/>
      <c r="C641" s="98"/>
      <c r="D641" s="98"/>
      <c r="E641" s="98"/>
      <c r="F641" s="98"/>
      <c r="G641" s="98"/>
      <c r="H641" s="98"/>
      <c r="I641" s="98"/>
      <c r="J641" s="98"/>
      <c r="K641" s="98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</row>
    <row r="642" ht="15.75" customHeight="1">
      <c r="A642" s="98"/>
      <c r="B642" s="98"/>
      <c r="C642" s="98"/>
      <c r="D642" s="98"/>
      <c r="E642" s="98"/>
      <c r="F642" s="98"/>
      <c r="G642" s="98"/>
      <c r="H642" s="98"/>
      <c r="I642" s="98"/>
      <c r="J642" s="98"/>
      <c r="K642" s="98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  <c r="AA642" s="98"/>
      <c r="AB642" s="98"/>
      <c r="AC642" s="98"/>
      <c r="AD642" s="98"/>
      <c r="AE642" s="98"/>
      <c r="AF642" s="98"/>
      <c r="AG642" s="98"/>
    </row>
    <row r="643" ht="15.75" customHeight="1">
      <c r="A643" s="98"/>
      <c r="B643" s="98"/>
      <c r="C643" s="98"/>
      <c r="D643" s="98"/>
      <c r="E643" s="98"/>
      <c r="F643" s="98"/>
      <c r="G643" s="98"/>
      <c r="H643" s="98"/>
      <c r="I643" s="98"/>
      <c r="J643" s="98"/>
      <c r="K643" s="98"/>
      <c r="L643" s="98"/>
      <c r="M643" s="98"/>
      <c r="N643" s="98"/>
      <c r="O643" s="98"/>
      <c r="P643" s="98"/>
      <c r="Q643" s="98"/>
      <c r="R643" s="98"/>
      <c r="S643" s="98"/>
      <c r="T643" s="98"/>
      <c r="U643" s="98"/>
      <c r="V643" s="98"/>
      <c r="W643" s="98"/>
      <c r="X643" s="98"/>
      <c r="Y643" s="98"/>
      <c r="Z643" s="98"/>
      <c r="AA643" s="98"/>
      <c r="AB643" s="98"/>
      <c r="AC643" s="98"/>
      <c r="AD643" s="98"/>
      <c r="AE643" s="98"/>
      <c r="AF643" s="98"/>
      <c r="AG643" s="98"/>
    </row>
    <row r="644" ht="15.75" customHeight="1">
      <c r="A644" s="98"/>
      <c r="B644" s="98"/>
      <c r="C644" s="98"/>
      <c r="D644" s="98"/>
      <c r="E644" s="98"/>
      <c r="F644" s="98"/>
      <c r="G644" s="98"/>
      <c r="H644" s="98"/>
      <c r="I644" s="98"/>
      <c r="J644" s="98"/>
      <c r="K644" s="98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</row>
    <row r="645" ht="15.75" customHeight="1">
      <c r="A645" s="98"/>
      <c r="B645" s="98"/>
      <c r="C645" s="98"/>
      <c r="D645" s="98"/>
      <c r="E645" s="98"/>
      <c r="F645" s="98"/>
      <c r="G645" s="98"/>
      <c r="H645" s="98"/>
      <c r="I645" s="98"/>
      <c r="J645" s="98"/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</row>
    <row r="646" ht="15.75" customHeight="1">
      <c r="A646" s="98"/>
      <c r="B646" s="98"/>
      <c r="C646" s="98"/>
      <c r="D646" s="98"/>
      <c r="E646" s="98"/>
      <c r="F646" s="98"/>
      <c r="G646" s="98"/>
      <c r="H646" s="98"/>
      <c r="I646" s="98"/>
      <c r="J646" s="98"/>
      <c r="K646" s="98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</row>
    <row r="647" ht="15.75" customHeight="1">
      <c r="A647" s="98"/>
      <c r="B647" s="98"/>
      <c r="C647" s="98"/>
      <c r="D647" s="98"/>
      <c r="E647" s="98"/>
      <c r="F647" s="98"/>
      <c r="G647" s="98"/>
      <c r="H647" s="98"/>
      <c r="I647" s="98"/>
      <c r="J647" s="98"/>
      <c r="K647" s="98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</row>
    <row r="648" ht="15.75" customHeight="1">
      <c r="A648" s="98"/>
      <c r="B648" s="98"/>
      <c r="C648" s="98"/>
      <c r="D648" s="98"/>
      <c r="E648" s="98"/>
      <c r="F648" s="98"/>
      <c r="G648" s="98"/>
      <c r="H648" s="98"/>
      <c r="I648" s="98"/>
      <c r="J648" s="98"/>
      <c r="K648" s="98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</row>
    <row r="649" ht="15.75" customHeight="1">
      <c r="A649" s="98"/>
      <c r="B649" s="98"/>
      <c r="C649" s="98"/>
      <c r="D649" s="98"/>
      <c r="E649" s="98"/>
      <c r="F649" s="98"/>
      <c r="G649" s="98"/>
      <c r="H649" s="98"/>
      <c r="I649" s="98"/>
      <c r="J649" s="98"/>
      <c r="K649" s="98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</row>
    <row r="650" ht="15.75" customHeight="1">
      <c r="A650" s="98"/>
      <c r="B650" s="98"/>
      <c r="C650" s="98"/>
      <c r="D650" s="98"/>
      <c r="E650" s="98"/>
      <c r="F650" s="98"/>
      <c r="G650" s="98"/>
      <c r="H650" s="98"/>
      <c r="I650" s="98"/>
      <c r="J650" s="98"/>
      <c r="K650" s="98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</row>
    <row r="651" ht="15.75" customHeight="1">
      <c r="A651" s="98"/>
      <c r="B651" s="98"/>
      <c r="C651" s="98"/>
      <c r="D651" s="98"/>
      <c r="E651" s="98"/>
      <c r="F651" s="98"/>
      <c r="G651" s="98"/>
      <c r="H651" s="98"/>
      <c r="I651" s="98"/>
      <c r="J651" s="98"/>
      <c r="K651" s="98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</row>
    <row r="652" ht="15.75" customHeight="1">
      <c r="A652" s="98"/>
      <c r="B652" s="98"/>
      <c r="C652" s="98"/>
      <c r="D652" s="98"/>
      <c r="E652" s="98"/>
      <c r="F652" s="98"/>
      <c r="G652" s="98"/>
      <c r="H652" s="98"/>
      <c r="I652" s="98"/>
      <c r="J652" s="98"/>
      <c r="K652" s="98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</row>
    <row r="653" ht="15.75" customHeight="1">
      <c r="A653" s="98"/>
      <c r="B653" s="98"/>
      <c r="C653" s="98"/>
      <c r="D653" s="98"/>
      <c r="E653" s="98"/>
      <c r="F653" s="98"/>
      <c r="G653" s="98"/>
      <c r="H653" s="98"/>
      <c r="I653" s="98"/>
      <c r="J653" s="98"/>
      <c r="K653" s="98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</row>
    <row r="654" ht="15.75" customHeight="1">
      <c r="A654" s="98"/>
      <c r="B654" s="98"/>
      <c r="C654" s="98"/>
      <c r="D654" s="98"/>
      <c r="E654" s="98"/>
      <c r="F654" s="98"/>
      <c r="G654" s="98"/>
      <c r="H654" s="98"/>
      <c r="I654" s="98"/>
      <c r="J654" s="98"/>
      <c r="K654" s="98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  <c r="AA654" s="98"/>
      <c r="AB654" s="98"/>
      <c r="AC654" s="98"/>
      <c r="AD654" s="98"/>
      <c r="AE654" s="98"/>
      <c r="AF654" s="98"/>
      <c r="AG654" s="98"/>
    </row>
    <row r="655" ht="15.75" customHeight="1">
      <c r="A655" s="98"/>
      <c r="B655" s="98"/>
      <c r="C655" s="98"/>
      <c r="D655" s="98"/>
      <c r="E655" s="98"/>
      <c r="F655" s="98"/>
      <c r="G655" s="98"/>
      <c r="H655" s="98"/>
      <c r="I655" s="98"/>
      <c r="J655" s="98"/>
      <c r="K655" s="98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</row>
    <row r="656" ht="15.75" customHeight="1">
      <c r="A656" s="98"/>
      <c r="B656" s="98"/>
      <c r="C656" s="98"/>
      <c r="D656" s="98"/>
      <c r="E656" s="98"/>
      <c r="F656" s="98"/>
      <c r="G656" s="98"/>
      <c r="H656" s="98"/>
      <c r="I656" s="98"/>
      <c r="J656" s="98"/>
      <c r="K656" s="98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</row>
    <row r="657" ht="15.75" customHeight="1">
      <c r="A657" s="98"/>
      <c r="B657" s="98"/>
      <c r="C657" s="98"/>
      <c r="D657" s="98"/>
      <c r="E657" s="98"/>
      <c r="F657" s="98"/>
      <c r="G657" s="98"/>
      <c r="H657" s="98"/>
      <c r="I657" s="98"/>
      <c r="J657" s="98"/>
      <c r="K657" s="98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</row>
    <row r="658" ht="15.75" customHeight="1">
      <c r="A658" s="98"/>
      <c r="B658" s="98"/>
      <c r="C658" s="98"/>
      <c r="D658" s="98"/>
      <c r="E658" s="98"/>
      <c r="F658" s="98"/>
      <c r="G658" s="98"/>
      <c r="H658" s="98"/>
      <c r="I658" s="98"/>
      <c r="J658" s="98"/>
      <c r="K658" s="98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</row>
    <row r="659" ht="15.75" customHeight="1">
      <c r="A659" s="98"/>
      <c r="B659" s="98"/>
      <c r="C659" s="98"/>
      <c r="D659" s="98"/>
      <c r="E659" s="98"/>
      <c r="F659" s="98"/>
      <c r="G659" s="98"/>
      <c r="H659" s="98"/>
      <c r="I659" s="98"/>
      <c r="J659" s="98"/>
      <c r="K659" s="98"/>
      <c r="L659" s="98"/>
      <c r="M659" s="98"/>
      <c r="N659" s="98"/>
      <c r="O659" s="98"/>
      <c r="P659" s="98"/>
      <c r="Q659" s="98"/>
      <c r="R659" s="98"/>
      <c r="S659" s="98"/>
      <c r="T659" s="98"/>
      <c r="U659" s="98"/>
      <c r="V659" s="98"/>
      <c r="W659" s="98"/>
      <c r="X659" s="98"/>
      <c r="Y659" s="98"/>
      <c r="Z659" s="98"/>
      <c r="AA659" s="98"/>
      <c r="AB659" s="98"/>
      <c r="AC659" s="98"/>
      <c r="AD659" s="98"/>
      <c r="AE659" s="98"/>
      <c r="AF659" s="98"/>
      <c r="AG659" s="98"/>
    </row>
    <row r="660" ht="15.75" customHeight="1">
      <c r="A660" s="98"/>
      <c r="B660" s="98"/>
      <c r="C660" s="98"/>
      <c r="D660" s="98"/>
      <c r="E660" s="98"/>
      <c r="F660" s="98"/>
      <c r="G660" s="98"/>
      <c r="H660" s="98"/>
      <c r="I660" s="98"/>
      <c r="J660" s="98"/>
      <c r="K660" s="98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</row>
    <row r="661" ht="15.75" customHeight="1">
      <c r="A661" s="98"/>
      <c r="B661" s="98"/>
      <c r="C661" s="98"/>
      <c r="D661" s="98"/>
      <c r="E661" s="98"/>
      <c r="F661" s="98"/>
      <c r="G661" s="98"/>
      <c r="H661" s="98"/>
      <c r="I661" s="98"/>
      <c r="J661" s="98"/>
      <c r="K661" s="98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</row>
    <row r="662" ht="15.75" customHeight="1">
      <c r="A662" s="98"/>
      <c r="B662" s="98"/>
      <c r="C662" s="98"/>
      <c r="D662" s="98"/>
      <c r="E662" s="98"/>
      <c r="F662" s="98"/>
      <c r="G662" s="98"/>
      <c r="H662" s="98"/>
      <c r="I662" s="98"/>
      <c r="J662" s="98"/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</row>
    <row r="663" ht="15.75" customHeight="1">
      <c r="A663" s="98"/>
      <c r="B663" s="98"/>
      <c r="C663" s="98"/>
      <c r="D663" s="98"/>
      <c r="E663" s="98"/>
      <c r="F663" s="98"/>
      <c r="G663" s="98"/>
      <c r="H663" s="98"/>
      <c r="I663" s="98"/>
      <c r="J663" s="98"/>
      <c r="K663" s="98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</row>
    <row r="664" ht="15.75" customHeight="1">
      <c r="A664" s="98"/>
      <c r="B664" s="98"/>
      <c r="C664" s="98"/>
      <c r="D664" s="98"/>
      <c r="E664" s="98"/>
      <c r="F664" s="98"/>
      <c r="G664" s="98"/>
      <c r="H664" s="98"/>
      <c r="I664" s="98"/>
      <c r="J664" s="98"/>
      <c r="K664" s="98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</row>
    <row r="665" ht="15.75" customHeight="1">
      <c r="A665" s="98"/>
      <c r="B665" s="98"/>
      <c r="C665" s="98"/>
      <c r="D665" s="98"/>
      <c r="E665" s="98"/>
      <c r="F665" s="98"/>
      <c r="G665" s="98"/>
      <c r="H665" s="98"/>
      <c r="I665" s="98"/>
      <c r="J665" s="98"/>
      <c r="K665" s="98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</row>
    <row r="666" ht="15.75" customHeight="1">
      <c r="A666" s="98"/>
      <c r="B666" s="98"/>
      <c r="C666" s="98"/>
      <c r="D666" s="98"/>
      <c r="E666" s="98"/>
      <c r="F666" s="98"/>
      <c r="G666" s="98"/>
      <c r="H666" s="98"/>
      <c r="I666" s="98"/>
      <c r="J666" s="98"/>
      <c r="K666" s="98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</row>
    <row r="667" ht="15.75" customHeight="1">
      <c r="A667" s="98"/>
      <c r="B667" s="98"/>
      <c r="C667" s="98"/>
      <c r="D667" s="98"/>
      <c r="E667" s="98"/>
      <c r="F667" s="98"/>
      <c r="G667" s="98"/>
      <c r="H667" s="98"/>
      <c r="I667" s="98"/>
      <c r="J667" s="98"/>
      <c r="K667" s="98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</row>
    <row r="668" ht="15.75" customHeight="1">
      <c r="A668" s="98"/>
      <c r="B668" s="98"/>
      <c r="C668" s="98"/>
      <c r="D668" s="98"/>
      <c r="E668" s="98"/>
      <c r="F668" s="98"/>
      <c r="G668" s="98"/>
      <c r="H668" s="98"/>
      <c r="I668" s="98"/>
      <c r="J668" s="98"/>
      <c r="K668" s="98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</row>
    <row r="669" ht="15.75" customHeight="1">
      <c r="A669" s="98"/>
      <c r="B669" s="98"/>
      <c r="C669" s="98"/>
      <c r="D669" s="98"/>
      <c r="E669" s="98"/>
      <c r="F669" s="98"/>
      <c r="G669" s="98"/>
      <c r="H669" s="98"/>
      <c r="I669" s="98"/>
      <c r="J669" s="98"/>
      <c r="K669" s="98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</row>
    <row r="670" ht="15.75" customHeight="1">
      <c r="A670" s="98"/>
      <c r="B670" s="98"/>
      <c r="C670" s="98"/>
      <c r="D670" s="98"/>
      <c r="E670" s="98"/>
      <c r="F670" s="98"/>
      <c r="G670" s="98"/>
      <c r="H670" s="98"/>
      <c r="I670" s="98"/>
      <c r="J670" s="98"/>
      <c r="K670" s="98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</row>
    <row r="671" ht="15.75" customHeight="1">
      <c r="A671" s="98"/>
      <c r="B671" s="98"/>
      <c r="C671" s="98"/>
      <c r="D671" s="98"/>
      <c r="E671" s="98"/>
      <c r="F671" s="98"/>
      <c r="G671" s="98"/>
      <c r="H671" s="98"/>
      <c r="I671" s="98"/>
      <c r="J671" s="98"/>
      <c r="K671" s="98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</row>
    <row r="672" ht="15.75" customHeight="1">
      <c r="A672" s="98"/>
      <c r="B672" s="98"/>
      <c r="C672" s="98"/>
      <c r="D672" s="98"/>
      <c r="E672" s="98"/>
      <c r="F672" s="98"/>
      <c r="G672" s="98"/>
      <c r="H672" s="98"/>
      <c r="I672" s="98"/>
      <c r="J672" s="98"/>
      <c r="K672" s="98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</row>
    <row r="673" ht="15.75" customHeight="1">
      <c r="A673" s="98"/>
      <c r="B673" s="98"/>
      <c r="C673" s="98"/>
      <c r="D673" s="98"/>
      <c r="E673" s="98"/>
      <c r="F673" s="98"/>
      <c r="G673" s="98"/>
      <c r="H673" s="98"/>
      <c r="I673" s="98"/>
      <c r="J673" s="98"/>
      <c r="K673" s="98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</row>
    <row r="674" ht="15.75" customHeight="1">
      <c r="A674" s="98"/>
      <c r="B674" s="98"/>
      <c r="C674" s="98"/>
      <c r="D674" s="98"/>
      <c r="E674" s="98"/>
      <c r="F674" s="98"/>
      <c r="G674" s="98"/>
      <c r="H674" s="98"/>
      <c r="I674" s="98"/>
      <c r="J674" s="98"/>
      <c r="K674" s="98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  <c r="AA674" s="98"/>
      <c r="AB674" s="98"/>
      <c r="AC674" s="98"/>
      <c r="AD674" s="98"/>
      <c r="AE674" s="98"/>
      <c r="AF674" s="98"/>
      <c r="AG674" s="98"/>
    </row>
    <row r="675" ht="15.75" customHeight="1">
      <c r="A675" s="98"/>
      <c r="B675" s="98"/>
      <c r="C675" s="98"/>
      <c r="D675" s="98"/>
      <c r="E675" s="98"/>
      <c r="F675" s="98"/>
      <c r="G675" s="98"/>
      <c r="H675" s="98"/>
      <c r="I675" s="98"/>
      <c r="J675" s="98"/>
      <c r="K675" s="98"/>
      <c r="L675" s="98"/>
      <c r="M675" s="98"/>
      <c r="N675" s="98"/>
      <c r="O675" s="98"/>
      <c r="P675" s="98"/>
      <c r="Q675" s="98"/>
      <c r="R675" s="98"/>
      <c r="S675" s="98"/>
      <c r="T675" s="98"/>
      <c r="U675" s="98"/>
      <c r="V675" s="98"/>
      <c r="W675" s="98"/>
      <c r="X675" s="98"/>
      <c r="Y675" s="98"/>
      <c r="Z675" s="98"/>
      <c r="AA675" s="98"/>
      <c r="AB675" s="98"/>
      <c r="AC675" s="98"/>
      <c r="AD675" s="98"/>
      <c r="AE675" s="98"/>
      <c r="AF675" s="98"/>
      <c r="AG675" s="98"/>
    </row>
    <row r="676" ht="15.75" customHeight="1">
      <c r="A676" s="98"/>
      <c r="B676" s="98"/>
      <c r="C676" s="98"/>
      <c r="D676" s="98"/>
      <c r="E676" s="98"/>
      <c r="F676" s="98"/>
      <c r="G676" s="98"/>
      <c r="H676" s="98"/>
      <c r="I676" s="98"/>
      <c r="J676" s="98"/>
      <c r="K676" s="98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  <c r="AA676" s="98"/>
      <c r="AB676" s="98"/>
      <c r="AC676" s="98"/>
      <c r="AD676" s="98"/>
      <c r="AE676" s="98"/>
      <c r="AF676" s="98"/>
      <c r="AG676" s="98"/>
    </row>
    <row r="677" ht="15.75" customHeight="1">
      <c r="A677" s="98"/>
      <c r="B677" s="98"/>
      <c r="C677" s="98"/>
      <c r="D677" s="98"/>
      <c r="E677" s="98"/>
      <c r="F677" s="98"/>
      <c r="G677" s="98"/>
      <c r="H677" s="98"/>
      <c r="I677" s="98"/>
      <c r="J677" s="98"/>
      <c r="K677" s="98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  <c r="AA677" s="98"/>
      <c r="AB677" s="98"/>
      <c r="AC677" s="98"/>
      <c r="AD677" s="98"/>
      <c r="AE677" s="98"/>
      <c r="AF677" s="98"/>
      <c r="AG677" s="98"/>
    </row>
    <row r="678" ht="15.75" customHeight="1">
      <c r="A678" s="98"/>
      <c r="B678" s="98"/>
      <c r="C678" s="98"/>
      <c r="D678" s="98"/>
      <c r="E678" s="98"/>
      <c r="F678" s="98"/>
      <c r="G678" s="98"/>
      <c r="H678" s="98"/>
      <c r="I678" s="98"/>
      <c r="J678" s="98"/>
      <c r="K678" s="98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  <c r="AA678" s="98"/>
      <c r="AB678" s="98"/>
      <c r="AC678" s="98"/>
      <c r="AD678" s="98"/>
      <c r="AE678" s="98"/>
      <c r="AF678" s="98"/>
      <c r="AG678" s="98"/>
    </row>
    <row r="679" ht="15.75" customHeight="1">
      <c r="A679" s="98"/>
      <c r="B679" s="98"/>
      <c r="C679" s="98"/>
      <c r="D679" s="98"/>
      <c r="E679" s="98"/>
      <c r="F679" s="98"/>
      <c r="G679" s="98"/>
      <c r="H679" s="98"/>
      <c r="I679" s="98"/>
      <c r="J679" s="98"/>
      <c r="K679" s="98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  <c r="AA679" s="98"/>
      <c r="AB679" s="98"/>
      <c r="AC679" s="98"/>
      <c r="AD679" s="98"/>
      <c r="AE679" s="98"/>
      <c r="AF679" s="98"/>
      <c r="AG679" s="98"/>
    </row>
    <row r="680" ht="15.75" customHeight="1">
      <c r="A680" s="98"/>
      <c r="B680" s="98"/>
      <c r="C680" s="98"/>
      <c r="D680" s="98"/>
      <c r="E680" s="98"/>
      <c r="F680" s="98"/>
      <c r="G680" s="98"/>
      <c r="H680" s="98"/>
      <c r="I680" s="98"/>
      <c r="J680" s="98"/>
      <c r="K680" s="98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  <c r="AA680" s="98"/>
      <c r="AB680" s="98"/>
      <c r="AC680" s="98"/>
      <c r="AD680" s="98"/>
      <c r="AE680" s="98"/>
      <c r="AF680" s="98"/>
      <c r="AG680" s="98"/>
    </row>
    <row r="681" ht="15.75" customHeight="1">
      <c r="A681" s="98"/>
      <c r="B681" s="98"/>
      <c r="C681" s="98"/>
      <c r="D681" s="98"/>
      <c r="E681" s="98"/>
      <c r="F681" s="98"/>
      <c r="G681" s="98"/>
      <c r="H681" s="98"/>
      <c r="I681" s="98"/>
      <c r="J681" s="98"/>
      <c r="K681" s="98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  <c r="AA681" s="98"/>
      <c r="AB681" s="98"/>
      <c r="AC681" s="98"/>
      <c r="AD681" s="98"/>
      <c r="AE681" s="98"/>
      <c r="AF681" s="98"/>
      <c r="AG681" s="98"/>
    </row>
    <row r="682" ht="15.75" customHeight="1">
      <c r="A682" s="98"/>
      <c r="B682" s="98"/>
      <c r="C682" s="98"/>
      <c r="D682" s="98"/>
      <c r="E682" s="98"/>
      <c r="F682" s="98"/>
      <c r="G682" s="98"/>
      <c r="H682" s="98"/>
      <c r="I682" s="98"/>
      <c r="J682" s="98"/>
      <c r="K682" s="98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  <c r="AA682" s="98"/>
      <c r="AB682" s="98"/>
      <c r="AC682" s="98"/>
      <c r="AD682" s="98"/>
      <c r="AE682" s="98"/>
      <c r="AF682" s="98"/>
      <c r="AG682" s="98"/>
    </row>
    <row r="683" ht="15.75" customHeight="1">
      <c r="A683" s="98"/>
      <c r="B683" s="98"/>
      <c r="C683" s="98"/>
      <c r="D683" s="98"/>
      <c r="E683" s="98"/>
      <c r="F683" s="98"/>
      <c r="G683" s="98"/>
      <c r="H683" s="98"/>
      <c r="I683" s="98"/>
      <c r="J683" s="98"/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</row>
    <row r="684" ht="15.75" customHeight="1">
      <c r="A684" s="98"/>
      <c r="B684" s="98"/>
      <c r="C684" s="98"/>
      <c r="D684" s="98"/>
      <c r="E684" s="98"/>
      <c r="F684" s="98"/>
      <c r="G684" s="98"/>
      <c r="H684" s="98"/>
      <c r="I684" s="98"/>
      <c r="J684" s="98"/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</row>
    <row r="685" ht="15.75" customHeight="1">
      <c r="A685" s="98"/>
      <c r="B685" s="98"/>
      <c r="C685" s="98"/>
      <c r="D685" s="98"/>
      <c r="E685" s="98"/>
      <c r="F685" s="98"/>
      <c r="G685" s="98"/>
      <c r="H685" s="98"/>
      <c r="I685" s="98"/>
      <c r="J685" s="98"/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</row>
    <row r="686" ht="15.75" customHeight="1">
      <c r="A686" s="98"/>
      <c r="B686" s="98"/>
      <c r="C686" s="98"/>
      <c r="D686" s="98"/>
      <c r="E686" s="98"/>
      <c r="F686" s="98"/>
      <c r="G686" s="98"/>
      <c r="H686" s="98"/>
      <c r="I686" s="98"/>
      <c r="J686" s="98"/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</row>
    <row r="687" ht="15.75" customHeight="1">
      <c r="A687" s="98"/>
      <c r="B687" s="98"/>
      <c r="C687" s="98"/>
      <c r="D687" s="98"/>
      <c r="E687" s="98"/>
      <c r="F687" s="98"/>
      <c r="G687" s="98"/>
      <c r="H687" s="98"/>
      <c r="I687" s="98"/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</row>
    <row r="688" ht="15.75" customHeight="1">
      <c r="A688" s="98"/>
      <c r="B688" s="98"/>
      <c r="C688" s="98"/>
      <c r="D688" s="98"/>
      <c r="E688" s="98"/>
      <c r="F688" s="98"/>
      <c r="G688" s="98"/>
      <c r="H688" s="98"/>
      <c r="I688" s="98"/>
      <c r="J688" s="98"/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</row>
    <row r="689" ht="15.75" customHeight="1">
      <c r="A689" s="98"/>
      <c r="B689" s="98"/>
      <c r="C689" s="98"/>
      <c r="D689" s="98"/>
      <c r="E689" s="98"/>
      <c r="F689" s="98"/>
      <c r="G689" s="98"/>
      <c r="H689" s="98"/>
      <c r="I689" s="98"/>
      <c r="J689" s="98"/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</row>
    <row r="690" ht="15.75" customHeight="1">
      <c r="A690" s="98"/>
      <c r="B690" s="98"/>
      <c r="C690" s="98"/>
      <c r="D690" s="98"/>
      <c r="E690" s="98"/>
      <c r="F690" s="98"/>
      <c r="G690" s="98"/>
      <c r="H690" s="98"/>
      <c r="I690" s="98"/>
      <c r="J690" s="98"/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</row>
    <row r="691" ht="15.75" customHeight="1">
      <c r="A691" s="98"/>
      <c r="B691" s="98"/>
      <c r="C691" s="98"/>
      <c r="D691" s="98"/>
      <c r="E691" s="98"/>
      <c r="F691" s="98"/>
      <c r="G691" s="98"/>
      <c r="H691" s="98"/>
      <c r="I691" s="98"/>
      <c r="J691" s="98"/>
      <c r="K691" s="98"/>
      <c r="L691" s="98"/>
      <c r="M691" s="98"/>
      <c r="N691" s="98"/>
      <c r="O691" s="98"/>
      <c r="P691" s="98"/>
      <c r="Q691" s="98"/>
      <c r="R691" s="98"/>
      <c r="S691" s="98"/>
      <c r="T691" s="98"/>
      <c r="U691" s="98"/>
      <c r="V691" s="98"/>
      <c r="W691" s="98"/>
      <c r="X691" s="98"/>
      <c r="Y691" s="98"/>
      <c r="Z691" s="98"/>
      <c r="AA691" s="98"/>
      <c r="AB691" s="98"/>
      <c r="AC691" s="98"/>
      <c r="AD691" s="98"/>
      <c r="AE691" s="98"/>
      <c r="AF691" s="98"/>
      <c r="AG691" s="98"/>
    </row>
    <row r="692" ht="15.75" customHeight="1">
      <c r="A692" s="98"/>
      <c r="B692" s="98"/>
      <c r="C692" s="98"/>
      <c r="D692" s="98"/>
      <c r="E692" s="98"/>
      <c r="F692" s="98"/>
      <c r="G692" s="98"/>
      <c r="H692" s="98"/>
      <c r="I692" s="98"/>
      <c r="J692" s="98"/>
      <c r="K692" s="98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  <c r="AA692" s="98"/>
      <c r="AB692" s="98"/>
      <c r="AC692" s="98"/>
      <c r="AD692" s="98"/>
      <c r="AE692" s="98"/>
      <c r="AF692" s="98"/>
      <c r="AG692" s="98"/>
    </row>
    <row r="693" ht="15.75" customHeight="1">
      <c r="A693" s="98"/>
      <c r="B693" s="98"/>
      <c r="C693" s="98"/>
      <c r="D693" s="98"/>
      <c r="E693" s="98"/>
      <c r="F693" s="98"/>
      <c r="G693" s="98"/>
      <c r="H693" s="98"/>
      <c r="I693" s="98"/>
      <c r="J693" s="98"/>
      <c r="K693" s="98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  <c r="AA693" s="98"/>
      <c r="AB693" s="98"/>
      <c r="AC693" s="98"/>
      <c r="AD693" s="98"/>
      <c r="AE693" s="98"/>
      <c r="AF693" s="98"/>
      <c r="AG693" s="98"/>
    </row>
    <row r="694" ht="15.75" customHeight="1">
      <c r="A694" s="98"/>
      <c r="B694" s="98"/>
      <c r="C694" s="98"/>
      <c r="D694" s="98"/>
      <c r="E694" s="98"/>
      <c r="F694" s="98"/>
      <c r="G694" s="98"/>
      <c r="H694" s="98"/>
      <c r="I694" s="98"/>
      <c r="J694" s="98"/>
      <c r="K694" s="98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  <c r="AA694" s="98"/>
      <c r="AB694" s="98"/>
      <c r="AC694" s="98"/>
      <c r="AD694" s="98"/>
      <c r="AE694" s="98"/>
      <c r="AF694" s="98"/>
      <c r="AG694" s="98"/>
    </row>
    <row r="695" ht="15.75" customHeight="1">
      <c r="A695" s="98"/>
      <c r="B695" s="98"/>
      <c r="C695" s="98"/>
      <c r="D695" s="98"/>
      <c r="E695" s="98"/>
      <c r="F695" s="98"/>
      <c r="G695" s="98"/>
      <c r="H695" s="98"/>
      <c r="I695" s="98"/>
      <c r="J695" s="98"/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</row>
    <row r="696" ht="15.75" customHeight="1">
      <c r="A696" s="98"/>
      <c r="B696" s="98"/>
      <c r="C696" s="98"/>
      <c r="D696" s="98"/>
      <c r="E696" s="98"/>
      <c r="F696" s="98"/>
      <c r="G696" s="98"/>
      <c r="H696" s="98"/>
      <c r="I696" s="98"/>
      <c r="J696" s="98"/>
      <c r="K696" s="98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</row>
    <row r="697" ht="15.75" customHeight="1">
      <c r="A697" s="98"/>
      <c r="B697" s="98"/>
      <c r="C697" s="98"/>
      <c r="D697" s="98"/>
      <c r="E697" s="98"/>
      <c r="F697" s="98"/>
      <c r="G697" s="98"/>
      <c r="H697" s="98"/>
      <c r="I697" s="98"/>
      <c r="J697" s="98"/>
      <c r="K697" s="98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</row>
    <row r="698" ht="15.75" customHeight="1">
      <c r="A698" s="98"/>
      <c r="B698" s="98"/>
      <c r="C698" s="98"/>
      <c r="D698" s="98"/>
      <c r="E698" s="98"/>
      <c r="F698" s="98"/>
      <c r="G698" s="98"/>
      <c r="H698" s="98"/>
      <c r="I698" s="98"/>
      <c r="J698" s="98"/>
      <c r="K698" s="98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</row>
    <row r="699" ht="15.75" customHeight="1">
      <c r="A699" s="98"/>
      <c r="B699" s="98"/>
      <c r="C699" s="98"/>
      <c r="D699" s="98"/>
      <c r="E699" s="98"/>
      <c r="F699" s="98"/>
      <c r="G699" s="98"/>
      <c r="H699" s="98"/>
      <c r="I699" s="98"/>
      <c r="J699" s="98"/>
      <c r="K699" s="98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</row>
    <row r="700" ht="15.75" customHeight="1">
      <c r="A700" s="98"/>
      <c r="B700" s="98"/>
      <c r="C700" s="98"/>
      <c r="D700" s="98"/>
      <c r="E700" s="98"/>
      <c r="F700" s="98"/>
      <c r="G700" s="98"/>
      <c r="H700" s="98"/>
      <c r="I700" s="98"/>
      <c r="J700" s="98"/>
      <c r="K700" s="98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</row>
    <row r="701" ht="15.75" customHeight="1">
      <c r="A701" s="98"/>
      <c r="B701" s="98"/>
      <c r="C701" s="98"/>
      <c r="D701" s="98"/>
      <c r="E701" s="98"/>
      <c r="F701" s="98"/>
      <c r="G701" s="98"/>
      <c r="H701" s="98"/>
      <c r="I701" s="98"/>
      <c r="J701" s="98"/>
      <c r="K701" s="98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</row>
    <row r="702" ht="15.75" customHeight="1">
      <c r="A702" s="98"/>
      <c r="B702" s="98"/>
      <c r="C702" s="98"/>
      <c r="D702" s="98"/>
      <c r="E702" s="98"/>
      <c r="F702" s="98"/>
      <c r="G702" s="98"/>
      <c r="H702" s="98"/>
      <c r="I702" s="98"/>
      <c r="J702" s="98"/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</row>
    <row r="703" ht="15.75" customHeight="1">
      <c r="A703" s="98"/>
      <c r="B703" s="98"/>
      <c r="C703" s="98"/>
      <c r="D703" s="98"/>
      <c r="E703" s="98"/>
      <c r="F703" s="98"/>
      <c r="G703" s="98"/>
      <c r="H703" s="98"/>
      <c r="I703" s="98"/>
      <c r="J703" s="98"/>
      <c r="K703" s="98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</row>
    <row r="704" ht="15.75" customHeight="1">
      <c r="A704" s="98"/>
      <c r="B704" s="98"/>
      <c r="C704" s="98"/>
      <c r="D704" s="98"/>
      <c r="E704" s="98"/>
      <c r="F704" s="98"/>
      <c r="G704" s="98"/>
      <c r="H704" s="98"/>
      <c r="I704" s="98"/>
      <c r="J704" s="98"/>
      <c r="K704" s="98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</row>
    <row r="705" ht="15.75" customHeight="1">
      <c r="A705" s="98"/>
      <c r="B705" s="98"/>
      <c r="C705" s="98"/>
      <c r="D705" s="98"/>
      <c r="E705" s="98"/>
      <c r="F705" s="98"/>
      <c r="G705" s="98"/>
      <c r="H705" s="98"/>
      <c r="I705" s="98"/>
      <c r="J705" s="98"/>
      <c r="K705" s="98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</row>
    <row r="706" ht="15.75" customHeight="1">
      <c r="A706" s="98"/>
      <c r="B706" s="98"/>
      <c r="C706" s="98"/>
      <c r="D706" s="98"/>
      <c r="E706" s="98"/>
      <c r="F706" s="98"/>
      <c r="G706" s="98"/>
      <c r="H706" s="98"/>
      <c r="I706" s="98"/>
      <c r="J706" s="98"/>
      <c r="K706" s="98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</row>
    <row r="707" ht="15.75" customHeight="1">
      <c r="A707" s="98"/>
      <c r="B707" s="98"/>
      <c r="C707" s="98"/>
      <c r="D707" s="98"/>
      <c r="E707" s="98"/>
      <c r="F707" s="98"/>
      <c r="G707" s="98"/>
      <c r="H707" s="98"/>
      <c r="I707" s="98"/>
      <c r="J707" s="98"/>
      <c r="K707" s="98"/>
      <c r="L707" s="98"/>
      <c r="M707" s="98"/>
      <c r="N707" s="98"/>
      <c r="O707" s="98"/>
      <c r="P707" s="98"/>
      <c r="Q707" s="98"/>
      <c r="R707" s="98"/>
      <c r="S707" s="98"/>
      <c r="T707" s="98"/>
      <c r="U707" s="98"/>
      <c r="V707" s="98"/>
      <c r="W707" s="98"/>
      <c r="X707" s="98"/>
      <c r="Y707" s="98"/>
      <c r="Z707" s="98"/>
      <c r="AA707" s="98"/>
      <c r="AB707" s="98"/>
      <c r="AC707" s="98"/>
      <c r="AD707" s="98"/>
      <c r="AE707" s="98"/>
      <c r="AF707" s="98"/>
      <c r="AG707" s="98"/>
    </row>
    <row r="708" ht="15.75" customHeight="1">
      <c r="A708" s="98"/>
      <c r="B708" s="98"/>
      <c r="C708" s="98"/>
      <c r="D708" s="98"/>
      <c r="E708" s="98"/>
      <c r="F708" s="98"/>
      <c r="G708" s="98"/>
      <c r="H708" s="98"/>
      <c r="I708" s="98"/>
      <c r="J708" s="98"/>
      <c r="K708" s="98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</row>
    <row r="709" ht="15.75" customHeight="1">
      <c r="A709" s="98"/>
      <c r="B709" s="98"/>
      <c r="C709" s="98"/>
      <c r="D709" s="98"/>
      <c r="E709" s="98"/>
      <c r="F709" s="98"/>
      <c r="G709" s="98"/>
      <c r="H709" s="98"/>
      <c r="I709" s="98"/>
      <c r="J709" s="98"/>
      <c r="K709" s="98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</row>
    <row r="710" ht="15.75" customHeight="1">
      <c r="A710" s="98"/>
      <c r="B710" s="98"/>
      <c r="C710" s="98"/>
      <c r="D710" s="98"/>
      <c r="E710" s="98"/>
      <c r="F710" s="98"/>
      <c r="G710" s="98"/>
      <c r="H710" s="98"/>
      <c r="I710" s="98"/>
      <c r="J710" s="98"/>
      <c r="K710" s="98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</row>
    <row r="711" ht="15.75" customHeight="1">
      <c r="A711" s="98"/>
      <c r="B711" s="98"/>
      <c r="C711" s="98"/>
      <c r="D711" s="98"/>
      <c r="E711" s="98"/>
      <c r="F711" s="98"/>
      <c r="G711" s="98"/>
      <c r="H711" s="98"/>
      <c r="I711" s="98"/>
      <c r="J711" s="98"/>
      <c r="K711" s="98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</row>
    <row r="712" ht="15.75" customHeight="1">
      <c r="A712" s="98"/>
      <c r="B712" s="98"/>
      <c r="C712" s="98"/>
      <c r="D712" s="98"/>
      <c r="E712" s="98"/>
      <c r="F712" s="98"/>
      <c r="G712" s="98"/>
      <c r="H712" s="98"/>
      <c r="I712" s="98"/>
      <c r="J712" s="98"/>
      <c r="K712" s="98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</row>
    <row r="713" ht="15.75" customHeight="1">
      <c r="A713" s="98"/>
      <c r="B713" s="98"/>
      <c r="C713" s="98"/>
      <c r="D713" s="98"/>
      <c r="E713" s="98"/>
      <c r="F713" s="98"/>
      <c r="G713" s="98"/>
      <c r="H713" s="98"/>
      <c r="I713" s="98"/>
      <c r="J713" s="98"/>
      <c r="K713" s="98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</row>
    <row r="714" ht="15.75" customHeight="1">
      <c r="A714" s="98"/>
      <c r="B714" s="98"/>
      <c r="C714" s="98"/>
      <c r="D714" s="98"/>
      <c r="E714" s="98"/>
      <c r="F714" s="98"/>
      <c r="G714" s="98"/>
      <c r="H714" s="98"/>
      <c r="I714" s="98"/>
      <c r="J714" s="98"/>
      <c r="K714" s="98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</row>
    <row r="715" ht="15.75" customHeight="1">
      <c r="A715" s="98"/>
      <c r="B715" s="98"/>
      <c r="C715" s="98"/>
      <c r="D715" s="98"/>
      <c r="E715" s="98"/>
      <c r="F715" s="98"/>
      <c r="G715" s="98"/>
      <c r="H715" s="98"/>
      <c r="I715" s="98"/>
      <c r="J715" s="98"/>
      <c r="K715" s="98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</row>
    <row r="716" ht="15.75" customHeight="1">
      <c r="A716" s="98"/>
      <c r="B716" s="98"/>
      <c r="C716" s="98"/>
      <c r="D716" s="98"/>
      <c r="E716" s="98"/>
      <c r="F716" s="98"/>
      <c r="G716" s="98"/>
      <c r="H716" s="98"/>
      <c r="I716" s="98"/>
      <c r="J716" s="98"/>
      <c r="K716" s="98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</row>
    <row r="717" ht="15.75" customHeight="1">
      <c r="A717" s="98"/>
      <c r="B717" s="98"/>
      <c r="C717" s="98"/>
      <c r="D717" s="98"/>
      <c r="E717" s="98"/>
      <c r="F717" s="98"/>
      <c r="G717" s="98"/>
      <c r="H717" s="98"/>
      <c r="I717" s="98"/>
      <c r="J717" s="98"/>
      <c r="K717" s="98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</row>
    <row r="718" ht="15.75" customHeight="1">
      <c r="A718" s="98"/>
      <c r="B718" s="98"/>
      <c r="C718" s="98"/>
      <c r="D718" s="98"/>
      <c r="E718" s="98"/>
      <c r="F718" s="98"/>
      <c r="G718" s="98"/>
      <c r="H718" s="98"/>
      <c r="I718" s="98"/>
      <c r="J718" s="98"/>
      <c r="K718" s="98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</row>
    <row r="719" ht="15.75" customHeight="1">
      <c r="A719" s="98"/>
      <c r="B719" s="98"/>
      <c r="C719" s="98"/>
      <c r="D719" s="98"/>
      <c r="E719" s="98"/>
      <c r="F719" s="98"/>
      <c r="G719" s="98"/>
      <c r="H719" s="98"/>
      <c r="I719" s="98"/>
      <c r="J719" s="98"/>
      <c r="K719" s="98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</row>
    <row r="720" ht="15.75" customHeight="1">
      <c r="A720" s="98"/>
      <c r="B720" s="98"/>
      <c r="C720" s="98"/>
      <c r="D720" s="98"/>
      <c r="E720" s="98"/>
      <c r="F720" s="98"/>
      <c r="G720" s="98"/>
      <c r="H720" s="98"/>
      <c r="I720" s="98"/>
      <c r="J720" s="98"/>
      <c r="K720" s="98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</row>
    <row r="721" ht="15.75" customHeight="1">
      <c r="A721" s="98"/>
      <c r="B721" s="98"/>
      <c r="C721" s="98"/>
      <c r="D721" s="98"/>
      <c r="E721" s="98"/>
      <c r="F721" s="98"/>
      <c r="G721" s="98"/>
      <c r="H721" s="98"/>
      <c r="I721" s="98"/>
      <c r="J721" s="98"/>
      <c r="K721" s="98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  <c r="AA721" s="98"/>
      <c r="AB721" s="98"/>
      <c r="AC721" s="98"/>
      <c r="AD721" s="98"/>
      <c r="AE721" s="98"/>
      <c r="AF721" s="98"/>
      <c r="AG721" s="98"/>
    </row>
    <row r="722" ht="15.75" customHeight="1">
      <c r="A722" s="98"/>
      <c r="B722" s="98"/>
      <c r="C722" s="98"/>
      <c r="D722" s="98"/>
      <c r="E722" s="98"/>
      <c r="F722" s="98"/>
      <c r="G722" s="98"/>
      <c r="H722" s="98"/>
      <c r="I722" s="98"/>
      <c r="J722" s="98"/>
      <c r="K722" s="98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  <c r="AA722" s="98"/>
      <c r="AB722" s="98"/>
      <c r="AC722" s="98"/>
      <c r="AD722" s="98"/>
      <c r="AE722" s="98"/>
      <c r="AF722" s="98"/>
      <c r="AG722" s="98"/>
    </row>
    <row r="723" ht="15.75" customHeight="1">
      <c r="A723" s="98"/>
      <c r="B723" s="98"/>
      <c r="C723" s="98"/>
      <c r="D723" s="98"/>
      <c r="E723" s="98"/>
      <c r="F723" s="98"/>
      <c r="G723" s="98"/>
      <c r="H723" s="98"/>
      <c r="I723" s="98"/>
      <c r="J723" s="98"/>
      <c r="K723" s="98"/>
      <c r="L723" s="98"/>
      <c r="M723" s="98"/>
      <c r="N723" s="98"/>
      <c r="O723" s="98"/>
      <c r="P723" s="98"/>
      <c r="Q723" s="98"/>
      <c r="R723" s="98"/>
      <c r="S723" s="98"/>
      <c r="T723" s="98"/>
      <c r="U723" s="98"/>
      <c r="V723" s="98"/>
      <c r="W723" s="98"/>
      <c r="X723" s="98"/>
      <c r="Y723" s="98"/>
      <c r="Z723" s="98"/>
      <c r="AA723" s="98"/>
      <c r="AB723" s="98"/>
      <c r="AC723" s="98"/>
      <c r="AD723" s="98"/>
      <c r="AE723" s="98"/>
      <c r="AF723" s="98"/>
      <c r="AG723" s="98"/>
    </row>
    <row r="724" ht="15.75" customHeight="1">
      <c r="A724" s="98"/>
      <c r="B724" s="98"/>
      <c r="C724" s="98"/>
      <c r="D724" s="98"/>
      <c r="E724" s="98"/>
      <c r="F724" s="98"/>
      <c r="G724" s="98"/>
      <c r="H724" s="98"/>
      <c r="I724" s="98"/>
      <c r="J724" s="98"/>
      <c r="K724" s="98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  <c r="AA724" s="98"/>
      <c r="AB724" s="98"/>
      <c r="AC724" s="98"/>
      <c r="AD724" s="98"/>
      <c r="AE724" s="98"/>
      <c r="AF724" s="98"/>
      <c r="AG724" s="98"/>
    </row>
    <row r="725" ht="15.75" customHeight="1">
      <c r="A725" s="98"/>
      <c r="B725" s="98"/>
      <c r="C725" s="98"/>
      <c r="D725" s="98"/>
      <c r="E725" s="98"/>
      <c r="F725" s="98"/>
      <c r="G725" s="98"/>
      <c r="H725" s="98"/>
      <c r="I725" s="98"/>
      <c r="J725" s="98"/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</row>
    <row r="726" ht="15.75" customHeight="1">
      <c r="A726" s="98"/>
      <c r="B726" s="98"/>
      <c r="C726" s="98"/>
      <c r="D726" s="98"/>
      <c r="E726" s="98"/>
      <c r="F726" s="98"/>
      <c r="G726" s="98"/>
      <c r="H726" s="98"/>
      <c r="I726" s="98"/>
      <c r="J726" s="98"/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98"/>
    </row>
    <row r="727" ht="15.75" customHeight="1">
      <c r="A727" s="98"/>
      <c r="B727" s="98"/>
      <c r="C727" s="98"/>
      <c r="D727" s="98"/>
      <c r="E727" s="98"/>
      <c r="F727" s="98"/>
      <c r="G727" s="98"/>
      <c r="H727" s="98"/>
      <c r="I727" s="98"/>
      <c r="J727" s="98"/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</row>
    <row r="728" ht="15.75" customHeight="1">
      <c r="A728" s="98"/>
      <c r="B728" s="98"/>
      <c r="C728" s="98"/>
      <c r="D728" s="98"/>
      <c r="E728" s="98"/>
      <c r="F728" s="98"/>
      <c r="G728" s="98"/>
      <c r="H728" s="98"/>
      <c r="I728" s="98"/>
      <c r="J728" s="98"/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</row>
    <row r="729" ht="15.75" customHeight="1">
      <c r="A729" s="98"/>
      <c r="B729" s="98"/>
      <c r="C729" s="98"/>
      <c r="D729" s="98"/>
      <c r="E729" s="98"/>
      <c r="F729" s="98"/>
      <c r="G729" s="98"/>
      <c r="H729" s="98"/>
      <c r="I729" s="98"/>
      <c r="J729" s="98"/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</row>
    <row r="730" ht="15.75" customHeight="1">
      <c r="A730" s="98"/>
      <c r="B730" s="98"/>
      <c r="C730" s="98"/>
      <c r="D730" s="98"/>
      <c r="E730" s="98"/>
      <c r="F730" s="98"/>
      <c r="G730" s="98"/>
      <c r="H730" s="98"/>
      <c r="I730" s="98"/>
      <c r="J730" s="98"/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</row>
    <row r="731" ht="15.75" customHeight="1">
      <c r="A731" s="98"/>
      <c r="B731" s="98"/>
      <c r="C731" s="98"/>
      <c r="D731" s="98"/>
      <c r="E731" s="98"/>
      <c r="F731" s="98"/>
      <c r="G731" s="98"/>
      <c r="H731" s="98"/>
      <c r="I731" s="98"/>
      <c r="J731" s="98"/>
      <c r="K731" s="98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  <c r="AA731" s="98"/>
      <c r="AB731" s="98"/>
      <c r="AC731" s="98"/>
      <c r="AD731" s="98"/>
      <c r="AE731" s="98"/>
      <c r="AF731" s="98"/>
      <c r="AG731" s="98"/>
    </row>
    <row r="732" ht="15.75" customHeight="1">
      <c r="A732" s="98"/>
      <c r="B732" s="98"/>
      <c r="C732" s="98"/>
      <c r="D732" s="98"/>
      <c r="E732" s="98"/>
      <c r="F732" s="98"/>
      <c r="G732" s="98"/>
      <c r="H732" s="98"/>
      <c r="I732" s="98"/>
      <c r="J732" s="98"/>
      <c r="K732" s="98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  <c r="AA732" s="98"/>
      <c r="AB732" s="98"/>
      <c r="AC732" s="98"/>
      <c r="AD732" s="98"/>
      <c r="AE732" s="98"/>
      <c r="AF732" s="98"/>
      <c r="AG732" s="98"/>
    </row>
    <row r="733" ht="15.75" customHeight="1">
      <c r="A733" s="98"/>
      <c r="B733" s="98"/>
      <c r="C733" s="98"/>
      <c r="D733" s="98"/>
      <c r="E733" s="98"/>
      <c r="F733" s="98"/>
      <c r="G733" s="98"/>
      <c r="H733" s="98"/>
      <c r="I733" s="98"/>
      <c r="J733" s="98"/>
      <c r="K733" s="98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  <c r="AA733" s="98"/>
      <c r="AB733" s="98"/>
      <c r="AC733" s="98"/>
      <c r="AD733" s="98"/>
      <c r="AE733" s="98"/>
      <c r="AF733" s="98"/>
      <c r="AG733" s="98"/>
    </row>
    <row r="734" ht="15.75" customHeight="1">
      <c r="A734" s="98"/>
      <c r="B734" s="98"/>
      <c r="C734" s="98"/>
      <c r="D734" s="98"/>
      <c r="E734" s="98"/>
      <c r="F734" s="98"/>
      <c r="G734" s="98"/>
      <c r="H734" s="98"/>
      <c r="I734" s="98"/>
      <c r="J734" s="98"/>
      <c r="K734" s="98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  <c r="AA734" s="98"/>
      <c r="AB734" s="98"/>
      <c r="AC734" s="98"/>
      <c r="AD734" s="98"/>
      <c r="AE734" s="98"/>
      <c r="AF734" s="98"/>
      <c r="AG734" s="98"/>
    </row>
    <row r="735" ht="15.75" customHeight="1">
      <c r="A735" s="98"/>
      <c r="B735" s="98"/>
      <c r="C735" s="98"/>
      <c r="D735" s="98"/>
      <c r="E735" s="98"/>
      <c r="F735" s="98"/>
      <c r="G735" s="98"/>
      <c r="H735" s="98"/>
      <c r="I735" s="98"/>
      <c r="J735" s="98"/>
      <c r="K735" s="98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  <c r="AA735" s="98"/>
      <c r="AB735" s="98"/>
      <c r="AC735" s="98"/>
      <c r="AD735" s="98"/>
      <c r="AE735" s="98"/>
      <c r="AF735" s="98"/>
      <c r="AG735" s="98"/>
    </row>
    <row r="736" ht="15.75" customHeight="1">
      <c r="A736" s="98"/>
      <c r="B736" s="98"/>
      <c r="C736" s="98"/>
      <c r="D736" s="98"/>
      <c r="E736" s="98"/>
      <c r="F736" s="98"/>
      <c r="G736" s="98"/>
      <c r="H736" s="98"/>
      <c r="I736" s="98"/>
      <c r="J736" s="98"/>
      <c r="K736" s="98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  <c r="AA736" s="98"/>
      <c r="AB736" s="98"/>
      <c r="AC736" s="98"/>
      <c r="AD736" s="98"/>
      <c r="AE736" s="98"/>
      <c r="AF736" s="98"/>
      <c r="AG736" s="98"/>
    </row>
    <row r="737" ht="15.75" customHeight="1">
      <c r="A737" s="98"/>
      <c r="B737" s="98"/>
      <c r="C737" s="98"/>
      <c r="D737" s="98"/>
      <c r="E737" s="98"/>
      <c r="F737" s="98"/>
      <c r="G737" s="98"/>
      <c r="H737" s="98"/>
      <c r="I737" s="98"/>
      <c r="J737" s="98"/>
      <c r="K737" s="98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  <c r="AA737" s="98"/>
      <c r="AB737" s="98"/>
      <c r="AC737" s="98"/>
      <c r="AD737" s="98"/>
      <c r="AE737" s="98"/>
      <c r="AF737" s="98"/>
      <c r="AG737" s="98"/>
    </row>
    <row r="738" ht="15.75" customHeight="1">
      <c r="A738" s="98"/>
      <c r="B738" s="98"/>
      <c r="C738" s="98"/>
      <c r="D738" s="98"/>
      <c r="E738" s="98"/>
      <c r="F738" s="98"/>
      <c r="G738" s="98"/>
      <c r="H738" s="98"/>
      <c r="I738" s="98"/>
      <c r="J738" s="98"/>
      <c r="K738" s="98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  <c r="AA738" s="98"/>
      <c r="AB738" s="98"/>
      <c r="AC738" s="98"/>
      <c r="AD738" s="98"/>
      <c r="AE738" s="98"/>
      <c r="AF738" s="98"/>
      <c r="AG738" s="98"/>
    </row>
    <row r="739" ht="15.75" customHeight="1">
      <c r="A739" s="98"/>
      <c r="B739" s="98"/>
      <c r="C739" s="98"/>
      <c r="D739" s="98"/>
      <c r="E739" s="98"/>
      <c r="F739" s="98"/>
      <c r="G739" s="98"/>
      <c r="H739" s="98"/>
      <c r="I739" s="98"/>
      <c r="J739" s="98"/>
      <c r="K739" s="98"/>
      <c r="L739" s="98"/>
      <c r="M739" s="98"/>
      <c r="N739" s="98"/>
      <c r="O739" s="98"/>
      <c r="P739" s="98"/>
      <c r="Q739" s="98"/>
      <c r="R739" s="98"/>
      <c r="S739" s="98"/>
      <c r="T739" s="98"/>
      <c r="U739" s="98"/>
      <c r="V739" s="98"/>
      <c r="W739" s="98"/>
      <c r="X739" s="98"/>
      <c r="Y739" s="98"/>
      <c r="Z739" s="98"/>
      <c r="AA739" s="98"/>
      <c r="AB739" s="98"/>
      <c r="AC739" s="98"/>
      <c r="AD739" s="98"/>
      <c r="AE739" s="98"/>
      <c r="AF739" s="98"/>
      <c r="AG739" s="98"/>
    </row>
    <row r="740" ht="15.75" customHeight="1">
      <c r="A740" s="98"/>
      <c r="B740" s="98"/>
      <c r="C740" s="98"/>
      <c r="D740" s="98"/>
      <c r="E740" s="98"/>
      <c r="F740" s="98"/>
      <c r="G740" s="98"/>
      <c r="H740" s="98"/>
      <c r="I740" s="98"/>
      <c r="J740" s="98"/>
      <c r="K740" s="98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  <c r="AA740" s="98"/>
      <c r="AB740" s="98"/>
      <c r="AC740" s="98"/>
      <c r="AD740" s="98"/>
      <c r="AE740" s="98"/>
      <c r="AF740" s="98"/>
      <c r="AG740" s="98"/>
    </row>
    <row r="741" ht="15.75" customHeight="1">
      <c r="A741" s="98"/>
      <c r="B741" s="98"/>
      <c r="C741" s="98"/>
      <c r="D741" s="98"/>
      <c r="E741" s="98"/>
      <c r="F741" s="98"/>
      <c r="G741" s="98"/>
      <c r="H741" s="98"/>
      <c r="I741" s="98"/>
      <c r="J741" s="98"/>
      <c r="K741" s="98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  <c r="AA741" s="98"/>
      <c r="AB741" s="98"/>
      <c r="AC741" s="98"/>
      <c r="AD741" s="98"/>
      <c r="AE741" s="98"/>
      <c r="AF741" s="98"/>
      <c r="AG741" s="98"/>
    </row>
    <row r="742" ht="15.75" customHeight="1">
      <c r="A742" s="98"/>
      <c r="B742" s="98"/>
      <c r="C742" s="98"/>
      <c r="D742" s="98"/>
      <c r="E742" s="98"/>
      <c r="F742" s="98"/>
      <c r="G742" s="98"/>
      <c r="H742" s="98"/>
      <c r="I742" s="98"/>
      <c r="J742" s="98"/>
      <c r="K742" s="98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  <c r="AA742" s="98"/>
      <c r="AB742" s="98"/>
      <c r="AC742" s="98"/>
      <c r="AD742" s="98"/>
      <c r="AE742" s="98"/>
      <c r="AF742" s="98"/>
      <c r="AG742" s="98"/>
    </row>
    <row r="743" ht="15.75" customHeight="1">
      <c r="A743" s="98"/>
      <c r="B743" s="98"/>
      <c r="C743" s="98"/>
      <c r="D743" s="98"/>
      <c r="E743" s="98"/>
      <c r="F743" s="98"/>
      <c r="G743" s="98"/>
      <c r="H743" s="98"/>
      <c r="I743" s="98"/>
      <c r="J743" s="98"/>
      <c r="K743" s="98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  <c r="AA743" s="98"/>
      <c r="AB743" s="98"/>
      <c r="AC743" s="98"/>
      <c r="AD743" s="98"/>
      <c r="AE743" s="98"/>
      <c r="AF743" s="98"/>
      <c r="AG743" s="98"/>
    </row>
    <row r="744" ht="15.75" customHeight="1">
      <c r="A744" s="98"/>
      <c r="B744" s="98"/>
      <c r="C744" s="98"/>
      <c r="D744" s="98"/>
      <c r="E744" s="98"/>
      <c r="F744" s="98"/>
      <c r="G744" s="98"/>
      <c r="H744" s="98"/>
      <c r="I744" s="98"/>
      <c r="J744" s="98"/>
      <c r="K744" s="98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  <c r="AA744" s="98"/>
      <c r="AB744" s="98"/>
      <c r="AC744" s="98"/>
      <c r="AD744" s="98"/>
      <c r="AE744" s="98"/>
      <c r="AF744" s="98"/>
      <c r="AG744" s="98"/>
    </row>
    <row r="745" ht="15.75" customHeight="1">
      <c r="A745" s="98"/>
      <c r="B745" s="98"/>
      <c r="C745" s="98"/>
      <c r="D745" s="98"/>
      <c r="E745" s="98"/>
      <c r="F745" s="98"/>
      <c r="G745" s="98"/>
      <c r="H745" s="98"/>
      <c r="I745" s="98"/>
      <c r="J745" s="98"/>
      <c r="K745" s="98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  <c r="AA745" s="98"/>
      <c r="AB745" s="98"/>
      <c r="AC745" s="98"/>
      <c r="AD745" s="98"/>
      <c r="AE745" s="98"/>
      <c r="AF745" s="98"/>
      <c r="AG745" s="98"/>
    </row>
    <row r="746" ht="15.75" customHeight="1">
      <c r="A746" s="98"/>
      <c r="B746" s="98"/>
      <c r="C746" s="98"/>
      <c r="D746" s="98"/>
      <c r="E746" s="98"/>
      <c r="F746" s="98"/>
      <c r="G746" s="98"/>
      <c r="H746" s="98"/>
      <c r="I746" s="98"/>
      <c r="J746" s="98"/>
      <c r="K746" s="98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  <c r="AA746" s="98"/>
      <c r="AB746" s="98"/>
      <c r="AC746" s="98"/>
      <c r="AD746" s="98"/>
      <c r="AE746" s="98"/>
      <c r="AF746" s="98"/>
      <c r="AG746" s="98"/>
    </row>
    <row r="747" ht="15.75" customHeight="1">
      <c r="A747" s="98"/>
      <c r="B747" s="98"/>
      <c r="C747" s="98"/>
      <c r="D747" s="98"/>
      <c r="E747" s="98"/>
      <c r="F747" s="98"/>
      <c r="G747" s="98"/>
      <c r="H747" s="98"/>
      <c r="I747" s="98"/>
      <c r="J747" s="98"/>
      <c r="K747" s="98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  <c r="AA747" s="98"/>
      <c r="AB747" s="98"/>
      <c r="AC747" s="98"/>
      <c r="AD747" s="98"/>
      <c r="AE747" s="98"/>
      <c r="AF747" s="98"/>
      <c r="AG747" s="98"/>
    </row>
    <row r="748" ht="15.75" customHeight="1">
      <c r="A748" s="98"/>
      <c r="B748" s="98"/>
      <c r="C748" s="98"/>
      <c r="D748" s="98"/>
      <c r="E748" s="98"/>
      <c r="F748" s="98"/>
      <c r="G748" s="98"/>
      <c r="H748" s="98"/>
      <c r="I748" s="98"/>
      <c r="J748" s="98"/>
      <c r="K748" s="98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  <c r="AA748" s="98"/>
      <c r="AB748" s="98"/>
      <c r="AC748" s="98"/>
      <c r="AD748" s="98"/>
      <c r="AE748" s="98"/>
      <c r="AF748" s="98"/>
      <c r="AG748" s="98"/>
    </row>
    <row r="749" ht="15.75" customHeight="1">
      <c r="A749" s="98"/>
      <c r="B749" s="98"/>
      <c r="C749" s="98"/>
      <c r="D749" s="98"/>
      <c r="E749" s="98"/>
      <c r="F749" s="98"/>
      <c r="G749" s="98"/>
      <c r="H749" s="98"/>
      <c r="I749" s="98"/>
      <c r="J749" s="98"/>
      <c r="K749" s="98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  <c r="AA749" s="98"/>
      <c r="AB749" s="98"/>
      <c r="AC749" s="98"/>
      <c r="AD749" s="98"/>
      <c r="AE749" s="98"/>
      <c r="AF749" s="98"/>
      <c r="AG749" s="98"/>
    </row>
    <row r="750" ht="15.75" customHeight="1">
      <c r="A750" s="98"/>
      <c r="B750" s="98"/>
      <c r="C750" s="98"/>
      <c r="D750" s="98"/>
      <c r="E750" s="98"/>
      <c r="F750" s="98"/>
      <c r="G750" s="98"/>
      <c r="H750" s="98"/>
      <c r="I750" s="98"/>
      <c r="J750" s="98"/>
      <c r="K750" s="98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  <c r="AA750" s="98"/>
      <c r="AB750" s="98"/>
      <c r="AC750" s="98"/>
      <c r="AD750" s="98"/>
      <c r="AE750" s="98"/>
      <c r="AF750" s="98"/>
      <c r="AG750" s="98"/>
    </row>
    <row r="751" ht="15.75" customHeight="1">
      <c r="A751" s="98"/>
      <c r="B751" s="98"/>
      <c r="C751" s="98"/>
      <c r="D751" s="98"/>
      <c r="E751" s="98"/>
      <c r="F751" s="98"/>
      <c r="G751" s="98"/>
      <c r="H751" s="98"/>
      <c r="I751" s="98"/>
      <c r="J751" s="98"/>
      <c r="K751" s="98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  <c r="AA751" s="98"/>
      <c r="AB751" s="98"/>
      <c r="AC751" s="98"/>
      <c r="AD751" s="98"/>
      <c r="AE751" s="98"/>
      <c r="AF751" s="98"/>
      <c r="AG751" s="98"/>
    </row>
    <row r="752" ht="15.75" customHeight="1">
      <c r="A752" s="98"/>
      <c r="B752" s="98"/>
      <c r="C752" s="98"/>
      <c r="D752" s="98"/>
      <c r="E752" s="98"/>
      <c r="F752" s="98"/>
      <c r="G752" s="98"/>
      <c r="H752" s="98"/>
      <c r="I752" s="98"/>
      <c r="J752" s="98"/>
      <c r="K752" s="98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  <c r="AA752" s="98"/>
      <c r="AB752" s="98"/>
      <c r="AC752" s="98"/>
      <c r="AD752" s="98"/>
      <c r="AE752" s="98"/>
      <c r="AF752" s="98"/>
      <c r="AG752" s="98"/>
    </row>
    <row r="753" ht="15.75" customHeight="1">
      <c r="A753" s="98"/>
      <c r="B753" s="98"/>
      <c r="C753" s="98"/>
      <c r="D753" s="98"/>
      <c r="E753" s="98"/>
      <c r="F753" s="98"/>
      <c r="G753" s="98"/>
      <c r="H753" s="98"/>
      <c r="I753" s="98"/>
      <c r="J753" s="98"/>
      <c r="K753" s="98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  <c r="AA753" s="98"/>
      <c r="AB753" s="98"/>
      <c r="AC753" s="98"/>
      <c r="AD753" s="98"/>
      <c r="AE753" s="98"/>
      <c r="AF753" s="98"/>
      <c r="AG753" s="98"/>
    </row>
    <row r="754" ht="15.75" customHeight="1">
      <c r="A754" s="98"/>
      <c r="B754" s="98"/>
      <c r="C754" s="98"/>
      <c r="D754" s="98"/>
      <c r="E754" s="98"/>
      <c r="F754" s="98"/>
      <c r="G754" s="98"/>
      <c r="H754" s="98"/>
      <c r="I754" s="98"/>
      <c r="J754" s="98"/>
      <c r="K754" s="98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  <c r="AA754" s="98"/>
      <c r="AB754" s="98"/>
      <c r="AC754" s="98"/>
      <c r="AD754" s="98"/>
      <c r="AE754" s="98"/>
      <c r="AF754" s="98"/>
      <c r="AG754" s="98"/>
    </row>
    <row r="755" ht="15.75" customHeight="1">
      <c r="A755" s="98"/>
      <c r="B755" s="98"/>
      <c r="C755" s="98"/>
      <c r="D755" s="98"/>
      <c r="E755" s="98"/>
      <c r="F755" s="98"/>
      <c r="G755" s="98"/>
      <c r="H755" s="98"/>
      <c r="I755" s="98"/>
      <c r="J755" s="98"/>
      <c r="K755" s="98"/>
      <c r="L755" s="98"/>
      <c r="M755" s="98"/>
      <c r="N755" s="98"/>
      <c r="O755" s="98"/>
      <c r="P755" s="98"/>
      <c r="Q755" s="98"/>
      <c r="R755" s="98"/>
      <c r="S755" s="98"/>
      <c r="T755" s="98"/>
      <c r="U755" s="98"/>
      <c r="V755" s="98"/>
      <c r="W755" s="98"/>
      <c r="X755" s="98"/>
      <c r="Y755" s="98"/>
      <c r="Z755" s="98"/>
      <c r="AA755" s="98"/>
      <c r="AB755" s="98"/>
      <c r="AC755" s="98"/>
      <c r="AD755" s="98"/>
      <c r="AE755" s="98"/>
      <c r="AF755" s="98"/>
      <c r="AG755" s="98"/>
    </row>
    <row r="756" ht="15.75" customHeight="1">
      <c r="A756" s="98"/>
      <c r="B756" s="98"/>
      <c r="C756" s="98"/>
      <c r="D756" s="98"/>
      <c r="E756" s="98"/>
      <c r="F756" s="98"/>
      <c r="G756" s="98"/>
      <c r="H756" s="98"/>
      <c r="I756" s="98"/>
      <c r="J756" s="98"/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</row>
    <row r="757" ht="15.75" customHeight="1">
      <c r="A757" s="98"/>
      <c r="B757" s="98"/>
      <c r="C757" s="98"/>
      <c r="D757" s="98"/>
      <c r="E757" s="98"/>
      <c r="F757" s="98"/>
      <c r="G757" s="98"/>
      <c r="H757" s="98"/>
      <c r="I757" s="98"/>
      <c r="J757" s="98"/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</row>
    <row r="758" ht="15.75" customHeight="1">
      <c r="A758" s="98"/>
      <c r="B758" s="98"/>
      <c r="C758" s="98"/>
      <c r="D758" s="98"/>
      <c r="E758" s="98"/>
      <c r="F758" s="98"/>
      <c r="G758" s="98"/>
      <c r="H758" s="98"/>
      <c r="I758" s="98"/>
      <c r="J758" s="98"/>
      <c r="K758" s="98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  <c r="AA758" s="98"/>
      <c r="AB758" s="98"/>
      <c r="AC758" s="98"/>
      <c r="AD758" s="98"/>
      <c r="AE758" s="98"/>
      <c r="AF758" s="98"/>
      <c r="AG758" s="98"/>
    </row>
    <row r="759" ht="15.75" customHeight="1">
      <c r="A759" s="98"/>
      <c r="B759" s="98"/>
      <c r="C759" s="98"/>
      <c r="D759" s="98"/>
      <c r="E759" s="98"/>
      <c r="F759" s="98"/>
      <c r="G759" s="98"/>
      <c r="H759" s="98"/>
      <c r="I759" s="98"/>
      <c r="J759" s="98"/>
      <c r="K759" s="98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  <c r="AA759" s="98"/>
      <c r="AB759" s="98"/>
      <c r="AC759" s="98"/>
      <c r="AD759" s="98"/>
      <c r="AE759" s="98"/>
      <c r="AF759" s="98"/>
      <c r="AG759" s="98"/>
    </row>
    <row r="760" ht="15.75" customHeight="1">
      <c r="A760" s="98"/>
      <c r="B760" s="98"/>
      <c r="C760" s="98"/>
      <c r="D760" s="98"/>
      <c r="E760" s="98"/>
      <c r="F760" s="98"/>
      <c r="G760" s="98"/>
      <c r="H760" s="98"/>
      <c r="I760" s="98"/>
      <c r="J760" s="98"/>
      <c r="K760" s="98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  <c r="AA760" s="98"/>
      <c r="AB760" s="98"/>
      <c r="AC760" s="98"/>
      <c r="AD760" s="98"/>
      <c r="AE760" s="98"/>
      <c r="AF760" s="98"/>
      <c r="AG760" s="98"/>
    </row>
    <row r="761" ht="15.75" customHeight="1">
      <c r="A761" s="98"/>
      <c r="B761" s="98"/>
      <c r="C761" s="98"/>
      <c r="D761" s="98"/>
      <c r="E761" s="98"/>
      <c r="F761" s="98"/>
      <c r="G761" s="98"/>
      <c r="H761" s="98"/>
      <c r="I761" s="98"/>
      <c r="J761" s="98"/>
      <c r="K761" s="98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  <c r="AA761" s="98"/>
      <c r="AB761" s="98"/>
      <c r="AC761" s="98"/>
      <c r="AD761" s="98"/>
      <c r="AE761" s="98"/>
      <c r="AF761" s="98"/>
      <c r="AG761" s="98"/>
    </row>
    <row r="762" ht="15.75" customHeight="1">
      <c r="A762" s="98"/>
      <c r="B762" s="98"/>
      <c r="C762" s="98"/>
      <c r="D762" s="98"/>
      <c r="E762" s="98"/>
      <c r="F762" s="98"/>
      <c r="G762" s="98"/>
      <c r="H762" s="98"/>
      <c r="I762" s="98"/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</row>
    <row r="763" ht="15.75" customHeight="1">
      <c r="A763" s="98"/>
      <c r="B763" s="98"/>
      <c r="C763" s="98"/>
      <c r="D763" s="98"/>
      <c r="E763" s="98"/>
      <c r="F763" s="98"/>
      <c r="G763" s="98"/>
      <c r="H763" s="98"/>
      <c r="I763" s="98"/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</row>
    <row r="764" ht="15.75" customHeight="1">
      <c r="A764" s="98"/>
      <c r="B764" s="98"/>
      <c r="C764" s="98"/>
      <c r="D764" s="98"/>
      <c r="E764" s="98"/>
      <c r="F764" s="98"/>
      <c r="G764" s="98"/>
      <c r="H764" s="98"/>
      <c r="I764" s="98"/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</row>
    <row r="765" ht="15.75" customHeight="1">
      <c r="A765" s="98"/>
      <c r="B765" s="98"/>
      <c r="C765" s="98"/>
      <c r="D765" s="98"/>
      <c r="E765" s="98"/>
      <c r="F765" s="98"/>
      <c r="G765" s="98"/>
      <c r="H765" s="98"/>
      <c r="I765" s="98"/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</row>
    <row r="766" ht="15.75" customHeight="1">
      <c r="A766" s="98"/>
      <c r="B766" s="98"/>
      <c r="C766" s="98"/>
      <c r="D766" s="98"/>
      <c r="E766" s="98"/>
      <c r="F766" s="98"/>
      <c r="G766" s="98"/>
      <c r="H766" s="98"/>
      <c r="I766" s="98"/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</row>
    <row r="767" ht="15.75" customHeight="1">
      <c r="A767" s="98"/>
      <c r="B767" s="98"/>
      <c r="C767" s="98"/>
      <c r="D767" s="98"/>
      <c r="E767" s="98"/>
      <c r="F767" s="98"/>
      <c r="G767" s="98"/>
      <c r="H767" s="98"/>
      <c r="I767" s="98"/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</row>
    <row r="768" ht="15.75" customHeight="1">
      <c r="A768" s="98"/>
      <c r="B768" s="98"/>
      <c r="C768" s="98"/>
      <c r="D768" s="98"/>
      <c r="E768" s="98"/>
      <c r="F768" s="98"/>
      <c r="G768" s="98"/>
      <c r="H768" s="98"/>
      <c r="I768" s="98"/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</row>
    <row r="769" ht="15.75" customHeight="1">
      <c r="A769" s="98"/>
      <c r="B769" s="98"/>
      <c r="C769" s="98"/>
      <c r="D769" s="98"/>
      <c r="E769" s="98"/>
      <c r="F769" s="98"/>
      <c r="G769" s="98"/>
      <c r="H769" s="98"/>
      <c r="I769" s="98"/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</row>
    <row r="770" ht="15.75" customHeight="1">
      <c r="A770" s="98"/>
      <c r="B770" s="98"/>
      <c r="C770" s="98"/>
      <c r="D770" s="98"/>
      <c r="E770" s="98"/>
      <c r="F770" s="98"/>
      <c r="G770" s="98"/>
      <c r="H770" s="98"/>
      <c r="I770" s="98"/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</row>
    <row r="771" ht="15.75" customHeight="1">
      <c r="A771" s="98"/>
      <c r="B771" s="98"/>
      <c r="C771" s="98"/>
      <c r="D771" s="98"/>
      <c r="E771" s="98"/>
      <c r="F771" s="98"/>
      <c r="G771" s="98"/>
      <c r="H771" s="98"/>
      <c r="I771" s="98"/>
      <c r="J771" s="98"/>
      <c r="K771" s="98"/>
      <c r="L771" s="98"/>
      <c r="M771" s="98"/>
      <c r="N771" s="98"/>
      <c r="O771" s="98"/>
      <c r="P771" s="98"/>
      <c r="Q771" s="98"/>
      <c r="R771" s="98"/>
      <c r="S771" s="98"/>
      <c r="T771" s="98"/>
      <c r="U771" s="98"/>
      <c r="V771" s="98"/>
      <c r="W771" s="98"/>
      <c r="X771" s="98"/>
      <c r="Y771" s="98"/>
      <c r="Z771" s="98"/>
      <c r="AA771" s="98"/>
      <c r="AB771" s="98"/>
      <c r="AC771" s="98"/>
      <c r="AD771" s="98"/>
      <c r="AE771" s="98"/>
      <c r="AF771" s="98"/>
      <c r="AG771" s="98"/>
    </row>
    <row r="772" ht="15.75" customHeight="1">
      <c r="A772" s="98"/>
      <c r="B772" s="98"/>
      <c r="C772" s="98"/>
      <c r="D772" s="98"/>
      <c r="E772" s="98"/>
      <c r="F772" s="98"/>
      <c r="G772" s="98"/>
      <c r="H772" s="98"/>
      <c r="I772" s="98"/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</row>
    <row r="773" ht="15.75" customHeight="1">
      <c r="A773" s="98"/>
      <c r="B773" s="98"/>
      <c r="C773" s="98"/>
      <c r="D773" s="98"/>
      <c r="E773" s="98"/>
      <c r="F773" s="98"/>
      <c r="G773" s="98"/>
      <c r="H773" s="98"/>
      <c r="I773" s="98"/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</row>
    <row r="774" ht="15.75" customHeight="1">
      <c r="A774" s="98"/>
      <c r="B774" s="98"/>
      <c r="C774" s="98"/>
      <c r="D774" s="98"/>
      <c r="E774" s="98"/>
      <c r="F774" s="98"/>
      <c r="G774" s="98"/>
      <c r="H774" s="98"/>
      <c r="I774" s="98"/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</row>
    <row r="775" ht="15.75" customHeight="1">
      <c r="A775" s="98"/>
      <c r="B775" s="98"/>
      <c r="C775" s="98"/>
      <c r="D775" s="98"/>
      <c r="E775" s="98"/>
      <c r="F775" s="98"/>
      <c r="G775" s="98"/>
      <c r="H775" s="98"/>
      <c r="I775" s="98"/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</row>
    <row r="776" ht="15.75" customHeight="1">
      <c r="A776" s="98"/>
      <c r="B776" s="98"/>
      <c r="C776" s="98"/>
      <c r="D776" s="98"/>
      <c r="E776" s="98"/>
      <c r="F776" s="98"/>
      <c r="G776" s="98"/>
      <c r="H776" s="98"/>
      <c r="I776" s="98"/>
      <c r="J776" s="98"/>
      <c r="K776" s="98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  <c r="AA776" s="98"/>
      <c r="AB776" s="98"/>
      <c r="AC776" s="98"/>
      <c r="AD776" s="98"/>
      <c r="AE776" s="98"/>
      <c r="AF776" s="98"/>
      <c r="AG776" s="98"/>
    </row>
    <row r="777" ht="15.75" customHeight="1">
      <c r="A777" s="98"/>
      <c r="B777" s="98"/>
      <c r="C777" s="98"/>
      <c r="D777" s="98"/>
      <c r="E777" s="98"/>
      <c r="F777" s="98"/>
      <c r="G777" s="98"/>
      <c r="H777" s="98"/>
      <c r="I777" s="98"/>
      <c r="J777" s="98"/>
      <c r="K777" s="98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  <c r="AA777" s="98"/>
      <c r="AB777" s="98"/>
      <c r="AC777" s="98"/>
      <c r="AD777" s="98"/>
      <c r="AE777" s="98"/>
      <c r="AF777" s="98"/>
      <c r="AG777" s="98"/>
    </row>
    <row r="778" ht="15.75" customHeight="1">
      <c r="A778" s="98"/>
      <c r="B778" s="98"/>
      <c r="C778" s="98"/>
      <c r="D778" s="98"/>
      <c r="E778" s="98"/>
      <c r="F778" s="98"/>
      <c r="G778" s="98"/>
      <c r="H778" s="98"/>
      <c r="I778" s="98"/>
      <c r="J778" s="98"/>
      <c r="K778" s="98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  <c r="AA778" s="98"/>
      <c r="AB778" s="98"/>
      <c r="AC778" s="98"/>
      <c r="AD778" s="98"/>
      <c r="AE778" s="98"/>
      <c r="AF778" s="98"/>
      <c r="AG778" s="98"/>
    </row>
    <row r="779" ht="15.75" customHeight="1">
      <c r="A779" s="98"/>
      <c r="B779" s="98"/>
      <c r="C779" s="98"/>
      <c r="D779" s="98"/>
      <c r="E779" s="98"/>
      <c r="F779" s="98"/>
      <c r="G779" s="98"/>
      <c r="H779" s="98"/>
      <c r="I779" s="98"/>
      <c r="J779" s="98"/>
      <c r="K779" s="98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  <c r="AA779" s="98"/>
      <c r="AB779" s="98"/>
      <c r="AC779" s="98"/>
      <c r="AD779" s="98"/>
      <c r="AE779" s="98"/>
      <c r="AF779" s="98"/>
      <c r="AG779" s="98"/>
    </row>
    <row r="780" ht="15.75" customHeight="1">
      <c r="A780" s="98"/>
      <c r="B780" s="98"/>
      <c r="C780" s="98"/>
      <c r="D780" s="98"/>
      <c r="E780" s="98"/>
      <c r="F780" s="98"/>
      <c r="G780" s="98"/>
      <c r="H780" s="98"/>
      <c r="I780" s="98"/>
      <c r="J780" s="98"/>
      <c r="K780" s="98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  <c r="AA780" s="98"/>
      <c r="AB780" s="98"/>
      <c r="AC780" s="98"/>
      <c r="AD780" s="98"/>
      <c r="AE780" s="98"/>
      <c r="AF780" s="98"/>
      <c r="AG780" s="98"/>
    </row>
    <row r="781" ht="15.75" customHeight="1">
      <c r="A781" s="98"/>
      <c r="B781" s="98"/>
      <c r="C781" s="98"/>
      <c r="D781" s="98"/>
      <c r="E781" s="98"/>
      <c r="F781" s="98"/>
      <c r="G781" s="98"/>
      <c r="H781" s="98"/>
      <c r="I781" s="98"/>
      <c r="J781" s="98"/>
      <c r="K781" s="98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  <c r="AA781" s="98"/>
      <c r="AB781" s="98"/>
      <c r="AC781" s="98"/>
      <c r="AD781" s="98"/>
      <c r="AE781" s="98"/>
      <c r="AF781" s="98"/>
      <c r="AG781" s="98"/>
    </row>
    <row r="782" ht="15.75" customHeight="1">
      <c r="A782" s="98"/>
      <c r="B782" s="98"/>
      <c r="C782" s="98"/>
      <c r="D782" s="98"/>
      <c r="E782" s="98"/>
      <c r="F782" s="98"/>
      <c r="G782" s="98"/>
      <c r="H782" s="98"/>
      <c r="I782" s="98"/>
      <c r="J782" s="98"/>
      <c r="K782" s="98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  <c r="AA782" s="98"/>
      <c r="AB782" s="98"/>
      <c r="AC782" s="98"/>
      <c r="AD782" s="98"/>
      <c r="AE782" s="98"/>
      <c r="AF782" s="98"/>
      <c r="AG782" s="98"/>
    </row>
    <row r="783" ht="15.75" customHeight="1">
      <c r="A783" s="98"/>
      <c r="B783" s="98"/>
      <c r="C783" s="98"/>
      <c r="D783" s="98"/>
      <c r="E783" s="98"/>
      <c r="F783" s="98"/>
      <c r="G783" s="98"/>
      <c r="H783" s="98"/>
      <c r="I783" s="98"/>
      <c r="J783" s="98"/>
      <c r="K783" s="98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  <c r="AA783" s="98"/>
      <c r="AB783" s="98"/>
      <c r="AC783" s="98"/>
      <c r="AD783" s="98"/>
      <c r="AE783" s="98"/>
      <c r="AF783" s="98"/>
      <c r="AG783" s="98"/>
    </row>
    <row r="784" ht="15.75" customHeight="1">
      <c r="A784" s="98"/>
      <c r="B784" s="98"/>
      <c r="C784" s="98"/>
      <c r="D784" s="98"/>
      <c r="E784" s="98"/>
      <c r="F784" s="98"/>
      <c r="G784" s="98"/>
      <c r="H784" s="98"/>
      <c r="I784" s="98"/>
      <c r="J784" s="98"/>
      <c r="K784" s="98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  <c r="AA784" s="98"/>
      <c r="AB784" s="98"/>
      <c r="AC784" s="98"/>
      <c r="AD784" s="98"/>
      <c r="AE784" s="98"/>
      <c r="AF784" s="98"/>
      <c r="AG784" s="98"/>
    </row>
    <row r="785" ht="15.75" customHeight="1">
      <c r="A785" s="98"/>
      <c r="B785" s="98"/>
      <c r="C785" s="98"/>
      <c r="D785" s="98"/>
      <c r="E785" s="98"/>
      <c r="F785" s="98"/>
      <c r="G785" s="98"/>
      <c r="H785" s="98"/>
      <c r="I785" s="98"/>
      <c r="J785" s="98"/>
      <c r="K785" s="98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  <c r="AA785" s="98"/>
      <c r="AB785" s="98"/>
      <c r="AC785" s="98"/>
      <c r="AD785" s="98"/>
      <c r="AE785" s="98"/>
      <c r="AF785" s="98"/>
      <c r="AG785" s="98"/>
    </row>
    <row r="786" ht="15.75" customHeight="1">
      <c r="A786" s="98"/>
      <c r="B786" s="98"/>
      <c r="C786" s="98"/>
      <c r="D786" s="98"/>
      <c r="E786" s="98"/>
      <c r="F786" s="98"/>
      <c r="G786" s="98"/>
      <c r="H786" s="98"/>
      <c r="I786" s="98"/>
      <c r="J786" s="98"/>
      <c r="K786" s="98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  <c r="AA786" s="98"/>
      <c r="AB786" s="98"/>
      <c r="AC786" s="98"/>
      <c r="AD786" s="98"/>
      <c r="AE786" s="98"/>
      <c r="AF786" s="98"/>
      <c r="AG786" s="98"/>
    </row>
    <row r="787" ht="15.75" customHeight="1">
      <c r="A787" s="98"/>
      <c r="B787" s="98"/>
      <c r="C787" s="98"/>
      <c r="D787" s="98"/>
      <c r="E787" s="98"/>
      <c r="F787" s="98"/>
      <c r="G787" s="98"/>
      <c r="H787" s="98"/>
      <c r="I787" s="98"/>
      <c r="J787" s="98"/>
      <c r="K787" s="98"/>
      <c r="L787" s="98"/>
      <c r="M787" s="98"/>
      <c r="N787" s="98"/>
      <c r="O787" s="98"/>
      <c r="P787" s="98"/>
      <c r="Q787" s="98"/>
      <c r="R787" s="98"/>
      <c r="S787" s="98"/>
      <c r="T787" s="98"/>
      <c r="U787" s="98"/>
      <c r="V787" s="98"/>
      <c r="W787" s="98"/>
      <c r="X787" s="98"/>
      <c r="Y787" s="98"/>
      <c r="Z787" s="98"/>
      <c r="AA787" s="98"/>
      <c r="AB787" s="98"/>
      <c r="AC787" s="98"/>
      <c r="AD787" s="98"/>
      <c r="AE787" s="98"/>
      <c r="AF787" s="98"/>
      <c r="AG787" s="98"/>
    </row>
    <row r="788" ht="15.75" customHeight="1">
      <c r="A788" s="98"/>
      <c r="B788" s="98"/>
      <c r="C788" s="98"/>
      <c r="D788" s="98"/>
      <c r="E788" s="98"/>
      <c r="F788" s="98"/>
      <c r="G788" s="98"/>
      <c r="H788" s="98"/>
      <c r="I788" s="98"/>
      <c r="J788" s="98"/>
      <c r="K788" s="98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  <c r="AA788" s="98"/>
      <c r="AB788" s="98"/>
      <c r="AC788" s="98"/>
      <c r="AD788" s="98"/>
      <c r="AE788" s="98"/>
      <c r="AF788" s="98"/>
      <c r="AG788" s="98"/>
    </row>
    <row r="789" ht="15.75" customHeight="1">
      <c r="A789" s="98"/>
      <c r="B789" s="98"/>
      <c r="C789" s="98"/>
      <c r="D789" s="98"/>
      <c r="E789" s="98"/>
      <c r="F789" s="98"/>
      <c r="G789" s="98"/>
      <c r="H789" s="98"/>
      <c r="I789" s="98"/>
      <c r="J789" s="98"/>
      <c r="K789" s="98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  <c r="AA789" s="98"/>
      <c r="AB789" s="98"/>
      <c r="AC789" s="98"/>
      <c r="AD789" s="98"/>
      <c r="AE789" s="98"/>
      <c r="AF789" s="98"/>
      <c r="AG789" s="98"/>
    </row>
    <row r="790" ht="15.75" customHeight="1">
      <c r="A790" s="98"/>
      <c r="B790" s="98"/>
      <c r="C790" s="98"/>
      <c r="D790" s="98"/>
      <c r="E790" s="98"/>
      <c r="F790" s="98"/>
      <c r="G790" s="98"/>
      <c r="H790" s="98"/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</row>
    <row r="791" ht="15.75" customHeight="1">
      <c r="A791" s="98"/>
      <c r="B791" s="98"/>
      <c r="C791" s="98"/>
      <c r="D791" s="98"/>
      <c r="E791" s="98"/>
      <c r="F791" s="98"/>
      <c r="G791" s="98"/>
      <c r="H791" s="98"/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</row>
    <row r="792" ht="15.75" customHeight="1">
      <c r="A792" s="98"/>
      <c r="B792" s="98"/>
      <c r="C792" s="98"/>
      <c r="D792" s="98"/>
      <c r="E792" s="98"/>
      <c r="F792" s="98"/>
      <c r="G792" s="98"/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</row>
    <row r="793" ht="15.75" customHeight="1">
      <c r="A793" s="98"/>
      <c r="B793" s="98"/>
      <c r="C793" s="98"/>
      <c r="D793" s="98"/>
      <c r="E793" s="98"/>
      <c r="F793" s="98"/>
      <c r="G793" s="98"/>
      <c r="H793" s="98"/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</row>
    <row r="794" ht="15.75" customHeight="1">
      <c r="A794" s="98"/>
      <c r="B794" s="98"/>
      <c r="C794" s="98"/>
      <c r="D794" s="98"/>
      <c r="E794" s="98"/>
      <c r="F794" s="98"/>
      <c r="G794" s="98"/>
      <c r="H794" s="98"/>
      <c r="I794" s="98"/>
      <c r="J794" s="98"/>
      <c r="K794" s="98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</row>
    <row r="795" ht="15.75" customHeight="1">
      <c r="A795" s="98"/>
      <c r="B795" s="98"/>
      <c r="C795" s="98"/>
      <c r="D795" s="98"/>
      <c r="E795" s="98"/>
      <c r="F795" s="98"/>
      <c r="G795" s="98"/>
      <c r="H795" s="98"/>
      <c r="I795" s="98"/>
      <c r="J795" s="98"/>
      <c r="K795" s="98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</row>
    <row r="796" ht="15.75" customHeight="1">
      <c r="A796" s="98"/>
      <c r="B796" s="98"/>
      <c r="C796" s="98"/>
      <c r="D796" s="98"/>
      <c r="E796" s="98"/>
      <c r="F796" s="98"/>
      <c r="G796" s="98"/>
      <c r="H796" s="98"/>
      <c r="I796" s="98"/>
      <c r="J796" s="98"/>
      <c r="K796" s="98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</row>
    <row r="797" ht="15.75" customHeight="1">
      <c r="A797" s="98"/>
      <c r="B797" s="98"/>
      <c r="C797" s="98"/>
      <c r="D797" s="98"/>
      <c r="E797" s="98"/>
      <c r="F797" s="98"/>
      <c r="G797" s="98"/>
      <c r="H797" s="98"/>
      <c r="I797" s="98"/>
      <c r="J797" s="98"/>
      <c r="K797" s="98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  <c r="AA797" s="98"/>
      <c r="AB797" s="98"/>
      <c r="AC797" s="98"/>
      <c r="AD797" s="98"/>
      <c r="AE797" s="98"/>
      <c r="AF797" s="98"/>
      <c r="AG797" s="98"/>
    </row>
    <row r="798" ht="15.75" customHeight="1">
      <c r="A798" s="98"/>
      <c r="B798" s="98"/>
      <c r="C798" s="98"/>
      <c r="D798" s="98"/>
      <c r="E798" s="98"/>
      <c r="F798" s="98"/>
      <c r="G798" s="98"/>
      <c r="H798" s="98"/>
      <c r="I798" s="98"/>
      <c r="J798" s="98"/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</row>
    <row r="799" ht="15.75" customHeight="1">
      <c r="A799" s="98"/>
      <c r="B799" s="98"/>
      <c r="C799" s="98"/>
      <c r="D799" s="98"/>
      <c r="E799" s="98"/>
      <c r="F799" s="98"/>
      <c r="G799" s="98"/>
      <c r="H799" s="98"/>
      <c r="I799" s="98"/>
      <c r="J799" s="98"/>
      <c r="K799" s="98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</row>
    <row r="800" ht="15.75" customHeight="1">
      <c r="A800" s="98"/>
      <c r="B800" s="98"/>
      <c r="C800" s="98"/>
      <c r="D800" s="98"/>
      <c r="E800" s="98"/>
      <c r="F800" s="98"/>
      <c r="G800" s="98"/>
      <c r="H800" s="98"/>
      <c r="I800" s="98"/>
      <c r="J800" s="98"/>
      <c r="K800" s="98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</row>
    <row r="801" ht="15.75" customHeight="1">
      <c r="A801" s="98"/>
      <c r="B801" s="98"/>
      <c r="C801" s="98"/>
      <c r="D801" s="98"/>
      <c r="E801" s="98"/>
      <c r="F801" s="98"/>
      <c r="G801" s="98"/>
      <c r="H801" s="98"/>
      <c r="I801" s="98"/>
      <c r="J801" s="98"/>
      <c r="K801" s="98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</row>
    <row r="802" ht="15.75" customHeight="1">
      <c r="A802" s="98"/>
      <c r="B802" s="98"/>
      <c r="C802" s="98"/>
      <c r="D802" s="98"/>
      <c r="E802" s="98"/>
      <c r="F802" s="98"/>
      <c r="G802" s="98"/>
      <c r="H802" s="98"/>
      <c r="I802" s="98"/>
      <c r="J802" s="98"/>
      <c r="K802" s="98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</row>
    <row r="803" ht="15.75" customHeight="1">
      <c r="A803" s="98"/>
      <c r="B803" s="98"/>
      <c r="C803" s="98"/>
      <c r="D803" s="98"/>
      <c r="E803" s="98"/>
      <c r="F803" s="98"/>
      <c r="G803" s="98"/>
      <c r="H803" s="98"/>
      <c r="I803" s="98"/>
      <c r="J803" s="98"/>
      <c r="K803" s="98"/>
      <c r="L803" s="98"/>
      <c r="M803" s="98"/>
      <c r="N803" s="98"/>
      <c r="O803" s="98"/>
      <c r="P803" s="98"/>
      <c r="Q803" s="98"/>
      <c r="R803" s="98"/>
      <c r="S803" s="98"/>
      <c r="T803" s="98"/>
      <c r="U803" s="98"/>
      <c r="V803" s="98"/>
      <c r="W803" s="98"/>
      <c r="X803" s="98"/>
      <c r="Y803" s="98"/>
      <c r="Z803" s="98"/>
      <c r="AA803" s="98"/>
      <c r="AB803" s="98"/>
      <c r="AC803" s="98"/>
      <c r="AD803" s="98"/>
      <c r="AE803" s="98"/>
      <c r="AF803" s="98"/>
      <c r="AG803" s="98"/>
    </row>
    <row r="804" ht="15.75" customHeight="1">
      <c r="A804" s="98"/>
      <c r="B804" s="98"/>
      <c r="C804" s="98"/>
      <c r="D804" s="98"/>
      <c r="E804" s="98"/>
      <c r="F804" s="98"/>
      <c r="G804" s="98"/>
      <c r="H804" s="98"/>
      <c r="I804" s="98"/>
      <c r="J804" s="98"/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</row>
    <row r="805" ht="15.75" customHeight="1">
      <c r="A805" s="98"/>
      <c r="B805" s="98"/>
      <c r="C805" s="98"/>
      <c r="D805" s="98"/>
      <c r="E805" s="98"/>
      <c r="F805" s="98"/>
      <c r="G805" s="98"/>
      <c r="H805" s="98"/>
      <c r="I805" s="98"/>
      <c r="J805" s="98"/>
      <c r="K805" s="98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</row>
    <row r="806" ht="15.75" customHeight="1">
      <c r="A806" s="98"/>
      <c r="B806" s="98"/>
      <c r="C806" s="98"/>
      <c r="D806" s="98"/>
      <c r="E806" s="98"/>
      <c r="F806" s="98"/>
      <c r="G806" s="98"/>
      <c r="H806" s="98"/>
      <c r="I806" s="98"/>
      <c r="J806" s="98"/>
      <c r="K806" s="98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</row>
    <row r="807" ht="15.75" customHeight="1">
      <c r="A807" s="98"/>
      <c r="B807" s="98"/>
      <c r="C807" s="98"/>
      <c r="D807" s="98"/>
      <c r="E807" s="98"/>
      <c r="F807" s="98"/>
      <c r="G807" s="98"/>
      <c r="H807" s="98"/>
      <c r="I807" s="98"/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</row>
    <row r="808" ht="15.75" customHeight="1">
      <c r="A808" s="98"/>
      <c r="B808" s="98"/>
      <c r="C808" s="98"/>
      <c r="D808" s="98"/>
      <c r="E808" s="98"/>
      <c r="F808" s="98"/>
      <c r="G808" s="98"/>
      <c r="H808" s="98"/>
      <c r="I808" s="98"/>
      <c r="J808" s="98"/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</row>
    <row r="809" ht="15.75" customHeight="1">
      <c r="A809" s="98"/>
      <c r="B809" s="98"/>
      <c r="C809" s="98"/>
      <c r="D809" s="98"/>
      <c r="E809" s="98"/>
      <c r="F809" s="98"/>
      <c r="G809" s="98"/>
      <c r="H809" s="98"/>
      <c r="I809" s="98"/>
      <c r="J809" s="98"/>
      <c r="K809" s="98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</row>
    <row r="810" ht="15.75" customHeight="1">
      <c r="A810" s="98"/>
      <c r="B810" s="98"/>
      <c r="C810" s="98"/>
      <c r="D810" s="98"/>
      <c r="E810" s="98"/>
      <c r="F810" s="98"/>
      <c r="G810" s="98"/>
      <c r="H810" s="98"/>
      <c r="I810" s="98"/>
      <c r="J810" s="98"/>
      <c r="K810" s="98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  <c r="AA810" s="98"/>
      <c r="AB810" s="98"/>
      <c r="AC810" s="98"/>
      <c r="AD810" s="98"/>
      <c r="AE810" s="98"/>
      <c r="AF810" s="98"/>
      <c r="AG810" s="98"/>
    </row>
    <row r="811" ht="15.75" customHeight="1">
      <c r="A811" s="98"/>
      <c r="B811" s="98"/>
      <c r="C811" s="98"/>
      <c r="D811" s="98"/>
      <c r="E811" s="98"/>
      <c r="F811" s="98"/>
      <c r="G811" s="98"/>
      <c r="H811" s="98"/>
      <c r="I811" s="98"/>
      <c r="J811" s="98"/>
      <c r="K811" s="98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</row>
    <row r="812" ht="15.75" customHeight="1">
      <c r="A812" s="98"/>
      <c r="B812" s="98"/>
      <c r="C812" s="98"/>
      <c r="D812" s="98"/>
      <c r="E812" s="98"/>
      <c r="F812" s="98"/>
      <c r="G812" s="98"/>
      <c r="H812" s="98"/>
      <c r="I812" s="98"/>
      <c r="J812" s="98"/>
      <c r="K812" s="98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</row>
    <row r="813" ht="15.75" customHeight="1">
      <c r="A813" s="98"/>
      <c r="B813" s="98"/>
      <c r="C813" s="98"/>
      <c r="D813" s="98"/>
      <c r="E813" s="98"/>
      <c r="F813" s="98"/>
      <c r="G813" s="98"/>
      <c r="H813" s="98"/>
      <c r="I813" s="98"/>
      <c r="J813" s="98"/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</row>
    <row r="814" ht="15.75" customHeight="1">
      <c r="A814" s="98"/>
      <c r="B814" s="98"/>
      <c r="C814" s="98"/>
      <c r="D814" s="98"/>
      <c r="E814" s="98"/>
      <c r="F814" s="98"/>
      <c r="G814" s="98"/>
      <c r="H814" s="98"/>
      <c r="I814" s="98"/>
      <c r="J814" s="98"/>
      <c r="K814" s="98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  <c r="AA814" s="98"/>
      <c r="AB814" s="98"/>
      <c r="AC814" s="98"/>
      <c r="AD814" s="98"/>
      <c r="AE814" s="98"/>
      <c r="AF814" s="98"/>
      <c r="AG814" s="98"/>
    </row>
    <row r="815" ht="15.75" customHeight="1">
      <c r="A815" s="98"/>
      <c r="B815" s="98"/>
      <c r="C815" s="98"/>
      <c r="D815" s="98"/>
      <c r="E815" s="98"/>
      <c r="F815" s="98"/>
      <c r="G815" s="98"/>
      <c r="H815" s="98"/>
      <c r="I815" s="98"/>
      <c r="J815" s="98"/>
      <c r="K815" s="98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</row>
    <row r="816" ht="15.75" customHeight="1">
      <c r="A816" s="98"/>
      <c r="B816" s="98"/>
      <c r="C816" s="98"/>
      <c r="D816" s="98"/>
      <c r="E816" s="98"/>
      <c r="F816" s="98"/>
      <c r="G816" s="98"/>
      <c r="H816" s="98"/>
      <c r="I816" s="98"/>
      <c r="J816" s="98"/>
      <c r="K816" s="98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  <c r="AA816" s="98"/>
      <c r="AB816" s="98"/>
      <c r="AC816" s="98"/>
      <c r="AD816" s="98"/>
      <c r="AE816" s="98"/>
      <c r="AF816" s="98"/>
      <c r="AG816" s="98"/>
    </row>
    <row r="817" ht="15.75" customHeight="1">
      <c r="A817" s="98"/>
      <c r="B817" s="98"/>
      <c r="C817" s="98"/>
      <c r="D817" s="98"/>
      <c r="E817" s="98"/>
      <c r="F817" s="98"/>
      <c r="G817" s="98"/>
      <c r="H817" s="98"/>
      <c r="I817" s="98"/>
      <c r="J817" s="98"/>
      <c r="K817" s="98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</row>
    <row r="818" ht="15.75" customHeight="1">
      <c r="A818" s="98"/>
      <c r="B818" s="98"/>
      <c r="C818" s="98"/>
      <c r="D818" s="98"/>
      <c r="E818" s="98"/>
      <c r="F818" s="98"/>
      <c r="G818" s="98"/>
      <c r="H818" s="98"/>
      <c r="I818" s="98"/>
      <c r="J818" s="98"/>
      <c r="K818" s="98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  <c r="AA818" s="98"/>
      <c r="AB818" s="98"/>
      <c r="AC818" s="98"/>
      <c r="AD818" s="98"/>
      <c r="AE818" s="98"/>
      <c r="AF818" s="98"/>
      <c r="AG818" s="98"/>
    </row>
    <row r="819" ht="15.75" customHeight="1">
      <c r="A819" s="98"/>
      <c r="B819" s="98"/>
      <c r="C819" s="98"/>
      <c r="D819" s="98"/>
      <c r="E819" s="98"/>
      <c r="F819" s="98"/>
      <c r="G819" s="98"/>
      <c r="H819" s="98"/>
      <c r="I819" s="98"/>
      <c r="J819" s="98"/>
      <c r="K819" s="98"/>
      <c r="L819" s="98"/>
      <c r="M819" s="98"/>
      <c r="N819" s="98"/>
      <c r="O819" s="98"/>
      <c r="P819" s="98"/>
      <c r="Q819" s="98"/>
      <c r="R819" s="98"/>
      <c r="S819" s="98"/>
      <c r="T819" s="98"/>
      <c r="U819" s="98"/>
      <c r="V819" s="98"/>
      <c r="W819" s="98"/>
      <c r="X819" s="98"/>
      <c r="Y819" s="98"/>
      <c r="Z819" s="98"/>
      <c r="AA819" s="98"/>
      <c r="AB819" s="98"/>
      <c r="AC819" s="98"/>
      <c r="AD819" s="98"/>
      <c r="AE819" s="98"/>
      <c r="AF819" s="98"/>
      <c r="AG819" s="98"/>
    </row>
    <row r="820" ht="15.75" customHeight="1">
      <c r="A820" s="98"/>
      <c r="B820" s="98"/>
      <c r="C820" s="98"/>
      <c r="D820" s="98"/>
      <c r="E820" s="98"/>
      <c r="F820" s="98"/>
      <c r="G820" s="98"/>
      <c r="H820" s="98"/>
      <c r="I820" s="98"/>
      <c r="J820" s="98"/>
      <c r="K820" s="98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  <c r="AA820" s="98"/>
      <c r="AB820" s="98"/>
      <c r="AC820" s="98"/>
      <c r="AD820" s="98"/>
      <c r="AE820" s="98"/>
      <c r="AF820" s="98"/>
      <c r="AG820" s="98"/>
    </row>
    <row r="821" ht="15.75" customHeight="1">
      <c r="A821" s="98"/>
      <c r="B821" s="98"/>
      <c r="C821" s="98"/>
      <c r="D821" s="98"/>
      <c r="E821" s="98"/>
      <c r="F821" s="98"/>
      <c r="G821" s="98"/>
      <c r="H821" s="98"/>
      <c r="I821" s="98"/>
      <c r="J821" s="98"/>
      <c r="K821" s="98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  <c r="AA821" s="98"/>
      <c r="AB821" s="98"/>
      <c r="AC821" s="98"/>
      <c r="AD821" s="98"/>
      <c r="AE821" s="98"/>
      <c r="AF821" s="98"/>
      <c r="AG821" s="98"/>
    </row>
    <row r="822" ht="15.75" customHeight="1">
      <c r="A822" s="98"/>
      <c r="B822" s="98"/>
      <c r="C822" s="98"/>
      <c r="D822" s="98"/>
      <c r="E822" s="98"/>
      <c r="F822" s="98"/>
      <c r="G822" s="98"/>
      <c r="H822" s="98"/>
      <c r="I822" s="98"/>
      <c r="J822" s="98"/>
      <c r="K822" s="98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  <c r="AA822" s="98"/>
      <c r="AB822" s="98"/>
      <c r="AC822" s="98"/>
      <c r="AD822" s="98"/>
      <c r="AE822" s="98"/>
      <c r="AF822" s="98"/>
      <c r="AG822" s="98"/>
    </row>
    <row r="823" ht="15.75" customHeight="1">
      <c r="A823" s="98"/>
      <c r="B823" s="98"/>
      <c r="C823" s="98"/>
      <c r="D823" s="98"/>
      <c r="E823" s="98"/>
      <c r="F823" s="98"/>
      <c r="G823" s="98"/>
      <c r="H823" s="98"/>
      <c r="I823" s="98"/>
      <c r="J823" s="98"/>
      <c r="K823" s="98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  <c r="AA823" s="98"/>
      <c r="AB823" s="98"/>
      <c r="AC823" s="98"/>
      <c r="AD823" s="98"/>
      <c r="AE823" s="98"/>
      <c r="AF823" s="98"/>
      <c r="AG823" s="98"/>
    </row>
    <row r="824" ht="15.75" customHeight="1">
      <c r="A824" s="98"/>
      <c r="B824" s="98"/>
      <c r="C824" s="98"/>
      <c r="D824" s="98"/>
      <c r="E824" s="98"/>
      <c r="F824" s="98"/>
      <c r="G824" s="98"/>
      <c r="H824" s="98"/>
      <c r="I824" s="98"/>
      <c r="J824" s="98"/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</row>
    <row r="825" ht="15.75" customHeight="1">
      <c r="A825" s="98"/>
      <c r="B825" s="98"/>
      <c r="C825" s="98"/>
      <c r="D825" s="98"/>
      <c r="E825" s="98"/>
      <c r="F825" s="98"/>
      <c r="G825" s="98"/>
      <c r="H825" s="98"/>
      <c r="I825" s="98"/>
      <c r="J825" s="98"/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</row>
    <row r="826" ht="15.75" customHeight="1">
      <c r="A826" s="98"/>
      <c r="B826" s="98"/>
      <c r="C826" s="98"/>
      <c r="D826" s="98"/>
      <c r="E826" s="98"/>
      <c r="F826" s="98"/>
      <c r="G826" s="98"/>
      <c r="H826" s="98"/>
      <c r="I826" s="98"/>
      <c r="J826" s="98"/>
      <c r="K826" s="98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  <c r="AA826" s="98"/>
      <c r="AB826" s="98"/>
      <c r="AC826" s="98"/>
      <c r="AD826" s="98"/>
      <c r="AE826" s="98"/>
      <c r="AF826" s="98"/>
      <c r="AG826" s="98"/>
    </row>
    <row r="827" ht="15.75" customHeight="1">
      <c r="A827" s="98"/>
      <c r="B827" s="98"/>
      <c r="C827" s="98"/>
      <c r="D827" s="98"/>
      <c r="E827" s="98"/>
      <c r="F827" s="98"/>
      <c r="G827" s="98"/>
      <c r="H827" s="98"/>
      <c r="I827" s="98"/>
      <c r="J827" s="98"/>
      <c r="K827" s="98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  <c r="AA827" s="98"/>
      <c r="AB827" s="98"/>
      <c r="AC827" s="98"/>
      <c r="AD827" s="98"/>
      <c r="AE827" s="98"/>
      <c r="AF827" s="98"/>
      <c r="AG827" s="98"/>
    </row>
    <row r="828" ht="15.75" customHeight="1">
      <c r="A828" s="98"/>
      <c r="B828" s="98"/>
      <c r="C828" s="98"/>
      <c r="D828" s="98"/>
      <c r="E828" s="98"/>
      <c r="F828" s="98"/>
      <c r="G828" s="98"/>
      <c r="H828" s="98"/>
      <c r="I828" s="98"/>
      <c r="J828" s="98"/>
      <c r="K828" s="98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  <c r="AA828" s="98"/>
      <c r="AB828" s="98"/>
      <c r="AC828" s="98"/>
      <c r="AD828" s="98"/>
      <c r="AE828" s="98"/>
      <c r="AF828" s="98"/>
      <c r="AG828" s="98"/>
    </row>
    <row r="829" ht="15.75" customHeight="1">
      <c r="A829" s="98"/>
      <c r="B829" s="98"/>
      <c r="C829" s="98"/>
      <c r="D829" s="98"/>
      <c r="E829" s="98"/>
      <c r="F829" s="98"/>
      <c r="G829" s="98"/>
      <c r="H829" s="98"/>
      <c r="I829" s="98"/>
      <c r="J829" s="98"/>
      <c r="K829" s="98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  <c r="AA829" s="98"/>
      <c r="AB829" s="98"/>
      <c r="AC829" s="98"/>
      <c r="AD829" s="98"/>
      <c r="AE829" s="98"/>
      <c r="AF829" s="98"/>
      <c r="AG829" s="98"/>
    </row>
    <row r="830" ht="15.75" customHeight="1">
      <c r="A830" s="98"/>
      <c r="B830" s="98"/>
      <c r="C830" s="98"/>
      <c r="D830" s="98"/>
      <c r="E830" s="98"/>
      <c r="F830" s="98"/>
      <c r="G830" s="98"/>
      <c r="H830" s="98"/>
      <c r="I830" s="98"/>
      <c r="J830" s="98"/>
      <c r="K830" s="98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  <c r="AA830" s="98"/>
      <c r="AB830" s="98"/>
      <c r="AC830" s="98"/>
      <c r="AD830" s="98"/>
      <c r="AE830" s="98"/>
      <c r="AF830" s="98"/>
      <c r="AG830" s="98"/>
    </row>
    <row r="831" ht="15.75" customHeight="1">
      <c r="A831" s="98"/>
      <c r="B831" s="98"/>
      <c r="C831" s="98"/>
      <c r="D831" s="98"/>
      <c r="E831" s="98"/>
      <c r="F831" s="98"/>
      <c r="G831" s="98"/>
      <c r="H831" s="98"/>
      <c r="I831" s="98"/>
      <c r="J831" s="98"/>
      <c r="K831" s="98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  <c r="AA831" s="98"/>
      <c r="AB831" s="98"/>
      <c r="AC831" s="98"/>
      <c r="AD831" s="98"/>
      <c r="AE831" s="98"/>
      <c r="AF831" s="98"/>
      <c r="AG831" s="98"/>
    </row>
    <row r="832" ht="15.75" customHeight="1">
      <c r="A832" s="98"/>
      <c r="B832" s="98"/>
      <c r="C832" s="98"/>
      <c r="D832" s="98"/>
      <c r="E832" s="98"/>
      <c r="F832" s="98"/>
      <c r="G832" s="98"/>
      <c r="H832" s="98"/>
      <c r="I832" s="98"/>
      <c r="J832" s="98"/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</row>
    <row r="833" ht="15.75" customHeight="1">
      <c r="A833" s="98"/>
      <c r="B833" s="98"/>
      <c r="C833" s="98"/>
      <c r="D833" s="98"/>
      <c r="E833" s="98"/>
      <c r="F833" s="98"/>
      <c r="G833" s="98"/>
      <c r="H833" s="98"/>
      <c r="I833" s="98"/>
      <c r="J833" s="98"/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</row>
    <row r="834" ht="15.75" customHeight="1">
      <c r="A834" s="98"/>
      <c r="B834" s="98"/>
      <c r="C834" s="98"/>
      <c r="D834" s="98"/>
      <c r="E834" s="98"/>
      <c r="F834" s="98"/>
      <c r="G834" s="98"/>
      <c r="H834" s="98"/>
      <c r="I834" s="98"/>
      <c r="J834" s="98"/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</row>
    <row r="835" ht="15.75" customHeight="1">
      <c r="A835" s="98"/>
      <c r="B835" s="98"/>
      <c r="C835" s="98"/>
      <c r="D835" s="98"/>
      <c r="E835" s="98"/>
      <c r="F835" s="98"/>
      <c r="G835" s="98"/>
      <c r="H835" s="98"/>
      <c r="I835" s="98"/>
      <c r="J835" s="98"/>
      <c r="K835" s="98"/>
      <c r="L835" s="98"/>
      <c r="M835" s="98"/>
      <c r="N835" s="98"/>
      <c r="O835" s="98"/>
      <c r="P835" s="98"/>
      <c r="Q835" s="98"/>
      <c r="R835" s="98"/>
      <c r="S835" s="98"/>
      <c r="T835" s="98"/>
      <c r="U835" s="98"/>
      <c r="V835" s="98"/>
      <c r="W835" s="98"/>
      <c r="X835" s="98"/>
      <c r="Y835" s="98"/>
      <c r="Z835" s="98"/>
      <c r="AA835" s="98"/>
      <c r="AB835" s="98"/>
      <c r="AC835" s="98"/>
      <c r="AD835" s="98"/>
      <c r="AE835" s="98"/>
      <c r="AF835" s="98"/>
      <c r="AG835" s="98"/>
    </row>
    <row r="836" ht="15.75" customHeight="1">
      <c r="A836" s="98"/>
      <c r="B836" s="98"/>
      <c r="C836" s="98"/>
      <c r="D836" s="98"/>
      <c r="E836" s="98"/>
      <c r="F836" s="98"/>
      <c r="G836" s="98"/>
      <c r="H836" s="98"/>
      <c r="I836" s="98"/>
      <c r="J836" s="98"/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</row>
    <row r="837" ht="15.75" customHeight="1">
      <c r="A837" s="98"/>
      <c r="B837" s="98"/>
      <c r="C837" s="98"/>
      <c r="D837" s="98"/>
      <c r="E837" s="98"/>
      <c r="F837" s="98"/>
      <c r="G837" s="98"/>
      <c r="H837" s="98"/>
      <c r="I837" s="98"/>
      <c r="J837" s="98"/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</row>
    <row r="838" ht="15.75" customHeight="1">
      <c r="A838" s="98"/>
      <c r="B838" s="98"/>
      <c r="C838" s="98"/>
      <c r="D838" s="98"/>
      <c r="E838" s="98"/>
      <c r="F838" s="98"/>
      <c r="G838" s="98"/>
      <c r="H838" s="98"/>
      <c r="I838" s="98"/>
      <c r="J838" s="98"/>
      <c r="K838" s="98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  <c r="AA838" s="98"/>
      <c r="AB838" s="98"/>
      <c r="AC838" s="98"/>
      <c r="AD838" s="98"/>
      <c r="AE838" s="98"/>
      <c r="AF838" s="98"/>
      <c r="AG838" s="98"/>
    </row>
    <row r="839" ht="15.75" customHeight="1">
      <c r="A839" s="98"/>
      <c r="B839" s="98"/>
      <c r="C839" s="98"/>
      <c r="D839" s="98"/>
      <c r="E839" s="98"/>
      <c r="F839" s="98"/>
      <c r="G839" s="98"/>
      <c r="H839" s="98"/>
      <c r="I839" s="98"/>
      <c r="J839" s="98"/>
      <c r="K839" s="98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  <c r="AA839" s="98"/>
      <c r="AB839" s="98"/>
      <c r="AC839" s="98"/>
      <c r="AD839" s="98"/>
      <c r="AE839" s="98"/>
      <c r="AF839" s="98"/>
      <c r="AG839" s="98"/>
    </row>
    <row r="840" ht="15.75" customHeight="1">
      <c r="A840" s="98"/>
      <c r="B840" s="98"/>
      <c r="C840" s="98"/>
      <c r="D840" s="98"/>
      <c r="E840" s="98"/>
      <c r="F840" s="98"/>
      <c r="G840" s="98"/>
      <c r="H840" s="98"/>
      <c r="I840" s="98"/>
      <c r="J840" s="98"/>
      <c r="K840" s="98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  <c r="AA840" s="98"/>
      <c r="AB840" s="98"/>
      <c r="AC840" s="98"/>
      <c r="AD840" s="98"/>
      <c r="AE840" s="98"/>
      <c r="AF840" s="98"/>
      <c r="AG840" s="98"/>
    </row>
    <row r="841" ht="15.75" customHeight="1">
      <c r="A841" s="98"/>
      <c r="B841" s="98"/>
      <c r="C841" s="98"/>
      <c r="D841" s="98"/>
      <c r="E841" s="98"/>
      <c r="F841" s="98"/>
      <c r="G841" s="98"/>
      <c r="H841" s="98"/>
      <c r="I841" s="98"/>
      <c r="J841" s="98"/>
      <c r="K841" s="98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  <c r="AA841" s="98"/>
      <c r="AB841" s="98"/>
      <c r="AC841" s="98"/>
      <c r="AD841" s="98"/>
      <c r="AE841" s="98"/>
      <c r="AF841" s="98"/>
      <c r="AG841" s="98"/>
    </row>
    <row r="842" ht="15.75" customHeight="1">
      <c r="A842" s="98"/>
      <c r="B842" s="98"/>
      <c r="C842" s="98"/>
      <c r="D842" s="98"/>
      <c r="E842" s="98"/>
      <c r="F842" s="98"/>
      <c r="G842" s="98"/>
      <c r="H842" s="98"/>
      <c r="I842" s="98"/>
      <c r="J842" s="98"/>
      <c r="K842" s="98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  <c r="AA842" s="98"/>
      <c r="AB842" s="98"/>
      <c r="AC842" s="98"/>
      <c r="AD842" s="98"/>
      <c r="AE842" s="98"/>
      <c r="AF842" s="98"/>
      <c r="AG842" s="98"/>
    </row>
    <row r="843" ht="15.75" customHeight="1">
      <c r="A843" s="98"/>
      <c r="B843" s="98"/>
      <c r="C843" s="98"/>
      <c r="D843" s="98"/>
      <c r="E843" s="98"/>
      <c r="F843" s="98"/>
      <c r="G843" s="98"/>
      <c r="H843" s="98"/>
      <c r="I843" s="98"/>
      <c r="J843" s="98"/>
      <c r="K843" s="98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  <c r="AA843" s="98"/>
      <c r="AB843" s="98"/>
      <c r="AC843" s="98"/>
      <c r="AD843" s="98"/>
      <c r="AE843" s="98"/>
      <c r="AF843" s="98"/>
      <c r="AG843" s="98"/>
    </row>
    <row r="844" ht="15.75" customHeight="1">
      <c r="A844" s="98"/>
      <c r="B844" s="98"/>
      <c r="C844" s="98"/>
      <c r="D844" s="98"/>
      <c r="E844" s="98"/>
      <c r="F844" s="98"/>
      <c r="G844" s="98"/>
      <c r="H844" s="98"/>
      <c r="I844" s="98"/>
      <c r="J844" s="98"/>
      <c r="K844" s="98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  <c r="AA844" s="98"/>
      <c r="AB844" s="98"/>
      <c r="AC844" s="98"/>
      <c r="AD844" s="98"/>
      <c r="AE844" s="98"/>
      <c r="AF844" s="98"/>
      <c r="AG844" s="98"/>
    </row>
    <row r="845" ht="15.75" customHeight="1">
      <c r="A845" s="98"/>
      <c r="B845" s="98"/>
      <c r="C845" s="98"/>
      <c r="D845" s="98"/>
      <c r="E845" s="98"/>
      <c r="F845" s="98"/>
      <c r="G845" s="98"/>
      <c r="H845" s="98"/>
      <c r="I845" s="98"/>
      <c r="J845" s="98"/>
      <c r="K845" s="98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  <c r="AA845" s="98"/>
      <c r="AB845" s="98"/>
      <c r="AC845" s="98"/>
      <c r="AD845" s="98"/>
      <c r="AE845" s="98"/>
      <c r="AF845" s="98"/>
      <c r="AG845" s="98"/>
    </row>
    <row r="846" ht="15.75" customHeight="1">
      <c r="A846" s="98"/>
      <c r="B846" s="98"/>
      <c r="C846" s="98"/>
      <c r="D846" s="98"/>
      <c r="E846" s="98"/>
      <c r="F846" s="98"/>
      <c r="G846" s="98"/>
      <c r="H846" s="98"/>
      <c r="I846" s="98"/>
      <c r="J846" s="98"/>
      <c r="K846" s="98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  <c r="AA846" s="98"/>
      <c r="AB846" s="98"/>
      <c r="AC846" s="98"/>
      <c r="AD846" s="98"/>
      <c r="AE846" s="98"/>
      <c r="AF846" s="98"/>
      <c r="AG846" s="98"/>
    </row>
    <row r="847" ht="15.75" customHeight="1">
      <c r="A847" s="98"/>
      <c r="B847" s="98"/>
      <c r="C847" s="98"/>
      <c r="D847" s="98"/>
      <c r="E847" s="98"/>
      <c r="F847" s="98"/>
      <c r="G847" s="98"/>
      <c r="H847" s="98"/>
      <c r="I847" s="98"/>
      <c r="J847" s="98"/>
      <c r="K847" s="98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  <c r="AA847" s="98"/>
      <c r="AB847" s="98"/>
      <c r="AC847" s="98"/>
      <c r="AD847" s="98"/>
      <c r="AE847" s="98"/>
      <c r="AF847" s="98"/>
      <c r="AG847" s="98"/>
    </row>
    <row r="848" ht="15.75" customHeight="1">
      <c r="A848" s="98"/>
      <c r="B848" s="98"/>
      <c r="C848" s="98"/>
      <c r="D848" s="98"/>
      <c r="E848" s="98"/>
      <c r="F848" s="98"/>
      <c r="G848" s="98"/>
      <c r="H848" s="98"/>
      <c r="I848" s="98"/>
      <c r="J848" s="98"/>
      <c r="K848" s="98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  <c r="AA848" s="98"/>
      <c r="AB848" s="98"/>
      <c r="AC848" s="98"/>
      <c r="AD848" s="98"/>
      <c r="AE848" s="98"/>
      <c r="AF848" s="98"/>
      <c r="AG848" s="98"/>
    </row>
    <row r="849" ht="15.75" customHeight="1">
      <c r="A849" s="98"/>
      <c r="B849" s="98"/>
      <c r="C849" s="98"/>
      <c r="D849" s="98"/>
      <c r="E849" s="98"/>
      <c r="F849" s="98"/>
      <c r="G849" s="98"/>
      <c r="H849" s="98"/>
      <c r="I849" s="98"/>
      <c r="J849" s="98"/>
      <c r="K849" s="98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  <c r="AA849" s="98"/>
      <c r="AB849" s="98"/>
      <c r="AC849" s="98"/>
      <c r="AD849" s="98"/>
      <c r="AE849" s="98"/>
      <c r="AF849" s="98"/>
      <c r="AG849" s="98"/>
    </row>
    <row r="850" ht="15.75" customHeight="1">
      <c r="A850" s="98"/>
      <c r="B850" s="98"/>
      <c r="C850" s="98"/>
      <c r="D850" s="98"/>
      <c r="E850" s="98"/>
      <c r="F850" s="98"/>
      <c r="G850" s="98"/>
      <c r="H850" s="98"/>
      <c r="I850" s="98"/>
      <c r="J850" s="98"/>
      <c r="K850" s="98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  <c r="AA850" s="98"/>
      <c r="AB850" s="98"/>
      <c r="AC850" s="98"/>
      <c r="AD850" s="98"/>
      <c r="AE850" s="98"/>
      <c r="AF850" s="98"/>
      <c r="AG850" s="98"/>
    </row>
    <row r="851" ht="15.75" customHeight="1">
      <c r="A851" s="98"/>
      <c r="B851" s="98"/>
      <c r="C851" s="98"/>
      <c r="D851" s="98"/>
      <c r="E851" s="98"/>
      <c r="F851" s="98"/>
      <c r="G851" s="98"/>
      <c r="H851" s="98"/>
      <c r="I851" s="98"/>
      <c r="J851" s="98"/>
      <c r="K851" s="98"/>
      <c r="L851" s="98"/>
      <c r="M851" s="98"/>
      <c r="N851" s="98"/>
      <c r="O851" s="98"/>
      <c r="P851" s="98"/>
      <c r="Q851" s="98"/>
      <c r="R851" s="98"/>
      <c r="S851" s="98"/>
      <c r="T851" s="98"/>
      <c r="U851" s="98"/>
      <c r="V851" s="98"/>
      <c r="W851" s="98"/>
      <c r="X851" s="98"/>
      <c r="Y851" s="98"/>
      <c r="Z851" s="98"/>
      <c r="AA851" s="98"/>
      <c r="AB851" s="98"/>
      <c r="AC851" s="98"/>
      <c r="AD851" s="98"/>
      <c r="AE851" s="98"/>
      <c r="AF851" s="98"/>
      <c r="AG851" s="98"/>
    </row>
    <row r="852" ht="15.75" customHeight="1">
      <c r="A852" s="98"/>
      <c r="B852" s="98"/>
      <c r="C852" s="98"/>
      <c r="D852" s="98"/>
      <c r="E852" s="98"/>
      <c r="F852" s="98"/>
      <c r="G852" s="98"/>
      <c r="H852" s="98"/>
      <c r="I852" s="98"/>
      <c r="J852" s="98"/>
      <c r="K852" s="98"/>
      <c r="L852" s="98"/>
      <c r="M852" s="98"/>
      <c r="N852" s="98"/>
      <c r="O852" s="98"/>
      <c r="P852" s="98"/>
      <c r="Q852" s="98"/>
      <c r="R852" s="98"/>
      <c r="S852" s="98"/>
      <c r="T852" s="98"/>
      <c r="U852" s="98"/>
      <c r="V852" s="98"/>
      <c r="W852" s="98"/>
      <c r="X852" s="98"/>
      <c r="Y852" s="98"/>
      <c r="Z852" s="98"/>
      <c r="AA852" s="98"/>
      <c r="AB852" s="98"/>
      <c r="AC852" s="98"/>
      <c r="AD852" s="98"/>
      <c r="AE852" s="98"/>
      <c r="AF852" s="98"/>
      <c r="AG852" s="98"/>
    </row>
    <row r="853" ht="15.75" customHeight="1">
      <c r="A853" s="98"/>
      <c r="B853" s="98"/>
      <c r="C853" s="98"/>
      <c r="D853" s="98"/>
      <c r="E853" s="98"/>
      <c r="F853" s="98"/>
      <c r="G853" s="98"/>
      <c r="H853" s="98"/>
      <c r="I853" s="98"/>
      <c r="J853" s="98"/>
      <c r="K853" s="98"/>
      <c r="L853" s="98"/>
      <c r="M853" s="98"/>
      <c r="N853" s="98"/>
      <c r="O853" s="98"/>
      <c r="P853" s="98"/>
      <c r="Q853" s="98"/>
      <c r="R853" s="98"/>
      <c r="S853" s="98"/>
      <c r="T853" s="98"/>
      <c r="U853" s="98"/>
      <c r="V853" s="98"/>
      <c r="W853" s="98"/>
      <c r="X853" s="98"/>
      <c r="Y853" s="98"/>
      <c r="Z853" s="98"/>
      <c r="AA853" s="98"/>
      <c r="AB853" s="98"/>
      <c r="AC853" s="98"/>
      <c r="AD853" s="98"/>
      <c r="AE853" s="98"/>
      <c r="AF853" s="98"/>
      <c r="AG853" s="98"/>
    </row>
    <row r="854" ht="15.75" customHeight="1">
      <c r="A854" s="98"/>
      <c r="B854" s="98"/>
      <c r="C854" s="98"/>
      <c r="D854" s="98"/>
      <c r="E854" s="98"/>
      <c r="F854" s="98"/>
      <c r="G854" s="98"/>
      <c r="H854" s="98"/>
      <c r="I854" s="98"/>
      <c r="J854" s="98"/>
      <c r="K854" s="98"/>
      <c r="L854" s="98"/>
      <c r="M854" s="98"/>
      <c r="N854" s="98"/>
      <c r="O854" s="98"/>
      <c r="P854" s="98"/>
      <c r="Q854" s="98"/>
      <c r="R854" s="98"/>
      <c r="S854" s="98"/>
      <c r="T854" s="98"/>
      <c r="U854" s="98"/>
      <c r="V854" s="98"/>
      <c r="W854" s="98"/>
      <c r="X854" s="98"/>
      <c r="Y854" s="98"/>
      <c r="Z854" s="98"/>
      <c r="AA854" s="98"/>
      <c r="AB854" s="98"/>
      <c r="AC854" s="98"/>
      <c r="AD854" s="98"/>
      <c r="AE854" s="98"/>
      <c r="AF854" s="98"/>
      <c r="AG854" s="98"/>
    </row>
    <row r="855" ht="15.75" customHeight="1">
      <c r="A855" s="98"/>
      <c r="B855" s="98"/>
      <c r="C855" s="98"/>
      <c r="D855" s="98"/>
      <c r="E855" s="98"/>
      <c r="F855" s="98"/>
      <c r="G855" s="98"/>
      <c r="H855" s="98"/>
      <c r="I855" s="98"/>
      <c r="J855" s="98"/>
      <c r="K855" s="98"/>
      <c r="L855" s="98"/>
      <c r="M855" s="98"/>
      <c r="N855" s="98"/>
      <c r="O855" s="98"/>
      <c r="P855" s="98"/>
      <c r="Q855" s="98"/>
      <c r="R855" s="98"/>
      <c r="S855" s="98"/>
      <c r="T855" s="98"/>
      <c r="U855" s="98"/>
      <c r="V855" s="98"/>
      <c r="W855" s="98"/>
      <c r="X855" s="98"/>
      <c r="Y855" s="98"/>
      <c r="Z855" s="98"/>
      <c r="AA855" s="98"/>
      <c r="AB855" s="98"/>
      <c r="AC855" s="98"/>
      <c r="AD855" s="98"/>
      <c r="AE855" s="98"/>
      <c r="AF855" s="98"/>
      <c r="AG855" s="98"/>
    </row>
    <row r="856" ht="15.75" customHeight="1">
      <c r="A856" s="98"/>
      <c r="B856" s="98"/>
      <c r="C856" s="98"/>
      <c r="D856" s="98"/>
      <c r="E856" s="98"/>
      <c r="F856" s="98"/>
      <c r="G856" s="98"/>
      <c r="H856" s="98"/>
      <c r="I856" s="98"/>
      <c r="J856" s="98"/>
      <c r="K856" s="98"/>
      <c r="L856" s="98"/>
      <c r="M856" s="98"/>
      <c r="N856" s="98"/>
      <c r="O856" s="98"/>
      <c r="P856" s="98"/>
      <c r="Q856" s="98"/>
      <c r="R856" s="98"/>
      <c r="S856" s="98"/>
      <c r="T856" s="98"/>
      <c r="U856" s="98"/>
      <c r="V856" s="98"/>
      <c r="W856" s="98"/>
      <c r="X856" s="98"/>
      <c r="Y856" s="98"/>
      <c r="Z856" s="98"/>
      <c r="AA856" s="98"/>
      <c r="AB856" s="98"/>
      <c r="AC856" s="98"/>
      <c r="AD856" s="98"/>
      <c r="AE856" s="98"/>
      <c r="AF856" s="98"/>
      <c r="AG856" s="98"/>
    </row>
    <row r="857" ht="15.75" customHeight="1">
      <c r="A857" s="98"/>
      <c r="B857" s="98"/>
      <c r="C857" s="98"/>
      <c r="D857" s="98"/>
      <c r="E857" s="98"/>
      <c r="F857" s="98"/>
      <c r="G857" s="98"/>
      <c r="H857" s="98"/>
      <c r="I857" s="98"/>
      <c r="J857" s="98"/>
      <c r="K857" s="98"/>
      <c r="L857" s="98"/>
      <c r="M857" s="98"/>
      <c r="N857" s="98"/>
      <c r="O857" s="98"/>
      <c r="P857" s="98"/>
      <c r="Q857" s="98"/>
      <c r="R857" s="98"/>
      <c r="S857" s="98"/>
      <c r="T857" s="98"/>
      <c r="U857" s="98"/>
      <c r="V857" s="98"/>
      <c r="W857" s="98"/>
      <c r="X857" s="98"/>
      <c r="Y857" s="98"/>
      <c r="Z857" s="98"/>
      <c r="AA857" s="98"/>
      <c r="AB857" s="98"/>
      <c r="AC857" s="98"/>
      <c r="AD857" s="98"/>
      <c r="AE857" s="98"/>
      <c r="AF857" s="98"/>
      <c r="AG857" s="98"/>
    </row>
    <row r="858" ht="15.75" customHeight="1">
      <c r="A858" s="98"/>
      <c r="B858" s="98"/>
      <c r="C858" s="98"/>
      <c r="D858" s="98"/>
      <c r="E858" s="98"/>
      <c r="F858" s="98"/>
      <c r="G858" s="98"/>
      <c r="H858" s="98"/>
      <c r="I858" s="98"/>
      <c r="J858" s="98"/>
      <c r="K858" s="98"/>
      <c r="L858" s="98"/>
      <c r="M858" s="98"/>
      <c r="N858" s="98"/>
      <c r="O858" s="98"/>
      <c r="P858" s="98"/>
      <c r="Q858" s="98"/>
      <c r="R858" s="98"/>
      <c r="S858" s="98"/>
      <c r="T858" s="98"/>
      <c r="U858" s="98"/>
      <c r="V858" s="98"/>
      <c r="W858" s="98"/>
      <c r="X858" s="98"/>
      <c r="Y858" s="98"/>
      <c r="Z858" s="98"/>
      <c r="AA858" s="98"/>
      <c r="AB858" s="98"/>
      <c r="AC858" s="98"/>
      <c r="AD858" s="98"/>
      <c r="AE858" s="98"/>
      <c r="AF858" s="98"/>
      <c r="AG858" s="98"/>
    </row>
    <row r="859" ht="15.75" customHeight="1">
      <c r="A859" s="98"/>
      <c r="B859" s="98"/>
      <c r="C859" s="98"/>
      <c r="D859" s="98"/>
      <c r="E859" s="98"/>
      <c r="F859" s="98"/>
      <c r="G859" s="98"/>
      <c r="H859" s="98"/>
      <c r="I859" s="98"/>
      <c r="J859" s="98"/>
      <c r="K859" s="98"/>
      <c r="L859" s="98"/>
      <c r="M859" s="98"/>
      <c r="N859" s="98"/>
      <c r="O859" s="98"/>
      <c r="P859" s="98"/>
      <c r="Q859" s="98"/>
      <c r="R859" s="98"/>
      <c r="S859" s="98"/>
      <c r="T859" s="98"/>
      <c r="U859" s="98"/>
      <c r="V859" s="98"/>
      <c r="W859" s="98"/>
      <c r="X859" s="98"/>
      <c r="Y859" s="98"/>
      <c r="Z859" s="98"/>
      <c r="AA859" s="98"/>
      <c r="AB859" s="98"/>
      <c r="AC859" s="98"/>
      <c r="AD859" s="98"/>
      <c r="AE859" s="98"/>
      <c r="AF859" s="98"/>
      <c r="AG859" s="98"/>
    </row>
    <row r="860" ht="15.75" customHeight="1">
      <c r="A860" s="98"/>
      <c r="B860" s="98"/>
      <c r="C860" s="98"/>
      <c r="D860" s="98"/>
      <c r="E860" s="98"/>
      <c r="F860" s="98"/>
      <c r="G860" s="98"/>
      <c r="H860" s="98"/>
      <c r="I860" s="98"/>
      <c r="J860" s="98"/>
      <c r="K860" s="98"/>
      <c r="L860" s="98"/>
      <c r="M860" s="98"/>
      <c r="N860" s="98"/>
      <c r="O860" s="98"/>
      <c r="P860" s="98"/>
      <c r="Q860" s="98"/>
      <c r="R860" s="98"/>
      <c r="S860" s="98"/>
      <c r="T860" s="98"/>
      <c r="U860" s="98"/>
      <c r="V860" s="98"/>
      <c r="W860" s="98"/>
      <c r="X860" s="98"/>
      <c r="Y860" s="98"/>
      <c r="Z860" s="98"/>
      <c r="AA860" s="98"/>
      <c r="AB860" s="98"/>
      <c r="AC860" s="98"/>
      <c r="AD860" s="98"/>
      <c r="AE860" s="98"/>
      <c r="AF860" s="98"/>
      <c r="AG860" s="98"/>
    </row>
    <row r="861" ht="15.75" customHeight="1">
      <c r="A861" s="98"/>
      <c r="B861" s="98"/>
      <c r="C861" s="98"/>
      <c r="D861" s="98"/>
      <c r="E861" s="98"/>
      <c r="F861" s="98"/>
      <c r="G861" s="98"/>
      <c r="H861" s="98"/>
      <c r="I861" s="98"/>
      <c r="J861" s="98"/>
      <c r="K861" s="98"/>
      <c r="L861" s="98"/>
      <c r="M861" s="98"/>
      <c r="N861" s="98"/>
      <c r="O861" s="98"/>
      <c r="P861" s="98"/>
      <c r="Q861" s="98"/>
      <c r="R861" s="98"/>
      <c r="S861" s="98"/>
      <c r="T861" s="98"/>
      <c r="U861" s="98"/>
      <c r="V861" s="98"/>
      <c r="W861" s="98"/>
      <c r="X861" s="98"/>
      <c r="Y861" s="98"/>
      <c r="Z861" s="98"/>
      <c r="AA861" s="98"/>
      <c r="AB861" s="98"/>
      <c r="AC861" s="98"/>
      <c r="AD861" s="98"/>
      <c r="AE861" s="98"/>
      <c r="AF861" s="98"/>
      <c r="AG861" s="98"/>
    </row>
    <row r="862" ht="15.75" customHeight="1">
      <c r="A862" s="98"/>
      <c r="B862" s="98"/>
      <c r="C862" s="98"/>
      <c r="D862" s="98"/>
      <c r="E862" s="98"/>
      <c r="F862" s="98"/>
      <c r="G862" s="98"/>
      <c r="H862" s="98"/>
      <c r="I862" s="98"/>
      <c r="J862" s="98"/>
      <c r="K862" s="98"/>
      <c r="L862" s="98"/>
      <c r="M862" s="98"/>
      <c r="N862" s="98"/>
      <c r="O862" s="98"/>
      <c r="P862" s="98"/>
      <c r="Q862" s="98"/>
      <c r="R862" s="98"/>
      <c r="S862" s="98"/>
      <c r="T862" s="98"/>
      <c r="U862" s="98"/>
      <c r="V862" s="98"/>
      <c r="W862" s="98"/>
      <c r="X862" s="98"/>
      <c r="Y862" s="98"/>
      <c r="Z862" s="98"/>
      <c r="AA862" s="98"/>
      <c r="AB862" s="98"/>
      <c r="AC862" s="98"/>
      <c r="AD862" s="98"/>
      <c r="AE862" s="98"/>
      <c r="AF862" s="98"/>
      <c r="AG862" s="98"/>
    </row>
    <row r="863" ht="15.75" customHeight="1">
      <c r="A863" s="98"/>
      <c r="B863" s="98"/>
      <c r="C863" s="98"/>
      <c r="D863" s="98"/>
      <c r="E863" s="98"/>
      <c r="F863" s="98"/>
      <c r="G863" s="98"/>
      <c r="H863" s="98"/>
      <c r="I863" s="98"/>
      <c r="J863" s="98"/>
      <c r="K863" s="98"/>
      <c r="L863" s="98"/>
      <c r="M863" s="98"/>
      <c r="N863" s="98"/>
      <c r="O863" s="98"/>
      <c r="P863" s="98"/>
      <c r="Q863" s="98"/>
      <c r="R863" s="98"/>
      <c r="S863" s="98"/>
      <c r="T863" s="98"/>
      <c r="U863" s="98"/>
      <c r="V863" s="98"/>
      <c r="W863" s="98"/>
      <c r="X863" s="98"/>
      <c r="Y863" s="98"/>
      <c r="Z863" s="98"/>
      <c r="AA863" s="98"/>
      <c r="AB863" s="98"/>
      <c r="AC863" s="98"/>
      <c r="AD863" s="98"/>
      <c r="AE863" s="98"/>
      <c r="AF863" s="98"/>
      <c r="AG863" s="98"/>
    </row>
    <row r="864" ht="15.75" customHeight="1">
      <c r="A864" s="98"/>
      <c r="B864" s="98"/>
      <c r="C864" s="98"/>
      <c r="D864" s="98"/>
      <c r="E864" s="98"/>
      <c r="F864" s="98"/>
      <c r="G864" s="98"/>
      <c r="H864" s="98"/>
      <c r="I864" s="98"/>
      <c r="J864" s="98"/>
      <c r="K864" s="98"/>
      <c r="L864" s="98"/>
      <c r="M864" s="98"/>
      <c r="N864" s="98"/>
      <c r="O864" s="98"/>
      <c r="P864" s="98"/>
      <c r="Q864" s="98"/>
      <c r="R864" s="98"/>
      <c r="S864" s="98"/>
      <c r="T864" s="98"/>
      <c r="U864" s="98"/>
      <c r="V864" s="98"/>
      <c r="W864" s="98"/>
      <c r="X864" s="98"/>
      <c r="Y864" s="98"/>
      <c r="Z864" s="98"/>
      <c r="AA864" s="98"/>
      <c r="AB864" s="98"/>
      <c r="AC864" s="98"/>
      <c r="AD864" s="98"/>
      <c r="AE864" s="98"/>
      <c r="AF864" s="98"/>
      <c r="AG864" s="98"/>
    </row>
    <row r="865" ht="15.75" customHeight="1">
      <c r="A865" s="98"/>
      <c r="B865" s="98"/>
      <c r="C865" s="98"/>
      <c r="D865" s="98"/>
      <c r="E865" s="98"/>
      <c r="F865" s="98"/>
      <c r="G865" s="98"/>
      <c r="H865" s="98"/>
      <c r="I865" s="98"/>
      <c r="J865" s="98"/>
      <c r="K865" s="98"/>
      <c r="L865" s="98"/>
      <c r="M865" s="98"/>
      <c r="N865" s="98"/>
      <c r="O865" s="98"/>
      <c r="P865" s="98"/>
      <c r="Q865" s="98"/>
      <c r="R865" s="98"/>
      <c r="S865" s="98"/>
      <c r="T865" s="98"/>
      <c r="U865" s="98"/>
      <c r="V865" s="98"/>
      <c r="W865" s="98"/>
      <c r="X865" s="98"/>
      <c r="Y865" s="98"/>
      <c r="Z865" s="98"/>
      <c r="AA865" s="98"/>
      <c r="AB865" s="98"/>
      <c r="AC865" s="98"/>
      <c r="AD865" s="98"/>
      <c r="AE865" s="98"/>
      <c r="AF865" s="98"/>
      <c r="AG865" s="98"/>
    </row>
    <row r="866" ht="15.75" customHeight="1">
      <c r="A866" s="98"/>
      <c r="B866" s="98"/>
      <c r="C866" s="98"/>
      <c r="D866" s="98"/>
      <c r="E866" s="98"/>
      <c r="F866" s="98"/>
      <c r="G866" s="98"/>
      <c r="H866" s="98"/>
      <c r="I866" s="98"/>
      <c r="J866" s="98"/>
      <c r="K866" s="98"/>
      <c r="L866" s="98"/>
      <c r="M866" s="98"/>
      <c r="N866" s="98"/>
      <c r="O866" s="98"/>
      <c r="P866" s="98"/>
      <c r="Q866" s="98"/>
      <c r="R866" s="98"/>
      <c r="S866" s="98"/>
      <c r="T866" s="98"/>
      <c r="U866" s="98"/>
      <c r="V866" s="98"/>
      <c r="W866" s="98"/>
      <c r="X866" s="98"/>
      <c r="Y866" s="98"/>
      <c r="Z866" s="98"/>
      <c r="AA866" s="98"/>
      <c r="AB866" s="98"/>
      <c r="AC866" s="98"/>
      <c r="AD866" s="98"/>
      <c r="AE866" s="98"/>
      <c r="AF866" s="98"/>
      <c r="AG866" s="98"/>
    </row>
    <row r="867" ht="15.75" customHeight="1">
      <c r="A867" s="98"/>
      <c r="B867" s="98"/>
      <c r="C867" s="98"/>
      <c r="D867" s="98"/>
      <c r="E867" s="98"/>
      <c r="F867" s="98"/>
      <c r="G867" s="98"/>
      <c r="H867" s="98"/>
      <c r="I867" s="98"/>
      <c r="J867" s="98"/>
      <c r="K867" s="98"/>
      <c r="L867" s="98"/>
      <c r="M867" s="98"/>
      <c r="N867" s="98"/>
      <c r="O867" s="98"/>
      <c r="P867" s="98"/>
      <c r="Q867" s="98"/>
      <c r="R867" s="98"/>
      <c r="S867" s="98"/>
      <c r="T867" s="98"/>
      <c r="U867" s="98"/>
      <c r="V867" s="98"/>
      <c r="W867" s="98"/>
      <c r="X867" s="98"/>
      <c r="Y867" s="98"/>
      <c r="Z867" s="98"/>
      <c r="AA867" s="98"/>
      <c r="AB867" s="98"/>
      <c r="AC867" s="98"/>
      <c r="AD867" s="98"/>
      <c r="AE867" s="98"/>
      <c r="AF867" s="98"/>
      <c r="AG867" s="98"/>
    </row>
    <row r="868" ht="15.75" customHeight="1">
      <c r="A868" s="98"/>
      <c r="B868" s="98"/>
      <c r="C868" s="98"/>
      <c r="D868" s="98"/>
      <c r="E868" s="98"/>
      <c r="F868" s="98"/>
      <c r="G868" s="98"/>
      <c r="H868" s="98"/>
      <c r="I868" s="98"/>
      <c r="J868" s="98"/>
      <c r="K868" s="98"/>
      <c r="L868" s="98"/>
      <c r="M868" s="98"/>
      <c r="N868" s="98"/>
      <c r="O868" s="98"/>
      <c r="P868" s="98"/>
      <c r="Q868" s="98"/>
      <c r="R868" s="98"/>
      <c r="S868" s="98"/>
      <c r="T868" s="98"/>
      <c r="U868" s="98"/>
      <c r="V868" s="98"/>
      <c r="W868" s="98"/>
      <c r="X868" s="98"/>
      <c r="Y868" s="98"/>
      <c r="Z868" s="98"/>
      <c r="AA868" s="98"/>
      <c r="AB868" s="98"/>
      <c r="AC868" s="98"/>
      <c r="AD868" s="98"/>
      <c r="AE868" s="98"/>
      <c r="AF868" s="98"/>
      <c r="AG868" s="98"/>
    </row>
    <row r="869" ht="15.75" customHeight="1">
      <c r="A869" s="98"/>
      <c r="B869" s="98"/>
      <c r="C869" s="98"/>
      <c r="D869" s="98"/>
      <c r="E869" s="98"/>
      <c r="F869" s="98"/>
      <c r="G869" s="98"/>
      <c r="H869" s="98"/>
      <c r="I869" s="98"/>
      <c r="J869" s="98"/>
      <c r="K869" s="98"/>
      <c r="L869" s="98"/>
      <c r="M869" s="98"/>
      <c r="N869" s="98"/>
      <c r="O869" s="98"/>
      <c r="P869" s="98"/>
      <c r="Q869" s="98"/>
      <c r="R869" s="98"/>
      <c r="S869" s="98"/>
      <c r="T869" s="98"/>
      <c r="U869" s="98"/>
      <c r="V869" s="98"/>
      <c r="W869" s="98"/>
      <c r="X869" s="98"/>
      <c r="Y869" s="98"/>
      <c r="Z869" s="98"/>
      <c r="AA869" s="98"/>
      <c r="AB869" s="98"/>
      <c r="AC869" s="98"/>
      <c r="AD869" s="98"/>
      <c r="AE869" s="98"/>
      <c r="AF869" s="98"/>
      <c r="AG869" s="98"/>
    </row>
    <row r="870" ht="15.75" customHeight="1">
      <c r="A870" s="98"/>
      <c r="B870" s="98"/>
      <c r="C870" s="98"/>
      <c r="D870" s="98"/>
      <c r="E870" s="98"/>
      <c r="F870" s="98"/>
      <c r="G870" s="98"/>
      <c r="H870" s="98"/>
      <c r="I870" s="98"/>
      <c r="J870" s="98"/>
      <c r="K870" s="98"/>
      <c r="L870" s="98"/>
      <c r="M870" s="98"/>
      <c r="N870" s="98"/>
      <c r="O870" s="98"/>
      <c r="P870" s="98"/>
      <c r="Q870" s="98"/>
      <c r="R870" s="98"/>
      <c r="S870" s="98"/>
      <c r="T870" s="98"/>
      <c r="U870" s="98"/>
      <c r="V870" s="98"/>
      <c r="W870" s="98"/>
      <c r="X870" s="98"/>
      <c r="Y870" s="98"/>
      <c r="Z870" s="98"/>
      <c r="AA870" s="98"/>
      <c r="AB870" s="98"/>
      <c r="AC870" s="98"/>
      <c r="AD870" s="98"/>
      <c r="AE870" s="98"/>
      <c r="AF870" s="98"/>
      <c r="AG870" s="98"/>
    </row>
    <row r="871" ht="15.75" customHeight="1">
      <c r="A871" s="98"/>
      <c r="B871" s="98"/>
      <c r="C871" s="98"/>
      <c r="D871" s="98"/>
      <c r="E871" s="98"/>
      <c r="F871" s="98"/>
      <c r="G871" s="98"/>
      <c r="H871" s="98"/>
      <c r="I871" s="98"/>
      <c r="J871" s="98"/>
      <c r="K871" s="98"/>
      <c r="L871" s="98"/>
      <c r="M871" s="98"/>
      <c r="N871" s="98"/>
      <c r="O871" s="98"/>
      <c r="P871" s="98"/>
      <c r="Q871" s="98"/>
      <c r="R871" s="98"/>
      <c r="S871" s="98"/>
      <c r="T871" s="98"/>
      <c r="U871" s="98"/>
      <c r="V871" s="98"/>
      <c r="W871" s="98"/>
      <c r="X871" s="98"/>
      <c r="Y871" s="98"/>
      <c r="Z871" s="98"/>
      <c r="AA871" s="98"/>
      <c r="AB871" s="98"/>
      <c r="AC871" s="98"/>
      <c r="AD871" s="98"/>
      <c r="AE871" s="98"/>
      <c r="AF871" s="98"/>
      <c r="AG871" s="98"/>
    </row>
    <row r="872" ht="15.75" customHeight="1">
      <c r="A872" s="98"/>
      <c r="B872" s="98"/>
      <c r="C872" s="98"/>
      <c r="D872" s="98"/>
      <c r="E872" s="98"/>
      <c r="F872" s="98"/>
      <c r="G872" s="98"/>
      <c r="H872" s="98"/>
      <c r="I872" s="98"/>
      <c r="J872" s="98"/>
      <c r="K872" s="98"/>
      <c r="L872" s="98"/>
      <c r="M872" s="98"/>
      <c r="N872" s="98"/>
      <c r="O872" s="98"/>
      <c r="P872" s="98"/>
      <c r="Q872" s="98"/>
      <c r="R872" s="98"/>
      <c r="S872" s="98"/>
      <c r="T872" s="98"/>
      <c r="U872" s="98"/>
      <c r="V872" s="98"/>
      <c r="W872" s="98"/>
      <c r="X872" s="98"/>
      <c r="Y872" s="98"/>
      <c r="Z872" s="98"/>
      <c r="AA872" s="98"/>
      <c r="AB872" s="98"/>
      <c r="AC872" s="98"/>
      <c r="AD872" s="98"/>
      <c r="AE872" s="98"/>
      <c r="AF872" s="98"/>
      <c r="AG872" s="98"/>
    </row>
    <row r="873" ht="15.75" customHeight="1">
      <c r="A873" s="98"/>
      <c r="B873" s="98"/>
      <c r="C873" s="98"/>
      <c r="D873" s="98"/>
      <c r="E873" s="98"/>
      <c r="F873" s="98"/>
      <c r="G873" s="98"/>
      <c r="H873" s="98"/>
      <c r="I873" s="98"/>
      <c r="J873" s="98"/>
      <c r="K873" s="98"/>
      <c r="L873" s="98"/>
      <c r="M873" s="98"/>
      <c r="N873" s="98"/>
      <c r="O873" s="98"/>
      <c r="P873" s="98"/>
      <c r="Q873" s="98"/>
      <c r="R873" s="98"/>
      <c r="S873" s="98"/>
      <c r="T873" s="98"/>
      <c r="U873" s="98"/>
      <c r="V873" s="98"/>
      <c r="W873" s="98"/>
      <c r="X873" s="98"/>
      <c r="Y873" s="98"/>
      <c r="Z873" s="98"/>
      <c r="AA873" s="98"/>
      <c r="AB873" s="98"/>
      <c r="AC873" s="98"/>
      <c r="AD873" s="98"/>
      <c r="AE873" s="98"/>
      <c r="AF873" s="98"/>
      <c r="AG873" s="98"/>
    </row>
    <row r="874" ht="15.75" customHeight="1">
      <c r="A874" s="98"/>
      <c r="B874" s="98"/>
      <c r="C874" s="98"/>
      <c r="D874" s="98"/>
      <c r="E874" s="98"/>
      <c r="F874" s="98"/>
      <c r="G874" s="98"/>
      <c r="H874" s="98"/>
      <c r="I874" s="98"/>
      <c r="J874" s="98"/>
      <c r="K874" s="98"/>
      <c r="L874" s="98"/>
      <c r="M874" s="98"/>
      <c r="N874" s="98"/>
      <c r="O874" s="98"/>
      <c r="P874" s="98"/>
      <c r="Q874" s="98"/>
      <c r="R874" s="98"/>
      <c r="S874" s="98"/>
      <c r="T874" s="98"/>
      <c r="U874" s="98"/>
      <c r="V874" s="98"/>
      <c r="W874" s="98"/>
      <c r="X874" s="98"/>
      <c r="Y874" s="98"/>
      <c r="Z874" s="98"/>
      <c r="AA874" s="98"/>
      <c r="AB874" s="98"/>
      <c r="AC874" s="98"/>
      <c r="AD874" s="98"/>
      <c r="AE874" s="98"/>
      <c r="AF874" s="98"/>
      <c r="AG874" s="98"/>
    </row>
    <row r="875" ht="15.75" customHeight="1">
      <c r="A875" s="98"/>
      <c r="B875" s="98"/>
      <c r="C875" s="98"/>
      <c r="D875" s="98"/>
      <c r="E875" s="98"/>
      <c r="F875" s="98"/>
      <c r="G875" s="98"/>
      <c r="H875" s="98"/>
      <c r="I875" s="98"/>
      <c r="J875" s="98"/>
      <c r="K875" s="98"/>
      <c r="L875" s="98"/>
      <c r="M875" s="98"/>
      <c r="N875" s="98"/>
      <c r="O875" s="98"/>
      <c r="P875" s="98"/>
      <c r="Q875" s="98"/>
      <c r="R875" s="98"/>
      <c r="S875" s="98"/>
      <c r="T875" s="98"/>
      <c r="U875" s="98"/>
      <c r="V875" s="98"/>
      <c r="W875" s="98"/>
      <c r="X875" s="98"/>
      <c r="Y875" s="98"/>
      <c r="Z875" s="98"/>
      <c r="AA875" s="98"/>
      <c r="AB875" s="98"/>
      <c r="AC875" s="98"/>
      <c r="AD875" s="98"/>
      <c r="AE875" s="98"/>
      <c r="AF875" s="98"/>
      <c r="AG875" s="98"/>
    </row>
    <row r="876" ht="15.75" customHeight="1">
      <c r="A876" s="98"/>
      <c r="B876" s="98"/>
      <c r="C876" s="98"/>
      <c r="D876" s="98"/>
      <c r="E876" s="98"/>
      <c r="F876" s="98"/>
      <c r="G876" s="98"/>
      <c r="H876" s="98"/>
      <c r="I876" s="98"/>
      <c r="J876" s="98"/>
      <c r="K876" s="98"/>
      <c r="L876" s="98"/>
      <c r="M876" s="98"/>
      <c r="N876" s="98"/>
      <c r="O876" s="98"/>
      <c r="P876" s="98"/>
      <c r="Q876" s="98"/>
      <c r="R876" s="98"/>
      <c r="S876" s="98"/>
      <c r="T876" s="98"/>
      <c r="U876" s="98"/>
      <c r="V876" s="98"/>
      <c r="W876" s="98"/>
      <c r="X876" s="98"/>
      <c r="Y876" s="98"/>
      <c r="Z876" s="98"/>
      <c r="AA876" s="98"/>
      <c r="AB876" s="98"/>
      <c r="AC876" s="98"/>
      <c r="AD876" s="98"/>
      <c r="AE876" s="98"/>
      <c r="AF876" s="98"/>
      <c r="AG876" s="98"/>
    </row>
    <row r="877" ht="15.75" customHeight="1">
      <c r="A877" s="98"/>
      <c r="B877" s="98"/>
      <c r="C877" s="98"/>
      <c r="D877" s="98"/>
      <c r="E877" s="98"/>
      <c r="F877" s="98"/>
      <c r="G877" s="98"/>
      <c r="H877" s="98"/>
      <c r="I877" s="98"/>
      <c r="J877" s="98"/>
      <c r="K877" s="98"/>
      <c r="L877" s="98"/>
      <c r="M877" s="98"/>
      <c r="N877" s="98"/>
      <c r="O877" s="98"/>
      <c r="P877" s="98"/>
      <c r="Q877" s="98"/>
      <c r="R877" s="98"/>
      <c r="S877" s="98"/>
      <c r="T877" s="98"/>
      <c r="U877" s="98"/>
      <c r="V877" s="98"/>
      <c r="W877" s="98"/>
      <c r="X877" s="98"/>
      <c r="Y877" s="98"/>
      <c r="Z877" s="98"/>
      <c r="AA877" s="98"/>
      <c r="AB877" s="98"/>
      <c r="AC877" s="98"/>
      <c r="AD877" s="98"/>
      <c r="AE877" s="98"/>
      <c r="AF877" s="98"/>
      <c r="AG877" s="98"/>
    </row>
    <row r="878" ht="15.75" customHeight="1">
      <c r="A878" s="98"/>
      <c r="B878" s="98"/>
      <c r="C878" s="98"/>
      <c r="D878" s="98"/>
      <c r="E878" s="98"/>
      <c r="F878" s="98"/>
      <c r="G878" s="98"/>
      <c r="H878" s="98"/>
      <c r="I878" s="98"/>
      <c r="J878" s="98"/>
      <c r="K878" s="98"/>
      <c r="L878" s="98"/>
      <c r="M878" s="98"/>
      <c r="N878" s="98"/>
      <c r="O878" s="98"/>
      <c r="P878" s="98"/>
      <c r="Q878" s="98"/>
      <c r="R878" s="98"/>
      <c r="S878" s="98"/>
      <c r="T878" s="98"/>
      <c r="U878" s="98"/>
      <c r="V878" s="98"/>
      <c r="W878" s="98"/>
      <c r="X878" s="98"/>
      <c r="Y878" s="98"/>
      <c r="Z878" s="98"/>
      <c r="AA878" s="98"/>
      <c r="AB878" s="98"/>
      <c r="AC878" s="98"/>
      <c r="AD878" s="98"/>
      <c r="AE878" s="98"/>
      <c r="AF878" s="98"/>
      <c r="AG878" s="98"/>
    </row>
    <row r="879" ht="15.75" customHeight="1">
      <c r="A879" s="98"/>
      <c r="B879" s="98"/>
      <c r="C879" s="98"/>
      <c r="D879" s="98"/>
      <c r="E879" s="98"/>
      <c r="F879" s="98"/>
      <c r="G879" s="98"/>
      <c r="H879" s="98"/>
      <c r="I879" s="98"/>
      <c r="J879" s="98"/>
      <c r="K879" s="98"/>
      <c r="L879" s="98"/>
      <c r="M879" s="98"/>
      <c r="N879" s="98"/>
      <c r="O879" s="98"/>
      <c r="P879" s="98"/>
      <c r="Q879" s="98"/>
      <c r="R879" s="98"/>
      <c r="S879" s="98"/>
      <c r="T879" s="98"/>
      <c r="U879" s="98"/>
      <c r="V879" s="98"/>
      <c r="W879" s="98"/>
      <c r="X879" s="98"/>
      <c r="Y879" s="98"/>
      <c r="Z879" s="98"/>
      <c r="AA879" s="98"/>
      <c r="AB879" s="98"/>
      <c r="AC879" s="98"/>
      <c r="AD879" s="98"/>
      <c r="AE879" s="98"/>
      <c r="AF879" s="98"/>
      <c r="AG879" s="98"/>
    </row>
    <row r="880" ht="15.75" customHeight="1">
      <c r="A880" s="98"/>
      <c r="B880" s="98"/>
      <c r="C880" s="98"/>
      <c r="D880" s="98"/>
      <c r="E880" s="98"/>
      <c r="F880" s="98"/>
      <c r="G880" s="98"/>
      <c r="H880" s="98"/>
      <c r="I880" s="98"/>
      <c r="J880" s="98"/>
      <c r="K880" s="98"/>
      <c r="L880" s="98"/>
      <c r="M880" s="98"/>
      <c r="N880" s="98"/>
      <c r="O880" s="98"/>
      <c r="P880" s="98"/>
      <c r="Q880" s="98"/>
      <c r="R880" s="98"/>
      <c r="S880" s="98"/>
      <c r="T880" s="98"/>
      <c r="U880" s="98"/>
      <c r="V880" s="98"/>
      <c r="W880" s="98"/>
      <c r="X880" s="98"/>
      <c r="Y880" s="98"/>
      <c r="Z880" s="98"/>
      <c r="AA880" s="98"/>
      <c r="AB880" s="98"/>
      <c r="AC880" s="98"/>
      <c r="AD880" s="98"/>
      <c r="AE880" s="98"/>
      <c r="AF880" s="98"/>
      <c r="AG880" s="98"/>
    </row>
    <row r="881" ht="15.75" customHeight="1">
      <c r="A881" s="98"/>
      <c r="B881" s="98"/>
      <c r="C881" s="98"/>
      <c r="D881" s="98"/>
      <c r="E881" s="98"/>
      <c r="F881" s="98"/>
      <c r="G881" s="98"/>
      <c r="H881" s="98"/>
      <c r="I881" s="98"/>
      <c r="J881" s="98"/>
      <c r="K881" s="98"/>
      <c r="L881" s="98"/>
      <c r="M881" s="98"/>
      <c r="N881" s="98"/>
      <c r="O881" s="98"/>
      <c r="P881" s="98"/>
      <c r="Q881" s="98"/>
      <c r="R881" s="98"/>
      <c r="S881" s="98"/>
      <c r="T881" s="98"/>
      <c r="U881" s="98"/>
      <c r="V881" s="98"/>
      <c r="W881" s="98"/>
      <c r="X881" s="98"/>
      <c r="Y881" s="98"/>
      <c r="Z881" s="98"/>
      <c r="AA881" s="98"/>
      <c r="AB881" s="98"/>
      <c r="AC881" s="98"/>
      <c r="AD881" s="98"/>
      <c r="AE881" s="98"/>
      <c r="AF881" s="98"/>
      <c r="AG881" s="98"/>
    </row>
    <row r="882" ht="15.75" customHeight="1">
      <c r="A882" s="98"/>
      <c r="B882" s="98"/>
      <c r="C882" s="98"/>
      <c r="D882" s="98"/>
      <c r="E882" s="98"/>
      <c r="F882" s="98"/>
      <c r="G882" s="98"/>
      <c r="H882" s="98"/>
      <c r="I882" s="98"/>
      <c r="J882" s="98"/>
      <c r="K882" s="98"/>
      <c r="L882" s="98"/>
      <c r="M882" s="98"/>
      <c r="N882" s="98"/>
      <c r="O882" s="98"/>
      <c r="P882" s="98"/>
      <c r="Q882" s="98"/>
      <c r="R882" s="98"/>
      <c r="S882" s="98"/>
      <c r="T882" s="98"/>
      <c r="U882" s="98"/>
      <c r="V882" s="98"/>
      <c r="W882" s="98"/>
      <c r="X882" s="98"/>
      <c r="Y882" s="98"/>
      <c r="Z882" s="98"/>
      <c r="AA882" s="98"/>
      <c r="AB882" s="98"/>
      <c r="AC882" s="98"/>
      <c r="AD882" s="98"/>
      <c r="AE882" s="98"/>
      <c r="AF882" s="98"/>
      <c r="AG882" s="98"/>
    </row>
    <row r="883" ht="15.75" customHeight="1">
      <c r="A883" s="98"/>
      <c r="B883" s="98"/>
      <c r="C883" s="98"/>
      <c r="D883" s="98"/>
      <c r="E883" s="98"/>
      <c r="F883" s="98"/>
      <c r="G883" s="98"/>
      <c r="H883" s="98"/>
      <c r="I883" s="98"/>
      <c r="J883" s="98"/>
      <c r="K883" s="98"/>
      <c r="L883" s="98"/>
      <c r="M883" s="98"/>
      <c r="N883" s="98"/>
      <c r="O883" s="98"/>
      <c r="P883" s="98"/>
      <c r="Q883" s="98"/>
      <c r="R883" s="98"/>
      <c r="S883" s="98"/>
      <c r="T883" s="98"/>
      <c r="U883" s="98"/>
      <c r="V883" s="98"/>
      <c r="W883" s="98"/>
      <c r="X883" s="98"/>
      <c r="Y883" s="98"/>
      <c r="Z883" s="98"/>
      <c r="AA883" s="98"/>
      <c r="AB883" s="98"/>
      <c r="AC883" s="98"/>
      <c r="AD883" s="98"/>
      <c r="AE883" s="98"/>
      <c r="AF883" s="98"/>
      <c r="AG883" s="98"/>
    </row>
    <row r="884" ht="15.75" customHeight="1">
      <c r="A884" s="98"/>
      <c r="B884" s="98"/>
      <c r="C884" s="98"/>
      <c r="D884" s="98"/>
      <c r="E884" s="98"/>
      <c r="F884" s="98"/>
      <c r="G884" s="98"/>
      <c r="H884" s="98"/>
      <c r="I884" s="98"/>
      <c r="J884" s="98"/>
      <c r="K884" s="98"/>
      <c r="L884" s="98"/>
      <c r="M884" s="98"/>
      <c r="N884" s="98"/>
      <c r="O884" s="98"/>
      <c r="P884" s="98"/>
      <c r="Q884" s="98"/>
      <c r="R884" s="98"/>
      <c r="S884" s="98"/>
      <c r="T884" s="98"/>
      <c r="U884" s="98"/>
      <c r="V884" s="98"/>
      <c r="W884" s="98"/>
      <c r="X884" s="98"/>
      <c r="Y884" s="98"/>
      <c r="Z884" s="98"/>
      <c r="AA884" s="98"/>
      <c r="AB884" s="98"/>
      <c r="AC884" s="98"/>
      <c r="AD884" s="98"/>
      <c r="AE884" s="98"/>
      <c r="AF884" s="98"/>
      <c r="AG884" s="98"/>
    </row>
    <row r="885" ht="15.75" customHeight="1">
      <c r="A885" s="98"/>
      <c r="B885" s="98"/>
      <c r="C885" s="98"/>
      <c r="D885" s="98"/>
      <c r="E885" s="98"/>
      <c r="F885" s="98"/>
      <c r="G885" s="98"/>
      <c r="H885" s="98"/>
      <c r="I885" s="98"/>
      <c r="J885" s="98"/>
      <c r="K885" s="98"/>
      <c r="L885" s="98"/>
      <c r="M885" s="98"/>
      <c r="N885" s="98"/>
      <c r="O885" s="98"/>
      <c r="P885" s="98"/>
      <c r="Q885" s="98"/>
      <c r="R885" s="98"/>
      <c r="S885" s="98"/>
      <c r="T885" s="98"/>
      <c r="U885" s="98"/>
      <c r="V885" s="98"/>
      <c r="W885" s="98"/>
      <c r="X885" s="98"/>
      <c r="Y885" s="98"/>
      <c r="Z885" s="98"/>
      <c r="AA885" s="98"/>
      <c r="AB885" s="98"/>
      <c r="AC885" s="98"/>
      <c r="AD885" s="98"/>
      <c r="AE885" s="98"/>
      <c r="AF885" s="98"/>
      <c r="AG885" s="98"/>
    </row>
    <row r="886" ht="15.75" customHeight="1">
      <c r="A886" s="98"/>
      <c r="B886" s="98"/>
      <c r="C886" s="98"/>
      <c r="D886" s="98"/>
      <c r="E886" s="98"/>
      <c r="F886" s="98"/>
      <c r="G886" s="98"/>
      <c r="H886" s="98"/>
      <c r="I886" s="98"/>
      <c r="J886" s="98"/>
      <c r="K886" s="98"/>
      <c r="L886" s="98"/>
      <c r="M886" s="98"/>
      <c r="N886" s="98"/>
      <c r="O886" s="98"/>
      <c r="P886" s="98"/>
      <c r="Q886" s="98"/>
      <c r="R886" s="98"/>
      <c r="S886" s="98"/>
      <c r="T886" s="98"/>
      <c r="U886" s="98"/>
      <c r="V886" s="98"/>
      <c r="W886" s="98"/>
      <c r="X886" s="98"/>
      <c r="Y886" s="98"/>
      <c r="Z886" s="98"/>
      <c r="AA886" s="98"/>
      <c r="AB886" s="98"/>
      <c r="AC886" s="98"/>
      <c r="AD886" s="98"/>
      <c r="AE886" s="98"/>
      <c r="AF886" s="98"/>
      <c r="AG886" s="98"/>
    </row>
    <row r="887" ht="15.75" customHeight="1">
      <c r="A887" s="98"/>
      <c r="B887" s="98"/>
      <c r="C887" s="98"/>
      <c r="D887" s="98"/>
      <c r="E887" s="98"/>
      <c r="F887" s="98"/>
      <c r="G887" s="98"/>
      <c r="H887" s="98"/>
      <c r="I887" s="98"/>
      <c r="J887" s="98"/>
      <c r="K887" s="98"/>
      <c r="L887" s="98"/>
      <c r="M887" s="98"/>
      <c r="N887" s="98"/>
      <c r="O887" s="98"/>
      <c r="P887" s="98"/>
      <c r="Q887" s="98"/>
      <c r="R887" s="98"/>
      <c r="S887" s="98"/>
      <c r="T887" s="98"/>
      <c r="U887" s="98"/>
      <c r="V887" s="98"/>
      <c r="W887" s="98"/>
      <c r="X887" s="98"/>
      <c r="Y887" s="98"/>
      <c r="Z887" s="98"/>
      <c r="AA887" s="98"/>
      <c r="AB887" s="98"/>
      <c r="AC887" s="98"/>
      <c r="AD887" s="98"/>
      <c r="AE887" s="98"/>
      <c r="AF887" s="98"/>
      <c r="AG887" s="98"/>
    </row>
    <row r="888" ht="15.75" customHeight="1">
      <c r="A888" s="98"/>
      <c r="B888" s="98"/>
      <c r="C888" s="98"/>
      <c r="D888" s="98"/>
      <c r="E888" s="98"/>
      <c r="F888" s="98"/>
      <c r="G888" s="98"/>
      <c r="H888" s="98"/>
      <c r="I888" s="98"/>
      <c r="J888" s="98"/>
      <c r="K888" s="98"/>
      <c r="L888" s="98"/>
      <c r="M888" s="98"/>
      <c r="N888" s="98"/>
      <c r="O888" s="98"/>
      <c r="P888" s="98"/>
      <c r="Q888" s="98"/>
      <c r="R888" s="98"/>
      <c r="S888" s="98"/>
      <c r="T888" s="98"/>
      <c r="U888" s="98"/>
      <c r="V888" s="98"/>
      <c r="W888" s="98"/>
      <c r="X888" s="98"/>
      <c r="Y888" s="98"/>
      <c r="Z888" s="98"/>
      <c r="AA888" s="98"/>
      <c r="AB888" s="98"/>
      <c r="AC888" s="98"/>
      <c r="AD888" s="98"/>
      <c r="AE888" s="98"/>
      <c r="AF888" s="98"/>
      <c r="AG888" s="98"/>
    </row>
    <row r="889" ht="15.75" customHeight="1">
      <c r="A889" s="98"/>
      <c r="B889" s="98"/>
      <c r="C889" s="98"/>
      <c r="D889" s="98"/>
      <c r="E889" s="98"/>
      <c r="F889" s="98"/>
      <c r="G889" s="98"/>
      <c r="H889" s="98"/>
      <c r="I889" s="98"/>
      <c r="J889" s="98"/>
      <c r="K889" s="98"/>
      <c r="L889" s="98"/>
      <c r="M889" s="98"/>
      <c r="N889" s="98"/>
      <c r="O889" s="98"/>
      <c r="P889" s="98"/>
      <c r="Q889" s="98"/>
      <c r="R889" s="98"/>
      <c r="S889" s="98"/>
      <c r="T889" s="98"/>
      <c r="U889" s="98"/>
      <c r="V889" s="98"/>
      <c r="W889" s="98"/>
      <c r="X889" s="98"/>
      <c r="Y889" s="98"/>
      <c r="Z889" s="98"/>
      <c r="AA889" s="98"/>
      <c r="AB889" s="98"/>
      <c r="AC889" s="98"/>
      <c r="AD889" s="98"/>
      <c r="AE889" s="98"/>
      <c r="AF889" s="98"/>
      <c r="AG889" s="98"/>
    </row>
    <row r="890" ht="15.75" customHeight="1">
      <c r="A890" s="98"/>
      <c r="B890" s="98"/>
      <c r="C890" s="98"/>
      <c r="D890" s="98"/>
      <c r="E890" s="98"/>
      <c r="F890" s="98"/>
      <c r="G890" s="98"/>
      <c r="H890" s="98"/>
      <c r="I890" s="98"/>
      <c r="J890" s="98"/>
      <c r="K890" s="98"/>
      <c r="L890" s="98"/>
      <c r="M890" s="98"/>
      <c r="N890" s="98"/>
      <c r="O890" s="98"/>
      <c r="P890" s="98"/>
      <c r="Q890" s="98"/>
      <c r="R890" s="98"/>
      <c r="S890" s="98"/>
      <c r="T890" s="98"/>
      <c r="U890" s="98"/>
      <c r="V890" s="98"/>
      <c r="W890" s="98"/>
      <c r="X890" s="98"/>
      <c r="Y890" s="98"/>
      <c r="Z890" s="98"/>
      <c r="AA890" s="98"/>
      <c r="AB890" s="98"/>
      <c r="AC890" s="98"/>
      <c r="AD890" s="98"/>
      <c r="AE890" s="98"/>
      <c r="AF890" s="98"/>
      <c r="AG890" s="98"/>
    </row>
    <row r="891" ht="15.75" customHeight="1">
      <c r="A891" s="98"/>
      <c r="B891" s="98"/>
      <c r="C891" s="98"/>
      <c r="D891" s="98"/>
      <c r="E891" s="98"/>
      <c r="F891" s="98"/>
      <c r="G891" s="98"/>
      <c r="H891" s="98"/>
      <c r="I891" s="98"/>
      <c r="J891" s="98"/>
      <c r="K891" s="98"/>
      <c r="L891" s="98"/>
      <c r="M891" s="98"/>
      <c r="N891" s="98"/>
      <c r="O891" s="98"/>
      <c r="P891" s="98"/>
      <c r="Q891" s="98"/>
      <c r="R891" s="98"/>
      <c r="S891" s="98"/>
      <c r="T891" s="98"/>
      <c r="U891" s="98"/>
      <c r="V891" s="98"/>
      <c r="W891" s="98"/>
      <c r="X891" s="98"/>
      <c r="Y891" s="98"/>
      <c r="Z891" s="98"/>
      <c r="AA891" s="98"/>
      <c r="AB891" s="98"/>
      <c r="AC891" s="98"/>
      <c r="AD891" s="98"/>
      <c r="AE891" s="98"/>
      <c r="AF891" s="98"/>
      <c r="AG891" s="98"/>
    </row>
    <row r="892" ht="15.75" customHeight="1">
      <c r="A892" s="98"/>
      <c r="B892" s="98"/>
      <c r="C892" s="98"/>
      <c r="D892" s="98"/>
      <c r="E892" s="98"/>
      <c r="F892" s="98"/>
      <c r="G892" s="98"/>
      <c r="H892" s="98"/>
      <c r="I892" s="98"/>
      <c r="J892" s="98"/>
      <c r="K892" s="98"/>
      <c r="L892" s="98"/>
      <c r="M892" s="98"/>
      <c r="N892" s="98"/>
      <c r="O892" s="98"/>
      <c r="P892" s="98"/>
      <c r="Q892" s="98"/>
      <c r="R892" s="98"/>
      <c r="S892" s="98"/>
      <c r="T892" s="98"/>
      <c r="U892" s="98"/>
      <c r="V892" s="98"/>
      <c r="W892" s="98"/>
      <c r="X892" s="98"/>
      <c r="Y892" s="98"/>
      <c r="Z892" s="98"/>
      <c r="AA892" s="98"/>
      <c r="AB892" s="98"/>
      <c r="AC892" s="98"/>
      <c r="AD892" s="98"/>
      <c r="AE892" s="98"/>
      <c r="AF892" s="98"/>
      <c r="AG892" s="98"/>
    </row>
    <row r="893" ht="15.75" customHeight="1">
      <c r="A893" s="98"/>
      <c r="B893" s="98"/>
      <c r="C893" s="98"/>
      <c r="D893" s="98"/>
      <c r="E893" s="98"/>
      <c r="F893" s="98"/>
      <c r="G893" s="98"/>
      <c r="H893" s="98"/>
      <c r="I893" s="98"/>
      <c r="J893" s="98"/>
      <c r="K893" s="98"/>
      <c r="L893" s="98"/>
      <c r="M893" s="98"/>
      <c r="N893" s="98"/>
      <c r="O893" s="98"/>
      <c r="P893" s="98"/>
      <c r="Q893" s="98"/>
      <c r="R893" s="98"/>
      <c r="S893" s="98"/>
      <c r="T893" s="98"/>
      <c r="U893" s="98"/>
      <c r="V893" s="98"/>
      <c r="W893" s="98"/>
      <c r="X893" s="98"/>
      <c r="Y893" s="98"/>
      <c r="Z893" s="98"/>
      <c r="AA893" s="98"/>
      <c r="AB893" s="98"/>
      <c r="AC893" s="98"/>
      <c r="AD893" s="98"/>
      <c r="AE893" s="98"/>
      <c r="AF893" s="98"/>
      <c r="AG893" s="98"/>
    </row>
    <row r="894" ht="15.75" customHeight="1">
      <c r="A894" s="98"/>
      <c r="B894" s="98"/>
      <c r="C894" s="98"/>
      <c r="D894" s="98"/>
      <c r="E894" s="98"/>
      <c r="F894" s="98"/>
      <c r="G894" s="98"/>
      <c r="H894" s="98"/>
      <c r="I894" s="98"/>
      <c r="J894" s="98"/>
      <c r="K894" s="98"/>
      <c r="L894" s="98"/>
      <c r="M894" s="98"/>
      <c r="N894" s="98"/>
      <c r="O894" s="98"/>
      <c r="P894" s="98"/>
      <c r="Q894" s="98"/>
      <c r="R894" s="98"/>
      <c r="S894" s="98"/>
      <c r="T894" s="98"/>
      <c r="U894" s="98"/>
      <c r="V894" s="98"/>
      <c r="W894" s="98"/>
      <c r="X894" s="98"/>
      <c r="Y894" s="98"/>
      <c r="Z894" s="98"/>
      <c r="AA894" s="98"/>
      <c r="AB894" s="98"/>
      <c r="AC894" s="98"/>
      <c r="AD894" s="98"/>
      <c r="AE894" s="98"/>
      <c r="AF894" s="98"/>
      <c r="AG894" s="98"/>
    </row>
    <row r="895" ht="15.75" customHeight="1">
      <c r="A895" s="98"/>
      <c r="B895" s="98"/>
      <c r="C895" s="98"/>
      <c r="D895" s="98"/>
      <c r="E895" s="98"/>
      <c r="F895" s="98"/>
      <c r="G895" s="98"/>
      <c r="H895" s="98"/>
      <c r="I895" s="98"/>
      <c r="J895" s="98"/>
      <c r="K895" s="98"/>
      <c r="L895" s="98"/>
      <c r="M895" s="98"/>
      <c r="N895" s="98"/>
      <c r="O895" s="98"/>
      <c r="P895" s="98"/>
      <c r="Q895" s="98"/>
      <c r="R895" s="98"/>
      <c r="S895" s="98"/>
      <c r="T895" s="98"/>
      <c r="U895" s="98"/>
      <c r="V895" s="98"/>
      <c r="W895" s="98"/>
      <c r="X895" s="98"/>
      <c r="Y895" s="98"/>
      <c r="Z895" s="98"/>
      <c r="AA895" s="98"/>
      <c r="AB895" s="98"/>
      <c r="AC895" s="98"/>
      <c r="AD895" s="98"/>
      <c r="AE895" s="98"/>
      <c r="AF895" s="98"/>
      <c r="AG895" s="98"/>
    </row>
    <row r="896" ht="15.75" customHeight="1">
      <c r="A896" s="98"/>
      <c r="B896" s="98"/>
      <c r="C896" s="98"/>
      <c r="D896" s="98"/>
      <c r="E896" s="98"/>
      <c r="F896" s="98"/>
      <c r="G896" s="98"/>
      <c r="H896" s="98"/>
      <c r="I896" s="98"/>
      <c r="J896" s="98"/>
      <c r="K896" s="98"/>
      <c r="L896" s="98"/>
      <c r="M896" s="98"/>
      <c r="N896" s="98"/>
      <c r="O896" s="98"/>
      <c r="P896" s="98"/>
      <c r="Q896" s="98"/>
      <c r="R896" s="98"/>
      <c r="S896" s="98"/>
      <c r="T896" s="98"/>
      <c r="U896" s="98"/>
      <c r="V896" s="98"/>
      <c r="W896" s="98"/>
      <c r="X896" s="98"/>
      <c r="Y896" s="98"/>
      <c r="Z896" s="98"/>
      <c r="AA896" s="98"/>
      <c r="AB896" s="98"/>
      <c r="AC896" s="98"/>
      <c r="AD896" s="98"/>
      <c r="AE896" s="98"/>
      <c r="AF896" s="98"/>
      <c r="AG896" s="98"/>
    </row>
    <row r="897" ht="15.75" customHeight="1">
      <c r="A897" s="98"/>
      <c r="B897" s="98"/>
      <c r="C897" s="98"/>
      <c r="D897" s="98"/>
      <c r="E897" s="98"/>
      <c r="F897" s="98"/>
      <c r="G897" s="98"/>
      <c r="H897" s="98"/>
      <c r="I897" s="98"/>
      <c r="J897" s="98"/>
      <c r="K897" s="98"/>
      <c r="L897" s="98"/>
      <c r="M897" s="98"/>
      <c r="N897" s="98"/>
      <c r="O897" s="98"/>
      <c r="P897" s="98"/>
      <c r="Q897" s="98"/>
      <c r="R897" s="98"/>
      <c r="S897" s="98"/>
      <c r="T897" s="98"/>
      <c r="U897" s="98"/>
      <c r="V897" s="98"/>
      <c r="W897" s="98"/>
      <c r="X897" s="98"/>
      <c r="Y897" s="98"/>
      <c r="Z897" s="98"/>
      <c r="AA897" s="98"/>
      <c r="AB897" s="98"/>
      <c r="AC897" s="98"/>
      <c r="AD897" s="98"/>
      <c r="AE897" s="98"/>
      <c r="AF897" s="98"/>
      <c r="AG897" s="98"/>
    </row>
    <row r="898" ht="15.75" customHeight="1">
      <c r="A898" s="98"/>
      <c r="B898" s="98"/>
      <c r="C898" s="98"/>
      <c r="D898" s="98"/>
      <c r="E898" s="98"/>
      <c r="F898" s="98"/>
      <c r="G898" s="98"/>
      <c r="H898" s="98"/>
      <c r="I898" s="98"/>
      <c r="J898" s="98"/>
      <c r="K898" s="98"/>
      <c r="L898" s="98"/>
      <c r="M898" s="98"/>
      <c r="N898" s="98"/>
      <c r="O898" s="98"/>
      <c r="P898" s="98"/>
      <c r="Q898" s="98"/>
      <c r="R898" s="98"/>
      <c r="S898" s="98"/>
      <c r="T898" s="98"/>
      <c r="U898" s="98"/>
      <c r="V898" s="98"/>
      <c r="W898" s="98"/>
      <c r="X898" s="98"/>
      <c r="Y898" s="98"/>
      <c r="Z898" s="98"/>
      <c r="AA898" s="98"/>
      <c r="AB898" s="98"/>
      <c r="AC898" s="98"/>
      <c r="AD898" s="98"/>
      <c r="AE898" s="98"/>
      <c r="AF898" s="98"/>
      <c r="AG898" s="98"/>
    </row>
    <row r="899" ht="15.75" customHeight="1">
      <c r="A899" s="98"/>
      <c r="B899" s="98"/>
      <c r="C899" s="98"/>
      <c r="D899" s="98"/>
      <c r="E899" s="98"/>
      <c r="F899" s="98"/>
      <c r="G899" s="98"/>
      <c r="H899" s="98"/>
      <c r="I899" s="98"/>
      <c r="J899" s="98"/>
      <c r="K899" s="98"/>
      <c r="L899" s="98"/>
      <c r="M899" s="98"/>
      <c r="N899" s="98"/>
      <c r="O899" s="98"/>
      <c r="P899" s="98"/>
      <c r="Q899" s="98"/>
      <c r="R899" s="98"/>
      <c r="S899" s="98"/>
      <c r="T899" s="98"/>
      <c r="U899" s="98"/>
      <c r="V899" s="98"/>
      <c r="W899" s="98"/>
      <c r="X899" s="98"/>
      <c r="Y899" s="98"/>
      <c r="Z899" s="98"/>
      <c r="AA899" s="98"/>
      <c r="AB899" s="98"/>
      <c r="AC899" s="98"/>
      <c r="AD899" s="98"/>
      <c r="AE899" s="98"/>
      <c r="AF899" s="98"/>
      <c r="AG899" s="98"/>
    </row>
    <row r="900" ht="15.75" customHeight="1">
      <c r="A900" s="98"/>
      <c r="B900" s="98"/>
      <c r="C900" s="98"/>
      <c r="D900" s="98"/>
      <c r="E900" s="98"/>
      <c r="F900" s="98"/>
      <c r="G900" s="98"/>
      <c r="H900" s="98"/>
      <c r="I900" s="98"/>
      <c r="J900" s="98"/>
      <c r="K900" s="98"/>
      <c r="L900" s="98"/>
      <c r="M900" s="98"/>
      <c r="N900" s="98"/>
      <c r="O900" s="98"/>
      <c r="P900" s="98"/>
      <c r="Q900" s="98"/>
      <c r="R900" s="98"/>
      <c r="S900" s="98"/>
      <c r="T900" s="98"/>
      <c r="U900" s="98"/>
      <c r="V900" s="98"/>
      <c r="W900" s="98"/>
      <c r="X900" s="98"/>
      <c r="Y900" s="98"/>
      <c r="Z900" s="98"/>
      <c r="AA900" s="98"/>
      <c r="AB900" s="98"/>
      <c r="AC900" s="98"/>
      <c r="AD900" s="98"/>
      <c r="AE900" s="98"/>
      <c r="AF900" s="98"/>
      <c r="AG900" s="98"/>
    </row>
    <row r="901" ht="15.75" customHeight="1">
      <c r="A901" s="98"/>
      <c r="B901" s="98"/>
      <c r="C901" s="98"/>
      <c r="D901" s="98"/>
      <c r="E901" s="98"/>
      <c r="F901" s="98"/>
      <c r="G901" s="98"/>
      <c r="H901" s="98"/>
      <c r="I901" s="98"/>
      <c r="J901" s="98"/>
      <c r="K901" s="98"/>
      <c r="L901" s="98"/>
      <c r="M901" s="98"/>
      <c r="N901" s="98"/>
      <c r="O901" s="98"/>
      <c r="P901" s="98"/>
      <c r="Q901" s="98"/>
      <c r="R901" s="98"/>
      <c r="S901" s="98"/>
      <c r="T901" s="98"/>
      <c r="U901" s="98"/>
      <c r="V901" s="98"/>
      <c r="W901" s="98"/>
      <c r="X901" s="98"/>
      <c r="Y901" s="98"/>
      <c r="Z901" s="98"/>
      <c r="AA901" s="98"/>
      <c r="AB901" s="98"/>
      <c r="AC901" s="98"/>
      <c r="AD901" s="98"/>
      <c r="AE901" s="98"/>
      <c r="AF901" s="98"/>
      <c r="AG901" s="98"/>
    </row>
    <row r="902" ht="15.75" customHeight="1">
      <c r="A902" s="98"/>
      <c r="B902" s="98"/>
      <c r="C902" s="98"/>
      <c r="D902" s="98"/>
      <c r="E902" s="98"/>
      <c r="F902" s="98"/>
      <c r="G902" s="98"/>
      <c r="H902" s="98"/>
      <c r="I902" s="98"/>
      <c r="J902" s="98"/>
      <c r="K902" s="98"/>
      <c r="L902" s="98"/>
      <c r="M902" s="98"/>
      <c r="N902" s="98"/>
      <c r="O902" s="98"/>
      <c r="P902" s="98"/>
      <c r="Q902" s="98"/>
      <c r="R902" s="98"/>
      <c r="S902" s="98"/>
      <c r="T902" s="98"/>
      <c r="U902" s="98"/>
      <c r="V902" s="98"/>
      <c r="W902" s="98"/>
      <c r="X902" s="98"/>
      <c r="Y902" s="98"/>
      <c r="Z902" s="98"/>
      <c r="AA902" s="98"/>
      <c r="AB902" s="98"/>
      <c r="AC902" s="98"/>
      <c r="AD902" s="98"/>
      <c r="AE902" s="98"/>
      <c r="AF902" s="98"/>
      <c r="AG902" s="98"/>
    </row>
    <row r="903" ht="15.75" customHeight="1">
      <c r="A903" s="98"/>
      <c r="B903" s="98"/>
      <c r="C903" s="98"/>
      <c r="D903" s="98"/>
      <c r="E903" s="98"/>
      <c r="F903" s="98"/>
      <c r="G903" s="98"/>
      <c r="H903" s="98"/>
      <c r="I903" s="98"/>
      <c r="J903" s="98"/>
      <c r="K903" s="98"/>
      <c r="L903" s="98"/>
      <c r="M903" s="98"/>
      <c r="N903" s="98"/>
      <c r="O903" s="98"/>
      <c r="P903" s="98"/>
      <c r="Q903" s="98"/>
      <c r="R903" s="98"/>
      <c r="S903" s="98"/>
      <c r="T903" s="98"/>
      <c r="U903" s="98"/>
      <c r="V903" s="98"/>
      <c r="W903" s="98"/>
      <c r="X903" s="98"/>
      <c r="Y903" s="98"/>
      <c r="Z903" s="98"/>
      <c r="AA903" s="98"/>
      <c r="AB903" s="98"/>
      <c r="AC903" s="98"/>
      <c r="AD903" s="98"/>
      <c r="AE903" s="98"/>
      <c r="AF903" s="98"/>
      <c r="AG903" s="98"/>
    </row>
    <row r="904" ht="15.75" customHeight="1">
      <c r="A904" s="98"/>
      <c r="B904" s="98"/>
      <c r="C904" s="98"/>
      <c r="D904" s="98"/>
      <c r="E904" s="98"/>
      <c r="F904" s="98"/>
      <c r="G904" s="98"/>
      <c r="H904" s="98"/>
      <c r="I904" s="98"/>
      <c r="J904" s="98"/>
      <c r="K904" s="98"/>
      <c r="L904" s="98"/>
      <c r="M904" s="98"/>
      <c r="N904" s="98"/>
      <c r="O904" s="98"/>
      <c r="P904" s="98"/>
      <c r="Q904" s="98"/>
      <c r="R904" s="98"/>
      <c r="S904" s="98"/>
      <c r="T904" s="98"/>
      <c r="U904" s="98"/>
      <c r="V904" s="98"/>
      <c r="W904" s="98"/>
      <c r="X904" s="98"/>
      <c r="Y904" s="98"/>
      <c r="Z904" s="98"/>
      <c r="AA904" s="98"/>
      <c r="AB904" s="98"/>
      <c r="AC904" s="98"/>
      <c r="AD904" s="98"/>
      <c r="AE904" s="98"/>
      <c r="AF904" s="98"/>
      <c r="AG904" s="98"/>
    </row>
    <row r="905" ht="15.75" customHeight="1">
      <c r="A905" s="98"/>
      <c r="B905" s="98"/>
      <c r="C905" s="98"/>
      <c r="D905" s="98"/>
      <c r="E905" s="98"/>
      <c r="F905" s="98"/>
      <c r="G905" s="98"/>
      <c r="H905" s="98"/>
      <c r="I905" s="98"/>
      <c r="J905" s="98"/>
      <c r="K905" s="98"/>
      <c r="L905" s="98"/>
      <c r="M905" s="98"/>
      <c r="N905" s="98"/>
      <c r="O905" s="98"/>
      <c r="P905" s="98"/>
      <c r="Q905" s="98"/>
      <c r="R905" s="98"/>
      <c r="S905" s="98"/>
      <c r="T905" s="98"/>
      <c r="U905" s="98"/>
      <c r="V905" s="98"/>
      <c r="W905" s="98"/>
      <c r="X905" s="98"/>
      <c r="Y905" s="98"/>
      <c r="Z905" s="98"/>
      <c r="AA905" s="98"/>
      <c r="AB905" s="98"/>
      <c r="AC905" s="98"/>
      <c r="AD905" s="98"/>
      <c r="AE905" s="98"/>
      <c r="AF905" s="98"/>
      <c r="AG905" s="98"/>
    </row>
    <row r="906" ht="15.75" customHeight="1">
      <c r="A906" s="98"/>
      <c r="B906" s="98"/>
      <c r="C906" s="98"/>
      <c r="D906" s="98"/>
      <c r="E906" s="98"/>
      <c r="F906" s="98"/>
      <c r="G906" s="98"/>
      <c r="H906" s="98"/>
      <c r="I906" s="98"/>
      <c r="J906" s="98"/>
      <c r="K906" s="98"/>
      <c r="L906" s="98"/>
      <c r="M906" s="98"/>
      <c r="N906" s="98"/>
      <c r="O906" s="98"/>
      <c r="P906" s="98"/>
      <c r="Q906" s="98"/>
      <c r="R906" s="98"/>
      <c r="S906" s="98"/>
      <c r="T906" s="98"/>
      <c r="U906" s="98"/>
      <c r="V906" s="98"/>
      <c r="W906" s="98"/>
      <c r="X906" s="98"/>
      <c r="Y906" s="98"/>
      <c r="Z906" s="98"/>
      <c r="AA906" s="98"/>
      <c r="AB906" s="98"/>
      <c r="AC906" s="98"/>
      <c r="AD906" s="98"/>
      <c r="AE906" s="98"/>
      <c r="AF906" s="98"/>
      <c r="AG906" s="98"/>
    </row>
    <row r="907" ht="15.75" customHeight="1">
      <c r="A907" s="98"/>
      <c r="B907" s="98"/>
      <c r="C907" s="98"/>
      <c r="D907" s="98"/>
      <c r="E907" s="98"/>
      <c r="F907" s="98"/>
      <c r="G907" s="98"/>
      <c r="H907" s="98"/>
      <c r="I907" s="98"/>
      <c r="J907" s="98"/>
      <c r="K907" s="98"/>
      <c r="L907" s="98"/>
      <c r="M907" s="98"/>
      <c r="N907" s="98"/>
      <c r="O907" s="98"/>
      <c r="P907" s="98"/>
      <c r="Q907" s="98"/>
      <c r="R907" s="98"/>
      <c r="S907" s="98"/>
      <c r="T907" s="98"/>
      <c r="U907" s="98"/>
      <c r="V907" s="98"/>
      <c r="W907" s="98"/>
      <c r="X907" s="98"/>
      <c r="Y907" s="98"/>
      <c r="Z907" s="98"/>
      <c r="AA907" s="98"/>
      <c r="AB907" s="98"/>
      <c r="AC907" s="98"/>
      <c r="AD907" s="98"/>
      <c r="AE907" s="98"/>
      <c r="AF907" s="98"/>
      <c r="AG907" s="98"/>
    </row>
    <row r="908" ht="15.75" customHeight="1">
      <c r="A908" s="98"/>
      <c r="B908" s="98"/>
      <c r="C908" s="98"/>
      <c r="D908" s="98"/>
      <c r="E908" s="98"/>
      <c r="F908" s="98"/>
      <c r="G908" s="98"/>
      <c r="H908" s="98"/>
      <c r="I908" s="98"/>
      <c r="J908" s="98"/>
      <c r="K908" s="98"/>
      <c r="L908" s="98"/>
      <c r="M908" s="98"/>
      <c r="N908" s="98"/>
      <c r="O908" s="98"/>
      <c r="P908" s="98"/>
      <c r="Q908" s="98"/>
      <c r="R908" s="98"/>
      <c r="S908" s="98"/>
      <c r="T908" s="98"/>
      <c r="U908" s="98"/>
      <c r="V908" s="98"/>
      <c r="W908" s="98"/>
      <c r="X908" s="98"/>
      <c r="Y908" s="98"/>
      <c r="Z908" s="98"/>
      <c r="AA908" s="98"/>
      <c r="AB908" s="98"/>
      <c r="AC908" s="98"/>
      <c r="AD908" s="98"/>
      <c r="AE908" s="98"/>
      <c r="AF908" s="98"/>
      <c r="AG908" s="98"/>
    </row>
    <row r="909" ht="15.75" customHeight="1">
      <c r="A909" s="98"/>
      <c r="B909" s="98"/>
      <c r="C909" s="98"/>
      <c r="D909" s="98"/>
      <c r="E909" s="98"/>
      <c r="F909" s="98"/>
      <c r="G909" s="98"/>
      <c r="H909" s="98"/>
      <c r="I909" s="98"/>
      <c r="J909" s="98"/>
      <c r="K909" s="98"/>
      <c r="L909" s="98"/>
      <c r="M909" s="98"/>
      <c r="N909" s="98"/>
      <c r="O909" s="98"/>
      <c r="P909" s="98"/>
      <c r="Q909" s="98"/>
      <c r="R909" s="98"/>
      <c r="S909" s="98"/>
      <c r="T909" s="98"/>
      <c r="U909" s="98"/>
      <c r="V909" s="98"/>
      <c r="W909" s="98"/>
      <c r="X909" s="98"/>
      <c r="Y909" s="98"/>
      <c r="Z909" s="98"/>
      <c r="AA909" s="98"/>
      <c r="AB909" s="98"/>
      <c r="AC909" s="98"/>
      <c r="AD909" s="98"/>
      <c r="AE909" s="98"/>
      <c r="AF909" s="98"/>
      <c r="AG909" s="98"/>
    </row>
    <row r="910" ht="15.75" customHeight="1">
      <c r="A910" s="98"/>
      <c r="B910" s="98"/>
      <c r="C910" s="98"/>
      <c r="D910" s="98"/>
      <c r="E910" s="98"/>
      <c r="F910" s="98"/>
      <c r="G910" s="98"/>
      <c r="H910" s="98"/>
      <c r="I910" s="98"/>
      <c r="J910" s="98"/>
      <c r="K910" s="98"/>
      <c r="L910" s="98"/>
      <c r="M910" s="98"/>
      <c r="N910" s="98"/>
      <c r="O910" s="98"/>
      <c r="P910" s="98"/>
      <c r="Q910" s="98"/>
      <c r="R910" s="98"/>
      <c r="S910" s="98"/>
      <c r="T910" s="98"/>
      <c r="U910" s="98"/>
      <c r="V910" s="98"/>
      <c r="W910" s="98"/>
      <c r="X910" s="98"/>
      <c r="Y910" s="98"/>
      <c r="Z910" s="98"/>
      <c r="AA910" s="98"/>
      <c r="AB910" s="98"/>
      <c r="AC910" s="98"/>
      <c r="AD910" s="98"/>
      <c r="AE910" s="98"/>
      <c r="AF910" s="98"/>
      <c r="AG910" s="98"/>
    </row>
    <row r="911" ht="15.75" customHeight="1">
      <c r="A911" s="98"/>
      <c r="B911" s="98"/>
      <c r="C911" s="98"/>
      <c r="D911" s="98"/>
      <c r="E911" s="98"/>
      <c r="F911" s="98"/>
      <c r="G911" s="98"/>
      <c r="H911" s="98"/>
      <c r="I911" s="98"/>
      <c r="J911" s="98"/>
      <c r="K911" s="98"/>
      <c r="L911" s="98"/>
      <c r="M911" s="98"/>
      <c r="N911" s="98"/>
      <c r="O911" s="98"/>
      <c r="P911" s="98"/>
      <c r="Q911" s="98"/>
      <c r="R911" s="98"/>
      <c r="S911" s="98"/>
      <c r="T911" s="98"/>
      <c r="U911" s="98"/>
      <c r="V911" s="98"/>
      <c r="W911" s="98"/>
      <c r="X911" s="98"/>
      <c r="Y911" s="98"/>
      <c r="Z911" s="98"/>
      <c r="AA911" s="98"/>
      <c r="AB911" s="98"/>
      <c r="AC911" s="98"/>
      <c r="AD911" s="98"/>
      <c r="AE911" s="98"/>
      <c r="AF911" s="98"/>
      <c r="AG911" s="98"/>
    </row>
    <row r="912" ht="15.75" customHeight="1">
      <c r="A912" s="98"/>
      <c r="B912" s="98"/>
      <c r="C912" s="98"/>
      <c r="D912" s="98"/>
      <c r="E912" s="98"/>
      <c r="F912" s="98"/>
      <c r="G912" s="98"/>
      <c r="H912" s="98"/>
      <c r="I912" s="98"/>
      <c r="J912" s="98"/>
      <c r="K912" s="98"/>
      <c r="L912" s="98"/>
      <c r="M912" s="98"/>
      <c r="N912" s="98"/>
      <c r="O912" s="98"/>
      <c r="P912" s="98"/>
      <c r="Q912" s="98"/>
      <c r="R912" s="98"/>
      <c r="S912" s="98"/>
      <c r="T912" s="98"/>
      <c r="U912" s="98"/>
      <c r="V912" s="98"/>
      <c r="W912" s="98"/>
      <c r="X912" s="98"/>
      <c r="Y912" s="98"/>
      <c r="Z912" s="98"/>
      <c r="AA912" s="98"/>
      <c r="AB912" s="98"/>
      <c r="AC912" s="98"/>
      <c r="AD912" s="98"/>
      <c r="AE912" s="98"/>
      <c r="AF912" s="98"/>
      <c r="AG912" s="98"/>
    </row>
    <row r="913" ht="15.75" customHeight="1">
      <c r="A913" s="98"/>
      <c r="B913" s="98"/>
      <c r="C913" s="98"/>
      <c r="D913" s="98"/>
      <c r="E913" s="98"/>
      <c r="F913" s="98"/>
      <c r="G913" s="98"/>
      <c r="H913" s="98"/>
      <c r="I913" s="98"/>
      <c r="J913" s="98"/>
      <c r="K913" s="98"/>
      <c r="L913" s="98"/>
      <c r="M913" s="98"/>
      <c r="N913" s="98"/>
      <c r="O913" s="98"/>
      <c r="P913" s="98"/>
      <c r="Q913" s="98"/>
      <c r="R913" s="98"/>
      <c r="S913" s="98"/>
      <c r="T913" s="98"/>
      <c r="U913" s="98"/>
      <c r="V913" s="98"/>
      <c r="W913" s="98"/>
      <c r="X913" s="98"/>
      <c r="Y913" s="98"/>
      <c r="Z913" s="98"/>
      <c r="AA913" s="98"/>
      <c r="AB913" s="98"/>
      <c r="AC913" s="98"/>
      <c r="AD913" s="98"/>
      <c r="AE913" s="98"/>
      <c r="AF913" s="98"/>
      <c r="AG913" s="98"/>
    </row>
    <row r="914" ht="15.75" customHeight="1">
      <c r="A914" s="98"/>
      <c r="B914" s="98"/>
      <c r="C914" s="98"/>
      <c r="D914" s="98"/>
      <c r="E914" s="98"/>
      <c r="F914" s="98"/>
      <c r="G914" s="98"/>
      <c r="H914" s="98"/>
      <c r="I914" s="98"/>
      <c r="J914" s="98"/>
      <c r="K914" s="98"/>
      <c r="L914" s="98"/>
      <c r="M914" s="98"/>
      <c r="N914" s="98"/>
      <c r="O914" s="98"/>
      <c r="P914" s="98"/>
      <c r="Q914" s="98"/>
      <c r="R914" s="98"/>
      <c r="S914" s="98"/>
      <c r="T914" s="98"/>
      <c r="U914" s="98"/>
      <c r="V914" s="98"/>
      <c r="W914" s="98"/>
      <c r="X914" s="98"/>
      <c r="Y914" s="98"/>
      <c r="Z914" s="98"/>
      <c r="AA914" s="98"/>
      <c r="AB914" s="98"/>
      <c r="AC914" s="98"/>
      <c r="AD914" s="98"/>
      <c r="AE914" s="98"/>
      <c r="AF914" s="98"/>
      <c r="AG914" s="98"/>
    </row>
    <row r="915" ht="15.75" customHeight="1">
      <c r="A915" s="98"/>
      <c r="B915" s="98"/>
      <c r="C915" s="98"/>
      <c r="D915" s="98"/>
      <c r="E915" s="98"/>
      <c r="F915" s="98"/>
      <c r="G915" s="98"/>
      <c r="H915" s="98"/>
      <c r="I915" s="98"/>
      <c r="J915" s="98"/>
      <c r="K915" s="98"/>
      <c r="L915" s="98"/>
      <c r="M915" s="98"/>
      <c r="N915" s="98"/>
      <c r="O915" s="98"/>
      <c r="P915" s="98"/>
      <c r="Q915" s="98"/>
      <c r="R915" s="98"/>
      <c r="S915" s="98"/>
      <c r="T915" s="98"/>
      <c r="U915" s="98"/>
      <c r="V915" s="98"/>
      <c r="W915" s="98"/>
      <c r="X915" s="98"/>
      <c r="Y915" s="98"/>
      <c r="Z915" s="98"/>
      <c r="AA915" s="98"/>
      <c r="AB915" s="98"/>
      <c r="AC915" s="98"/>
      <c r="AD915" s="98"/>
      <c r="AE915" s="98"/>
      <c r="AF915" s="98"/>
      <c r="AG915" s="98"/>
    </row>
    <row r="916" ht="15.75" customHeight="1">
      <c r="A916" s="98"/>
      <c r="B916" s="98"/>
      <c r="C916" s="98"/>
      <c r="D916" s="98"/>
      <c r="E916" s="98"/>
      <c r="F916" s="98"/>
      <c r="G916" s="98"/>
      <c r="H916" s="98"/>
      <c r="I916" s="98"/>
      <c r="J916" s="98"/>
      <c r="K916" s="98"/>
      <c r="L916" s="98"/>
      <c r="M916" s="98"/>
      <c r="N916" s="98"/>
      <c r="O916" s="98"/>
      <c r="P916" s="98"/>
      <c r="Q916" s="98"/>
      <c r="R916" s="98"/>
      <c r="S916" s="98"/>
      <c r="T916" s="98"/>
      <c r="U916" s="98"/>
      <c r="V916" s="98"/>
      <c r="W916" s="98"/>
      <c r="X916" s="98"/>
      <c r="Y916" s="98"/>
      <c r="Z916" s="98"/>
      <c r="AA916" s="98"/>
      <c r="AB916" s="98"/>
      <c r="AC916" s="98"/>
      <c r="AD916" s="98"/>
      <c r="AE916" s="98"/>
      <c r="AF916" s="98"/>
      <c r="AG916" s="98"/>
    </row>
    <row r="917" ht="15.75" customHeight="1">
      <c r="A917" s="98"/>
      <c r="B917" s="98"/>
      <c r="C917" s="98"/>
      <c r="D917" s="98"/>
      <c r="E917" s="98"/>
      <c r="F917" s="98"/>
      <c r="G917" s="98"/>
      <c r="H917" s="98"/>
      <c r="I917" s="98"/>
      <c r="J917" s="98"/>
      <c r="K917" s="98"/>
      <c r="L917" s="98"/>
      <c r="M917" s="98"/>
      <c r="N917" s="98"/>
      <c r="O917" s="98"/>
      <c r="P917" s="98"/>
      <c r="Q917" s="98"/>
      <c r="R917" s="98"/>
      <c r="S917" s="98"/>
      <c r="T917" s="98"/>
      <c r="U917" s="98"/>
      <c r="V917" s="98"/>
      <c r="W917" s="98"/>
      <c r="X917" s="98"/>
      <c r="Y917" s="98"/>
      <c r="Z917" s="98"/>
      <c r="AA917" s="98"/>
      <c r="AB917" s="98"/>
      <c r="AC917" s="98"/>
      <c r="AD917" s="98"/>
      <c r="AE917" s="98"/>
      <c r="AF917" s="98"/>
      <c r="AG917" s="98"/>
    </row>
    <row r="918" ht="15.75" customHeight="1">
      <c r="A918" s="98"/>
      <c r="B918" s="98"/>
      <c r="C918" s="98"/>
      <c r="D918" s="98"/>
      <c r="E918" s="98"/>
      <c r="F918" s="98"/>
      <c r="G918" s="98"/>
      <c r="H918" s="98"/>
      <c r="I918" s="98"/>
      <c r="J918" s="98"/>
      <c r="K918" s="98"/>
      <c r="L918" s="98"/>
      <c r="M918" s="98"/>
      <c r="N918" s="98"/>
      <c r="O918" s="98"/>
      <c r="P918" s="98"/>
      <c r="Q918" s="98"/>
      <c r="R918" s="98"/>
      <c r="S918" s="98"/>
      <c r="T918" s="98"/>
      <c r="U918" s="98"/>
      <c r="V918" s="98"/>
      <c r="W918" s="98"/>
      <c r="X918" s="98"/>
      <c r="Y918" s="98"/>
      <c r="Z918" s="98"/>
      <c r="AA918" s="98"/>
      <c r="AB918" s="98"/>
      <c r="AC918" s="98"/>
      <c r="AD918" s="98"/>
      <c r="AE918" s="98"/>
      <c r="AF918" s="98"/>
      <c r="AG918" s="98"/>
    </row>
    <row r="919" ht="15.75" customHeight="1">
      <c r="A919" s="98"/>
      <c r="B919" s="98"/>
      <c r="C919" s="98"/>
      <c r="D919" s="98"/>
      <c r="E919" s="98"/>
      <c r="F919" s="98"/>
      <c r="G919" s="98"/>
      <c r="H919" s="98"/>
      <c r="I919" s="98"/>
      <c r="J919" s="98"/>
      <c r="K919" s="98"/>
      <c r="L919" s="98"/>
      <c r="M919" s="98"/>
      <c r="N919" s="98"/>
      <c r="O919" s="98"/>
      <c r="P919" s="98"/>
      <c r="Q919" s="98"/>
      <c r="R919" s="98"/>
      <c r="S919" s="98"/>
      <c r="T919" s="98"/>
      <c r="U919" s="98"/>
      <c r="V919" s="98"/>
      <c r="W919" s="98"/>
      <c r="X919" s="98"/>
      <c r="Y919" s="98"/>
      <c r="Z919" s="98"/>
      <c r="AA919" s="98"/>
      <c r="AB919" s="98"/>
      <c r="AC919" s="98"/>
      <c r="AD919" s="98"/>
      <c r="AE919" s="98"/>
      <c r="AF919" s="98"/>
      <c r="AG919" s="98"/>
    </row>
    <row r="920" ht="15.75" customHeight="1">
      <c r="A920" s="98"/>
      <c r="B920" s="98"/>
      <c r="C920" s="98"/>
      <c r="D920" s="98"/>
      <c r="E920" s="98"/>
      <c r="F920" s="98"/>
      <c r="G920" s="98"/>
      <c r="H920" s="98"/>
      <c r="I920" s="98"/>
      <c r="J920" s="98"/>
      <c r="K920" s="98"/>
      <c r="L920" s="98"/>
      <c r="M920" s="98"/>
      <c r="N920" s="98"/>
      <c r="O920" s="98"/>
      <c r="P920" s="98"/>
      <c r="Q920" s="98"/>
      <c r="R920" s="98"/>
      <c r="S920" s="98"/>
      <c r="T920" s="98"/>
      <c r="U920" s="98"/>
      <c r="V920" s="98"/>
      <c r="W920" s="98"/>
      <c r="X920" s="98"/>
      <c r="Y920" s="98"/>
      <c r="Z920" s="98"/>
      <c r="AA920" s="98"/>
      <c r="AB920" s="98"/>
      <c r="AC920" s="98"/>
      <c r="AD920" s="98"/>
      <c r="AE920" s="98"/>
      <c r="AF920" s="98"/>
      <c r="AG920" s="98"/>
    </row>
    <row r="921" ht="15.75" customHeight="1">
      <c r="A921" s="98"/>
      <c r="B921" s="98"/>
      <c r="C921" s="98"/>
      <c r="D921" s="98"/>
      <c r="E921" s="98"/>
      <c r="F921" s="98"/>
      <c r="G921" s="98"/>
      <c r="H921" s="98"/>
      <c r="I921" s="98"/>
      <c r="J921" s="98"/>
      <c r="K921" s="98"/>
      <c r="L921" s="98"/>
      <c r="M921" s="98"/>
      <c r="N921" s="98"/>
      <c r="O921" s="98"/>
      <c r="P921" s="98"/>
      <c r="Q921" s="98"/>
      <c r="R921" s="98"/>
      <c r="S921" s="98"/>
      <c r="T921" s="98"/>
      <c r="U921" s="98"/>
      <c r="V921" s="98"/>
      <c r="W921" s="98"/>
      <c r="X921" s="98"/>
      <c r="Y921" s="98"/>
      <c r="Z921" s="98"/>
      <c r="AA921" s="98"/>
      <c r="AB921" s="98"/>
      <c r="AC921" s="98"/>
      <c r="AD921" s="98"/>
      <c r="AE921" s="98"/>
      <c r="AF921" s="98"/>
      <c r="AG921" s="98"/>
    </row>
    <row r="922" ht="15.75" customHeight="1">
      <c r="A922" s="98"/>
      <c r="B922" s="98"/>
      <c r="C922" s="98"/>
      <c r="D922" s="98"/>
      <c r="E922" s="98"/>
      <c r="F922" s="98"/>
      <c r="G922" s="98"/>
      <c r="H922" s="98"/>
      <c r="I922" s="98"/>
      <c r="J922" s="98"/>
      <c r="K922" s="98"/>
      <c r="L922" s="98"/>
      <c r="M922" s="98"/>
      <c r="N922" s="98"/>
      <c r="O922" s="98"/>
      <c r="P922" s="98"/>
      <c r="Q922" s="98"/>
      <c r="R922" s="98"/>
      <c r="S922" s="98"/>
      <c r="T922" s="98"/>
      <c r="U922" s="98"/>
      <c r="V922" s="98"/>
      <c r="W922" s="98"/>
      <c r="X922" s="98"/>
      <c r="Y922" s="98"/>
      <c r="Z922" s="98"/>
      <c r="AA922" s="98"/>
      <c r="AB922" s="98"/>
      <c r="AC922" s="98"/>
      <c r="AD922" s="98"/>
      <c r="AE922" s="98"/>
      <c r="AF922" s="98"/>
      <c r="AG922" s="98"/>
    </row>
    <row r="923" ht="15.75" customHeight="1">
      <c r="A923" s="98"/>
      <c r="B923" s="98"/>
      <c r="C923" s="98"/>
      <c r="D923" s="98"/>
      <c r="E923" s="98"/>
      <c r="F923" s="98"/>
      <c r="G923" s="98"/>
      <c r="H923" s="98"/>
      <c r="I923" s="98"/>
      <c r="J923" s="98"/>
      <c r="K923" s="98"/>
      <c r="L923" s="98"/>
      <c r="M923" s="98"/>
      <c r="N923" s="98"/>
      <c r="O923" s="98"/>
      <c r="P923" s="98"/>
      <c r="Q923" s="98"/>
      <c r="R923" s="98"/>
      <c r="S923" s="98"/>
      <c r="T923" s="98"/>
      <c r="U923" s="98"/>
      <c r="V923" s="98"/>
      <c r="W923" s="98"/>
      <c r="X923" s="98"/>
      <c r="Y923" s="98"/>
      <c r="Z923" s="98"/>
      <c r="AA923" s="98"/>
      <c r="AB923" s="98"/>
      <c r="AC923" s="98"/>
      <c r="AD923" s="98"/>
      <c r="AE923" s="98"/>
      <c r="AF923" s="98"/>
      <c r="AG923" s="98"/>
    </row>
    <row r="924" ht="15.75" customHeight="1">
      <c r="A924" s="98"/>
      <c r="B924" s="98"/>
      <c r="C924" s="98"/>
      <c r="D924" s="98"/>
      <c r="E924" s="98"/>
      <c r="F924" s="98"/>
      <c r="G924" s="98"/>
      <c r="H924" s="98"/>
      <c r="I924" s="98"/>
      <c r="J924" s="98"/>
      <c r="K924" s="98"/>
      <c r="L924" s="98"/>
      <c r="M924" s="98"/>
      <c r="N924" s="98"/>
      <c r="O924" s="98"/>
      <c r="P924" s="98"/>
      <c r="Q924" s="98"/>
      <c r="R924" s="98"/>
      <c r="S924" s="98"/>
      <c r="T924" s="98"/>
      <c r="U924" s="98"/>
      <c r="V924" s="98"/>
      <c r="W924" s="98"/>
      <c r="X924" s="98"/>
      <c r="Y924" s="98"/>
      <c r="Z924" s="98"/>
      <c r="AA924" s="98"/>
      <c r="AB924" s="98"/>
      <c r="AC924" s="98"/>
      <c r="AD924" s="98"/>
      <c r="AE924" s="98"/>
      <c r="AF924" s="98"/>
      <c r="AG924" s="98"/>
    </row>
    <row r="925" ht="15.75" customHeight="1">
      <c r="A925" s="98"/>
      <c r="B925" s="98"/>
      <c r="C925" s="98"/>
      <c r="D925" s="98"/>
      <c r="E925" s="98"/>
      <c r="F925" s="98"/>
      <c r="G925" s="98"/>
      <c r="H925" s="98"/>
      <c r="I925" s="98"/>
      <c r="J925" s="98"/>
      <c r="K925" s="98"/>
      <c r="L925" s="98"/>
      <c r="M925" s="98"/>
      <c r="N925" s="98"/>
      <c r="O925" s="98"/>
      <c r="P925" s="98"/>
      <c r="Q925" s="98"/>
      <c r="R925" s="98"/>
      <c r="S925" s="98"/>
      <c r="T925" s="98"/>
      <c r="U925" s="98"/>
      <c r="V925" s="98"/>
      <c r="W925" s="98"/>
      <c r="X925" s="98"/>
      <c r="Y925" s="98"/>
      <c r="Z925" s="98"/>
      <c r="AA925" s="98"/>
      <c r="AB925" s="98"/>
      <c r="AC925" s="98"/>
      <c r="AD925" s="98"/>
      <c r="AE925" s="98"/>
      <c r="AF925" s="98"/>
      <c r="AG925" s="98"/>
    </row>
    <row r="926" ht="15.75" customHeight="1">
      <c r="A926" s="98"/>
      <c r="B926" s="98"/>
      <c r="C926" s="98"/>
      <c r="D926" s="98"/>
      <c r="E926" s="98"/>
      <c r="F926" s="98"/>
      <c r="G926" s="98"/>
      <c r="H926" s="98"/>
      <c r="I926" s="98"/>
      <c r="J926" s="98"/>
      <c r="K926" s="98"/>
      <c r="L926" s="98"/>
      <c r="M926" s="98"/>
      <c r="N926" s="98"/>
      <c r="O926" s="98"/>
      <c r="P926" s="98"/>
      <c r="Q926" s="98"/>
      <c r="R926" s="98"/>
      <c r="S926" s="98"/>
      <c r="T926" s="98"/>
      <c r="U926" s="98"/>
      <c r="V926" s="98"/>
      <c r="W926" s="98"/>
      <c r="X926" s="98"/>
      <c r="Y926" s="98"/>
      <c r="Z926" s="98"/>
      <c r="AA926" s="98"/>
      <c r="AB926" s="98"/>
      <c r="AC926" s="98"/>
      <c r="AD926" s="98"/>
      <c r="AE926" s="98"/>
      <c r="AF926" s="98"/>
      <c r="AG926" s="98"/>
    </row>
    <row r="927" ht="15.75" customHeight="1">
      <c r="A927" s="98"/>
      <c r="B927" s="98"/>
      <c r="C927" s="98"/>
      <c r="D927" s="98"/>
      <c r="E927" s="98"/>
      <c r="F927" s="98"/>
      <c r="G927" s="98"/>
      <c r="H927" s="98"/>
      <c r="I927" s="98"/>
      <c r="J927" s="98"/>
      <c r="K927" s="98"/>
      <c r="L927" s="98"/>
      <c r="M927" s="98"/>
      <c r="N927" s="98"/>
      <c r="O927" s="98"/>
      <c r="P927" s="98"/>
      <c r="Q927" s="98"/>
      <c r="R927" s="98"/>
      <c r="S927" s="98"/>
      <c r="T927" s="98"/>
      <c r="U927" s="98"/>
      <c r="V927" s="98"/>
      <c r="W927" s="98"/>
      <c r="X927" s="98"/>
      <c r="Y927" s="98"/>
      <c r="Z927" s="98"/>
      <c r="AA927" s="98"/>
      <c r="AB927" s="98"/>
      <c r="AC927" s="98"/>
      <c r="AD927" s="98"/>
      <c r="AE927" s="98"/>
      <c r="AF927" s="98"/>
      <c r="AG927" s="98"/>
    </row>
    <row r="928" ht="15.75" customHeight="1">
      <c r="A928" s="98"/>
      <c r="B928" s="98"/>
      <c r="C928" s="98"/>
      <c r="D928" s="98"/>
      <c r="E928" s="98"/>
      <c r="F928" s="98"/>
      <c r="G928" s="98"/>
      <c r="H928" s="98"/>
      <c r="I928" s="98"/>
      <c r="J928" s="98"/>
      <c r="K928" s="98"/>
      <c r="L928" s="98"/>
      <c r="M928" s="98"/>
      <c r="N928" s="98"/>
      <c r="O928" s="98"/>
      <c r="P928" s="98"/>
      <c r="Q928" s="98"/>
      <c r="R928" s="98"/>
      <c r="S928" s="98"/>
      <c r="T928" s="98"/>
      <c r="U928" s="98"/>
      <c r="V928" s="98"/>
      <c r="W928" s="98"/>
      <c r="X928" s="98"/>
      <c r="Y928" s="98"/>
      <c r="Z928" s="98"/>
      <c r="AA928" s="98"/>
      <c r="AB928" s="98"/>
      <c r="AC928" s="98"/>
      <c r="AD928" s="98"/>
      <c r="AE928" s="98"/>
      <c r="AF928" s="98"/>
      <c r="AG928" s="98"/>
    </row>
    <row r="929" ht="15.75" customHeight="1">
      <c r="A929" s="98"/>
      <c r="B929" s="98"/>
      <c r="C929" s="98"/>
      <c r="D929" s="98"/>
      <c r="E929" s="98"/>
      <c r="F929" s="98"/>
      <c r="G929" s="98"/>
      <c r="H929" s="98"/>
      <c r="I929" s="98"/>
      <c r="J929" s="98"/>
      <c r="K929" s="98"/>
      <c r="L929" s="98"/>
      <c r="M929" s="98"/>
      <c r="N929" s="98"/>
      <c r="O929" s="98"/>
      <c r="P929" s="98"/>
      <c r="Q929" s="98"/>
      <c r="R929" s="98"/>
      <c r="S929" s="98"/>
      <c r="T929" s="98"/>
      <c r="U929" s="98"/>
      <c r="V929" s="98"/>
      <c r="W929" s="98"/>
      <c r="X929" s="98"/>
      <c r="Y929" s="98"/>
      <c r="Z929" s="98"/>
      <c r="AA929" s="98"/>
      <c r="AB929" s="98"/>
      <c r="AC929" s="98"/>
      <c r="AD929" s="98"/>
      <c r="AE929" s="98"/>
      <c r="AF929" s="98"/>
      <c r="AG929" s="98"/>
    </row>
    <row r="930" ht="15.75" customHeight="1">
      <c r="A930" s="98"/>
      <c r="B930" s="98"/>
      <c r="C930" s="98"/>
      <c r="D930" s="98"/>
      <c r="E930" s="98"/>
      <c r="F930" s="98"/>
      <c r="G930" s="98"/>
      <c r="H930" s="98"/>
      <c r="I930" s="98"/>
      <c r="J930" s="98"/>
      <c r="K930" s="98"/>
      <c r="L930" s="98"/>
      <c r="M930" s="98"/>
      <c r="N930" s="98"/>
      <c r="O930" s="98"/>
      <c r="P930" s="98"/>
      <c r="Q930" s="98"/>
      <c r="R930" s="98"/>
      <c r="S930" s="98"/>
      <c r="T930" s="98"/>
      <c r="U930" s="98"/>
      <c r="V930" s="98"/>
      <c r="W930" s="98"/>
      <c r="X930" s="98"/>
      <c r="Y930" s="98"/>
      <c r="Z930" s="98"/>
      <c r="AA930" s="98"/>
      <c r="AB930" s="98"/>
      <c r="AC930" s="98"/>
      <c r="AD930" s="98"/>
      <c r="AE930" s="98"/>
      <c r="AF930" s="98"/>
      <c r="AG930" s="98"/>
    </row>
    <row r="931" ht="15.75" customHeight="1">
      <c r="A931" s="98"/>
      <c r="B931" s="98"/>
      <c r="C931" s="98"/>
      <c r="D931" s="98"/>
      <c r="E931" s="98"/>
      <c r="F931" s="98"/>
      <c r="G931" s="98"/>
      <c r="H931" s="98"/>
      <c r="I931" s="98"/>
      <c r="J931" s="98"/>
      <c r="K931" s="98"/>
      <c r="L931" s="98"/>
      <c r="M931" s="98"/>
      <c r="N931" s="98"/>
      <c r="O931" s="98"/>
      <c r="P931" s="98"/>
      <c r="Q931" s="98"/>
      <c r="R931" s="98"/>
      <c r="S931" s="98"/>
      <c r="T931" s="98"/>
      <c r="U931" s="98"/>
      <c r="V931" s="98"/>
      <c r="W931" s="98"/>
      <c r="X931" s="98"/>
      <c r="Y931" s="98"/>
      <c r="Z931" s="98"/>
      <c r="AA931" s="98"/>
      <c r="AB931" s="98"/>
      <c r="AC931" s="98"/>
      <c r="AD931" s="98"/>
      <c r="AE931" s="98"/>
      <c r="AF931" s="98"/>
      <c r="AG931" s="98"/>
    </row>
    <row r="932" ht="15.75" customHeight="1">
      <c r="A932" s="98"/>
      <c r="B932" s="98"/>
      <c r="C932" s="98"/>
      <c r="D932" s="98"/>
      <c r="E932" s="98"/>
      <c r="F932" s="98"/>
      <c r="G932" s="98"/>
      <c r="H932" s="98"/>
      <c r="I932" s="98"/>
      <c r="J932" s="98"/>
      <c r="K932" s="98"/>
      <c r="L932" s="98"/>
      <c r="M932" s="98"/>
      <c r="N932" s="98"/>
      <c r="O932" s="98"/>
      <c r="P932" s="98"/>
      <c r="Q932" s="98"/>
      <c r="R932" s="98"/>
      <c r="S932" s="98"/>
      <c r="T932" s="98"/>
      <c r="U932" s="98"/>
      <c r="V932" s="98"/>
      <c r="W932" s="98"/>
      <c r="X932" s="98"/>
      <c r="Y932" s="98"/>
      <c r="Z932" s="98"/>
      <c r="AA932" s="98"/>
      <c r="AB932" s="98"/>
      <c r="AC932" s="98"/>
      <c r="AD932" s="98"/>
      <c r="AE932" s="98"/>
      <c r="AF932" s="98"/>
      <c r="AG932" s="98"/>
    </row>
    <row r="933" ht="15.75" customHeight="1">
      <c r="A933" s="98"/>
      <c r="B933" s="98"/>
      <c r="C933" s="98"/>
      <c r="D933" s="98"/>
      <c r="E933" s="98"/>
      <c r="F933" s="98"/>
      <c r="G933" s="98"/>
      <c r="H933" s="98"/>
      <c r="I933" s="98"/>
      <c r="J933" s="98"/>
      <c r="K933" s="98"/>
      <c r="L933" s="98"/>
      <c r="M933" s="98"/>
      <c r="N933" s="98"/>
      <c r="O933" s="98"/>
      <c r="P933" s="98"/>
      <c r="Q933" s="98"/>
      <c r="R933" s="98"/>
      <c r="S933" s="98"/>
      <c r="T933" s="98"/>
      <c r="U933" s="98"/>
      <c r="V933" s="98"/>
      <c r="W933" s="98"/>
      <c r="X933" s="98"/>
      <c r="Y933" s="98"/>
      <c r="Z933" s="98"/>
      <c r="AA933" s="98"/>
      <c r="AB933" s="98"/>
      <c r="AC933" s="98"/>
      <c r="AD933" s="98"/>
      <c r="AE933" s="98"/>
      <c r="AF933" s="98"/>
      <c r="AG933" s="98"/>
    </row>
    <row r="934" ht="15.75" customHeight="1">
      <c r="A934" s="98"/>
      <c r="B934" s="98"/>
      <c r="C934" s="98"/>
      <c r="D934" s="98"/>
      <c r="E934" s="98"/>
      <c r="F934" s="98"/>
      <c r="G934" s="98"/>
      <c r="H934" s="98"/>
      <c r="I934" s="98"/>
      <c r="J934" s="98"/>
      <c r="K934" s="98"/>
      <c r="L934" s="98"/>
      <c r="M934" s="98"/>
      <c r="N934" s="98"/>
      <c r="O934" s="98"/>
      <c r="P934" s="98"/>
      <c r="Q934" s="98"/>
      <c r="R934" s="98"/>
      <c r="S934" s="98"/>
      <c r="T934" s="98"/>
      <c r="U934" s="98"/>
      <c r="V934" s="98"/>
      <c r="W934" s="98"/>
      <c r="X934" s="98"/>
      <c r="Y934" s="98"/>
      <c r="Z934" s="98"/>
      <c r="AA934" s="98"/>
      <c r="AB934" s="98"/>
      <c r="AC934" s="98"/>
      <c r="AD934" s="98"/>
      <c r="AE934" s="98"/>
      <c r="AF934" s="98"/>
      <c r="AG934" s="98"/>
    </row>
    <row r="935" ht="15.75" customHeight="1">
      <c r="A935" s="98"/>
      <c r="B935" s="98"/>
      <c r="C935" s="98"/>
      <c r="D935" s="98"/>
      <c r="E935" s="98"/>
      <c r="F935" s="98"/>
      <c r="G935" s="98"/>
      <c r="H935" s="98"/>
      <c r="I935" s="98"/>
      <c r="J935" s="98"/>
      <c r="K935" s="98"/>
      <c r="L935" s="98"/>
      <c r="M935" s="98"/>
      <c r="N935" s="98"/>
      <c r="O935" s="98"/>
      <c r="P935" s="98"/>
      <c r="Q935" s="98"/>
      <c r="R935" s="98"/>
      <c r="S935" s="98"/>
      <c r="T935" s="98"/>
      <c r="U935" s="98"/>
      <c r="V935" s="98"/>
      <c r="W935" s="98"/>
      <c r="X935" s="98"/>
      <c r="Y935" s="98"/>
      <c r="Z935" s="98"/>
      <c r="AA935" s="98"/>
      <c r="AB935" s="98"/>
      <c r="AC935" s="98"/>
      <c r="AD935" s="98"/>
      <c r="AE935" s="98"/>
      <c r="AF935" s="98"/>
      <c r="AG935" s="98"/>
    </row>
    <row r="936" ht="15.75" customHeight="1">
      <c r="A936" s="98"/>
      <c r="B936" s="98"/>
      <c r="C936" s="98"/>
      <c r="D936" s="98"/>
      <c r="E936" s="98"/>
      <c r="F936" s="98"/>
      <c r="G936" s="98"/>
      <c r="H936" s="98"/>
      <c r="I936" s="98"/>
      <c r="J936" s="98"/>
      <c r="K936" s="98"/>
      <c r="L936" s="98"/>
      <c r="M936" s="98"/>
      <c r="N936" s="98"/>
      <c r="O936" s="98"/>
      <c r="P936" s="98"/>
      <c r="Q936" s="98"/>
      <c r="R936" s="98"/>
      <c r="S936" s="98"/>
      <c r="T936" s="98"/>
      <c r="U936" s="98"/>
      <c r="V936" s="98"/>
      <c r="W936" s="98"/>
      <c r="X936" s="98"/>
      <c r="Y936" s="98"/>
      <c r="Z936" s="98"/>
      <c r="AA936" s="98"/>
      <c r="AB936" s="98"/>
      <c r="AC936" s="98"/>
      <c r="AD936" s="98"/>
      <c r="AE936" s="98"/>
      <c r="AF936" s="98"/>
      <c r="AG936" s="98"/>
    </row>
    <row r="937" ht="15.75" customHeight="1">
      <c r="A937" s="98"/>
      <c r="B937" s="98"/>
      <c r="C937" s="98"/>
      <c r="D937" s="98"/>
      <c r="E937" s="98"/>
      <c r="F937" s="98"/>
      <c r="G937" s="98"/>
      <c r="H937" s="98"/>
      <c r="I937" s="98"/>
      <c r="J937" s="98"/>
      <c r="K937" s="98"/>
      <c r="L937" s="98"/>
      <c r="M937" s="98"/>
      <c r="N937" s="98"/>
      <c r="O937" s="98"/>
      <c r="P937" s="98"/>
      <c r="Q937" s="98"/>
      <c r="R937" s="98"/>
      <c r="S937" s="98"/>
      <c r="T937" s="98"/>
      <c r="U937" s="98"/>
      <c r="V937" s="98"/>
      <c r="W937" s="98"/>
      <c r="X937" s="98"/>
      <c r="Y937" s="98"/>
      <c r="Z937" s="98"/>
      <c r="AA937" s="98"/>
      <c r="AB937" s="98"/>
      <c r="AC937" s="98"/>
      <c r="AD937" s="98"/>
      <c r="AE937" s="98"/>
      <c r="AF937" s="98"/>
      <c r="AG937" s="98"/>
    </row>
    <row r="938" ht="15.75" customHeight="1">
      <c r="A938" s="98"/>
      <c r="B938" s="98"/>
      <c r="C938" s="98"/>
      <c r="D938" s="98"/>
      <c r="E938" s="98"/>
      <c r="F938" s="98"/>
      <c r="G938" s="98"/>
      <c r="H938" s="98"/>
      <c r="I938" s="98"/>
      <c r="J938" s="98"/>
      <c r="K938" s="98"/>
      <c r="L938" s="98"/>
      <c r="M938" s="98"/>
      <c r="N938" s="98"/>
      <c r="O938" s="98"/>
      <c r="P938" s="98"/>
      <c r="Q938" s="98"/>
      <c r="R938" s="98"/>
      <c r="S938" s="98"/>
      <c r="T938" s="98"/>
      <c r="U938" s="98"/>
      <c r="V938" s="98"/>
      <c r="W938" s="98"/>
      <c r="X938" s="98"/>
      <c r="Y938" s="98"/>
      <c r="Z938" s="98"/>
      <c r="AA938" s="98"/>
      <c r="AB938" s="98"/>
      <c r="AC938" s="98"/>
      <c r="AD938" s="98"/>
      <c r="AE938" s="98"/>
      <c r="AF938" s="98"/>
      <c r="AG938" s="98"/>
    </row>
    <row r="939" ht="15.75" customHeight="1">
      <c r="A939" s="98"/>
      <c r="B939" s="98"/>
      <c r="C939" s="98"/>
      <c r="D939" s="98"/>
      <c r="E939" s="98"/>
      <c r="F939" s="98"/>
      <c r="G939" s="98"/>
      <c r="H939" s="98"/>
      <c r="I939" s="98"/>
      <c r="J939" s="98"/>
      <c r="K939" s="98"/>
      <c r="L939" s="98"/>
      <c r="M939" s="98"/>
      <c r="N939" s="98"/>
      <c r="O939" s="98"/>
      <c r="P939" s="98"/>
      <c r="Q939" s="98"/>
      <c r="R939" s="98"/>
      <c r="S939" s="98"/>
      <c r="T939" s="98"/>
      <c r="U939" s="98"/>
      <c r="V939" s="98"/>
      <c r="W939" s="98"/>
      <c r="X939" s="98"/>
      <c r="Y939" s="98"/>
      <c r="Z939" s="98"/>
      <c r="AA939" s="98"/>
      <c r="AB939" s="98"/>
      <c r="AC939" s="98"/>
      <c r="AD939" s="98"/>
      <c r="AE939" s="98"/>
      <c r="AF939" s="98"/>
      <c r="AG939" s="98"/>
    </row>
    <row r="940" ht="15.75" customHeight="1">
      <c r="A940" s="98"/>
      <c r="B940" s="98"/>
      <c r="C940" s="98"/>
      <c r="D940" s="98"/>
      <c r="E940" s="98"/>
      <c r="F940" s="98"/>
      <c r="G940" s="98"/>
      <c r="H940" s="98"/>
      <c r="I940" s="98"/>
      <c r="J940" s="98"/>
      <c r="K940" s="98"/>
      <c r="L940" s="98"/>
      <c r="M940" s="98"/>
      <c r="N940" s="98"/>
      <c r="O940" s="98"/>
      <c r="P940" s="98"/>
      <c r="Q940" s="98"/>
      <c r="R940" s="98"/>
      <c r="S940" s="98"/>
      <c r="T940" s="98"/>
      <c r="U940" s="98"/>
      <c r="V940" s="98"/>
      <c r="W940" s="98"/>
      <c r="X940" s="98"/>
      <c r="Y940" s="98"/>
      <c r="Z940" s="98"/>
      <c r="AA940" s="98"/>
      <c r="AB940" s="98"/>
      <c r="AC940" s="98"/>
      <c r="AD940" s="98"/>
      <c r="AE940" s="98"/>
      <c r="AF940" s="98"/>
      <c r="AG940" s="98"/>
    </row>
    <row r="941" ht="15.75" customHeight="1">
      <c r="A941" s="98"/>
      <c r="B941" s="98"/>
      <c r="C941" s="98"/>
      <c r="D941" s="98"/>
      <c r="E941" s="98"/>
      <c r="F941" s="98"/>
      <c r="G941" s="98"/>
      <c r="H941" s="98"/>
      <c r="I941" s="98"/>
      <c r="J941" s="98"/>
      <c r="K941" s="98"/>
      <c r="L941" s="98"/>
      <c r="M941" s="98"/>
      <c r="N941" s="98"/>
      <c r="O941" s="98"/>
      <c r="P941" s="98"/>
      <c r="Q941" s="98"/>
      <c r="R941" s="98"/>
      <c r="S941" s="98"/>
      <c r="T941" s="98"/>
      <c r="U941" s="98"/>
      <c r="V941" s="98"/>
      <c r="W941" s="98"/>
      <c r="X941" s="98"/>
      <c r="Y941" s="98"/>
      <c r="Z941" s="98"/>
      <c r="AA941" s="98"/>
      <c r="AB941" s="98"/>
      <c r="AC941" s="98"/>
      <c r="AD941" s="98"/>
      <c r="AE941" s="98"/>
      <c r="AF941" s="98"/>
      <c r="AG941" s="98"/>
    </row>
    <row r="942" ht="15.75" customHeight="1">
      <c r="A942" s="98"/>
      <c r="B942" s="98"/>
      <c r="C942" s="98"/>
      <c r="D942" s="98"/>
      <c r="E942" s="98"/>
      <c r="F942" s="98"/>
      <c r="G942" s="98"/>
      <c r="H942" s="98"/>
      <c r="I942" s="98"/>
      <c r="J942" s="98"/>
      <c r="K942" s="98"/>
      <c r="L942" s="98"/>
      <c r="M942" s="98"/>
      <c r="N942" s="98"/>
      <c r="O942" s="98"/>
      <c r="P942" s="98"/>
      <c r="Q942" s="98"/>
      <c r="R942" s="98"/>
      <c r="S942" s="98"/>
      <c r="T942" s="98"/>
      <c r="U942" s="98"/>
      <c r="V942" s="98"/>
      <c r="W942" s="98"/>
      <c r="X942" s="98"/>
      <c r="Y942" s="98"/>
      <c r="Z942" s="98"/>
      <c r="AA942" s="98"/>
      <c r="AB942" s="98"/>
      <c r="AC942" s="98"/>
      <c r="AD942" s="98"/>
      <c r="AE942" s="98"/>
      <c r="AF942" s="98"/>
      <c r="AG942" s="98"/>
    </row>
    <row r="943" ht="15.75" customHeight="1">
      <c r="A943" s="98"/>
      <c r="B943" s="98"/>
      <c r="C943" s="98"/>
      <c r="D943" s="98"/>
      <c r="E943" s="98"/>
      <c r="F943" s="98"/>
      <c r="G943" s="98"/>
      <c r="H943" s="98"/>
      <c r="I943" s="98"/>
      <c r="J943" s="98"/>
      <c r="K943" s="98"/>
      <c r="L943" s="98"/>
      <c r="M943" s="98"/>
      <c r="N943" s="98"/>
      <c r="O943" s="98"/>
      <c r="P943" s="98"/>
      <c r="Q943" s="98"/>
      <c r="R943" s="98"/>
      <c r="S943" s="98"/>
      <c r="T943" s="98"/>
      <c r="U943" s="98"/>
      <c r="V943" s="98"/>
      <c r="W943" s="98"/>
      <c r="X943" s="98"/>
      <c r="Y943" s="98"/>
      <c r="Z943" s="98"/>
      <c r="AA943" s="98"/>
      <c r="AB943" s="98"/>
      <c r="AC943" s="98"/>
      <c r="AD943" s="98"/>
      <c r="AE943" s="98"/>
      <c r="AF943" s="98"/>
      <c r="AG943" s="98"/>
    </row>
    <row r="944" ht="15.75" customHeight="1">
      <c r="A944" s="98"/>
      <c r="B944" s="98"/>
      <c r="C944" s="98"/>
      <c r="D944" s="98"/>
      <c r="E944" s="98"/>
      <c r="F944" s="98"/>
      <c r="G944" s="98"/>
      <c r="H944" s="98"/>
      <c r="I944" s="98"/>
      <c r="J944" s="98"/>
      <c r="K944" s="98"/>
      <c r="L944" s="98"/>
      <c r="M944" s="98"/>
      <c r="N944" s="98"/>
      <c r="O944" s="98"/>
      <c r="P944" s="98"/>
      <c r="Q944" s="98"/>
      <c r="R944" s="98"/>
      <c r="S944" s="98"/>
      <c r="T944" s="98"/>
      <c r="U944" s="98"/>
      <c r="V944" s="98"/>
      <c r="W944" s="98"/>
      <c r="X944" s="98"/>
      <c r="Y944" s="98"/>
      <c r="Z944" s="98"/>
      <c r="AA944" s="98"/>
      <c r="AB944" s="98"/>
      <c r="AC944" s="98"/>
      <c r="AD944" s="98"/>
      <c r="AE944" s="98"/>
      <c r="AF944" s="98"/>
      <c r="AG944" s="98"/>
    </row>
    <row r="945" ht="15.75" customHeight="1">
      <c r="A945" s="98"/>
      <c r="B945" s="98"/>
      <c r="C945" s="98"/>
      <c r="D945" s="98"/>
      <c r="E945" s="98"/>
      <c r="F945" s="98"/>
      <c r="G945" s="98"/>
      <c r="H945" s="98"/>
      <c r="I945" s="98"/>
      <c r="J945" s="98"/>
      <c r="K945" s="98"/>
      <c r="L945" s="98"/>
      <c r="M945" s="98"/>
      <c r="N945" s="98"/>
      <c r="O945" s="98"/>
      <c r="P945" s="98"/>
      <c r="Q945" s="98"/>
      <c r="R945" s="98"/>
      <c r="S945" s="98"/>
      <c r="T945" s="98"/>
      <c r="U945" s="98"/>
      <c r="V945" s="98"/>
      <c r="W945" s="98"/>
      <c r="X945" s="98"/>
      <c r="Y945" s="98"/>
      <c r="Z945" s="98"/>
      <c r="AA945" s="98"/>
      <c r="AB945" s="98"/>
      <c r="AC945" s="98"/>
      <c r="AD945" s="98"/>
      <c r="AE945" s="98"/>
      <c r="AF945" s="98"/>
      <c r="AG945" s="98"/>
    </row>
    <row r="946" ht="15.75" customHeight="1">
      <c r="A946" s="98"/>
      <c r="B946" s="98"/>
      <c r="C946" s="98"/>
      <c r="D946" s="98"/>
      <c r="E946" s="98"/>
      <c r="F946" s="98"/>
      <c r="G946" s="98"/>
      <c r="H946" s="98"/>
      <c r="I946" s="98"/>
      <c r="J946" s="98"/>
      <c r="K946" s="98"/>
      <c r="L946" s="98"/>
      <c r="M946" s="98"/>
      <c r="N946" s="98"/>
      <c r="O946" s="98"/>
      <c r="P946" s="98"/>
      <c r="Q946" s="98"/>
      <c r="R946" s="98"/>
      <c r="S946" s="98"/>
      <c r="T946" s="98"/>
      <c r="U946" s="98"/>
      <c r="V946" s="98"/>
      <c r="W946" s="98"/>
      <c r="X946" s="98"/>
      <c r="Y946" s="98"/>
      <c r="Z946" s="98"/>
      <c r="AA946" s="98"/>
      <c r="AB946" s="98"/>
      <c r="AC946" s="98"/>
      <c r="AD946" s="98"/>
      <c r="AE946" s="98"/>
      <c r="AF946" s="98"/>
      <c r="AG946" s="98"/>
    </row>
    <row r="947" ht="15.75" customHeight="1">
      <c r="A947" s="98"/>
      <c r="B947" s="98"/>
      <c r="C947" s="98"/>
      <c r="D947" s="98"/>
      <c r="E947" s="98"/>
      <c r="F947" s="98"/>
      <c r="G947" s="98"/>
      <c r="H947" s="98"/>
      <c r="I947" s="98"/>
      <c r="J947" s="98"/>
      <c r="K947" s="98"/>
      <c r="L947" s="98"/>
      <c r="M947" s="98"/>
      <c r="N947" s="98"/>
      <c r="O947" s="98"/>
      <c r="P947" s="98"/>
      <c r="Q947" s="98"/>
      <c r="R947" s="98"/>
      <c r="S947" s="98"/>
      <c r="T947" s="98"/>
      <c r="U947" s="98"/>
      <c r="V947" s="98"/>
      <c r="W947" s="98"/>
      <c r="X947" s="98"/>
      <c r="Y947" s="98"/>
      <c r="Z947" s="98"/>
      <c r="AA947" s="98"/>
      <c r="AB947" s="98"/>
      <c r="AC947" s="98"/>
      <c r="AD947" s="98"/>
      <c r="AE947" s="98"/>
      <c r="AF947" s="98"/>
      <c r="AG947" s="98"/>
    </row>
    <row r="948" ht="15.75" customHeight="1">
      <c r="A948" s="98"/>
      <c r="B948" s="98"/>
      <c r="C948" s="98"/>
      <c r="D948" s="98"/>
      <c r="E948" s="98"/>
      <c r="F948" s="98"/>
      <c r="G948" s="98"/>
      <c r="H948" s="98"/>
      <c r="I948" s="98"/>
      <c r="J948" s="98"/>
      <c r="K948" s="98"/>
      <c r="L948" s="98"/>
      <c r="M948" s="98"/>
      <c r="N948" s="98"/>
      <c r="O948" s="98"/>
      <c r="P948" s="98"/>
      <c r="Q948" s="98"/>
      <c r="R948" s="98"/>
      <c r="S948" s="98"/>
      <c r="T948" s="98"/>
      <c r="U948" s="98"/>
      <c r="V948" s="98"/>
      <c r="W948" s="98"/>
      <c r="X948" s="98"/>
      <c r="Y948" s="98"/>
      <c r="Z948" s="98"/>
      <c r="AA948" s="98"/>
      <c r="AB948" s="98"/>
      <c r="AC948" s="98"/>
      <c r="AD948" s="98"/>
      <c r="AE948" s="98"/>
      <c r="AF948" s="98"/>
      <c r="AG948" s="98"/>
    </row>
    <row r="949" ht="15.75" customHeight="1">
      <c r="A949" s="98"/>
      <c r="B949" s="98"/>
      <c r="C949" s="98"/>
      <c r="D949" s="98"/>
      <c r="E949" s="98"/>
      <c r="F949" s="98"/>
      <c r="G949" s="98"/>
      <c r="H949" s="98"/>
      <c r="I949" s="98"/>
      <c r="J949" s="98"/>
      <c r="K949" s="98"/>
      <c r="L949" s="98"/>
      <c r="M949" s="98"/>
      <c r="N949" s="98"/>
      <c r="O949" s="98"/>
      <c r="P949" s="98"/>
      <c r="Q949" s="98"/>
      <c r="R949" s="98"/>
      <c r="S949" s="98"/>
      <c r="T949" s="98"/>
      <c r="U949" s="98"/>
      <c r="V949" s="98"/>
      <c r="W949" s="98"/>
      <c r="X949" s="98"/>
      <c r="Y949" s="98"/>
      <c r="Z949" s="98"/>
      <c r="AA949" s="98"/>
      <c r="AB949" s="98"/>
      <c r="AC949" s="98"/>
      <c r="AD949" s="98"/>
      <c r="AE949" s="98"/>
      <c r="AF949" s="98"/>
      <c r="AG949" s="98"/>
    </row>
    <row r="950" ht="15.75" customHeight="1">
      <c r="A950" s="98"/>
      <c r="B950" s="98"/>
      <c r="C950" s="98"/>
      <c r="D950" s="98"/>
      <c r="E950" s="98"/>
      <c r="F950" s="98"/>
      <c r="G950" s="98"/>
      <c r="H950" s="98"/>
      <c r="I950" s="98"/>
      <c r="J950" s="98"/>
      <c r="K950" s="98"/>
      <c r="L950" s="98"/>
      <c r="M950" s="98"/>
      <c r="N950" s="98"/>
      <c r="O950" s="98"/>
      <c r="P950" s="98"/>
      <c r="Q950" s="98"/>
      <c r="R950" s="98"/>
      <c r="S950" s="98"/>
      <c r="T950" s="98"/>
      <c r="U950" s="98"/>
      <c r="V950" s="98"/>
      <c r="W950" s="98"/>
      <c r="X950" s="98"/>
      <c r="Y950" s="98"/>
      <c r="Z950" s="98"/>
      <c r="AA950" s="98"/>
      <c r="AB950" s="98"/>
      <c r="AC950" s="98"/>
      <c r="AD950" s="98"/>
      <c r="AE950" s="98"/>
      <c r="AF950" s="98"/>
      <c r="AG950" s="98"/>
    </row>
    <row r="951" ht="15.75" customHeight="1">
      <c r="A951" s="98"/>
      <c r="B951" s="98"/>
      <c r="C951" s="98"/>
      <c r="D951" s="98"/>
      <c r="E951" s="98"/>
      <c r="F951" s="98"/>
      <c r="G951" s="98"/>
      <c r="H951" s="98"/>
      <c r="I951" s="98"/>
      <c r="J951" s="98"/>
      <c r="K951" s="98"/>
      <c r="L951" s="98"/>
      <c r="M951" s="98"/>
      <c r="N951" s="98"/>
      <c r="O951" s="98"/>
      <c r="P951" s="98"/>
      <c r="Q951" s="98"/>
      <c r="R951" s="98"/>
      <c r="S951" s="98"/>
      <c r="T951" s="98"/>
      <c r="U951" s="98"/>
      <c r="V951" s="98"/>
      <c r="W951" s="98"/>
      <c r="X951" s="98"/>
      <c r="Y951" s="98"/>
      <c r="Z951" s="98"/>
      <c r="AA951" s="98"/>
      <c r="AB951" s="98"/>
      <c r="AC951" s="98"/>
      <c r="AD951" s="98"/>
      <c r="AE951" s="98"/>
      <c r="AF951" s="98"/>
      <c r="AG951" s="98"/>
    </row>
    <row r="952" ht="15.75" customHeight="1">
      <c r="A952" s="98"/>
      <c r="B952" s="98"/>
      <c r="C952" s="98"/>
      <c r="D952" s="98"/>
      <c r="E952" s="98"/>
      <c r="F952" s="98"/>
      <c r="G952" s="98"/>
      <c r="H952" s="98"/>
      <c r="I952" s="98"/>
      <c r="J952" s="98"/>
      <c r="K952" s="98"/>
      <c r="L952" s="98"/>
      <c r="M952" s="98"/>
      <c r="N952" s="98"/>
      <c r="O952" s="98"/>
      <c r="P952" s="98"/>
      <c r="Q952" s="98"/>
      <c r="R952" s="98"/>
      <c r="S952" s="98"/>
      <c r="T952" s="98"/>
      <c r="U952" s="98"/>
      <c r="V952" s="98"/>
      <c r="W952" s="98"/>
      <c r="X952" s="98"/>
      <c r="Y952" s="98"/>
      <c r="Z952" s="98"/>
      <c r="AA952" s="98"/>
      <c r="AB952" s="98"/>
      <c r="AC952" s="98"/>
      <c r="AD952" s="98"/>
      <c r="AE952" s="98"/>
      <c r="AF952" s="98"/>
      <c r="AG952" s="98"/>
    </row>
    <row r="953" ht="15.75" customHeight="1">
      <c r="A953" s="98"/>
      <c r="B953" s="98"/>
      <c r="C953" s="98"/>
      <c r="D953" s="98"/>
      <c r="E953" s="98"/>
      <c r="F953" s="98"/>
      <c r="G953" s="98"/>
      <c r="H953" s="98"/>
      <c r="I953" s="98"/>
      <c r="J953" s="98"/>
      <c r="K953" s="98"/>
      <c r="L953" s="98"/>
      <c r="M953" s="98"/>
      <c r="N953" s="98"/>
      <c r="O953" s="98"/>
      <c r="P953" s="98"/>
      <c r="Q953" s="98"/>
      <c r="R953" s="98"/>
      <c r="S953" s="98"/>
      <c r="T953" s="98"/>
      <c r="U953" s="98"/>
      <c r="V953" s="98"/>
      <c r="W953" s="98"/>
      <c r="X953" s="98"/>
      <c r="Y953" s="98"/>
      <c r="Z953" s="98"/>
      <c r="AA953" s="98"/>
      <c r="AB953" s="98"/>
      <c r="AC953" s="98"/>
      <c r="AD953" s="98"/>
      <c r="AE953" s="98"/>
      <c r="AF953" s="98"/>
      <c r="AG953" s="98"/>
    </row>
    <row r="954" ht="15.75" customHeight="1">
      <c r="A954" s="98"/>
      <c r="B954" s="98"/>
      <c r="C954" s="98"/>
      <c r="D954" s="98"/>
      <c r="E954" s="98"/>
      <c r="F954" s="98"/>
      <c r="G954" s="98"/>
      <c r="H954" s="98"/>
      <c r="I954" s="98"/>
      <c r="J954" s="98"/>
      <c r="K954" s="98"/>
      <c r="L954" s="98"/>
      <c r="M954" s="98"/>
      <c r="N954" s="98"/>
      <c r="O954" s="98"/>
      <c r="P954" s="98"/>
      <c r="Q954" s="98"/>
      <c r="R954" s="98"/>
      <c r="S954" s="98"/>
      <c r="T954" s="98"/>
      <c r="U954" s="98"/>
      <c r="V954" s="98"/>
      <c r="W954" s="98"/>
      <c r="X954" s="98"/>
      <c r="Y954" s="98"/>
      <c r="Z954" s="98"/>
      <c r="AA954" s="98"/>
      <c r="AB954" s="98"/>
      <c r="AC954" s="98"/>
      <c r="AD954" s="98"/>
      <c r="AE954" s="98"/>
      <c r="AF954" s="98"/>
      <c r="AG954" s="98"/>
    </row>
    <row r="955" ht="15.75" customHeight="1">
      <c r="A955" s="98"/>
      <c r="B955" s="98"/>
      <c r="C955" s="98"/>
      <c r="D955" s="98"/>
      <c r="E955" s="98"/>
      <c r="F955" s="98"/>
      <c r="G955" s="98"/>
      <c r="H955" s="98"/>
      <c r="I955" s="98"/>
      <c r="J955" s="98"/>
      <c r="K955" s="98"/>
      <c r="L955" s="98"/>
      <c r="M955" s="98"/>
      <c r="N955" s="98"/>
      <c r="O955" s="98"/>
      <c r="P955" s="98"/>
      <c r="Q955" s="98"/>
      <c r="R955" s="98"/>
      <c r="S955" s="98"/>
      <c r="T955" s="98"/>
      <c r="U955" s="98"/>
      <c r="V955" s="98"/>
      <c r="W955" s="98"/>
      <c r="X955" s="98"/>
      <c r="Y955" s="98"/>
      <c r="Z955" s="98"/>
      <c r="AA955" s="98"/>
      <c r="AB955" s="98"/>
      <c r="AC955" s="98"/>
      <c r="AD955" s="98"/>
      <c r="AE955" s="98"/>
      <c r="AF955" s="98"/>
      <c r="AG955" s="98"/>
    </row>
    <row r="956" ht="15.75" customHeight="1">
      <c r="A956" s="98"/>
      <c r="B956" s="98"/>
      <c r="C956" s="98"/>
      <c r="D956" s="98"/>
      <c r="E956" s="98"/>
      <c r="F956" s="98"/>
      <c r="G956" s="98"/>
      <c r="H956" s="98"/>
      <c r="I956" s="98"/>
      <c r="J956" s="98"/>
      <c r="K956" s="98"/>
      <c r="L956" s="98"/>
      <c r="M956" s="98"/>
      <c r="N956" s="98"/>
      <c r="O956" s="98"/>
      <c r="P956" s="98"/>
      <c r="Q956" s="98"/>
      <c r="R956" s="98"/>
      <c r="S956" s="98"/>
      <c r="T956" s="98"/>
      <c r="U956" s="98"/>
      <c r="V956" s="98"/>
      <c r="W956" s="98"/>
      <c r="X956" s="98"/>
      <c r="Y956" s="98"/>
      <c r="Z956" s="98"/>
      <c r="AA956" s="98"/>
      <c r="AB956" s="98"/>
      <c r="AC956" s="98"/>
      <c r="AD956" s="98"/>
      <c r="AE956" s="98"/>
      <c r="AF956" s="98"/>
      <c r="AG956" s="98"/>
    </row>
    <row r="957" ht="15.75" customHeight="1">
      <c r="A957" s="98"/>
      <c r="B957" s="98"/>
      <c r="C957" s="98"/>
      <c r="D957" s="98"/>
      <c r="E957" s="98"/>
      <c r="F957" s="98"/>
      <c r="G957" s="98"/>
      <c r="H957" s="98"/>
      <c r="I957" s="98"/>
      <c r="J957" s="98"/>
      <c r="K957" s="98"/>
      <c r="L957" s="98"/>
      <c r="M957" s="98"/>
      <c r="N957" s="98"/>
      <c r="O957" s="98"/>
      <c r="P957" s="98"/>
      <c r="Q957" s="98"/>
      <c r="R957" s="98"/>
      <c r="S957" s="98"/>
      <c r="T957" s="98"/>
      <c r="U957" s="98"/>
      <c r="V957" s="98"/>
      <c r="W957" s="98"/>
      <c r="X957" s="98"/>
      <c r="Y957" s="98"/>
      <c r="Z957" s="98"/>
      <c r="AA957" s="98"/>
      <c r="AB957" s="98"/>
      <c r="AC957" s="98"/>
      <c r="AD957" s="98"/>
      <c r="AE957" s="98"/>
      <c r="AF957" s="98"/>
      <c r="AG957" s="98"/>
    </row>
    <row r="958" ht="15.75" customHeight="1">
      <c r="A958" s="98"/>
      <c r="B958" s="98"/>
      <c r="C958" s="98"/>
      <c r="D958" s="98"/>
      <c r="E958" s="98"/>
      <c r="F958" s="98"/>
      <c r="G958" s="98"/>
      <c r="H958" s="98"/>
      <c r="I958" s="98"/>
      <c r="J958" s="98"/>
      <c r="K958" s="98"/>
      <c r="L958" s="98"/>
      <c r="M958" s="98"/>
      <c r="N958" s="98"/>
      <c r="O958" s="98"/>
      <c r="P958" s="98"/>
      <c r="Q958" s="98"/>
      <c r="R958" s="98"/>
      <c r="S958" s="98"/>
      <c r="T958" s="98"/>
      <c r="U958" s="98"/>
      <c r="V958" s="98"/>
      <c r="W958" s="98"/>
      <c r="X958" s="98"/>
      <c r="Y958" s="98"/>
      <c r="Z958" s="98"/>
      <c r="AA958" s="98"/>
      <c r="AB958" s="98"/>
      <c r="AC958" s="98"/>
      <c r="AD958" s="98"/>
      <c r="AE958" s="98"/>
      <c r="AF958" s="98"/>
      <c r="AG958" s="98"/>
    </row>
    <row r="959" ht="15.75" customHeight="1">
      <c r="A959" s="98"/>
      <c r="B959" s="98"/>
      <c r="C959" s="98"/>
      <c r="D959" s="98"/>
      <c r="E959" s="98"/>
      <c r="F959" s="98"/>
      <c r="G959" s="98"/>
      <c r="H959" s="98"/>
      <c r="I959" s="98"/>
      <c r="J959" s="98"/>
      <c r="K959" s="98"/>
      <c r="L959" s="98"/>
      <c r="M959" s="98"/>
      <c r="N959" s="98"/>
      <c r="O959" s="98"/>
      <c r="P959" s="98"/>
      <c r="Q959" s="98"/>
      <c r="R959" s="98"/>
      <c r="S959" s="98"/>
      <c r="T959" s="98"/>
      <c r="U959" s="98"/>
      <c r="V959" s="98"/>
      <c r="W959" s="98"/>
      <c r="X959" s="98"/>
      <c r="Y959" s="98"/>
      <c r="Z959" s="98"/>
      <c r="AA959" s="98"/>
      <c r="AB959" s="98"/>
      <c r="AC959" s="98"/>
      <c r="AD959" s="98"/>
      <c r="AE959" s="98"/>
      <c r="AF959" s="98"/>
      <c r="AG959" s="98"/>
    </row>
    <row r="960" ht="15.75" customHeight="1">
      <c r="A960" s="98"/>
      <c r="B960" s="98"/>
      <c r="C960" s="98"/>
      <c r="D960" s="98"/>
      <c r="E960" s="98"/>
      <c r="F960" s="98"/>
      <c r="G960" s="98"/>
      <c r="H960" s="98"/>
      <c r="I960" s="98"/>
      <c r="J960" s="98"/>
      <c r="K960" s="98"/>
      <c r="L960" s="98"/>
      <c r="M960" s="98"/>
      <c r="N960" s="98"/>
      <c r="O960" s="98"/>
      <c r="P960" s="98"/>
      <c r="Q960" s="98"/>
      <c r="R960" s="98"/>
      <c r="S960" s="98"/>
      <c r="T960" s="98"/>
      <c r="U960" s="98"/>
      <c r="V960" s="98"/>
      <c r="W960" s="98"/>
      <c r="X960" s="98"/>
      <c r="Y960" s="98"/>
      <c r="Z960" s="98"/>
      <c r="AA960" s="98"/>
      <c r="AB960" s="98"/>
      <c r="AC960" s="98"/>
      <c r="AD960" s="98"/>
      <c r="AE960" s="98"/>
      <c r="AF960" s="98"/>
      <c r="AG960" s="98"/>
    </row>
    <row r="961" ht="15.75" customHeight="1">
      <c r="A961" s="98"/>
      <c r="B961" s="98"/>
      <c r="C961" s="98"/>
      <c r="D961" s="98"/>
      <c r="E961" s="98"/>
      <c r="F961" s="98"/>
      <c r="G961" s="98"/>
      <c r="H961" s="98"/>
      <c r="I961" s="98"/>
      <c r="J961" s="98"/>
      <c r="K961" s="98"/>
      <c r="L961" s="98"/>
      <c r="M961" s="98"/>
      <c r="N961" s="98"/>
      <c r="O961" s="98"/>
      <c r="P961" s="98"/>
      <c r="Q961" s="98"/>
      <c r="R961" s="98"/>
      <c r="S961" s="98"/>
      <c r="T961" s="98"/>
      <c r="U961" s="98"/>
      <c r="V961" s="98"/>
      <c r="W961" s="98"/>
      <c r="X961" s="98"/>
      <c r="Y961" s="98"/>
      <c r="Z961" s="98"/>
      <c r="AA961" s="98"/>
      <c r="AB961" s="98"/>
      <c r="AC961" s="98"/>
      <c r="AD961" s="98"/>
      <c r="AE961" s="98"/>
      <c r="AF961" s="98"/>
      <c r="AG961" s="98"/>
    </row>
    <row r="962" ht="15.75" customHeight="1">
      <c r="A962" s="98"/>
      <c r="B962" s="98"/>
      <c r="C962" s="98"/>
      <c r="D962" s="98"/>
      <c r="E962" s="98"/>
      <c r="F962" s="98"/>
      <c r="G962" s="98"/>
      <c r="H962" s="98"/>
      <c r="I962" s="98"/>
      <c r="J962" s="98"/>
      <c r="K962" s="98"/>
      <c r="L962" s="98"/>
      <c r="M962" s="98"/>
      <c r="N962" s="98"/>
      <c r="O962" s="98"/>
      <c r="P962" s="98"/>
      <c r="Q962" s="98"/>
      <c r="R962" s="98"/>
      <c r="S962" s="98"/>
      <c r="T962" s="98"/>
      <c r="U962" s="98"/>
      <c r="V962" s="98"/>
      <c r="W962" s="98"/>
      <c r="X962" s="98"/>
      <c r="Y962" s="98"/>
      <c r="Z962" s="98"/>
      <c r="AA962" s="98"/>
      <c r="AB962" s="98"/>
      <c r="AC962" s="98"/>
      <c r="AD962" s="98"/>
      <c r="AE962" s="98"/>
      <c r="AF962" s="98"/>
      <c r="AG962" s="98"/>
    </row>
    <row r="963" ht="15.75" customHeight="1">
      <c r="A963" s="98"/>
      <c r="B963" s="98"/>
      <c r="C963" s="98"/>
      <c r="D963" s="98"/>
      <c r="E963" s="98"/>
      <c r="F963" s="98"/>
      <c r="G963" s="98"/>
      <c r="H963" s="98"/>
      <c r="I963" s="98"/>
      <c r="J963" s="98"/>
      <c r="K963" s="98"/>
      <c r="L963" s="98"/>
      <c r="M963" s="98"/>
      <c r="N963" s="98"/>
      <c r="O963" s="98"/>
      <c r="P963" s="98"/>
      <c r="Q963" s="98"/>
      <c r="R963" s="98"/>
      <c r="S963" s="98"/>
      <c r="T963" s="98"/>
      <c r="U963" s="98"/>
      <c r="V963" s="98"/>
      <c r="W963" s="98"/>
      <c r="X963" s="98"/>
      <c r="Y963" s="98"/>
      <c r="Z963" s="98"/>
      <c r="AA963" s="98"/>
      <c r="AB963" s="98"/>
      <c r="AC963" s="98"/>
      <c r="AD963" s="98"/>
      <c r="AE963" s="98"/>
      <c r="AF963" s="98"/>
      <c r="AG963" s="98"/>
    </row>
    <row r="964" ht="15.75" customHeight="1">
      <c r="A964" s="98"/>
      <c r="B964" s="98"/>
      <c r="C964" s="98"/>
      <c r="D964" s="98"/>
      <c r="E964" s="98"/>
      <c r="F964" s="98"/>
      <c r="G964" s="98"/>
      <c r="H964" s="98"/>
      <c r="I964" s="98"/>
      <c r="J964" s="98"/>
      <c r="K964" s="98"/>
      <c r="L964" s="98"/>
      <c r="M964" s="98"/>
      <c r="N964" s="98"/>
      <c r="O964" s="98"/>
      <c r="P964" s="98"/>
      <c r="Q964" s="98"/>
      <c r="R964" s="98"/>
      <c r="S964" s="98"/>
      <c r="T964" s="98"/>
      <c r="U964" s="98"/>
      <c r="V964" s="98"/>
      <c r="W964" s="98"/>
      <c r="X964" s="98"/>
      <c r="Y964" s="98"/>
      <c r="Z964" s="98"/>
      <c r="AA964" s="98"/>
      <c r="AB964" s="98"/>
      <c r="AC964" s="98"/>
      <c r="AD964" s="98"/>
      <c r="AE964" s="98"/>
      <c r="AF964" s="98"/>
      <c r="AG964" s="98"/>
    </row>
    <row r="965" ht="15.75" customHeight="1">
      <c r="A965" s="98"/>
      <c r="B965" s="98"/>
      <c r="C965" s="98"/>
      <c r="D965" s="98"/>
      <c r="E965" s="98"/>
      <c r="F965" s="98"/>
      <c r="G965" s="98"/>
      <c r="H965" s="98"/>
      <c r="I965" s="98"/>
      <c r="J965" s="98"/>
      <c r="K965" s="98"/>
      <c r="L965" s="98"/>
      <c r="M965" s="98"/>
      <c r="N965" s="98"/>
      <c r="O965" s="98"/>
      <c r="P965" s="98"/>
      <c r="Q965" s="98"/>
      <c r="R965" s="98"/>
      <c r="S965" s="98"/>
      <c r="T965" s="98"/>
      <c r="U965" s="98"/>
      <c r="V965" s="98"/>
      <c r="W965" s="98"/>
      <c r="X965" s="98"/>
      <c r="Y965" s="98"/>
      <c r="Z965" s="98"/>
      <c r="AA965" s="98"/>
      <c r="AB965" s="98"/>
      <c r="AC965" s="98"/>
      <c r="AD965" s="98"/>
      <c r="AE965" s="98"/>
      <c r="AF965" s="98"/>
      <c r="AG965" s="98"/>
    </row>
    <row r="966" ht="15.75" customHeight="1">
      <c r="A966" s="98"/>
      <c r="B966" s="98"/>
      <c r="C966" s="98"/>
      <c r="D966" s="98"/>
      <c r="E966" s="98"/>
      <c r="F966" s="98"/>
      <c r="G966" s="98"/>
      <c r="H966" s="98"/>
      <c r="I966" s="98"/>
      <c r="J966" s="98"/>
      <c r="K966" s="98"/>
      <c r="L966" s="98"/>
      <c r="M966" s="98"/>
      <c r="N966" s="98"/>
      <c r="O966" s="98"/>
      <c r="P966" s="98"/>
      <c r="Q966" s="98"/>
      <c r="R966" s="98"/>
      <c r="S966" s="98"/>
      <c r="T966" s="98"/>
      <c r="U966" s="98"/>
      <c r="V966" s="98"/>
      <c r="W966" s="98"/>
      <c r="X966" s="98"/>
      <c r="Y966" s="98"/>
      <c r="Z966" s="98"/>
      <c r="AA966" s="98"/>
      <c r="AB966" s="98"/>
      <c r="AC966" s="98"/>
      <c r="AD966" s="98"/>
      <c r="AE966" s="98"/>
      <c r="AF966" s="98"/>
      <c r="AG966" s="98"/>
    </row>
    <row r="967" ht="15.75" customHeight="1">
      <c r="A967" s="98"/>
      <c r="B967" s="98"/>
      <c r="C967" s="98"/>
      <c r="D967" s="98"/>
      <c r="E967" s="98"/>
      <c r="F967" s="98"/>
      <c r="G967" s="98"/>
      <c r="H967" s="98"/>
      <c r="I967" s="98"/>
      <c r="J967" s="98"/>
      <c r="K967" s="98"/>
      <c r="L967" s="98"/>
      <c r="M967" s="98"/>
      <c r="N967" s="98"/>
      <c r="O967" s="98"/>
      <c r="P967" s="98"/>
      <c r="Q967" s="98"/>
      <c r="R967" s="98"/>
      <c r="S967" s="98"/>
      <c r="T967" s="98"/>
      <c r="U967" s="98"/>
      <c r="V967" s="98"/>
      <c r="W967" s="98"/>
      <c r="X967" s="98"/>
      <c r="Y967" s="98"/>
      <c r="Z967" s="98"/>
      <c r="AA967" s="98"/>
      <c r="AB967" s="98"/>
      <c r="AC967" s="98"/>
      <c r="AD967" s="98"/>
      <c r="AE967" s="98"/>
      <c r="AF967" s="98"/>
      <c r="AG967" s="98"/>
    </row>
    <row r="968" ht="15.75" customHeight="1">
      <c r="A968" s="98"/>
      <c r="B968" s="98"/>
      <c r="C968" s="98"/>
      <c r="D968" s="98"/>
      <c r="E968" s="98"/>
      <c r="F968" s="98"/>
      <c r="G968" s="98"/>
      <c r="H968" s="98"/>
      <c r="I968" s="98"/>
      <c r="J968" s="98"/>
      <c r="K968" s="98"/>
      <c r="L968" s="98"/>
      <c r="M968" s="98"/>
      <c r="N968" s="98"/>
      <c r="O968" s="98"/>
      <c r="P968" s="98"/>
      <c r="Q968" s="98"/>
      <c r="R968" s="98"/>
      <c r="S968" s="98"/>
      <c r="T968" s="98"/>
      <c r="U968" s="98"/>
      <c r="V968" s="98"/>
      <c r="W968" s="98"/>
      <c r="X968" s="98"/>
      <c r="Y968" s="98"/>
      <c r="Z968" s="98"/>
      <c r="AA968" s="98"/>
      <c r="AB968" s="98"/>
      <c r="AC968" s="98"/>
      <c r="AD968" s="98"/>
      <c r="AE968" s="98"/>
      <c r="AF968" s="98"/>
      <c r="AG968" s="98"/>
    </row>
    <row r="969" ht="15.75" customHeight="1">
      <c r="A969" s="98"/>
      <c r="B969" s="98"/>
      <c r="C969" s="98"/>
      <c r="D969" s="98"/>
      <c r="E969" s="98"/>
      <c r="F969" s="98"/>
      <c r="G969" s="98"/>
      <c r="H969" s="98"/>
      <c r="I969" s="98"/>
      <c r="J969" s="98"/>
      <c r="K969" s="98"/>
      <c r="L969" s="98"/>
      <c r="M969" s="98"/>
      <c r="N969" s="98"/>
      <c r="O969" s="98"/>
      <c r="P969" s="98"/>
      <c r="Q969" s="98"/>
      <c r="R969" s="98"/>
      <c r="S969" s="98"/>
      <c r="T969" s="98"/>
      <c r="U969" s="98"/>
      <c r="V969" s="98"/>
      <c r="W969" s="98"/>
      <c r="X969" s="98"/>
      <c r="Y969" s="98"/>
      <c r="Z969" s="98"/>
      <c r="AA969" s="98"/>
      <c r="AB969" s="98"/>
      <c r="AC969" s="98"/>
      <c r="AD969" s="98"/>
      <c r="AE969" s="98"/>
      <c r="AF969" s="98"/>
      <c r="AG969" s="98"/>
    </row>
    <row r="970" ht="15.75" customHeight="1">
      <c r="A970" s="98"/>
      <c r="B970" s="98"/>
      <c r="C970" s="98"/>
      <c r="D970" s="98"/>
      <c r="E970" s="98"/>
      <c r="F970" s="98"/>
      <c r="G970" s="98"/>
      <c r="H970" s="98"/>
      <c r="I970" s="98"/>
      <c r="J970" s="98"/>
      <c r="K970" s="98"/>
      <c r="L970" s="98"/>
      <c r="M970" s="98"/>
      <c r="N970" s="98"/>
      <c r="O970" s="98"/>
      <c r="P970" s="98"/>
      <c r="Q970" s="98"/>
      <c r="R970" s="98"/>
      <c r="S970" s="98"/>
      <c r="T970" s="98"/>
      <c r="U970" s="98"/>
      <c r="V970" s="98"/>
      <c r="W970" s="98"/>
      <c r="X970" s="98"/>
      <c r="Y970" s="98"/>
      <c r="Z970" s="98"/>
      <c r="AA970" s="98"/>
      <c r="AB970" s="98"/>
      <c r="AC970" s="98"/>
      <c r="AD970" s="98"/>
      <c r="AE970" s="98"/>
      <c r="AF970" s="98"/>
      <c r="AG970" s="98"/>
    </row>
    <row r="971" ht="15.75" customHeight="1">
      <c r="A971" s="98"/>
      <c r="B971" s="98"/>
      <c r="C971" s="98"/>
      <c r="D971" s="98"/>
      <c r="E971" s="98"/>
      <c r="F971" s="98"/>
      <c r="G971" s="98"/>
      <c r="H971" s="98"/>
      <c r="I971" s="98"/>
      <c r="J971" s="98"/>
      <c r="K971" s="98"/>
      <c r="L971" s="98"/>
      <c r="M971" s="98"/>
      <c r="N971" s="98"/>
      <c r="O971" s="98"/>
      <c r="P971" s="98"/>
      <c r="Q971" s="98"/>
      <c r="R971" s="98"/>
      <c r="S971" s="98"/>
      <c r="T971" s="98"/>
      <c r="U971" s="98"/>
      <c r="V971" s="98"/>
      <c r="W971" s="98"/>
      <c r="X971" s="98"/>
      <c r="Y971" s="98"/>
      <c r="Z971" s="98"/>
      <c r="AA971" s="98"/>
      <c r="AB971" s="98"/>
      <c r="AC971" s="98"/>
      <c r="AD971" s="98"/>
      <c r="AE971" s="98"/>
      <c r="AF971" s="98"/>
      <c r="AG971" s="98"/>
    </row>
    <row r="972" ht="15.75" customHeight="1">
      <c r="A972" s="98"/>
      <c r="B972" s="98"/>
      <c r="C972" s="98"/>
      <c r="D972" s="98"/>
      <c r="E972" s="98"/>
      <c r="F972" s="98"/>
      <c r="G972" s="98"/>
      <c r="H972" s="98"/>
      <c r="I972" s="98"/>
      <c r="J972" s="98"/>
      <c r="K972" s="98"/>
      <c r="L972" s="98"/>
      <c r="M972" s="98"/>
      <c r="N972" s="98"/>
      <c r="O972" s="98"/>
      <c r="P972" s="98"/>
      <c r="Q972" s="98"/>
      <c r="R972" s="98"/>
      <c r="S972" s="98"/>
      <c r="T972" s="98"/>
      <c r="U972" s="98"/>
      <c r="V972" s="98"/>
      <c r="W972" s="98"/>
      <c r="X972" s="98"/>
      <c r="Y972" s="98"/>
      <c r="Z972" s="98"/>
      <c r="AA972" s="98"/>
      <c r="AB972" s="98"/>
      <c r="AC972" s="98"/>
      <c r="AD972" s="98"/>
      <c r="AE972" s="98"/>
      <c r="AF972" s="98"/>
      <c r="AG972" s="98"/>
    </row>
    <row r="973" ht="15.75" customHeight="1">
      <c r="A973" s="98"/>
      <c r="B973" s="98"/>
      <c r="C973" s="98"/>
      <c r="D973" s="98"/>
      <c r="E973" s="98"/>
      <c r="F973" s="98"/>
      <c r="G973" s="98"/>
      <c r="H973" s="98"/>
      <c r="I973" s="98"/>
      <c r="J973" s="98"/>
      <c r="K973" s="98"/>
      <c r="L973" s="98"/>
      <c r="M973" s="98"/>
      <c r="N973" s="98"/>
      <c r="O973" s="98"/>
      <c r="P973" s="98"/>
      <c r="Q973" s="98"/>
      <c r="R973" s="98"/>
      <c r="S973" s="98"/>
      <c r="T973" s="98"/>
      <c r="U973" s="98"/>
      <c r="V973" s="98"/>
      <c r="W973" s="98"/>
      <c r="X973" s="98"/>
      <c r="Y973" s="98"/>
      <c r="Z973" s="98"/>
      <c r="AA973" s="98"/>
      <c r="AB973" s="98"/>
      <c r="AC973" s="98"/>
      <c r="AD973" s="98"/>
      <c r="AE973" s="98"/>
      <c r="AF973" s="98"/>
      <c r="AG973" s="98"/>
    </row>
    <row r="974" ht="15.75" customHeight="1">
      <c r="A974" s="98"/>
      <c r="B974" s="98"/>
      <c r="C974" s="98"/>
      <c r="D974" s="98"/>
      <c r="E974" s="98"/>
      <c r="F974" s="98"/>
      <c r="G974" s="98"/>
      <c r="H974" s="98"/>
      <c r="I974" s="98"/>
      <c r="J974" s="98"/>
      <c r="K974" s="98"/>
      <c r="L974" s="98"/>
      <c r="M974" s="98"/>
      <c r="N974" s="98"/>
      <c r="O974" s="98"/>
      <c r="P974" s="98"/>
      <c r="Q974" s="98"/>
      <c r="R974" s="98"/>
      <c r="S974" s="98"/>
      <c r="T974" s="98"/>
      <c r="U974" s="98"/>
      <c r="V974" s="98"/>
      <c r="W974" s="98"/>
      <c r="X974" s="98"/>
      <c r="Y974" s="98"/>
      <c r="Z974" s="98"/>
      <c r="AA974" s="98"/>
      <c r="AB974" s="98"/>
      <c r="AC974" s="98"/>
      <c r="AD974" s="98"/>
      <c r="AE974" s="98"/>
      <c r="AF974" s="98"/>
      <c r="AG974" s="98"/>
    </row>
    <row r="975" ht="15.75" customHeight="1">
      <c r="A975" s="98"/>
      <c r="B975" s="98"/>
      <c r="C975" s="98"/>
      <c r="D975" s="98"/>
      <c r="E975" s="98"/>
      <c r="F975" s="98"/>
      <c r="G975" s="98"/>
      <c r="H975" s="98"/>
      <c r="I975" s="98"/>
      <c r="J975" s="98"/>
      <c r="K975" s="98"/>
      <c r="L975" s="98"/>
      <c r="M975" s="98"/>
      <c r="N975" s="98"/>
      <c r="O975" s="98"/>
      <c r="P975" s="98"/>
      <c r="Q975" s="98"/>
      <c r="R975" s="98"/>
      <c r="S975" s="98"/>
      <c r="T975" s="98"/>
      <c r="U975" s="98"/>
      <c r="V975" s="98"/>
      <c r="W975" s="98"/>
      <c r="X975" s="98"/>
      <c r="Y975" s="98"/>
      <c r="Z975" s="98"/>
      <c r="AA975" s="98"/>
      <c r="AB975" s="98"/>
      <c r="AC975" s="98"/>
      <c r="AD975" s="98"/>
      <c r="AE975" s="98"/>
      <c r="AF975" s="98"/>
      <c r="AG975" s="98"/>
    </row>
    <row r="976" ht="15.75" customHeight="1">
      <c r="A976" s="98"/>
      <c r="B976" s="98"/>
      <c r="C976" s="98"/>
      <c r="D976" s="98"/>
      <c r="E976" s="98"/>
      <c r="F976" s="98"/>
      <c r="G976" s="98"/>
      <c r="H976" s="98"/>
      <c r="I976" s="98"/>
      <c r="J976" s="98"/>
      <c r="K976" s="98"/>
      <c r="L976" s="98"/>
      <c r="M976" s="98"/>
      <c r="N976" s="98"/>
      <c r="O976" s="98"/>
      <c r="P976" s="98"/>
      <c r="Q976" s="98"/>
      <c r="R976" s="98"/>
      <c r="S976" s="98"/>
      <c r="T976" s="98"/>
      <c r="U976" s="98"/>
      <c r="V976" s="98"/>
      <c r="W976" s="98"/>
      <c r="X976" s="98"/>
      <c r="Y976" s="98"/>
      <c r="Z976" s="98"/>
      <c r="AA976" s="98"/>
      <c r="AB976" s="98"/>
      <c r="AC976" s="98"/>
      <c r="AD976" s="98"/>
      <c r="AE976" s="98"/>
      <c r="AF976" s="98"/>
      <c r="AG976" s="98"/>
    </row>
    <row r="977" ht="15.75" customHeight="1">
      <c r="A977" s="98"/>
      <c r="B977" s="98"/>
      <c r="C977" s="98"/>
      <c r="D977" s="98"/>
      <c r="E977" s="98"/>
      <c r="F977" s="98"/>
      <c r="G977" s="98"/>
      <c r="H977" s="98"/>
      <c r="I977" s="98"/>
      <c r="J977" s="98"/>
      <c r="K977" s="98"/>
      <c r="L977" s="98"/>
      <c r="M977" s="98"/>
      <c r="N977" s="98"/>
      <c r="O977" s="98"/>
      <c r="P977" s="98"/>
      <c r="Q977" s="98"/>
      <c r="R977" s="98"/>
      <c r="S977" s="98"/>
      <c r="T977" s="98"/>
      <c r="U977" s="98"/>
      <c r="V977" s="98"/>
      <c r="W977" s="98"/>
      <c r="X977" s="98"/>
      <c r="Y977" s="98"/>
      <c r="Z977" s="98"/>
      <c r="AA977" s="98"/>
      <c r="AB977" s="98"/>
      <c r="AC977" s="98"/>
      <c r="AD977" s="98"/>
      <c r="AE977" s="98"/>
      <c r="AF977" s="98"/>
      <c r="AG977" s="98"/>
    </row>
    <row r="978" ht="15.75" customHeight="1">
      <c r="A978" s="98"/>
      <c r="B978" s="98"/>
      <c r="C978" s="98"/>
      <c r="D978" s="98"/>
      <c r="E978" s="98"/>
      <c r="F978" s="98"/>
      <c r="G978" s="98"/>
      <c r="H978" s="98"/>
      <c r="I978" s="98"/>
      <c r="J978" s="98"/>
      <c r="K978" s="98"/>
      <c r="L978" s="98"/>
      <c r="M978" s="98"/>
      <c r="N978" s="98"/>
      <c r="O978" s="98"/>
      <c r="P978" s="98"/>
      <c r="Q978" s="98"/>
      <c r="R978" s="98"/>
      <c r="S978" s="98"/>
      <c r="T978" s="98"/>
      <c r="U978" s="98"/>
      <c r="V978" s="98"/>
      <c r="W978" s="98"/>
      <c r="X978" s="98"/>
      <c r="Y978" s="98"/>
      <c r="Z978" s="98"/>
      <c r="AA978" s="98"/>
      <c r="AB978" s="98"/>
      <c r="AC978" s="98"/>
      <c r="AD978" s="98"/>
      <c r="AE978" s="98"/>
      <c r="AF978" s="98"/>
      <c r="AG978" s="98"/>
    </row>
    <row r="979" ht="15.75" customHeight="1">
      <c r="A979" s="98"/>
      <c r="B979" s="98"/>
      <c r="C979" s="98"/>
      <c r="D979" s="98"/>
      <c r="E979" s="98"/>
      <c r="F979" s="98"/>
      <c r="G979" s="98"/>
      <c r="H979" s="98"/>
      <c r="I979" s="98"/>
      <c r="J979" s="98"/>
      <c r="K979" s="98"/>
      <c r="L979" s="98"/>
      <c r="M979" s="98"/>
      <c r="N979" s="98"/>
      <c r="O979" s="98"/>
      <c r="P979" s="98"/>
      <c r="Q979" s="98"/>
      <c r="R979" s="98"/>
      <c r="S979" s="98"/>
      <c r="T979" s="98"/>
      <c r="U979" s="98"/>
      <c r="V979" s="98"/>
      <c r="W979" s="98"/>
      <c r="X979" s="98"/>
      <c r="Y979" s="98"/>
      <c r="Z979" s="98"/>
      <c r="AA979" s="98"/>
      <c r="AB979" s="98"/>
      <c r="AC979" s="98"/>
      <c r="AD979" s="98"/>
      <c r="AE979" s="98"/>
      <c r="AF979" s="98"/>
      <c r="AG979" s="98"/>
    </row>
    <row r="980" ht="15.75" customHeight="1">
      <c r="A980" s="98"/>
      <c r="B980" s="98"/>
      <c r="C980" s="98"/>
      <c r="D980" s="98"/>
      <c r="E980" s="98"/>
      <c r="F980" s="98"/>
      <c r="G980" s="98"/>
      <c r="H980" s="98"/>
      <c r="I980" s="98"/>
      <c r="J980" s="98"/>
      <c r="K980" s="98"/>
      <c r="L980" s="98"/>
      <c r="M980" s="98"/>
      <c r="N980" s="98"/>
      <c r="O980" s="98"/>
      <c r="P980" s="98"/>
      <c r="Q980" s="98"/>
      <c r="R980" s="98"/>
      <c r="S980" s="98"/>
      <c r="T980" s="98"/>
      <c r="U980" s="98"/>
      <c r="V980" s="98"/>
      <c r="W980" s="98"/>
      <c r="X980" s="98"/>
      <c r="Y980" s="98"/>
      <c r="Z980" s="98"/>
      <c r="AA980" s="98"/>
      <c r="AB980" s="98"/>
      <c r="AC980" s="98"/>
      <c r="AD980" s="98"/>
      <c r="AE980" s="98"/>
      <c r="AF980" s="98"/>
      <c r="AG980" s="98"/>
    </row>
    <row r="981" ht="15.75" customHeight="1">
      <c r="A981" s="98"/>
      <c r="B981" s="98"/>
      <c r="C981" s="98"/>
      <c r="D981" s="98"/>
      <c r="E981" s="98"/>
      <c r="F981" s="98"/>
      <c r="G981" s="98"/>
      <c r="H981" s="98"/>
      <c r="I981" s="98"/>
      <c r="J981" s="98"/>
      <c r="K981" s="98"/>
      <c r="L981" s="98"/>
      <c r="M981" s="98"/>
      <c r="N981" s="98"/>
      <c r="O981" s="98"/>
      <c r="P981" s="98"/>
      <c r="Q981" s="98"/>
      <c r="R981" s="98"/>
      <c r="S981" s="98"/>
      <c r="T981" s="98"/>
      <c r="U981" s="98"/>
      <c r="V981" s="98"/>
      <c r="W981" s="98"/>
      <c r="X981" s="98"/>
      <c r="Y981" s="98"/>
      <c r="Z981" s="98"/>
      <c r="AA981" s="98"/>
      <c r="AB981" s="98"/>
      <c r="AC981" s="98"/>
      <c r="AD981" s="98"/>
      <c r="AE981" s="98"/>
      <c r="AF981" s="98"/>
      <c r="AG981" s="98"/>
    </row>
    <row r="982" ht="15.75" customHeight="1">
      <c r="A982" s="98"/>
      <c r="B982" s="98"/>
      <c r="C982" s="98"/>
      <c r="D982" s="98"/>
      <c r="E982" s="98"/>
      <c r="F982" s="98"/>
      <c r="G982" s="98"/>
      <c r="H982" s="98"/>
      <c r="I982" s="98"/>
      <c r="J982" s="98"/>
      <c r="K982" s="98"/>
      <c r="L982" s="98"/>
      <c r="M982" s="98"/>
      <c r="N982" s="98"/>
      <c r="O982" s="98"/>
      <c r="P982" s="98"/>
      <c r="Q982" s="98"/>
      <c r="R982" s="98"/>
      <c r="S982" s="98"/>
      <c r="T982" s="98"/>
      <c r="U982" s="98"/>
      <c r="V982" s="98"/>
      <c r="W982" s="98"/>
      <c r="X982" s="98"/>
      <c r="Y982" s="98"/>
      <c r="Z982" s="98"/>
      <c r="AA982" s="98"/>
      <c r="AB982" s="98"/>
      <c r="AC982" s="98"/>
      <c r="AD982" s="98"/>
      <c r="AE982" s="98"/>
      <c r="AF982" s="98"/>
      <c r="AG982" s="98"/>
    </row>
    <row r="983" ht="15.75" customHeight="1">
      <c r="A983" s="98"/>
      <c r="B983" s="98"/>
      <c r="C983" s="98"/>
      <c r="D983" s="98"/>
      <c r="E983" s="98"/>
      <c r="F983" s="98"/>
      <c r="G983" s="98"/>
      <c r="H983" s="98"/>
      <c r="I983" s="98"/>
      <c r="J983" s="98"/>
      <c r="K983" s="98"/>
      <c r="L983" s="98"/>
      <c r="M983" s="98"/>
      <c r="N983" s="98"/>
      <c r="O983" s="98"/>
      <c r="P983" s="98"/>
      <c r="Q983" s="98"/>
      <c r="R983" s="98"/>
      <c r="S983" s="98"/>
      <c r="T983" s="98"/>
      <c r="U983" s="98"/>
      <c r="V983" s="98"/>
      <c r="W983" s="98"/>
      <c r="X983" s="98"/>
      <c r="Y983" s="98"/>
      <c r="Z983" s="98"/>
      <c r="AA983" s="98"/>
      <c r="AB983" s="98"/>
      <c r="AC983" s="98"/>
      <c r="AD983" s="98"/>
      <c r="AE983" s="98"/>
      <c r="AF983" s="98"/>
      <c r="AG983" s="98"/>
    </row>
    <row r="984" ht="15.75" customHeight="1">
      <c r="A984" s="98"/>
      <c r="B984" s="98"/>
      <c r="C984" s="98"/>
      <c r="D984" s="98"/>
      <c r="E984" s="98"/>
      <c r="F984" s="98"/>
      <c r="G984" s="98"/>
      <c r="H984" s="98"/>
      <c r="I984" s="98"/>
      <c r="J984" s="98"/>
      <c r="K984" s="98"/>
      <c r="L984" s="98"/>
      <c r="M984" s="98"/>
      <c r="N984" s="98"/>
      <c r="O984" s="98"/>
      <c r="P984" s="98"/>
      <c r="Q984" s="98"/>
      <c r="R984" s="98"/>
      <c r="S984" s="98"/>
      <c r="T984" s="98"/>
      <c r="U984" s="98"/>
      <c r="V984" s="98"/>
      <c r="W984" s="98"/>
      <c r="X984" s="98"/>
      <c r="Y984" s="98"/>
      <c r="Z984" s="98"/>
      <c r="AA984" s="98"/>
      <c r="AB984" s="98"/>
      <c r="AC984" s="98"/>
      <c r="AD984" s="98"/>
      <c r="AE984" s="98"/>
      <c r="AF984" s="98"/>
      <c r="AG984" s="98"/>
    </row>
    <row r="985" ht="15.75" customHeight="1">
      <c r="A985" s="98"/>
      <c r="B985" s="98"/>
      <c r="C985" s="98"/>
      <c r="D985" s="98"/>
      <c r="E985" s="98"/>
      <c r="F985" s="98"/>
      <c r="G985" s="98"/>
      <c r="H985" s="98"/>
      <c r="I985" s="98"/>
      <c r="J985" s="98"/>
      <c r="K985" s="98"/>
      <c r="L985" s="98"/>
      <c r="M985" s="98"/>
      <c r="N985" s="98"/>
      <c r="O985" s="98"/>
      <c r="P985" s="98"/>
      <c r="Q985" s="98"/>
      <c r="R985" s="98"/>
      <c r="S985" s="98"/>
      <c r="T985" s="98"/>
      <c r="U985" s="98"/>
      <c r="V985" s="98"/>
      <c r="W985" s="98"/>
      <c r="X985" s="98"/>
      <c r="Y985" s="98"/>
      <c r="Z985" s="98"/>
      <c r="AA985" s="98"/>
      <c r="AB985" s="98"/>
      <c r="AC985" s="98"/>
      <c r="AD985" s="98"/>
      <c r="AE985" s="98"/>
      <c r="AF985" s="98"/>
      <c r="AG985" s="98"/>
    </row>
    <row r="986" ht="15.75" customHeight="1">
      <c r="A986" s="98"/>
      <c r="B986" s="98"/>
      <c r="C986" s="98"/>
      <c r="D986" s="98"/>
      <c r="E986" s="98"/>
      <c r="F986" s="98"/>
      <c r="G986" s="98"/>
      <c r="H986" s="98"/>
      <c r="I986" s="98"/>
      <c r="J986" s="98"/>
      <c r="K986" s="98"/>
      <c r="L986" s="98"/>
      <c r="M986" s="98"/>
      <c r="N986" s="98"/>
      <c r="O986" s="98"/>
      <c r="P986" s="98"/>
      <c r="Q986" s="98"/>
      <c r="R986" s="98"/>
      <c r="S986" s="98"/>
      <c r="T986" s="98"/>
      <c r="U986" s="98"/>
      <c r="V986" s="98"/>
      <c r="W986" s="98"/>
      <c r="X986" s="98"/>
      <c r="Y986" s="98"/>
      <c r="Z986" s="98"/>
      <c r="AA986" s="98"/>
      <c r="AB986" s="98"/>
      <c r="AC986" s="98"/>
      <c r="AD986" s="98"/>
      <c r="AE986" s="98"/>
      <c r="AF986" s="98"/>
      <c r="AG986" s="98"/>
    </row>
    <row r="987" ht="15.75" customHeight="1">
      <c r="A987" s="98"/>
      <c r="B987" s="98"/>
      <c r="C987" s="98"/>
      <c r="D987" s="98"/>
      <c r="E987" s="98"/>
      <c r="F987" s="98"/>
      <c r="G987" s="98"/>
      <c r="H987" s="98"/>
      <c r="I987" s="98"/>
      <c r="J987" s="98"/>
      <c r="K987" s="98"/>
      <c r="L987" s="98"/>
      <c r="M987" s="98"/>
      <c r="N987" s="98"/>
      <c r="O987" s="98"/>
      <c r="P987" s="98"/>
      <c r="Q987" s="98"/>
      <c r="R987" s="98"/>
      <c r="S987" s="98"/>
      <c r="T987" s="98"/>
      <c r="U987" s="98"/>
      <c r="V987" s="98"/>
      <c r="W987" s="98"/>
      <c r="X987" s="98"/>
      <c r="Y987" s="98"/>
      <c r="Z987" s="98"/>
      <c r="AA987" s="98"/>
      <c r="AB987" s="98"/>
      <c r="AC987" s="98"/>
      <c r="AD987" s="98"/>
      <c r="AE987" s="98"/>
      <c r="AF987" s="98"/>
      <c r="AG987" s="98"/>
    </row>
    <row r="988" ht="15.75" customHeight="1">
      <c r="A988" s="98"/>
      <c r="B988" s="98"/>
      <c r="C988" s="98"/>
      <c r="D988" s="98"/>
      <c r="E988" s="98"/>
      <c r="F988" s="98"/>
      <c r="G988" s="98"/>
      <c r="H988" s="98"/>
      <c r="I988" s="98"/>
      <c r="J988" s="98"/>
      <c r="K988" s="98"/>
      <c r="L988" s="98"/>
      <c r="M988" s="98"/>
      <c r="N988" s="98"/>
      <c r="O988" s="98"/>
      <c r="P988" s="98"/>
      <c r="Q988" s="98"/>
      <c r="R988" s="98"/>
      <c r="S988" s="98"/>
      <c r="T988" s="98"/>
      <c r="U988" s="98"/>
      <c r="V988" s="98"/>
      <c r="W988" s="98"/>
      <c r="X988" s="98"/>
      <c r="Y988" s="98"/>
      <c r="Z988" s="98"/>
      <c r="AA988" s="98"/>
      <c r="AB988" s="98"/>
      <c r="AC988" s="98"/>
      <c r="AD988" s="98"/>
      <c r="AE988" s="98"/>
      <c r="AF988" s="98"/>
      <c r="AG988" s="98"/>
    </row>
    <row r="989" ht="15.75" customHeight="1">
      <c r="A989" s="98"/>
      <c r="B989" s="98"/>
      <c r="C989" s="98"/>
      <c r="D989" s="98"/>
      <c r="E989" s="98"/>
      <c r="F989" s="98"/>
      <c r="G989" s="98"/>
      <c r="H989" s="98"/>
      <c r="I989" s="98"/>
      <c r="J989" s="98"/>
      <c r="K989" s="98"/>
      <c r="L989" s="98"/>
      <c r="M989" s="98"/>
      <c r="N989" s="98"/>
      <c r="O989" s="98"/>
      <c r="P989" s="98"/>
      <c r="Q989" s="98"/>
      <c r="R989" s="98"/>
      <c r="S989" s="98"/>
      <c r="T989" s="98"/>
      <c r="U989" s="98"/>
      <c r="V989" s="98"/>
      <c r="W989" s="98"/>
      <c r="X989" s="98"/>
      <c r="Y989" s="98"/>
      <c r="Z989" s="98"/>
      <c r="AA989" s="98"/>
      <c r="AB989" s="98"/>
      <c r="AC989" s="98"/>
      <c r="AD989" s="98"/>
      <c r="AE989" s="98"/>
      <c r="AF989" s="98"/>
      <c r="AG989" s="98"/>
    </row>
    <row r="990" ht="15.75" customHeight="1">
      <c r="A990" s="98"/>
      <c r="B990" s="98"/>
      <c r="C990" s="98"/>
      <c r="D990" s="98"/>
      <c r="E990" s="98"/>
      <c r="F990" s="98"/>
      <c r="G990" s="98"/>
      <c r="H990" s="98"/>
      <c r="I990" s="98"/>
      <c r="J990" s="98"/>
      <c r="K990" s="98"/>
      <c r="L990" s="98"/>
      <c r="M990" s="98"/>
      <c r="N990" s="98"/>
      <c r="O990" s="98"/>
      <c r="P990" s="98"/>
      <c r="Q990" s="98"/>
      <c r="R990" s="98"/>
      <c r="S990" s="98"/>
      <c r="T990" s="98"/>
      <c r="U990" s="98"/>
      <c r="V990" s="98"/>
      <c r="W990" s="98"/>
      <c r="X990" s="98"/>
      <c r="Y990" s="98"/>
      <c r="Z990" s="98"/>
      <c r="AA990" s="98"/>
      <c r="AB990" s="98"/>
      <c r="AC990" s="98"/>
      <c r="AD990" s="98"/>
      <c r="AE990" s="98"/>
      <c r="AF990" s="98"/>
      <c r="AG990" s="98"/>
    </row>
    <row r="991" ht="15.75" customHeight="1">
      <c r="A991" s="98"/>
      <c r="B991" s="98"/>
      <c r="C991" s="98"/>
      <c r="D991" s="98"/>
      <c r="E991" s="98"/>
      <c r="F991" s="98"/>
      <c r="G991" s="98"/>
      <c r="H991" s="98"/>
      <c r="I991" s="98"/>
      <c r="J991" s="98"/>
      <c r="K991" s="98"/>
      <c r="L991" s="98"/>
      <c r="M991" s="98"/>
      <c r="N991" s="98"/>
      <c r="O991" s="98"/>
      <c r="P991" s="98"/>
      <c r="Q991" s="98"/>
      <c r="R991" s="98"/>
      <c r="S991" s="98"/>
      <c r="T991" s="98"/>
      <c r="U991" s="98"/>
      <c r="V991" s="98"/>
      <c r="W991" s="98"/>
      <c r="X991" s="98"/>
      <c r="Y991" s="98"/>
      <c r="Z991" s="98"/>
      <c r="AA991" s="98"/>
      <c r="AB991" s="98"/>
      <c r="AC991" s="98"/>
      <c r="AD991" s="98"/>
      <c r="AE991" s="98"/>
      <c r="AF991" s="98"/>
      <c r="AG991" s="98"/>
    </row>
    <row r="992" ht="15.75" customHeight="1">
      <c r="A992" s="98"/>
      <c r="B992" s="98"/>
      <c r="C992" s="98"/>
      <c r="D992" s="98"/>
      <c r="E992" s="98"/>
      <c r="F992" s="98"/>
      <c r="G992" s="98"/>
      <c r="H992" s="98"/>
      <c r="I992" s="98"/>
      <c r="J992" s="98"/>
      <c r="K992" s="98"/>
      <c r="L992" s="98"/>
      <c r="M992" s="98"/>
      <c r="N992" s="98"/>
      <c r="O992" s="98"/>
      <c r="P992" s="98"/>
      <c r="Q992" s="98"/>
      <c r="R992" s="98"/>
      <c r="S992" s="98"/>
      <c r="T992" s="98"/>
      <c r="U992" s="98"/>
      <c r="V992" s="98"/>
      <c r="W992" s="98"/>
      <c r="X992" s="98"/>
      <c r="Y992" s="98"/>
      <c r="Z992" s="98"/>
      <c r="AA992" s="98"/>
      <c r="AB992" s="98"/>
      <c r="AC992" s="98"/>
      <c r="AD992" s="98"/>
      <c r="AE992" s="98"/>
      <c r="AF992" s="98"/>
      <c r="AG992" s="98"/>
    </row>
    <row r="993" ht="15.75" customHeight="1">
      <c r="A993" s="98"/>
      <c r="B993" s="98"/>
      <c r="C993" s="98"/>
      <c r="D993" s="98"/>
      <c r="E993" s="98"/>
      <c r="F993" s="98"/>
      <c r="G993" s="98"/>
      <c r="H993" s="98"/>
      <c r="I993" s="98"/>
      <c r="J993" s="98"/>
      <c r="K993" s="98"/>
      <c r="L993" s="98"/>
      <c r="M993" s="98"/>
      <c r="N993" s="98"/>
      <c r="O993" s="98"/>
      <c r="P993" s="98"/>
      <c r="Q993" s="98"/>
      <c r="R993" s="98"/>
      <c r="S993" s="98"/>
      <c r="T993" s="98"/>
      <c r="U993" s="98"/>
      <c r="V993" s="98"/>
      <c r="W993" s="98"/>
      <c r="X993" s="98"/>
      <c r="Y993" s="98"/>
      <c r="Z993" s="98"/>
      <c r="AA993" s="98"/>
      <c r="AB993" s="98"/>
      <c r="AC993" s="98"/>
      <c r="AD993" s="98"/>
      <c r="AE993" s="98"/>
      <c r="AF993" s="98"/>
      <c r="AG993" s="98"/>
    </row>
    <row r="994" ht="15.75" customHeight="1">
      <c r="A994" s="98"/>
      <c r="B994" s="98"/>
      <c r="C994" s="98"/>
      <c r="D994" s="98"/>
      <c r="E994" s="98"/>
      <c r="F994" s="98"/>
      <c r="G994" s="98"/>
      <c r="H994" s="98"/>
      <c r="I994" s="98"/>
      <c r="J994" s="98"/>
      <c r="K994" s="98"/>
      <c r="L994" s="98"/>
      <c r="M994" s="98"/>
      <c r="N994" s="98"/>
      <c r="O994" s="98"/>
      <c r="P994" s="98"/>
      <c r="Q994" s="98"/>
      <c r="R994" s="98"/>
      <c r="S994" s="98"/>
      <c r="T994" s="98"/>
      <c r="U994" s="98"/>
      <c r="V994" s="98"/>
      <c r="W994" s="98"/>
      <c r="X994" s="98"/>
      <c r="Y994" s="98"/>
      <c r="Z994" s="98"/>
      <c r="AA994" s="98"/>
      <c r="AB994" s="98"/>
      <c r="AC994" s="98"/>
      <c r="AD994" s="98"/>
      <c r="AE994" s="98"/>
      <c r="AF994" s="98"/>
      <c r="AG994" s="9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5"/>
      <c r="F4" s="16"/>
      <c r="G4" s="31"/>
      <c r="H4" s="33"/>
      <c r="I4" s="16"/>
      <c r="J4" s="37"/>
      <c r="K4" s="37"/>
      <c r="L4" s="16"/>
      <c r="M4" s="3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/>
      <c r="D5" s="21"/>
      <c r="E5" s="25"/>
      <c r="F5" s="16"/>
      <c r="G5" s="31"/>
      <c r="H5" s="33"/>
      <c r="I5" s="16"/>
      <c r="J5" s="37"/>
      <c r="K5" s="37"/>
      <c r="L5" s="16"/>
      <c r="M5" s="37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/>
      <c r="D6" s="21"/>
      <c r="E6" s="25"/>
      <c r="F6" s="16"/>
      <c r="G6" s="31"/>
      <c r="H6" s="33"/>
      <c r="I6" s="16"/>
      <c r="J6" s="16"/>
      <c r="K6" s="16"/>
      <c r="L6" s="16"/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47"/>
      <c r="D7" s="21"/>
      <c r="E7" s="25"/>
      <c r="F7" s="16"/>
      <c r="G7" s="40"/>
      <c r="H7" s="41"/>
      <c r="I7" s="16"/>
      <c r="J7" s="16"/>
      <c r="K7" s="16"/>
      <c r="L7" s="16"/>
      <c r="M7" s="1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/>
      <c r="D8" s="21"/>
      <c r="E8" s="25"/>
      <c r="F8" s="44"/>
      <c r="G8" s="31"/>
      <c r="H8" s="33"/>
      <c r="I8" s="16"/>
      <c r="J8" s="37"/>
      <c r="K8" s="37"/>
      <c r="L8" s="16"/>
      <c r="M8" s="37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/>
      <c r="D9" s="21"/>
      <c r="E9" s="25"/>
      <c r="F9" s="16"/>
      <c r="G9" s="40"/>
      <c r="H9" s="41"/>
      <c r="I9" s="16"/>
      <c r="J9" s="16"/>
      <c r="K9" s="16"/>
      <c r="L9" s="16"/>
      <c r="M9" s="16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/>
      <c r="D10" s="21"/>
      <c r="E10" s="22"/>
      <c r="F10" s="16"/>
      <c r="G10" s="40"/>
      <c r="H10" s="41"/>
      <c r="I10" s="16"/>
      <c r="J10" s="16"/>
      <c r="K10" s="16"/>
      <c r="L10" s="16"/>
      <c r="M10" s="16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14"/>
      <c r="G11" s="51"/>
      <c r="H11" s="26"/>
      <c r="I11" s="14"/>
      <c r="J11" s="14"/>
      <c r="K11" s="14"/>
      <c r="L11" s="16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14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14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8"/>
      <c r="D19" s="70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79"/>
      <c r="D20" s="81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5"/>
      <c r="F4" s="16"/>
      <c r="G4" s="31"/>
      <c r="H4" s="33"/>
      <c r="I4" s="16"/>
      <c r="J4" s="37"/>
      <c r="K4" s="37"/>
      <c r="L4" s="16"/>
      <c r="M4" s="3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/>
      <c r="D5" s="21"/>
      <c r="E5" s="25"/>
      <c r="F5" s="16"/>
      <c r="G5" s="31"/>
      <c r="H5" s="33"/>
      <c r="I5" s="16"/>
      <c r="J5" s="37"/>
      <c r="K5" s="37"/>
      <c r="L5" s="16"/>
      <c r="M5" s="37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/>
      <c r="D6" s="21"/>
      <c r="E6" s="48"/>
      <c r="F6" s="16"/>
      <c r="G6" s="40"/>
      <c r="H6" s="33"/>
      <c r="I6" s="16"/>
      <c r="J6" s="16"/>
      <c r="K6" s="16"/>
      <c r="L6" s="16"/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/>
      <c r="D7" s="21"/>
      <c r="E7" s="25"/>
      <c r="F7" s="16"/>
      <c r="G7" s="31"/>
      <c r="H7" s="33"/>
      <c r="I7" s="16"/>
      <c r="J7" s="37"/>
      <c r="K7" s="37"/>
      <c r="L7" s="16"/>
      <c r="M7" s="37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/>
      <c r="D8" s="21"/>
      <c r="E8" s="25"/>
      <c r="F8" s="28"/>
      <c r="G8" s="31"/>
      <c r="H8" s="33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/>
      <c r="D9" s="21"/>
      <c r="E9" s="25"/>
      <c r="F9" s="28"/>
      <c r="G9" s="31"/>
      <c r="H9" s="33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/>
      <c r="D10" s="21"/>
      <c r="E10" s="38"/>
      <c r="F10" s="28"/>
      <c r="G10" s="31"/>
      <c r="H10" s="33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/>
      <c r="D11" s="21"/>
      <c r="E11" s="22"/>
      <c r="F11" s="28"/>
      <c r="G11" s="31"/>
      <c r="H11" s="33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/>
      <c r="D12" s="21"/>
      <c r="E12" s="25"/>
      <c r="F12" s="28"/>
      <c r="G12" s="31"/>
      <c r="H12" s="33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/>
      <c r="D13" s="21"/>
      <c r="E13" s="25"/>
      <c r="F13" s="28"/>
      <c r="G13" s="31"/>
      <c r="H13" s="33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17"/>
      <c r="D14" s="21"/>
      <c r="E14" s="25"/>
      <c r="F14" s="28"/>
      <c r="G14" s="31"/>
      <c r="H14" s="33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17"/>
      <c r="D15" s="21"/>
      <c r="E15" s="25"/>
      <c r="F15" s="28"/>
      <c r="G15" s="31"/>
      <c r="H15" s="33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17"/>
      <c r="D16" s="21"/>
      <c r="E16" s="25"/>
      <c r="F16" s="28"/>
      <c r="G16" s="31"/>
      <c r="H16" s="33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17"/>
      <c r="D17" s="21"/>
      <c r="E17" s="22"/>
      <c r="F17" s="28"/>
      <c r="G17" s="40"/>
      <c r="H17" s="41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>
        <v>15.0</v>
      </c>
      <c r="C18" s="15"/>
      <c r="D18" s="17"/>
      <c r="E18" s="16"/>
      <c r="F18" s="14"/>
      <c r="G18" s="51"/>
      <c r="H18" s="26"/>
      <c r="I18" s="14"/>
      <c r="J18" s="14"/>
      <c r="K18" s="14"/>
      <c r="L18" s="14"/>
      <c r="M18" s="14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50">
        <f t="shared" ref="G19:H19" si="1">SUM(G4:G18)</f>
        <v>0</v>
      </c>
      <c r="H19" s="52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5" t="s">
        <v>0</v>
      </c>
      <c r="C22" s="56" t="s">
        <v>6</v>
      </c>
      <c r="D22" s="56" t="s">
        <v>36</v>
      </c>
      <c r="E22" s="1"/>
      <c r="F22" s="1"/>
      <c r="G22" s="1"/>
      <c r="H22" s="1"/>
      <c r="I22" s="1"/>
      <c r="J22" s="1"/>
      <c r="K22" s="1"/>
      <c r="L22" s="1"/>
      <c r="M22" s="1"/>
      <c r="N22" s="56" t="s">
        <v>37</v>
      </c>
      <c r="O22" s="56" t="s">
        <v>1</v>
      </c>
      <c r="P22" s="1"/>
      <c r="Q22" s="1"/>
      <c r="R22" s="1"/>
    </row>
    <row r="23" ht="15.75" customHeight="1">
      <c r="A23" s="1"/>
      <c r="B23" s="57">
        <v>1.0</v>
      </c>
      <c r="C23" s="58" t="s">
        <v>38</v>
      </c>
      <c r="D23" s="59">
        <f>SUM(G19)</f>
        <v>0</v>
      </c>
      <c r="E23" s="60"/>
      <c r="F23" s="1"/>
      <c r="G23" s="1"/>
      <c r="H23" s="1"/>
      <c r="I23" s="1"/>
      <c r="J23" s="1"/>
      <c r="K23" s="1"/>
      <c r="L23" s="1"/>
      <c r="M23" s="1"/>
      <c r="N23" s="61" t="s">
        <v>39</v>
      </c>
      <c r="O23" s="30"/>
      <c r="P23" s="1"/>
      <c r="Q23" s="1"/>
      <c r="R23" s="1"/>
    </row>
    <row r="24" ht="15.75" customHeight="1">
      <c r="A24" s="1"/>
      <c r="B24" s="62">
        <v>2.0</v>
      </c>
      <c r="C24" s="68"/>
      <c r="D24" s="70"/>
      <c r="E24" s="60"/>
      <c r="F24" s="1"/>
      <c r="G24" s="1"/>
      <c r="H24" s="1"/>
      <c r="I24" s="1"/>
      <c r="J24" s="1"/>
      <c r="K24" s="1"/>
      <c r="L24" s="1"/>
      <c r="M24" s="1"/>
      <c r="N24" s="65" t="s">
        <v>40</v>
      </c>
      <c r="O24" s="66"/>
      <c r="P24" s="1"/>
      <c r="Q24" s="1"/>
      <c r="R24" s="1"/>
    </row>
    <row r="25" ht="15.75" customHeight="1">
      <c r="A25" s="1"/>
      <c r="B25" s="57">
        <v>3.0</v>
      </c>
      <c r="C25" s="79"/>
      <c r="D25" s="81"/>
      <c r="E25" s="60"/>
      <c r="F25" s="1"/>
      <c r="G25" s="1"/>
      <c r="H25" s="1"/>
      <c r="I25" s="1"/>
      <c r="J25" s="1"/>
      <c r="K25" s="1"/>
      <c r="L25" s="1"/>
      <c r="M25" s="1"/>
      <c r="N25" s="67" t="s">
        <v>41</v>
      </c>
      <c r="O25" s="34"/>
      <c r="P25" s="1"/>
      <c r="Q25" s="1"/>
      <c r="R25" s="1"/>
    </row>
    <row r="26" ht="15.75" customHeight="1">
      <c r="A26" s="1"/>
      <c r="B26" s="62">
        <v>4.0</v>
      </c>
      <c r="C26" s="63"/>
      <c r="D26" s="64"/>
      <c r="E26" s="60"/>
      <c r="F26" s="1"/>
      <c r="G26" s="1"/>
      <c r="H26" s="1"/>
      <c r="I26" s="1"/>
      <c r="J26" s="1"/>
      <c r="K26" s="1"/>
      <c r="L26" s="1"/>
      <c r="M26" s="1"/>
      <c r="N26" s="71" t="s">
        <v>42</v>
      </c>
      <c r="O26" s="66"/>
      <c r="P26" s="1"/>
      <c r="Q26" s="1"/>
      <c r="R26" s="1"/>
    </row>
    <row r="27" ht="15.75" customHeight="1">
      <c r="A27" s="1"/>
      <c r="B27" s="57">
        <v>5.0</v>
      </c>
      <c r="C27" s="58"/>
      <c r="D27" s="59"/>
      <c r="E27" s="60"/>
      <c r="F27" s="75"/>
      <c r="G27" s="2"/>
      <c r="H27" s="1"/>
      <c r="I27" s="1"/>
      <c r="J27" s="1"/>
      <c r="K27" s="1"/>
      <c r="L27" s="1"/>
      <c r="M27" s="1"/>
      <c r="N27" s="72"/>
      <c r="O27" s="1"/>
      <c r="P27" s="1"/>
      <c r="Q27" s="1"/>
      <c r="R27" s="1"/>
    </row>
    <row r="28" ht="15.75" customHeight="1">
      <c r="A28" s="1"/>
      <c r="B28" s="62">
        <v>6.0</v>
      </c>
      <c r="C28" s="63"/>
      <c r="D28" s="64"/>
      <c r="E28" s="60"/>
      <c r="F28" s="1"/>
      <c r="G28" s="1"/>
      <c r="H28" s="1"/>
      <c r="I28" s="1"/>
      <c r="J28" s="1"/>
      <c r="K28" s="76" t="s">
        <v>43</v>
      </c>
      <c r="Q28" s="1"/>
      <c r="R28" s="1"/>
    </row>
    <row r="29" ht="15.75" customHeight="1">
      <c r="A29" s="1"/>
      <c r="B29" s="57">
        <v>7.0</v>
      </c>
      <c r="C29" s="58"/>
      <c r="D29" s="59"/>
      <c r="E29" s="60"/>
      <c r="F29" s="1"/>
      <c r="G29" s="1"/>
      <c r="H29" s="1"/>
      <c r="I29" s="1"/>
      <c r="J29" s="1"/>
      <c r="K29" s="77" t="s">
        <v>1</v>
      </c>
      <c r="L29" s="77" t="s">
        <v>44</v>
      </c>
      <c r="M29" s="77" t="s">
        <v>45</v>
      </c>
      <c r="N29" s="77" t="s">
        <v>46</v>
      </c>
      <c r="O29" s="77" t="s">
        <v>47</v>
      </c>
      <c r="P29" s="77" t="s">
        <v>48</v>
      </c>
      <c r="Q29" s="1"/>
      <c r="R29" s="1"/>
      <c r="AC29" s="78" t="s">
        <v>49</v>
      </c>
      <c r="AD29" s="78" t="s">
        <v>50</v>
      </c>
      <c r="AE29" s="78" t="s">
        <v>51</v>
      </c>
      <c r="AF29" s="78" t="s">
        <v>52</v>
      </c>
      <c r="AG29" s="78" t="s">
        <v>53</v>
      </c>
    </row>
    <row r="30" ht="15.75" customHeight="1">
      <c r="A30" s="1"/>
      <c r="B30" s="62">
        <v>8.0</v>
      </c>
      <c r="C30" s="63"/>
      <c r="D30" s="64"/>
      <c r="E30" s="60"/>
      <c r="F30" s="1"/>
      <c r="G30" s="1"/>
      <c r="H30" s="1"/>
      <c r="I30" s="1"/>
      <c r="J30" s="1"/>
      <c r="K30" s="80" t="str">
        <f t="shared" ref="K30:K33" si="2">IF(O23="","",O23)</f>
        <v/>
      </c>
      <c r="L30" s="82"/>
      <c r="M30" s="82"/>
      <c r="N30" s="82"/>
      <c r="O30" s="82"/>
      <c r="P30" s="82"/>
      <c r="Q30" s="1"/>
      <c r="R30" s="1"/>
      <c r="AC30" s="78" t="str">
        <f t="shared" ref="AC30:AC35" si="3">IF(AG30="","",IF(COUNT(L30:P30)&lt;5,"",L30/5*20+M30/5*25+N30/5*25+O30/5*15+P30/5*15))</f>
        <v/>
      </c>
      <c r="AD30" s="78" t="str">
        <f t="shared" ref="AD30:AD35" si="4">IF(AC30="","",IF(AC30&gt;=90,"Sangat Baik",IF(AC30&gt;=80,"Baik",IF(AC30&gt;=70,"Coaching","Underperform"))))</f>
        <v/>
      </c>
      <c r="AE30" s="78" t="str">
        <f t="shared" ref="AE30:AE35" si="5">IF(AG30="","",IF(OR(AG30="INDAH",AG30="ADDEL",AG30="AMEL",AG30="PENTIL",AG30="JIJANG"),"Admin/CS","Fotografer"))</f>
        <v/>
      </c>
      <c r="AF30" s="78" t="str">
        <f t="shared" ref="AF30:AF35" si="6">IF(OR(AG30="",COUNT(L30:P30)&lt;5),"",1)</f>
        <v/>
      </c>
      <c r="AG30" s="78" t="str">
        <f t="shared" ref="AG30:AG35" si="7">IFERROR(K30,"")</f>
        <v/>
      </c>
    </row>
    <row r="31" ht="15.75" customHeight="1">
      <c r="A31" s="1"/>
      <c r="B31" s="57">
        <v>9.0</v>
      </c>
      <c r="C31" s="58"/>
      <c r="D31" s="59"/>
      <c r="E31" s="60"/>
      <c r="F31" s="1"/>
      <c r="G31" s="1"/>
      <c r="H31" s="1"/>
      <c r="I31" s="1"/>
      <c r="J31" s="1"/>
      <c r="K31" s="80" t="str">
        <f t="shared" si="2"/>
        <v/>
      </c>
      <c r="L31" s="82"/>
      <c r="M31" s="82"/>
      <c r="N31" s="82"/>
      <c r="O31" s="82"/>
      <c r="P31" s="82"/>
      <c r="Q31" s="1"/>
      <c r="R31" s="1"/>
      <c r="AC31" s="78" t="str">
        <f t="shared" si="3"/>
        <v/>
      </c>
      <c r="AD31" s="78" t="str">
        <f t="shared" si="4"/>
        <v/>
      </c>
      <c r="AE31" s="78" t="str">
        <f t="shared" si="5"/>
        <v/>
      </c>
      <c r="AF31" s="78" t="str">
        <f t="shared" si="6"/>
        <v/>
      </c>
      <c r="AG31" s="78" t="str">
        <f t="shared" si="7"/>
        <v/>
      </c>
    </row>
    <row r="32" ht="15.75" customHeight="1">
      <c r="A32" s="1"/>
      <c r="B32" s="62">
        <v>10.0</v>
      </c>
      <c r="C32" s="63"/>
      <c r="D32" s="64"/>
      <c r="E32" s="60"/>
      <c r="F32" s="1"/>
      <c r="G32" s="1"/>
      <c r="H32" s="1"/>
      <c r="I32" s="1"/>
      <c r="J32" s="1"/>
      <c r="K32" s="80" t="str">
        <f t="shared" si="2"/>
        <v/>
      </c>
      <c r="L32" s="82"/>
      <c r="M32" s="82"/>
      <c r="N32" s="82"/>
      <c r="O32" s="82"/>
      <c r="P32" s="82"/>
      <c r="Q32" s="1"/>
      <c r="R32" s="1"/>
      <c r="AC32" s="78" t="str">
        <f t="shared" si="3"/>
        <v/>
      </c>
      <c r="AD32" s="78" t="str">
        <f t="shared" si="4"/>
        <v/>
      </c>
      <c r="AE32" s="78" t="str">
        <f t="shared" si="5"/>
        <v/>
      </c>
      <c r="AF32" s="78" t="str">
        <f t="shared" si="6"/>
        <v/>
      </c>
      <c r="AG32" s="78" t="str">
        <f t="shared" si="7"/>
        <v/>
      </c>
    </row>
    <row r="33" ht="15.75" customHeight="1">
      <c r="A33" s="1"/>
      <c r="B33" s="83">
        <v>11.0</v>
      </c>
      <c r="C33" s="84"/>
      <c r="D33" s="85"/>
      <c r="E33" s="60"/>
      <c r="F33" s="1"/>
      <c r="G33" s="1"/>
      <c r="H33" s="1"/>
      <c r="I33" s="1"/>
      <c r="J33" s="1"/>
      <c r="K33" s="80" t="str">
        <f t="shared" si="2"/>
        <v/>
      </c>
      <c r="L33" s="82"/>
      <c r="M33" s="82"/>
      <c r="N33" s="82"/>
      <c r="O33" s="82"/>
      <c r="P33" s="82"/>
      <c r="Q33" s="1"/>
      <c r="R33" s="1"/>
      <c r="AC33" s="78" t="str">
        <f t="shared" si="3"/>
        <v/>
      </c>
      <c r="AD33" s="78" t="str">
        <f t="shared" si="4"/>
        <v/>
      </c>
      <c r="AE33" s="78" t="str">
        <f t="shared" si="5"/>
        <v/>
      </c>
      <c r="AF33" s="78" t="str">
        <f t="shared" si="6"/>
        <v/>
      </c>
      <c r="AG33" s="78" t="str">
        <f t="shared" si="7"/>
        <v/>
      </c>
    </row>
    <row r="34" ht="15.75" customHeight="1">
      <c r="A34" s="1"/>
      <c r="B34" s="1"/>
      <c r="C34" s="2"/>
      <c r="D34" s="86">
        <f>SUM(D23:D33)</f>
        <v>0</v>
      </c>
      <c r="E34" s="1"/>
      <c r="F34" s="1"/>
      <c r="G34" s="1"/>
      <c r="H34" s="1"/>
      <c r="I34" s="1"/>
      <c r="J34" s="1"/>
      <c r="K34" s="80"/>
      <c r="L34" s="82"/>
      <c r="M34" s="82"/>
      <c r="N34" s="82"/>
      <c r="O34" s="82"/>
      <c r="P34" s="82"/>
      <c r="Q34" s="1"/>
      <c r="R34" s="1"/>
      <c r="AC34" s="78" t="str">
        <f t="shared" si="3"/>
        <v/>
      </c>
      <c r="AD34" s="78" t="str">
        <f t="shared" si="4"/>
        <v/>
      </c>
      <c r="AE34" s="78" t="str">
        <f t="shared" si="5"/>
        <v/>
      </c>
      <c r="AF34" s="78" t="str">
        <f t="shared" si="6"/>
        <v/>
      </c>
      <c r="AG34" s="78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0"/>
      <c r="L35" s="82"/>
      <c r="M35" s="82"/>
      <c r="N35" s="82"/>
      <c r="O35" s="82"/>
      <c r="P35" s="82"/>
      <c r="Q35" s="1"/>
      <c r="R35" s="1"/>
      <c r="AC35" s="78" t="str">
        <f t="shared" si="3"/>
        <v/>
      </c>
      <c r="AD35" s="78" t="str">
        <f t="shared" si="4"/>
        <v/>
      </c>
      <c r="AE35" s="78" t="str">
        <f t="shared" si="5"/>
        <v/>
      </c>
      <c r="AF35" s="78" t="str">
        <f t="shared" si="6"/>
        <v/>
      </c>
      <c r="AG35" s="78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87" t="s">
        <v>54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8" t="s">
        <v>55</v>
      </c>
      <c r="N38" s="1"/>
      <c r="O38" s="1"/>
      <c r="P38" s="1"/>
      <c r="Q38" s="1"/>
      <c r="R38" s="1"/>
    </row>
    <row r="39" ht="15.75" customHeight="1">
      <c r="K39" s="89" t="s">
        <v>7</v>
      </c>
      <c r="L39" s="89" t="s">
        <v>56</v>
      </c>
      <c r="M39" s="89" t="s">
        <v>57</v>
      </c>
    </row>
    <row r="40" ht="15.75" customHeight="1">
      <c r="K40" s="90" t="str">
        <f t="shared" ref="K40:K41" si="8">IF(O23="","",O23)</f>
        <v/>
      </c>
      <c r="L40" s="91"/>
      <c r="M40" s="91"/>
    </row>
    <row r="41" ht="15.75" customHeight="1">
      <c r="K41" s="90" t="str">
        <f t="shared" si="8"/>
        <v/>
      </c>
      <c r="L41" s="91">
        <v>4.0</v>
      </c>
      <c r="M41" s="91"/>
    </row>
    <row r="42" ht="15.75" customHeight="1"/>
    <row r="43" ht="19.5" customHeight="1">
      <c r="K43" s="92" t="s">
        <v>58</v>
      </c>
    </row>
    <row r="44" ht="19.5" customHeight="1">
      <c r="K44" s="93" t="s">
        <v>59</v>
      </c>
      <c r="M44" s="91">
        <v>49.0</v>
      </c>
    </row>
    <row r="45" ht="19.5" customHeight="1">
      <c r="K45" s="94" t="s">
        <v>60</v>
      </c>
      <c r="M45" s="95">
        <f>COUNTIF($I$4:$I$21,"DP")</f>
        <v>0</v>
      </c>
    </row>
    <row r="46" ht="19.5" customHeight="1">
      <c r="K46" s="94" t="s">
        <v>61</v>
      </c>
      <c r="M46" s="95">
        <f>COUNTIFS($I$4:$I$21,"&lt;&gt;DP",$I$4:$I$21,"&lt;&gt;")</f>
        <v>0</v>
      </c>
    </row>
    <row r="47" ht="19.5" customHeight="1">
      <c r="K47" s="96" t="s">
        <v>62</v>
      </c>
      <c r="M47" s="95">
        <f>M45+M46</f>
        <v>0</v>
      </c>
    </row>
    <row r="48" ht="19.5" customHeight="1">
      <c r="K48" s="93" t="s">
        <v>63</v>
      </c>
      <c r="M48" s="97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2"/>
      <c r="F4" s="104"/>
      <c r="G4" s="27"/>
      <c r="H4" s="105"/>
      <c r="I4" s="16"/>
      <c r="J4" s="16"/>
      <c r="K4" s="16"/>
      <c r="L4" s="16"/>
      <c r="M4" s="16"/>
      <c r="N4" s="14"/>
      <c r="O4" s="14"/>
      <c r="P4" s="19"/>
      <c r="Q4" s="1"/>
      <c r="R4" s="1"/>
    </row>
    <row r="5" ht="15.75" customHeight="1">
      <c r="A5" s="1"/>
      <c r="B5" s="14">
        <v>2.0</v>
      </c>
      <c r="C5" s="17"/>
      <c r="D5" s="21"/>
      <c r="E5" s="22"/>
      <c r="F5" s="104"/>
      <c r="G5" s="27"/>
      <c r="H5" s="105"/>
      <c r="I5" s="16"/>
      <c r="J5" s="16"/>
      <c r="K5" s="16"/>
      <c r="L5" s="16"/>
      <c r="M5" s="16"/>
      <c r="N5" s="14"/>
      <c r="O5" s="14"/>
      <c r="P5" s="14"/>
      <c r="Q5" s="1"/>
      <c r="R5" s="1"/>
    </row>
    <row r="6" ht="15.75" customHeight="1">
      <c r="A6" s="1"/>
      <c r="B6" s="14">
        <v>3.0</v>
      </c>
      <c r="C6" s="17"/>
      <c r="D6" s="21"/>
      <c r="E6" s="22"/>
      <c r="F6" s="28"/>
      <c r="G6" s="27"/>
      <c r="H6" s="105"/>
      <c r="I6" s="16"/>
      <c r="J6" s="16"/>
      <c r="K6" s="16"/>
      <c r="L6" s="16"/>
      <c r="M6" s="16"/>
      <c r="N6" s="14"/>
      <c r="O6" s="14"/>
      <c r="P6" s="14"/>
      <c r="Q6" s="1"/>
      <c r="R6" s="1"/>
    </row>
    <row r="7" ht="15.75" customHeight="1">
      <c r="A7" s="1"/>
      <c r="B7" s="14">
        <v>4.0</v>
      </c>
      <c r="C7" s="17"/>
      <c r="D7" s="21"/>
      <c r="E7" s="22"/>
      <c r="F7" s="28"/>
      <c r="G7" s="27"/>
      <c r="H7" s="105"/>
      <c r="I7" s="16"/>
      <c r="J7" s="16"/>
      <c r="K7" s="16"/>
      <c r="L7" s="16"/>
      <c r="M7" s="16"/>
      <c r="N7" s="14"/>
      <c r="O7" s="14"/>
      <c r="P7" s="14"/>
      <c r="Q7" s="1"/>
      <c r="R7" s="1"/>
    </row>
    <row r="8" ht="15.75" customHeight="1">
      <c r="A8" s="1"/>
      <c r="B8" s="14">
        <v>5.0</v>
      </c>
      <c r="C8" s="17"/>
      <c r="D8" s="21"/>
      <c r="E8" s="22"/>
      <c r="F8" s="16"/>
      <c r="G8" s="43"/>
      <c r="H8" s="106"/>
      <c r="I8" s="16"/>
      <c r="J8" s="16"/>
      <c r="K8" s="16"/>
      <c r="L8" s="16"/>
      <c r="M8" s="16"/>
      <c r="N8" s="14"/>
      <c r="O8" s="14"/>
      <c r="P8" s="14"/>
      <c r="Q8" s="1"/>
      <c r="R8" s="1"/>
      <c r="S8" s="36"/>
    </row>
    <row r="9" ht="15.75" customHeight="1">
      <c r="A9" s="1"/>
      <c r="B9" s="14">
        <v>6.0</v>
      </c>
      <c r="C9" s="17"/>
      <c r="D9" s="21"/>
      <c r="E9" s="48"/>
      <c r="F9" s="16"/>
      <c r="G9" s="27"/>
      <c r="H9" s="105"/>
      <c r="I9" s="16"/>
      <c r="J9" s="16"/>
      <c r="K9" s="16"/>
      <c r="L9" s="16"/>
      <c r="M9" s="16"/>
      <c r="N9" s="14"/>
      <c r="O9" s="14"/>
      <c r="P9" s="14"/>
      <c r="Q9" s="1"/>
      <c r="R9" s="1"/>
      <c r="S9" s="36"/>
    </row>
    <row r="10" ht="15.75" customHeight="1">
      <c r="A10" s="1"/>
      <c r="B10" s="14">
        <v>7.0</v>
      </c>
      <c r="C10" s="17"/>
      <c r="D10" s="21"/>
      <c r="E10" s="48"/>
      <c r="F10" s="16"/>
      <c r="G10" s="27"/>
      <c r="H10" s="105"/>
      <c r="I10" s="16"/>
      <c r="J10" s="16"/>
      <c r="K10" s="16"/>
      <c r="L10" s="16"/>
      <c r="M10" s="16"/>
      <c r="N10" s="14"/>
      <c r="O10" s="14"/>
      <c r="P10" s="14"/>
      <c r="Q10" s="1"/>
      <c r="R10" s="1"/>
      <c r="S10" s="36"/>
      <c r="U10" s="36"/>
    </row>
    <row r="11" ht="15.75" customHeight="1">
      <c r="A11" s="1"/>
      <c r="B11" s="14">
        <v>8.0</v>
      </c>
      <c r="C11" s="17"/>
      <c r="D11" s="21"/>
      <c r="E11" s="22"/>
      <c r="F11" s="16"/>
      <c r="G11" s="27"/>
      <c r="H11" s="105"/>
      <c r="I11" s="16"/>
      <c r="J11" s="16"/>
      <c r="K11" s="16"/>
      <c r="L11" s="16"/>
      <c r="M11" s="16"/>
      <c r="N11" s="14"/>
      <c r="O11" s="14"/>
      <c r="P11" s="14"/>
      <c r="Q11" s="1"/>
      <c r="R11" s="1"/>
      <c r="S11" s="36"/>
      <c r="U11" s="36"/>
    </row>
    <row r="12" ht="15.75" customHeight="1">
      <c r="A12" s="1"/>
      <c r="B12" s="14">
        <v>9.0</v>
      </c>
      <c r="C12" s="17"/>
      <c r="D12" s="21"/>
      <c r="E12" s="22"/>
      <c r="F12" s="16"/>
      <c r="G12" s="27"/>
      <c r="H12" s="105"/>
      <c r="I12" s="16"/>
      <c r="J12" s="16"/>
      <c r="K12" s="16"/>
      <c r="L12" s="16"/>
      <c r="M12" s="16"/>
      <c r="N12" s="14"/>
      <c r="O12" s="14"/>
      <c r="P12" s="14"/>
      <c r="Q12" s="1"/>
      <c r="R12" s="1"/>
      <c r="S12" s="36"/>
      <c r="U12" s="36"/>
    </row>
    <row r="13" ht="15.75" customHeight="1">
      <c r="A13" s="1"/>
      <c r="B13" s="14">
        <v>10.0</v>
      </c>
      <c r="C13" s="16"/>
      <c r="D13" s="21"/>
      <c r="E13" s="22"/>
      <c r="F13" s="16"/>
      <c r="G13" s="27"/>
      <c r="H13" s="105"/>
      <c r="I13" s="16"/>
      <c r="J13" s="16"/>
      <c r="K13" s="16"/>
      <c r="L13" s="16"/>
      <c r="M13" s="16"/>
      <c r="N13" s="14"/>
      <c r="O13" s="14"/>
      <c r="P13" s="14"/>
      <c r="Q13" s="1"/>
      <c r="R13" s="1"/>
      <c r="S13" s="36"/>
      <c r="U13" s="36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8"/>
      <c r="D19" s="70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79"/>
      <c r="D20" s="81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2"/>
      <c r="F4" s="16"/>
      <c r="G4" s="27"/>
      <c r="H4" s="105"/>
      <c r="I4" s="16"/>
      <c r="J4" s="16"/>
      <c r="K4" s="16"/>
      <c r="L4" s="16"/>
      <c r="M4" s="16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/>
      <c r="D5" s="21"/>
      <c r="E5" s="48"/>
      <c r="F5" s="16"/>
      <c r="G5" s="27"/>
      <c r="H5" s="105"/>
      <c r="I5" s="16"/>
      <c r="J5" s="16"/>
      <c r="K5" s="16"/>
      <c r="L5" s="16"/>
      <c r="M5" s="16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/>
      <c r="D6" s="21"/>
      <c r="E6" s="22"/>
      <c r="F6" s="16"/>
      <c r="G6" s="27"/>
      <c r="H6" s="105"/>
      <c r="I6" s="16"/>
      <c r="J6" s="16"/>
      <c r="K6" s="16"/>
      <c r="L6" s="16"/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/>
      <c r="D7" s="21"/>
      <c r="E7" s="22"/>
      <c r="F7" s="16"/>
      <c r="G7" s="27"/>
      <c r="H7" s="105"/>
      <c r="I7" s="16"/>
      <c r="J7" s="16"/>
      <c r="K7" s="16"/>
      <c r="L7" s="16"/>
      <c r="M7" s="1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/>
      <c r="D8" s="21"/>
      <c r="E8" s="22"/>
      <c r="F8" s="16"/>
      <c r="G8" s="27"/>
      <c r="H8" s="105"/>
      <c r="I8" s="16"/>
      <c r="J8" s="16"/>
      <c r="K8" s="16"/>
      <c r="L8" s="16"/>
      <c r="M8" s="16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/>
      <c r="D9" s="21"/>
      <c r="E9" s="22"/>
      <c r="F9" s="16"/>
      <c r="G9" s="27"/>
      <c r="H9" s="105"/>
      <c r="I9" s="16"/>
      <c r="J9" s="16"/>
      <c r="K9" s="16"/>
      <c r="L9" s="16"/>
      <c r="M9" s="16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/>
      <c r="D10" s="21"/>
      <c r="E10" s="22"/>
      <c r="F10" s="16"/>
      <c r="G10" s="43"/>
      <c r="H10" s="106"/>
      <c r="I10" s="16"/>
      <c r="J10" s="16"/>
      <c r="K10" s="16"/>
      <c r="L10" s="16"/>
      <c r="M10" s="16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/>
      <c r="D11" s="21"/>
      <c r="E11" s="22"/>
      <c r="F11" s="16"/>
      <c r="G11" s="43"/>
      <c r="H11" s="106"/>
      <c r="I11" s="16"/>
      <c r="J11" s="16"/>
      <c r="K11" s="16"/>
      <c r="L11" s="16"/>
      <c r="M11" s="16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/>
      <c r="D12" s="21"/>
      <c r="E12" s="22"/>
      <c r="F12" s="16"/>
      <c r="G12" s="43"/>
      <c r="H12" s="106"/>
      <c r="I12" s="16"/>
      <c r="J12" s="16"/>
      <c r="K12" s="16"/>
      <c r="L12" s="16"/>
      <c r="M12" s="16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/>
      <c r="D13" s="21"/>
      <c r="E13" s="22"/>
      <c r="F13" s="16"/>
      <c r="G13" s="27"/>
      <c r="H13" s="105"/>
      <c r="I13" s="16"/>
      <c r="J13" s="16"/>
      <c r="K13" s="16"/>
      <c r="L13" s="16"/>
      <c r="M13" s="16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8"/>
      <c r="D19" s="70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79"/>
      <c r="D20" s="81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5"/>
      <c r="F4" s="16"/>
      <c r="G4" s="31"/>
      <c r="H4" s="33"/>
      <c r="I4" s="16"/>
      <c r="J4" s="37"/>
      <c r="K4" s="37"/>
      <c r="L4" s="16"/>
      <c r="M4" s="3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/>
      <c r="D5" s="21"/>
      <c r="E5" s="25"/>
      <c r="F5" s="16"/>
      <c r="G5" s="31"/>
      <c r="H5" s="33"/>
      <c r="I5" s="16"/>
      <c r="J5" s="37"/>
      <c r="K5" s="37"/>
      <c r="L5" s="16"/>
      <c r="M5" s="37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/>
      <c r="D6" s="21"/>
      <c r="E6" s="25"/>
      <c r="F6" s="16"/>
      <c r="G6" s="40"/>
      <c r="H6" s="33"/>
      <c r="I6" s="16"/>
      <c r="J6" s="16"/>
      <c r="K6" s="16"/>
      <c r="L6" s="16"/>
      <c r="M6" s="16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/>
      <c r="D7" s="21"/>
      <c r="E7" s="22"/>
      <c r="F7" s="16"/>
      <c r="G7" s="31"/>
      <c r="H7" s="33"/>
      <c r="I7" s="16"/>
      <c r="J7" s="37"/>
      <c r="K7" s="37"/>
      <c r="L7" s="16"/>
      <c r="M7" s="37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/>
      <c r="D8" s="21"/>
      <c r="E8" s="25"/>
      <c r="F8" s="16"/>
      <c r="G8" s="31"/>
      <c r="H8" s="33"/>
      <c r="I8" s="16"/>
      <c r="J8" s="37"/>
      <c r="K8" s="37"/>
      <c r="L8" s="16"/>
      <c r="M8" s="37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/>
      <c r="D9" s="21"/>
      <c r="E9" s="25"/>
      <c r="F9" s="16"/>
      <c r="G9" s="31"/>
      <c r="H9" s="33"/>
      <c r="I9" s="16"/>
      <c r="J9" s="37"/>
      <c r="K9" s="37"/>
      <c r="L9" s="16"/>
      <c r="M9" s="37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/>
      <c r="D10" s="21"/>
      <c r="E10" s="22"/>
      <c r="F10" s="16"/>
      <c r="G10" s="40"/>
      <c r="H10" s="41"/>
      <c r="I10" s="16"/>
      <c r="J10" s="37"/>
      <c r="K10" s="37"/>
      <c r="L10" s="16"/>
      <c r="M10" s="37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/>
      <c r="D11" s="21"/>
      <c r="E11" s="25"/>
      <c r="F11" s="16"/>
      <c r="G11" s="40"/>
      <c r="H11" s="41"/>
      <c r="I11" s="16"/>
      <c r="J11" s="37"/>
      <c r="K11" s="37"/>
      <c r="L11" s="16"/>
      <c r="M11" s="37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/>
      <c r="D12" s="21"/>
      <c r="E12" s="25"/>
      <c r="F12" s="16"/>
      <c r="G12" s="31"/>
      <c r="H12" s="33"/>
      <c r="I12" s="16"/>
      <c r="J12" s="16"/>
      <c r="K12" s="16"/>
      <c r="L12" s="16"/>
      <c r="M12" s="16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/>
      <c r="D13" s="21"/>
      <c r="E13" s="22"/>
      <c r="F13" s="44"/>
      <c r="G13" s="31"/>
      <c r="H13" s="33"/>
      <c r="I13" s="16"/>
      <c r="J13" s="16"/>
      <c r="K13" s="16"/>
      <c r="L13" s="16"/>
      <c r="M13" s="16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8"/>
      <c r="D19" s="70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79"/>
      <c r="D20" s="81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8"/>
      <c r="D21" s="70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79"/>
      <c r="D22" s="81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5"/>
      <c r="F4" s="16"/>
      <c r="G4" s="31"/>
      <c r="H4" s="33"/>
      <c r="I4" s="16"/>
      <c r="J4" s="37"/>
      <c r="K4" s="37"/>
      <c r="L4" s="16"/>
      <c r="M4" s="16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7"/>
      <c r="D5" s="21"/>
      <c r="E5" s="25"/>
      <c r="F5" s="16"/>
      <c r="G5" s="31"/>
      <c r="H5" s="33"/>
      <c r="I5" s="16"/>
      <c r="J5" s="37"/>
      <c r="K5" s="37"/>
      <c r="L5" s="16"/>
      <c r="M5" s="37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7"/>
      <c r="D6" s="21"/>
      <c r="E6" s="25"/>
      <c r="F6" s="16"/>
      <c r="G6" s="31"/>
      <c r="H6" s="33"/>
      <c r="I6" s="16"/>
      <c r="J6" s="37"/>
      <c r="K6" s="37"/>
      <c r="L6" s="16"/>
      <c r="M6" s="37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/>
      <c r="D7" s="21"/>
      <c r="E7" s="22"/>
      <c r="F7" s="16"/>
      <c r="G7" s="31"/>
      <c r="H7" s="33"/>
      <c r="I7" s="16"/>
      <c r="J7" s="16"/>
      <c r="K7" s="16"/>
      <c r="L7" s="16"/>
      <c r="M7" s="16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/>
      <c r="D8" s="21"/>
      <c r="E8" s="25"/>
      <c r="F8" s="16"/>
      <c r="G8" s="31"/>
      <c r="H8" s="33"/>
      <c r="I8" s="16"/>
      <c r="J8" s="37"/>
      <c r="K8" s="37"/>
      <c r="L8" s="16"/>
      <c r="M8" s="37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/>
      <c r="D9" s="21"/>
      <c r="E9" s="25"/>
      <c r="F9" s="16"/>
      <c r="G9" s="31"/>
      <c r="H9" s="33"/>
      <c r="I9" s="16"/>
      <c r="J9" s="37"/>
      <c r="K9" s="37"/>
      <c r="L9" s="16"/>
      <c r="M9" s="37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/>
      <c r="D10" s="21"/>
      <c r="E10" s="25"/>
      <c r="F10" s="16"/>
      <c r="G10" s="31"/>
      <c r="H10" s="33"/>
      <c r="I10" s="16"/>
      <c r="J10" s="37"/>
      <c r="K10" s="37"/>
      <c r="L10" s="16"/>
      <c r="M10" s="37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/>
      <c r="D11" s="21"/>
      <c r="E11" s="25"/>
      <c r="F11" s="28"/>
      <c r="G11" s="31"/>
      <c r="H11" s="33"/>
      <c r="I11" s="16"/>
      <c r="J11" s="37"/>
      <c r="K11" s="37"/>
      <c r="L11" s="16"/>
      <c r="M11" s="37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/>
      <c r="D12" s="21"/>
      <c r="E12" s="25"/>
      <c r="F12" s="28"/>
      <c r="G12" s="31"/>
      <c r="H12" s="33"/>
      <c r="I12" s="16"/>
      <c r="J12" s="37"/>
      <c r="K12" s="37"/>
      <c r="L12" s="16"/>
      <c r="M12" s="37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/>
      <c r="D13" s="21"/>
      <c r="E13" s="25"/>
      <c r="F13" s="28"/>
      <c r="G13" s="31"/>
      <c r="H13" s="33"/>
      <c r="I13" s="16"/>
      <c r="J13" s="16"/>
      <c r="K13" s="16"/>
      <c r="L13" s="16"/>
      <c r="M13" s="3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8"/>
      <c r="D19" s="70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79"/>
      <c r="D20" s="81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/>
    </row>
    <row r="41" ht="19.5" customHeight="1">
      <c r="K41" s="94" t="s">
        <v>61</v>
      </c>
      <c r="M41" s="95"/>
    </row>
    <row r="42" ht="19.5" customHeight="1">
      <c r="K42" s="96" t="s">
        <v>62</v>
      </c>
      <c r="M42" s="95"/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/>
      <c r="D4" s="21"/>
      <c r="E4" s="25"/>
      <c r="F4" s="16"/>
      <c r="G4" s="31"/>
      <c r="H4" s="33"/>
      <c r="I4" s="16"/>
      <c r="J4" s="16"/>
      <c r="K4" s="16"/>
      <c r="L4" s="16"/>
      <c r="M4" s="37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6"/>
      <c r="D5" s="21"/>
      <c r="E5" s="25"/>
      <c r="F5" s="16"/>
      <c r="G5" s="31"/>
      <c r="H5" s="33"/>
      <c r="I5" s="16"/>
      <c r="J5" s="16"/>
      <c r="K5" s="16"/>
      <c r="L5" s="16"/>
      <c r="M5" s="37"/>
      <c r="N5" s="34"/>
      <c r="O5" s="34"/>
      <c r="P5" s="34"/>
      <c r="Q5" s="1"/>
      <c r="R5" s="1"/>
    </row>
    <row r="6" ht="15.75" customHeight="1">
      <c r="A6" s="1"/>
      <c r="B6" s="14">
        <v>3.0</v>
      </c>
      <c r="C6" s="36"/>
      <c r="D6" s="21"/>
      <c r="E6" s="25"/>
      <c r="F6" s="16"/>
      <c r="G6" s="31"/>
      <c r="H6" s="33"/>
      <c r="I6" s="16"/>
      <c r="J6" s="16"/>
      <c r="K6" s="16"/>
      <c r="L6" s="108"/>
      <c r="M6" s="37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7"/>
      <c r="D7" s="21"/>
      <c r="E7" s="22"/>
      <c r="F7" s="16"/>
      <c r="G7" s="31"/>
      <c r="H7" s="33"/>
      <c r="I7" s="16"/>
      <c r="J7" s="16"/>
      <c r="K7" s="16"/>
      <c r="L7" s="16"/>
      <c r="M7" s="37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7"/>
      <c r="D8" s="21"/>
      <c r="E8" s="25"/>
      <c r="F8" s="16"/>
      <c r="G8" s="31"/>
      <c r="H8" s="33"/>
      <c r="I8" s="16"/>
      <c r="J8" s="16"/>
      <c r="K8" s="16"/>
      <c r="L8" s="16"/>
      <c r="M8" s="16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7"/>
      <c r="D9" s="21"/>
      <c r="E9" s="25"/>
      <c r="F9" s="16"/>
      <c r="G9" s="31"/>
      <c r="H9" s="33"/>
      <c r="I9" s="16"/>
      <c r="J9" s="16"/>
      <c r="K9" s="16"/>
      <c r="L9" s="16"/>
      <c r="M9" s="16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7"/>
      <c r="D10" s="21"/>
      <c r="E10" s="25"/>
      <c r="F10" s="16"/>
      <c r="G10" s="31"/>
      <c r="H10" s="33"/>
      <c r="I10" s="16"/>
      <c r="J10" s="16"/>
      <c r="K10" s="16"/>
      <c r="L10" s="16"/>
      <c r="M10" s="16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7"/>
      <c r="D11" s="21"/>
      <c r="E11" s="25"/>
      <c r="F11" s="16"/>
      <c r="G11" s="40"/>
      <c r="H11" s="41"/>
      <c r="I11" s="16"/>
      <c r="J11" s="16"/>
      <c r="K11" s="16"/>
      <c r="L11" s="16"/>
      <c r="M11" s="16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7"/>
      <c r="D12" s="21"/>
      <c r="E12" s="25"/>
      <c r="F12" s="16"/>
      <c r="G12" s="31"/>
      <c r="H12" s="33"/>
      <c r="I12" s="16"/>
      <c r="J12" s="16"/>
      <c r="K12" s="16"/>
      <c r="L12" s="16"/>
      <c r="M12" s="37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7"/>
      <c r="D13" s="21"/>
      <c r="E13" s="25"/>
      <c r="F13" s="16"/>
      <c r="G13" s="31"/>
      <c r="H13" s="33"/>
      <c r="I13" s="16"/>
      <c r="J13" s="16"/>
      <c r="K13" s="16"/>
      <c r="L13" s="16"/>
      <c r="M13" s="3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8"/>
      <c r="D19" s="70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79"/>
      <c r="D20" s="81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5"/>
      <c r="F4" s="28"/>
      <c r="G4" s="31"/>
      <c r="H4" s="33"/>
      <c r="I4" s="16"/>
      <c r="J4" s="16"/>
      <c r="K4" s="16"/>
      <c r="L4" s="16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9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42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42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14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14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14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6"/>
      <c r="D10" s="17"/>
      <c r="E10" s="16"/>
      <c r="F10" s="14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35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7"/>
      <c r="D12" s="17"/>
      <c r="E12" s="16"/>
      <c r="F12" s="14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14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/>
    </row>
    <row r="41" ht="19.5" customHeight="1">
      <c r="K41" s="94" t="s">
        <v>61</v>
      </c>
      <c r="M41" s="95"/>
    </row>
    <row r="42" ht="19.5" customHeight="1">
      <c r="K42" s="96" t="s">
        <v>62</v>
      </c>
      <c r="M42" s="95"/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9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42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47"/>
      <c r="D6" s="17"/>
      <c r="E6" s="16"/>
      <c r="F6" s="35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35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09"/>
      <c r="D8" s="17"/>
      <c r="E8" s="16"/>
      <c r="F8" s="35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35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35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7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42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42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42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35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35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35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35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">
        <v>65</v>
      </c>
      <c r="L35" s="91"/>
      <c r="M35" s="91"/>
      <c r="N35" s="112"/>
    </row>
    <row r="36" ht="15.75" customHeight="1">
      <c r="K36" s="90" t="s">
        <v>65</v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13"/>
      <c r="D7" s="17"/>
      <c r="E7" s="16"/>
      <c r="F7" s="14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14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14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14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14"/>
      <c r="G11" s="26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14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14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75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75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14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6"/>
      <c r="D8" s="17"/>
      <c r="E8" s="16"/>
      <c r="F8" s="14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35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35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35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35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42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42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42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35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35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35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35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9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9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42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42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14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35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115"/>
    </row>
    <row r="41" ht="19.5" customHeight="1">
      <c r="K41" s="94" t="s">
        <v>61</v>
      </c>
      <c r="M41" s="95"/>
    </row>
    <row r="42" ht="19.5" customHeight="1">
      <c r="K42" s="96" t="s">
        <v>62</v>
      </c>
      <c r="M42" s="95"/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9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9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42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42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11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13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14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14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14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42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82"/>
      <c r="M25" s="82"/>
      <c r="N25" s="82"/>
      <c r="O25" s="82"/>
      <c r="P25" s="82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82"/>
      <c r="M26" s="82"/>
      <c r="N26" s="82"/>
      <c r="O26" s="82"/>
      <c r="P26" s="82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82"/>
      <c r="M27" s="82"/>
      <c r="N27" s="82"/>
      <c r="O27" s="82"/>
      <c r="P27" s="82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82"/>
      <c r="M28" s="82"/>
      <c r="N28" s="82"/>
      <c r="O28" s="82"/>
      <c r="P28" s="82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42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47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14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14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14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14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14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14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14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42"/>
      <c r="G4" s="51"/>
      <c r="H4" s="26"/>
      <c r="I4" s="14"/>
      <c r="J4" s="14"/>
      <c r="K4" s="14"/>
      <c r="L4" s="14"/>
      <c r="M4" s="14"/>
      <c r="N4" s="30"/>
      <c r="O4" s="30"/>
      <c r="P4" s="30"/>
      <c r="Q4" s="1"/>
      <c r="R4" s="1"/>
    </row>
    <row r="5" ht="15.75" customHeight="1">
      <c r="A5" s="1"/>
      <c r="B5" s="14">
        <v>2.0</v>
      </c>
      <c r="C5" s="15"/>
      <c r="D5" s="17"/>
      <c r="E5" s="16"/>
      <c r="F5" s="42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42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35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36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35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14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14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14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14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14"/>
      <c r="G11" s="26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14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14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9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9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35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35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35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14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14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14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35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75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4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4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42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16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</row>
    <row r="35" ht="15.75" customHeight="1">
      <c r="K35" s="90" t="str">
        <f t="shared" ref="K35:K36" si="8">IF(O18="","",O18)</f>
        <v/>
      </c>
      <c r="L35" s="91"/>
      <c r="M35" s="91"/>
    </row>
    <row r="36" ht="15.75" customHeight="1">
      <c r="K36" s="90" t="str">
        <f t="shared" si="8"/>
        <v/>
      </c>
      <c r="L36" s="91"/>
      <c r="M36" s="91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/>
      <c r="D4" s="21"/>
      <c r="E4" s="25"/>
      <c r="F4" s="44"/>
      <c r="G4" s="31"/>
      <c r="H4" s="33"/>
      <c r="I4" s="16"/>
      <c r="J4" s="37"/>
      <c r="K4" s="37"/>
      <c r="L4" s="16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9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42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42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42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7"/>
      <c r="D9" s="17"/>
      <c r="E9" s="16"/>
      <c r="F9" s="42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42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42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42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42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5" t="s">
        <v>0</v>
      </c>
      <c r="C17" s="56" t="s">
        <v>6</v>
      </c>
      <c r="D17" s="56" t="s">
        <v>36</v>
      </c>
      <c r="E17" s="1"/>
      <c r="F17" s="1"/>
      <c r="G17" s="1"/>
      <c r="H17" s="1"/>
      <c r="I17" s="1"/>
      <c r="J17" s="1"/>
      <c r="K17" s="1"/>
      <c r="L17" s="1"/>
      <c r="M17" s="1"/>
      <c r="N17" s="56" t="s">
        <v>37</v>
      </c>
      <c r="O17" s="56" t="s">
        <v>1</v>
      </c>
      <c r="P17" s="1"/>
      <c r="Q17" s="1"/>
      <c r="R17" s="1"/>
    </row>
    <row r="18" ht="15.75" customHeight="1">
      <c r="A18" s="1"/>
      <c r="B18" s="57">
        <v>1.0</v>
      </c>
      <c r="C18" s="58" t="s">
        <v>38</v>
      </c>
      <c r="D18" s="59">
        <f>SUM(G14)</f>
        <v>0</v>
      </c>
      <c r="E18" s="60"/>
      <c r="F18" s="1"/>
      <c r="G18" s="1"/>
      <c r="H18" s="1"/>
      <c r="I18" s="1"/>
      <c r="J18" s="1"/>
      <c r="K18" s="1"/>
      <c r="L18" s="1"/>
      <c r="M18" s="1"/>
      <c r="N18" s="61" t="s">
        <v>39</v>
      </c>
      <c r="O18" s="30"/>
      <c r="P18" s="1"/>
      <c r="Q18" s="1"/>
      <c r="R18" s="1"/>
    </row>
    <row r="19" ht="15.75" customHeight="1">
      <c r="A19" s="1"/>
      <c r="B19" s="62">
        <v>2.0</v>
      </c>
      <c r="C19" s="63"/>
      <c r="D19" s="64"/>
      <c r="E19" s="60"/>
      <c r="F19" s="1"/>
      <c r="G19" s="1"/>
      <c r="H19" s="1"/>
      <c r="I19" s="1"/>
      <c r="J19" s="1"/>
      <c r="K19" s="1"/>
      <c r="L19" s="1"/>
      <c r="M19" s="1"/>
      <c r="N19" s="65" t="s">
        <v>40</v>
      </c>
      <c r="O19" s="66"/>
      <c r="P19" s="1"/>
      <c r="Q19" s="1"/>
      <c r="R19" s="1"/>
    </row>
    <row r="20" ht="15.75" customHeight="1">
      <c r="A20" s="1"/>
      <c r="B20" s="57">
        <v>3.0</v>
      </c>
      <c r="C20" s="58"/>
      <c r="D20" s="59"/>
      <c r="E20" s="60"/>
      <c r="F20" s="1"/>
      <c r="G20" s="1"/>
      <c r="H20" s="1"/>
      <c r="I20" s="1"/>
      <c r="J20" s="1"/>
      <c r="K20" s="1"/>
      <c r="L20" s="1"/>
      <c r="M20" s="1"/>
      <c r="N20" s="67" t="s">
        <v>41</v>
      </c>
      <c r="O20" s="34"/>
      <c r="P20" s="1"/>
      <c r="Q20" s="1"/>
      <c r="R20" s="1"/>
    </row>
    <row r="21" ht="15.75" customHeight="1">
      <c r="A21" s="1"/>
      <c r="B21" s="62">
        <v>4.0</v>
      </c>
      <c r="C21" s="63"/>
      <c r="D21" s="64"/>
      <c r="E21" s="60"/>
      <c r="F21" s="1"/>
      <c r="G21" s="1"/>
      <c r="H21" s="1"/>
      <c r="I21" s="1"/>
      <c r="J21" s="1"/>
      <c r="K21" s="1"/>
      <c r="L21" s="1"/>
      <c r="M21" s="1"/>
      <c r="N21" s="71" t="s">
        <v>42</v>
      </c>
      <c r="O21" s="66"/>
      <c r="P21" s="1"/>
      <c r="Q21" s="1"/>
      <c r="R21" s="1"/>
    </row>
    <row r="22" ht="15.75" customHeight="1">
      <c r="A22" s="1"/>
      <c r="B22" s="57">
        <v>5.0</v>
      </c>
      <c r="C22" s="58"/>
      <c r="D22" s="59"/>
      <c r="E22" s="60"/>
      <c r="F22" s="1"/>
      <c r="G22" s="1"/>
      <c r="H22" s="1"/>
      <c r="I22" s="1"/>
      <c r="J22" s="1"/>
      <c r="K22" s="1"/>
      <c r="L22" s="1"/>
      <c r="M22" s="1"/>
      <c r="N22" s="72"/>
      <c r="O22" s="1"/>
      <c r="P22" s="1"/>
      <c r="Q22" s="1"/>
      <c r="R22" s="1"/>
    </row>
    <row r="23" ht="15.75" customHeight="1">
      <c r="A23" s="1"/>
      <c r="B23" s="62">
        <v>6.0</v>
      </c>
      <c r="C23" s="63"/>
      <c r="D23" s="64"/>
      <c r="E23" s="60"/>
      <c r="F23" s="1"/>
      <c r="G23" s="1"/>
      <c r="H23" s="1"/>
      <c r="I23" s="1"/>
      <c r="J23" s="1"/>
      <c r="K23" s="76" t="s">
        <v>43</v>
      </c>
      <c r="Q23" s="1"/>
      <c r="R23" s="1"/>
    </row>
    <row r="24" ht="15.75" customHeight="1">
      <c r="A24" s="1"/>
      <c r="B24" s="57">
        <v>7.0</v>
      </c>
      <c r="C24" s="58"/>
      <c r="D24" s="59"/>
      <c r="E24" s="60"/>
      <c r="F24" s="1"/>
      <c r="G24" s="1"/>
      <c r="H24" s="1"/>
      <c r="I24" s="1"/>
      <c r="J24" s="1"/>
      <c r="K24" s="77" t="s">
        <v>1</v>
      </c>
      <c r="L24" s="77" t="s">
        <v>44</v>
      </c>
      <c r="M24" s="77" t="s">
        <v>45</v>
      </c>
      <c r="N24" s="77" t="s">
        <v>46</v>
      </c>
      <c r="O24" s="77" t="s">
        <v>47</v>
      </c>
      <c r="P24" s="77" t="s">
        <v>48</v>
      </c>
      <c r="Q24" s="1"/>
      <c r="R24" s="1"/>
      <c r="AC24" s="78" t="s">
        <v>49</v>
      </c>
      <c r="AD24" s="78" t="s">
        <v>50</v>
      </c>
      <c r="AE24" s="78" t="s">
        <v>51</v>
      </c>
      <c r="AF24" s="78" t="s">
        <v>52</v>
      </c>
      <c r="AG24" s="78" t="s">
        <v>53</v>
      </c>
    </row>
    <row r="25" ht="15.75" customHeight="1">
      <c r="A25" s="1"/>
      <c r="B25" s="62">
        <v>8.0</v>
      </c>
      <c r="C25" s="63"/>
      <c r="D25" s="64"/>
      <c r="E25" s="60"/>
      <c r="F25" s="1"/>
      <c r="G25" s="1"/>
      <c r="H25" s="1"/>
      <c r="I25" s="1"/>
      <c r="J25" s="1"/>
      <c r="K25" s="80" t="str">
        <f t="shared" ref="K25:K28" si="2">IF(O18="","",O18)</f>
        <v/>
      </c>
      <c r="L25" s="107"/>
      <c r="M25" s="107"/>
      <c r="N25" s="107"/>
      <c r="O25" s="107"/>
      <c r="P25" s="107"/>
      <c r="Q25" s="1"/>
      <c r="R25" s="1"/>
      <c r="AC25" s="78" t="str">
        <f t="shared" ref="AC25:AC30" si="3">IF(AG25="","",IF(COUNT(L25:P25)&lt;5,"",L25/5*20+M25/5*25+N25/5*25+O25/5*15+P25/5*15))</f>
        <v/>
      </c>
      <c r="AD25" s="78" t="str">
        <f t="shared" ref="AD25:AD30" si="4">IF(AC25="","",IF(AC25&gt;=90,"Sangat Baik",IF(AC25&gt;=80,"Baik",IF(AC25&gt;=70,"Coaching","Underperform"))))</f>
        <v/>
      </c>
      <c r="AE25" s="78" t="str">
        <f t="shared" ref="AE25:AE30" si="5">IF(AG25="","",IF(OR(AG25="INDAH",AG25="ADDEL",AG25="AMEL",AG25="PENTIL",AG25="JIJANG"),"Admin/CS","Fotografer"))</f>
        <v/>
      </c>
      <c r="AF25" s="78" t="str">
        <f t="shared" ref="AF25:AF30" si="6">IF(OR(AG25="",COUNT(L25:P25)&lt;5),"",1)</f>
        <v/>
      </c>
      <c r="AG25" s="78" t="str">
        <f t="shared" ref="AG25:AG30" si="7">IFERROR(K25,"")</f>
        <v/>
      </c>
    </row>
    <row r="26" ht="15.75" customHeight="1">
      <c r="A26" s="1"/>
      <c r="B26" s="57">
        <v>9.0</v>
      </c>
      <c r="C26" s="58"/>
      <c r="D26" s="59"/>
      <c r="E26" s="60"/>
      <c r="F26" s="1"/>
      <c r="G26" s="1"/>
      <c r="H26" s="1"/>
      <c r="I26" s="1"/>
      <c r="J26" s="1"/>
      <c r="K26" s="80" t="str">
        <f t="shared" si="2"/>
        <v/>
      </c>
      <c r="L26" s="107"/>
      <c r="M26" s="107"/>
      <c r="N26" s="107"/>
      <c r="O26" s="107"/>
      <c r="P26" s="107"/>
      <c r="Q26" s="1"/>
      <c r="R26" s="1"/>
      <c r="AC26" s="78" t="str">
        <f t="shared" si="3"/>
        <v/>
      </c>
      <c r="AD26" s="78" t="str">
        <f t="shared" si="4"/>
        <v/>
      </c>
      <c r="AE26" s="78" t="str">
        <f t="shared" si="5"/>
        <v/>
      </c>
      <c r="AF26" s="78" t="str">
        <f t="shared" si="6"/>
        <v/>
      </c>
      <c r="AG26" s="78" t="str">
        <f t="shared" si="7"/>
        <v/>
      </c>
    </row>
    <row r="27" ht="15.75" customHeight="1">
      <c r="A27" s="1"/>
      <c r="B27" s="62">
        <v>10.0</v>
      </c>
      <c r="C27" s="63"/>
      <c r="D27" s="64"/>
      <c r="E27" s="60"/>
      <c r="F27" s="1"/>
      <c r="G27" s="1"/>
      <c r="H27" s="1"/>
      <c r="I27" s="1"/>
      <c r="J27" s="1"/>
      <c r="K27" s="80" t="str">
        <f t="shared" si="2"/>
        <v/>
      </c>
      <c r="L27" s="107"/>
      <c r="M27" s="107"/>
      <c r="N27" s="107"/>
      <c r="O27" s="107"/>
      <c r="P27" s="107"/>
      <c r="Q27" s="1"/>
      <c r="R27" s="1"/>
      <c r="AC27" s="78" t="str">
        <f t="shared" si="3"/>
        <v/>
      </c>
      <c r="AD27" s="78" t="str">
        <f t="shared" si="4"/>
        <v/>
      </c>
      <c r="AE27" s="78" t="str">
        <f t="shared" si="5"/>
        <v/>
      </c>
      <c r="AF27" s="78" t="str">
        <f t="shared" si="6"/>
        <v/>
      </c>
      <c r="AG27" s="78" t="str">
        <f t="shared" si="7"/>
        <v/>
      </c>
    </row>
    <row r="28" ht="15.75" customHeight="1">
      <c r="A28" s="1"/>
      <c r="B28" s="83">
        <v>11.0</v>
      </c>
      <c r="C28" s="84"/>
      <c r="D28" s="85"/>
      <c r="E28" s="60"/>
      <c r="F28" s="1"/>
      <c r="G28" s="1"/>
      <c r="H28" s="1"/>
      <c r="I28" s="1"/>
      <c r="J28" s="1"/>
      <c r="K28" s="80" t="str">
        <f t="shared" si="2"/>
        <v/>
      </c>
      <c r="L28" s="107"/>
      <c r="M28" s="107"/>
      <c r="N28" s="107"/>
      <c r="O28" s="107"/>
      <c r="P28" s="107"/>
      <c r="Q28" s="1"/>
      <c r="R28" s="1"/>
      <c r="AC28" s="78" t="str">
        <f t="shared" si="3"/>
        <v/>
      </c>
      <c r="AD28" s="78" t="str">
        <f t="shared" si="4"/>
        <v/>
      </c>
      <c r="AE28" s="78" t="str">
        <f t="shared" si="5"/>
        <v/>
      </c>
      <c r="AF28" s="78" t="str">
        <f t="shared" si="6"/>
        <v/>
      </c>
      <c r="AG28" s="78" t="str">
        <f t="shared" si="7"/>
        <v/>
      </c>
    </row>
    <row r="29" ht="15.75" customHeight="1">
      <c r="A29" s="1"/>
      <c r="B29" s="1"/>
      <c r="C29" s="2"/>
      <c r="D29" s="86">
        <f>SUM(D18:D28)</f>
        <v>0</v>
      </c>
      <c r="E29" s="1"/>
      <c r="F29" s="1"/>
      <c r="G29" s="1"/>
      <c r="H29" s="1"/>
      <c r="I29" s="1"/>
      <c r="J29" s="1"/>
      <c r="K29" s="80"/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0"/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7" t="s">
        <v>54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8" t="s">
        <v>55</v>
      </c>
      <c r="N33" s="110"/>
      <c r="O33" s="1"/>
      <c r="P33" s="1"/>
      <c r="Q33" s="1"/>
      <c r="R33" s="1"/>
    </row>
    <row r="34" ht="15.75" customHeight="1">
      <c r="K34" s="89" t="s">
        <v>7</v>
      </c>
      <c r="L34" s="89" t="s">
        <v>56</v>
      </c>
      <c r="M34" s="89" t="s">
        <v>57</v>
      </c>
      <c r="N34" s="111" t="s">
        <v>64</v>
      </c>
    </row>
    <row r="35" ht="15.75" customHeight="1">
      <c r="K35" s="90" t="str">
        <f t="shared" ref="K35:K36" si="8">IF(O18="","",O18)</f>
        <v/>
      </c>
      <c r="L35" s="91"/>
      <c r="M35" s="91"/>
      <c r="N35" s="112"/>
    </row>
    <row r="36" ht="15.75" customHeight="1">
      <c r="K36" s="90" t="str">
        <f t="shared" si="8"/>
        <v/>
      </c>
      <c r="L36" s="91"/>
      <c r="M36" s="91"/>
      <c r="N36" s="112"/>
    </row>
    <row r="37" ht="15.75" customHeight="1"/>
    <row r="38" ht="19.5" customHeight="1">
      <c r="K38" s="92" t="s">
        <v>58</v>
      </c>
    </row>
    <row r="39" ht="19.5" customHeight="1">
      <c r="K39" s="93" t="s">
        <v>59</v>
      </c>
      <c r="M39" s="91"/>
    </row>
    <row r="40" ht="19.5" customHeight="1">
      <c r="K40" s="94" t="s">
        <v>60</v>
      </c>
      <c r="M40" s="95">
        <f>COUNTIF($I$4:$I$16,"DP")</f>
        <v>0</v>
      </c>
    </row>
    <row r="41" ht="19.5" customHeight="1">
      <c r="K41" s="94" t="s">
        <v>61</v>
      </c>
      <c r="M41" s="95">
        <f>COUNTIFS($I$4:$I$16,"&lt;&gt;DP",$I$4:$I$16,"&lt;&gt;")</f>
        <v>0</v>
      </c>
    </row>
    <row r="42" ht="19.5" customHeight="1">
      <c r="K42" s="96" t="s">
        <v>62</v>
      </c>
      <c r="M42" s="95">
        <f>M40+M41</f>
        <v>0</v>
      </c>
    </row>
    <row r="43" ht="19.5" customHeight="1">
      <c r="K43" s="93" t="s">
        <v>63</v>
      </c>
      <c r="M43" s="97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42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35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42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14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35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35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35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35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35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35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50">
        <f t="shared" ref="G14:H14" si="1">SUM(G4:G13)</f>
        <v>0</v>
      </c>
      <c r="H14" s="5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5" t="s">
        <v>0</v>
      </c>
      <c r="C18" s="56" t="s">
        <v>6</v>
      </c>
      <c r="D18" s="56" t="s">
        <v>36</v>
      </c>
      <c r="E18" s="1"/>
      <c r="F18" s="1"/>
      <c r="G18" s="1"/>
      <c r="H18" s="1"/>
      <c r="I18" s="1"/>
      <c r="J18" s="1"/>
      <c r="K18" s="1"/>
      <c r="L18" s="1"/>
      <c r="M18" s="1"/>
      <c r="N18" s="56" t="s">
        <v>37</v>
      </c>
      <c r="O18" s="56" t="s">
        <v>1</v>
      </c>
      <c r="P18" s="1"/>
      <c r="Q18" s="1"/>
      <c r="R18" s="1"/>
    </row>
    <row r="19" ht="15.75" customHeight="1">
      <c r="A19" s="1"/>
      <c r="B19" s="57">
        <v>1.0</v>
      </c>
      <c r="C19" s="58" t="s">
        <v>38</v>
      </c>
      <c r="D19" s="59">
        <f>SUM(G14)</f>
        <v>0</v>
      </c>
      <c r="E19" s="60"/>
      <c r="F19" s="1"/>
      <c r="G19" s="1"/>
      <c r="H19" s="1"/>
      <c r="I19" s="1"/>
      <c r="J19" s="1"/>
      <c r="K19" s="1"/>
      <c r="L19" s="1"/>
      <c r="M19" s="1"/>
      <c r="N19" s="61" t="s">
        <v>39</v>
      </c>
      <c r="O19" s="30"/>
      <c r="P19" s="1"/>
      <c r="Q19" s="1"/>
      <c r="R19" s="1"/>
    </row>
    <row r="20" ht="15.75" customHeight="1">
      <c r="A20" s="1"/>
      <c r="B20" s="62">
        <v>2.0</v>
      </c>
      <c r="C20" s="63"/>
      <c r="D20" s="64"/>
      <c r="E20" s="60"/>
      <c r="F20" s="1"/>
      <c r="G20" s="75"/>
      <c r="H20" s="1"/>
      <c r="I20" s="1"/>
      <c r="J20" s="1"/>
      <c r="K20" s="1"/>
      <c r="L20" s="1"/>
      <c r="M20" s="1"/>
      <c r="N20" s="65" t="s">
        <v>40</v>
      </c>
      <c r="O20" s="66"/>
      <c r="P20" s="1"/>
      <c r="Q20" s="1"/>
      <c r="R20" s="1"/>
    </row>
    <row r="21" ht="15.75" customHeight="1">
      <c r="A21" s="1"/>
      <c r="B21" s="57">
        <v>3.0</v>
      </c>
      <c r="C21" s="58"/>
      <c r="D21" s="59"/>
      <c r="E21" s="60"/>
      <c r="F21" s="1"/>
      <c r="G21" s="75"/>
      <c r="H21" s="1"/>
      <c r="I21" s="1"/>
      <c r="J21" s="1"/>
      <c r="K21" s="1"/>
      <c r="L21" s="1"/>
      <c r="M21" s="1"/>
      <c r="N21" s="67" t="s">
        <v>41</v>
      </c>
      <c r="O21" s="34"/>
      <c r="P21" s="1"/>
      <c r="Q21" s="1"/>
      <c r="R21" s="1"/>
    </row>
    <row r="22" ht="15.75" customHeight="1">
      <c r="A22" s="1"/>
      <c r="B22" s="62">
        <v>4.0</v>
      </c>
      <c r="C22" s="63"/>
      <c r="D22" s="64"/>
      <c r="E22" s="60"/>
      <c r="F22" s="1"/>
      <c r="G22" s="1"/>
      <c r="H22" s="1"/>
      <c r="I22" s="1"/>
      <c r="J22" s="1"/>
      <c r="K22" s="1"/>
      <c r="L22" s="1"/>
      <c r="M22" s="1"/>
      <c r="N22" s="71" t="s">
        <v>42</v>
      </c>
      <c r="O22" s="66"/>
      <c r="P22" s="1"/>
      <c r="Q22" s="1"/>
      <c r="R22" s="1"/>
    </row>
    <row r="23" ht="15.75" customHeight="1">
      <c r="A23" s="1"/>
      <c r="B23" s="57">
        <v>5.0</v>
      </c>
      <c r="C23" s="58"/>
      <c r="D23" s="59"/>
      <c r="E23" s="60"/>
      <c r="F23" s="1"/>
      <c r="G23" s="1"/>
      <c r="H23" s="1"/>
      <c r="I23" s="1"/>
      <c r="J23" s="1"/>
      <c r="K23" s="1"/>
      <c r="L23" s="1"/>
      <c r="M23" s="1"/>
      <c r="N23" s="72"/>
      <c r="O23" s="1"/>
      <c r="P23" s="1"/>
      <c r="Q23" s="1"/>
      <c r="R23" s="1"/>
    </row>
    <row r="24" ht="15.75" customHeight="1">
      <c r="A24" s="1"/>
      <c r="B24" s="62">
        <v>6.0</v>
      </c>
      <c r="C24" s="63"/>
      <c r="D24" s="64"/>
      <c r="E24" s="6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57">
        <v>7.0</v>
      </c>
      <c r="C25" s="58"/>
      <c r="D25" s="59"/>
      <c r="E25" s="60"/>
      <c r="F25" s="7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2">
        <v>8.0</v>
      </c>
      <c r="C26" s="63"/>
      <c r="D26" s="64"/>
      <c r="E26" s="60"/>
      <c r="F26" s="1"/>
      <c r="G26" s="1"/>
      <c r="H26" s="1"/>
      <c r="I26" s="1"/>
      <c r="J26" s="1"/>
      <c r="K26" s="76" t="s">
        <v>43</v>
      </c>
      <c r="Q26" s="1"/>
      <c r="R26" s="1"/>
    </row>
    <row r="27" ht="15.75" customHeight="1">
      <c r="A27" s="1"/>
      <c r="B27" s="57">
        <v>9.0</v>
      </c>
      <c r="C27" s="58"/>
      <c r="D27" s="59"/>
      <c r="E27" s="60"/>
      <c r="F27" s="1"/>
      <c r="G27" s="1"/>
      <c r="H27" s="1"/>
      <c r="I27" s="1"/>
      <c r="J27" s="1"/>
      <c r="K27" s="77" t="s">
        <v>1</v>
      </c>
      <c r="L27" s="77" t="s">
        <v>44</v>
      </c>
      <c r="M27" s="77" t="s">
        <v>45</v>
      </c>
      <c r="N27" s="77" t="s">
        <v>46</v>
      </c>
      <c r="O27" s="77" t="s">
        <v>47</v>
      </c>
      <c r="P27" s="77" t="s">
        <v>48</v>
      </c>
      <c r="Q27" s="1"/>
      <c r="R27" s="1"/>
      <c r="AC27" s="78" t="s">
        <v>49</v>
      </c>
      <c r="AD27" s="78" t="s">
        <v>50</v>
      </c>
      <c r="AE27" s="78" t="s">
        <v>51</v>
      </c>
      <c r="AF27" s="78" t="s">
        <v>52</v>
      </c>
      <c r="AG27" s="78" t="s">
        <v>53</v>
      </c>
    </row>
    <row r="28" ht="15.75" customHeight="1">
      <c r="A28" s="1"/>
      <c r="B28" s="62">
        <v>10.0</v>
      </c>
      <c r="C28" s="63"/>
      <c r="D28" s="64"/>
      <c r="E28" s="60"/>
      <c r="F28" s="1"/>
      <c r="G28" s="1"/>
      <c r="H28" s="1"/>
      <c r="I28" s="1"/>
      <c r="J28" s="1"/>
      <c r="K28" s="80" t="str">
        <f t="shared" ref="K28:K31" si="2">IF(O19="","",O19)</f>
        <v/>
      </c>
      <c r="L28" s="82"/>
      <c r="M28" s="82"/>
      <c r="N28" s="82"/>
      <c r="O28" s="82"/>
      <c r="P28" s="82"/>
      <c r="Q28" s="1"/>
      <c r="R28" s="1"/>
      <c r="AC28" s="78" t="str">
        <f t="shared" ref="AC28:AC33" si="3">IF(AG28="","",IF(COUNT(L28:P28)&lt;5,"",L28/5*20+M28/5*25+N28/5*25+O28/5*15+P28/5*15))</f>
        <v/>
      </c>
      <c r="AD28" s="78" t="str">
        <f t="shared" ref="AD28:AD33" si="4">IF(AC28="","",IF(AC28&gt;=90,"Sangat Baik",IF(AC28&gt;=80,"Baik",IF(AC28&gt;=70,"Coaching","Underperform"))))</f>
        <v/>
      </c>
      <c r="AE28" s="78" t="str">
        <f t="shared" ref="AE28:AE33" si="5">IF(AG28="","",IF(OR(AG28="INDAH",AG28="ADDEL",AG28="AMEL",AG28="PENTIL",AG28="JIJANG"),"Admin/CS","Fotografer"))</f>
        <v/>
      </c>
      <c r="AF28" s="78" t="str">
        <f t="shared" ref="AF28:AF33" si="6">IF(OR(AG28="",COUNT(L28:P28)&lt;5),"",1)</f>
        <v/>
      </c>
      <c r="AG28" s="78" t="str">
        <f t="shared" ref="AG28:AG33" si="7">IFERROR(K28,"")</f>
        <v/>
      </c>
    </row>
    <row r="29" ht="15.75" customHeight="1">
      <c r="A29" s="1"/>
      <c r="B29" s="83">
        <v>11.0</v>
      </c>
      <c r="C29" s="84"/>
      <c r="D29" s="85"/>
      <c r="E29" s="60"/>
      <c r="F29" s="1"/>
      <c r="G29" s="1"/>
      <c r="H29" s="1"/>
      <c r="I29" s="1"/>
      <c r="J29" s="1"/>
      <c r="K29" s="80" t="str">
        <f t="shared" si="2"/>
        <v/>
      </c>
      <c r="L29" s="82"/>
      <c r="M29" s="82"/>
      <c r="N29" s="82"/>
      <c r="O29" s="82"/>
      <c r="P29" s="82"/>
      <c r="Q29" s="1"/>
      <c r="R29" s="1"/>
      <c r="AC29" s="78" t="str">
        <f t="shared" si="3"/>
        <v/>
      </c>
      <c r="AD29" s="78" t="str">
        <f t="shared" si="4"/>
        <v/>
      </c>
      <c r="AE29" s="78" t="str">
        <f t="shared" si="5"/>
        <v/>
      </c>
      <c r="AF29" s="78" t="str">
        <f t="shared" si="6"/>
        <v/>
      </c>
      <c r="AG29" s="78" t="str">
        <f t="shared" si="7"/>
        <v/>
      </c>
    </row>
    <row r="30" ht="15.75" customHeight="1">
      <c r="A30" s="1"/>
      <c r="B30" s="1"/>
      <c r="C30" s="2"/>
      <c r="D30" s="86">
        <f>SUM(D19:D29)</f>
        <v>0</v>
      </c>
      <c r="E30" s="1"/>
      <c r="F30" s="1"/>
      <c r="G30" s="1"/>
      <c r="H30" s="1"/>
      <c r="I30" s="1"/>
      <c r="J30" s="1"/>
      <c r="K30" s="80" t="str">
        <f t="shared" si="2"/>
        <v/>
      </c>
      <c r="L30" s="82"/>
      <c r="M30" s="82"/>
      <c r="N30" s="82"/>
      <c r="O30" s="82"/>
      <c r="P30" s="82"/>
      <c r="Q30" s="1"/>
      <c r="R30" s="1"/>
      <c r="AC30" s="78" t="str">
        <f t="shared" si="3"/>
        <v/>
      </c>
      <c r="AD30" s="78" t="str">
        <f t="shared" si="4"/>
        <v/>
      </c>
      <c r="AE30" s="78" t="str">
        <f t="shared" si="5"/>
        <v/>
      </c>
      <c r="AF30" s="78" t="str">
        <f t="shared" si="6"/>
        <v/>
      </c>
      <c r="AG30" s="7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0" t="str">
        <f t="shared" si="2"/>
        <v/>
      </c>
      <c r="L31" s="82"/>
      <c r="M31" s="82"/>
      <c r="N31" s="82"/>
      <c r="O31" s="82"/>
      <c r="P31" s="82"/>
      <c r="Q31" s="1"/>
      <c r="R31" s="1"/>
      <c r="AC31" s="78" t="str">
        <f t="shared" si="3"/>
        <v/>
      </c>
      <c r="AD31" s="78" t="str">
        <f t="shared" si="4"/>
        <v/>
      </c>
      <c r="AE31" s="78" t="str">
        <f t="shared" si="5"/>
        <v/>
      </c>
      <c r="AF31" s="78" t="str">
        <f t="shared" si="6"/>
        <v/>
      </c>
      <c r="AG31" s="78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0"/>
      <c r="L32" s="82"/>
      <c r="M32" s="82"/>
      <c r="N32" s="82"/>
      <c r="O32" s="82"/>
      <c r="P32" s="82"/>
      <c r="Q32" s="1"/>
      <c r="R32" s="1"/>
      <c r="AC32" s="78" t="str">
        <f t="shared" si="3"/>
        <v/>
      </c>
      <c r="AD32" s="78" t="str">
        <f t="shared" si="4"/>
        <v/>
      </c>
      <c r="AE32" s="78" t="str">
        <f t="shared" si="5"/>
        <v/>
      </c>
      <c r="AF32" s="78" t="str">
        <f t="shared" si="6"/>
        <v/>
      </c>
      <c r="AG32" s="78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0"/>
      <c r="L33" s="82"/>
      <c r="M33" s="82"/>
      <c r="N33" s="82"/>
      <c r="O33" s="82"/>
      <c r="P33" s="82"/>
      <c r="Q33" s="1"/>
      <c r="R33" s="1"/>
      <c r="AC33" s="78" t="str">
        <f t="shared" si="3"/>
        <v/>
      </c>
      <c r="AD33" s="78" t="str">
        <f t="shared" si="4"/>
        <v/>
      </c>
      <c r="AE33" s="78" t="str">
        <f t="shared" si="5"/>
        <v/>
      </c>
      <c r="AF33" s="78" t="str">
        <f t="shared" si="6"/>
        <v/>
      </c>
      <c r="AG33" s="78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7" t="s">
        <v>54</v>
      </c>
      <c r="Q34" s="1"/>
      <c r="R34" s="1"/>
    </row>
    <row r="35" ht="15.75" customHeight="1"/>
    <row r="36" ht="15.75" customHeight="1">
      <c r="K36" s="121" t="s">
        <v>55</v>
      </c>
    </row>
    <row r="37" ht="15.75" customHeight="1">
      <c r="K37" s="89" t="s">
        <v>7</v>
      </c>
      <c r="L37" s="89" t="s">
        <v>56</v>
      </c>
      <c r="M37" s="89" t="s">
        <v>57</v>
      </c>
    </row>
    <row r="38" ht="15.75" customHeight="1">
      <c r="K38" s="90" t="str">
        <f t="shared" ref="K38:K39" si="8">IF(O19="","",O19)</f>
        <v/>
      </c>
      <c r="L38" s="91"/>
      <c r="M38" s="91"/>
    </row>
    <row r="39" ht="15.75" customHeight="1">
      <c r="K39" s="90" t="str">
        <f t="shared" si="8"/>
        <v/>
      </c>
      <c r="L39" s="91"/>
      <c r="M39" s="91"/>
    </row>
    <row r="40" ht="15.75" customHeight="1"/>
    <row r="41" ht="19.5" customHeight="1">
      <c r="K41" s="92" t="s">
        <v>58</v>
      </c>
    </row>
    <row r="42" ht="19.5" customHeight="1">
      <c r="K42" s="93" t="s">
        <v>59</v>
      </c>
      <c r="M42" s="91"/>
    </row>
    <row r="43" ht="19.5" customHeight="1">
      <c r="K43" s="94" t="s">
        <v>60</v>
      </c>
      <c r="M43" s="95">
        <f>COUNTIF($I$4:$I$17,"DP")</f>
        <v>0</v>
      </c>
    </row>
    <row r="44" ht="19.5" customHeight="1">
      <c r="K44" s="94" t="s">
        <v>61</v>
      </c>
      <c r="M44" s="95">
        <f>COUNTIFS($I$4:$I$17,"&lt;&gt;DP",$I$4:$I$17,"&lt;&gt;")</f>
        <v>0</v>
      </c>
    </row>
    <row r="45" ht="19.5" customHeight="1">
      <c r="K45" s="96" t="s">
        <v>62</v>
      </c>
      <c r="M45" s="95">
        <f>M43+M44</f>
        <v>0</v>
      </c>
    </row>
    <row r="46" ht="19.5" customHeight="1">
      <c r="K46" s="93" t="s">
        <v>63</v>
      </c>
      <c r="M46" s="97" t="str">
        <f>IF(OR(M42="",M42=0),"",M43/M42)</f>
        <v/>
      </c>
    </row>
    <row r="47" ht="15.75" customHeight="1">
      <c r="A47" s="122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23" t="s">
        <v>76</v>
      </c>
      <c r="E49" s="123" t="s">
        <v>77</v>
      </c>
      <c r="I49" s="123" t="s">
        <v>78</v>
      </c>
      <c r="M49" s="123" t="s">
        <v>79</v>
      </c>
    </row>
    <row r="50" ht="15.75" customHeight="1">
      <c r="A50" s="124">
        <f>IFERROR(SUMIFS($D$56:$D$68,$C$56:$C$68,"&gt;0")/COUNTIFS($C$56:$C$68,"&gt;0"),0)</f>
        <v>0</v>
      </c>
      <c r="E50" s="124">
        <f>IFERROR(SUMIFS($D$56:$D$68,$B$56:$B$68,"Admin/CS",$C$56:$C$68,"&gt;0")/COUNTIFS($B$56:$B$68,"Admin/CS",$C$56:$C$68,"&gt;0"),0)</f>
        <v>0</v>
      </c>
      <c r="I50" s="124">
        <f>IFERROR(SUMIFS($D$56:$D$68,$B$56:$B$68,"Fotografer",$C$56:$C$68,"&gt;0")/COUNTIFS($B$56:$B$68,"Fotografer",$C$56:$C$68,"&gt;0"),0)</f>
        <v>0</v>
      </c>
      <c r="M50" s="124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25" t="s">
        <v>1</v>
      </c>
      <c r="B55" s="125" t="s">
        <v>81</v>
      </c>
      <c r="C55" s="125" t="s">
        <v>82</v>
      </c>
      <c r="D55" s="125" t="s">
        <v>83</v>
      </c>
      <c r="E55" s="125" t="s">
        <v>84</v>
      </c>
      <c r="F55" s="125" t="s">
        <v>85</v>
      </c>
      <c r="G55" s="125" t="s">
        <v>86</v>
      </c>
    </row>
    <row r="56" ht="15.75" customHeight="1">
      <c r="A56" s="126" t="str">
        <f>IF($A$78="","",$A$78)</f>
        <v>INDAH</v>
      </c>
      <c r="B56" s="126" t="str">
        <f>IF(A56="","",$B$78)</f>
        <v>Admin/CS</v>
      </c>
      <c r="C56" s="127">
        <f>IF(A56="","",SUMIF('1'!$AG$25:$AG$30,A56,'1'!$AF$25:$AF$30)+SUMIF('2'!$AG$25:$AG$30,A56,'2'!$AF$25:$AF$30)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28" t="str">
        <f>IF(OR(A56="",C56=0),"",(SUMIF('1'!$AG$25:$AG$30,A56,'1'!$AC$25:$AC$30)+SUMIF('2'!$AG$25:$AG$30,A56,'2'!$AC$25:$AC$30)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27">
        <f>IF(A56="","",COUNTIFS('1'!$AG$25:$AG$30,A56,'1'!$AD$25:$AD$30,"Underperform")+COUNTIFS('2'!$AG$25:$AG$30,A56,'2'!$AD$25:$AD$30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26" t="str">
        <f t="shared" ref="F56:F68" si="9">IF(D56="","",IF(D56&gt;=90,"Sangat Baik",IF(D56&gt;=80,"Baik",IF(D56&gt;=70,"Coaching","Underperform"))))</f>
        <v/>
      </c>
      <c r="G56" s="129"/>
    </row>
    <row r="57" ht="15.75" customHeight="1">
      <c r="A57" s="126" t="str">
        <f>IF($A$79="","",$A$79)</f>
        <v>ADDEL</v>
      </c>
      <c r="B57" s="126" t="str">
        <f>IF(A57="","",$B$79)</f>
        <v>Admin/CS</v>
      </c>
      <c r="C57" s="127">
        <f>IF(A57="","",SUMIF('1'!$AG$25:$AG$30,A57,'1'!$AF$25:$AF$30)+SUMIF('2'!$AG$25:$AG$30,A57,'2'!$AF$25:$AF$30)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28" t="str">
        <f>IF(OR(A57="",C57=0),"",(SUMIF('1'!$AG$25:$AG$30,A57,'1'!$AC$25:$AC$30)+SUMIF('2'!$AG$25:$AG$30,A57,'2'!$AC$25:$AC$30)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27">
        <f>IF(A57="","",COUNTIFS('1'!$AG$25:$AG$30,A57,'1'!$AD$25:$AD$30,"Underperform")+COUNTIFS('2'!$AG$25:$AG$30,A57,'2'!$AD$25:$AD$30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26" t="str">
        <f t="shared" si="9"/>
        <v/>
      </c>
      <c r="G57" s="129"/>
    </row>
    <row r="58" ht="15.75" customHeight="1">
      <c r="A58" s="126" t="str">
        <f>IF($A$80="","",$A$80)</f>
        <v>AMEL</v>
      </c>
      <c r="B58" s="126" t="str">
        <f>IF(A58="","",$B$80)</f>
        <v>Admin/CS</v>
      </c>
      <c r="C58" s="127">
        <f>IF(A58="","",SUMIF('1'!$AG$25:$AG$30,A58,'1'!$AF$25:$AF$30)+SUMIF('2'!$AG$25:$AG$30,A58,'2'!$AF$25:$AF$30)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0</v>
      </c>
      <c r="D58" s="128" t="str">
        <f>IF(OR(A58="",C58=0),"",(SUMIF('1'!$AG$25:$AG$30,A58,'1'!$AC$25:$AC$30)+SUMIF('2'!$AG$25:$AG$30,A58,'2'!$AC$25:$AC$30)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/>
      </c>
      <c r="E58" s="127">
        <f>IF(A58="","",COUNTIFS('1'!$AG$25:$AG$30,A58,'1'!$AD$25:$AD$30,"Underperform")+COUNTIFS('2'!$AG$25:$AG$30,A58,'2'!$AD$25:$AD$30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26" t="str">
        <f t="shared" si="9"/>
        <v/>
      </c>
      <c r="G58" s="129"/>
    </row>
    <row r="59" ht="15.75" customHeight="1">
      <c r="A59" s="126" t="str">
        <f>IF($A$81="","",$A$81)</f>
        <v>PENTIL</v>
      </c>
      <c r="B59" s="126" t="str">
        <f>IF(A59="","",$B$81)</f>
        <v>Admin/CS</v>
      </c>
      <c r="C59" s="127">
        <f>IF(A59="","",SUMIF('1'!$AG$25:$AG$30,A59,'1'!$AF$25:$AF$30)+SUMIF('2'!$AG$25:$AG$30,A59,'2'!$AF$25:$AF$30)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28" t="str">
        <f>IF(OR(A59="",C59=0),"",(SUMIF('1'!$AG$25:$AG$30,A59,'1'!$AC$25:$AC$30)+SUMIF('2'!$AG$25:$AG$30,A59,'2'!$AC$25:$AC$30)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27">
        <f>IF(A59="","",COUNTIFS('1'!$AG$25:$AG$30,A59,'1'!$AD$25:$AD$30,"Underperform")+COUNTIFS('2'!$AG$25:$AG$30,A59,'2'!$AD$25:$AD$30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26" t="str">
        <f t="shared" si="9"/>
        <v/>
      </c>
      <c r="G59" s="129"/>
    </row>
    <row r="60" ht="15.75" customHeight="1">
      <c r="A60" s="126" t="str">
        <f>IF($A$82="","",$A$82)</f>
        <v>JIJANG</v>
      </c>
      <c r="B60" s="126" t="str">
        <f>IF(A60="","",$B$82)</f>
        <v>Admin/CS</v>
      </c>
      <c r="C60" s="127">
        <f>IF(A60="","",SUMIF('1'!$AG$25:$AG$30,A60,'1'!$AF$25:$AF$30)+SUMIF('2'!$AG$25:$AG$30,A60,'2'!$AF$25:$AF$30)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28" t="str">
        <f>IF(OR(A60="",C60=0),"",(SUMIF('1'!$AG$25:$AG$30,A60,'1'!$AC$25:$AC$30)+SUMIF('2'!$AG$25:$AG$30,A60,'2'!$AC$25:$AC$30)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27">
        <f>IF(A60="","",COUNTIFS('1'!$AG$25:$AG$30,A60,'1'!$AD$25:$AD$30,"Underperform")+COUNTIFS('2'!$AG$25:$AG$30,A60,'2'!$AD$25:$AD$30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26" t="str">
        <f t="shared" si="9"/>
        <v/>
      </c>
      <c r="G60" s="129"/>
    </row>
    <row r="61" ht="15.75" customHeight="1">
      <c r="A61" s="126" t="str">
        <f>IF($A$83="","",$A$83)</f>
        <v>HANIF</v>
      </c>
      <c r="B61" s="126" t="str">
        <f>IF(A61="","",$B$83)</f>
        <v>Fotografer</v>
      </c>
      <c r="C61" s="127">
        <f>IF(A61="","",SUMIF('1'!$AG$25:$AG$30,A61,'1'!$AF$25:$AF$30)+SUMIF('2'!$AG$25:$AG$30,A61,'2'!$AF$25:$AF$30)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28" t="str">
        <f>IF(OR(A61="",C61=0),"",(SUMIF('1'!$AG$25:$AG$30,A61,'1'!$AC$25:$AC$30)+SUMIF('2'!$AG$25:$AG$30,A61,'2'!$AC$25:$AC$30)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27">
        <f>IF(A61="","",COUNTIFS('1'!$AG$25:$AG$30,A61,'1'!$AD$25:$AD$30,"Underperform")+COUNTIFS('2'!$AG$25:$AG$30,A61,'2'!$AD$25:$AD$30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26" t="str">
        <f t="shared" si="9"/>
        <v/>
      </c>
      <c r="G61" s="129"/>
    </row>
    <row r="62" ht="15.75" customHeight="1">
      <c r="A62" s="126" t="str">
        <f>IF($A$84="","",$A$84)</f>
        <v>FAHME</v>
      </c>
      <c r="B62" s="126" t="str">
        <f>IF(A62="","",$B$84)</f>
        <v>Fotografer</v>
      </c>
      <c r="C62" s="127">
        <f>IF(A62="","",SUMIF('1'!$AG$25:$AG$30,A62,'1'!$AF$25:$AF$30)+SUMIF('2'!$AG$25:$AG$30,A62,'2'!$AF$25:$AF$30)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28" t="str">
        <f>IF(OR(A62="",C62=0),"",(SUMIF('1'!$AG$25:$AG$30,A62,'1'!$AC$25:$AC$30)+SUMIF('2'!$AG$25:$AG$30,A62,'2'!$AC$25:$AC$30)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27">
        <f>IF(A62="","",COUNTIFS('1'!$AG$25:$AG$30,A62,'1'!$AD$25:$AD$30,"Underperform")+COUNTIFS('2'!$AG$25:$AG$30,A62,'2'!$AD$25:$AD$30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26" t="str">
        <f t="shared" si="9"/>
        <v/>
      </c>
      <c r="G62" s="129"/>
    </row>
    <row r="63" ht="15.75" customHeight="1">
      <c r="A63" s="126" t="str">
        <f>IF($A$85="","",$A$85)</f>
        <v>ADIF</v>
      </c>
      <c r="B63" s="126" t="str">
        <f>IF(A63="","",$B$85)</f>
        <v>Fotografer</v>
      </c>
      <c r="C63" s="127">
        <f>IF(A63="","",SUMIF('1'!$AG$25:$AG$30,A63,'1'!$AF$25:$AF$30)+SUMIF('2'!$AG$25:$AG$30,A63,'2'!$AF$25:$AF$30)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0</v>
      </c>
      <c r="D63" s="128" t="str">
        <f>IF(OR(A63="",C63=0),"",(SUMIF('1'!$AG$25:$AG$30,A63,'1'!$AC$25:$AC$30)+SUMIF('2'!$AG$25:$AG$30,A63,'2'!$AC$25:$AC$30)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/>
      </c>
      <c r="E63" s="127">
        <f>IF(A63="","",COUNTIFS('1'!$AG$25:$AG$30,A63,'1'!$AD$25:$AD$30,"Underperform")+COUNTIFS('2'!$AG$25:$AG$30,A63,'2'!$AD$25:$AD$30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26" t="str">
        <f t="shared" si="9"/>
        <v/>
      </c>
      <c r="G63" s="129"/>
    </row>
    <row r="64" ht="15.75" customHeight="1">
      <c r="A64" s="126" t="str">
        <f>IF($A$86="","",$A$86)</f>
        <v>ABROR</v>
      </c>
      <c r="B64" s="126" t="str">
        <f>IF(A64="","",$B$86)</f>
        <v>Fotografer</v>
      </c>
      <c r="C64" s="127">
        <f>IF(A64="","",SUMIF('1'!$AG$25:$AG$30,A64,'1'!$AF$25:$AF$30)+SUMIF('2'!$AG$25:$AG$30,A64,'2'!$AF$25:$AF$30)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28" t="str">
        <f>IF(OR(A64="",C64=0),"",(SUMIF('1'!$AG$25:$AG$30,A64,'1'!$AC$25:$AC$30)+SUMIF('2'!$AG$25:$AG$30,A64,'2'!$AC$25:$AC$30)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27">
        <f>IF(A64="","",COUNTIFS('1'!$AG$25:$AG$30,A64,'1'!$AD$25:$AD$30,"Underperform")+COUNTIFS('2'!$AG$25:$AG$30,A64,'2'!$AD$25:$AD$30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26" t="str">
        <f t="shared" si="9"/>
        <v/>
      </c>
      <c r="G64" s="129"/>
    </row>
    <row r="65" ht="15.75" customHeight="1">
      <c r="A65" s="126" t="str">
        <f>IF($A$87="","",$A$87)</f>
        <v>FADEL</v>
      </c>
      <c r="B65" s="126" t="str">
        <f>IF(A65="","",$B$87)</f>
        <v>Fotografer</v>
      </c>
      <c r="C65" s="127">
        <f>IF(A65="","",SUMIF('1'!$AG$25:$AG$30,A65,'1'!$AF$25:$AF$30)+SUMIF('2'!$AG$25:$AG$30,A65,'2'!$AF$25:$AF$30)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28" t="str">
        <f>IF(OR(A65="",C65=0),"",(SUMIF('1'!$AG$25:$AG$30,A65,'1'!$AC$25:$AC$30)+SUMIF('2'!$AG$25:$AG$30,A65,'2'!$AC$25:$AC$30)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27">
        <f>IF(A65="","",COUNTIFS('1'!$AG$25:$AG$30,A65,'1'!$AD$25:$AD$30,"Underperform")+COUNTIFS('2'!$AG$25:$AG$30,A65,'2'!$AD$25:$AD$30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26" t="str">
        <f t="shared" si="9"/>
        <v/>
      </c>
      <c r="G65" s="129"/>
    </row>
    <row r="66" ht="15.75" customHeight="1">
      <c r="A66" s="126" t="str">
        <f>IF($A$88="","",$A$88)</f>
        <v>SAKA</v>
      </c>
      <c r="B66" s="126" t="str">
        <f>IF(A66="","",$B$88)</f>
        <v>Fotografer</v>
      </c>
      <c r="C66" s="127">
        <f>IF(A66="","",SUMIF('1'!$AG$25:$AG$30,A66,'1'!$AF$25:$AF$30)+SUMIF('2'!$AG$25:$AG$30,A66,'2'!$AF$25:$AF$30)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28" t="str">
        <f>IF(OR(A66="",C66=0),"",(SUMIF('1'!$AG$25:$AG$30,A66,'1'!$AC$25:$AC$30)+SUMIF('2'!$AG$25:$AG$30,A66,'2'!$AC$25:$AC$30)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27">
        <f>IF(A66="","",COUNTIFS('1'!$AG$25:$AG$30,A66,'1'!$AD$25:$AD$30,"Underperform")+COUNTIFS('2'!$AG$25:$AG$30,A66,'2'!$AD$25:$AD$30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26" t="str">
        <f t="shared" si="9"/>
        <v/>
      </c>
      <c r="G66" s="129"/>
    </row>
    <row r="67" ht="15.75" customHeight="1">
      <c r="A67" s="126" t="str">
        <f>IF($A$89="","",$A$89)</f>
        <v/>
      </c>
      <c r="B67" s="126" t="str">
        <f>IF(A67="","",$B$89)</f>
        <v/>
      </c>
      <c r="C67" s="127" t="str">
        <f>IF(A67="","",SUMIF('1'!$K$25:$K$30,A67,'1'!$AF$25:$AF$30)+SUMIF('2'!$K$25:$K$30,A67,'2'!$AF$25:$AF$30)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28" t="str">
        <f>IF(OR(A67="",C67=0),"",(SUMIF('1'!$K$25:$K$30,A67,'1'!$AC$25:$AC$30)+SUMIF('2'!$K$25:$K$30,A67,'2'!$AC$25:$AC$30)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27" t="str">
        <f>IF(A67="","",COUNTIFS('1'!$K$25:$K$30,A67,'1'!$AD$25:$AD$30,"Underperform")+COUNTIFS('2'!$K$25:$K$30,A67,'2'!$AD$25:$AD$30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26" t="str">
        <f t="shared" si="9"/>
        <v/>
      </c>
      <c r="G67" s="129"/>
    </row>
    <row r="68" ht="15.75" customHeight="1">
      <c r="A68" s="126" t="str">
        <f>IF($A$90="","",$A$90)</f>
        <v/>
      </c>
      <c r="B68" s="126" t="str">
        <f>IF(A68="","",$B$90)</f>
        <v/>
      </c>
      <c r="C68" s="127" t="str">
        <f>IF(A68="","",SUMIF('1'!$K$25:$K$30,A68,'1'!$AF$25:$AF$30)+SUMIF('2'!$K$25:$K$30,A68,'2'!$AF$25:$AF$30)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28" t="str">
        <f>IF(OR(A68="",C68=0),"",(SUMIF('1'!$K$25:$K$30,A68,'1'!$AC$25:$AC$30)+SUMIF('2'!$K$25:$K$30,A68,'2'!$AC$25:$AC$30)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27" t="str">
        <f>IF(A68="","",COUNTIFS('1'!$K$25:$K$30,A68,'1'!$AD$25:$AD$30,"Underperform")+COUNTIFS('2'!$K$25:$K$30,A68,'2'!$AD$25:$AD$30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26" t="str">
        <f t="shared" si="9"/>
        <v/>
      </c>
      <c r="G68" s="129"/>
    </row>
    <row r="69" ht="15.75" customHeight="1"/>
    <row r="70" ht="15.75" customHeight="1">
      <c r="A70" s="132" t="s">
        <v>93</v>
      </c>
    </row>
    <row r="71" ht="15.75" customHeight="1">
      <c r="A71" s="13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34" t="s">
        <v>94</v>
      </c>
      <c r="B77" s="134" t="s">
        <v>95</v>
      </c>
      <c r="D77" s="121" t="s">
        <v>96</v>
      </c>
    </row>
    <row r="78" ht="15.75" customHeight="1">
      <c r="A78" s="130" t="s">
        <v>65</v>
      </c>
      <c r="B78" s="130" t="s">
        <v>80</v>
      </c>
      <c r="D78" s="135" t="s">
        <v>56</v>
      </c>
      <c r="E78" s="95">
        <f>SUM('1'!$L$35:$L$36)+SUM('2'!$L$35:$L$36)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</v>
      </c>
    </row>
    <row r="79" ht="15.75" customHeight="1">
      <c r="A79" s="130" t="s">
        <v>89</v>
      </c>
      <c r="B79" s="130" t="s">
        <v>80</v>
      </c>
      <c r="D79" s="135" t="s">
        <v>57</v>
      </c>
      <c r="E79" s="95">
        <f>SUM('1'!$M$35:$M$36)+SUM('2'!$M$35:$M$36)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30" t="s">
        <v>22</v>
      </c>
      <c r="B80" s="130" t="s">
        <v>80</v>
      </c>
      <c r="D80" s="135" t="s">
        <v>59</v>
      </c>
      <c r="E80" s="95">
        <f>SUM('1'!$M$39)+SUM('2'!$M$39)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49</v>
      </c>
    </row>
    <row r="81" ht="15.75" customHeight="1">
      <c r="A81" s="130" t="s">
        <v>97</v>
      </c>
      <c r="B81" s="130" t="s">
        <v>80</v>
      </c>
      <c r="D81" s="135" t="s">
        <v>60</v>
      </c>
      <c r="E81" s="95">
        <f>SUM('1'!$M$40)+SUM('2'!$M$40)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3</v>
      </c>
    </row>
    <row r="82" ht="15.75" customHeight="1">
      <c r="A82" s="130" t="s">
        <v>98</v>
      </c>
      <c r="B82" s="130" t="s">
        <v>80</v>
      </c>
      <c r="D82" s="135" t="s">
        <v>61</v>
      </c>
      <c r="E82" s="95">
        <f>SUM('1'!$M$41)+SUM('2'!$M$41)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2</v>
      </c>
    </row>
    <row r="83" ht="15.75" customHeight="1">
      <c r="A83" s="130" t="s">
        <v>87</v>
      </c>
      <c r="B83" s="130" t="s">
        <v>99</v>
      </c>
      <c r="D83" s="135" t="s">
        <v>62</v>
      </c>
      <c r="E83" s="95">
        <f>SUM('1'!$M$42)+SUM('2'!$M$42)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5</v>
      </c>
    </row>
    <row r="84" ht="15.75" customHeight="1">
      <c r="A84" s="130" t="s">
        <v>90</v>
      </c>
      <c r="B84" s="130" t="s">
        <v>99</v>
      </c>
      <c r="D84" s="135" t="s">
        <v>63</v>
      </c>
      <c r="E84" s="97">
        <f>IFERROR(E81/E80,0)</f>
        <v>0.0612244898</v>
      </c>
    </row>
    <row r="85" ht="15.75" customHeight="1">
      <c r="A85" s="130" t="s">
        <v>29</v>
      </c>
      <c r="B85" s="130" t="s">
        <v>99</v>
      </c>
    </row>
    <row r="86" ht="15.75" customHeight="1">
      <c r="A86" s="130" t="s">
        <v>100</v>
      </c>
      <c r="B86" s="130" t="s">
        <v>99</v>
      </c>
    </row>
    <row r="87" ht="15.75" customHeight="1">
      <c r="A87" s="130" t="s">
        <v>101</v>
      </c>
      <c r="B87" s="130" t="s">
        <v>99</v>
      </c>
    </row>
    <row r="88" ht="15.75" customHeight="1">
      <c r="A88" s="130" t="s">
        <v>102</v>
      </c>
      <c r="B88" s="130" t="s">
        <v>99</v>
      </c>
    </row>
    <row r="89" ht="15.75" customHeight="1">
      <c r="A89" s="130"/>
      <c r="B89" s="130"/>
    </row>
    <row r="90" ht="15.75" customHeight="1">
      <c r="A90" s="130"/>
      <c r="B90" s="13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/>
      <c r="D4" s="17"/>
      <c r="E4" s="16"/>
      <c r="F4" s="19"/>
      <c r="G4" s="51"/>
      <c r="H4" s="26"/>
      <c r="I4" s="14"/>
      <c r="J4" s="14"/>
      <c r="K4" s="14"/>
      <c r="L4" s="14"/>
      <c r="M4" s="14"/>
      <c r="N4" s="30"/>
      <c r="O4" s="30"/>
      <c r="P4" s="32"/>
      <c r="Q4" s="1"/>
      <c r="R4" s="1"/>
    </row>
    <row r="5" ht="15.75" customHeight="1">
      <c r="A5" s="1"/>
      <c r="B5" s="14">
        <v>2.0</v>
      </c>
      <c r="C5" s="15"/>
      <c r="D5" s="17"/>
      <c r="E5" s="16"/>
      <c r="F5" s="19"/>
      <c r="G5" s="51"/>
      <c r="H5" s="26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/>
      <c r="D6" s="17"/>
      <c r="E6" s="16"/>
      <c r="F6" s="14"/>
      <c r="G6" s="51"/>
      <c r="H6" s="26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/>
      <c r="D7" s="17"/>
      <c r="E7" s="16"/>
      <c r="F7" s="14"/>
      <c r="G7" s="51"/>
      <c r="H7" s="26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/>
      <c r="D8" s="17"/>
      <c r="E8" s="16"/>
      <c r="F8" s="14"/>
      <c r="G8" s="51"/>
      <c r="H8" s="26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15"/>
      <c r="D9" s="17"/>
      <c r="E9" s="16"/>
      <c r="F9" s="14"/>
      <c r="G9" s="51"/>
      <c r="H9" s="26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/>
      <c r="D10" s="17"/>
      <c r="E10" s="16"/>
      <c r="F10" s="14"/>
      <c r="G10" s="51"/>
      <c r="H10" s="26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/>
      <c r="D11" s="17"/>
      <c r="E11" s="16"/>
      <c r="F11" s="14"/>
      <c r="G11" s="51"/>
      <c r="H11" s="26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15"/>
      <c r="D12" s="17"/>
      <c r="E12" s="16"/>
      <c r="F12" s="14"/>
      <c r="G12" s="51"/>
      <c r="H12" s="26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15"/>
      <c r="D13" s="17"/>
      <c r="E13" s="16"/>
      <c r="F13" s="14"/>
      <c r="G13" s="51"/>
      <c r="H13" s="26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4"/>
      <c r="C14" s="15"/>
      <c r="D14" s="17"/>
      <c r="E14" s="16"/>
      <c r="F14" s="14"/>
      <c r="G14" s="51"/>
      <c r="H14" s="26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4"/>
      <c r="C15" s="15"/>
      <c r="D15" s="17"/>
      <c r="E15" s="16"/>
      <c r="F15" s="14"/>
      <c r="G15" s="51"/>
      <c r="H15" s="26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5.75" customHeight="1">
      <c r="A16" s="1"/>
      <c r="B16" s="14"/>
      <c r="C16" s="15"/>
      <c r="D16" s="17"/>
      <c r="E16" s="16"/>
      <c r="F16" s="14"/>
      <c r="G16" s="51"/>
      <c r="H16" s="26"/>
      <c r="I16" s="14"/>
      <c r="J16" s="14"/>
      <c r="K16" s="14"/>
      <c r="L16" s="14"/>
      <c r="M16" s="14"/>
      <c r="N16" s="34"/>
      <c r="O16" s="34"/>
      <c r="P16" s="34"/>
      <c r="Q16" s="1"/>
      <c r="R16" s="1"/>
    </row>
    <row r="17" ht="15.75" customHeight="1">
      <c r="A17" s="1"/>
      <c r="B17" s="14"/>
      <c r="C17" s="15"/>
      <c r="D17" s="17"/>
      <c r="E17" s="16"/>
      <c r="F17" s="14"/>
      <c r="G17" s="51"/>
      <c r="H17" s="26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5.75" customHeight="1">
      <c r="A18" s="1"/>
      <c r="B18" s="14"/>
      <c r="C18" s="15"/>
      <c r="D18" s="17"/>
      <c r="E18" s="16"/>
      <c r="F18" s="14"/>
      <c r="G18" s="51"/>
      <c r="H18" s="26"/>
      <c r="I18" s="14"/>
      <c r="J18" s="14"/>
      <c r="K18" s="14"/>
      <c r="L18" s="14"/>
      <c r="M18" s="14"/>
      <c r="N18" s="34"/>
      <c r="O18" s="34"/>
      <c r="P18" s="34"/>
      <c r="Q18" s="1"/>
      <c r="R18" s="1"/>
    </row>
    <row r="19" ht="15.75" customHeight="1">
      <c r="A19" s="1"/>
      <c r="B19" s="14"/>
      <c r="C19" s="15"/>
      <c r="D19" s="17"/>
      <c r="E19" s="16"/>
      <c r="F19" s="14"/>
      <c r="G19" s="51"/>
      <c r="H19" s="26"/>
      <c r="I19" s="14"/>
      <c r="J19" s="14"/>
      <c r="K19" s="14"/>
      <c r="L19" s="14"/>
      <c r="M19" s="14"/>
      <c r="N19" s="34"/>
      <c r="O19" s="34"/>
      <c r="P19" s="34"/>
      <c r="Q19" s="1"/>
      <c r="R19" s="1"/>
    </row>
    <row r="20" ht="15.75" customHeight="1">
      <c r="A20" s="1"/>
      <c r="B20" s="14"/>
      <c r="C20" s="15"/>
      <c r="D20" s="17"/>
      <c r="E20" s="16"/>
      <c r="F20" s="14"/>
      <c r="G20" s="51"/>
      <c r="H20" s="26"/>
      <c r="I20" s="14"/>
      <c r="J20" s="14"/>
      <c r="K20" s="14"/>
      <c r="L20" s="14"/>
      <c r="M20" s="14"/>
      <c r="N20" s="34"/>
      <c r="O20" s="34"/>
      <c r="P20" s="34"/>
      <c r="Q20" s="1"/>
      <c r="R20" s="1"/>
    </row>
    <row r="21" ht="15.75" customHeight="1">
      <c r="A21" s="1"/>
      <c r="B21" s="14"/>
      <c r="C21" s="15"/>
      <c r="D21" s="17"/>
      <c r="E21" s="16"/>
      <c r="F21" s="14"/>
      <c r="G21" s="51"/>
      <c r="H21" s="26"/>
      <c r="I21" s="14"/>
      <c r="J21" s="14"/>
      <c r="K21" s="14"/>
      <c r="L21" s="14"/>
      <c r="M21" s="14"/>
      <c r="N21" s="34"/>
      <c r="O21" s="34"/>
      <c r="P21" s="34"/>
      <c r="Q21" s="1"/>
      <c r="R21" s="1"/>
    </row>
    <row r="22" ht="15.75" customHeight="1">
      <c r="A22" s="1"/>
      <c r="B22" s="14"/>
      <c r="C22" s="15"/>
      <c r="D22" s="17"/>
      <c r="E22" s="16"/>
      <c r="F22" s="14"/>
      <c r="G22" s="51"/>
      <c r="H22" s="26"/>
      <c r="I22" s="14"/>
      <c r="J22" s="14"/>
      <c r="K22" s="14"/>
      <c r="L22" s="14"/>
      <c r="M22" s="14"/>
      <c r="N22" s="34"/>
      <c r="O22" s="34"/>
      <c r="P22" s="34"/>
      <c r="Q22" s="1"/>
      <c r="R22" s="1"/>
    </row>
    <row r="23" ht="15.75" customHeight="1">
      <c r="A23" s="1"/>
      <c r="B23" s="14"/>
      <c r="C23" s="15"/>
      <c r="D23" s="17"/>
      <c r="E23" s="16"/>
      <c r="F23" s="14"/>
      <c r="G23" s="51"/>
      <c r="H23" s="26"/>
      <c r="I23" s="14"/>
      <c r="J23" s="14"/>
      <c r="K23" s="14"/>
      <c r="L23" s="14"/>
      <c r="M23" s="14"/>
      <c r="N23" s="34"/>
      <c r="O23" s="34"/>
      <c r="P23" s="34"/>
      <c r="Q23" s="1"/>
      <c r="R23" s="1"/>
    </row>
    <row r="24" ht="15.75" customHeight="1">
      <c r="A24" s="1"/>
      <c r="B24" s="14"/>
      <c r="C24" s="15"/>
      <c r="D24" s="17"/>
      <c r="E24" s="16"/>
      <c r="F24" s="14"/>
      <c r="G24" s="51"/>
      <c r="H24" s="26"/>
      <c r="I24" s="14"/>
      <c r="J24" s="14"/>
      <c r="K24" s="14"/>
      <c r="L24" s="14"/>
      <c r="M24" s="14"/>
      <c r="N24" s="34"/>
      <c r="O24" s="34"/>
      <c r="P24" s="34"/>
      <c r="Q24" s="1"/>
      <c r="R24" s="1"/>
    </row>
    <row r="25" ht="15.75" customHeight="1">
      <c r="A25" s="1"/>
      <c r="B25" s="14"/>
      <c r="C25" s="15"/>
      <c r="D25" s="17"/>
      <c r="E25" s="16"/>
      <c r="F25" s="14"/>
      <c r="G25" s="51"/>
      <c r="H25" s="26"/>
      <c r="I25" s="14"/>
      <c r="J25" s="14"/>
      <c r="K25" s="14"/>
      <c r="L25" s="14"/>
      <c r="M25" s="14"/>
      <c r="N25" s="34"/>
      <c r="O25" s="34"/>
      <c r="P25" s="34"/>
      <c r="Q25" s="1"/>
      <c r="R25" s="1"/>
    </row>
    <row r="26" ht="15.75" customHeight="1">
      <c r="A26" s="1"/>
      <c r="B26" s="14"/>
      <c r="C26" s="15"/>
      <c r="D26" s="17"/>
      <c r="E26" s="16"/>
      <c r="F26" s="14"/>
      <c r="G26" s="51"/>
      <c r="H26" s="26"/>
      <c r="I26" s="14"/>
      <c r="J26" s="14"/>
      <c r="K26" s="14"/>
      <c r="L26" s="14"/>
      <c r="M26" s="14"/>
      <c r="N26" s="34"/>
      <c r="O26" s="34"/>
      <c r="P26" s="34"/>
      <c r="Q26" s="1"/>
      <c r="R26" s="1"/>
    </row>
    <row r="27" ht="15.75" customHeight="1">
      <c r="A27" s="1"/>
      <c r="B27" s="14"/>
      <c r="C27" s="15"/>
      <c r="D27" s="17"/>
      <c r="E27" s="16"/>
      <c r="F27" s="14"/>
      <c r="G27" s="51"/>
      <c r="H27" s="26"/>
      <c r="I27" s="14"/>
      <c r="J27" s="14"/>
      <c r="K27" s="14"/>
      <c r="L27" s="14"/>
      <c r="M27" s="14"/>
      <c r="N27" s="34"/>
      <c r="O27" s="34"/>
      <c r="P27" s="34"/>
      <c r="Q27" s="1"/>
      <c r="R27" s="1"/>
    </row>
    <row r="28" ht="15.75" customHeight="1">
      <c r="A28" s="1"/>
      <c r="B28" s="14"/>
      <c r="C28" s="15"/>
      <c r="D28" s="17"/>
      <c r="E28" s="16"/>
      <c r="F28" s="14"/>
      <c r="G28" s="51"/>
      <c r="H28" s="26"/>
      <c r="I28" s="14"/>
      <c r="J28" s="14"/>
      <c r="K28" s="14"/>
      <c r="L28" s="14"/>
      <c r="M28" s="14"/>
      <c r="N28" s="34"/>
      <c r="O28" s="34"/>
      <c r="P28" s="34"/>
      <c r="Q28" s="1"/>
      <c r="R28" s="1"/>
    </row>
    <row r="29" ht="15.75" customHeight="1">
      <c r="A29" s="1"/>
      <c r="B29" s="14"/>
      <c r="C29" s="15"/>
      <c r="D29" s="17"/>
      <c r="E29" s="16"/>
      <c r="F29" s="14"/>
      <c r="G29" s="51"/>
      <c r="H29" s="26"/>
      <c r="I29" s="14"/>
      <c r="J29" s="14"/>
      <c r="K29" s="14"/>
      <c r="L29" s="14"/>
      <c r="M29" s="14"/>
      <c r="N29" s="34"/>
      <c r="O29" s="34"/>
      <c r="P29" s="34"/>
      <c r="Q29" s="1"/>
      <c r="R29" s="1"/>
    </row>
    <row r="30" ht="15.75" customHeight="1">
      <c r="A30" s="1"/>
      <c r="B30" s="14"/>
      <c r="C30" s="15"/>
      <c r="D30" s="17"/>
      <c r="E30" s="16"/>
      <c r="F30" s="14"/>
      <c r="G30" s="51"/>
      <c r="H30" s="26"/>
      <c r="I30" s="14"/>
      <c r="J30" s="14"/>
      <c r="K30" s="14"/>
      <c r="L30" s="14"/>
      <c r="M30" s="14"/>
      <c r="N30" s="34"/>
      <c r="O30" s="34"/>
      <c r="P30" s="34"/>
      <c r="Q30" s="1"/>
      <c r="R30" s="1"/>
    </row>
    <row r="31" ht="15.75" customHeight="1">
      <c r="A31" s="1"/>
      <c r="B31" s="14"/>
      <c r="C31" s="15"/>
      <c r="D31" s="17"/>
      <c r="E31" s="16"/>
      <c r="F31" s="14"/>
      <c r="G31" s="51"/>
      <c r="H31" s="26"/>
      <c r="I31" s="14"/>
      <c r="J31" s="14"/>
      <c r="K31" s="14"/>
      <c r="L31" s="14"/>
      <c r="M31" s="14"/>
      <c r="N31" s="34"/>
      <c r="O31" s="34"/>
      <c r="P31" s="34"/>
      <c r="Q31" s="1"/>
      <c r="R31" s="1"/>
    </row>
    <row r="32" ht="15.75" customHeight="1">
      <c r="A32" s="1"/>
      <c r="B32" s="14"/>
      <c r="C32" s="15"/>
      <c r="D32" s="17"/>
      <c r="E32" s="16"/>
      <c r="F32" s="14"/>
      <c r="G32" s="51"/>
      <c r="H32" s="26"/>
      <c r="I32" s="14"/>
      <c r="J32" s="14"/>
      <c r="K32" s="14"/>
      <c r="L32" s="14"/>
      <c r="M32" s="14"/>
      <c r="N32" s="34"/>
      <c r="O32" s="34"/>
      <c r="P32" s="34"/>
      <c r="Q32" s="1"/>
      <c r="R32" s="1"/>
    </row>
    <row r="33" ht="15.75" customHeight="1">
      <c r="A33" s="1"/>
      <c r="B33" s="14"/>
      <c r="C33" s="15"/>
      <c r="D33" s="17"/>
      <c r="E33" s="16"/>
      <c r="F33" s="14"/>
      <c r="G33" s="51"/>
      <c r="H33" s="26"/>
      <c r="I33" s="14"/>
      <c r="J33" s="14"/>
      <c r="K33" s="14"/>
      <c r="L33" s="14"/>
      <c r="M33" s="14"/>
      <c r="N33" s="34"/>
      <c r="O33" s="34"/>
      <c r="P33" s="34"/>
      <c r="Q33" s="1"/>
      <c r="R33" s="1"/>
    </row>
    <row r="34" ht="15.75" customHeight="1">
      <c r="A34" s="1"/>
      <c r="B34" s="14"/>
      <c r="C34" s="15"/>
      <c r="D34" s="17"/>
      <c r="E34" s="16"/>
      <c r="F34" s="14"/>
      <c r="G34" s="51"/>
      <c r="H34" s="26"/>
      <c r="I34" s="14"/>
      <c r="J34" s="14"/>
      <c r="K34" s="14"/>
      <c r="L34" s="14"/>
      <c r="M34" s="14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50">
        <f t="shared" ref="G35:H35" si="1">SUM(G4:G34)</f>
        <v>0</v>
      </c>
      <c r="H35" s="5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5" t="s">
        <v>0</v>
      </c>
      <c r="C38" s="56" t="s">
        <v>6</v>
      </c>
      <c r="D38" s="56" t="s">
        <v>36</v>
      </c>
      <c r="E38" s="1"/>
      <c r="F38" s="1"/>
      <c r="G38" s="1"/>
      <c r="H38" s="1"/>
      <c r="I38" s="1"/>
      <c r="J38" s="1"/>
      <c r="K38" s="1"/>
      <c r="L38" s="1"/>
      <c r="M38" s="1"/>
      <c r="N38" s="56" t="s">
        <v>37</v>
      </c>
      <c r="O38" s="56" t="s">
        <v>1</v>
      </c>
      <c r="P38" s="1"/>
      <c r="Q38" s="1"/>
      <c r="R38" s="1"/>
    </row>
    <row r="39" ht="15.75" customHeight="1">
      <c r="A39" s="1"/>
      <c r="B39" s="57">
        <v>1.0</v>
      </c>
      <c r="C39" s="58" t="s">
        <v>38</v>
      </c>
      <c r="D39" s="59">
        <f>SUM(G35)</f>
        <v>0</v>
      </c>
      <c r="E39" s="60"/>
      <c r="F39" s="1"/>
      <c r="G39" s="1"/>
      <c r="H39" s="1"/>
      <c r="I39" s="1"/>
      <c r="J39" s="1"/>
      <c r="K39" s="1"/>
      <c r="L39" s="1"/>
      <c r="M39" s="1"/>
      <c r="N39" s="61" t="s">
        <v>39</v>
      </c>
      <c r="O39" s="30"/>
      <c r="P39" s="1"/>
      <c r="Q39" s="1"/>
      <c r="R39" s="1"/>
    </row>
    <row r="40" ht="15.75" customHeight="1">
      <c r="A40" s="1"/>
      <c r="B40" s="62">
        <v>2.0</v>
      </c>
      <c r="C40" s="63"/>
      <c r="D40" s="64"/>
      <c r="E40" s="60"/>
      <c r="F40" s="1"/>
      <c r="G40" s="1"/>
      <c r="H40" s="1"/>
      <c r="I40" s="1"/>
      <c r="J40" s="1"/>
      <c r="K40" s="1"/>
      <c r="L40" s="1"/>
      <c r="M40" s="1"/>
      <c r="N40" s="65" t="s">
        <v>40</v>
      </c>
      <c r="O40" s="66"/>
      <c r="P40" s="1"/>
      <c r="Q40" s="1"/>
      <c r="R40" s="1"/>
    </row>
    <row r="41" ht="15.75" customHeight="1">
      <c r="A41" s="1"/>
      <c r="B41" s="57">
        <v>3.0</v>
      </c>
      <c r="C41" s="58"/>
      <c r="D41" s="59"/>
      <c r="E41" s="60"/>
      <c r="F41" s="1"/>
      <c r="G41" s="1"/>
      <c r="H41" s="1"/>
      <c r="I41" s="1"/>
      <c r="J41" s="1"/>
      <c r="K41" s="1"/>
      <c r="L41" s="1"/>
      <c r="M41" s="1"/>
      <c r="N41" s="67" t="s">
        <v>41</v>
      </c>
      <c r="O41" s="34"/>
      <c r="P41" s="1"/>
      <c r="Q41" s="1"/>
      <c r="R41" s="1"/>
    </row>
    <row r="42" ht="15.75" customHeight="1">
      <c r="A42" s="1"/>
      <c r="B42" s="62">
        <v>4.0</v>
      </c>
      <c r="C42" s="63"/>
      <c r="D42" s="64"/>
      <c r="E42" s="60"/>
      <c r="F42" s="1"/>
      <c r="G42" s="1"/>
      <c r="H42" s="1"/>
      <c r="I42" s="1"/>
      <c r="J42" s="1"/>
      <c r="K42" s="1"/>
      <c r="L42" s="1"/>
      <c r="M42" s="1"/>
      <c r="N42" s="71" t="s">
        <v>42</v>
      </c>
      <c r="O42" s="66"/>
      <c r="P42" s="1"/>
      <c r="Q42" s="1"/>
      <c r="R42" s="1"/>
    </row>
    <row r="43" ht="15.75" customHeight="1">
      <c r="A43" s="1"/>
      <c r="B43" s="57"/>
      <c r="C43" s="58"/>
      <c r="D43" s="59"/>
      <c r="E43" s="60"/>
      <c r="F43" s="1"/>
      <c r="G43" s="1"/>
      <c r="H43" s="1"/>
      <c r="I43" s="1"/>
      <c r="J43" s="1"/>
      <c r="K43" s="1"/>
      <c r="L43" s="1"/>
      <c r="M43" s="1"/>
      <c r="N43" s="72"/>
      <c r="O43" s="1"/>
      <c r="P43" s="1"/>
      <c r="Q43" s="1"/>
      <c r="R43" s="1"/>
    </row>
    <row r="44" ht="15.75" customHeight="1">
      <c r="A44" s="1"/>
      <c r="B44" s="62"/>
      <c r="C44" s="63"/>
      <c r="D44" s="64"/>
      <c r="E44" s="6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57"/>
      <c r="C45" s="58"/>
      <c r="D45" s="59"/>
      <c r="E45" s="6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2"/>
      <c r="C46" s="63"/>
      <c r="D46" s="64"/>
      <c r="E46" s="6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57"/>
      <c r="C47" s="58"/>
      <c r="D47" s="59"/>
      <c r="E47" s="6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2"/>
      <c r="C48" s="63"/>
      <c r="D48" s="64"/>
      <c r="E48" s="6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83"/>
      <c r="C49" s="84"/>
      <c r="D49" s="85"/>
      <c r="E49" s="6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8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17" t="s">
        <v>66</v>
      </c>
      <c r="AU1" s="78" t="s">
        <v>67</v>
      </c>
    </row>
    <row r="2">
      <c r="A2" s="118" t="s">
        <v>68</v>
      </c>
      <c r="AU2" s="78">
        <v>1.0</v>
      </c>
    </row>
    <row r="3">
      <c r="AU3" s="78">
        <v>2.0</v>
      </c>
    </row>
    <row r="4">
      <c r="A4" s="119" t="s">
        <v>69</v>
      </c>
      <c r="AU4" s="78">
        <v>3.0</v>
      </c>
      <c r="AV4" s="78">
        <v>1.0</v>
      </c>
      <c r="AW4" s="78">
        <v>2.0</v>
      </c>
      <c r="AX4" s="78">
        <v>3.0</v>
      </c>
      <c r="AY4" s="78">
        <v>4.0</v>
      </c>
      <c r="AZ4" s="78">
        <v>5.0</v>
      </c>
      <c r="BA4" s="78">
        <v>6.0</v>
      </c>
      <c r="BB4" s="78">
        <v>7.0</v>
      </c>
      <c r="BC4" s="78">
        <v>8.0</v>
      </c>
      <c r="BD4" s="78">
        <v>9.0</v>
      </c>
      <c r="BE4" s="78">
        <v>10.0</v>
      </c>
      <c r="BF4" s="78">
        <v>11.0</v>
      </c>
      <c r="BG4" s="78">
        <v>12.0</v>
      </c>
      <c r="BH4" s="78">
        <v>13.0</v>
      </c>
      <c r="BI4" s="78">
        <v>14.0</v>
      </c>
      <c r="BJ4" s="78">
        <v>15.0</v>
      </c>
      <c r="BK4" s="78">
        <v>16.0</v>
      </c>
      <c r="BL4" s="78">
        <v>17.0</v>
      </c>
      <c r="BM4" s="78">
        <v>18.0</v>
      </c>
      <c r="BN4" s="78">
        <v>19.0</v>
      </c>
      <c r="BO4" s="78">
        <v>20.0</v>
      </c>
      <c r="BP4" s="78">
        <v>21.0</v>
      </c>
      <c r="BQ4" s="78">
        <v>22.0</v>
      </c>
      <c r="BR4" s="78">
        <v>23.0</v>
      </c>
      <c r="BS4" s="78">
        <v>24.0</v>
      </c>
      <c r="BT4" s="78">
        <v>25.0</v>
      </c>
      <c r="BU4" s="78">
        <v>26.0</v>
      </c>
      <c r="BV4" s="78">
        <v>27.0</v>
      </c>
      <c r="BW4" s="78">
        <v>28.0</v>
      </c>
      <c r="BX4" s="78">
        <v>29.0</v>
      </c>
      <c r="BY4" s="78">
        <v>30.0</v>
      </c>
      <c r="BZ4" s="78">
        <v>31.0</v>
      </c>
      <c r="CA4" s="78" t="s">
        <v>70</v>
      </c>
      <c r="CB4" s="78" t="s">
        <v>71</v>
      </c>
    </row>
    <row r="5">
      <c r="A5" s="120" t="s">
        <v>72</v>
      </c>
      <c r="B5" s="120" t="s">
        <v>2</v>
      </c>
      <c r="C5" s="120" t="s">
        <v>73</v>
      </c>
      <c r="D5" s="120" t="s">
        <v>74</v>
      </c>
      <c r="E5" s="120" t="s">
        <v>75</v>
      </c>
      <c r="X5" s="78" t="s">
        <v>33</v>
      </c>
      <c r="Y5" s="78">
        <f>COUNTIF('1'!$D$4:$D$16,X5)+COUNTIF('2'!$D$4:$D$16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1</v>
      </c>
      <c r="Z5" s="78">
        <f t="shared" ref="Z5:Z17" si="1">Y5+(18-ROW())/100000</f>
        <v>1.00013</v>
      </c>
      <c r="AA5" s="78" t="s">
        <v>65</v>
      </c>
      <c r="AB5" s="78" t="s">
        <v>80</v>
      </c>
      <c r="AC5" s="78">
        <f>COUNTIF('1'!$O$18:$O$21,AA5)+COUNTIF('2'!$O$18:$O$21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78">
        <f t="shared" ref="AD5:AD15" si="2">AC5+(16-ROW())/100000</f>
        <v>0.00011</v>
      </c>
      <c r="AE5" s="78" t="s">
        <v>65</v>
      </c>
      <c r="AF5" s="78">
        <f>COUNTIF('1'!$L$4:$L$16,AE5)+COUNTIF('2'!$L$4:$L$16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78">
        <f t="shared" ref="AG5:AG9" si="3">AF5+(10-ROW())/100000</f>
        <v>0.00005</v>
      </c>
      <c r="AH5" s="78" t="s">
        <v>87</v>
      </c>
      <c r="AI5" s="78">
        <f>COUNTIF('1'!$M$4:$M$16,AH5)+COUNTIF('2'!$M$4:$M$16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78">
        <f t="shared" ref="AJ5:AJ10" si="4">AI5+(11-ROW())/100000</f>
        <v>0.00006</v>
      </c>
      <c r="AK5" s="78" t="s">
        <v>65</v>
      </c>
      <c r="AL5" s="78" t="s">
        <v>80</v>
      </c>
      <c r="AM5" s="78">
        <f>COUNTIFS('1'!$AG$25:$AG$30,AK5,'1'!$AF$25:$AF$30,1)+COUNTIFS('2'!$AG$25:$AG$30,AK5,'2'!$AF$25:$AF$30,1)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78" t="str">
        <f t="shared" ref="AN5:AN15" si="5">IF(AM5=0,"",AO5/5*20+AP5/5*25+AQ5/5*25+AR5/5*15+AS5/5*15)</f>
        <v/>
      </c>
      <c r="AO5" s="78" t="str">
        <f>IF(AM5=0,"",(SUMIFS('1'!$L$25:$L$30,'1'!$AG$25:$AG$30,AK5,'1'!$AF$25:$AF$30,1)+SUMIFS('2'!$L$25:$L$30,'2'!$AG$25:$AG$30,AK5,'2'!$AF$25:$AF$30,1)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78" t="str">
        <f>IF(AM5=0,"",(SUMIFS('1'!$M$25:$M$30,'1'!$AG$25:$AG$30,AK5,'1'!$AF$25:$AF$30,1)+SUMIFS('2'!$M$25:$M$30,'2'!$AG$25:$AG$30,AK5,'2'!$AF$25:$AF$30,1)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78" t="str">
        <f>IF(AM5=0,"",(SUMIFS('1'!$N$25:$N$30,'1'!$AG$25:$AG$30,AK5,'1'!$AF$25:$AF$30,1)+SUMIFS('2'!$N$25:$N$30,'2'!$AG$25:$AG$30,AK5,'2'!$AF$25:$AF$30,1)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78" t="str">
        <f>IF(AM5=0,"",(SUMIFS('1'!$O$25:$O$30,'1'!$AG$25:$AG$30,AK5,'1'!$AF$25:$AF$30,1)+SUMIFS('2'!$O$25:$O$30,'2'!$AG$25:$AG$30,AK5,'2'!$AF$25:$AF$30,1)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78" t="str">
        <f>IF(AM5=0,"",(SUMIFS('1'!$P$25:$P$30,'1'!$AG$25:$AG$30,AK5,'1'!$AF$25:$AF$30,1)+SUMIFS('2'!$P$25:$P$30,'2'!$AG$25:$AG$30,AK5,'2'!$AF$25:$AF$30,1)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78">
        <v>4.0</v>
      </c>
      <c r="AV5" s="78" t="str">
        <f>IF(COUNTIFS('1'!$AG$25:$AG$30,$AK5,'1'!$AF$25:$AF$30,1)=0,"",SUMIFS('1'!$AC$25:$AC$30,'1'!$AG$25:$AG$30,$AK5,'1'!$AF$25:$AF$30,1)/COUNTIFS('1'!$AG$25:$AG$30,$AK5,'1'!$AF$25:$AF$30,1))</f>
        <v/>
      </c>
      <c r="AW5" s="78" t="str">
        <f>IF(COUNTIFS('2'!$AG$25:$AG$30,$AK5,'2'!$AF$25:$AF$30,1)=0,"",SUMIFS('2'!$AC$25:$AC$30,'2'!$AG$25:$AG$30,$AK5,'2'!$AF$25:$AF$30,1)/COUNTIFS('2'!$AG$25:$AG$30,$AK5,'2'!$AF$25:$AF$30,1))</f>
        <v/>
      </c>
      <c r="AX5" s="78" t="str">
        <f>IF(COUNTIFS('3'!$AG$24:$AG$29,$AK5,'3'!$AF$24:$AF$29,1)=0,"",SUMIFS('3'!$AC$24:$AC$29,'3'!$AG$24:$AG$29,$AK5,'3'!$AF$24:$AF$29,1)/COUNTIFS('3'!$AG$24:$AG$29,$AK5,'3'!$AF$24:$AF$29,1))</f>
        <v/>
      </c>
      <c r="AY5" s="78" t="str">
        <f>IF(COUNTIFS('4'!$AG$25:$AG$30,$AK5,'4'!$AF$25:$AF$30,1)=0,"",SUMIFS('4'!$AC$25:$AC$30,'4'!$AG$25:$AG$30,$AK5,'4'!$AF$25:$AF$30,1)/COUNTIFS('4'!$AG$25:$AG$30,$AK5,'4'!$AF$25:$AF$30,1))</f>
        <v/>
      </c>
      <c r="AZ5" s="78" t="str">
        <f>IF(COUNTIFS('5'!$AG$25:$AG$30,$AK5,'5'!$AF$25:$AF$30,1)=0,"",SUMIFS('5'!$AC$25:$AC$30,'5'!$AG$25:$AG$30,$AK5,'5'!$AF$25:$AF$30,1)/COUNTIFS('5'!$AG$25:$AG$30,$AK5,'5'!$AF$25:$AF$30,1))</f>
        <v/>
      </c>
      <c r="BA5" s="78" t="str">
        <f>IF(COUNTIFS('6'!$AG$25:$AG$30,$AK5,'6'!$AF$25:$AF$30,1)=0,"",SUMIFS('6'!$AC$25:$AC$30,'6'!$AG$25:$AG$30,$AK5,'6'!$AF$25:$AF$30,1)/COUNTIFS('6'!$AG$25:$AG$30,$AK5,'6'!$AF$25:$AF$30,1))</f>
        <v/>
      </c>
      <c r="BB5" s="78" t="str">
        <f>IF(COUNTIFS('7'!$AG$30:$AG$35,$AK5,'7'!$AF$30:$AF$35,1)=0,"",SUMIFS('7'!$AC$30:$AC$35,'7'!$AG$30:$AG$35,$AK5,'7'!$AF$30:$AF$35,1)/COUNTIFS('7'!$AG$30:$AG$35,$AK5,'7'!$AF$30:$AF$35,1))</f>
        <v/>
      </c>
      <c r="BC5" s="78" t="str">
        <f>IF(COUNTIFS('8'!$AG$25:$AG$30,$AK5,'8'!$AF$25:$AF$30,1)=0,"",SUMIFS('8'!$AC$25:$AC$30,'8'!$AG$25:$AG$30,$AK5,'8'!$AF$25:$AF$30,1)/COUNTIFS('8'!$AG$25:$AG$30,$AK5,'8'!$AF$25:$AF$30,1))</f>
        <v/>
      </c>
      <c r="BD5" s="78" t="str">
        <f>IF(COUNTIFS('9'!$AG$25:$AG$30,$AK5,'9'!$AF$25:$AF$30,1)=0,"",SUMIFS('9'!$AC$25:$AC$30,'9'!$AG$25:$AG$30,$AK5,'9'!$AF$25:$AF$30,1)/COUNTIFS('9'!$AG$25:$AG$30,$AK5,'9'!$AF$25:$AF$30,1))</f>
        <v/>
      </c>
      <c r="BE5" s="78" t="str">
        <f>IF(COUNTIFS('10'!$AG$25:$AG$30,$AK5,'10'!$AF$25:$AF$30,1)=0,"",SUMIFS('10'!$AC$25:$AC$30,'10'!$AG$25:$AG$30,$AK5,'10'!$AF$25:$AF$30,1)/COUNTIFS('10'!$AG$25:$AG$30,$AK5,'10'!$AF$25:$AF$30,1))</f>
        <v/>
      </c>
      <c r="BF5" s="78" t="str">
        <f>IF(COUNTIFS('11'!$AG$25:$AG$30,$AK5,'11'!$AF$25:$AF$30,1)=0,"",SUMIFS('11'!$AC$25:$AC$30,'11'!$AG$25:$AG$30,$AK5,'11'!$AF$25:$AF$30,1)/COUNTIFS('11'!$AG$25:$AG$30,$AK5,'11'!$AF$25:$AF$30,1))</f>
        <v/>
      </c>
      <c r="BG5" s="78" t="str">
        <f>IF(COUNTIFS('12'!$AG$25:$AG$30,$AK5,'12'!$AF$25:$AF$30,1)=0,"",SUMIFS('12'!$AC$25:$AC$30,'12'!$AG$25:$AG$30,$AK5,'12'!$AF$25:$AF$30,1)/COUNTIFS('12'!$AG$25:$AG$30,$AK5,'12'!$AF$25:$AF$30,1))</f>
        <v/>
      </c>
      <c r="BH5" s="78" t="str">
        <f>IF(COUNTIFS('13'!$AG$25:$AG$30,$AK5,'13'!$AF$25:$AF$30,1)=0,"",SUMIFS('13'!$AC$25:$AC$30,'13'!$AG$25:$AG$30,$AK5,'13'!$AF$25:$AF$30,1)/COUNTIFS('13'!$AG$25:$AG$30,$AK5,'13'!$AF$25:$AF$30,1))</f>
        <v/>
      </c>
      <c r="BI5" s="78" t="str">
        <f>IF(COUNTIFS('14'!$AG$25:$AG$30,$AK5,'14'!$AF$25:$AF$30,1)=0,"",SUMIFS('14'!$AC$25:$AC$30,'14'!$AG$25:$AG$30,$AK5,'14'!$AF$25:$AF$30,1)/COUNTIFS('14'!$AG$25:$AG$30,$AK5,'14'!$AF$25:$AF$30,1))</f>
        <v/>
      </c>
      <c r="BJ5" s="78" t="str">
        <f>IF(COUNTIFS('15'!$AG$25:$AG$30,$AK5,'15'!$AF$25:$AF$30,1)=0,"",SUMIFS('15'!$AC$25:$AC$30,'15'!$AG$25:$AG$30,$AK5,'15'!$AF$25:$AF$30,1)/COUNTIFS('15'!$AG$25:$AG$30,$AK5,'15'!$AF$25:$AF$30,1))</f>
        <v/>
      </c>
      <c r="BK5" s="78" t="str">
        <f>IF(COUNTIFS('16'!$AG$25:$AG$30,$AK5,'16'!$AF$25:$AF$30,1)=0,"",SUMIFS('16'!$AC$25:$AC$30,'16'!$AG$25:$AG$30,$AK5,'16'!$AF$25:$AF$30,1)/COUNTIFS('16'!$AG$25:$AG$30,$AK5,'16'!$AF$25:$AF$30,1))</f>
        <v/>
      </c>
      <c r="BL5" s="78" t="str">
        <f>IF(COUNTIFS('17'!$AG$25:$AG$30,$AK5,'17'!$AF$25:$AF$30,1)=0,"",SUMIFS('17'!$AC$25:$AC$30,'17'!$AG$25:$AG$30,$AK5,'17'!$AF$25:$AF$30,1)/COUNTIFS('17'!$AG$25:$AG$30,$AK5,'17'!$AF$25:$AF$30,1))</f>
        <v/>
      </c>
      <c r="BM5" s="78" t="str">
        <f>IF(COUNTIFS('18'!$AG$25:$AG$30,$AK5,'18'!$AF$25:$AF$30,1)=0,"",SUMIFS('18'!$AC$25:$AC$30,'18'!$AG$25:$AG$30,$AK5,'18'!$AF$25:$AF$30,1)/COUNTIFS('18'!$AG$25:$AG$30,$AK5,'18'!$AF$25:$AF$30,1))</f>
        <v/>
      </c>
      <c r="BN5" s="78" t="str">
        <f>IF(COUNTIFS('19'!$AG$25:$AG$30,$AK5,'19'!$AF$25:$AF$30,1)=0,"",SUMIFS('19'!$AC$25:$AC$30,'19'!$AG$25:$AG$30,$AK5,'19'!$AF$25:$AF$30,1)/COUNTIFS('19'!$AG$25:$AG$30,$AK5,'19'!$AF$25:$AF$30,1))</f>
        <v/>
      </c>
      <c r="BO5" s="78" t="str">
        <f>IF(COUNTIFS('20'!$AG$25:$AG$30,$AK5,'20'!$AF$25:$AF$30,1)=0,"",SUMIFS('20'!$AC$25:$AC$30,'20'!$AG$25:$AG$30,$AK5,'20'!$AF$25:$AF$30,1)/COUNTIFS('20'!$AG$25:$AG$30,$AK5,'20'!$AF$25:$AF$30,1))</f>
        <v/>
      </c>
      <c r="BP5" s="78" t="str">
        <f>IF(COUNTIFS('21'!$AG$25:$AG$30,$AK5,'21'!$AF$25:$AF$30,1)=0,"",SUMIFS('21'!$AC$25:$AC$30,'21'!$AG$25:$AG$30,$AK5,'21'!$AF$25:$AF$30,1)/COUNTIFS('21'!$AG$25:$AG$30,$AK5,'21'!$AF$25:$AF$30,1))</f>
        <v/>
      </c>
      <c r="BQ5" s="78" t="str">
        <f>IF(COUNTIFS('22'!$AG$25:$AG$30,$AK5,'22'!$AF$25:$AF$30,1)=0,"",SUMIFS('22'!$AC$25:$AC$30,'22'!$AG$25:$AG$30,$AK5,'22'!$AF$25:$AF$30,1)/COUNTIFS('22'!$AG$25:$AG$30,$AK5,'22'!$AF$25:$AF$30,1))</f>
        <v/>
      </c>
      <c r="BR5" s="78" t="str">
        <f>IF(COUNTIFS('23'!$AG$25:$AG$30,$AK5,'23'!$AF$25:$AF$30,1)=0,"",SUMIFS('23'!$AC$25:$AC$30,'23'!$AG$25:$AG$30,$AK5,'23'!$AF$25:$AF$30,1)/COUNTIFS('23'!$AG$25:$AG$30,$AK5,'23'!$AF$25:$AF$30,1))</f>
        <v/>
      </c>
      <c r="BS5" s="78" t="str">
        <f>IF(COUNTIFS('24'!$AG$25:$AG$30,$AK5,'24'!$AF$25:$AF$30,1)=0,"",SUMIFS('24'!$AC$25:$AC$30,'24'!$AG$25:$AG$30,$AK5,'24'!$AF$25:$AF$30,1)/COUNTIFS('24'!$AG$25:$AG$30,$AK5,'24'!$AF$25:$AF$30,1))</f>
        <v/>
      </c>
      <c r="BT5" s="78" t="str">
        <f>IF(COUNTIFS('25'!$AG$25:$AG$30,$AK5,'25'!$AF$25:$AF$30,1)=0,"",SUMIFS('25'!$AC$25:$AC$30,'25'!$AG$25:$AG$30,$AK5,'25'!$AF$25:$AF$30,1)/COUNTIFS('25'!$AG$25:$AG$30,$AK5,'25'!$AF$25:$AF$30,1))</f>
        <v/>
      </c>
      <c r="BU5" s="78" t="str">
        <f>IF(COUNTIFS('26'!$AG$25:$AG$30,$AK5,'26'!$AF$25:$AF$30,1)=0,"",SUMIFS('26'!$AC$25:$AC$30,'26'!$AG$25:$AG$30,$AK5,'26'!$AF$25:$AF$30,1)/COUNTIFS('26'!$AG$25:$AG$30,$AK5,'26'!$AF$25:$AF$30,1))</f>
        <v/>
      </c>
      <c r="BV5" s="78" t="str">
        <f>IF(COUNTIFS('27'!$AG$25:$AG$30,$AK5,'27'!$AF$25:$AF$30,1)=0,"",SUMIFS('27'!$AC$25:$AC$30,'27'!$AG$25:$AG$30,$AK5,'27'!$AF$25:$AF$30,1)/COUNTIFS('27'!$AG$25:$AG$30,$AK5,'27'!$AF$25:$AF$30,1))</f>
        <v/>
      </c>
      <c r="BW5" s="78" t="str">
        <f>IF(COUNTIFS('28'!$AG$25:$AG$30,$AK5,'28'!$AF$25:$AF$30,1)=0,"",SUMIFS('28'!$AC$25:$AC$30,'28'!$AG$25:$AG$30,$AK5,'28'!$AF$25:$AF$30,1)/COUNTIFS('28'!$AG$25:$AG$30,$AK5,'28'!$AF$25:$AF$30,1))</f>
        <v/>
      </c>
      <c r="BX5" s="78" t="str">
        <f>IF(COUNTIFS('29'!$AG$25:$AG$30,$AK5,'29'!$AF$25:$AF$30,1)=0,"",SUMIFS('29'!$AC$25:$AC$30,'29'!$AG$25:$AG$30,$AK5,'29'!$AF$25:$AF$30,1)/COUNTIFS('29'!$AG$25:$AG$30,$AK5,'29'!$AF$25:$AF$30,1))</f>
        <v/>
      </c>
      <c r="BY5" s="78" t="str">
        <f>IF(COUNTIFS('30'!$AG$25:$AG$30,$AK5,'30'!$AF$25:$AF$30,1)=0,"",SUMIFS('30'!$AC$25:$AC$30,'30'!$AG$25:$AG$30,$AK5,'30'!$AF$25:$AF$30,1)/COUNTIFS('30'!$AG$25:$AG$30,$AK5,'30'!$AF$25:$AF$30,1))</f>
        <v/>
      </c>
      <c r="BZ5" s="78" t="str">
        <f>IF(COUNTIFS('31'!$AG$28:$AG$33,$AK5,'31'!$AF$28:$AF$33,1)=0,"",SUMIFS('31'!$AC$28:$AC$33,'31'!$AG$28:$AG$33,$AK5,'31'!$AF$28:$AF$33,1)/COUNTIFS('31'!$AG$28:$AG$33,$AK5,'31'!$AF$28:$AF$33,1))</f>
        <v/>
      </c>
      <c r="CA5" s="78" t="s">
        <v>88</v>
      </c>
      <c r="CB5" s="78">
        <f t="shared" ref="CB5:CB8" si="6">COUNTIF($J$51:$J$61,CA5)</f>
        <v>0</v>
      </c>
    </row>
    <row r="6">
      <c r="A6" s="130">
        <f>IF(LARGE($Y$5:$Y$17,1)=0,"",1)</f>
        <v>1</v>
      </c>
      <c r="B6" s="130" t="str">
        <f t="shared" ref="B6:B18" si="7">IF(A6="","",INDEX($X$5:$X$17,MATCH(LARGE($Z$5:$Z$17,A6),$Z$5:$Z$17,0)))</f>
        <v>Graduation</v>
      </c>
      <c r="C6" s="130">
        <f t="shared" ref="C6:C18" si="8">IF(B6="","",INDEX($Y$5:$Y$17,MATCH(B6,$X$5:$X$17,0)))</f>
        <v>3</v>
      </c>
      <c r="D6" s="131">
        <f t="shared" ref="D6:D18" si="9">IF(C6="","",C6/$C$19)</f>
        <v>0.6</v>
      </c>
      <c r="E6" s="131">
        <f t="shared" ref="E6:E18" si="10">IF(D6="","",SUM($D$6:D6))</f>
        <v>0.6</v>
      </c>
      <c r="X6" s="78" t="s">
        <v>19</v>
      </c>
      <c r="Y6" s="78">
        <f>COUNTIF('1'!$D$4:$D$16,X6)+COUNTIF('2'!$D$4:$D$16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3</v>
      </c>
      <c r="Z6" s="78">
        <f t="shared" si="1"/>
        <v>3.00012</v>
      </c>
      <c r="AA6" s="78" t="s">
        <v>89</v>
      </c>
      <c r="AB6" s="78" t="s">
        <v>80</v>
      </c>
      <c r="AC6" s="78">
        <f>COUNTIF('1'!$O$18:$O$21,AA6)+COUNTIF('2'!$O$18:$O$21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78">
        <f t="shared" si="2"/>
        <v>0.0001</v>
      </c>
      <c r="AE6" s="78" t="s">
        <v>89</v>
      </c>
      <c r="AF6" s="78">
        <f>COUNTIF('1'!$L$4:$L$16,AE6)+COUNTIF('2'!$L$4:$L$16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78">
        <f t="shared" si="3"/>
        <v>0.00004</v>
      </c>
      <c r="AH6" s="78" t="s">
        <v>90</v>
      </c>
      <c r="AI6" s="78">
        <f>COUNTIF('1'!$M$4:$M$16,AH6)+COUNTIF('2'!$M$4:$M$16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78">
        <f t="shared" si="4"/>
        <v>0.00005</v>
      </c>
      <c r="AK6" s="78" t="s">
        <v>89</v>
      </c>
      <c r="AL6" s="78" t="s">
        <v>80</v>
      </c>
      <c r="AM6" s="78">
        <f>COUNTIFS('1'!$AG$25:$AG$30,AK6,'1'!$AF$25:$AF$30,1)+COUNTIFS('2'!$AG$25:$AG$30,AK6,'2'!$AF$25:$AF$30,1)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78" t="str">
        <f t="shared" si="5"/>
        <v/>
      </c>
      <c r="AO6" s="78" t="str">
        <f>IF(AM6=0,"",(SUMIFS('1'!$L$25:$L$30,'1'!$AG$25:$AG$30,AK6,'1'!$AF$25:$AF$30,1)+SUMIFS('2'!$L$25:$L$30,'2'!$AG$25:$AG$30,AK6,'2'!$AF$25:$AF$30,1)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78" t="str">
        <f>IF(AM6=0,"",(SUMIFS('1'!$M$25:$M$30,'1'!$AG$25:$AG$30,AK6,'1'!$AF$25:$AF$30,1)+SUMIFS('2'!$M$25:$M$30,'2'!$AG$25:$AG$30,AK6,'2'!$AF$25:$AF$30,1)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78" t="str">
        <f>IF(AM6=0,"",(SUMIFS('1'!$N$25:$N$30,'1'!$AG$25:$AG$30,AK6,'1'!$AF$25:$AF$30,1)+SUMIFS('2'!$N$25:$N$30,'2'!$AG$25:$AG$30,AK6,'2'!$AF$25:$AF$30,1)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78" t="str">
        <f>IF(AM6=0,"",(SUMIFS('1'!$O$25:$O$30,'1'!$AG$25:$AG$30,AK6,'1'!$AF$25:$AF$30,1)+SUMIFS('2'!$O$25:$O$30,'2'!$AG$25:$AG$30,AK6,'2'!$AF$25:$AF$30,1)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78" t="str">
        <f>IF(AM6=0,"",(SUMIFS('1'!$P$25:$P$30,'1'!$AG$25:$AG$30,AK6,'1'!$AF$25:$AF$30,1)+SUMIFS('2'!$P$25:$P$30,'2'!$AG$25:$AG$30,AK6,'2'!$AF$25:$AF$30,1)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78">
        <v>5.0</v>
      </c>
      <c r="AV6" s="78" t="str">
        <f>IF(COUNTIFS('1'!$AG$25:$AG$30,$AK6,'1'!$AF$25:$AF$30,1)=0,"",SUMIFS('1'!$AC$25:$AC$30,'1'!$AG$25:$AG$30,$AK6,'1'!$AF$25:$AF$30,1)/COUNTIFS('1'!$AG$25:$AG$30,$AK6,'1'!$AF$25:$AF$30,1))</f>
        <v/>
      </c>
      <c r="AW6" s="78" t="str">
        <f>IF(COUNTIFS('2'!$AG$25:$AG$30,$AK6,'2'!$AF$25:$AF$30,1)=0,"",SUMIFS('2'!$AC$25:$AC$30,'2'!$AG$25:$AG$30,$AK6,'2'!$AF$25:$AF$30,1)/COUNTIFS('2'!$AG$25:$AG$30,$AK6,'2'!$AF$25:$AF$30,1))</f>
        <v/>
      </c>
      <c r="AX6" s="78" t="str">
        <f>IF(COUNTIFS('3'!$AG$24:$AG$29,$AK6,'3'!$AF$24:$AF$29,1)=0,"",SUMIFS('3'!$AC$24:$AC$29,'3'!$AG$24:$AG$29,$AK6,'3'!$AF$24:$AF$29,1)/COUNTIFS('3'!$AG$24:$AG$29,$AK6,'3'!$AF$24:$AF$29,1))</f>
        <v/>
      </c>
      <c r="AY6" s="78" t="str">
        <f>IF(COUNTIFS('4'!$AG$25:$AG$30,$AK6,'4'!$AF$25:$AF$30,1)=0,"",SUMIFS('4'!$AC$25:$AC$30,'4'!$AG$25:$AG$30,$AK6,'4'!$AF$25:$AF$30,1)/COUNTIFS('4'!$AG$25:$AG$30,$AK6,'4'!$AF$25:$AF$30,1))</f>
        <v/>
      </c>
      <c r="AZ6" s="78" t="str">
        <f>IF(COUNTIFS('5'!$AG$25:$AG$30,$AK6,'5'!$AF$25:$AF$30,1)=0,"",SUMIFS('5'!$AC$25:$AC$30,'5'!$AG$25:$AG$30,$AK6,'5'!$AF$25:$AF$30,1)/COUNTIFS('5'!$AG$25:$AG$30,$AK6,'5'!$AF$25:$AF$30,1))</f>
        <v/>
      </c>
      <c r="BA6" s="78" t="str">
        <f>IF(COUNTIFS('6'!$AG$25:$AG$30,$AK6,'6'!$AF$25:$AF$30,1)=0,"",SUMIFS('6'!$AC$25:$AC$30,'6'!$AG$25:$AG$30,$AK6,'6'!$AF$25:$AF$30,1)/COUNTIFS('6'!$AG$25:$AG$30,$AK6,'6'!$AF$25:$AF$30,1))</f>
        <v/>
      </c>
      <c r="BB6" s="78" t="str">
        <f>IF(COUNTIFS('7'!$AG$30:$AG$35,$AK6,'7'!$AF$30:$AF$35,1)=0,"",SUMIFS('7'!$AC$30:$AC$35,'7'!$AG$30:$AG$35,$AK6,'7'!$AF$30:$AF$35,1)/COUNTIFS('7'!$AG$30:$AG$35,$AK6,'7'!$AF$30:$AF$35,1))</f>
        <v/>
      </c>
      <c r="BC6" s="78" t="str">
        <f>IF(COUNTIFS('8'!$AG$25:$AG$30,$AK6,'8'!$AF$25:$AF$30,1)=0,"",SUMIFS('8'!$AC$25:$AC$30,'8'!$AG$25:$AG$30,$AK6,'8'!$AF$25:$AF$30,1)/COUNTIFS('8'!$AG$25:$AG$30,$AK6,'8'!$AF$25:$AF$30,1))</f>
        <v/>
      </c>
      <c r="BD6" s="78" t="str">
        <f>IF(COUNTIFS('9'!$AG$25:$AG$30,$AK6,'9'!$AF$25:$AF$30,1)=0,"",SUMIFS('9'!$AC$25:$AC$30,'9'!$AG$25:$AG$30,$AK6,'9'!$AF$25:$AF$30,1)/COUNTIFS('9'!$AG$25:$AG$30,$AK6,'9'!$AF$25:$AF$30,1))</f>
        <v/>
      </c>
      <c r="BE6" s="78" t="str">
        <f>IF(COUNTIFS('10'!$AG$25:$AG$30,$AK6,'10'!$AF$25:$AF$30,1)=0,"",SUMIFS('10'!$AC$25:$AC$30,'10'!$AG$25:$AG$30,$AK6,'10'!$AF$25:$AF$30,1)/COUNTIFS('10'!$AG$25:$AG$30,$AK6,'10'!$AF$25:$AF$30,1))</f>
        <v/>
      </c>
      <c r="BF6" s="78" t="str">
        <f>IF(COUNTIFS('11'!$AG$25:$AG$30,$AK6,'11'!$AF$25:$AF$30,1)=0,"",SUMIFS('11'!$AC$25:$AC$30,'11'!$AG$25:$AG$30,$AK6,'11'!$AF$25:$AF$30,1)/COUNTIFS('11'!$AG$25:$AG$30,$AK6,'11'!$AF$25:$AF$30,1))</f>
        <v/>
      </c>
      <c r="BG6" s="78" t="str">
        <f>IF(COUNTIFS('12'!$AG$25:$AG$30,$AK6,'12'!$AF$25:$AF$30,1)=0,"",SUMIFS('12'!$AC$25:$AC$30,'12'!$AG$25:$AG$30,$AK6,'12'!$AF$25:$AF$30,1)/COUNTIFS('12'!$AG$25:$AG$30,$AK6,'12'!$AF$25:$AF$30,1))</f>
        <v/>
      </c>
      <c r="BH6" s="78" t="str">
        <f>IF(COUNTIFS('13'!$AG$25:$AG$30,$AK6,'13'!$AF$25:$AF$30,1)=0,"",SUMIFS('13'!$AC$25:$AC$30,'13'!$AG$25:$AG$30,$AK6,'13'!$AF$25:$AF$30,1)/COUNTIFS('13'!$AG$25:$AG$30,$AK6,'13'!$AF$25:$AF$30,1))</f>
        <v/>
      </c>
      <c r="BI6" s="78" t="str">
        <f>IF(COUNTIFS('14'!$AG$25:$AG$30,$AK6,'14'!$AF$25:$AF$30,1)=0,"",SUMIFS('14'!$AC$25:$AC$30,'14'!$AG$25:$AG$30,$AK6,'14'!$AF$25:$AF$30,1)/COUNTIFS('14'!$AG$25:$AG$30,$AK6,'14'!$AF$25:$AF$30,1))</f>
        <v/>
      </c>
      <c r="BJ6" s="78" t="str">
        <f>IF(COUNTIFS('15'!$AG$25:$AG$30,$AK6,'15'!$AF$25:$AF$30,1)=0,"",SUMIFS('15'!$AC$25:$AC$30,'15'!$AG$25:$AG$30,$AK6,'15'!$AF$25:$AF$30,1)/COUNTIFS('15'!$AG$25:$AG$30,$AK6,'15'!$AF$25:$AF$30,1))</f>
        <v/>
      </c>
      <c r="BK6" s="78" t="str">
        <f>IF(COUNTIFS('16'!$AG$25:$AG$30,$AK6,'16'!$AF$25:$AF$30,1)=0,"",SUMIFS('16'!$AC$25:$AC$30,'16'!$AG$25:$AG$30,$AK6,'16'!$AF$25:$AF$30,1)/COUNTIFS('16'!$AG$25:$AG$30,$AK6,'16'!$AF$25:$AF$30,1))</f>
        <v/>
      </c>
      <c r="BL6" s="78" t="str">
        <f>IF(COUNTIFS('17'!$AG$25:$AG$30,$AK6,'17'!$AF$25:$AF$30,1)=0,"",SUMIFS('17'!$AC$25:$AC$30,'17'!$AG$25:$AG$30,$AK6,'17'!$AF$25:$AF$30,1)/COUNTIFS('17'!$AG$25:$AG$30,$AK6,'17'!$AF$25:$AF$30,1))</f>
        <v/>
      </c>
      <c r="BM6" s="78" t="str">
        <f>IF(COUNTIFS('18'!$AG$25:$AG$30,$AK6,'18'!$AF$25:$AF$30,1)=0,"",SUMIFS('18'!$AC$25:$AC$30,'18'!$AG$25:$AG$30,$AK6,'18'!$AF$25:$AF$30,1)/COUNTIFS('18'!$AG$25:$AG$30,$AK6,'18'!$AF$25:$AF$30,1))</f>
        <v/>
      </c>
      <c r="BN6" s="78" t="str">
        <f>IF(COUNTIFS('19'!$AG$25:$AG$30,$AK6,'19'!$AF$25:$AF$30,1)=0,"",SUMIFS('19'!$AC$25:$AC$30,'19'!$AG$25:$AG$30,$AK6,'19'!$AF$25:$AF$30,1)/COUNTIFS('19'!$AG$25:$AG$30,$AK6,'19'!$AF$25:$AF$30,1))</f>
        <v/>
      </c>
      <c r="BO6" s="78" t="str">
        <f>IF(COUNTIFS('20'!$AG$25:$AG$30,$AK6,'20'!$AF$25:$AF$30,1)=0,"",SUMIFS('20'!$AC$25:$AC$30,'20'!$AG$25:$AG$30,$AK6,'20'!$AF$25:$AF$30,1)/COUNTIFS('20'!$AG$25:$AG$30,$AK6,'20'!$AF$25:$AF$30,1))</f>
        <v/>
      </c>
      <c r="BP6" s="78" t="str">
        <f>IF(COUNTIFS('21'!$AG$25:$AG$30,$AK6,'21'!$AF$25:$AF$30,1)=0,"",SUMIFS('21'!$AC$25:$AC$30,'21'!$AG$25:$AG$30,$AK6,'21'!$AF$25:$AF$30,1)/COUNTIFS('21'!$AG$25:$AG$30,$AK6,'21'!$AF$25:$AF$30,1))</f>
        <v/>
      </c>
      <c r="BQ6" s="78" t="str">
        <f>IF(COUNTIFS('22'!$AG$25:$AG$30,$AK6,'22'!$AF$25:$AF$30,1)=0,"",SUMIFS('22'!$AC$25:$AC$30,'22'!$AG$25:$AG$30,$AK6,'22'!$AF$25:$AF$30,1)/COUNTIFS('22'!$AG$25:$AG$30,$AK6,'22'!$AF$25:$AF$30,1))</f>
        <v/>
      </c>
      <c r="BR6" s="78" t="str">
        <f>IF(COUNTIFS('23'!$AG$25:$AG$30,$AK6,'23'!$AF$25:$AF$30,1)=0,"",SUMIFS('23'!$AC$25:$AC$30,'23'!$AG$25:$AG$30,$AK6,'23'!$AF$25:$AF$30,1)/COUNTIFS('23'!$AG$25:$AG$30,$AK6,'23'!$AF$25:$AF$30,1))</f>
        <v/>
      </c>
      <c r="BS6" s="78" t="str">
        <f>IF(COUNTIFS('24'!$AG$25:$AG$30,$AK6,'24'!$AF$25:$AF$30,1)=0,"",SUMIFS('24'!$AC$25:$AC$30,'24'!$AG$25:$AG$30,$AK6,'24'!$AF$25:$AF$30,1)/COUNTIFS('24'!$AG$25:$AG$30,$AK6,'24'!$AF$25:$AF$30,1))</f>
        <v/>
      </c>
      <c r="BT6" s="78" t="str">
        <f>IF(COUNTIFS('25'!$AG$25:$AG$30,$AK6,'25'!$AF$25:$AF$30,1)=0,"",SUMIFS('25'!$AC$25:$AC$30,'25'!$AG$25:$AG$30,$AK6,'25'!$AF$25:$AF$30,1)/COUNTIFS('25'!$AG$25:$AG$30,$AK6,'25'!$AF$25:$AF$30,1))</f>
        <v/>
      </c>
      <c r="BU6" s="78" t="str">
        <f>IF(COUNTIFS('26'!$AG$25:$AG$30,$AK6,'26'!$AF$25:$AF$30,1)=0,"",SUMIFS('26'!$AC$25:$AC$30,'26'!$AG$25:$AG$30,$AK6,'26'!$AF$25:$AF$30,1)/COUNTIFS('26'!$AG$25:$AG$30,$AK6,'26'!$AF$25:$AF$30,1))</f>
        <v/>
      </c>
      <c r="BV6" s="78" t="str">
        <f>IF(COUNTIFS('27'!$AG$25:$AG$30,$AK6,'27'!$AF$25:$AF$30,1)=0,"",SUMIFS('27'!$AC$25:$AC$30,'27'!$AG$25:$AG$30,$AK6,'27'!$AF$25:$AF$30,1)/COUNTIFS('27'!$AG$25:$AG$30,$AK6,'27'!$AF$25:$AF$30,1))</f>
        <v/>
      </c>
      <c r="BW6" s="78" t="str">
        <f>IF(COUNTIFS('28'!$AG$25:$AG$30,$AK6,'28'!$AF$25:$AF$30,1)=0,"",SUMIFS('28'!$AC$25:$AC$30,'28'!$AG$25:$AG$30,$AK6,'28'!$AF$25:$AF$30,1)/COUNTIFS('28'!$AG$25:$AG$30,$AK6,'28'!$AF$25:$AF$30,1))</f>
        <v/>
      </c>
      <c r="BX6" s="78" t="str">
        <f>IF(COUNTIFS('29'!$AG$25:$AG$30,$AK6,'29'!$AF$25:$AF$30,1)=0,"",SUMIFS('29'!$AC$25:$AC$30,'29'!$AG$25:$AG$30,$AK6,'29'!$AF$25:$AF$30,1)/COUNTIFS('29'!$AG$25:$AG$30,$AK6,'29'!$AF$25:$AF$30,1))</f>
        <v/>
      </c>
      <c r="BY6" s="78" t="str">
        <f>IF(COUNTIFS('30'!$AG$25:$AG$30,$AK6,'30'!$AF$25:$AF$30,1)=0,"",SUMIFS('30'!$AC$25:$AC$30,'30'!$AG$25:$AG$30,$AK6,'30'!$AF$25:$AF$30,1)/COUNTIFS('30'!$AG$25:$AG$30,$AK6,'30'!$AF$25:$AF$30,1))</f>
        <v/>
      </c>
      <c r="BZ6" s="78" t="str">
        <f>IF(COUNTIFS('31'!$AG$28:$AG$33,$AK6,'31'!$AF$28:$AF$33,1)=0,"",SUMIFS('31'!$AC$28:$AC$33,'31'!$AG$28:$AG$33,$AK6,'31'!$AF$28:$AF$33,1)/COUNTIFS('31'!$AG$28:$AG$33,$AK6,'31'!$AF$28:$AF$33,1))</f>
        <v/>
      </c>
      <c r="CA6" s="78" t="s">
        <v>91</v>
      </c>
      <c r="CB6" s="78">
        <f t="shared" si="6"/>
        <v>0</v>
      </c>
    </row>
    <row r="7">
      <c r="A7" s="130">
        <f>IF(LARGE($Y$5:$Y$17,2)=0,"",2)</f>
        <v>2</v>
      </c>
      <c r="B7" s="130" t="str">
        <f t="shared" si="7"/>
        <v>Large Group</v>
      </c>
      <c r="C7" s="130">
        <f t="shared" si="8"/>
        <v>1</v>
      </c>
      <c r="D7" s="131">
        <f t="shared" si="9"/>
        <v>0.2</v>
      </c>
      <c r="E7" s="131">
        <f t="shared" si="10"/>
        <v>0.8</v>
      </c>
      <c r="X7" s="78" t="s">
        <v>92</v>
      </c>
      <c r="Y7" s="78">
        <f>COUNTIF('1'!$D$4:$D$16,X7)+COUNTIF('2'!$D$4:$D$16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0</v>
      </c>
      <c r="Z7" s="78">
        <f t="shared" si="1"/>
        <v>0.00011</v>
      </c>
      <c r="AA7" s="78" t="s">
        <v>22</v>
      </c>
      <c r="AB7" s="78" t="s">
        <v>80</v>
      </c>
      <c r="AC7" s="78">
        <f>COUNTIF('1'!$O$18:$O$21,AA7)+COUNTIF('2'!$O$18:$O$21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2</v>
      </c>
      <c r="AD7" s="78">
        <f t="shared" si="2"/>
        <v>2.00009</v>
      </c>
      <c r="AE7" s="78" t="s">
        <v>22</v>
      </c>
      <c r="AF7" s="78">
        <f>COUNTIF('1'!$L$4:$L$16,AE7)+COUNTIF('2'!$L$4:$L$16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5</v>
      </c>
      <c r="AG7" s="78">
        <f t="shared" si="3"/>
        <v>5.00003</v>
      </c>
      <c r="AH7" s="78" t="s">
        <v>29</v>
      </c>
      <c r="AI7" s="78">
        <f>COUNTIF('1'!$M$4:$M$16,AH7)+COUNTIF('2'!$M$4:$M$16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</v>
      </c>
      <c r="AJ7" s="78">
        <f t="shared" si="4"/>
        <v>2.00004</v>
      </c>
      <c r="AK7" s="78" t="s">
        <v>22</v>
      </c>
      <c r="AL7" s="78" t="s">
        <v>80</v>
      </c>
      <c r="AM7" s="78">
        <f>COUNTIFS('1'!$AG$25:$AG$30,AK7,'1'!$AF$25:$AF$30,1)+COUNTIFS('2'!$AG$25:$AG$30,AK7,'2'!$AF$25:$AF$30,1)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0</v>
      </c>
      <c r="AN7" s="78" t="str">
        <f t="shared" si="5"/>
        <v/>
      </c>
      <c r="AO7" s="78" t="str">
        <f>IF(AM7=0,"",(SUMIFS('1'!$L$25:$L$30,'1'!$AG$25:$AG$30,AK7,'1'!$AF$25:$AF$30,1)+SUMIFS('2'!$L$25:$L$30,'2'!$AG$25:$AG$30,AK7,'2'!$AF$25:$AF$30,1)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/>
      </c>
      <c r="AP7" s="78" t="str">
        <f>IF(AM7=0,"",(SUMIFS('1'!$M$25:$M$30,'1'!$AG$25:$AG$30,AK7,'1'!$AF$25:$AF$30,1)+SUMIFS('2'!$M$25:$M$30,'2'!$AG$25:$AG$30,AK7,'2'!$AF$25:$AF$30,1)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/>
      </c>
      <c r="AQ7" s="78" t="str">
        <f>IF(AM7=0,"",(SUMIFS('1'!$N$25:$N$30,'1'!$AG$25:$AG$30,AK7,'1'!$AF$25:$AF$30,1)+SUMIFS('2'!$N$25:$N$30,'2'!$AG$25:$AG$30,AK7,'2'!$AF$25:$AF$30,1)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/>
      </c>
      <c r="AR7" s="78" t="str">
        <f>IF(AM7=0,"",(SUMIFS('1'!$O$25:$O$30,'1'!$AG$25:$AG$30,AK7,'1'!$AF$25:$AF$30,1)+SUMIFS('2'!$O$25:$O$30,'2'!$AG$25:$AG$30,AK7,'2'!$AF$25:$AF$30,1)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/>
      </c>
      <c r="AS7" s="78" t="str">
        <f>IF(AM7=0,"",(SUMIFS('1'!$P$25:$P$30,'1'!$AG$25:$AG$30,AK7,'1'!$AF$25:$AF$30,1)+SUMIFS('2'!$P$25:$P$30,'2'!$AG$25:$AG$30,AK7,'2'!$AF$25:$AF$30,1)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/>
      </c>
      <c r="AV7" s="78" t="str">
        <f>IF(COUNTIFS('1'!$AG$25:$AG$30,$AK7,'1'!$AF$25:$AF$30,1)=0,"",SUMIFS('1'!$AC$25:$AC$30,'1'!$AG$25:$AG$30,$AK7,'1'!$AF$25:$AF$30,1)/COUNTIFS('1'!$AG$25:$AG$30,$AK7,'1'!$AF$25:$AF$30,1))</f>
        <v/>
      </c>
      <c r="AW7" s="78" t="str">
        <f>IF(COUNTIFS('2'!$AG$25:$AG$30,$AK7,'2'!$AF$25:$AF$30,1)=0,"",SUMIFS('2'!$AC$25:$AC$30,'2'!$AG$25:$AG$30,$AK7,'2'!$AF$25:$AF$30,1)/COUNTIFS('2'!$AG$25:$AG$30,$AK7,'2'!$AF$25:$AF$30,1))</f>
        <v/>
      </c>
      <c r="AX7" s="78" t="str">
        <f>IF(COUNTIFS('3'!$AG$24:$AG$29,$AK7,'3'!$AF$24:$AF$29,1)=0,"",SUMIFS('3'!$AC$24:$AC$29,'3'!$AG$24:$AG$29,$AK7,'3'!$AF$24:$AF$29,1)/COUNTIFS('3'!$AG$24:$AG$29,$AK7,'3'!$AF$24:$AF$29,1))</f>
        <v/>
      </c>
      <c r="AY7" s="78" t="str">
        <f>IF(COUNTIFS('4'!$AG$25:$AG$30,$AK7,'4'!$AF$25:$AF$30,1)=0,"",SUMIFS('4'!$AC$25:$AC$30,'4'!$AG$25:$AG$30,$AK7,'4'!$AF$25:$AF$30,1)/COUNTIFS('4'!$AG$25:$AG$30,$AK7,'4'!$AF$25:$AF$30,1))</f>
        <v/>
      </c>
      <c r="AZ7" s="78" t="str">
        <f>IF(COUNTIFS('5'!$AG$25:$AG$30,$AK7,'5'!$AF$25:$AF$30,1)=0,"",SUMIFS('5'!$AC$25:$AC$30,'5'!$AG$25:$AG$30,$AK7,'5'!$AF$25:$AF$30,1)/COUNTIFS('5'!$AG$25:$AG$30,$AK7,'5'!$AF$25:$AF$30,1))</f>
        <v/>
      </c>
      <c r="BA7" s="78" t="str">
        <f>IF(COUNTIFS('6'!$AG$25:$AG$30,$AK7,'6'!$AF$25:$AF$30,1)=0,"",SUMIFS('6'!$AC$25:$AC$30,'6'!$AG$25:$AG$30,$AK7,'6'!$AF$25:$AF$30,1)/COUNTIFS('6'!$AG$25:$AG$30,$AK7,'6'!$AF$25:$AF$30,1))</f>
        <v/>
      </c>
      <c r="BB7" s="78" t="str">
        <f>IF(COUNTIFS('7'!$AG$30:$AG$35,$AK7,'7'!$AF$30:$AF$35,1)=0,"",SUMIFS('7'!$AC$30:$AC$35,'7'!$AG$30:$AG$35,$AK7,'7'!$AF$30:$AF$35,1)/COUNTIFS('7'!$AG$30:$AG$35,$AK7,'7'!$AF$30:$AF$35,1))</f>
        <v/>
      </c>
      <c r="BC7" s="78" t="str">
        <f>IF(COUNTIFS('8'!$AG$25:$AG$30,$AK7,'8'!$AF$25:$AF$30,1)=0,"",SUMIFS('8'!$AC$25:$AC$30,'8'!$AG$25:$AG$30,$AK7,'8'!$AF$25:$AF$30,1)/COUNTIFS('8'!$AG$25:$AG$30,$AK7,'8'!$AF$25:$AF$30,1))</f>
        <v/>
      </c>
      <c r="BD7" s="78" t="str">
        <f>IF(COUNTIFS('9'!$AG$25:$AG$30,$AK7,'9'!$AF$25:$AF$30,1)=0,"",SUMIFS('9'!$AC$25:$AC$30,'9'!$AG$25:$AG$30,$AK7,'9'!$AF$25:$AF$30,1)/COUNTIFS('9'!$AG$25:$AG$30,$AK7,'9'!$AF$25:$AF$30,1))</f>
        <v/>
      </c>
      <c r="BE7" s="78" t="str">
        <f>IF(COUNTIFS('10'!$AG$25:$AG$30,$AK7,'10'!$AF$25:$AF$30,1)=0,"",SUMIFS('10'!$AC$25:$AC$30,'10'!$AG$25:$AG$30,$AK7,'10'!$AF$25:$AF$30,1)/COUNTIFS('10'!$AG$25:$AG$30,$AK7,'10'!$AF$25:$AF$30,1))</f>
        <v/>
      </c>
      <c r="BF7" s="78" t="str">
        <f>IF(COUNTIFS('11'!$AG$25:$AG$30,$AK7,'11'!$AF$25:$AF$30,1)=0,"",SUMIFS('11'!$AC$25:$AC$30,'11'!$AG$25:$AG$30,$AK7,'11'!$AF$25:$AF$30,1)/COUNTIFS('11'!$AG$25:$AG$30,$AK7,'11'!$AF$25:$AF$30,1))</f>
        <v/>
      </c>
      <c r="BG7" s="78" t="str">
        <f>IF(COUNTIFS('12'!$AG$25:$AG$30,$AK7,'12'!$AF$25:$AF$30,1)=0,"",SUMIFS('12'!$AC$25:$AC$30,'12'!$AG$25:$AG$30,$AK7,'12'!$AF$25:$AF$30,1)/COUNTIFS('12'!$AG$25:$AG$30,$AK7,'12'!$AF$25:$AF$30,1))</f>
        <v/>
      </c>
      <c r="BH7" s="78" t="str">
        <f>IF(COUNTIFS('13'!$AG$25:$AG$30,$AK7,'13'!$AF$25:$AF$30,1)=0,"",SUMIFS('13'!$AC$25:$AC$30,'13'!$AG$25:$AG$30,$AK7,'13'!$AF$25:$AF$30,1)/COUNTIFS('13'!$AG$25:$AG$30,$AK7,'13'!$AF$25:$AF$30,1))</f>
        <v/>
      </c>
      <c r="BI7" s="78" t="str">
        <f>IF(COUNTIFS('14'!$AG$25:$AG$30,$AK7,'14'!$AF$25:$AF$30,1)=0,"",SUMIFS('14'!$AC$25:$AC$30,'14'!$AG$25:$AG$30,$AK7,'14'!$AF$25:$AF$30,1)/COUNTIFS('14'!$AG$25:$AG$30,$AK7,'14'!$AF$25:$AF$30,1))</f>
        <v/>
      </c>
      <c r="BJ7" s="78" t="str">
        <f>IF(COUNTIFS('15'!$AG$25:$AG$30,$AK7,'15'!$AF$25:$AF$30,1)=0,"",SUMIFS('15'!$AC$25:$AC$30,'15'!$AG$25:$AG$30,$AK7,'15'!$AF$25:$AF$30,1)/COUNTIFS('15'!$AG$25:$AG$30,$AK7,'15'!$AF$25:$AF$30,1))</f>
        <v/>
      </c>
      <c r="BK7" s="78" t="str">
        <f>IF(COUNTIFS('16'!$AG$25:$AG$30,$AK7,'16'!$AF$25:$AF$30,1)=0,"",SUMIFS('16'!$AC$25:$AC$30,'16'!$AG$25:$AG$30,$AK7,'16'!$AF$25:$AF$30,1)/COUNTIFS('16'!$AG$25:$AG$30,$AK7,'16'!$AF$25:$AF$30,1))</f>
        <v/>
      </c>
      <c r="BL7" s="78" t="str">
        <f>IF(COUNTIFS('17'!$AG$25:$AG$30,$AK7,'17'!$AF$25:$AF$30,1)=0,"",SUMIFS('17'!$AC$25:$AC$30,'17'!$AG$25:$AG$30,$AK7,'17'!$AF$25:$AF$30,1)/COUNTIFS('17'!$AG$25:$AG$30,$AK7,'17'!$AF$25:$AF$30,1))</f>
        <v/>
      </c>
      <c r="BM7" s="78" t="str">
        <f>IF(COUNTIFS('18'!$AG$25:$AG$30,$AK7,'18'!$AF$25:$AF$30,1)=0,"",SUMIFS('18'!$AC$25:$AC$30,'18'!$AG$25:$AG$30,$AK7,'18'!$AF$25:$AF$30,1)/COUNTIFS('18'!$AG$25:$AG$30,$AK7,'18'!$AF$25:$AF$30,1))</f>
        <v/>
      </c>
      <c r="BN7" s="78" t="str">
        <f>IF(COUNTIFS('19'!$AG$25:$AG$30,$AK7,'19'!$AF$25:$AF$30,1)=0,"",SUMIFS('19'!$AC$25:$AC$30,'19'!$AG$25:$AG$30,$AK7,'19'!$AF$25:$AF$30,1)/COUNTIFS('19'!$AG$25:$AG$30,$AK7,'19'!$AF$25:$AF$30,1))</f>
        <v/>
      </c>
      <c r="BO7" s="78" t="str">
        <f>IF(COUNTIFS('20'!$AG$25:$AG$30,$AK7,'20'!$AF$25:$AF$30,1)=0,"",SUMIFS('20'!$AC$25:$AC$30,'20'!$AG$25:$AG$30,$AK7,'20'!$AF$25:$AF$30,1)/COUNTIFS('20'!$AG$25:$AG$30,$AK7,'20'!$AF$25:$AF$30,1))</f>
        <v/>
      </c>
      <c r="BP7" s="78" t="str">
        <f>IF(COUNTIFS('21'!$AG$25:$AG$30,$AK7,'21'!$AF$25:$AF$30,1)=0,"",SUMIFS('21'!$AC$25:$AC$30,'21'!$AG$25:$AG$30,$AK7,'21'!$AF$25:$AF$30,1)/COUNTIFS('21'!$AG$25:$AG$30,$AK7,'21'!$AF$25:$AF$30,1))</f>
        <v/>
      </c>
      <c r="BQ7" s="78" t="str">
        <f>IF(COUNTIFS('22'!$AG$25:$AG$30,$AK7,'22'!$AF$25:$AF$30,1)=0,"",SUMIFS('22'!$AC$25:$AC$30,'22'!$AG$25:$AG$30,$AK7,'22'!$AF$25:$AF$30,1)/COUNTIFS('22'!$AG$25:$AG$30,$AK7,'22'!$AF$25:$AF$30,1))</f>
        <v/>
      </c>
      <c r="BR7" s="78" t="str">
        <f>IF(COUNTIFS('23'!$AG$25:$AG$30,$AK7,'23'!$AF$25:$AF$30,1)=0,"",SUMIFS('23'!$AC$25:$AC$30,'23'!$AG$25:$AG$30,$AK7,'23'!$AF$25:$AF$30,1)/COUNTIFS('23'!$AG$25:$AG$30,$AK7,'23'!$AF$25:$AF$30,1))</f>
        <v/>
      </c>
      <c r="BS7" s="78" t="str">
        <f>IF(COUNTIFS('24'!$AG$25:$AG$30,$AK7,'24'!$AF$25:$AF$30,1)=0,"",SUMIFS('24'!$AC$25:$AC$30,'24'!$AG$25:$AG$30,$AK7,'24'!$AF$25:$AF$30,1)/COUNTIFS('24'!$AG$25:$AG$30,$AK7,'24'!$AF$25:$AF$30,1))</f>
        <v/>
      </c>
      <c r="BT7" s="78" t="str">
        <f>IF(COUNTIFS('25'!$AG$25:$AG$30,$AK7,'25'!$AF$25:$AF$30,1)=0,"",SUMIFS('25'!$AC$25:$AC$30,'25'!$AG$25:$AG$30,$AK7,'25'!$AF$25:$AF$30,1)/COUNTIFS('25'!$AG$25:$AG$30,$AK7,'25'!$AF$25:$AF$30,1))</f>
        <v/>
      </c>
      <c r="BU7" s="78" t="str">
        <f>IF(COUNTIFS('26'!$AG$25:$AG$30,$AK7,'26'!$AF$25:$AF$30,1)=0,"",SUMIFS('26'!$AC$25:$AC$30,'26'!$AG$25:$AG$30,$AK7,'26'!$AF$25:$AF$30,1)/COUNTIFS('26'!$AG$25:$AG$30,$AK7,'26'!$AF$25:$AF$30,1))</f>
        <v/>
      </c>
      <c r="BV7" s="78" t="str">
        <f>IF(COUNTIFS('27'!$AG$25:$AG$30,$AK7,'27'!$AF$25:$AF$30,1)=0,"",SUMIFS('27'!$AC$25:$AC$30,'27'!$AG$25:$AG$30,$AK7,'27'!$AF$25:$AF$30,1)/COUNTIFS('27'!$AG$25:$AG$30,$AK7,'27'!$AF$25:$AF$30,1))</f>
        <v/>
      </c>
      <c r="BW7" s="78" t="str">
        <f>IF(COUNTIFS('28'!$AG$25:$AG$30,$AK7,'28'!$AF$25:$AF$30,1)=0,"",SUMIFS('28'!$AC$25:$AC$30,'28'!$AG$25:$AG$30,$AK7,'28'!$AF$25:$AF$30,1)/COUNTIFS('28'!$AG$25:$AG$30,$AK7,'28'!$AF$25:$AF$30,1))</f>
        <v/>
      </c>
      <c r="BX7" s="78" t="str">
        <f>IF(COUNTIFS('29'!$AG$25:$AG$30,$AK7,'29'!$AF$25:$AF$30,1)=0,"",SUMIFS('29'!$AC$25:$AC$30,'29'!$AG$25:$AG$30,$AK7,'29'!$AF$25:$AF$30,1)/COUNTIFS('29'!$AG$25:$AG$30,$AK7,'29'!$AF$25:$AF$30,1))</f>
        <v/>
      </c>
      <c r="BY7" s="78" t="str">
        <f>IF(COUNTIFS('30'!$AG$25:$AG$30,$AK7,'30'!$AF$25:$AF$30,1)=0,"",SUMIFS('30'!$AC$25:$AC$30,'30'!$AG$25:$AG$30,$AK7,'30'!$AF$25:$AF$30,1)/COUNTIFS('30'!$AG$25:$AG$30,$AK7,'30'!$AF$25:$AF$30,1))</f>
        <v/>
      </c>
      <c r="BZ7" s="78" t="str">
        <f>IF(COUNTIFS('31'!$AG$28:$AG$33,$AK7,'31'!$AF$28:$AF$33,1)=0,"",SUMIFS('31'!$AC$28:$AC$33,'31'!$AG$28:$AG$33,$AK7,'31'!$AF$28:$AF$33,1)/COUNTIFS('31'!$AG$28:$AG$33,$AK7,'31'!$AF$28:$AF$33,1))</f>
        <v/>
      </c>
      <c r="CA7" s="78" t="s">
        <v>103</v>
      </c>
      <c r="CB7" s="78">
        <f t="shared" si="6"/>
        <v>0</v>
      </c>
    </row>
    <row r="8">
      <c r="A8" s="130">
        <f>IF(LARGE($Y$5:$Y$17,3)=0,"",3)</f>
        <v>3</v>
      </c>
      <c r="B8" s="130" t="str">
        <f t="shared" si="7"/>
        <v>Photofox</v>
      </c>
      <c r="C8" s="130">
        <f t="shared" si="8"/>
        <v>1</v>
      </c>
      <c r="D8" s="131">
        <f t="shared" si="9"/>
        <v>0.2</v>
      </c>
      <c r="E8" s="131">
        <f t="shared" si="10"/>
        <v>1</v>
      </c>
      <c r="X8" s="78" t="s">
        <v>104</v>
      </c>
      <c r="Y8" s="78">
        <f>COUNTIF('1'!$D$4:$D$16,X8)+COUNTIF('2'!$D$4:$D$16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0</v>
      </c>
      <c r="Z8" s="78">
        <f t="shared" si="1"/>
        <v>0.0001</v>
      </c>
      <c r="AA8" s="78" t="s">
        <v>97</v>
      </c>
      <c r="AB8" s="78" t="s">
        <v>80</v>
      </c>
      <c r="AC8" s="78">
        <f>COUNTIF('1'!$O$18:$O$21,AA8)+COUNTIF('2'!$O$18:$O$21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78">
        <f t="shared" si="2"/>
        <v>0.00008</v>
      </c>
      <c r="AE8" s="78" t="s">
        <v>97</v>
      </c>
      <c r="AF8" s="78">
        <f>COUNTIF('1'!$L$4:$L$16,AE8)+COUNTIF('2'!$L$4:$L$16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78">
        <f t="shared" si="3"/>
        <v>0.00002</v>
      </c>
      <c r="AH8" s="78" t="s">
        <v>100</v>
      </c>
      <c r="AI8" s="78">
        <f>COUNTIF('1'!$M$4:$M$16,AH8)+COUNTIF('2'!$M$4:$M$16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78">
        <f t="shared" si="4"/>
        <v>0.00003</v>
      </c>
      <c r="AK8" s="78" t="s">
        <v>97</v>
      </c>
      <c r="AL8" s="78" t="s">
        <v>80</v>
      </c>
      <c r="AM8" s="78">
        <f>COUNTIFS('1'!$AG$25:$AG$30,AK8,'1'!$AF$25:$AF$30,1)+COUNTIFS('2'!$AG$25:$AG$30,AK8,'2'!$AF$25:$AF$30,1)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78" t="str">
        <f t="shared" si="5"/>
        <v/>
      </c>
      <c r="AO8" s="78" t="str">
        <f>IF(AM8=0,"",(SUMIFS('1'!$L$25:$L$30,'1'!$AG$25:$AG$30,AK8,'1'!$AF$25:$AF$30,1)+SUMIFS('2'!$L$25:$L$30,'2'!$AG$25:$AG$30,AK8,'2'!$AF$25:$AF$30,1)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78" t="str">
        <f>IF(AM8=0,"",(SUMIFS('1'!$M$25:$M$30,'1'!$AG$25:$AG$30,AK8,'1'!$AF$25:$AF$30,1)+SUMIFS('2'!$M$25:$M$30,'2'!$AG$25:$AG$30,AK8,'2'!$AF$25:$AF$30,1)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78" t="str">
        <f>IF(AM8=0,"",(SUMIFS('1'!$N$25:$N$30,'1'!$AG$25:$AG$30,AK8,'1'!$AF$25:$AF$30,1)+SUMIFS('2'!$N$25:$N$30,'2'!$AG$25:$AG$30,AK8,'2'!$AF$25:$AF$30,1)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78" t="str">
        <f>IF(AM8=0,"",(SUMIFS('1'!$O$25:$O$30,'1'!$AG$25:$AG$30,AK8,'1'!$AF$25:$AF$30,1)+SUMIFS('2'!$O$25:$O$30,'2'!$AG$25:$AG$30,AK8,'2'!$AF$25:$AF$30,1)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78" t="str">
        <f>IF(AM8=0,"",(SUMIFS('1'!$P$25:$P$30,'1'!$AG$25:$AG$30,AK8,'1'!$AF$25:$AF$30,1)+SUMIFS('2'!$P$25:$P$30,'2'!$AG$25:$AG$30,AK8,'2'!$AF$25:$AF$30,1)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78" t="str">
        <f>IF(COUNTIFS('1'!$AG$25:$AG$30,$AK8,'1'!$AF$25:$AF$30,1)=0,"",SUMIFS('1'!$AC$25:$AC$30,'1'!$AG$25:$AG$30,$AK8,'1'!$AF$25:$AF$30,1)/COUNTIFS('1'!$AG$25:$AG$30,$AK8,'1'!$AF$25:$AF$30,1))</f>
        <v/>
      </c>
      <c r="AW8" s="78" t="str">
        <f>IF(COUNTIFS('2'!$AG$25:$AG$30,$AK8,'2'!$AF$25:$AF$30,1)=0,"",SUMIFS('2'!$AC$25:$AC$30,'2'!$AG$25:$AG$30,$AK8,'2'!$AF$25:$AF$30,1)/COUNTIFS('2'!$AG$25:$AG$30,$AK8,'2'!$AF$25:$AF$30,1))</f>
        <v/>
      </c>
      <c r="AX8" s="78" t="str">
        <f>IF(COUNTIFS('3'!$AG$24:$AG$29,$AK8,'3'!$AF$24:$AF$29,1)=0,"",SUMIFS('3'!$AC$24:$AC$29,'3'!$AG$24:$AG$29,$AK8,'3'!$AF$24:$AF$29,1)/COUNTIFS('3'!$AG$24:$AG$29,$AK8,'3'!$AF$24:$AF$29,1))</f>
        <v/>
      </c>
      <c r="AY8" s="78" t="str">
        <f>IF(COUNTIFS('4'!$AG$25:$AG$30,$AK8,'4'!$AF$25:$AF$30,1)=0,"",SUMIFS('4'!$AC$25:$AC$30,'4'!$AG$25:$AG$30,$AK8,'4'!$AF$25:$AF$30,1)/COUNTIFS('4'!$AG$25:$AG$30,$AK8,'4'!$AF$25:$AF$30,1))</f>
        <v/>
      </c>
      <c r="AZ8" s="78" t="str">
        <f>IF(COUNTIFS('5'!$AG$25:$AG$30,$AK8,'5'!$AF$25:$AF$30,1)=0,"",SUMIFS('5'!$AC$25:$AC$30,'5'!$AG$25:$AG$30,$AK8,'5'!$AF$25:$AF$30,1)/COUNTIFS('5'!$AG$25:$AG$30,$AK8,'5'!$AF$25:$AF$30,1))</f>
        <v/>
      </c>
      <c r="BA8" s="78" t="str">
        <f>IF(COUNTIFS('6'!$AG$25:$AG$30,$AK8,'6'!$AF$25:$AF$30,1)=0,"",SUMIFS('6'!$AC$25:$AC$30,'6'!$AG$25:$AG$30,$AK8,'6'!$AF$25:$AF$30,1)/COUNTIFS('6'!$AG$25:$AG$30,$AK8,'6'!$AF$25:$AF$30,1))</f>
        <v/>
      </c>
      <c r="BB8" s="78" t="str">
        <f>IF(COUNTIFS('7'!$AG$30:$AG$35,$AK8,'7'!$AF$30:$AF$35,1)=0,"",SUMIFS('7'!$AC$30:$AC$35,'7'!$AG$30:$AG$35,$AK8,'7'!$AF$30:$AF$35,1)/COUNTIFS('7'!$AG$30:$AG$35,$AK8,'7'!$AF$30:$AF$35,1))</f>
        <v/>
      </c>
      <c r="BC8" s="78" t="str">
        <f>IF(COUNTIFS('8'!$AG$25:$AG$30,$AK8,'8'!$AF$25:$AF$30,1)=0,"",SUMIFS('8'!$AC$25:$AC$30,'8'!$AG$25:$AG$30,$AK8,'8'!$AF$25:$AF$30,1)/COUNTIFS('8'!$AG$25:$AG$30,$AK8,'8'!$AF$25:$AF$30,1))</f>
        <v/>
      </c>
      <c r="BD8" s="78" t="str">
        <f>IF(COUNTIFS('9'!$AG$25:$AG$30,$AK8,'9'!$AF$25:$AF$30,1)=0,"",SUMIFS('9'!$AC$25:$AC$30,'9'!$AG$25:$AG$30,$AK8,'9'!$AF$25:$AF$30,1)/COUNTIFS('9'!$AG$25:$AG$30,$AK8,'9'!$AF$25:$AF$30,1))</f>
        <v/>
      </c>
      <c r="BE8" s="78" t="str">
        <f>IF(COUNTIFS('10'!$AG$25:$AG$30,$AK8,'10'!$AF$25:$AF$30,1)=0,"",SUMIFS('10'!$AC$25:$AC$30,'10'!$AG$25:$AG$30,$AK8,'10'!$AF$25:$AF$30,1)/COUNTIFS('10'!$AG$25:$AG$30,$AK8,'10'!$AF$25:$AF$30,1))</f>
        <v/>
      </c>
      <c r="BF8" s="78" t="str">
        <f>IF(COUNTIFS('11'!$AG$25:$AG$30,$AK8,'11'!$AF$25:$AF$30,1)=0,"",SUMIFS('11'!$AC$25:$AC$30,'11'!$AG$25:$AG$30,$AK8,'11'!$AF$25:$AF$30,1)/COUNTIFS('11'!$AG$25:$AG$30,$AK8,'11'!$AF$25:$AF$30,1))</f>
        <v/>
      </c>
      <c r="BG8" s="78" t="str">
        <f>IF(COUNTIFS('12'!$AG$25:$AG$30,$AK8,'12'!$AF$25:$AF$30,1)=0,"",SUMIFS('12'!$AC$25:$AC$30,'12'!$AG$25:$AG$30,$AK8,'12'!$AF$25:$AF$30,1)/COUNTIFS('12'!$AG$25:$AG$30,$AK8,'12'!$AF$25:$AF$30,1))</f>
        <v/>
      </c>
      <c r="BH8" s="78" t="str">
        <f>IF(COUNTIFS('13'!$AG$25:$AG$30,$AK8,'13'!$AF$25:$AF$30,1)=0,"",SUMIFS('13'!$AC$25:$AC$30,'13'!$AG$25:$AG$30,$AK8,'13'!$AF$25:$AF$30,1)/COUNTIFS('13'!$AG$25:$AG$30,$AK8,'13'!$AF$25:$AF$30,1))</f>
        <v/>
      </c>
      <c r="BI8" s="78" t="str">
        <f>IF(COUNTIFS('14'!$AG$25:$AG$30,$AK8,'14'!$AF$25:$AF$30,1)=0,"",SUMIFS('14'!$AC$25:$AC$30,'14'!$AG$25:$AG$30,$AK8,'14'!$AF$25:$AF$30,1)/COUNTIFS('14'!$AG$25:$AG$30,$AK8,'14'!$AF$25:$AF$30,1))</f>
        <v/>
      </c>
      <c r="BJ8" s="78" t="str">
        <f>IF(COUNTIFS('15'!$AG$25:$AG$30,$AK8,'15'!$AF$25:$AF$30,1)=0,"",SUMIFS('15'!$AC$25:$AC$30,'15'!$AG$25:$AG$30,$AK8,'15'!$AF$25:$AF$30,1)/COUNTIFS('15'!$AG$25:$AG$30,$AK8,'15'!$AF$25:$AF$30,1))</f>
        <v/>
      </c>
      <c r="BK8" s="78" t="str">
        <f>IF(COUNTIFS('16'!$AG$25:$AG$30,$AK8,'16'!$AF$25:$AF$30,1)=0,"",SUMIFS('16'!$AC$25:$AC$30,'16'!$AG$25:$AG$30,$AK8,'16'!$AF$25:$AF$30,1)/COUNTIFS('16'!$AG$25:$AG$30,$AK8,'16'!$AF$25:$AF$30,1))</f>
        <v/>
      </c>
      <c r="BL8" s="78" t="str">
        <f>IF(COUNTIFS('17'!$AG$25:$AG$30,$AK8,'17'!$AF$25:$AF$30,1)=0,"",SUMIFS('17'!$AC$25:$AC$30,'17'!$AG$25:$AG$30,$AK8,'17'!$AF$25:$AF$30,1)/COUNTIFS('17'!$AG$25:$AG$30,$AK8,'17'!$AF$25:$AF$30,1))</f>
        <v/>
      </c>
      <c r="BM8" s="78" t="str">
        <f>IF(COUNTIFS('18'!$AG$25:$AG$30,$AK8,'18'!$AF$25:$AF$30,1)=0,"",SUMIFS('18'!$AC$25:$AC$30,'18'!$AG$25:$AG$30,$AK8,'18'!$AF$25:$AF$30,1)/COUNTIFS('18'!$AG$25:$AG$30,$AK8,'18'!$AF$25:$AF$30,1))</f>
        <v/>
      </c>
      <c r="BN8" s="78" t="str">
        <f>IF(COUNTIFS('19'!$AG$25:$AG$30,$AK8,'19'!$AF$25:$AF$30,1)=0,"",SUMIFS('19'!$AC$25:$AC$30,'19'!$AG$25:$AG$30,$AK8,'19'!$AF$25:$AF$30,1)/COUNTIFS('19'!$AG$25:$AG$30,$AK8,'19'!$AF$25:$AF$30,1))</f>
        <v/>
      </c>
      <c r="BO8" s="78" t="str">
        <f>IF(COUNTIFS('20'!$AG$25:$AG$30,$AK8,'20'!$AF$25:$AF$30,1)=0,"",SUMIFS('20'!$AC$25:$AC$30,'20'!$AG$25:$AG$30,$AK8,'20'!$AF$25:$AF$30,1)/COUNTIFS('20'!$AG$25:$AG$30,$AK8,'20'!$AF$25:$AF$30,1))</f>
        <v/>
      </c>
      <c r="BP8" s="78" t="str">
        <f>IF(COUNTIFS('21'!$AG$25:$AG$30,$AK8,'21'!$AF$25:$AF$30,1)=0,"",SUMIFS('21'!$AC$25:$AC$30,'21'!$AG$25:$AG$30,$AK8,'21'!$AF$25:$AF$30,1)/COUNTIFS('21'!$AG$25:$AG$30,$AK8,'21'!$AF$25:$AF$30,1))</f>
        <v/>
      </c>
      <c r="BQ8" s="78" t="str">
        <f>IF(COUNTIFS('22'!$AG$25:$AG$30,$AK8,'22'!$AF$25:$AF$30,1)=0,"",SUMIFS('22'!$AC$25:$AC$30,'22'!$AG$25:$AG$30,$AK8,'22'!$AF$25:$AF$30,1)/COUNTIFS('22'!$AG$25:$AG$30,$AK8,'22'!$AF$25:$AF$30,1))</f>
        <v/>
      </c>
      <c r="BR8" s="78" t="str">
        <f>IF(COUNTIFS('23'!$AG$25:$AG$30,$AK8,'23'!$AF$25:$AF$30,1)=0,"",SUMIFS('23'!$AC$25:$AC$30,'23'!$AG$25:$AG$30,$AK8,'23'!$AF$25:$AF$30,1)/COUNTIFS('23'!$AG$25:$AG$30,$AK8,'23'!$AF$25:$AF$30,1))</f>
        <v/>
      </c>
      <c r="BS8" s="78" t="str">
        <f>IF(COUNTIFS('24'!$AG$25:$AG$30,$AK8,'24'!$AF$25:$AF$30,1)=0,"",SUMIFS('24'!$AC$25:$AC$30,'24'!$AG$25:$AG$30,$AK8,'24'!$AF$25:$AF$30,1)/COUNTIFS('24'!$AG$25:$AG$30,$AK8,'24'!$AF$25:$AF$30,1))</f>
        <v/>
      </c>
      <c r="BT8" s="78" t="str">
        <f>IF(COUNTIFS('25'!$AG$25:$AG$30,$AK8,'25'!$AF$25:$AF$30,1)=0,"",SUMIFS('25'!$AC$25:$AC$30,'25'!$AG$25:$AG$30,$AK8,'25'!$AF$25:$AF$30,1)/COUNTIFS('25'!$AG$25:$AG$30,$AK8,'25'!$AF$25:$AF$30,1))</f>
        <v/>
      </c>
      <c r="BU8" s="78" t="str">
        <f>IF(COUNTIFS('26'!$AG$25:$AG$30,$AK8,'26'!$AF$25:$AF$30,1)=0,"",SUMIFS('26'!$AC$25:$AC$30,'26'!$AG$25:$AG$30,$AK8,'26'!$AF$25:$AF$30,1)/COUNTIFS('26'!$AG$25:$AG$30,$AK8,'26'!$AF$25:$AF$30,1))</f>
        <v/>
      </c>
      <c r="BV8" s="78" t="str">
        <f>IF(COUNTIFS('27'!$AG$25:$AG$30,$AK8,'27'!$AF$25:$AF$30,1)=0,"",SUMIFS('27'!$AC$25:$AC$30,'27'!$AG$25:$AG$30,$AK8,'27'!$AF$25:$AF$30,1)/COUNTIFS('27'!$AG$25:$AG$30,$AK8,'27'!$AF$25:$AF$30,1))</f>
        <v/>
      </c>
      <c r="BW8" s="78" t="str">
        <f>IF(COUNTIFS('28'!$AG$25:$AG$30,$AK8,'28'!$AF$25:$AF$30,1)=0,"",SUMIFS('28'!$AC$25:$AC$30,'28'!$AG$25:$AG$30,$AK8,'28'!$AF$25:$AF$30,1)/COUNTIFS('28'!$AG$25:$AG$30,$AK8,'28'!$AF$25:$AF$30,1))</f>
        <v/>
      </c>
      <c r="BX8" s="78" t="str">
        <f>IF(COUNTIFS('29'!$AG$25:$AG$30,$AK8,'29'!$AF$25:$AF$30,1)=0,"",SUMIFS('29'!$AC$25:$AC$30,'29'!$AG$25:$AG$30,$AK8,'29'!$AF$25:$AF$30,1)/COUNTIFS('29'!$AG$25:$AG$30,$AK8,'29'!$AF$25:$AF$30,1))</f>
        <v/>
      </c>
      <c r="BY8" s="78" t="str">
        <f>IF(COUNTIFS('30'!$AG$25:$AG$30,$AK8,'30'!$AF$25:$AF$30,1)=0,"",SUMIFS('30'!$AC$25:$AC$30,'30'!$AG$25:$AG$30,$AK8,'30'!$AF$25:$AF$30,1)/COUNTIFS('30'!$AG$25:$AG$30,$AK8,'30'!$AF$25:$AF$30,1))</f>
        <v/>
      </c>
      <c r="BZ8" s="78" t="str">
        <f>IF(COUNTIFS('31'!$AG$28:$AG$33,$AK8,'31'!$AF$28:$AF$33,1)=0,"",SUMIFS('31'!$AC$28:$AC$33,'31'!$AG$28:$AG$33,$AK8,'31'!$AF$28:$AF$33,1)/COUNTIFS('31'!$AG$28:$AG$33,$AK8,'31'!$AF$28:$AF$33,1))</f>
        <v/>
      </c>
      <c r="CA8" s="78" t="s">
        <v>105</v>
      </c>
      <c r="CB8" s="78">
        <f t="shared" si="6"/>
        <v>0</v>
      </c>
    </row>
    <row r="9">
      <c r="A9" s="130" t="str">
        <f>IF(LARGE($Y$5:$Y$17,4)=0,"",4)</f>
        <v/>
      </c>
      <c r="B9" s="130" t="str">
        <f t="shared" si="7"/>
        <v/>
      </c>
      <c r="C9" s="130" t="str">
        <f t="shared" si="8"/>
        <v/>
      </c>
      <c r="D9" s="131" t="str">
        <f t="shared" si="9"/>
        <v/>
      </c>
      <c r="E9" s="131" t="str">
        <f t="shared" si="10"/>
        <v/>
      </c>
      <c r="X9" s="78" t="s">
        <v>106</v>
      </c>
      <c r="Y9" s="78">
        <f>COUNTIF('1'!$D$4:$D$16,X9)+COUNTIF('2'!$D$4:$D$16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78">
        <f t="shared" si="1"/>
        <v>0.00009</v>
      </c>
      <c r="AA9" s="78" t="s">
        <v>98</v>
      </c>
      <c r="AB9" s="78" t="s">
        <v>80</v>
      </c>
      <c r="AC9" s="78">
        <f>COUNTIF('1'!$O$18:$O$21,AA9)+COUNTIF('2'!$O$18:$O$21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78">
        <f t="shared" si="2"/>
        <v>0.00007</v>
      </c>
      <c r="AE9" s="78" t="s">
        <v>98</v>
      </c>
      <c r="AF9" s="78">
        <f>COUNTIF('1'!$L$4:$L$16,AE9)+COUNTIF('2'!$L$4:$L$16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78">
        <f t="shared" si="3"/>
        <v>0.00001</v>
      </c>
      <c r="AH9" s="78" t="s">
        <v>101</v>
      </c>
      <c r="AI9" s="78">
        <f>COUNTIF('1'!$M$4:$M$16,AH9)+COUNTIF('2'!$M$4:$M$16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78">
        <f t="shared" si="4"/>
        <v>0.00002</v>
      </c>
      <c r="AK9" s="78" t="s">
        <v>98</v>
      </c>
      <c r="AL9" s="78" t="s">
        <v>80</v>
      </c>
      <c r="AM9" s="78">
        <f>COUNTIFS('1'!$AG$25:$AG$30,AK9,'1'!$AF$25:$AF$30,1)+COUNTIFS('2'!$AG$25:$AG$30,AK9,'2'!$AF$25:$AF$30,1)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78" t="str">
        <f t="shared" si="5"/>
        <v/>
      </c>
      <c r="AO9" s="78" t="str">
        <f>IF(AM9=0,"",(SUMIFS('1'!$L$25:$L$30,'1'!$AG$25:$AG$30,AK9,'1'!$AF$25:$AF$30,1)+SUMIFS('2'!$L$25:$L$30,'2'!$AG$25:$AG$30,AK9,'2'!$AF$25:$AF$30,1)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78" t="str">
        <f>IF(AM9=0,"",(SUMIFS('1'!$M$25:$M$30,'1'!$AG$25:$AG$30,AK9,'1'!$AF$25:$AF$30,1)+SUMIFS('2'!$M$25:$M$30,'2'!$AG$25:$AG$30,AK9,'2'!$AF$25:$AF$30,1)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78" t="str">
        <f>IF(AM9=0,"",(SUMIFS('1'!$N$25:$N$30,'1'!$AG$25:$AG$30,AK9,'1'!$AF$25:$AF$30,1)+SUMIFS('2'!$N$25:$N$30,'2'!$AG$25:$AG$30,AK9,'2'!$AF$25:$AF$30,1)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78" t="str">
        <f>IF(AM9=0,"",(SUMIFS('1'!$O$25:$O$30,'1'!$AG$25:$AG$30,AK9,'1'!$AF$25:$AF$30,1)+SUMIFS('2'!$O$25:$O$30,'2'!$AG$25:$AG$30,AK9,'2'!$AF$25:$AF$30,1)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78" t="str">
        <f>IF(AM9=0,"",(SUMIFS('1'!$P$25:$P$30,'1'!$AG$25:$AG$30,AK9,'1'!$AF$25:$AF$30,1)+SUMIFS('2'!$P$25:$P$30,'2'!$AG$25:$AG$30,AK9,'2'!$AF$25:$AF$30,1)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78" t="str">
        <f>IF(COUNTIFS('1'!$AG$25:$AG$30,$AK9,'1'!$AF$25:$AF$30,1)=0,"",SUMIFS('1'!$AC$25:$AC$30,'1'!$AG$25:$AG$30,$AK9,'1'!$AF$25:$AF$30,1)/COUNTIFS('1'!$AG$25:$AG$30,$AK9,'1'!$AF$25:$AF$30,1))</f>
        <v/>
      </c>
      <c r="AW9" s="78" t="str">
        <f>IF(COUNTIFS('2'!$AG$25:$AG$30,$AK9,'2'!$AF$25:$AF$30,1)=0,"",SUMIFS('2'!$AC$25:$AC$30,'2'!$AG$25:$AG$30,$AK9,'2'!$AF$25:$AF$30,1)/COUNTIFS('2'!$AG$25:$AG$30,$AK9,'2'!$AF$25:$AF$30,1))</f>
        <v/>
      </c>
      <c r="AX9" s="78" t="str">
        <f>IF(COUNTIFS('3'!$AG$24:$AG$29,$AK9,'3'!$AF$24:$AF$29,1)=0,"",SUMIFS('3'!$AC$24:$AC$29,'3'!$AG$24:$AG$29,$AK9,'3'!$AF$24:$AF$29,1)/COUNTIFS('3'!$AG$24:$AG$29,$AK9,'3'!$AF$24:$AF$29,1))</f>
        <v/>
      </c>
      <c r="AY9" s="78" t="str">
        <f>IF(COUNTIFS('4'!$AG$25:$AG$30,$AK9,'4'!$AF$25:$AF$30,1)=0,"",SUMIFS('4'!$AC$25:$AC$30,'4'!$AG$25:$AG$30,$AK9,'4'!$AF$25:$AF$30,1)/COUNTIFS('4'!$AG$25:$AG$30,$AK9,'4'!$AF$25:$AF$30,1))</f>
        <v/>
      </c>
      <c r="AZ9" s="78" t="str">
        <f>IF(COUNTIFS('5'!$AG$25:$AG$30,$AK9,'5'!$AF$25:$AF$30,1)=0,"",SUMIFS('5'!$AC$25:$AC$30,'5'!$AG$25:$AG$30,$AK9,'5'!$AF$25:$AF$30,1)/COUNTIFS('5'!$AG$25:$AG$30,$AK9,'5'!$AF$25:$AF$30,1))</f>
        <v/>
      </c>
      <c r="BA9" s="78" t="str">
        <f>IF(COUNTIFS('6'!$AG$25:$AG$30,$AK9,'6'!$AF$25:$AF$30,1)=0,"",SUMIFS('6'!$AC$25:$AC$30,'6'!$AG$25:$AG$30,$AK9,'6'!$AF$25:$AF$30,1)/COUNTIFS('6'!$AG$25:$AG$30,$AK9,'6'!$AF$25:$AF$30,1))</f>
        <v/>
      </c>
      <c r="BB9" s="78" t="str">
        <f>IF(COUNTIFS('7'!$AG$30:$AG$35,$AK9,'7'!$AF$30:$AF$35,1)=0,"",SUMIFS('7'!$AC$30:$AC$35,'7'!$AG$30:$AG$35,$AK9,'7'!$AF$30:$AF$35,1)/COUNTIFS('7'!$AG$30:$AG$35,$AK9,'7'!$AF$30:$AF$35,1))</f>
        <v/>
      </c>
      <c r="BC9" s="78" t="str">
        <f>IF(COUNTIFS('8'!$AG$25:$AG$30,$AK9,'8'!$AF$25:$AF$30,1)=0,"",SUMIFS('8'!$AC$25:$AC$30,'8'!$AG$25:$AG$30,$AK9,'8'!$AF$25:$AF$30,1)/COUNTIFS('8'!$AG$25:$AG$30,$AK9,'8'!$AF$25:$AF$30,1))</f>
        <v/>
      </c>
      <c r="BD9" s="78" t="str">
        <f>IF(COUNTIFS('9'!$AG$25:$AG$30,$AK9,'9'!$AF$25:$AF$30,1)=0,"",SUMIFS('9'!$AC$25:$AC$30,'9'!$AG$25:$AG$30,$AK9,'9'!$AF$25:$AF$30,1)/COUNTIFS('9'!$AG$25:$AG$30,$AK9,'9'!$AF$25:$AF$30,1))</f>
        <v/>
      </c>
      <c r="BE9" s="78" t="str">
        <f>IF(COUNTIFS('10'!$AG$25:$AG$30,$AK9,'10'!$AF$25:$AF$30,1)=0,"",SUMIFS('10'!$AC$25:$AC$30,'10'!$AG$25:$AG$30,$AK9,'10'!$AF$25:$AF$30,1)/COUNTIFS('10'!$AG$25:$AG$30,$AK9,'10'!$AF$25:$AF$30,1))</f>
        <v/>
      </c>
      <c r="BF9" s="78" t="str">
        <f>IF(COUNTIFS('11'!$AG$25:$AG$30,$AK9,'11'!$AF$25:$AF$30,1)=0,"",SUMIFS('11'!$AC$25:$AC$30,'11'!$AG$25:$AG$30,$AK9,'11'!$AF$25:$AF$30,1)/COUNTIFS('11'!$AG$25:$AG$30,$AK9,'11'!$AF$25:$AF$30,1))</f>
        <v/>
      </c>
      <c r="BG9" s="78" t="str">
        <f>IF(COUNTIFS('12'!$AG$25:$AG$30,$AK9,'12'!$AF$25:$AF$30,1)=0,"",SUMIFS('12'!$AC$25:$AC$30,'12'!$AG$25:$AG$30,$AK9,'12'!$AF$25:$AF$30,1)/COUNTIFS('12'!$AG$25:$AG$30,$AK9,'12'!$AF$25:$AF$30,1))</f>
        <v/>
      </c>
      <c r="BH9" s="78" t="str">
        <f>IF(COUNTIFS('13'!$AG$25:$AG$30,$AK9,'13'!$AF$25:$AF$30,1)=0,"",SUMIFS('13'!$AC$25:$AC$30,'13'!$AG$25:$AG$30,$AK9,'13'!$AF$25:$AF$30,1)/COUNTIFS('13'!$AG$25:$AG$30,$AK9,'13'!$AF$25:$AF$30,1))</f>
        <v/>
      </c>
      <c r="BI9" s="78" t="str">
        <f>IF(COUNTIFS('14'!$AG$25:$AG$30,$AK9,'14'!$AF$25:$AF$30,1)=0,"",SUMIFS('14'!$AC$25:$AC$30,'14'!$AG$25:$AG$30,$AK9,'14'!$AF$25:$AF$30,1)/COUNTIFS('14'!$AG$25:$AG$30,$AK9,'14'!$AF$25:$AF$30,1))</f>
        <v/>
      </c>
      <c r="BJ9" s="78" t="str">
        <f>IF(COUNTIFS('15'!$AG$25:$AG$30,$AK9,'15'!$AF$25:$AF$30,1)=0,"",SUMIFS('15'!$AC$25:$AC$30,'15'!$AG$25:$AG$30,$AK9,'15'!$AF$25:$AF$30,1)/COUNTIFS('15'!$AG$25:$AG$30,$AK9,'15'!$AF$25:$AF$30,1))</f>
        <v/>
      </c>
      <c r="BK9" s="78" t="str">
        <f>IF(COUNTIFS('16'!$AG$25:$AG$30,$AK9,'16'!$AF$25:$AF$30,1)=0,"",SUMIFS('16'!$AC$25:$AC$30,'16'!$AG$25:$AG$30,$AK9,'16'!$AF$25:$AF$30,1)/COUNTIFS('16'!$AG$25:$AG$30,$AK9,'16'!$AF$25:$AF$30,1))</f>
        <v/>
      </c>
      <c r="BL9" s="78" t="str">
        <f>IF(COUNTIFS('17'!$AG$25:$AG$30,$AK9,'17'!$AF$25:$AF$30,1)=0,"",SUMIFS('17'!$AC$25:$AC$30,'17'!$AG$25:$AG$30,$AK9,'17'!$AF$25:$AF$30,1)/COUNTIFS('17'!$AG$25:$AG$30,$AK9,'17'!$AF$25:$AF$30,1))</f>
        <v/>
      </c>
      <c r="BM9" s="78" t="str">
        <f>IF(COUNTIFS('18'!$AG$25:$AG$30,$AK9,'18'!$AF$25:$AF$30,1)=0,"",SUMIFS('18'!$AC$25:$AC$30,'18'!$AG$25:$AG$30,$AK9,'18'!$AF$25:$AF$30,1)/COUNTIFS('18'!$AG$25:$AG$30,$AK9,'18'!$AF$25:$AF$30,1))</f>
        <v/>
      </c>
      <c r="BN9" s="78" t="str">
        <f>IF(COUNTIFS('19'!$AG$25:$AG$30,$AK9,'19'!$AF$25:$AF$30,1)=0,"",SUMIFS('19'!$AC$25:$AC$30,'19'!$AG$25:$AG$30,$AK9,'19'!$AF$25:$AF$30,1)/COUNTIFS('19'!$AG$25:$AG$30,$AK9,'19'!$AF$25:$AF$30,1))</f>
        <v/>
      </c>
      <c r="BO9" s="78" t="str">
        <f>IF(COUNTIFS('20'!$AG$25:$AG$30,$AK9,'20'!$AF$25:$AF$30,1)=0,"",SUMIFS('20'!$AC$25:$AC$30,'20'!$AG$25:$AG$30,$AK9,'20'!$AF$25:$AF$30,1)/COUNTIFS('20'!$AG$25:$AG$30,$AK9,'20'!$AF$25:$AF$30,1))</f>
        <v/>
      </c>
      <c r="BP9" s="78" t="str">
        <f>IF(COUNTIFS('21'!$AG$25:$AG$30,$AK9,'21'!$AF$25:$AF$30,1)=0,"",SUMIFS('21'!$AC$25:$AC$30,'21'!$AG$25:$AG$30,$AK9,'21'!$AF$25:$AF$30,1)/COUNTIFS('21'!$AG$25:$AG$30,$AK9,'21'!$AF$25:$AF$30,1))</f>
        <v/>
      </c>
      <c r="BQ9" s="78" t="str">
        <f>IF(COUNTIFS('22'!$AG$25:$AG$30,$AK9,'22'!$AF$25:$AF$30,1)=0,"",SUMIFS('22'!$AC$25:$AC$30,'22'!$AG$25:$AG$30,$AK9,'22'!$AF$25:$AF$30,1)/COUNTIFS('22'!$AG$25:$AG$30,$AK9,'22'!$AF$25:$AF$30,1))</f>
        <v/>
      </c>
      <c r="BR9" s="78" t="str">
        <f>IF(COUNTIFS('23'!$AG$25:$AG$30,$AK9,'23'!$AF$25:$AF$30,1)=0,"",SUMIFS('23'!$AC$25:$AC$30,'23'!$AG$25:$AG$30,$AK9,'23'!$AF$25:$AF$30,1)/COUNTIFS('23'!$AG$25:$AG$30,$AK9,'23'!$AF$25:$AF$30,1))</f>
        <v/>
      </c>
      <c r="BS9" s="78" t="str">
        <f>IF(COUNTIFS('24'!$AG$25:$AG$30,$AK9,'24'!$AF$25:$AF$30,1)=0,"",SUMIFS('24'!$AC$25:$AC$30,'24'!$AG$25:$AG$30,$AK9,'24'!$AF$25:$AF$30,1)/COUNTIFS('24'!$AG$25:$AG$30,$AK9,'24'!$AF$25:$AF$30,1))</f>
        <v/>
      </c>
      <c r="BT9" s="78" t="str">
        <f>IF(COUNTIFS('25'!$AG$25:$AG$30,$AK9,'25'!$AF$25:$AF$30,1)=0,"",SUMIFS('25'!$AC$25:$AC$30,'25'!$AG$25:$AG$30,$AK9,'25'!$AF$25:$AF$30,1)/COUNTIFS('25'!$AG$25:$AG$30,$AK9,'25'!$AF$25:$AF$30,1))</f>
        <v/>
      </c>
      <c r="BU9" s="78" t="str">
        <f>IF(COUNTIFS('26'!$AG$25:$AG$30,$AK9,'26'!$AF$25:$AF$30,1)=0,"",SUMIFS('26'!$AC$25:$AC$30,'26'!$AG$25:$AG$30,$AK9,'26'!$AF$25:$AF$30,1)/COUNTIFS('26'!$AG$25:$AG$30,$AK9,'26'!$AF$25:$AF$30,1))</f>
        <v/>
      </c>
      <c r="BV9" s="78" t="str">
        <f>IF(COUNTIFS('27'!$AG$25:$AG$30,$AK9,'27'!$AF$25:$AF$30,1)=0,"",SUMIFS('27'!$AC$25:$AC$30,'27'!$AG$25:$AG$30,$AK9,'27'!$AF$25:$AF$30,1)/COUNTIFS('27'!$AG$25:$AG$30,$AK9,'27'!$AF$25:$AF$30,1))</f>
        <v/>
      </c>
      <c r="BW9" s="78" t="str">
        <f>IF(COUNTIFS('28'!$AG$25:$AG$30,$AK9,'28'!$AF$25:$AF$30,1)=0,"",SUMIFS('28'!$AC$25:$AC$30,'28'!$AG$25:$AG$30,$AK9,'28'!$AF$25:$AF$30,1)/COUNTIFS('28'!$AG$25:$AG$30,$AK9,'28'!$AF$25:$AF$30,1))</f>
        <v/>
      </c>
      <c r="BX9" s="78" t="str">
        <f>IF(COUNTIFS('29'!$AG$25:$AG$30,$AK9,'29'!$AF$25:$AF$30,1)=0,"",SUMIFS('29'!$AC$25:$AC$30,'29'!$AG$25:$AG$30,$AK9,'29'!$AF$25:$AF$30,1)/COUNTIFS('29'!$AG$25:$AG$30,$AK9,'29'!$AF$25:$AF$30,1))</f>
        <v/>
      </c>
      <c r="BY9" s="78" t="str">
        <f>IF(COUNTIFS('30'!$AG$25:$AG$30,$AK9,'30'!$AF$25:$AF$30,1)=0,"",SUMIFS('30'!$AC$25:$AC$30,'30'!$AG$25:$AG$30,$AK9,'30'!$AF$25:$AF$30,1)/COUNTIFS('30'!$AG$25:$AG$30,$AK9,'30'!$AF$25:$AF$30,1))</f>
        <v/>
      </c>
      <c r="BZ9" s="7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30" t="str">
        <f>IF(LARGE($Y$5:$Y$17,5)=0,"",5)</f>
        <v/>
      </c>
      <c r="B10" s="130" t="str">
        <f t="shared" si="7"/>
        <v/>
      </c>
      <c r="C10" s="130" t="str">
        <f t="shared" si="8"/>
        <v/>
      </c>
      <c r="D10" s="131" t="str">
        <f t="shared" si="9"/>
        <v/>
      </c>
      <c r="E10" s="131" t="str">
        <f t="shared" si="10"/>
        <v/>
      </c>
      <c r="X10" s="78" t="s">
        <v>24</v>
      </c>
      <c r="Y10" s="78">
        <f>COUNTIF('1'!$D$4:$D$16,X10)+COUNTIF('2'!$D$4:$D$16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</v>
      </c>
      <c r="Z10" s="78">
        <f t="shared" si="1"/>
        <v>1.00008</v>
      </c>
      <c r="AA10" s="78" t="s">
        <v>87</v>
      </c>
      <c r="AB10" s="78" t="s">
        <v>99</v>
      </c>
      <c r="AC10" s="78">
        <f>COUNTIF('1'!$O$18:$O$21,AA10)+COUNTIF('2'!$O$18:$O$21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78">
        <f t="shared" si="2"/>
        <v>0.00006</v>
      </c>
      <c r="AH10" s="78" t="s">
        <v>102</v>
      </c>
      <c r="AI10" s="78">
        <f>COUNTIF('1'!$M$4:$M$16,AH10)+COUNTIF('2'!$M$4:$M$16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78">
        <f t="shared" si="4"/>
        <v>0.00001</v>
      </c>
      <c r="AK10" s="78" t="s">
        <v>87</v>
      </c>
      <c r="AL10" s="78" t="s">
        <v>99</v>
      </c>
      <c r="AM10" s="78">
        <f>COUNTIFS('1'!$AG$25:$AG$30,AK10,'1'!$AF$25:$AF$30,1)+COUNTIFS('2'!$AG$25:$AG$30,AK10,'2'!$AF$25:$AF$30,1)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78" t="str">
        <f t="shared" si="5"/>
        <v/>
      </c>
      <c r="AO10" s="78" t="str">
        <f>IF(AM10=0,"",(SUMIFS('1'!$L$25:$L$30,'1'!$AG$25:$AG$30,AK10,'1'!$AF$25:$AF$30,1)+SUMIFS('2'!$L$25:$L$30,'2'!$AG$25:$AG$30,AK10,'2'!$AF$25:$AF$30,1)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78" t="str">
        <f>IF(AM10=0,"",(SUMIFS('1'!$M$25:$M$30,'1'!$AG$25:$AG$30,AK10,'1'!$AF$25:$AF$30,1)+SUMIFS('2'!$M$25:$M$30,'2'!$AG$25:$AG$30,AK10,'2'!$AF$25:$AF$30,1)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78" t="str">
        <f>IF(AM10=0,"",(SUMIFS('1'!$N$25:$N$30,'1'!$AG$25:$AG$30,AK10,'1'!$AF$25:$AF$30,1)+SUMIFS('2'!$N$25:$N$30,'2'!$AG$25:$AG$30,AK10,'2'!$AF$25:$AF$30,1)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78" t="str">
        <f>IF(AM10=0,"",(SUMIFS('1'!$O$25:$O$30,'1'!$AG$25:$AG$30,AK10,'1'!$AF$25:$AF$30,1)+SUMIFS('2'!$O$25:$O$30,'2'!$AG$25:$AG$30,AK10,'2'!$AF$25:$AF$30,1)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78" t="str">
        <f>IF(AM10=0,"",(SUMIFS('1'!$P$25:$P$30,'1'!$AG$25:$AG$30,AK10,'1'!$AF$25:$AF$30,1)+SUMIFS('2'!$P$25:$P$30,'2'!$AG$25:$AG$30,AK10,'2'!$AF$25:$AF$30,1)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78" t="str">
        <f>IF(COUNTIFS('1'!$AG$25:$AG$30,$AK10,'1'!$AF$25:$AF$30,1)=0,"",SUMIFS('1'!$AC$25:$AC$30,'1'!$AG$25:$AG$30,$AK10,'1'!$AF$25:$AF$30,1)/COUNTIFS('1'!$AG$25:$AG$30,$AK10,'1'!$AF$25:$AF$30,1))</f>
        <v/>
      </c>
      <c r="AW10" s="78" t="str">
        <f>IF(COUNTIFS('2'!$AG$25:$AG$30,$AK10,'2'!$AF$25:$AF$30,1)=0,"",SUMIFS('2'!$AC$25:$AC$30,'2'!$AG$25:$AG$30,$AK10,'2'!$AF$25:$AF$30,1)/COUNTIFS('2'!$AG$25:$AG$30,$AK10,'2'!$AF$25:$AF$30,1))</f>
        <v/>
      </c>
      <c r="AX10" s="78" t="str">
        <f>IF(COUNTIFS('3'!$AG$24:$AG$29,$AK10,'3'!$AF$24:$AF$29,1)=0,"",SUMIFS('3'!$AC$24:$AC$29,'3'!$AG$24:$AG$29,$AK10,'3'!$AF$24:$AF$29,1)/COUNTIFS('3'!$AG$24:$AG$29,$AK10,'3'!$AF$24:$AF$29,1))</f>
        <v/>
      </c>
      <c r="AY10" s="78" t="str">
        <f>IF(COUNTIFS('4'!$AG$25:$AG$30,$AK10,'4'!$AF$25:$AF$30,1)=0,"",SUMIFS('4'!$AC$25:$AC$30,'4'!$AG$25:$AG$30,$AK10,'4'!$AF$25:$AF$30,1)/COUNTIFS('4'!$AG$25:$AG$30,$AK10,'4'!$AF$25:$AF$30,1))</f>
        <v/>
      </c>
      <c r="AZ10" s="78" t="str">
        <f>IF(COUNTIFS('5'!$AG$25:$AG$30,$AK10,'5'!$AF$25:$AF$30,1)=0,"",SUMIFS('5'!$AC$25:$AC$30,'5'!$AG$25:$AG$30,$AK10,'5'!$AF$25:$AF$30,1)/COUNTIFS('5'!$AG$25:$AG$30,$AK10,'5'!$AF$25:$AF$30,1))</f>
        <v/>
      </c>
      <c r="BA10" s="78" t="str">
        <f>IF(COUNTIFS('6'!$AG$25:$AG$30,$AK10,'6'!$AF$25:$AF$30,1)=0,"",SUMIFS('6'!$AC$25:$AC$30,'6'!$AG$25:$AG$30,$AK10,'6'!$AF$25:$AF$30,1)/COUNTIFS('6'!$AG$25:$AG$30,$AK10,'6'!$AF$25:$AF$30,1))</f>
        <v/>
      </c>
      <c r="BB10" s="78" t="str">
        <f>IF(COUNTIFS('7'!$AG$30:$AG$35,$AK10,'7'!$AF$30:$AF$35,1)=0,"",SUMIFS('7'!$AC$30:$AC$35,'7'!$AG$30:$AG$35,$AK10,'7'!$AF$30:$AF$35,1)/COUNTIFS('7'!$AG$30:$AG$35,$AK10,'7'!$AF$30:$AF$35,1))</f>
        <v/>
      </c>
      <c r="BC10" s="78" t="str">
        <f>IF(COUNTIFS('8'!$AG$25:$AG$30,$AK10,'8'!$AF$25:$AF$30,1)=0,"",SUMIFS('8'!$AC$25:$AC$30,'8'!$AG$25:$AG$30,$AK10,'8'!$AF$25:$AF$30,1)/COUNTIFS('8'!$AG$25:$AG$30,$AK10,'8'!$AF$25:$AF$30,1))</f>
        <v/>
      </c>
      <c r="BD10" s="78" t="str">
        <f>IF(COUNTIFS('9'!$AG$25:$AG$30,$AK10,'9'!$AF$25:$AF$30,1)=0,"",SUMIFS('9'!$AC$25:$AC$30,'9'!$AG$25:$AG$30,$AK10,'9'!$AF$25:$AF$30,1)/COUNTIFS('9'!$AG$25:$AG$30,$AK10,'9'!$AF$25:$AF$30,1))</f>
        <v/>
      </c>
      <c r="BE10" s="78" t="str">
        <f>IF(COUNTIFS('10'!$AG$25:$AG$30,$AK10,'10'!$AF$25:$AF$30,1)=0,"",SUMIFS('10'!$AC$25:$AC$30,'10'!$AG$25:$AG$30,$AK10,'10'!$AF$25:$AF$30,1)/COUNTIFS('10'!$AG$25:$AG$30,$AK10,'10'!$AF$25:$AF$30,1))</f>
        <v/>
      </c>
      <c r="BF10" s="78" t="str">
        <f>IF(COUNTIFS('11'!$AG$25:$AG$30,$AK10,'11'!$AF$25:$AF$30,1)=0,"",SUMIFS('11'!$AC$25:$AC$30,'11'!$AG$25:$AG$30,$AK10,'11'!$AF$25:$AF$30,1)/COUNTIFS('11'!$AG$25:$AG$30,$AK10,'11'!$AF$25:$AF$30,1))</f>
        <v/>
      </c>
      <c r="BG10" s="78" t="str">
        <f>IF(COUNTIFS('12'!$AG$25:$AG$30,$AK10,'12'!$AF$25:$AF$30,1)=0,"",SUMIFS('12'!$AC$25:$AC$30,'12'!$AG$25:$AG$30,$AK10,'12'!$AF$25:$AF$30,1)/COUNTIFS('12'!$AG$25:$AG$30,$AK10,'12'!$AF$25:$AF$30,1))</f>
        <v/>
      </c>
      <c r="BH10" s="78" t="str">
        <f>IF(COUNTIFS('13'!$AG$25:$AG$30,$AK10,'13'!$AF$25:$AF$30,1)=0,"",SUMIFS('13'!$AC$25:$AC$30,'13'!$AG$25:$AG$30,$AK10,'13'!$AF$25:$AF$30,1)/COUNTIFS('13'!$AG$25:$AG$30,$AK10,'13'!$AF$25:$AF$30,1))</f>
        <v/>
      </c>
      <c r="BI10" s="78" t="str">
        <f>IF(COUNTIFS('14'!$AG$25:$AG$30,$AK10,'14'!$AF$25:$AF$30,1)=0,"",SUMIFS('14'!$AC$25:$AC$30,'14'!$AG$25:$AG$30,$AK10,'14'!$AF$25:$AF$30,1)/COUNTIFS('14'!$AG$25:$AG$30,$AK10,'14'!$AF$25:$AF$30,1))</f>
        <v/>
      </c>
      <c r="BJ10" s="78" t="str">
        <f>IF(COUNTIFS('15'!$AG$25:$AG$30,$AK10,'15'!$AF$25:$AF$30,1)=0,"",SUMIFS('15'!$AC$25:$AC$30,'15'!$AG$25:$AG$30,$AK10,'15'!$AF$25:$AF$30,1)/COUNTIFS('15'!$AG$25:$AG$30,$AK10,'15'!$AF$25:$AF$30,1))</f>
        <v/>
      </c>
      <c r="BK10" s="78" t="str">
        <f>IF(COUNTIFS('16'!$AG$25:$AG$30,$AK10,'16'!$AF$25:$AF$30,1)=0,"",SUMIFS('16'!$AC$25:$AC$30,'16'!$AG$25:$AG$30,$AK10,'16'!$AF$25:$AF$30,1)/COUNTIFS('16'!$AG$25:$AG$30,$AK10,'16'!$AF$25:$AF$30,1))</f>
        <v/>
      </c>
      <c r="BL10" s="78" t="str">
        <f>IF(COUNTIFS('17'!$AG$25:$AG$30,$AK10,'17'!$AF$25:$AF$30,1)=0,"",SUMIFS('17'!$AC$25:$AC$30,'17'!$AG$25:$AG$30,$AK10,'17'!$AF$25:$AF$30,1)/COUNTIFS('17'!$AG$25:$AG$30,$AK10,'17'!$AF$25:$AF$30,1))</f>
        <v/>
      </c>
      <c r="BM10" s="78" t="str">
        <f>IF(COUNTIFS('18'!$AG$25:$AG$30,$AK10,'18'!$AF$25:$AF$30,1)=0,"",SUMIFS('18'!$AC$25:$AC$30,'18'!$AG$25:$AG$30,$AK10,'18'!$AF$25:$AF$30,1)/COUNTIFS('18'!$AG$25:$AG$30,$AK10,'18'!$AF$25:$AF$30,1))</f>
        <v/>
      </c>
      <c r="BN10" s="78" t="str">
        <f>IF(COUNTIFS('19'!$AG$25:$AG$30,$AK10,'19'!$AF$25:$AF$30,1)=0,"",SUMIFS('19'!$AC$25:$AC$30,'19'!$AG$25:$AG$30,$AK10,'19'!$AF$25:$AF$30,1)/COUNTIFS('19'!$AG$25:$AG$30,$AK10,'19'!$AF$25:$AF$30,1))</f>
        <v/>
      </c>
      <c r="BO10" s="78" t="str">
        <f>IF(COUNTIFS('20'!$AG$25:$AG$30,$AK10,'20'!$AF$25:$AF$30,1)=0,"",SUMIFS('20'!$AC$25:$AC$30,'20'!$AG$25:$AG$30,$AK10,'20'!$AF$25:$AF$30,1)/COUNTIFS('20'!$AG$25:$AG$30,$AK10,'20'!$AF$25:$AF$30,1))</f>
        <v/>
      </c>
      <c r="BP10" s="78" t="str">
        <f>IF(COUNTIFS('21'!$AG$25:$AG$30,$AK10,'21'!$AF$25:$AF$30,1)=0,"",SUMIFS('21'!$AC$25:$AC$30,'21'!$AG$25:$AG$30,$AK10,'21'!$AF$25:$AF$30,1)/COUNTIFS('21'!$AG$25:$AG$30,$AK10,'21'!$AF$25:$AF$30,1))</f>
        <v/>
      </c>
      <c r="BQ10" s="78" t="str">
        <f>IF(COUNTIFS('22'!$AG$25:$AG$30,$AK10,'22'!$AF$25:$AF$30,1)=0,"",SUMIFS('22'!$AC$25:$AC$30,'22'!$AG$25:$AG$30,$AK10,'22'!$AF$25:$AF$30,1)/COUNTIFS('22'!$AG$25:$AG$30,$AK10,'22'!$AF$25:$AF$30,1))</f>
        <v/>
      </c>
      <c r="BR10" s="78" t="str">
        <f>IF(COUNTIFS('23'!$AG$25:$AG$30,$AK10,'23'!$AF$25:$AF$30,1)=0,"",SUMIFS('23'!$AC$25:$AC$30,'23'!$AG$25:$AG$30,$AK10,'23'!$AF$25:$AF$30,1)/COUNTIFS('23'!$AG$25:$AG$30,$AK10,'23'!$AF$25:$AF$30,1))</f>
        <v/>
      </c>
      <c r="BS10" s="78" t="str">
        <f>IF(COUNTIFS('24'!$AG$25:$AG$30,$AK10,'24'!$AF$25:$AF$30,1)=0,"",SUMIFS('24'!$AC$25:$AC$30,'24'!$AG$25:$AG$30,$AK10,'24'!$AF$25:$AF$30,1)/COUNTIFS('24'!$AG$25:$AG$30,$AK10,'24'!$AF$25:$AF$30,1))</f>
        <v/>
      </c>
      <c r="BT10" s="78" t="str">
        <f>IF(COUNTIFS('25'!$AG$25:$AG$30,$AK10,'25'!$AF$25:$AF$30,1)=0,"",SUMIFS('25'!$AC$25:$AC$30,'25'!$AG$25:$AG$30,$AK10,'25'!$AF$25:$AF$30,1)/COUNTIFS('25'!$AG$25:$AG$30,$AK10,'25'!$AF$25:$AF$30,1))</f>
        <v/>
      </c>
      <c r="BU10" s="78" t="str">
        <f>IF(COUNTIFS('26'!$AG$25:$AG$30,$AK10,'26'!$AF$25:$AF$30,1)=0,"",SUMIFS('26'!$AC$25:$AC$30,'26'!$AG$25:$AG$30,$AK10,'26'!$AF$25:$AF$30,1)/COUNTIFS('26'!$AG$25:$AG$30,$AK10,'26'!$AF$25:$AF$30,1))</f>
        <v/>
      </c>
      <c r="BV10" s="78" t="str">
        <f>IF(COUNTIFS('27'!$AG$25:$AG$30,$AK10,'27'!$AF$25:$AF$30,1)=0,"",SUMIFS('27'!$AC$25:$AC$30,'27'!$AG$25:$AG$30,$AK10,'27'!$AF$25:$AF$30,1)/COUNTIFS('27'!$AG$25:$AG$30,$AK10,'27'!$AF$25:$AF$30,1))</f>
        <v/>
      </c>
      <c r="BW10" s="78" t="str">
        <f>IF(COUNTIFS('28'!$AG$25:$AG$30,$AK10,'28'!$AF$25:$AF$30,1)=0,"",SUMIFS('28'!$AC$25:$AC$30,'28'!$AG$25:$AG$30,$AK10,'28'!$AF$25:$AF$30,1)/COUNTIFS('28'!$AG$25:$AG$30,$AK10,'28'!$AF$25:$AF$30,1))</f>
        <v/>
      </c>
      <c r="BX10" s="78" t="str">
        <f>IF(COUNTIFS('29'!$AG$25:$AG$30,$AK10,'29'!$AF$25:$AF$30,1)=0,"",SUMIFS('29'!$AC$25:$AC$30,'29'!$AG$25:$AG$30,$AK10,'29'!$AF$25:$AF$30,1)/COUNTIFS('29'!$AG$25:$AG$30,$AK10,'29'!$AF$25:$AF$30,1))</f>
        <v/>
      </c>
      <c r="BY10" s="78" t="str">
        <f>IF(COUNTIFS('30'!$AG$25:$AG$30,$AK10,'30'!$AF$25:$AF$30,1)=0,"",SUMIFS('30'!$AC$25:$AC$30,'30'!$AG$25:$AG$30,$AK10,'30'!$AF$25:$AF$30,1)/COUNTIFS('30'!$AG$25:$AG$30,$AK10,'30'!$AF$25:$AF$30,1))</f>
        <v/>
      </c>
      <c r="BZ10" s="7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30" t="str">
        <f>IF(LARGE($Y$5:$Y$17,6)=0,"",6)</f>
        <v/>
      </c>
      <c r="B11" s="130" t="str">
        <f t="shared" si="7"/>
        <v/>
      </c>
      <c r="C11" s="130" t="str">
        <f t="shared" si="8"/>
        <v/>
      </c>
      <c r="D11" s="131" t="str">
        <f t="shared" si="9"/>
        <v/>
      </c>
      <c r="E11" s="131" t="str">
        <f t="shared" si="10"/>
        <v/>
      </c>
      <c r="X11" s="78" t="s">
        <v>107</v>
      </c>
      <c r="Y11" s="78">
        <f>COUNTIF('1'!$D$4:$D$16,X11)+COUNTIF('2'!$D$4:$D$16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78">
        <f t="shared" si="1"/>
        <v>0.00007</v>
      </c>
      <c r="AA11" s="78" t="s">
        <v>90</v>
      </c>
      <c r="AB11" s="78" t="s">
        <v>99</v>
      </c>
      <c r="AC11" s="78">
        <f>COUNTIF('1'!$O$18:$O$21,AA11)+COUNTIF('2'!$O$18:$O$21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78">
        <f t="shared" si="2"/>
        <v>0.00005</v>
      </c>
      <c r="AK11" s="78" t="s">
        <v>90</v>
      </c>
      <c r="AL11" s="78" t="s">
        <v>99</v>
      </c>
      <c r="AM11" s="78">
        <f>COUNTIFS('1'!$AG$25:$AG$30,AK11,'1'!$AF$25:$AF$30,1)+COUNTIFS('2'!$AG$25:$AG$30,AK11,'2'!$AF$25:$AF$30,1)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78" t="str">
        <f t="shared" si="5"/>
        <v/>
      </c>
      <c r="AO11" s="78" t="str">
        <f>IF(AM11=0,"",(SUMIFS('1'!$L$25:$L$30,'1'!$AG$25:$AG$30,AK11,'1'!$AF$25:$AF$30,1)+SUMIFS('2'!$L$25:$L$30,'2'!$AG$25:$AG$30,AK11,'2'!$AF$25:$AF$30,1)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78" t="str">
        <f>IF(AM11=0,"",(SUMIFS('1'!$M$25:$M$30,'1'!$AG$25:$AG$30,AK11,'1'!$AF$25:$AF$30,1)+SUMIFS('2'!$M$25:$M$30,'2'!$AG$25:$AG$30,AK11,'2'!$AF$25:$AF$30,1)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78" t="str">
        <f>IF(AM11=0,"",(SUMIFS('1'!$N$25:$N$30,'1'!$AG$25:$AG$30,AK11,'1'!$AF$25:$AF$30,1)+SUMIFS('2'!$N$25:$N$30,'2'!$AG$25:$AG$30,AK11,'2'!$AF$25:$AF$30,1)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78" t="str">
        <f>IF(AM11=0,"",(SUMIFS('1'!$O$25:$O$30,'1'!$AG$25:$AG$30,AK11,'1'!$AF$25:$AF$30,1)+SUMIFS('2'!$O$25:$O$30,'2'!$AG$25:$AG$30,AK11,'2'!$AF$25:$AF$30,1)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78" t="str">
        <f>IF(AM11=0,"",(SUMIFS('1'!$P$25:$P$30,'1'!$AG$25:$AG$30,AK11,'1'!$AF$25:$AF$30,1)+SUMIFS('2'!$P$25:$P$30,'2'!$AG$25:$AG$30,AK11,'2'!$AF$25:$AF$30,1)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78" t="str">
        <f>IF(COUNTIFS('1'!$AG$25:$AG$30,$AK11,'1'!$AF$25:$AF$30,1)=0,"",SUMIFS('1'!$AC$25:$AC$30,'1'!$AG$25:$AG$30,$AK11,'1'!$AF$25:$AF$30,1)/COUNTIFS('1'!$AG$25:$AG$30,$AK11,'1'!$AF$25:$AF$30,1))</f>
        <v/>
      </c>
      <c r="AW11" s="78" t="str">
        <f>IF(COUNTIFS('2'!$AG$25:$AG$30,$AK11,'2'!$AF$25:$AF$30,1)=0,"",SUMIFS('2'!$AC$25:$AC$30,'2'!$AG$25:$AG$30,$AK11,'2'!$AF$25:$AF$30,1)/COUNTIFS('2'!$AG$25:$AG$30,$AK11,'2'!$AF$25:$AF$30,1))</f>
        <v/>
      </c>
      <c r="AX11" s="78" t="str">
        <f>IF(COUNTIFS('3'!$AG$24:$AG$29,$AK11,'3'!$AF$24:$AF$29,1)=0,"",SUMIFS('3'!$AC$24:$AC$29,'3'!$AG$24:$AG$29,$AK11,'3'!$AF$24:$AF$29,1)/COUNTIFS('3'!$AG$24:$AG$29,$AK11,'3'!$AF$24:$AF$29,1))</f>
        <v/>
      </c>
      <c r="AY11" s="78" t="str">
        <f>IF(COUNTIFS('4'!$AG$25:$AG$30,$AK11,'4'!$AF$25:$AF$30,1)=0,"",SUMIFS('4'!$AC$25:$AC$30,'4'!$AG$25:$AG$30,$AK11,'4'!$AF$25:$AF$30,1)/COUNTIFS('4'!$AG$25:$AG$30,$AK11,'4'!$AF$25:$AF$30,1))</f>
        <v/>
      </c>
      <c r="AZ11" s="78" t="str">
        <f>IF(COUNTIFS('5'!$AG$25:$AG$30,$AK11,'5'!$AF$25:$AF$30,1)=0,"",SUMIFS('5'!$AC$25:$AC$30,'5'!$AG$25:$AG$30,$AK11,'5'!$AF$25:$AF$30,1)/COUNTIFS('5'!$AG$25:$AG$30,$AK11,'5'!$AF$25:$AF$30,1))</f>
        <v/>
      </c>
      <c r="BA11" s="78" t="str">
        <f>IF(COUNTIFS('6'!$AG$25:$AG$30,$AK11,'6'!$AF$25:$AF$30,1)=0,"",SUMIFS('6'!$AC$25:$AC$30,'6'!$AG$25:$AG$30,$AK11,'6'!$AF$25:$AF$30,1)/COUNTIFS('6'!$AG$25:$AG$30,$AK11,'6'!$AF$25:$AF$30,1))</f>
        <v/>
      </c>
      <c r="BB11" s="78" t="str">
        <f>IF(COUNTIFS('7'!$AG$30:$AG$35,$AK11,'7'!$AF$30:$AF$35,1)=0,"",SUMIFS('7'!$AC$30:$AC$35,'7'!$AG$30:$AG$35,$AK11,'7'!$AF$30:$AF$35,1)/COUNTIFS('7'!$AG$30:$AG$35,$AK11,'7'!$AF$30:$AF$35,1))</f>
        <v/>
      </c>
      <c r="BC11" s="78" t="str">
        <f>IF(COUNTIFS('8'!$AG$25:$AG$30,$AK11,'8'!$AF$25:$AF$30,1)=0,"",SUMIFS('8'!$AC$25:$AC$30,'8'!$AG$25:$AG$30,$AK11,'8'!$AF$25:$AF$30,1)/COUNTIFS('8'!$AG$25:$AG$30,$AK11,'8'!$AF$25:$AF$30,1))</f>
        <v/>
      </c>
      <c r="BD11" s="78" t="str">
        <f>IF(COUNTIFS('9'!$AG$25:$AG$30,$AK11,'9'!$AF$25:$AF$30,1)=0,"",SUMIFS('9'!$AC$25:$AC$30,'9'!$AG$25:$AG$30,$AK11,'9'!$AF$25:$AF$30,1)/COUNTIFS('9'!$AG$25:$AG$30,$AK11,'9'!$AF$25:$AF$30,1))</f>
        <v/>
      </c>
      <c r="BE11" s="78" t="str">
        <f>IF(COUNTIFS('10'!$AG$25:$AG$30,$AK11,'10'!$AF$25:$AF$30,1)=0,"",SUMIFS('10'!$AC$25:$AC$30,'10'!$AG$25:$AG$30,$AK11,'10'!$AF$25:$AF$30,1)/COUNTIFS('10'!$AG$25:$AG$30,$AK11,'10'!$AF$25:$AF$30,1))</f>
        <v/>
      </c>
      <c r="BF11" s="78" t="str">
        <f>IF(COUNTIFS('11'!$AG$25:$AG$30,$AK11,'11'!$AF$25:$AF$30,1)=0,"",SUMIFS('11'!$AC$25:$AC$30,'11'!$AG$25:$AG$30,$AK11,'11'!$AF$25:$AF$30,1)/COUNTIFS('11'!$AG$25:$AG$30,$AK11,'11'!$AF$25:$AF$30,1))</f>
        <v/>
      </c>
      <c r="BG11" s="78" t="str">
        <f>IF(COUNTIFS('12'!$AG$25:$AG$30,$AK11,'12'!$AF$25:$AF$30,1)=0,"",SUMIFS('12'!$AC$25:$AC$30,'12'!$AG$25:$AG$30,$AK11,'12'!$AF$25:$AF$30,1)/COUNTIFS('12'!$AG$25:$AG$30,$AK11,'12'!$AF$25:$AF$30,1))</f>
        <v/>
      </c>
      <c r="BH11" s="78" t="str">
        <f>IF(COUNTIFS('13'!$AG$25:$AG$30,$AK11,'13'!$AF$25:$AF$30,1)=0,"",SUMIFS('13'!$AC$25:$AC$30,'13'!$AG$25:$AG$30,$AK11,'13'!$AF$25:$AF$30,1)/COUNTIFS('13'!$AG$25:$AG$30,$AK11,'13'!$AF$25:$AF$30,1))</f>
        <v/>
      </c>
      <c r="BI11" s="78" t="str">
        <f>IF(COUNTIFS('14'!$AG$25:$AG$30,$AK11,'14'!$AF$25:$AF$30,1)=0,"",SUMIFS('14'!$AC$25:$AC$30,'14'!$AG$25:$AG$30,$AK11,'14'!$AF$25:$AF$30,1)/COUNTIFS('14'!$AG$25:$AG$30,$AK11,'14'!$AF$25:$AF$30,1))</f>
        <v/>
      </c>
      <c r="BJ11" s="78" t="str">
        <f>IF(COUNTIFS('15'!$AG$25:$AG$30,$AK11,'15'!$AF$25:$AF$30,1)=0,"",SUMIFS('15'!$AC$25:$AC$30,'15'!$AG$25:$AG$30,$AK11,'15'!$AF$25:$AF$30,1)/COUNTIFS('15'!$AG$25:$AG$30,$AK11,'15'!$AF$25:$AF$30,1))</f>
        <v/>
      </c>
      <c r="BK11" s="78" t="str">
        <f>IF(COUNTIFS('16'!$AG$25:$AG$30,$AK11,'16'!$AF$25:$AF$30,1)=0,"",SUMIFS('16'!$AC$25:$AC$30,'16'!$AG$25:$AG$30,$AK11,'16'!$AF$25:$AF$30,1)/COUNTIFS('16'!$AG$25:$AG$30,$AK11,'16'!$AF$25:$AF$30,1))</f>
        <v/>
      </c>
      <c r="BL11" s="78" t="str">
        <f>IF(COUNTIFS('17'!$AG$25:$AG$30,$AK11,'17'!$AF$25:$AF$30,1)=0,"",SUMIFS('17'!$AC$25:$AC$30,'17'!$AG$25:$AG$30,$AK11,'17'!$AF$25:$AF$30,1)/COUNTIFS('17'!$AG$25:$AG$30,$AK11,'17'!$AF$25:$AF$30,1))</f>
        <v/>
      </c>
      <c r="BM11" s="78" t="str">
        <f>IF(COUNTIFS('18'!$AG$25:$AG$30,$AK11,'18'!$AF$25:$AF$30,1)=0,"",SUMIFS('18'!$AC$25:$AC$30,'18'!$AG$25:$AG$30,$AK11,'18'!$AF$25:$AF$30,1)/COUNTIFS('18'!$AG$25:$AG$30,$AK11,'18'!$AF$25:$AF$30,1))</f>
        <v/>
      </c>
      <c r="BN11" s="78" t="str">
        <f>IF(COUNTIFS('19'!$AG$25:$AG$30,$AK11,'19'!$AF$25:$AF$30,1)=0,"",SUMIFS('19'!$AC$25:$AC$30,'19'!$AG$25:$AG$30,$AK11,'19'!$AF$25:$AF$30,1)/COUNTIFS('19'!$AG$25:$AG$30,$AK11,'19'!$AF$25:$AF$30,1))</f>
        <v/>
      </c>
      <c r="BO11" s="78" t="str">
        <f>IF(COUNTIFS('20'!$AG$25:$AG$30,$AK11,'20'!$AF$25:$AF$30,1)=0,"",SUMIFS('20'!$AC$25:$AC$30,'20'!$AG$25:$AG$30,$AK11,'20'!$AF$25:$AF$30,1)/COUNTIFS('20'!$AG$25:$AG$30,$AK11,'20'!$AF$25:$AF$30,1))</f>
        <v/>
      </c>
      <c r="BP11" s="78" t="str">
        <f>IF(COUNTIFS('21'!$AG$25:$AG$30,$AK11,'21'!$AF$25:$AF$30,1)=0,"",SUMIFS('21'!$AC$25:$AC$30,'21'!$AG$25:$AG$30,$AK11,'21'!$AF$25:$AF$30,1)/COUNTIFS('21'!$AG$25:$AG$30,$AK11,'21'!$AF$25:$AF$30,1))</f>
        <v/>
      </c>
      <c r="BQ11" s="78" t="str">
        <f>IF(COUNTIFS('22'!$AG$25:$AG$30,$AK11,'22'!$AF$25:$AF$30,1)=0,"",SUMIFS('22'!$AC$25:$AC$30,'22'!$AG$25:$AG$30,$AK11,'22'!$AF$25:$AF$30,1)/COUNTIFS('22'!$AG$25:$AG$30,$AK11,'22'!$AF$25:$AF$30,1))</f>
        <v/>
      </c>
      <c r="BR11" s="78" t="str">
        <f>IF(COUNTIFS('23'!$AG$25:$AG$30,$AK11,'23'!$AF$25:$AF$30,1)=0,"",SUMIFS('23'!$AC$25:$AC$30,'23'!$AG$25:$AG$30,$AK11,'23'!$AF$25:$AF$30,1)/COUNTIFS('23'!$AG$25:$AG$30,$AK11,'23'!$AF$25:$AF$30,1))</f>
        <v/>
      </c>
      <c r="BS11" s="78" t="str">
        <f>IF(COUNTIFS('24'!$AG$25:$AG$30,$AK11,'24'!$AF$25:$AF$30,1)=0,"",SUMIFS('24'!$AC$25:$AC$30,'24'!$AG$25:$AG$30,$AK11,'24'!$AF$25:$AF$30,1)/COUNTIFS('24'!$AG$25:$AG$30,$AK11,'24'!$AF$25:$AF$30,1))</f>
        <v/>
      </c>
      <c r="BT11" s="78" t="str">
        <f>IF(COUNTIFS('25'!$AG$25:$AG$30,$AK11,'25'!$AF$25:$AF$30,1)=0,"",SUMIFS('25'!$AC$25:$AC$30,'25'!$AG$25:$AG$30,$AK11,'25'!$AF$25:$AF$30,1)/COUNTIFS('25'!$AG$25:$AG$30,$AK11,'25'!$AF$25:$AF$30,1))</f>
        <v/>
      </c>
      <c r="BU11" s="78" t="str">
        <f>IF(COUNTIFS('26'!$AG$25:$AG$30,$AK11,'26'!$AF$25:$AF$30,1)=0,"",SUMIFS('26'!$AC$25:$AC$30,'26'!$AG$25:$AG$30,$AK11,'26'!$AF$25:$AF$30,1)/COUNTIFS('26'!$AG$25:$AG$30,$AK11,'26'!$AF$25:$AF$30,1))</f>
        <v/>
      </c>
      <c r="BV11" s="78" t="str">
        <f>IF(COUNTIFS('27'!$AG$25:$AG$30,$AK11,'27'!$AF$25:$AF$30,1)=0,"",SUMIFS('27'!$AC$25:$AC$30,'27'!$AG$25:$AG$30,$AK11,'27'!$AF$25:$AF$30,1)/COUNTIFS('27'!$AG$25:$AG$30,$AK11,'27'!$AF$25:$AF$30,1))</f>
        <v/>
      </c>
      <c r="BW11" s="78" t="str">
        <f>IF(COUNTIFS('28'!$AG$25:$AG$30,$AK11,'28'!$AF$25:$AF$30,1)=0,"",SUMIFS('28'!$AC$25:$AC$30,'28'!$AG$25:$AG$30,$AK11,'28'!$AF$25:$AF$30,1)/COUNTIFS('28'!$AG$25:$AG$30,$AK11,'28'!$AF$25:$AF$30,1))</f>
        <v/>
      </c>
      <c r="BX11" s="78" t="str">
        <f>IF(COUNTIFS('29'!$AG$25:$AG$30,$AK11,'29'!$AF$25:$AF$30,1)=0,"",SUMIFS('29'!$AC$25:$AC$30,'29'!$AG$25:$AG$30,$AK11,'29'!$AF$25:$AF$30,1)/COUNTIFS('29'!$AG$25:$AG$30,$AK11,'29'!$AF$25:$AF$30,1))</f>
        <v/>
      </c>
      <c r="BY11" s="78" t="str">
        <f>IF(COUNTIFS('30'!$AG$25:$AG$30,$AK11,'30'!$AF$25:$AF$30,1)=0,"",SUMIFS('30'!$AC$25:$AC$30,'30'!$AG$25:$AG$30,$AK11,'30'!$AF$25:$AF$30,1)/COUNTIFS('30'!$AG$25:$AG$30,$AK11,'30'!$AF$25:$AF$30,1))</f>
        <v/>
      </c>
      <c r="BZ11" s="7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30" t="str">
        <f>IF(LARGE($Y$5:$Y$17,7)=0,"",7)</f>
        <v/>
      </c>
      <c r="B12" s="130" t="str">
        <f t="shared" si="7"/>
        <v/>
      </c>
      <c r="C12" s="130" t="str">
        <f t="shared" si="8"/>
        <v/>
      </c>
      <c r="D12" s="131" t="str">
        <f t="shared" si="9"/>
        <v/>
      </c>
      <c r="E12" s="131" t="str">
        <f t="shared" si="10"/>
        <v/>
      </c>
      <c r="X12" s="78" t="s">
        <v>108</v>
      </c>
      <c r="Y12" s="78">
        <f>COUNTIF('1'!$D$4:$D$16,X12)+COUNTIF('2'!$D$4:$D$16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78">
        <f t="shared" si="1"/>
        <v>0.00006</v>
      </c>
      <c r="AA12" s="78" t="s">
        <v>29</v>
      </c>
      <c r="AB12" s="78" t="s">
        <v>99</v>
      </c>
      <c r="AC12" s="78">
        <f>COUNTIF('1'!$O$18:$O$21,AA12)+COUNTIF('2'!$O$18:$O$21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</v>
      </c>
      <c r="AD12" s="78">
        <f t="shared" si="2"/>
        <v>2.00004</v>
      </c>
      <c r="AK12" s="78" t="s">
        <v>29</v>
      </c>
      <c r="AL12" s="78" t="s">
        <v>99</v>
      </c>
      <c r="AM12" s="78">
        <f>COUNTIFS('1'!$AG$25:$AG$30,AK12,'1'!$AF$25:$AF$30,1)+COUNTIFS('2'!$AG$25:$AG$30,AK12,'2'!$AF$25:$AF$30,1)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0</v>
      </c>
      <c r="AN12" s="78" t="str">
        <f t="shared" si="5"/>
        <v/>
      </c>
      <c r="AO12" s="78" t="str">
        <f>IF(AM12=0,"",(SUMIFS('1'!$L$25:$L$30,'1'!$AG$25:$AG$30,AK12,'1'!$AF$25:$AF$30,1)+SUMIFS('2'!$L$25:$L$30,'2'!$AG$25:$AG$30,AK12,'2'!$AF$25:$AF$30,1)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/>
      </c>
      <c r="AP12" s="78" t="str">
        <f>IF(AM12=0,"",(SUMIFS('1'!$M$25:$M$30,'1'!$AG$25:$AG$30,AK12,'1'!$AF$25:$AF$30,1)+SUMIFS('2'!$M$25:$M$30,'2'!$AG$25:$AG$30,AK12,'2'!$AF$25:$AF$30,1)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/>
      </c>
      <c r="AQ12" s="78" t="str">
        <f>IF(AM12=0,"",(SUMIFS('1'!$N$25:$N$30,'1'!$AG$25:$AG$30,AK12,'1'!$AF$25:$AF$30,1)+SUMIFS('2'!$N$25:$N$30,'2'!$AG$25:$AG$30,AK12,'2'!$AF$25:$AF$30,1)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/>
      </c>
      <c r="AR12" s="78" t="str">
        <f>IF(AM12=0,"",(SUMIFS('1'!$O$25:$O$30,'1'!$AG$25:$AG$30,AK12,'1'!$AF$25:$AF$30,1)+SUMIFS('2'!$O$25:$O$30,'2'!$AG$25:$AG$30,AK12,'2'!$AF$25:$AF$30,1)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/>
      </c>
      <c r="AS12" s="78" t="str">
        <f>IF(AM12=0,"",(SUMIFS('1'!$P$25:$P$30,'1'!$AG$25:$AG$30,AK12,'1'!$AF$25:$AF$30,1)+SUMIFS('2'!$P$25:$P$30,'2'!$AG$25:$AG$30,AK12,'2'!$AF$25:$AF$30,1)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/>
      </c>
      <c r="AV12" s="78" t="str">
        <f>IF(COUNTIFS('1'!$AG$25:$AG$30,$AK12,'1'!$AF$25:$AF$30,1)=0,"",SUMIFS('1'!$AC$25:$AC$30,'1'!$AG$25:$AG$30,$AK12,'1'!$AF$25:$AF$30,1)/COUNTIFS('1'!$AG$25:$AG$30,$AK12,'1'!$AF$25:$AF$30,1))</f>
        <v/>
      </c>
      <c r="AW12" s="78" t="str">
        <f>IF(COUNTIFS('2'!$AG$25:$AG$30,$AK12,'2'!$AF$25:$AF$30,1)=0,"",SUMIFS('2'!$AC$25:$AC$30,'2'!$AG$25:$AG$30,$AK12,'2'!$AF$25:$AF$30,1)/COUNTIFS('2'!$AG$25:$AG$30,$AK12,'2'!$AF$25:$AF$30,1))</f>
        <v/>
      </c>
      <c r="AX12" s="78" t="str">
        <f>IF(COUNTIFS('3'!$AG$24:$AG$29,$AK12,'3'!$AF$24:$AF$29,1)=0,"",SUMIFS('3'!$AC$24:$AC$29,'3'!$AG$24:$AG$29,$AK12,'3'!$AF$24:$AF$29,1)/COUNTIFS('3'!$AG$24:$AG$29,$AK12,'3'!$AF$24:$AF$29,1))</f>
        <v/>
      </c>
      <c r="AY12" s="78" t="str">
        <f>IF(COUNTIFS('4'!$AG$25:$AG$30,$AK12,'4'!$AF$25:$AF$30,1)=0,"",SUMIFS('4'!$AC$25:$AC$30,'4'!$AG$25:$AG$30,$AK12,'4'!$AF$25:$AF$30,1)/COUNTIFS('4'!$AG$25:$AG$30,$AK12,'4'!$AF$25:$AF$30,1))</f>
        <v/>
      </c>
      <c r="AZ12" s="78" t="str">
        <f>IF(COUNTIFS('5'!$AG$25:$AG$30,$AK12,'5'!$AF$25:$AF$30,1)=0,"",SUMIFS('5'!$AC$25:$AC$30,'5'!$AG$25:$AG$30,$AK12,'5'!$AF$25:$AF$30,1)/COUNTIFS('5'!$AG$25:$AG$30,$AK12,'5'!$AF$25:$AF$30,1))</f>
        <v/>
      </c>
      <c r="BA12" s="78" t="str">
        <f>IF(COUNTIFS('6'!$AG$25:$AG$30,$AK12,'6'!$AF$25:$AF$30,1)=0,"",SUMIFS('6'!$AC$25:$AC$30,'6'!$AG$25:$AG$30,$AK12,'6'!$AF$25:$AF$30,1)/COUNTIFS('6'!$AG$25:$AG$30,$AK12,'6'!$AF$25:$AF$30,1))</f>
        <v/>
      </c>
      <c r="BB12" s="78" t="str">
        <f>IF(COUNTIFS('7'!$AG$30:$AG$35,$AK12,'7'!$AF$30:$AF$35,1)=0,"",SUMIFS('7'!$AC$30:$AC$35,'7'!$AG$30:$AG$35,$AK12,'7'!$AF$30:$AF$35,1)/COUNTIFS('7'!$AG$30:$AG$35,$AK12,'7'!$AF$30:$AF$35,1))</f>
        <v/>
      </c>
      <c r="BC12" s="78" t="str">
        <f>IF(COUNTIFS('8'!$AG$25:$AG$30,$AK12,'8'!$AF$25:$AF$30,1)=0,"",SUMIFS('8'!$AC$25:$AC$30,'8'!$AG$25:$AG$30,$AK12,'8'!$AF$25:$AF$30,1)/COUNTIFS('8'!$AG$25:$AG$30,$AK12,'8'!$AF$25:$AF$30,1))</f>
        <v/>
      </c>
      <c r="BD12" s="78" t="str">
        <f>IF(COUNTIFS('9'!$AG$25:$AG$30,$AK12,'9'!$AF$25:$AF$30,1)=0,"",SUMIFS('9'!$AC$25:$AC$30,'9'!$AG$25:$AG$30,$AK12,'9'!$AF$25:$AF$30,1)/COUNTIFS('9'!$AG$25:$AG$30,$AK12,'9'!$AF$25:$AF$30,1))</f>
        <v/>
      </c>
      <c r="BE12" s="78" t="str">
        <f>IF(COUNTIFS('10'!$AG$25:$AG$30,$AK12,'10'!$AF$25:$AF$30,1)=0,"",SUMIFS('10'!$AC$25:$AC$30,'10'!$AG$25:$AG$30,$AK12,'10'!$AF$25:$AF$30,1)/COUNTIFS('10'!$AG$25:$AG$30,$AK12,'10'!$AF$25:$AF$30,1))</f>
        <v/>
      </c>
      <c r="BF12" s="78" t="str">
        <f>IF(COUNTIFS('11'!$AG$25:$AG$30,$AK12,'11'!$AF$25:$AF$30,1)=0,"",SUMIFS('11'!$AC$25:$AC$30,'11'!$AG$25:$AG$30,$AK12,'11'!$AF$25:$AF$30,1)/COUNTIFS('11'!$AG$25:$AG$30,$AK12,'11'!$AF$25:$AF$30,1))</f>
        <v/>
      </c>
      <c r="BG12" s="78" t="str">
        <f>IF(COUNTIFS('12'!$AG$25:$AG$30,$AK12,'12'!$AF$25:$AF$30,1)=0,"",SUMIFS('12'!$AC$25:$AC$30,'12'!$AG$25:$AG$30,$AK12,'12'!$AF$25:$AF$30,1)/COUNTIFS('12'!$AG$25:$AG$30,$AK12,'12'!$AF$25:$AF$30,1))</f>
        <v/>
      </c>
      <c r="BH12" s="78" t="str">
        <f>IF(COUNTIFS('13'!$AG$25:$AG$30,$AK12,'13'!$AF$25:$AF$30,1)=0,"",SUMIFS('13'!$AC$25:$AC$30,'13'!$AG$25:$AG$30,$AK12,'13'!$AF$25:$AF$30,1)/COUNTIFS('13'!$AG$25:$AG$30,$AK12,'13'!$AF$25:$AF$30,1))</f>
        <v/>
      </c>
      <c r="BI12" s="78" t="str">
        <f>IF(COUNTIFS('14'!$AG$25:$AG$30,$AK12,'14'!$AF$25:$AF$30,1)=0,"",SUMIFS('14'!$AC$25:$AC$30,'14'!$AG$25:$AG$30,$AK12,'14'!$AF$25:$AF$30,1)/COUNTIFS('14'!$AG$25:$AG$30,$AK12,'14'!$AF$25:$AF$30,1))</f>
        <v/>
      </c>
      <c r="BJ12" s="78" t="str">
        <f>IF(COUNTIFS('15'!$AG$25:$AG$30,$AK12,'15'!$AF$25:$AF$30,1)=0,"",SUMIFS('15'!$AC$25:$AC$30,'15'!$AG$25:$AG$30,$AK12,'15'!$AF$25:$AF$30,1)/COUNTIFS('15'!$AG$25:$AG$30,$AK12,'15'!$AF$25:$AF$30,1))</f>
        <v/>
      </c>
      <c r="BK12" s="78" t="str">
        <f>IF(COUNTIFS('16'!$AG$25:$AG$30,$AK12,'16'!$AF$25:$AF$30,1)=0,"",SUMIFS('16'!$AC$25:$AC$30,'16'!$AG$25:$AG$30,$AK12,'16'!$AF$25:$AF$30,1)/COUNTIFS('16'!$AG$25:$AG$30,$AK12,'16'!$AF$25:$AF$30,1))</f>
        <v/>
      </c>
      <c r="BL12" s="78" t="str">
        <f>IF(COUNTIFS('17'!$AG$25:$AG$30,$AK12,'17'!$AF$25:$AF$30,1)=0,"",SUMIFS('17'!$AC$25:$AC$30,'17'!$AG$25:$AG$30,$AK12,'17'!$AF$25:$AF$30,1)/COUNTIFS('17'!$AG$25:$AG$30,$AK12,'17'!$AF$25:$AF$30,1))</f>
        <v/>
      </c>
      <c r="BM12" s="78" t="str">
        <f>IF(COUNTIFS('18'!$AG$25:$AG$30,$AK12,'18'!$AF$25:$AF$30,1)=0,"",SUMIFS('18'!$AC$25:$AC$30,'18'!$AG$25:$AG$30,$AK12,'18'!$AF$25:$AF$30,1)/COUNTIFS('18'!$AG$25:$AG$30,$AK12,'18'!$AF$25:$AF$30,1))</f>
        <v/>
      </c>
      <c r="BN12" s="78" t="str">
        <f>IF(COUNTIFS('19'!$AG$25:$AG$30,$AK12,'19'!$AF$25:$AF$30,1)=0,"",SUMIFS('19'!$AC$25:$AC$30,'19'!$AG$25:$AG$30,$AK12,'19'!$AF$25:$AF$30,1)/COUNTIFS('19'!$AG$25:$AG$30,$AK12,'19'!$AF$25:$AF$30,1))</f>
        <v/>
      </c>
      <c r="BO12" s="78" t="str">
        <f>IF(COUNTIFS('20'!$AG$25:$AG$30,$AK12,'20'!$AF$25:$AF$30,1)=0,"",SUMIFS('20'!$AC$25:$AC$30,'20'!$AG$25:$AG$30,$AK12,'20'!$AF$25:$AF$30,1)/COUNTIFS('20'!$AG$25:$AG$30,$AK12,'20'!$AF$25:$AF$30,1))</f>
        <v/>
      </c>
      <c r="BP12" s="78" t="str">
        <f>IF(COUNTIFS('21'!$AG$25:$AG$30,$AK12,'21'!$AF$25:$AF$30,1)=0,"",SUMIFS('21'!$AC$25:$AC$30,'21'!$AG$25:$AG$30,$AK12,'21'!$AF$25:$AF$30,1)/COUNTIFS('21'!$AG$25:$AG$30,$AK12,'21'!$AF$25:$AF$30,1))</f>
        <v/>
      </c>
      <c r="BQ12" s="78" t="str">
        <f>IF(COUNTIFS('22'!$AG$25:$AG$30,$AK12,'22'!$AF$25:$AF$30,1)=0,"",SUMIFS('22'!$AC$25:$AC$30,'22'!$AG$25:$AG$30,$AK12,'22'!$AF$25:$AF$30,1)/COUNTIFS('22'!$AG$25:$AG$30,$AK12,'22'!$AF$25:$AF$30,1))</f>
        <v/>
      </c>
      <c r="BR12" s="78" t="str">
        <f>IF(COUNTIFS('23'!$AG$25:$AG$30,$AK12,'23'!$AF$25:$AF$30,1)=0,"",SUMIFS('23'!$AC$25:$AC$30,'23'!$AG$25:$AG$30,$AK12,'23'!$AF$25:$AF$30,1)/COUNTIFS('23'!$AG$25:$AG$30,$AK12,'23'!$AF$25:$AF$30,1))</f>
        <v/>
      </c>
      <c r="BS12" s="78" t="str">
        <f>IF(COUNTIFS('24'!$AG$25:$AG$30,$AK12,'24'!$AF$25:$AF$30,1)=0,"",SUMIFS('24'!$AC$25:$AC$30,'24'!$AG$25:$AG$30,$AK12,'24'!$AF$25:$AF$30,1)/COUNTIFS('24'!$AG$25:$AG$30,$AK12,'24'!$AF$25:$AF$30,1))</f>
        <v/>
      </c>
      <c r="BT12" s="78" t="str">
        <f>IF(COUNTIFS('25'!$AG$25:$AG$30,$AK12,'25'!$AF$25:$AF$30,1)=0,"",SUMIFS('25'!$AC$25:$AC$30,'25'!$AG$25:$AG$30,$AK12,'25'!$AF$25:$AF$30,1)/COUNTIFS('25'!$AG$25:$AG$30,$AK12,'25'!$AF$25:$AF$30,1))</f>
        <v/>
      </c>
      <c r="BU12" s="78" t="str">
        <f>IF(COUNTIFS('26'!$AG$25:$AG$30,$AK12,'26'!$AF$25:$AF$30,1)=0,"",SUMIFS('26'!$AC$25:$AC$30,'26'!$AG$25:$AG$30,$AK12,'26'!$AF$25:$AF$30,1)/COUNTIFS('26'!$AG$25:$AG$30,$AK12,'26'!$AF$25:$AF$30,1))</f>
        <v/>
      </c>
      <c r="BV12" s="78" t="str">
        <f>IF(COUNTIFS('27'!$AG$25:$AG$30,$AK12,'27'!$AF$25:$AF$30,1)=0,"",SUMIFS('27'!$AC$25:$AC$30,'27'!$AG$25:$AG$30,$AK12,'27'!$AF$25:$AF$30,1)/COUNTIFS('27'!$AG$25:$AG$30,$AK12,'27'!$AF$25:$AF$30,1))</f>
        <v/>
      </c>
      <c r="BW12" s="78" t="str">
        <f>IF(COUNTIFS('28'!$AG$25:$AG$30,$AK12,'28'!$AF$25:$AF$30,1)=0,"",SUMIFS('28'!$AC$25:$AC$30,'28'!$AG$25:$AG$30,$AK12,'28'!$AF$25:$AF$30,1)/COUNTIFS('28'!$AG$25:$AG$30,$AK12,'28'!$AF$25:$AF$30,1))</f>
        <v/>
      </c>
      <c r="BX12" s="78" t="str">
        <f>IF(COUNTIFS('29'!$AG$25:$AG$30,$AK12,'29'!$AF$25:$AF$30,1)=0,"",SUMIFS('29'!$AC$25:$AC$30,'29'!$AG$25:$AG$30,$AK12,'29'!$AF$25:$AF$30,1)/COUNTIFS('29'!$AG$25:$AG$30,$AK12,'29'!$AF$25:$AF$30,1))</f>
        <v/>
      </c>
      <c r="BY12" s="78" t="str">
        <f>IF(COUNTIFS('30'!$AG$25:$AG$30,$AK12,'30'!$AF$25:$AF$30,1)=0,"",SUMIFS('30'!$AC$25:$AC$30,'30'!$AG$25:$AG$30,$AK12,'30'!$AF$25:$AF$30,1)/COUNTIFS('30'!$AG$25:$AG$30,$AK12,'30'!$AF$25:$AF$30,1))</f>
        <v/>
      </c>
      <c r="BZ12" s="7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30" t="str">
        <f>IF(LARGE($Y$5:$Y$17,8)=0,"",8)</f>
        <v/>
      </c>
      <c r="B13" s="130" t="str">
        <f t="shared" si="7"/>
        <v/>
      </c>
      <c r="C13" s="130" t="str">
        <f t="shared" si="8"/>
        <v/>
      </c>
      <c r="D13" s="131" t="str">
        <f t="shared" si="9"/>
        <v/>
      </c>
      <c r="E13" s="131" t="str">
        <f t="shared" si="10"/>
        <v/>
      </c>
      <c r="X13" s="78" t="s">
        <v>109</v>
      </c>
      <c r="Y13" s="78">
        <f>COUNTIF('1'!$D$4:$D$16,X13)+COUNTIF('2'!$D$4:$D$16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78">
        <f t="shared" si="1"/>
        <v>0.00005</v>
      </c>
      <c r="AA13" s="78" t="s">
        <v>100</v>
      </c>
      <c r="AB13" s="78" t="s">
        <v>99</v>
      </c>
      <c r="AC13" s="78">
        <f>COUNTIF('1'!$O$18:$O$21,AA13)+COUNTIF('2'!$O$18:$O$21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78">
        <f t="shared" si="2"/>
        <v>0.00003</v>
      </c>
      <c r="AK13" s="78" t="s">
        <v>100</v>
      </c>
      <c r="AL13" s="78" t="s">
        <v>99</v>
      </c>
      <c r="AM13" s="78">
        <f>COUNTIFS('1'!$AG$25:$AG$30,AK13,'1'!$AF$25:$AF$30,1)+COUNTIFS('2'!$AG$25:$AG$30,AK13,'2'!$AF$25:$AF$30,1)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78" t="str">
        <f t="shared" si="5"/>
        <v/>
      </c>
      <c r="AO13" s="78" t="str">
        <f>IF(AM13=0,"",(SUMIFS('1'!$L$25:$L$30,'1'!$AG$25:$AG$30,AK13,'1'!$AF$25:$AF$30,1)+SUMIFS('2'!$L$25:$L$30,'2'!$AG$25:$AG$30,AK13,'2'!$AF$25:$AF$30,1)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78" t="str">
        <f>IF(AM13=0,"",(SUMIFS('1'!$M$25:$M$30,'1'!$AG$25:$AG$30,AK13,'1'!$AF$25:$AF$30,1)+SUMIFS('2'!$M$25:$M$30,'2'!$AG$25:$AG$30,AK13,'2'!$AF$25:$AF$30,1)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78" t="str">
        <f>IF(AM13=0,"",(SUMIFS('1'!$N$25:$N$30,'1'!$AG$25:$AG$30,AK13,'1'!$AF$25:$AF$30,1)+SUMIFS('2'!$N$25:$N$30,'2'!$AG$25:$AG$30,AK13,'2'!$AF$25:$AF$30,1)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78" t="str">
        <f>IF(AM13=0,"",(SUMIFS('1'!$O$25:$O$30,'1'!$AG$25:$AG$30,AK13,'1'!$AF$25:$AF$30,1)+SUMIFS('2'!$O$25:$O$30,'2'!$AG$25:$AG$30,AK13,'2'!$AF$25:$AF$30,1)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78" t="str">
        <f>IF(AM13=0,"",(SUMIFS('1'!$P$25:$P$30,'1'!$AG$25:$AG$30,AK13,'1'!$AF$25:$AF$30,1)+SUMIFS('2'!$P$25:$P$30,'2'!$AG$25:$AG$30,AK13,'2'!$AF$25:$AF$30,1)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78" t="str">
        <f>IF(COUNTIFS('1'!$AG$25:$AG$30,$AK13,'1'!$AF$25:$AF$30,1)=0,"",SUMIFS('1'!$AC$25:$AC$30,'1'!$AG$25:$AG$30,$AK13,'1'!$AF$25:$AF$30,1)/COUNTIFS('1'!$AG$25:$AG$30,$AK13,'1'!$AF$25:$AF$30,1))</f>
        <v/>
      </c>
      <c r="AW13" s="78" t="str">
        <f>IF(COUNTIFS('2'!$AG$25:$AG$30,$AK13,'2'!$AF$25:$AF$30,1)=0,"",SUMIFS('2'!$AC$25:$AC$30,'2'!$AG$25:$AG$30,$AK13,'2'!$AF$25:$AF$30,1)/COUNTIFS('2'!$AG$25:$AG$30,$AK13,'2'!$AF$25:$AF$30,1))</f>
        <v/>
      </c>
      <c r="AX13" s="78" t="str">
        <f>IF(COUNTIFS('3'!$AG$24:$AG$29,$AK13,'3'!$AF$24:$AF$29,1)=0,"",SUMIFS('3'!$AC$24:$AC$29,'3'!$AG$24:$AG$29,$AK13,'3'!$AF$24:$AF$29,1)/COUNTIFS('3'!$AG$24:$AG$29,$AK13,'3'!$AF$24:$AF$29,1))</f>
        <v/>
      </c>
      <c r="AY13" s="78" t="str">
        <f>IF(COUNTIFS('4'!$AG$25:$AG$30,$AK13,'4'!$AF$25:$AF$30,1)=0,"",SUMIFS('4'!$AC$25:$AC$30,'4'!$AG$25:$AG$30,$AK13,'4'!$AF$25:$AF$30,1)/COUNTIFS('4'!$AG$25:$AG$30,$AK13,'4'!$AF$25:$AF$30,1))</f>
        <v/>
      </c>
      <c r="AZ13" s="78" t="str">
        <f>IF(COUNTIFS('5'!$AG$25:$AG$30,$AK13,'5'!$AF$25:$AF$30,1)=0,"",SUMIFS('5'!$AC$25:$AC$30,'5'!$AG$25:$AG$30,$AK13,'5'!$AF$25:$AF$30,1)/COUNTIFS('5'!$AG$25:$AG$30,$AK13,'5'!$AF$25:$AF$30,1))</f>
        <v/>
      </c>
      <c r="BA13" s="78" t="str">
        <f>IF(COUNTIFS('6'!$AG$25:$AG$30,$AK13,'6'!$AF$25:$AF$30,1)=0,"",SUMIFS('6'!$AC$25:$AC$30,'6'!$AG$25:$AG$30,$AK13,'6'!$AF$25:$AF$30,1)/COUNTIFS('6'!$AG$25:$AG$30,$AK13,'6'!$AF$25:$AF$30,1))</f>
        <v/>
      </c>
      <c r="BB13" s="78" t="str">
        <f>IF(COUNTIFS('7'!$AG$30:$AG$35,$AK13,'7'!$AF$30:$AF$35,1)=0,"",SUMIFS('7'!$AC$30:$AC$35,'7'!$AG$30:$AG$35,$AK13,'7'!$AF$30:$AF$35,1)/COUNTIFS('7'!$AG$30:$AG$35,$AK13,'7'!$AF$30:$AF$35,1))</f>
        <v/>
      </c>
      <c r="BC13" s="78" t="str">
        <f>IF(COUNTIFS('8'!$AG$25:$AG$30,$AK13,'8'!$AF$25:$AF$30,1)=0,"",SUMIFS('8'!$AC$25:$AC$30,'8'!$AG$25:$AG$30,$AK13,'8'!$AF$25:$AF$30,1)/COUNTIFS('8'!$AG$25:$AG$30,$AK13,'8'!$AF$25:$AF$30,1))</f>
        <v/>
      </c>
      <c r="BD13" s="78" t="str">
        <f>IF(COUNTIFS('9'!$AG$25:$AG$30,$AK13,'9'!$AF$25:$AF$30,1)=0,"",SUMIFS('9'!$AC$25:$AC$30,'9'!$AG$25:$AG$30,$AK13,'9'!$AF$25:$AF$30,1)/COUNTIFS('9'!$AG$25:$AG$30,$AK13,'9'!$AF$25:$AF$30,1))</f>
        <v/>
      </c>
      <c r="BE13" s="78" t="str">
        <f>IF(COUNTIFS('10'!$AG$25:$AG$30,$AK13,'10'!$AF$25:$AF$30,1)=0,"",SUMIFS('10'!$AC$25:$AC$30,'10'!$AG$25:$AG$30,$AK13,'10'!$AF$25:$AF$30,1)/COUNTIFS('10'!$AG$25:$AG$30,$AK13,'10'!$AF$25:$AF$30,1))</f>
        <v/>
      </c>
      <c r="BF13" s="78" t="str">
        <f>IF(COUNTIFS('11'!$AG$25:$AG$30,$AK13,'11'!$AF$25:$AF$30,1)=0,"",SUMIFS('11'!$AC$25:$AC$30,'11'!$AG$25:$AG$30,$AK13,'11'!$AF$25:$AF$30,1)/COUNTIFS('11'!$AG$25:$AG$30,$AK13,'11'!$AF$25:$AF$30,1))</f>
        <v/>
      </c>
      <c r="BG13" s="78" t="str">
        <f>IF(COUNTIFS('12'!$AG$25:$AG$30,$AK13,'12'!$AF$25:$AF$30,1)=0,"",SUMIFS('12'!$AC$25:$AC$30,'12'!$AG$25:$AG$30,$AK13,'12'!$AF$25:$AF$30,1)/COUNTIFS('12'!$AG$25:$AG$30,$AK13,'12'!$AF$25:$AF$30,1))</f>
        <v/>
      </c>
      <c r="BH13" s="78" t="str">
        <f>IF(COUNTIFS('13'!$AG$25:$AG$30,$AK13,'13'!$AF$25:$AF$30,1)=0,"",SUMIFS('13'!$AC$25:$AC$30,'13'!$AG$25:$AG$30,$AK13,'13'!$AF$25:$AF$30,1)/COUNTIFS('13'!$AG$25:$AG$30,$AK13,'13'!$AF$25:$AF$30,1))</f>
        <v/>
      </c>
      <c r="BI13" s="78" t="str">
        <f>IF(COUNTIFS('14'!$AG$25:$AG$30,$AK13,'14'!$AF$25:$AF$30,1)=0,"",SUMIFS('14'!$AC$25:$AC$30,'14'!$AG$25:$AG$30,$AK13,'14'!$AF$25:$AF$30,1)/COUNTIFS('14'!$AG$25:$AG$30,$AK13,'14'!$AF$25:$AF$30,1))</f>
        <v/>
      </c>
      <c r="BJ13" s="78" t="str">
        <f>IF(COUNTIFS('15'!$AG$25:$AG$30,$AK13,'15'!$AF$25:$AF$30,1)=0,"",SUMIFS('15'!$AC$25:$AC$30,'15'!$AG$25:$AG$30,$AK13,'15'!$AF$25:$AF$30,1)/COUNTIFS('15'!$AG$25:$AG$30,$AK13,'15'!$AF$25:$AF$30,1))</f>
        <v/>
      </c>
      <c r="BK13" s="78" t="str">
        <f>IF(COUNTIFS('16'!$AG$25:$AG$30,$AK13,'16'!$AF$25:$AF$30,1)=0,"",SUMIFS('16'!$AC$25:$AC$30,'16'!$AG$25:$AG$30,$AK13,'16'!$AF$25:$AF$30,1)/COUNTIFS('16'!$AG$25:$AG$30,$AK13,'16'!$AF$25:$AF$30,1))</f>
        <v/>
      </c>
      <c r="BL13" s="78" t="str">
        <f>IF(COUNTIFS('17'!$AG$25:$AG$30,$AK13,'17'!$AF$25:$AF$30,1)=0,"",SUMIFS('17'!$AC$25:$AC$30,'17'!$AG$25:$AG$30,$AK13,'17'!$AF$25:$AF$30,1)/COUNTIFS('17'!$AG$25:$AG$30,$AK13,'17'!$AF$25:$AF$30,1))</f>
        <v/>
      </c>
      <c r="BM13" s="78" t="str">
        <f>IF(COUNTIFS('18'!$AG$25:$AG$30,$AK13,'18'!$AF$25:$AF$30,1)=0,"",SUMIFS('18'!$AC$25:$AC$30,'18'!$AG$25:$AG$30,$AK13,'18'!$AF$25:$AF$30,1)/COUNTIFS('18'!$AG$25:$AG$30,$AK13,'18'!$AF$25:$AF$30,1))</f>
        <v/>
      </c>
      <c r="BN13" s="78" t="str">
        <f>IF(COUNTIFS('19'!$AG$25:$AG$30,$AK13,'19'!$AF$25:$AF$30,1)=0,"",SUMIFS('19'!$AC$25:$AC$30,'19'!$AG$25:$AG$30,$AK13,'19'!$AF$25:$AF$30,1)/COUNTIFS('19'!$AG$25:$AG$30,$AK13,'19'!$AF$25:$AF$30,1))</f>
        <v/>
      </c>
      <c r="BO13" s="78" t="str">
        <f>IF(COUNTIFS('20'!$AG$25:$AG$30,$AK13,'20'!$AF$25:$AF$30,1)=0,"",SUMIFS('20'!$AC$25:$AC$30,'20'!$AG$25:$AG$30,$AK13,'20'!$AF$25:$AF$30,1)/COUNTIFS('20'!$AG$25:$AG$30,$AK13,'20'!$AF$25:$AF$30,1))</f>
        <v/>
      </c>
      <c r="BP13" s="78" t="str">
        <f>IF(COUNTIFS('21'!$AG$25:$AG$30,$AK13,'21'!$AF$25:$AF$30,1)=0,"",SUMIFS('21'!$AC$25:$AC$30,'21'!$AG$25:$AG$30,$AK13,'21'!$AF$25:$AF$30,1)/COUNTIFS('21'!$AG$25:$AG$30,$AK13,'21'!$AF$25:$AF$30,1))</f>
        <v/>
      </c>
      <c r="BQ13" s="78" t="str">
        <f>IF(COUNTIFS('22'!$AG$25:$AG$30,$AK13,'22'!$AF$25:$AF$30,1)=0,"",SUMIFS('22'!$AC$25:$AC$30,'22'!$AG$25:$AG$30,$AK13,'22'!$AF$25:$AF$30,1)/COUNTIFS('22'!$AG$25:$AG$30,$AK13,'22'!$AF$25:$AF$30,1))</f>
        <v/>
      </c>
      <c r="BR13" s="78" t="str">
        <f>IF(COUNTIFS('23'!$AG$25:$AG$30,$AK13,'23'!$AF$25:$AF$30,1)=0,"",SUMIFS('23'!$AC$25:$AC$30,'23'!$AG$25:$AG$30,$AK13,'23'!$AF$25:$AF$30,1)/COUNTIFS('23'!$AG$25:$AG$30,$AK13,'23'!$AF$25:$AF$30,1))</f>
        <v/>
      </c>
      <c r="BS13" s="78" t="str">
        <f>IF(COUNTIFS('24'!$AG$25:$AG$30,$AK13,'24'!$AF$25:$AF$30,1)=0,"",SUMIFS('24'!$AC$25:$AC$30,'24'!$AG$25:$AG$30,$AK13,'24'!$AF$25:$AF$30,1)/COUNTIFS('24'!$AG$25:$AG$30,$AK13,'24'!$AF$25:$AF$30,1))</f>
        <v/>
      </c>
      <c r="BT13" s="78" t="str">
        <f>IF(COUNTIFS('25'!$AG$25:$AG$30,$AK13,'25'!$AF$25:$AF$30,1)=0,"",SUMIFS('25'!$AC$25:$AC$30,'25'!$AG$25:$AG$30,$AK13,'25'!$AF$25:$AF$30,1)/COUNTIFS('25'!$AG$25:$AG$30,$AK13,'25'!$AF$25:$AF$30,1))</f>
        <v/>
      </c>
      <c r="BU13" s="78" t="str">
        <f>IF(COUNTIFS('26'!$AG$25:$AG$30,$AK13,'26'!$AF$25:$AF$30,1)=0,"",SUMIFS('26'!$AC$25:$AC$30,'26'!$AG$25:$AG$30,$AK13,'26'!$AF$25:$AF$30,1)/COUNTIFS('26'!$AG$25:$AG$30,$AK13,'26'!$AF$25:$AF$30,1))</f>
        <v/>
      </c>
      <c r="BV13" s="78" t="str">
        <f>IF(COUNTIFS('27'!$AG$25:$AG$30,$AK13,'27'!$AF$25:$AF$30,1)=0,"",SUMIFS('27'!$AC$25:$AC$30,'27'!$AG$25:$AG$30,$AK13,'27'!$AF$25:$AF$30,1)/COUNTIFS('27'!$AG$25:$AG$30,$AK13,'27'!$AF$25:$AF$30,1))</f>
        <v/>
      </c>
      <c r="BW13" s="78" t="str">
        <f>IF(COUNTIFS('28'!$AG$25:$AG$30,$AK13,'28'!$AF$25:$AF$30,1)=0,"",SUMIFS('28'!$AC$25:$AC$30,'28'!$AG$25:$AG$30,$AK13,'28'!$AF$25:$AF$30,1)/COUNTIFS('28'!$AG$25:$AG$30,$AK13,'28'!$AF$25:$AF$30,1))</f>
        <v/>
      </c>
      <c r="BX13" s="78" t="str">
        <f>IF(COUNTIFS('29'!$AG$25:$AG$30,$AK13,'29'!$AF$25:$AF$30,1)=0,"",SUMIFS('29'!$AC$25:$AC$30,'29'!$AG$25:$AG$30,$AK13,'29'!$AF$25:$AF$30,1)/COUNTIFS('29'!$AG$25:$AG$30,$AK13,'29'!$AF$25:$AF$30,1))</f>
        <v/>
      </c>
      <c r="BY13" s="78" t="str">
        <f>IF(COUNTIFS('30'!$AG$25:$AG$30,$AK13,'30'!$AF$25:$AF$30,1)=0,"",SUMIFS('30'!$AC$25:$AC$30,'30'!$AG$25:$AG$30,$AK13,'30'!$AF$25:$AF$30,1)/COUNTIFS('30'!$AG$25:$AG$30,$AK13,'30'!$AF$25:$AF$30,1))</f>
        <v/>
      </c>
      <c r="BZ13" s="7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30" t="str">
        <f>IF(LARGE($Y$5:$Y$17,9)=0,"",9)</f>
        <v/>
      </c>
      <c r="B14" s="130" t="str">
        <f t="shared" si="7"/>
        <v/>
      </c>
      <c r="C14" s="130" t="str">
        <f t="shared" si="8"/>
        <v/>
      </c>
      <c r="D14" s="131" t="str">
        <f t="shared" si="9"/>
        <v/>
      </c>
      <c r="E14" s="131" t="str">
        <f t="shared" si="10"/>
        <v/>
      </c>
      <c r="X14" s="78" t="s">
        <v>110</v>
      </c>
      <c r="Y14" s="78">
        <f>COUNTIF('1'!$D$4:$D$16,X14)+COUNTIF('2'!$D$4:$D$16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0</v>
      </c>
      <c r="Z14" s="78">
        <f t="shared" si="1"/>
        <v>0.00004</v>
      </c>
      <c r="AA14" s="78" t="s">
        <v>101</v>
      </c>
      <c r="AB14" s="78" t="s">
        <v>99</v>
      </c>
      <c r="AC14" s="78">
        <f>COUNTIF('1'!$O$18:$O$21,AA14)+COUNTIF('2'!$O$18:$O$21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78">
        <f t="shared" si="2"/>
        <v>0.00002</v>
      </c>
      <c r="AK14" s="78" t="s">
        <v>101</v>
      </c>
      <c r="AL14" s="78" t="s">
        <v>99</v>
      </c>
      <c r="AM14" s="78">
        <f>COUNTIFS('1'!$AG$25:$AG$30,AK14,'1'!$AF$25:$AF$30,1)+COUNTIFS('2'!$AG$25:$AG$30,AK14,'2'!$AF$25:$AF$30,1)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78" t="str">
        <f t="shared" si="5"/>
        <v/>
      </c>
      <c r="AO14" s="78" t="str">
        <f>IF(AM14=0,"",(SUMIFS('1'!$L$25:$L$30,'1'!$AG$25:$AG$30,AK14,'1'!$AF$25:$AF$30,1)+SUMIFS('2'!$L$25:$L$30,'2'!$AG$25:$AG$30,AK14,'2'!$AF$25:$AF$30,1)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78" t="str">
        <f>IF(AM14=0,"",(SUMIFS('1'!$M$25:$M$30,'1'!$AG$25:$AG$30,AK14,'1'!$AF$25:$AF$30,1)+SUMIFS('2'!$M$25:$M$30,'2'!$AG$25:$AG$30,AK14,'2'!$AF$25:$AF$30,1)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78" t="str">
        <f>IF(AM14=0,"",(SUMIFS('1'!$N$25:$N$30,'1'!$AG$25:$AG$30,AK14,'1'!$AF$25:$AF$30,1)+SUMIFS('2'!$N$25:$N$30,'2'!$AG$25:$AG$30,AK14,'2'!$AF$25:$AF$30,1)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78" t="str">
        <f>IF(AM14=0,"",(SUMIFS('1'!$O$25:$O$30,'1'!$AG$25:$AG$30,AK14,'1'!$AF$25:$AF$30,1)+SUMIFS('2'!$O$25:$O$30,'2'!$AG$25:$AG$30,AK14,'2'!$AF$25:$AF$30,1)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78" t="str">
        <f>IF(AM14=0,"",(SUMIFS('1'!$P$25:$P$30,'1'!$AG$25:$AG$30,AK14,'1'!$AF$25:$AF$30,1)+SUMIFS('2'!$P$25:$P$30,'2'!$AG$25:$AG$30,AK14,'2'!$AF$25:$AF$30,1)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78" t="str">
        <f>IF(COUNTIFS('1'!$AG$25:$AG$30,$AK14,'1'!$AF$25:$AF$30,1)=0,"",SUMIFS('1'!$AC$25:$AC$30,'1'!$AG$25:$AG$30,$AK14,'1'!$AF$25:$AF$30,1)/COUNTIFS('1'!$AG$25:$AG$30,$AK14,'1'!$AF$25:$AF$30,1))</f>
        <v/>
      </c>
      <c r="AW14" s="78" t="str">
        <f>IF(COUNTIFS('2'!$AG$25:$AG$30,$AK14,'2'!$AF$25:$AF$30,1)=0,"",SUMIFS('2'!$AC$25:$AC$30,'2'!$AG$25:$AG$30,$AK14,'2'!$AF$25:$AF$30,1)/COUNTIFS('2'!$AG$25:$AG$30,$AK14,'2'!$AF$25:$AF$30,1))</f>
        <v/>
      </c>
      <c r="AX14" s="78" t="str">
        <f>IF(COUNTIFS('3'!$AG$24:$AG$29,$AK14,'3'!$AF$24:$AF$29,1)=0,"",SUMIFS('3'!$AC$24:$AC$29,'3'!$AG$24:$AG$29,$AK14,'3'!$AF$24:$AF$29,1)/COUNTIFS('3'!$AG$24:$AG$29,$AK14,'3'!$AF$24:$AF$29,1))</f>
        <v/>
      </c>
      <c r="AY14" s="78" t="str">
        <f>IF(COUNTIFS('4'!$AG$25:$AG$30,$AK14,'4'!$AF$25:$AF$30,1)=0,"",SUMIFS('4'!$AC$25:$AC$30,'4'!$AG$25:$AG$30,$AK14,'4'!$AF$25:$AF$30,1)/COUNTIFS('4'!$AG$25:$AG$30,$AK14,'4'!$AF$25:$AF$30,1))</f>
        <v/>
      </c>
      <c r="AZ14" s="78" t="str">
        <f>IF(COUNTIFS('5'!$AG$25:$AG$30,$AK14,'5'!$AF$25:$AF$30,1)=0,"",SUMIFS('5'!$AC$25:$AC$30,'5'!$AG$25:$AG$30,$AK14,'5'!$AF$25:$AF$30,1)/COUNTIFS('5'!$AG$25:$AG$30,$AK14,'5'!$AF$25:$AF$30,1))</f>
        <v/>
      </c>
      <c r="BA14" s="78" t="str">
        <f>IF(COUNTIFS('6'!$AG$25:$AG$30,$AK14,'6'!$AF$25:$AF$30,1)=0,"",SUMIFS('6'!$AC$25:$AC$30,'6'!$AG$25:$AG$30,$AK14,'6'!$AF$25:$AF$30,1)/COUNTIFS('6'!$AG$25:$AG$30,$AK14,'6'!$AF$25:$AF$30,1))</f>
        <v/>
      </c>
      <c r="BB14" s="78" t="str">
        <f>IF(COUNTIFS('7'!$AG$30:$AG$35,$AK14,'7'!$AF$30:$AF$35,1)=0,"",SUMIFS('7'!$AC$30:$AC$35,'7'!$AG$30:$AG$35,$AK14,'7'!$AF$30:$AF$35,1)/COUNTIFS('7'!$AG$30:$AG$35,$AK14,'7'!$AF$30:$AF$35,1))</f>
        <v/>
      </c>
      <c r="BC14" s="78" t="str">
        <f>IF(COUNTIFS('8'!$AG$25:$AG$30,$AK14,'8'!$AF$25:$AF$30,1)=0,"",SUMIFS('8'!$AC$25:$AC$30,'8'!$AG$25:$AG$30,$AK14,'8'!$AF$25:$AF$30,1)/COUNTIFS('8'!$AG$25:$AG$30,$AK14,'8'!$AF$25:$AF$30,1))</f>
        <v/>
      </c>
      <c r="BD14" s="78" t="str">
        <f>IF(COUNTIFS('9'!$AG$25:$AG$30,$AK14,'9'!$AF$25:$AF$30,1)=0,"",SUMIFS('9'!$AC$25:$AC$30,'9'!$AG$25:$AG$30,$AK14,'9'!$AF$25:$AF$30,1)/COUNTIFS('9'!$AG$25:$AG$30,$AK14,'9'!$AF$25:$AF$30,1))</f>
        <v/>
      </c>
      <c r="BE14" s="78" t="str">
        <f>IF(COUNTIFS('10'!$AG$25:$AG$30,$AK14,'10'!$AF$25:$AF$30,1)=0,"",SUMIFS('10'!$AC$25:$AC$30,'10'!$AG$25:$AG$30,$AK14,'10'!$AF$25:$AF$30,1)/COUNTIFS('10'!$AG$25:$AG$30,$AK14,'10'!$AF$25:$AF$30,1))</f>
        <v/>
      </c>
      <c r="BF14" s="78" t="str">
        <f>IF(COUNTIFS('11'!$AG$25:$AG$30,$AK14,'11'!$AF$25:$AF$30,1)=0,"",SUMIFS('11'!$AC$25:$AC$30,'11'!$AG$25:$AG$30,$AK14,'11'!$AF$25:$AF$30,1)/COUNTIFS('11'!$AG$25:$AG$30,$AK14,'11'!$AF$25:$AF$30,1))</f>
        <v/>
      </c>
      <c r="BG14" s="78" t="str">
        <f>IF(COUNTIFS('12'!$AG$25:$AG$30,$AK14,'12'!$AF$25:$AF$30,1)=0,"",SUMIFS('12'!$AC$25:$AC$30,'12'!$AG$25:$AG$30,$AK14,'12'!$AF$25:$AF$30,1)/COUNTIFS('12'!$AG$25:$AG$30,$AK14,'12'!$AF$25:$AF$30,1))</f>
        <v/>
      </c>
      <c r="BH14" s="78" t="str">
        <f>IF(COUNTIFS('13'!$AG$25:$AG$30,$AK14,'13'!$AF$25:$AF$30,1)=0,"",SUMIFS('13'!$AC$25:$AC$30,'13'!$AG$25:$AG$30,$AK14,'13'!$AF$25:$AF$30,1)/COUNTIFS('13'!$AG$25:$AG$30,$AK14,'13'!$AF$25:$AF$30,1))</f>
        <v/>
      </c>
      <c r="BI14" s="78" t="str">
        <f>IF(COUNTIFS('14'!$AG$25:$AG$30,$AK14,'14'!$AF$25:$AF$30,1)=0,"",SUMIFS('14'!$AC$25:$AC$30,'14'!$AG$25:$AG$30,$AK14,'14'!$AF$25:$AF$30,1)/COUNTIFS('14'!$AG$25:$AG$30,$AK14,'14'!$AF$25:$AF$30,1))</f>
        <v/>
      </c>
      <c r="BJ14" s="78" t="str">
        <f>IF(COUNTIFS('15'!$AG$25:$AG$30,$AK14,'15'!$AF$25:$AF$30,1)=0,"",SUMIFS('15'!$AC$25:$AC$30,'15'!$AG$25:$AG$30,$AK14,'15'!$AF$25:$AF$30,1)/COUNTIFS('15'!$AG$25:$AG$30,$AK14,'15'!$AF$25:$AF$30,1))</f>
        <v/>
      </c>
      <c r="BK14" s="78" t="str">
        <f>IF(COUNTIFS('16'!$AG$25:$AG$30,$AK14,'16'!$AF$25:$AF$30,1)=0,"",SUMIFS('16'!$AC$25:$AC$30,'16'!$AG$25:$AG$30,$AK14,'16'!$AF$25:$AF$30,1)/COUNTIFS('16'!$AG$25:$AG$30,$AK14,'16'!$AF$25:$AF$30,1))</f>
        <v/>
      </c>
      <c r="BL14" s="78" t="str">
        <f>IF(COUNTIFS('17'!$AG$25:$AG$30,$AK14,'17'!$AF$25:$AF$30,1)=0,"",SUMIFS('17'!$AC$25:$AC$30,'17'!$AG$25:$AG$30,$AK14,'17'!$AF$25:$AF$30,1)/COUNTIFS('17'!$AG$25:$AG$30,$AK14,'17'!$AF$25:$AF$30,1))</f>
        <v/>
      </c>
      <c r="BM14" s="78" t="str">
        <f>IF(COUNTIFS('18'!$AG$25:$AG$30,$AK14,'18'!$AF$25:$AF$30,1)=0,"",SUMIFS('18'!$AC$25:$AC$30,'18'!$AG$25:$AG$30,$AK14,'18'!$AF$25:$AF$30,1)/COUNTIFS('18'!$AG$25:$AG$30,$AK14,'18'!$AF$25:$AF$30,1))</f>
        <v/>
      </c>
      <c r="BN14" s="78" t="str">
        <f>IF(COUNTIFS('19'!$AG$25:$AG$30,$AK14,'19'!$AF$25:$AF$30,1)=0,"",SUMIFS('19'!$AC$25:$AC$30,'19'!$AG$25:$AG$30,$AK14,'19'!$AF$25:$AF$30,1)/COUNTIFS('19'!$AG$25:$AG$30,$AK14,'19'!$AF$25:$AF$30,1))</f>
        <v/>
      </c>
      <c r="BO14" s="78" t="str">
        <f>IF(COUNTIFS('20'!$AG$25:$AG$30,$AK14,'20'!$AF$25:$AF$30,1)=0,"",SUMIFS('20'!$AC$25:$AC$30,'20'!$AG$25:$AG$30,$AK14,'20'!$AF$25:$AF$30,1)/COUNTIFS('20'!$AG$25:$AG$30,$AK14,'20'!$AF$25:$AF$30,1))</f>
        <v/>
      </c>
      <c r="BP14" s="78" t="str">
        <f>IF(COUNTIFS('21'!$AG$25:$AG$30,$AK14,'21'!$AF$25:$AF$30,1)=0,"",SUMIFS('21'!$AC$25:$AC$30,'21'!$AG$25:$AG$30,$AK14,'21'!$AF$25:$AF$30,1)/COUNTIFS('21'!$AG$25:$AG$30,$AK14,'21'!$AF$25:$AF$30,1))</f>
        <v/>
      </c>
      <c r="BQ14" s="78" t="str">
        <f>IF(COUNTIFS('22'!$AG$25:$AG$30,$AK14,'22'!$AF$25:$AF$30,1)=0,"",SUMIFS('22'!$AC$25:$AC$30,'22'!$AG$25:$AG$30,$AK14,'22'!$AF$25:$AF$30,1)/COUNTIFS('22'!$AG$25:$AG$30,$AK14,'22'!$AF$25:$AF$30,1))</f>
        <v/>
      </c>
      <c r="BR14" s="78" t="str">
        <f>IF(COUNTIFS('23'!$AG$25:$AG$30,$AK14,'23'!$AF$25:$AF$30,1)=0,"",SUMIFS('23'!$AC$25:$AC$30,'23'!$AG$25:$AG$30,$AK14,'23'!$AF$25:$AF$30,1)/COUNTIFS('23'!$AG$25:$AG$30,$AK14,'23'!$AF$25:$AF$30,1))</f>
        <v/>
      </c>
      <c r="BS14" s="78" t="str">
        <f>IF(COUNTIFS('24'!$AG$25:$AG$30,$AK14,'24'!$AF$25:$AF$30,1)=0,"",SUMIFS('24'!$AC$25:$AC$30,'24'!$AG$25:$AG$30,$AK14,'24'!$AF$25:$AF$30,1)/COUNTIFS('24'!$AG$25:$AG$30,$AK14,'24'!$AF$25:$AF$30,1))</f>
        <v/>
      </c>
      <c r="BT14" s="78" t="str">
        <f>IF(COUNTIFS('25'!$AG$25:$AG$30,$AK14,'25'!$AF$25:$AF$30,1)=0,"",SUMIFS('25'!$AC$25:$AC$30,'25'!$AG$25:$AG$30,$AK14,'25'!$AF$25:$AF$30,1)/COUNTIFS('25'!$AG$25:$AG$30,$AK14,'25'!$AF$25:$AF$30,1))</f>
        <v/>
      </c>
      <c r="BU14" s="78" t="str">
        <f>IF(COUNTIFS('26'!$AG$25:$AG$30,$AK14,'26'!$AF$25:$AF$30,1)=0,"",SUMIFS('26'!$AC$25:$AC$30,'26'!$AG$25:$AG$30,$AK14,'26'!$AF$25:$AF$30,1)/COUNTIFS('26'!$AG$25:$AG$30,$AK14,'26'!$AF$25:$AF$30,1))</f>
        <v/>
      </c>
      <c r="BV14" s="78" t="str">
        <f>IF(COUNTIFS('27'!$AG$25:$AG$30,$AK14,'27'!$AF$25:$AF$30,1)=0,"",SUMIFS('27'!$AC$25:$AC$30,'27'!$AG$25:$AG$30,$AK14,'27'!$AF$25:$AF$30,1)/COUNTIFS('27'!$AG$25:$AG$30,$AK14,'27'!$AF$25:$AF$30,1))</f>
        <v/>
      </c>
      <c r="BW14" s="78" t="str">
        <f>IF(COUNTIFS('28'!$AG$25:$AG$30,$AK14,'28'!$AF$25:$AF$30,1)=0,"",SUMIFS('28'!$AC$25:$AC$30,'28'!$AG$25:$AG$30,$AK14,'28'!$AF$25:$AF$30,1)/COUNTIFS('28'!$AG$25:$AG$30,$AK14,'28'!$AF$25:$AF$30,1))</f>
        <v/>
      </c>
      <c r="BX14" s="78" t="str">
        <f>IF(COUNTIFS('29'!$AG$25:$AG$30,$AK14,'29'!$AF$25:$AF$30,1)=0,"",SUMIFS('29'!$AC$25:$AC$30,'29'!$AG$25:$AG$30,$AK14,'29'!$AF$25:$AF$30,1)/COUNTIFS('29'!$AG$25:$AG$30,$AK14,'29'!$AF$25:$AF$30,1))</f>
        <v/>
      </c>
      <c r="BY14" s="78" t="str">
        <f>IF(COUNTIFS('30'!$AG$25:$AG$30,$AK14,'30'!$AF$25:$AF$30,1)=0,"",SUMIFS('30'!$AC$25:$AC$30,'30'!$AG$25:$AG$30,$AK14,'30'!$AF$25:$AF$30,1)/COUNTIFS('30'!$AG$25:$AG$30,$AK14,'30'!$AF$25:$AF$30,1))</f>
        <v/>
      </c>
      <c r="BZ14" s="7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30" t="str">
        <f>IF(LARGE($Y$5:$Y$17,10)=0,"",10)</f>
        <v/>
      </c>
      <c r="B15" s="130" t="str">
        <f t="shared" si="7"/>
        <v/>
      </c>
      <c r="C15" s="130" t="str">
        <f t="shared" si="8"/>
        <v/>
      </c>
      <c r="D15" s="131" t="str">
        <f t="shared" si="9"/>
        <v/>
      </c>
      <c r="E15" s="131" t="str">
        <f t="shared" si="10"/>
        <v/>
      </c>
      <c r="X15" s="78" t="s">
        <v>111</v>
      </c>
      <c r="Y15" s="78">
        <f>COUNTIF('1'!$D$4:$D$16,X15)+COUNTIF('2'!$D$4:$D$16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0</v>
      </c>
      <c r="Z15" s="78">
        <f t="shared" si="1"/>
        <v>0.00003</v>
      </c>
      <c r="AA15" s="78" t="s">
        <v>102</v>
      </c>
      <c r="AB15" s="78" t="s">
        <v>99</v>
      </c>
      <c r="AC15" s="78">
        <f>COUNTIF('1'!$O$18:$O$21,AA15)+COUNTIF('2'!$O$18:$O$21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78">
        <f t="shared" si="2"/>
        <v>0.00001</v>
      </c>
      <c r="AK15" s="78" t="s">
        <v>102</v>
      </c>
      <c r="AL15" s="78" t="s">
        <v>99</v>
      </c>
      <c r="AM15" s="78">
        <f>COUNTIFS('1'!$AG$25:$AG$30,AK15,'1'!$AF$25:$AF$30,1)+COUNTIFS('2'!$AG$25:$AG$30,AK15,'2'!$AF$25:$AF$30,1)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78" t="str">
        <f t="shared" si="5"/>
        <v/>
      </c>
      <c r="AO15" s="78" t="str">
        <f>IF(AM15=0,"",(SUMIFS('1'!$L$25:$L$30,'1'!$AG$25:$AG$30,AK15,'1'!$AF$25:$AF$30,1)+SUMIFS('2'!$L$25:$L$30,'2'!$AG$25:$AG$30,AK15,'2'!$AF$25:$AF$30,1)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78" t="str">
        <f>IF(AM15=0,"",(SUMIFS('1'!$M$25:$M$30,'1'!$AG$25:$AG$30,AK15,'1'!$AF$25:$AF$30,1)+SUMIFS('2'!$M$25:$M$30,'2'!$AG$25:$AG$30,AK15,'2'!$AF$25:$AF$30,1)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78" t="str">
        <f>IF(AM15=0,"",(SUMIFS('1'!$N$25:$N$30,'1'!$AG$25:$AG$30,AK15,'1'!$AF$25:$AF$30,1)+SUMIFS('2'!$N$25:$N$30,'2'!$AG$25:$AG$30,AK15,'2'!$AF$25:$AF$30,1)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78" t="str">
        <f>IF(AM15=0,"",(SUMIFS('1'!$O$25:$O$30,'1'!$AG$25:$AG$30,AK15,'1'!$AF$25:$AF$30,1)+SUMIFS('2'!$O$25:$O$30,'2'!$AG$25:$AG$30,AK15,'2'!$AF$25:$AF$30,1)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78" t="str">
        <f>IF(AM15=0,"",(SUMIFS('1'!$P$25:$P$30,'1'!$AG$25:$AG$30,AK15,'1'!$AF$25:$AF$30,1)+SUMIFS('2'!$P$25:$P$30,'2'!$AG$25:$AG$30,AK15,'2'!$AF$25:$AF$30,1)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78" t="str">
        <f>IF(COUNTIFS('1'!$AG$25:$AG$30,$AK15,'1'!$AF$25:$AF$30,1)=0,"",SUMIFS('1'!$AC$25:$AC$30,'1'!$AG$25:$AG$30,$AK15,'1'!$AF$25:$AF$30,1)/COUNTIFS('1'!$AG$25:$AG$30,$AK15,'1'!$AF$25:$AF$30,1))</f>
        <v/>
      </c>
      <c r="AW15" s="78" t="str">
        <f>IF(COUNTIFS('2'!$AG$25:$AG$30,$AK15,'2'!$AF$25:$AF$30,1)=0,"",SUMIFS('2'!$AC$25:$AC$30,'2'!$AG$25:$AG$30,$AK15,'2'!$AF$25:$AF$30,1)/COUNTIFS('2'!$AG$25:$AG$30,$AK15,'2'!$AF$25:$AF$30,1))</f>
        <v/>
      </c>
      <c r="AX15" s="78" t="str">
        <f>IF(COUNTIFS('3'!$AG$24:$AG$29,$AK15,'3'!$AF$24:$AF$29,1)=0,"",SUMIFS('3'!$AC$24:$AC$29,'3'!$AG$24:$AG$29,$AK15,'3'!$AF$24:$AF$29,1)/COUNTIFS('3'!$AG$24:$AG$29,$AK15,'3'!$AF$24:$AF$29,1))</f>
        <v/>
      </c>
      <c r="AY15" s="78" t="str">
        <f>IF(COUNTIFS('4'!$AG$25:$AG$30,$AK15,'4'!$AF$25:$AF$30,1)=0,"",SUMIFS('4'!$AC$25:$AC$30,'4'!$AG$25:$AG$30,$AK15,'4'!$AF$25:$AF$30,1)/COUNTIFS('4'!$AG$25:$AG$30,$AK15,'4'!$AF$25:$AF$30,1))</f>
        <v/>
      </c>
      <c r="AZ15" s="78" t="str">
        <f>IF(COUNTIFS('5'!$AG$25:$AG$30,$AK15,'5'!$AF$25:$AF$30,1)=0,"",SUMIFS('5'!$AC$25:$AC$30,'5'!$AG$25:$AG$30,$AK15,'5'!$AF$25:$AF$30,1)/COUNTIFS('5'!$AG$25:$AG$30,$AK15,'5'!$AF$25:$AF$30,1))</f>
        <v/>
      </c>
      <c r="BA15" s="78" t="str">
        <f>IF(COUNTIFS('6'!$AG$25:$AG$30,$AK15,'6'!$AF$25:$AF$30,1)=0,"",SUMIFS('6'!$AC$25:$AC$30,'6'!$AG$25:$AG$30,$AK15,'6'!$AF$25:$AF$30,1)/COUNTIFS('6'!$AG$25:$AG$30,$AK15,'6'!$AF$25:$AF$30,1))</f>
        <v/>
      </c>
      <c r="BB15" s="78" t="str">
        <f>IF(COUNTIFS('7'!$AG$30:$AG$35,$AK15,'7'!$AF$30:$AF$35,1)=0,"",SUMIFS('7'!$AC$30:$AC$35,'7'!$AG$30:$AG$35,$AK15,'7'!$AF$30:$AF$35,1)/COUNTIFS('7'!$AG$30:$AG$35,$AK15,'7'!$AF$30:$AF$35,1))</f>
        <v/>
      </c>
      <c r="BC15" s="78" t="str">
        <f>IF(COUNTIFS('8'!$AG$25:$AG$30,$AK15,'8'!$AF$25:$AF$30,1)=0,"",SUMIFS('8'!$AC$25:$AC$30,'8'!$AG$25:$AG$30,$AK15,'8'!$AF$25:$AF$30,1)/COUNTIFS('8'!$AG$25:$AG$30,$AK15,'8'!$AF$25:$AF$30,1))</f>
        <v/>
      </c>
      <c r="BD15" s="78" t="str">
        <f>IF(COUNTIFS('9'!$AG$25:$AG$30,$AK15,'9'!$AF$25:$AF$30,1)=0,"",SUMIFS('9'!$AC$25:$AC$30,'9'!$AG$25:$AG$30,$AK15,'9'!$AF$25:$AF$30,1)/COUNTIFS('9'!$AG$25:$AG$30,$AK15,'9'!$AF$25:$AF$30,1))</f>
        <v/>
      </c>
      <c r="BE15" s="78" t="str">
        <f>IF(COUNTIFS('10'!$AG$25:$AG$30,$AK15,'10'!$AF$25:$AF$30,1)=0,"",SUMIFS('10'!$AC$25:$AC$30,'10'!$AG$25:$AG$30,$AK15,'10'!$AF$25:$AF$30,1)/COUNTIFS('10'!$AG$25:$AG$30,$AK15,'10'!$AF$25:$AF$30,1))</f>
        <v/>
      </c>
      <c r="BF15" s="78" t="str">
        <f>IF(COUNTIFS('11'!$AG$25:$AG$30,$AK15,'11'!$AF$25:$AF$30,1)=0,"",SUMIFS('11'!$AC$25:$AC$30,'11'!$AG$25:$AG$30,$AK15,'11'!$AF$25:$AF$30,1)/COUNTIFS('11'!$AG$25:$AG$30,$AK15,'11'!$AF$25:$AF$30,1))</f>
        <v/>
      </c>
      <c r="BG15" s="78" t="str">
        <f>IF(COUNTIFS('12'!$AG$25:$AG$30,$AK15,'12'!$AF$25:$AF$30,1)=0,"",SUMIFS('12'!$AC$25:$AC$30,'12'!$AG$25:$AG$30,$AK15,'12'!$AF$25:$AF$30,1)/COUNTIFS('12'!$AG$25:$AG$30,$AK15,'12'!$AF$25:$AF$30,1))</f>
        <v/>
      </c>
      <c r="BH15" s="78" t="str">
        <f>IF(COUNTIFS('13'!$AG$25:$AG$30,$AK15,'13'!$AF$25:$AF$30,1)=0,"",SUMIFS('13'!$AC$25:$AC$30,'13'!$AG$25:$AG$30,$AK15,'13'!$AF$25:$AF$30,1)/COUNTIFS('13'!$AG$25:$AG$30,$AK15,'13'!$AF$25:$AF$30,1))</f>
        <v/>
      </c>
      <c r="BI15" s="78" t="str">
        <f>IF(COUNTIFS('14'!$AG$25:$AG$30,$AK15,'14'!$AF$25:$AF$30,1)=0,"",SUMIFS('14'!$AC$25:$AC$30,'14'!$AG$25:$AG$30,$AK15,'14'!$AF$25:$AF$30,1)/COUNTIFS('14'!$AG$25:$AG$30,$AK15,'14'!$AF$25:$AF$30,1))</f>
        <v/>
      </c>
      <c r="BJ15" s="78" t="str">
        <f>IF(COUNTIFS('15'!$AG$25:$AG$30,$AK15,'15'!$AF$25:$AF$30,1)=0,"",SUMIFS('15'!$AC$25:$AC$30,'15'!$AG$25:$AG$30,$AK15,'15'!$AF$25:$AF$30,1)/COUNTIFS('15'!$AG$25:$AG$30,$AK15,'15'!$AF$25:$AF$30,1))</f>
        <v/>
      </c>
      <c r="BK15" s="78" t="str">
        <f>IF(COUNTIFS('16'!$AG$25:$AG$30,$AK15,'16'!$AF$25:$AF$30,1)=0,"",SUMIFS('16'!$AC$25:$AC$30,'16'!$AG$25:$AG$30,$AK15,'16'!$AF$25:$AF$30,1)/COUNTIFS('16'!$AG$25:$AG$30,$AK15,'16'!$AF$25:$AF$30,1))</f>
        <v/>
      </c>
      <c r="BL15" s="78" t="str">
        <f>IF(COUNTIFS('17'!$AG$25:$AG$30,$AK15,'17'!$AF$25:$AF$30,1)=0,"",SUMIFS('17'!$AC$25:$AC$30,'17'!$AG$25:$AG$30,$AK15,'17'!$AF$25:$AF$30,1)/COUNTIFS('17'!$AG$25:$AG$30,$AK15,'17'!$AF$25:$AF$30,1))</f>
        <v/>
      </c>
      <c r="BM15" s="78" t="str">
        <f>IF(COUNTIFS('18'!$AG$25:$AG$30,$AK15,'18'!$AF$25:$AF$30,1)=0,"",SUMIFS('18'!$AC$25:$AC$30,'18'!$AG$25:$AG$30,$AK15,'18'!$AF$25:$AF$30,1)/COUNTIFS('18'!$AG$25:$AG$30,$AK15,'18'!$AF$25:$AF$30,1))</f>
        <v/>
      </c>
      <c r="BN15" s="78" t="str">
        <f>IF(COUNTIFS('19'!$AG$25:$AG$30,$AK15,'19'!$AF$25:$AF$30,1)=0,"",SUMIFS('19'!$AC$25:$AC$30,'19'!$AG$25:$AG$30,$AK15,'19'!$AF$25:$AF$30,1)/COUNTIFS('19'!$AG$25:$AG$30,$AK15,'19'!$AF$25:$AF$30,1))</f>
        <v/>
      </c>
      <c r="BO15" s="78" t="str">
        <f>IF(COUNTIFS('20'!$AG$25:$AG$30,$AK15,'20'!$AF$25:$AF$30,1)=0,"",SUMIFS('20'!$AC$25:$AC$30,'20'!$AG$25:$AG$30,$AK15,'20'!$AF$25:$AF$30,1)/COUNTIFS('20'!$AG$25:$AG$30,$AK15,'20'!$AF$25:$AF$30,1))</f>
        <v/>
      </c>
      <c r="BP15" s="78" t="str">
        <f>IF(COUNTIFS('21'!$AG$25:$AG$30,$AK15,'21'!$AF$25:$AF$30,1)=0,"",SUMIFS('21'!$AC$25:$AC$30,'21'!$AG$25:$AG$30,$AK15,'21'!$AF$25:$AF$30,1)/COUNTIFS('21'!$AG$25:$AG$30,$AK15,'21'!$AF$25:$AF$30,1))</f>
        <v/>
      </c>
      <c r="BQ15" s="78" t="str">
        <f>IF(COUNTIFS('22'!$AG$25:$AG$30,$AK15,'22'!$AF$25:$AF$30,1)=0,"",SUMIFS('22'!$AC$25:$AC$30,'22'!$AG$25:$AG$30,$AK15,'22'!$AF$25:$AF$30,1)/COUNTIFS('22'!$AG$25:$AG$30,$AK15,'22'!$AF$25:$AF$30,1))</f>
        <v/>
      </c>
      <c r="BR15" s="78" t="str">
        <f>IF(COUNTIFS('23'!$AG$25:$AG$30,$AK15,'23'!$AF$25:$AF$30,1)=0,"",SUMIFS('23'!$AC$25:$AC$30,'23'!$AG$25:$AG$30,$AK15,'23'!$AF$25:$AF$30,1)/COUNTIFS('23'!$AG$25:$AG$30,$AK15,'23'!$AF$25:$AF$30,1))</f>
        <v/>
      </c>
      <c r="BS15" s="78" t="str">
        <f>IF(COUNTIFS('24'!$AG$25:$AG$30,$AK15,'24'!$AF$25:$AF$30,1)=0,"",SUMIFS('24'!$AC$25:$AC$30,'24'!$AG$25:$AG$30,$AK15,'24'!$AF$25:$AF$30,1)/COUNTIFS('24'!$AG$25:$AG$30,$AK15,'24'!$AF$25:$AF$30,1))</f>
        <v/>
      </c>
      <c r="BT15" s="78" t="str">
        <f>IF(COUNTIFS('25'!$AG$25:$AG$30,$AK15,'25'!$AF$25:$AF$30,1)=0,"",SUMIFS('25'!$AC$25:$AC$30,'25'!$AG$25:$AG$30,$AK15,'25'!$AF$25:$AF$30,1)/COUNTIFS('25'!$AG$25:$AG$30,$AK15,'25'!$AF$25:$AF$30,1))</f>
        <v/>
      </c>
      <c r="BU15" s="78" t="str">
        <f>IF(COUNTIFS('26'!$AG$25:$AG$30,$AK15,'26'!$AF$25:$AF$30,1)=0,"",SUMIFS('26'!$AC$25:$AC$30,'26'!$AG$25:$AG$30,$AK15,'26'!$AF$25:$AF$30,1)/COUNTIFS('26'!$AG$25:$AG$30,$AK15,'26'!$AF$25:$AF$30,1))</f>
        <v/>
      </c>
      <c r="BV15" s="78" t="str">
        <f>IF(COUNTIFS('27'!$AG$25:$AG$30,$AK15,'27'!$AF$25:$AF$30,1)=0,"",SUMIFS('27'!$AC$25:$AC$30,'27'!$AG$25:$AG$30,$AK15,'27'!$AF$25:$AF$30,1)/COUNTIFS('27'!$AG$25:$AG$30,$AK15,'27'!$AF$25:$AF$30,1))</f>
        <v/>
      </c>
      <c r="BW15" s="78" t="str">
        <f>IF(COUNTIFS('28'!$AG$25:$AG$30,$AK15,'28'!$AF$25:$AF$30,1)=0,"",SUMIFS('28'!$AC$25:$AC$30,'28'!$AG$25:$AG$30,$AK15,'28'!$AF$25:$AF$30,1)/COUNTIFS('28'!$AG$25:$AG$30,$AK15,'28'!$AF$25:$AF$30,1))</f>
        <v/>
      </c>
      <c r="BX15" s="78" t="str">
        <f>IF(COUNTIFS('29'!$AG$25:$AG$30,$AK15,'29'!$AF$25:$AF$30,1)=0,"",SUMIFS('29'!$AC$25:$AC$30,'29'!$AG$25:$AG$30,$AK15,'29'!$AF$25:$AF$30,1)/COUNTIFS('29'!$AG$25:$AG$30,$AK15,'29'!$AF$25:$AF$30,1))</f>
        <v/>
      </c>
      <c r="BY15" s="78" t="str">
        <f>IF(COUNTIFS('30'!$AG$25:$AG$30,$AK15,'30'!$AF$25:$AF$30,1)=0,"",SUMIFS('30'!$AC$25:$AC$30,'30'!$AG$25:$AG$30,$AK15,'30'!$AF$25:$AF$30,1)/COUNTIFS('30'!$AG$25:$AG$30,$AK15,'30'!$AF$25:$AF$30,1))</f>
        <v/>
      </c>
      <c r="BZ15" s="7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30" t="str">
        <f>IF(LARGE($Y$5:$Y$17,11)=0,"",11)</f>
        <v/>
      </c>
      <c r="B16" s="130" t="str">
        <f t="shared" si="7"/>
        <v/>
      </c>
      <c r="C16" s="130" t="str">
        <f t="shared" si="8"/>
        <v/>
      </c>
      <c r="D16" s="131" t="str">
        <f t="shared" si="9"/>
        <v/>
      </c>
      <c r="E16" s="131" t="str">
        <f t="shared" si="10"/>
        <v/>
      </c>
      <c r="X16" s="78" t="s">
        <v>112</v>
      </c>
      <c r="Y16" s="78">
        <f>COUNTIF('1'!$D$4:$D$16,X16)+COUNTIF('2'!$D$4:$D$16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78">
        <f t="shared" si="1"/>
        <v>0.00002</v>
      </c>
    </row>
    <row r="17">
      <c r="A17" s="130" t="str">
        <f>IF(LARGE($Y$5:$Y$17,12)=0,"",12)</f>
        <v/>
      </c>
      <c r="B17" s="130" t="str">
        <f t="shared" si="7"/>
        <v/>
      </c>
      <c r="C17" s="130" t="str">
        <f t="shared" si="8"/>
        <v/>
      </c>
      <c r="D17" s="131" t="str">
        <f t="shared" si="9"/>
        <v/>
      </c>
      <c r="E17" s="131" t="str">
        <f t="shared" si="10"/>
        <v/>
      </c>
      <c r="X17" s="78" t="s">
        <v>113</v>
      </c>
      <c r="Y17" s="78">
        <f>COUNTIF('1'!$D$4:$D$16,X17)+COUNTIF('2'!$D$4:$D$16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0</v>
      </c>
      <c r="Z17" s="78">
        <f t="shared" si="1"/>
        <v>0.00001</v>
      </c>
    </row>
    <row r="18">
      <c r="A18" s="130" t="str">
        <f>IF(LARGE($Y$5:$Y$17,13)=0,"",13)</f>
        <v/>
      </c>
      <c r="B18" s="130" t="str">
        <f t="shared" si="7"/>
        <v/>
      </c>
      <c r="C18" s="130" t="str">
        <f t="shared" si="8"/>
        <v/>
      </c>
      <c r="D18" s="131" t="str">
        <f t="shared" si="9"/>
        <v/>
      </c>
      <c r="E18" s="131" t="str">
        <f t="shared" si="10"/>
        <v/>
      </c>
      <c r="AV18" s="78" t="str">
        <f t="shared" ref="AV18:BZ18" si="11">IF(COUNT(AV5:AV15)=0,"",AVERAGE(AV5:AV15))</f>
        <v/>
      </c>
      <c r="AW18" s="78" t="str">
        <f t="shared" si="11"/>
        <v/>
      </c>
      <c r="AX18" s="78" t="str">
        <f t="shared" si="11"/>
        <v/>
      </c>
      <c r="AY18" s="78" t="str">
        <f t="shared" si="11"/>
        <v/>
      </c>
      <c r="AZ18" s="78" t="str">
        <f t="shared" si="11"/>
        <v/>
      </c>
      <c r="BA18" s="78" t="str">
        <f t="shared" si="11"/>
        <v/>
      </c>
      <c r="BB18" s="78" t="str">
        <f t="shared" si="11"/>
        <v/>
      </c>
      <c r="BC18" s="78" t="str">
        <f t="shared" si="11"/>
        <v/>
      </c>
      <c r="BD18" s="78" t="str">
        <f t="shared" si="11"/>
        <v/>
      </c>
      <c r="BE18" s="78" t="str">
        <f t="shared" si="11"/>
        <v/>
      </c>
      <c r="BF18" s="78" t="str">
        <f t="shared" si="11"/>
        <v/>
      </c>
      <c r="BG18" s="78" t="str">
        <f t="shared" si="11"/>
        <v/>
      </c>
      <c r="BH18" s="78" t="str">
        <f t="shared" si="11"/>
        <v/>
      </c>
      <c r="BI18" s="78" t="str">
        <f t="shared" si="11"/>
        <v/>
      </c>
      <c r="BJ18" s="78" t="str">
        <f t="shared" si="11"/>
        <v/>
      </c>
      <c r="BK18" s="78" t="str">
        <f t="shared" si="11"/>
        <v/>
      </c>
      <c r="BL18" s="78" t="str">
        <f t="shared" si="11"/>
        <v/>
      </c>
      <c r="BM18" s="78" t="str">
        <f t="shared" si="11"/>
        <v/>
      </c>
      <c r="BN18" s="78" t="str">
        <f t="shared" si="11"/>
        <v/>
      </c>
      <c r="BO18" s="78" t="str">
        <f t="shared" si="11"/>
        <v/>
      </c>
      <c r="BP18" s="78" t="str">
        <f t="shared" si="11"/>
        <v/>
      </c>
      <c r="BQ18" s="78" t="str">
        <f t="shared" si="11"/>
        <v/>
      </c>
      <c r="BR18" s="78" t="str">
        <f t="shared" si="11"/>
        <v/>
      </c>
      <c r="BS18" s="78" t="str">
        <f t="shared" si="11"/>
        <v/>
      </c>
      <c r="BT18" s="78" t="str">
        <f t="shared" si="11"/>
        <v/>
      </c>
      <c r="BU18" s="78" t="str">
        <f t="shared" si="11"/>
        <v/>
      </c>
      <c r="BV18" s="78" t="str">
        <f t="shared" si="11"/>
        <v/>
      </c>
      <c r="BW18" s="78" t="str">
        <f t="shared" si="11"/>
        <v/>
      </c>
      <c r="BX18" s="78" t="str">
        <f t="shared" si="11"/>
        <v/>
      </c>
      <c r="BY18" s="78" t="str">
        <f t="shared" si="11"/>
        <v/>
      </c>
      <c r="BZ18" s="78" t="str">
        <f t="shared" si="11"/>
        <v/>
      </c>
    </row>
    <row r="19">
      <c r="A19" s="130" t="s">
        <v>114</v>
      </c>
      <c r="C19" s="130">
        <f>SUM(C6:C18)</f>
        <v>5</v>
      </c>
      <c r="D19" s="131"/>
      <c r="E19" s="131">
        <f>SUM(D6:D18)</f>
        <v>1</v>
      </c>
    </row>
    <row r="21" ht="15.75" customHeight="1"/>
    <row r="22" ht="15.75" customHeight="1"/>
    <row r="23" ht="15.75" customHeight="1">
      <c r="A23" s="119" t="s">
        <v>115</v>
      </c>
      <c r="F23" s="119" t="s">
        <v>116</v>
      </c>
    </row>
    <row r="24" ht="15.75" customHeight="1">
      <c r="A24" s="120" t="s">
        <v>1</v>
      </c>
      <c r="B24" s="120" t="s">
        <v>117</v>
      </c>
      <c r="C24" s="120" t="s">
        <v>118</v>
      </c>
      <c r="D24" s="120" t="s">
        <v>119</v>
      </c>
      <c r="F24" s="120" t="s">
        <v>72</v>
      </c>
      <c r="G24" s="120" t="s">
        <v>7</v>
      </c>
      <c r="H24" s="120" t="s">
        <v>120</v>
      </c>
      <c r="I24" s="120" t="s">
        <v>121</v>
      </c>
    </row>
    <row r="25" ht="15.75" customHeight="1">
      <c r="A25" s="130" t="str">
        <f t="array" ref="A25">IF(LARGE($AC$5:$AC$15,1)=0,"",INDEX($AA$5:$AA$15,MATCH(LARGE($AD$5:$AD$15,1),$AD$5:$AD$15,0)))</f>
        <v>AMEL</v>
      </c>
      <c r="B25" s="130" t="str">
        <f t="shared" ref="B25:B35" si="12">IF(A25="","",INDEX($AB$5:$AB$15,MATCH(A25,$AA$5:$AA$15,0)))</f>
        <v>Admin/CS</v>
      </c>
      <c r="C25" s="130">
        <f t="shared" ref="C25:C35" si="13">IF(A25="","",INDEX($AC$5:$AC$15,MATCH(A25,$AA$5:$AA$15,0)))</f>
        <v>2</v>
      </c>
      <c r="D25" s="131">
        <f t="shared" ref="D25:D35" si="14">IF(A25="","",IFERROR(C25/SUM($C$25:$C$35),0))</f>
        <v>0.5</v>
      </c>
      <c r="F25" s="130">
        <f>IF(LARGE($AF$5:$AF$9,1)=0,"",1)</f>
        <v>1</v>
      </c>
      <c r="G25" s="130" t="str">
        <f t="shared" ref="G25:G29" si="15">IF(F25="","",INDEX($AE$5:$AE$9,MATCH(LARGE($AG$5:$AG$9,F25),$AG$5:$AG$9,0)))</f>
        <v>AMEL</v>
      </c>
      <c r="H25" s="130">
        <f t="shared" ref="H25:H29" si="16">IF(G25="","",INDEX($AF$5:$AF$9,MATCH(G25,$AE$5:$AE$9,0)))</f>
        <v>5</v>
      </c>
      <c r="I25" s="131">
        <f t="shared" ref="I25:I29" si="17">IF(H25="","",IFERROR(H25/SUM($H$25:$H$29),0))</f>
        <v>1</v>
      </c>
    </row>
    <row r="26" ht="15.75" customHeight="1">
      <c r="A26" s="130" t="str">
        <f t="array" ref="A26">IF(LARGE($AC$5:$AC$15,2)=0,"",INDEX($AA$5:$AA$15,MATCH(LARGE($AD$5:$AD$15,2),$AD$5:$AD$15,0)))</f>
        <v>ADIF</v>
      </c>
      <c r="B26" s="130" t="str">
        <f t="shared" si="12"/>
        <v>Fotografer</v>
      </c>
      <c r="C26" s="130">
        <f t="shared" si="13"/>
        <v>2</v>
      </c>
      <c r="D26" s="131">
        <f t="shared" si="14"/>
        <v>0.5</v>
      </c>
      <c r="F26" s="130" t="str">
        <f>IF(LARGE($AF$5:$AF$9,2)=0,"",2)</f>
        <v/>
      </c>
      <c r="G26" s="130" t="str">
        <f t="shared" si="15"/>
        <v/>
      </c>
      <c r="H26" s="130" t="str">
        <f t="shared" si="16"/>
        <v/>
      </c>
      <c r="I26" s="131" t="str">
        <f t="shared" si="17"/>
        <v/>
      </c>
    </row>
    <row r="27" ht="15.75" customHeight="1">
      <c r="A27" s="130" t="str">
        <f t="array" ref="A27">IF(LARGE($AC$5:$AC$15,3)=0,"",INDEX($AA$5:$AA$15,MATCH(LARGE($AD$5:$AD$15,3),$AD$5:$AD$15,0)))</f>
        <v/>
      </c>
      <c r="B27" s="130" t="str">
        <f t="shared" si="12"/>
        <v/>
      </c>
      <c r="C27" s="130" t="str">
        <f t="shared" si="13"/>
        <v/>
      </c>
      <c r="D27" s="131" t="str">
        <f t="shared" si="14"/>
        <v/>
      </c>
      <c r="F27" s="130" t="str">
        <f>IF(LARGE($AF$5:$AF$9,3)=0,"",3)</f>
        <v/>
      </c>
      <c r="G27" s="130" t="str">
        <f t="shared" si="15"/>
        <v/>
      </c>
      <c r="H27" s="130" t="str">
        <f t="shared" si="16"/>
        <v/>
      </c>
      <c r="I27" s="131" t="str">
        <f t="shared" si="17"/>
        <v/>
      </c>
    </row>
    <row r="28" ht="15.75" customHeight="1">
      <c r="A28" s="130" t="str">
        <f t="array" ref="A28">IF(LARGE($AC$5:$AC$15,4)=0,"",INDEX($AA$5:$AA$15,MATCH(LARGE($AD$5:$AD$15,4),$AD$5:$AD$15,0)))</f>
        <v/>
      </c>
      <c r="B28" s="130" t="str">
        <f t="shared" si="12"/>
        <v/>
      </c>
      <c r="C28" s="130" t="str">
        <f t="shared" si="13"/>
        <v/>
      </c>
      <c r="D28" s="131" t="str">
        <f t="shared" si="14"/>
        <v/>
      </c>
      <c r="F28" s="130" t="str">
        <f>IF(LARGE($AF$5:$AF$9,4)=0,"",4)</f>
        <v/>
      </c>
      <c r="G28" s="130" t="str">
        <f t="shared" si="15"/>
        <v/>
      </c>
      <c r="H28" s="130" t="str">
        <f t="shared" si="16"/>
        <v/>
      </c>
      <c r="I28" s="131" t="str">
        <f t="shared" si="17"/>
        <v/>
      </c>
    </row>
    <row r="29" ht="15.75" customHeight="1">
      <c r="A29" s="130" t="str">
        <f t="array" ref="A29">IF(LARGE($AC$5:$AC$15,5)=0,"",INDEX($AA$5:$AA$15,MATCH(LARGE($AD$5:$AD$15,5),$AD$5:$AD$15,0)))</f>
        <v/>
      </c>
      <c r="B29" s="130" t="str">
        <f t="shared" si="12"/>
        <v/>
      </c>
      <c r="C29" s="130" t="str">
        <f t="shared" si="13"/>
        <v/>
      </c>
      <c r="D29" s="131" t="str">
        <f t="shared" si="14"/>
        <v/>
      </c>
      <c r="F29" s="130" t="str">
        <f>IF(LARGE($AF$5:$AF$9,5)=0,"",5)</f>
        <v/>
      </c>
      <c r="G29" s="130" t="str">
        <f t="shared" si="15"/>
        <v/>
      </c>
      <c r="H29" s="130" t="str">
        <f t="shared" si="16"/>
        <v/>
      </c>
      <c r="I29" s="131" t="str">
        <f t="shared" si="17"/>
        <v/>
      </c>
    </row>
    <row r="30" ht="15.75" customHeight="1">
      <c r="A30" s="130" t="str">
        <f t="array" ref="A30">IF(LARGE($AC$5:$AC$15,6)=0,"",INDEX($AA$5:$AA$15,MATCH(LARGE($AD$5:$AD$15,6),$AD$5:$AD$15,0)))</f>
        <v/>
      </c>
      <c r="B30" s="130" t="str">
        <f t="shared" si="12"/>
        <v/>
      </c>
      <c r="C30" s="130" t="str">
        <f t="shared" si="13"/>
        <v/>
      </c>
      <c r="D30" s="131" t="str">
        <f t="shared" si="14"/>
        <v/>
      </c>
    </row>
    <row r="31" ht="15.75" customHeight="1">
      <c r="A31" s="130" t="str">
        <f t="array" ref="A31">IF(LARGE($AC$5:$AC$15,7)=0,"",INDEX($AA$5:$AA$15,MATCH(LARGE($AD$5:$AD$15,7),$AD$5:$AD$15,0)))</f>
        <v/>
      </c>
      <c r="B31" s="130" t="str">
        <f t="shared" si="12"/>
        <v/>
      </c>
      <c r="C31" s="130" t="str">
        <f t="shared" si="13"/>
        <v/>
      </c>
      <c r="D31" s="131" t="str">
        <f t="shared" si="14"/>
        <v/>
      </c>
      <c r="F31" s="119" t="s">
        <v>122</v>
      </c>
    </row>
    <row r="32" ht="15.75" customHeight="1">
      <c r="A32" s="130" t="str">
        <f t="array" ref="A32">IF(LARGE($AC$5:$AC$15,8)=0,"",INDEX($AA$5:$AA$15,MATCH(LARGE($AD$5:$AD$15,8),$AD$5:$AD$15,0)))</f>
        <v/>
      </c>
      <c r="B32" s="130" t="str">
        <f t="shared" si="12"/>
        <v/>
      </c>
      <c r="C32" s="130" t="str">
        <f t="shared" si="13"/>
        <v/>
      </c>
      <c r="D32" s="131" t="str">
        <f t="shared" si="14"/>
        <v/>
      </c>
      <c r="F32" s="120" t="s">
        <v>72</v>
      </c>
      <c r="G32" s="120" t="s">
        <v>99</v>
      </c>
      <c r="H32" s="120" t="s">
        <v>120</v>
      </c>
      <c r="I32" s="120" t="s">
        <v>121</v>
      </c>
    </row>
    <row r="33" ht="15.75" customHeight="1">
      <c r="A33" s="130" t="str">
        <f t="array" ref="A33">IF(LARGE($AC$5:$AC$15,9)=0,"",INDEX($AA$5:$AA$15,MATCH(LARGE($AD$5:$AD$15,9),$AD$5:$AD$15,0)))</f>
        <v/>
      </c>
      <c r="B33" s="130" t="str">
        <f t="shared" si="12"/>
        <v/>
      </c>
      <c r="C33" s="130" t="str">
        <f t="shared" si="13"/>
        <v/>
      </c>
      <c r="D33" s="131" t="str">
        <f t="shared" si="14"/>
        <v/>
      </c>
      <c r="F33" s="130">
        <f>IF(LARGE($AI$5:$AI$10,1)=0,"",1)</f>
        <v>1</v>
      </c>
      <c r="G33" s="130" t="str">
        <f t="shared" ref="G33:G38" si="18">IF(F33="","",INDEX($AH$5:$AH$10,MATCH(LARGE($AJ$5:$AJ$10,F33),$AJ$5:$AJ$10,0)))</f>
        <v>ADIF</v>
      </c>
      <c r="H33" s="130">
        <f t="shared" ref="H33:H38" si="19">IF(G33="","",INDEX($AI$5:$AI$10,MATCH(G33,$AH$5:$AH$10,0)))</f>
        <v>2</v>
      </c>
      <c r="I33" s="131">
        <f t="shared" ref="I33:I38" si="20">IF(H33="","",IFERROR(H33/SUM($H$33:$H$38),0))</f>
        <v>1</v>
      </c>
    </row>
    <row r="34" ht="15.75" customHeight="1">
      <c r="A34" s="130" t="str">
        <f t="array" ref="A34">IF(LARGE($AC$5:$AC$15,10)=0,"",INDEX($AA$5:$AA$15,MATCH(LARGE($AD$5:$AD$15,10),$AD$5:$AD$15,0)))</f>
        <v/>
      </c>
      <c r="B34" s="130" t="str">
        <f t="shared" si="12"/>
        <v/>
      </c>
      <c r="C34" s="130" t="str">
        <f t="shared" si="13"/>
        <v/>
      </c>
      <c r="D34" s="131" t="str">
        <f t="shared" si="14"/>
        <v/>
      </c>
      <c r="F34" s="130" t="str">
        <f>IF(LARGE($AI$5:$AI$10,2)=0,"",2)</f>
        <v/>
      </c>
      <c r="G34" s="130" t="str">
        <f t="shared" si="18"/>
        <v/>
      </c>
      <c r="H34" s="130" t="str">
        <f t="shared" si="19"/>
        <v/>
      </c>
      <c r="I34" s="131" t="str">
        <f t="shared" si="20"/>
        <v/>
      </c>
    </row>
    <row r="35" ht="15.75" customHeight="1">
      <c r="A35" s="130" t="str">
        <f t="array" ref="A35">IF(LARGE($AC$5:$AC$15,11)=0,"",INDEX($AA$5:$AA$15,MATCH(LARGE($AD$5:$AD$15,11),$AD$5:$AD$15,0)))</f>
        <v/>
      </c>
      <c r="B35" s="130" t="str">
        <f t="shared" si="12"/>
        <v/>
      </c>
      <c r="C35" s="130" t="str">
        <f t="shared" si="13"/>
        <v/>
      </c>
      <c r="D35" s="131" t="str">
        <f t="shared" si="14"/>
        <v/>
      </c>
      <c r="F35" s="130" t="str">
        <f>IF(LARGE($AI$5:$AI$10,3)=0,"",3)</f>
        <v/>
      </c>
      <c r="G35" s="130" t="str">
        <f t="shared" si="18"/>
        <v/>
      </c>
      <c r="H35" s="130" t="str">
        <f t="shared" si="19"/>
        <v/>
      </c>
      <c r="I35" s="131" t="str">
        <f t="shared" si="20"/>
        <v/>
      </c>
    </row>
    <row r="36" ht="15.75" customHeight="1">
      <c r="F36" s="130" t="str">
        <f>IF(LARGE($AI$5:$AI$10,4)=0,"",4)</f>
        <v/>
      </c>
      <c r="G36" s="130" t="str">
        <f t="shared" si="18"/>
        <v/>
      </c>
      <c r="H36" s="130" t="str">
        <f t="shared" si="19"/>
        <v/>
      </c>
      <c r="I36" s="131" t="str">
        <f t="shared" si="20"/>
        <v/>
      </c>
    </row>
    <row r="37" ht="15.75" customHeight="1">
      <c r="F37" s="130" t="str">
        <f>IF(LARGE($AI$5:$AI$10,5)=0,"",5)</f>
        <v/>
      </c>
      <c r="G37" s="130" t="str">
        <f t="shared" si="18"/>
        <v/>
      </c>
      <c r="H37" s="130" t="str">
        <f t="shared" si="19"/>
        <v/>
      </c>
      <c r="I37" s="131" t="str">
        <f t="shared" si="20"/>
        <v/>
      </c>
    </row>
    <row r="38" ht="15.75" customHeight="1">
      <c r="F38" s="130" t="str">
        <f>IF(LARGE($AI$5:$AI$10,6)=0,"",6)</f>
        <v/>
      </c>
      <c r="G38" s="130" t="str">
        <f t="shared" si="18"/>
        <v/>
      </c>
      <c r="H38" s="130" t="str">
        <f t="shared" si="19"/>
        <v/>
      </c>
      <c r="I38" s="13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19" t="s">
        <v>123</v>
      </c>
    </row>
    <row r="44" ht="15.75" customHeight="1"/>
    <row r="45" ht="15.75" customHeight="1">
      <c r="A45" s="120" t="s">
        <v>76</v>
      </c>
      <c r="D45" s="120" t="s">
        <v>124</v>
      </c>
      <c r="G45" s="120" t="s">
        <v>125</v>
      </c>
      <c r="J45" s="120" t="s">
        <v>126</v>
      </c>
    </row>
    <row r="46" ht="15.75" customHeight="1">
      <c r="A46" s="136" t="str">
        <f>IF(COUNTIF($C$51:$C$61,"&gt;0")=0,"",AVERAGEIF($D$51:$D$61,"&gt;0",$D$51:$D$61))</f>
        <v/>
      </c>
      <c r="D46" s="136" t="str">
        <f>IF(COUNTIFS($B$51:$B$61,"Admin/CS",$C$51:$C$61,"&gt;0")=0,"",SUMIFS($D$51:$D$61,$B$51:$B$61,"Admin/CS",$C$51:$C$61,"&gt;0")/COUNTIFS($B$51:$B$61,"Admin/CS",$C$51:$C$61,"&gt;0"))</f>
        <v/>
      </c>
      <c r="G46" s="136" t="str">
        <f>IF(COUNTIFS($B$51:$B$61,"Fotografer",$C$51:$C$61,"&gt;0")=0,"",SUMIFS($D$51:$D$61,$B$51:$B$61,"Fotografer",$C$51:$C$61,"&gt;0")/COUNTIFS($B$51:$B$61,"Fotografer",$C$51:$C$61,"&gt;0"))</f>
        <v/>
      </c>
      <c r="J46" s="137" t="str">
        <f t="array" ref="J46">IF(COUNTIF($C$51:$C$61,"&gt;0")=0,"-",INDEX($A$51:$A$61,MATCH(MAX($D$51:$D$61),$D$51:$D$61,0))&amp;" | "&amp;TEXT(MAX($D$51:$D$61),"0.0%"))</f>
        <v>-</v>
      </c>
    </row>
    <row r="47" ht="15.75" customHeight="1"/>
    <row r="48" ht="15.75" customHeight="1"/>
    <row r="49" ht="15.75" customHeight="1"/>
    <row r="50" ht="15.75" customHeight="1">
      <c r="A50" s="120" t="s">
        <v>1</v>
      </c>
      <c r="B50" s="120" t="s">
        <v>117</v>
      </c>
      <c r="C50" s="120" t="s">
        <v>82</v>
      </c>
      <c r="D50" s="120" t="s">
        <v>83</v>
      </c>
      <c r="E50" s="120" t="s">
        <v>44</v>
      </c>
      <c r="F50" s="120" t="s">
        <v>45</v>
      </c>
      <c r="G50" s="120" t="s">
        <v>46</v>
      </c>
      <c r="H50" s="120" t="s">
        <v>47</v>
      </c>
      <c r="I50" s="120" t="s">
        <v>48</v>
      </c>
      <c r="J50" s="120" t="s">
        <v>127</v>
      </c>
      <c r="K50" s="120" t="s">
        <v>128</v>
      </c>
    </row>
    <row r="51" ht="15.75" customHeight="1">
      <c r="A51" s="130" t="str">
        <f t="shared" ref="A51:C51" si="21">AK5</f>
        <v>INDAH</v>
      </c>
      <c r="B51" s="130" t="str">
        <f t="shared" si="21"/>
        <v>Admin/CS</v>
      </c>
      <c r="C51" s="138">
        <f t="shared" si="21"/>
        <v>0</v>
      </c>
      <c r="D51" s="131" t="str">
        <f t="shared" ref="D51:D61" si="23">IF(C51=0,"",AN5/100)</f>
        <v/>
      </c>
      <c r="E51" s="139" t="str">
        <f t="shared" ref="E51:E61" si="24">IF(C51=0,"",AO5)</f>
        <v/>
      </c>
      <c r="F51" s="139" t="str">
        <f t="shared" ref="F51:F61" si="25">IF(C51=0,"",AP5)</f>
        <v/>
      </c>
      <c r="G51" s="139" t="str">
        <f t="shared" ref="G51:G61" si="26">IF(C51=0,"",AQ5)</f>
        <v/>
      </c>
      <c r="H51" s="139" t="str">
        <f t="shared" ref="H51:H61" si="27">IF(C51=0,"",AR5)</f>
        <v/>
      </c>
      <c r="I51" s="139" t="str">
        <f t="shared" ref="I51:I61" si="28">IF(C51=0,"",AS5)</f>
        <v/>
      </c>
      <c r="J51" s="130" t="str">
        <f t="shared" ref="J51:J61" si="29">IF(D51="","Belum Dinilai",IF(D51&gt;=0.9,"Sangat Baik",IF(D51&gt;=0.8,"Baik",IF(D51&gt;=0.7,"Coaching","Underperform"))))</f>
        <v>Belum Dinilai</v>
      </c>
      <c r="K51" s="90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30" t="str">
        <f t="shared" ref="A52:C52" si="22">AK6</f>
        <v>ADDEL</v>
      </c>
      <c r="B52" s="130" t="str">
        <f t="shared" si="22"/>
        <v>Admin/CS</v>
      </c>
      <c r="C52" s="138">
        <f t="shared" si="22"/>
        <v>0</v>
      </c>
      <c r="D52" s="131" t="str">
        <f t="shared" si="23"/>
        <v/>
      </c>
      <c r="E52" s="139" t="str">
        <f t="shared" si="24"/>
        <v/>
      </c>
      <c r="F52" s="139" t="str">
        <f t="shared" si="25"/>
        <v/>
      </c>
      <c r="G52" s="139" t="str">
        <f t="shared" si="26"/>
        <v/>
      </c>
      <c r="H52" s="139" t="str">
        <f t="shared" si="27"/>
        <v/>
      </c>
      <c r="I52" s="139" t="str">
        <f t="shared" si="28"/>
        <v/>
      </c>
      <c r="J52" s="130" t="str">
        <f t="shared" si="29"/>
        <v>Belum Dinilai</v>
      </c>
      <c r="K52" s="90" t="str">
        <f t="shared" si="30"/>
        <v>Belum Ada</v>
      </c>
    </row>
    <row r="53" ht="15.75" customHeight="1">
      <c r="A53" s="130" t="str">
        <f t="shared" ref="A53:C53" si="31">AK7</f>
        <v>AMEL</v>
      </c>
      <c r="B53" s="130" t="str">
        <f t="shared" si="31"/>
        <v>Admin/CS</v>
      </c>
      <c r="C53" s="138">
        <f t="shared" si="31"/>
        <v>0</v>
      </c>
      <c r="D53" s="131" t="str">
        <f t="shared" si="23"/>
        <v/>
      </c>
      <c r="E53" s="139" t="str">
        <f t="shared" si="24"/>
        <v/>
      </c>
      <c r="F53" s="139" t="str">
        <f t="shared" si="25"/>
        <v/>
      </c>
      <c r="G53" s="139" t="str">
        <f t="shared" si="26"/>
        <v/>
      </c>
      <c r="H53" s="139" t="str">
        <f t="shared" si="27"/>
        <v/>
      </c>
      <c r="I53" s="139" t="str">
        <f t="shared" si="28"/>
        <v/>
      </c>
      <c r="J53" s="130" t="str">
        <f t="shared" si="29"/>
        <v>Belum Dinilai</v>
      </c>
      <c r="K53" s="90" t="str">
        <f t="shared" si="30"/>
        <v>Belum Ada</v>
      </c>
    </row>
    <row r="54" ht="15.75" customHeight="1">
      <c r="A54" s="130" t="str">
        <f t="shared" ref="A54:C54" si="32">AK8</f>
        <v>PENTIL</v>
      </c>
      <c r="B54" s="130" t="str">
        <f t="shared" si="32"/>
        <v>Admin/CS</v>
      </c>
      <c r="C54" s="138">
        <f t="shared" si="32"/>
        <v>0</v>
      </c>
      <c r="D54" s="131" t="str">
        <f t="shared" si="23"/>
        <v/>
      </c>
      <c r="E54" s="139" t="str">
        <f t="shared" si="24"/>
        <v/>
      </c>
      <c r="F54" s="139" t="str">
        <f t="shared" si="25"/>
        <v/>
      </c>
      <c r="G54" s="139" t="str">
        <f t="shared" si="26"/>
        <v/>
      </c>
      <c r="H54" s="139" t="str">
        <f t="shared" si="27"/>
        <v/>
      </c>
      <c r="I54" s="139" t="str">
        <f t="shared" si="28"/>
        <v/>
      </c>
      <c r="J54" s="130" t="str">
        <f t="shared" si="29"/>
        <v>Belum Dinilai</v>
      </c>
      <c r="K54" s="90" t="str">
        <f t="shared" si="30"/>
        <v>Belum Ada</v>
      </c>
    </row>
    <row r="55" ht="15.75" customHeight="1">
      <c r="A55" s="130" t="str">
        <f t="shared" ref="A55:C55" si="33">AK9</f>
        <v>JIJANG</v>
      </c>
      <c r="B55" s="130" t="str">
        <f t="shared" si="33"/>
        <v>Admin/CS</v>
      </c>
      <c r="C55" s="138">
        <f t="shared" si="33"/>
        <v>0</v>
      </c>
      <c r="D55" s="131" t="str">
        <f t="shared" si="23"/>
        <v/>
      </c>
      <c r="E55" s="139" t="str">
        <f t="shared" si="24"/>
        <v/>
      </c>
      <c r="F55" s="139" t="str">
        <f t="shared" si="25"/>
        <v/>
      </c>
      <c r="G55" s="139" t="str">
        <f t="shared" si="26"/>
        <v/>
      </c>
      <c r="H55" s="139" t="str">
        <f t="shared" si="27"/>
        <v/>
      </c>
      <c r="I55" s="139" t="str">
        <f t="shared" si="28"/>
        <v/>
      </c>
      <c r="J55" s="130" t="str">
        <f t="shared" si="29"/>
        <v>Belum Dinilai</v>
      </c>
      <c r="K55" s="90" t="str">
        <f t="shared" si="30"/>
        <v>Belum Ada</v>
      </c>
    </row>
    <row r="56" ht="15.75" customHeight="1">
      <c r="A56" s="130" t="str">
        <f t="shared" ref="A56:C56" si="34">AK10</f>
        <v>HANIF</v>
      </c>
      <c r="B56" s="130" t="str">
        <f t="shared" si="34"/>
        <v>Fotografer</v>
      </c>
      <c r="C56" s="138">
        <f t="shared" si="34"/>
        <v>0</v>
      </c>
      <c r="D56" s="131" t="str">
        <f t="shared" si="23"/>
        <v/>
      </c>
      <c r="E56" s="139" t="str">
        <f t="shared" si="24"/>
        <v/>
      </c>
      <c r="F56" s="139" t="str">
        <f t="shared" si="25"/>
        <v/>
      </c>
      <c r="G56" s="139" t="str">
        <f t="shared" si="26"/>
        <v/>
      </c>
      <c r="H56" s="139" t="str">
        <f t="shared" si="27"/>
        <v/>
      </c>
      <c r="I56" s="139" t="str">
        <f t="shared" si="28"/>
        <v/>
      </c>
      <c r="J56" s="130" t="str">
        <f t="shared" si="29"/>
        <v>Belum Dinilai</v>
      </c>
      <c r="K56" s="90" t="str">
        <f t="shared" si="30"/>
        <v>Belum Ada</v>
      </c>
    </row>
    <row r="57" ht="15.75" customHeight="1">
      <c r="A57" s="130" t="str">
        <f t="shared" ref="A57:C57" si="35">AK11</f>
        <v>FAHME</v>
      </c>
      <c r="B57" s="130" t="str">
        <f t="shared" si="35"/>
        <v>Fotografer</v>
      </c>
      <c r="C57" s="138">
        <f t="shared" si="35"/>
        <v>0</v>
      </c>
      <c r="D57" s="131" t="str">
        <f t="shared" si="23"/>
        <v/>
      </c>
      <c r="E57" s="139" t="str">
        <f t="shared" si="24"/>
        <v/>
      </c>
      <c r="F57" s="139" t="str">
        <f t="shared" si="25"/>
        <v/>
      </c>
      <c r="G57" s="139" t="str">
        <f t="shared" si="26"/>
        <v/>
      </c>
      <c r="H57" s="139" t="str">
        <f t="shared" si="27"/>
        <v/>
      </c>
      <c r="I57" s="139" t="str">
        <f t="shared" si="28"/>
        <v/>
      </c>
      <c r="J57" s="130" t="str">
        <f t="shared" si="29"/>
        <v>Belum Dinilai</v>
      </c>
      <c r="K57" s="90" t="str">
        <f t="shared" si="30"/>
        <v>Belum Ada</v>
      </c>
    </row>
    <row r="58" ht="15.75" customHeight="1">
      <c r="A58" s="130" t="str">
        <f t="shared" ref="A58:C58" si="36">AK12</f>
        <v>ADIF</v>
      </c>
      <c r="B58" s="130" t="str">
        <f t="shared" si="36"/>
        <v>Fotografer</v>
      </c>
      <c r="C58" s="138">
        <f t="shared" si="36"/>
        <v>0</v>
      </c>
      <c r="D58" s="131" t="str">
        <f t="shared" si="23"/>
        <v/>
      </c>
      <c r="E58" s="139" t="str">
        <f t="shared" si="24"/>
        <v/>
      </c>
      <c r="F58" s="139" t="str">
        <f t="shared" si="25"/>
        <v/>
      </c>
      <c r="G58" s="139" t="str">
        <f t="shared" si="26"/>
        <v/>
      </c>
      <c r="H58" s="139" t="str">
        <f t="shared" si="27"/>
        <v/>
      </c>
      <c r="I58" s="139" t="str">
        <f t="shared" si="28"/>
        <v/>
      </c>
      <c r="J58" s="130" t="str">
        <f t="shared" si="29"/>
        <v>Belum Dinilai</v>
      </c>
      <c r="K58" s="90" t="str">
        <f t="shared" si="30"/>
        <v>Belum Ada</v>
      </c>
    </row>
    <row r="59" ht="15.75" customHeight="1">
      <c r="A59" s="130" t="str">
        <f t="shared" ref="A59:C59" si="37">AK13</f>
        <v>ABROR</v>
      </c>
      <c r="B59" s="130" t="str">
        <f t="shared" si="37"/>
        <v>Fotografer</v>
      </c>
      <c r="C59" s="138">
        <f t="shared" si="37"/>
        <v>0</v>
      </c>
      <c r="D59" s="131" t="str">
        <f t="shared" si="23"/>
        <v/>
      </c>
      <c r="E59" s="139" t="str">
        <f t="shared" si="24"/>
        <v/>
      </c>
      <c r="F59" s="139" t="str">
        <f t="shared" si="25"/>
        <v/>
      </c>
      <c r="G59" s="139" t="str">
        <f t="shared" si="26"/>
        <v/>
      </c>
      <c r="H59" s="139" t="str">
        <f t="shared" si="27"/>
        <v/>
      </c>
      <c r="I59" s="139" t="str">
        <f t="shared" si="28"/>
        <v/>
      </c>
      <c r="J59" s="130" t="str">
        <f t="shared" si="29"/>
        <v>Belum Dinilai</v>
      </c>
      <c r="K59" s="90" t="str">
        <f t="shared" si="30"/>
        <v>Belum Ada</v>
      </c>
    </row>
    <row r="60" ht="15.75" customHeight="1">
      <c r="A60" s="130" t="str">
        <f t="shared" ref="A60:C60" si="38">AK14</f>
        <v>FADEL</v>
      </c>
      <c r="B60" s="130" t="str">
        <f t="shared" si="38"/>
        <v>Fotografer</v>
      </c>
      <c r="C60" s="138">
        <f t="shared" si="38"/>
        <v>0</v>
      </c>
      <c r="D60" s="131" t="str">
        <f t="shared" si="23"/>
        <v/>
      </c>
      <c r="E60" s="139" t="str">
        <f t="shared" si="24"/>
        <v/>
      </c>
      <c r="F60" s="139" t="str">
        <f t="shared" si="25"/>
        <v/>
      </c>
      <c r="G60" s="139" t="str">
        <f t="shared" si="26"/>
        <v/>
      </c>
      <c r="H60" s="139" t="str">
        <f t="shared" si="27"/>
        <v/>
      </c>
      <c r="I60" s="139" t="str">
        <f t="shared" si="28"/>
        <v/>
      </c>
      <c r="J60" s="130" t="str">
        <f t="shared" si="29"/>
        <v>Belum Dinilai</v>
      </c>
      <c r="K60" s="90" t="str">
        <f t="shared" si="30"/>
        <v>Belum Ada</v>
      </c>
    </row>
    <row r="61" ht="15.75" customHeight="1">
      <c r="A61" s="130" t="str">
        <f t="shared" ref="A61:C61" si="39">AK15</f>
        <v>SAKA</v>
      </c>
      <c r="B61" s="130" t="str">
        <f t="shared" si="39"/>
        <v>Fotografer</v>
      </c>
      <c r="C61" s="138">
        <f t="shared" si="39"/>
        <v>0</v>
      </c>
      <c r="D61" s="131" t="str">
        <f t="shared" si="23"/>
        <v/>
      </c>
      <c r="E61" s="139" t="str">
        <f t="shared" si="24"/>
        <v/>
      </c>
      <c r="F61" s="139" t="str">
        <f t="shared" si="25"/>
        <v/>
      </c>
      <c r="G61" s="139" t="str">
        <f t="shared" si="26"/>
        <v/>
      </c>
      <c r="H61" s="139" t="str">
        <f t="shared" si="27"/>
        <v/>
      </c>
      <c r="I61" s="139" t="str">
        <f t="shared" si="28"/>
        <v/>
      </c>
      <c r="J61" s="130" t="str">
        <f t="shared" si="29"/>
        <v>Belum Dinilai</v>
      </c>
      <c r="K61" s="90" t="str">
        <f t="shared" si="30"/>
        <v>Belum Ada</v>
      </c>
    </row>
    <row r="62" ht="15.75" customHeight="1"/>
    <row r="63" ht="15.75" customHeight="1"/>
    <row r="64" ht="15.75" customHeight="1">
      <c r="A64" s="140" t="s">
        <v>129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