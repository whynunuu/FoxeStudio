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A9JmuQ+OqA+RBv0eqYdJvvIxfoTr61CA7GFQ9/PB4nE="/>
    </ext>
  </extLst>
</workbook>
</file>

<file path=xl/sharedStrings.xml><?xml version="1.0" encoding="utf-8"?>
<sst xmlns="http://schemas.openxmlformats.org/spreadsheetml/2006/main" count="1960" uniqueCount="160">
  <si>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</si>
  <si>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</si>
  <si>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</si>
  <si>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</si>
  <si>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</si>
  <si>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</si>
  <si>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</si>
  <si>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</si>
  <si>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</si>
  <si>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</si>
  <si>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</si>
  <si>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</si>
  <si>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</si>
  <si>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</si>
  <si>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</si>
  <si>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</si>
  <si>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</si>
  <si>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</si>
  <si>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</si>
  <si>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</si>
  <si>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</si>
  <si>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 xml:space="preserve"> Hamdan Ismail S.N</t>
  </si>
  <si>
    <t>Fajar Alfani</t>
  </si>
  <si>
    <t>DP</t>
  </si>
  <si>
    <t>Graduation Premium</t>
  </si>
  <si>
    <t>AMEL</t>
  </si>
  <si>
    <t>17 okt</t>
  </si>
  <si>
    <t>Rara</t>
  </si>
  <si>
    <t>Photofox</t>
  </si>
  <si>
    <t>1 okt</t>
  </si>
  <si>
    <t>Lunas</t>
  </si>
  <si>
    <t>Uploaded</t>
  </si>
  <si>
    <t>-</t>
  </si>
  <si>
    <t>ADIF</t>
  </si>
  <si>
    <t>Iqis</t>
  </si>
  <si>
    <t>Riski Mulyawan Pangestu d</t>
  </si>
  <si>
    <t>Large Group</t>
  </si>
  <si>
    <t>4 okt</t>
  </si>
  <si>
    <t>Nadia</t>
  </si>
  <si>
    <t>2 okt</t>
  </si>
  <si>
    <t>22 okt</t>
  </si>
  <si>
    <t>Rotho</t>
  </si>
  <si>
    <t>Ulfa Nurul</t>
  </si>
  <si>
    <t>Add Edit</t>
  </si>
  <si>
    <t>27 sept</t>
  </si>
  <si>
    <t>Utia</t>
  </si>
  <si>
    <t>Uji</t>
  </si>
  <si>
    <t>3 okt</t>
  </si>
  <si>
    <t>Liaamalia</t>
  </si>
  <si>
    <t>Studio Rent</t>
  </si>
  <si>
    <t>Bilqis</t>
  </si>
  <si>
    <t>Photo Fox</t>
  </si>
  <si>
    <t>Danisha</t>
  </si>
  <si>
    <t>Pending</t>
  </si>
  <si>
    <t>Rachel</t>
  </si>
  <si>
    <t>Couple A</t>
  </si>
  <si>
    <t xml:space="preserve">Luthfi </t>
  </si>
  <si>
    <t>Qonita</t>
  </si>
  <si>
    <t>Single</t>
  </si>
  <si>
    <t>INDAH</t>
  </si>
  <si>
    <t>Dedik Purwanto</t>
  </si>
  <si>
    <t>Rizka</t>
  </si>
  <si>
    <t>Add cetak</t>
  </si>
  <si>
    <t>22 sept</t>
  </si>
  <si>
    <t>Lutfia</t>
  </si>
  <si>
    <t>SAKA</t>
  </si>
  <si>
    <t xml:space="preserve"> Bilqis</t>
  </si>
  <si>
    <t>All file</t>
  </si>
  <si>
    <t>Sali</t>
  </si>
  <si>
    <t>Caca</t>
  </si>
  <si>
    <t>Nominal</t>
  </si>
  <si>
    <t>Shift</t>
  </si>
  <si>
    <t>Pendapatan Tunai</t>
  </si>
  <si>
    <t>Admin 1</t>
  </si>
  <si>
    <t>Salli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</si>
  <si>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</si>
  <si>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</si>
  <si>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</si>
  <si>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</si>
  <si>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</si>
  <si>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</si>
  <si>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</si>
  <si>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</si>
  <si>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</si>
  <si>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</si>
  <si>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</si>
  <si>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</si>
  <si>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</si>
  <si>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</si>
  <si>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Bensin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</si>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</sst>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6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/>
    </xf>
    <xf borderId="6" fillId="0" fontId="5" numFmtId="0" xfId="0" applyAlignment="1" applyBorder="1" applyFont="1">
      <alignment horizontal="center" readingOrder="0"/>
    </xf>
    <xf borderId="6" fillId="0" fontId="6" numFmtId="164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bottom"/>
    </xf>
    <xf borderId="6" fillId="0" fontId="1" numFmtId="165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center" vertical="center"/>
    </xf>
    <xf borderId="7" fillId="0" fontId="1" numFmtId="164" xfId="0" applyBorder="1" applyFont="1" applyNumberFormat="1"/>
    <xf borderId="2" fillId="0" fontId="6" numFmtId="164" xfId="0" applyAlignment="1" applyBorder="1" applyFont="1" applyNumberFormat="1">
      <alignment horizontal="right" vertical="center"/>
    </xf>
    <xf borderId="2" fillId="0" fontId="1" numFmtId="164" xfId="0" applyBorder="1" applyFont="1" applyNumberFormat="1"/>
    <xf borderId="1" fillId="0" fontId="1" numFmtId="165" xfId="0" applyAlignment="1" applyBorder="1" applyFont="1" applyNumberFormat="1">
      <alignment horizontal="center" vertical="center"/>
    </xf>
    <xf borderId="6" fillId="0" fontId="6" numFmtId="164" xfId="0" applyAlignment="1" applyBorder="1" applyFont="1" applyNumberFormat="1">
      <alignment horizontal="right" vertical="center"/>
    </xf>
    <xf borderId="1" fillId="0" fontId="6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horizontal="center" readingOrder="0"/>
    </xf>
    <xf borderId="6" fillId="0" fontId="1" numFmtId="0" xfId="0" applyBorder="1" applyFont="1"/>
    <xf borderId="6" fillId="0" fontId="6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readingOrder="0"/>
    </xf>
    <xf borderId="6" fillId="0" fontId="2" numFmtId="0" xfId="0" applyAlignment="1" applyBorder="1" applyFont="1">
      <alignment horizont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vertical="bottom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10" fillId="0" fontId="7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5" fillId="4" fontId="2" numFmtId="164" xfId="0" applyAlignment="1" applyBorder="1" applyFill="1" applyFont="1" applyNumberFormat="1">
      <alignment horizontal="center" vertical="center"/>
    </xf>
    <xf borderId="0" fillId="0" fontId="2" numFmtId="0" xfId="0" applyFont="1"/>
    <xf borderId="5" fillId="5" fontId="6" numFmtId="164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readingOrder="0" vertical="bottom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6" fillId="5" fontId="2" numFmtId="164" xfId="0" applyAlignment="1" applyBorder="1" applyFill="1" applyFont="1" applyNumberForma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0" fillId="8" fontId="8" numFmtId="0" xfId="0" applyAlignment="1" applyFill="1" applyFont="1">
      <alignment horizontal="center" vertical="center"/>
    </xf>
    <xf borderId="0" fillId="0" fontId="1" numFmtId="164" xfId="0" applyAlignment="1" applyFont="1" applyNumberForma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6" fillId="0" fontId="1" numFmtId="164" xfId="0" applyBorder="1" applyFont="1" applyNumberFormat="1"/>
    <xf borderId="2" fillId="0" fontId="2" numFmtId="164" xfId="0" applyAlignment="1" applyBorder="1" applyFont="1" applyNumberFormat="1">
      <alignment horizontal="right" vertical="center"/>
    </xf>
    <xf borderId="0" fillId="11" fontId="9" numFmtId="0" xfId="0" applyAlignment="1" applyFill="1" applyFont="1">
      <alignment horizontal="center" shrinkToFit="0" vertical="center" wrapText="1"/>
    </xf>
    <xf borderId="6" fillId="0" fontId="1" numFmtId="9" xfId="0" applyAlignment="1" applyBorder="1" applyFont="1" applyNumberFormat="1">
      <alignment horizontal="center"/>
    </xf>
    <xf borderId="0" fillId="12" fontId="8" numFmtId="0" xfId="0" applyAlignment="1" applyFill="1" applyFont="1">
      <alignment horizontal="center" vertical="center"/>
    </xf>
    <xf borderId="0" fillId="13" fontId="1" numFmtId="0" xfId="0" applyFill="1" applyFont="1"/>
    <xf borderId="0" fillId="12" fontId="10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5" fontId="10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0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74834323"/>
        <c:axId val="259343161"/>
      </c:barChart>
      <c:catAx>
        <c:axId val="16748343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59343161"/>
      </c:catAx>
      <c:valAx>
        <c:axId val="25934316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7483432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18797185"/>
        <c:axId val="117024537"/>
      </c:lineChart>
      <c:catAx>
        <c:axId val="12187971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7024537"/>
      </c:catAx>
      <c:valAx>
        <c:axId val="11702453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187971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 t="s">
        <v>20</v>
      </c>
      <c r="G4" s="20"/>
      <c r="H4" s="22">
        <v>100000.0</v>
      </c>
      <c r="I4" s="18" t="s">
        <v>23</v>
      </c>
      <c r="J4" s="14"/>
      <c r="K4" s="14"/>
      <c r="L4" s="18" t="s">
        <v>25</v>
      </c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5" t="s">
        <v>27</v>
      </c>
      <c r="D5" s="16" t="s">
        <v>28</v>
      </c>
      <c r="E5" s="17"/>
      <c r="F5" s="18" t="s">
        <v>29</v>
      </c>
      <c r="G5" s="33">
        <v>125000.0</v>
      </c>
      <c r="H5" s="35"/>
      <c r="I5" s="18" t="s">
        <v>30</v>
      </c>
      <c r="J5" s="18" t="s">
        <v>31</v>
      </c>
      <c r="K5" s="18" t="s">
        <v>32</v>
      </c>
      <c r="L5" s="18" t="s">
        <v>25</v>
      </c>
      <c r="M5" s="18" t="s">
        <v>33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38</v>
      </c>
      <c r="D6" s="16" t="s">
        <v>19</v>
      </c>
      <c r="E6" s="17"/>
      <c r="F6" s="18" t="s">
        <v>40</v>
      </c>
      <c r="G6" s="41"/>
      <c r="H6" s="22">
        <v>100000.0</v>
      </c>
      <c r="I6" s="18" t="s">
        <v>23</v>
      </c>
      <c r="J6" s="14"/>
      <c r="K6" s="14"/>
      <c r="L6" s="18" t="s">
        <v>25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41</v>
      </c>
      <c r="D7" s="16" t="s">
        <v>36</v>
      </c>
      <c r="E7" s="17"/>
      <c r="F7" s="18" t="s">
        <v>29</v>
      </c>
      <c r="G7" s="41"/>
      <c r="H7" s="45">
        <v>200000.0</v>
      </c>
      <c r="I7" s="18" t="s">
        <v>30</v>
      </c>
      <c r="J7" s="18" t="s">
        <v>31</v>
      </c>
      <c r="K7" s="18" t="s">
        <v>31</v>
      </c>
      <c r="L7" s="18" t="s">
        <v>25</v>
      </c>
      <c r="M7" s="18" t="s">
        <v>33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46</v>
      </c>
      <c r="D8" s="16" t="s">
        <v>19</v>
      </c>
      <c r="E8" s="17"/>
      <c r="F8" s="18" t="s">
        <v>47</v>
      </c>
      <c r="G8" s="20"/>
      <c r="H8" s="22">
        <v>100000.0</v>
      </c>
      <c r="I8" s="18" t="s">
        <v>23</v>
      </c>
      <c r="J8" s="14"/>
      <c r="K8" s="14"/>
      <c r="L8" s="18" t="s">
        <v>25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47" t="s">
        <v>48</v>
      </c>
      <c r="D9" s="16" t="s">
        <v>49</v>
      </c>
      <c r="E9" s="48"/>
      <c r="F9" s="18" t="s">
        <v>29</v>
      </c>
      <c r="G9" s="41"/>
      <c r="H9" s="45">
        <v>450000.0</v>
      </c>
      <c r="I9" s="18" t="s">
        <v>30</v>
      </c>
      <c r="J9" s="14"/>
      <c r="K9" s="14"/>
      <c r="L9" s="18" t="s">
        <v>25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52</v>
      </c>
      <c r="D10" s="16" t="s">
        <v>36</v>
      </c>
      <c r="E10" s="48"/>
      <c r="F10" s="18" t="s">
        <v>29</v>
      </c>
      <c r="G10" s="41"/>
      <c r="H10" s="45">
        <v>100000.0</v>
      </c>
      <c r="I10" s="18" t="s">
        <v>30</v>
      </c>
      <c r="J10" s="18" t="s">
        <v>31</v>
      </c>
      <c r="K10" s="18" t="s">
        <v>53</v>
      </c>
      <c r="L10" s="18" t="s">
        <v>25</v>
      </c>
      <c r="M10" s="18" t="s">
        <v>33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54</v>
      </c>
      <c r="D11" s="16" t="s">
        <v>55</v>
      </c>
      <c r="E11" s="48"/>
      <c r="F11" s="18" t="s">
        <v>29</v>
      </c>
      <c r="G11" s="33">
        <v>150000.0</v>
      </c>
      <c r="H11" s="35"/>
      <c r="I11" s="18" t="s">
        <v>30</v>
      </c>
      <c r="J11" s="18" t="s">
        <v>31</v>
      </c>
      <c r="K11" s="18" t="s">
        <v>31</v>
      </c>
      <c r="L11" s="18" t="s">
        <v>25</v>
      </c>
      <c r="M11" s="18" t="s">
        <v>33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7" t="s">
        <v>57</v>
      </c>
      <c r="D12" s="16" t="s">
        <v>58</v>
      </c>
      <c r="E12" s="48"/>
      <c r="F12" s="18" t="s">
        <v>29</v>
      </c>
      <c r="G12" s="41"/>
      <c r="H12" s="22">
        <v>100000.0</v>
      </c>
      <c r="I12" s="18" t="s">
        <v>30</v>
      </c>
      <c r="J12" s="18" t="s">
        <v>31</v>
      </c>
      <c r="K12" s="18" t="s">
        <v>31</v>
      </c>
      <c r="L12" s="18" t="s">
        <v>25</v>
      </c>
      <c r="M12" s="18" t="s">
        <v>33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47" t="s">
        <v>60</v>
      </c>
      <c r="D13" s="16" t="s">
        <v>62</v>
      </c>
      <c r="E13" s="48"/>
      <c r="F13" s="18" t="s">
        <v>63</v>
      </c>
      <c r="G13" s="52">
        <v>25000.0</v>
      </c>
      <c r="H13" s="35"/>
      <c r="I13" s="18" t="s">
        <v>30</v>
      </c>
      <c r="J13" s="18" t="s">
        <v>32</v>
      </c>
      <c r="K13" s="18" t="s">
        <v>32</v>
      </c>
      <c r="L13" s="18" t="s">
        <v>25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47" t="s">
        <v>64</v>
      </c>
      <c r="D14" s="16" t="s">
        <v>36</v>
      </c>
      <c r="E14" s="48"/>
      <c r="F14" s="18" t="s">
        <v>29</v>
      </c>
      <c r="G14" s="52">
        <v>105000.0</v>
      </c>
      <c r="H14" s="22">
        <v>220000.0</v>
      </c>
      <c r="I14" s="18" t="s">
        <v>30</v>
      </c>
      <c r="J14" s="18" t="s">
        <v>31</v>
      </c>
      <c r="K14" s="18" t="s">
        <v>31</v>
      </c>
      <c r="L14" s="18" t="s">
        <v>25</v>
      </c>
      <c r="M14" s="18" t="s">
        <v>33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47" t="s">
        <v>66</v>
      </c>
      <c r="D15" s="16" t="s">
        <v>28</v>
      </c>
      <c r="E15" s="48"/>
      <c r="F15" s="18" t="s">
        <v>39</v>
      </c>
      <c r="G15" s="41"/>
      <c r="H15" s="22">
        <v>100000.0</v>
      </c>
      <c r="I15" s="18" t="s">
        <v>23</v>
      </c>
      <c r="J15" s="14"/>
      <c r="K15" s="14"/>
      <c r="L15" s="18" t="s">
        <v>25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47" t="s">
        <v>57</v>
      </c>
      <c r="D16" s="16" t="s">
        <v>67</v>
      </c>
      <c r="E16" s="48"/>
      <c r="F16" s="18" t="s">
        <v>29</v>
      </c>
      <c r="G16" s="41"/>
      <c r="H16" s="22">
        <v>50000.0</v>
      </c>
      <c r="I16" s="18" t="s">
        <v>30</v>
      </c>
      <c r="J16" s="18" t="s">
        <v>31</v>
      </c>
      <c r="K16" s="18" t="s">
        <v>31</v>
      </c>
      <c r="L16" s="18" t="s">
        <v>25</v>
      </c>
      <c r="M16" s="18" t="s">
        <v>33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43"/>
      <c r="D17" s="46"/>
      <c r="E17" s="48"/>
      <c r="F17" s="57"/>
      <c r="G17" s="20"/>
      <c r="H17" s="35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5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9" t="s">
        <v>0</v>
      </c>
      <c r="C21" s="60" t="s">
        <v>6</v>
      </c>
      <c r="D21" s="60" t="s">
        <v>70</v>
      </c>
      <c r="E21" s="1"/>
      <c r="F21" s="1"/>
      <c r="G21" s="1"/>
      <c r="H21" s="1"/>
      <c r="I21" s="1"/>
      <c r="J21" s="1"/>
      <c r="K21" s="1"/>
      <c r="L21" s="1"/>
      <c r="M21" s="1"/>
      <c r="N21" s="60" t="s">
        <v>71</v>
      </c>
      <c r="O21" s="60" t="s">
        <v>1</v>
      </c>
      <c r="P21" s="1"/>
      <c r="Q21" s="1"/>
      <c r="R21" s="1"/>
    </row>
    <row r="22" ht="15.75" customHeight="1">
      <c r="A22" s="1"/>
      <c r="B22" s="62">
        <v>1.0</v>
      </c>
      <c r="C22" s="63" t="s">
        <v>72</v>
      </c>
      <c r="D22" s="64">
        <f>SUM(G18)</f>
        <v>405000</v>
      </c>
      <c r="E22" s="65"/>
      <c r="F22" s="1"/>
      <c r="G22" s="1"/>
      <c r="H22" s="1"/>
      <c r="I22" s="1"/>
      <c r="J22" s="1"/>
      <c r="K22" s="1"/>
      <c r="L22" s="1"/>
      <c r="M22" s="1"/>
      <c r="N22" s="66" t="s">
        <v>73</v>
      </c>
      <c r="O22" s="72" t="s">
        <v>25</v>
      </c>
      <c r="P22" s="1"/>
      <c r="Q22" s="1"/>
      <c r="R22" s="1"/>
    </row>
    <row r="23" ht="15.75" customHeight="1">
      <c r="A23" s="1"/>
      <c r="B23" s="67">
        <v>2.0</v>
      </c>
      <c r="C23" s="74"/>
      <c r="D23" s="75"/>
      <c r="E23" s="65"/>
      <c r="F23" s="1"/>
      <c r="G23" s="1"/>
      <c r="H23" s="1"/>
      <c r="I23" s="1"/>
      <c r="J23" s="1"/>
      <c r="K23" s="1"/>
      <c r="L23" s="1"/>
      <c r="M23" s="1"/>
      <c r="N23" s="70" t="s">
        <v>75</v>
      </c>
      <c r="O23" s="78" t="s">
        <v>25</v>
      </c>
      <c r="P23" s="1"/>
      <c r="Q23" s="1"/>
      <c r="R23" s="1"/>
    </row>
    <row r="24" ht="15.75" customHeight="1">
      <c r="A24" s="1"/>
      <c r="B24" s="62">
        <v>3.0</v>
      </c>
      <c r="C24" s="63"/>
      <c r="D24" s="64"/>
      <c r="E24" s="65"/>
      <c r="F24" s="1"/>
      <c r="G24" s="1"/>
      <c r="H24" s="1"/>
      <c r="I24" s="1"/>
      <c r="J24" s="1"/>
      <c r="K24" s="1"/>
      <c r="L24" s="1"/>
      <c r="M24" s="1"/>
      <c r="N24" s="73" t="s">
        <v>76</v>
      </c>
      <c r="O24" s="80" t="s">
        <v>33</v>
      </c>
      <c r="P24" s="1"/>
      <c r="Q24" s="1"/>
      <c r="R24" s="1"/>
    </row>
    <row r="25" ht="15.75" customHeight="1">
      <c r="A25" s="1"/>
      <c r="B25" s="67">
        <v>4.0</v>
      </c>
      <c r="C25" s="68"/>
      <c r="D25" s="69"/>
      <c r="E25" s="65"/>
      <c r="F25" s="82"/>
      <c r="G25" s="1"/>
      <c r="H25" s="1"/>
      <c r="I25" s="1"/>
      <c r="J25" s="1"/>
      <c r="K25" s="1"/>
      <c r="L25" s="1"/>
      <c r="M25" s="1"/>
      <c r="N25" s="76" t="s">
        <v>77</v>
      </c>
      <c r="O25" s="78" t="s">
        <v>33</v>
      </c>
      <c r="P25" s="1"/>
      <c r="Q25" s="1"/>
      <c r="R25" s="1"/>
    </row>
    <row r="26" ht="15.75" customHeight="1">
      <c r="A26" s="1"/>
      <c r="B26" s="62">
        <v>5.0</v>
      </c>
      <c r="C26" s="63"/>
      <c r="D26" s="64"/>
      <c r="E26" s="65"/>
      <c r="F26" s="1"/>
      <c r="G26" s="1"/>
      <c r="H26" s="1"/>
      <c r="I26" s="1"/>
      <c r="J26" s="1"/>
      <c r="K26" s="1"/>
      <c r="L26" s="1"/>
      <c r="M26" s="1"/>
      <c r="N26" s="79"/>
      <c r="O26" s="1"/>
      <c r="P26" s="1"/>
      <c r="Q26" s="1"/>
      <c r="R26" s="1"/>
    </row>
    <row r="27" ht="15.75" customHeight="1">
      <c r="A27" s="1"/>
      <c r="B27" s="67">
        <v>6.0</v>
      </c>
      <c r="C27" s="68"/>
      <c r="D27" s="69"/>
      <c r="E27" s="65"/>
      <c r="F27" s="1"/>
      <c r="G27" s="1"/>
      <c r="H27" s="1"/>
      <c r="I27" s="1"/>
      <c r="J27" s="1"/>
      <c r="K27" s="81" t="s">
        <v>78</v>
      </c>
      <c r="Q27" s="1"/>
      <c r="R27" s="1"/>
    </row>
    <row r="28" ht="15.75" customHeight="1">
      <c r="A28" s="1"/>
      <c r="B28" s="62">
        <v>7.0</v>
      </c>
      <c r="C28" s="63"/>
      <c r="D28" s="64"/>
      <c r="E28" s="65"/>
      <c r="F28" s="1"/>
      <c r="G28" s="1"/>
      <c r="H28" s="1"/>
      <c r="I28" s="1"/>
      <c r="J28" s="1"/>
      <c r="K28" s="83" t="s">
        <v>1</v>
      </c>
      <c r="L28" s="83" t="s">
        <v>79</v>
      </c>
      <c r="M28" s="83" t="s">
        <v>80</v>
      </c>
      <c r="N28" s="83" t="s">
        <v>81</v>
      </c>
      <c r="O28" s="83" t="s">
        <v>82</v>
      </c>
      <c r="P28" s="83" t="s">
        <v>83</v>
      </c>
      <c r="Q28" s="1"/>
      <c r="R28" s="1"/>
      <c r="AC28" s="84" t="s">
        <v>84</v>
      </c>
      <c r="AD28" s="84" t="s">
        <v>85</v>
      </c>
      <c r="AE28" s="84" t="s">
        <v>86</v>
      </c>
      <c r="AF28" s="84" t="s">
        <v>87</v>
      </c>
      <c r="AG28" s="84" t="s">
        <v>88</v>
      </c>
    </row>
    <row r="29" ht="15.75" customHeight="1">
      <c r="A29" s="1"/>
      <c r="B29" s="67">
        <v>8.0</v>
      </c>
      <c r="C29" s="68"/>
      <c r="D29" s="69"/>
      <c r="E29" s="65"/>
      <c r="F29" s="1"/>
      <c r="G29" s="1"/>
      <c r="H29" s="1"/>
      <c r="I29" s="1"/>
      <c r="J29" s="1"/>
      <c r="K29" s="85" t="str">
        <f t="shared" ref="K29:K32" si="1">IF(O22="","",O22)</f>
        <v>AMEL</v>
      </c>
      <c r="L29" s="87">
        <v>4.0</v>
      </c>
      <c r="M29" s="87">
        <v>4.0</v>
      </c>
      <c r="N29" s="87">
        <v>4.0</v>
      </c>
      <c r="O29" s="87">
        <v>4.0</v>
      </c>
      <c r="P29" s="87">
        <v>4.0</v>
      </c>
      <c r="Q29" s="1"/>
      <c r="R29" s="1"/>
      <c r="AC29" s="84">
        <f t="shared" ref="AC29:AC34" si="2">IF(AG29="","",IF(COUNT(L29:P29)&lt;5,"",L29/5*20+M29/5*25+N29/5*25+O29/5*15+P29/5*15))</f>
        <v>80</v>
      </c>
      <c r="AD29" s="84" t="str">
        <f t="shared" ref="AD29:AD34" si="3">IF(AC29="","",IF(AC29&gt;=90,"Sangat Baik",IF(AC29&gt;=80,"Baik",IF(AC29&gt;=70,"Coaching","Underperform"))))</f>
        <v>Baik</v>
      </c>
      <c r="AE29" s="84" t="str">
        <f t="shared" ref="AE29:AE34" si="4">IF(AG29="","",IF(OR(AG29="INDAH",AG29="ADDEL",AG29="AMEL",AG29="PENTIL",AG29="JIJANG"),"Admin/CS","Fotografer"))</f>
        <v>Admin/CS</v>
      </c>
      <c r="AF29" s="84">
        <f t="shared" ref="AF29:AF34" si="5">IF(OR(AG29="",COUNT(L29:P29)&lt;5),"",1)</f>
        <v>1</v>
      </c>
      <c r="AG29" s="84" t="str">
        <f t="shared" ref="AG29:AG34" si="6">IFERROR(K29,"")</f>
        <v>AMEL</v>
      </c>
    </row>
    <row r="30" ht="15.75" customHeight="1">
      <c r="A30" s="1"/>
      <c r="B30" s="62">
        <v>9.0</v>
      </c>
      <c r="C30" s="63"/>
      <c r="D30" s="64"/>
      <c r="E30" s="65"/>
      <c r="F30" s="1"/>
      <c r="G30" s="1"/>
      <c r="H30" s="1"/>
      <c r="I30" s="1"/>
      <c r="J30" s="1"/>
      <c r="K30" s="85" t="str">
        <f t="shared" si="1"/>
        <v>AMEL</v>
      </c>
      <c r="L30" s="86"/>
      <c r="M30" s="86"/>
      <c r="N30" s="86"/>
      <c r="O30" s="86"/>
      <c r="P30" s="86"/>
      <c r="Q30" s="1"/>
      <c r="R30" s="1"/>
      <c r="AC30" s="84" t="str">
        <f t="shared" si="2"/>
        <v/>
      </c>
      <c r="AD30" s="84" t="str">
        <f t="shared" si="3"/>
        <v/>
      </c>
      <c r="AE30" s="84" t="str">
        <f t="shared" si="4"/>
        <v>Admin/CS</v>
      </c>
      <c r="AF30" s="84" t="str">
        <f t="shared" si="5"/>
        <v/>
      </c>
      <c r="AG30" s="84" t="str">
        <f t="shared" si="6"/>
        <v>AMEL</v>
      </c>
    </row>
    <row r="31" ht="15.75" customHeight="1">
      <c r="A31" s="1"/>
      <c r="B31" s="67">
        <v>10.0</v>
      </c>
      <c r="C31" s="68"/>
      <c r="D31" s="69"/>
      <c r="E31" s="65"/>
      <c r="F31" s="1"/>
      <c r="G31" s="1"/>
      <c r="H31" s="1"/>
      <c r="I31" s="1"/>
      <c r="J31" s="1"/>
      <c r="K31" s="85" t="str">
        <f t="shared" si="1"/>
        <v>ADIF</v>
      </c>
      <c r="L31" s="87">
        <v>4.0</v>
      </c>
      <c r="M31" s="87">
        <v>5.0</v>
      </c>
      <c r="N31" s="87">
        <v>5.0</v>
      </c>
      <c r="O31" s="87">
        <v>5.0</v>
      </c>
      <c r="P31" s="87">
        <v>5.0</v>
      </c>
      <c r="Q31" s="1"/>
      <c r="R31" s="1"/>
      <c r="AC31" s="84">
        <f t="shared" si="2"/>
        <v>96</v>
      </c>
      <c r="AD31" s="84" t="str">
        <f t="shared" si="3"/>
        <v>Sangat Baik</v>
      </c>
      <c r="AE31" s="84" t="str">
        <f t="shared" si="4"/>
        <v>Fotografer</v>
      </c>
      <c r="AF31" s="84">
        <f t="shared" si="5"/>
        <v>1</v>
      </c>
      <c r="AG31" s="84" t="str">
        <f t="shared" si="6"/>
        <v>ADIF</v>
      </c>
    </row>
    <row r="32" ht="15.75" customHeight="1">
      <c r="A32" s="1"/>
      <c r="B32" s="92">
        <v>11.0</v>
      </c>
      <c r="C32" s="93"/>
      <c r="D32" s="94"/>
      <c r="E32" s="65"/>
      <c r="F32" s="1"/>
      <c r="G32" s="1"/>
      <c r="H32" s="1"/>
      <c r="I32" s="1"/>
      <c r="J32" s="1"/>
      <c r="K32" s="85" t="str">
        <f t="shared" si="1"/>
        <v>ADIF</v>
      </c>
      <c r="L32" s="86"/>
      <c r="M32" s="86"/>
      <c r="N32" s="86"/>
      <c r="O32" s="86"/>
      <c r="P32" s="86"/>
      <c r="Q32" s="1"/>
      <c r="R32" s="1"/>
      <c r="AC32" s="84" t="str">
        <f t="shared" si="2"/>
        <v/>
      </c>
      <c r="AD32" s="84" t="str">
        <f t="shared" si="3"/>
        <v/>
      </c>
      <c r="AE32" s="84" t="str">
        <f t="shared" si="4"/>
        <v>Fotografer</v>
      </c>
      <c r="AF32" s="84" t="str">
        <f t="shared" si="5"/>
        <v/>
      </c>
      <c r="AG32" s="84" t="str">
        <f t="shared" si="6"/>
        <v>ADIF</v>
      </c>
    </row>
    <row r="33" ht="15.75" customHeight="1">
      <c r="A33" s="1"/>
      <c r="B33" s="1"/>
      <c r="C33" s="2"/>
      <c r="D33" s="95">
        <f>SUM(D22:D32)</f>
        <v>405000</v>
      </c>
      <c r="E33" s="1"/>
      <c r="F33" s="1"/>
      <c r="G33" s="1"/>
      <c r="H33" s="1"/>
      <c r="I33" s="1"/>
      <c r="J33" s="1"/>
      <c r="K33" s="85"/>
      <c r="L33" s="86"/>
      <c r="M33" s="86"/>
      <c r="N33" s="86"/>
      <c r="O33" s="86"/>
      <c r="P33" s="86"/>
      <c r="Q33" s="1"/>
      <c r="R33" s="1"/>
      <c r="AC33" s="84" t="str">
        <f t="shared" si="2"/>
        <v/>
      </c>
      <c r="AD33" s="84" t="str">
        <f t="shared" si="3"/>
        <v/>
      </c>
      <c r="AE33" s="84" t="str">
        <f t="shared" si="4"/>
        <v/>
      </c>
      <c r="AF33" s="84" t="str">
        <f t="shared" si="5"/>
        <v/>
      </c>
      <c r="AG33" s="8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5"/>
      <c r="L34" s="86"/>
      <c r="M34" s="86"/>
      <c r="N34" s="86"/>
      <c r="O34" s="86"/>
      <c r="P34" s="86"/>
      <c r="Q34" s="1"/>
      <c r="R34" s="1"/>
      <c r="AC34" s="84" t="str">
        <f t="shared" si="2"/>
        <v/>
      </c>
      <c r="AD34" s="84" t="str">
        <f t="shared" si="3"/>
        <v/>
      </c>
      <c r="AE34" s="84" t="str">
        <f t="shared" si="4"/>
        <v/>
      </c>
      <c r="AF34" s="84" t="str">
        <f t="shared" si="5"/>
        <v/>
      </c>
      <c r="AG34" s="8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 t="s">
        <v>90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0" t="s">
        <v>91</v>
      </c>
      <c r="N37" s="101"/>
      <c r="O37" s="1"/>
      <c r="P37" s="1"/>
      <c r="Q37" s="1"/>
      <c r="R37" s="1"/>
    </row>
    <row r="38" ht="15.75" customHeight="1">
      <c r="K38" s="102" t="s">
        <v>7</v>
      </c>
      <c r="L38" s="102" t="s">
        <v>92</v>
      </c>
      <c r="M38" s="102" t="s">
        <v>93</v>
      </c>
      <c r="N38" s="103" t="s">
        <v>94</v>
      </c>
    </row>
    <row r="39" ht="15.75" customHeight="1">
      <c r="K39" s="104" t="str">
        <f t="shared" ref="K39:K40" si="7">IF(O22="","",O22)</f>
        <v>AMEL</v>
      </c>
      <c r="L39" s="106">
        <v>5.0</v>
      </c>
      <c r="M39" s="106" t="s">
        <v>95</v>
      </c>
      <c r="N39" s="107">
        <v>4.0</v>
      </c>
    </row>
    <row r="40" ht="15.75" customHeight="1">
      <c r="K40" s="104" t="str">
        <f t="shared" si="7"/>
        <v>AMEL</v>
      </c>
      <c r="L40" s="105"/>
      <c r="M40" s="105"/>
      <c r="N40" s="108"/>
    </row>
    <row r="41" ht="15.75" customHeight="1"/>
    <row r="42" ht="19.5" customHeight="1">
      <c r="K42" s="109" t="s">
        <v>96</v>
      </c>
    </row>
    <row r="43" ht="19.5" customHeight="1">
      <c r="K43" s="110" t="s">
        <v>97</v>
      </c>
      <c r="M43" s="106">
        <v>34.0</v>
      </c>
    </row>
    <row r="44" ht="19.5" customHeight="1">
      <c r="K44" s="111" t="s">
        <v>98</v>
      </c>
      <c r="M44" s="112">
        <f>COUNTIF($I$4:$I$20,"DP")</f>
        <v>4</v>
      </c>
    </row>
    <row r="45" ht="19.5" customHeight="1">
      <c r="K45" s="111" t="s">
        <v>99</v>
      </c>
      <c r="M45" s="112">
        <f>COUNTIFS($I$4:$I$20,"&lt;&gt;DP",$I$4:$I$20,"&lt;&gt;")</f>
        <v>9</v>
      </c>
    </row>
    <row r="46" ht="19.5" customHeight="1">
      <c r="K46" s="113" t="s">
        <v>100</v>
      </c>
      <c r="M46" s="112">
        <f>M44+M45</f>
        <v>13</v>
      </c>
    </row>
    <row r="47" ht="19.5" customHeight="1">
      <c r="K47" s="110" t="s">
        <v>101</v>
      </c>
      <c r="M47" s="11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1" t="s">
        <v>22</v>
      </c>
      <c r="D4" s="16" t="s">
        <v>24</v>
      </c>
      <c r="E4" s="24"/>
      <c r="F4" s="18" t="s">
        <v>26</v>
      </c>
      <c r="G4" s="29"/>
      <c r="H4" s="22">
        <v>100000.0</v>
      </c>
      <c r="I4" s="18" t="s">
        <v>23</v>
      </c>
      <c r="J4" s="14"/>
      <c r="K4" s="14"/>
      <c r="L4" s="18" t="s">
        <v>25</v>
      </c>
      <c r="M4" s="1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37" t="s">
        <v>34</v>
      </c>
      <c r="D5" s="16" t="s">
        <v>36</v>
      </c>
      <c r="E5" s="38"/>
      <c r="F5" s="18" t="s">
        <v>39</v>
      </c>
      <c r="G5" s="39"/>
      <c r="H5" s="42">
        <v>100000.0</v>
      </c>
      <c r="I5" s="18" t="s">
        <v>23</v>
      </c>
      <c r="J5" s="14"/>
      <c r="K5" s="14"/>
      <c r="L5" s="18" t="s">
        <v>25</v>
      </c>
      <c r="M5" s="1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15" t="s">
        <v>42</v>
      </c>
      <c r="D6" s="16" t="s">
        <v>43</v>
      </c>
      <c r="E6" s="24"/>
      <c r="F6" s="18" t="s">
        <v>44</v>
      </c>
      <c r="G6" s="29"/>
      <c r="H6" s="22">
        <v>50000.0</v>
      </c>
      <c r="I6" s="18" t="s">
        <v>30</v>
      </c>
      <c r="J6" s="18" t="s">
        <v>31</v>
      </c>
      <c r="K6" s="18" t="s">
        <v>31</v>
      </c>
      <c r="L6" s="18" t="s">
        <v>25</v>
      </c>
      <c r="M6" s="1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15" t="s">
        <v>45</v>
      </c>
      <c r="D7" s="16" t="s">
        <v>19</v>
      </c>
      <c r="E7" s="38"/>
      <c r="F7" s="18" t="s">
        <v>47</v>
      </c>
      <c r="G7" s="29"/>
      <c r="H7" s="22">
        <v>100000.0</v>
      </c>
      <c r="I7" s="18" t="s">
        <v>23</v>
      </c>
      <c r="J7" s="14"/>
      <c r="K7" s="14"/>
      <c r="L7" s="18" t="s">
        <v>25</v>
      </c>
      <c r="M7" s="1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7" t="s">
        <v>50</v>
      </c>
      <c r="D8" s="16" t="s">
        <v>51</v>
      </c>
      <c r="E8" s="24"/>
      <c r="F8" s="18" t="s">
        <v>39</v>
      </c>
      <c r="G8" s="50"/>
      <c r="H8" s="42">
        <v>125000.0</v>
      </c>
      <c r="I8" s="18" t="s">
        <v>30</v>
      </c>
      <c r="J8" s="18" t="s">
        <v>31</v>
      </c>
      <c r="K8" s="18" t="s">
        <v>32</v>
      </c>
      <c r="L8" s="18" t="s">
        <v>25</v>
      </c>
      <c r="M8" s="18" t="s">
        <v>33</v>
      </c>
      <c r="N8" s="36"/>
      <c r="O8" s="36"/>
      <c r="P8" s="36"/>
      <c r="Q8" s="1"/>
      <c r="R8" s="1"/>
    </row>
    <row r="9" ht="15.75" customHeight="1">
      <c r="A9" s="1"/>
      <c r="B9" s="19">
        <v>6.0</v>
      </c>
      <c r="C9" s="15" t="s">
        <v>56</v>
      </c>
      <c r="D9" s="16" t="s">
        <v>36</v>
      </c>
      <c r="E9" s="24"/>
      <c r="F9" s="51">
        <v>46305.0</v>
      </c>
      <c r="G9" s="39"/>
      <c r="H9" s="42">
        <v>100000.0</v>
      </c>
      <c r="I9" s="18" t="s">
        <v>23</v>
      </c>
      <c r="J9" s="14"/>
      <c r="K9" s="14"/>
      <c r="L9" s="18" t="s">
        <v>59</v>
      </c>
      <c r="M9" s="14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15" t="s">
        <v>61</v>
      </c>
      <c r="D10" s="16" t="s">
        <v>36</v>
      </c>
      <c r="E10" s="24"/>
      <c r="F10" s="51">
        <v>46297.0</v>
      </c>
      <c r="G10" s="53">
        <v>75000.0</v>
      </c>
      <c r="H10" s="35"/>
      <c r="I10" s="18" t="s">
        <v>30</v>
      </c>
      <c r="J10" s="14"/>
      <c r="K10" s="14"/>
      <c r="L10" s="18" t="s">
        <v>59</v>
      </c>
      <c r="M10" s="18" t="s">
        <v>65</v>
      </c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18" t="s">
        <v>34</v>
      </c>
      <c r="D11" s="16" t="s">
        <v>36</v>
      </c>
      <c r="E11" s="24"/>
      <c r="F11" s="51">
        <v>46297.0</v>
      </c>
      <c r="G11" s="29"/>
      <c r="H11" s="22">
        <v>275000.0</v>
      </c>
      <c r="I11" s="18" t="s">
        <v>30</v>
      </c>
      <c r="J11" s="18" t="s">
        <v>31</v>
      </c>
      <c r="K11" s="18" t="s">
        <v>53</v>
      </c>
      <c r="L11" s="18" t="s">
        <v>59</v>
      </c>
      <c r="M11" s="18" t="s">
        <v>65</v>
      </c>
      <c r="N11" s="36"/>
      <c r="O11" s="36"/>
      <c r="P11" s="36"/>
      <c r="Q11" s="1"/>
      <c r="R11" s="1"/>
      <c r="S11" s="55"/>
    </row>
    <row r="12" ht="15.75" customHeight="1">
      <c r="A12" s="1"/>
      <c r="B12" s="19"/>
      <c r="C12" s="15" t="s">
        <v>68</v>
      </c>
      <c r="D12" s="16" t="s">
        <v>58</v>
      </c>
      <c r="E12" s="58"/>
      <c r="F12" s="51">
        <v>46297.0</v>
      </c>
      <c r="G12" s="29"/>
      <c r="H12" s="22">
        <v>100000.0</v>
      </c>
      <c r="I12" s="18" t="s">
        <v>30</v>
      </c>
      <c r="J12" s="18" t="s">
        <v>31</v>
      </c>
      <c r="K12" s="18" t="s">
        <v>31</v>
      </c>
      <c r="L12" s="18" t="s">
        <v>59</v>
      </c>
      <c r="M12" s="14"/>
      <c r="N12" s="36"/>
      <c r="O12" s="36"/>
      <c r="P12" s="36"/>
      <c r="Q12" s="1"/>
      <c r="R12" s="1"/>
    </row>
    <row r="13" ht="15.75" customHeight="1">
      <c r="A13" s="1"/>
      <c r="B13" s="19"/>
      <c r="C13" s="15" t="s">
        <v>69</v>
      </c>
      <c r="D13" s="16" t="s">
        <v>36</v>
      </c>
      <c r="E13" s="24"/>
      <c r="F13" s="51">
        <v>46297.0</v>
      </c>
      <c r="G13" s="29"/>
      <c r="H13" s="22">
        <v>100000.0</v>
      </c>
      <c r="I13" s="18" t="s">
        <v>30</v>
      </c>
      <c r="J13" s="18" t="s">
        <v>31</v>
      </c>
      <c r="K13" s="18" t="s">
        <v>31</v>
      </c>
      <c r="L13" s="18" t="s">
        <v>59</v>
      </c>
      <c r="M13" s="18" t="s">
        <v>65</v>
      </c>
      <c r="N13" s="36"/>
      <c r="O13" s="36"/>
      <c r="P13" s="36"/>
      <c r="Q13" s="1"/>
      <c r="R13" s="1"/>
    </row>
    <row r="14" ht="15.75" customHeight="1">
      <c r="A14" s="1"/>
      <c r="B14" s="19"/>
      <c r="C14" s="15" t="s">
        <v>68</v>
      </c>
      <c r="D14" s="16" t="s">
        <v>13</v>
      </c>
      <c r="E14" s="24"/>
      <c r="F14" s="51">
        <v>46297.0</v>
      </c>
      <c r="G14" s="29"/>
      <c r="H14" s="22">
        <v>50000.0</v>
      </c>
      <c r="I14" s="18" t="s">
        <v>30</v>
      </c>
      <c r="J14" s="18" t="s">
        <v>31</v>
      </c>
      <c r="K14" s="18" t="s">
        <v>53</v>
      </c>
      <c r="L14" s="18" t="s">
        <v>59</v>
      </c>
      <c r="M14" s="18" t="s">
        <v>65</v>
      </c>
      <c r="N14" s="36"/>
      <c r="O14" s="36"/>
      <c r="P14" s="36"/>
      <c r="Q14" s="1"/>
      <c r="R14" s="1"/>
    </row>
    <row r="15" ht="15.75" customHeight="1">
      <c r="A15" s="1"/>
      <c r="B15" s="19"/>
      <c r="C15" s="18" t="s">
        <v>74</v>
      </c>
      <c r="D15" s="16" t="s">
        <v>43</v>
      </c>
      <c r="E15" s="24"/>
      <c r="F15" s="51">
        <v>46297.0</v>
      </c>
      <c r="G15" s="29"/>
      <c r="H15" s="22">
        <v>40000.0</v>
      </c>
      <c r="I15" s="18" t="s">
        <v>30</v>
      </c>
      <c r="J15" s="14"/>
      <c r="K15" s="14"/>
      <c r="L15" s="18" t="s">
        <v>59</v>
      </c>
      <c r="M15" s="14"/>
      <c r="N15" s="36"/>
      <c r="O15" s="36"/>
      <c r="P15" s="36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7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9" t="s">
        <v>0</v>
      </c>
      <c r="C19" s="60" t="s">
        <v>6</v>
      </c>
      <c r="D19" s="60" t="s">
        <v>70</v>
      </c>
      <c r="E19" s="1"/>
      <c r="F19" s="1"/>
      <c r="G19" s="1"/>
      <c r="H19" s="1"/>
      <c r="I19" s="1"/>
      <c r="J19" s="1"/>
      <c r="K19" s="1"/>
      <c r="L19" s="1"/>
      <c r="M19" s="1"/>
      <c r="N19" s="60" t="s">
        <v>71</v>
      </c>
      <c r="O19" s="60" t="s">
        <v>1</v>
      </c>
      <c r="P19" s="1"/>
      <c r="Q19" s="1"/>
      <c r="R19" s="1"/>
    </row>
    <row r="20" ht="15.75" customHeight="1">
      <c r="A20" s="1"/>
      <c r="B20" s="62">
        <v>1.0</v>
      </c>
      <c r="C20" s="63" t="s">
        <v>72</v>
      </c>
      <c r="D20" s="64">
        <f>SUM(G16)</f>
        <v>75000</v>
      </c>
      <c r="E20" s="65"/>
      <c r="F20" s="1"/>
      <c r="G20" s="1"/>
      <c r="H20" s="1"/>
      <c r="I20" s="1"/>
      <c r="J20" s="1"/>
      <c r="K20" s="1"/>
      <c r="L20" s="1"/>
      <c r="N20" s="66" t="s">
        <v>73</v>
      </c>
      <c r="O20" s="72" t="s">
        <v>25</v>
      </c>
      <c r="P20" s="1"/>
      <c r="Q20" s="1"/>
      <c r="R20" s="1"/>
    </row>
    <row r="21" ht="15.75" customHeight="1">
      <c r="A21" s="1"/>
      <c r="B21" s="67">
        <v>2.0</v>
      </c>
      <c r="C21" s="88" t="s">
        <v>89</v>
      </c>
      <c r="D21" s="89">
        <v>-75000.0</v>
      </c>
      <c r="E21" s="65"/>
      <c r="F21" s="1"/>
      <c r="G21" s="1"/>
      <c r="H21" s="1"/>
      <c r="I21" s="1"/>
      <c r="J21" s="1"/>
      <c r="K21" s="1"/>
      <c r="L21" s="1"/>
      <c r="N21" s="70" t="s">
        <v>75</v>
      </c>
      <c r="O21" s="78" t="s">
        <v>59</v>
      </c>
      <c r="P21" s="1"/>
      <c r="Q21" s="1"/>
      <c r="R21" s="1"/>
    </row>
    <row r="22" ht="15.75" customHeight="1">
      <c r="A22" s="1"/>
      <c r="B22" s="62">
        <v>3.0</v>
      </c>
      <c r="C22" s="90"/>
      <c r="D22" s="91"/>
      <c r="E22" s="65"/>
      <c r="F22" s="1"/>
      <c r="G22" s="1"/>
      <c r="H22" s="1"/>
      <c r="I22" s="1"/>
      <c r="J22" s="1"/>
      <c r="K22" s="1"/>
      <c r="L22" s="1"/>
      <c r="M22" s="1"/>
      <c r="N22" s="73" t="s">
        <v>76</v>
      </c>
      <c r="O22" s="80" t="s">
        <v>33</v>
      </c>
      <c r="P22" s="1"/>
      <c r="Q22" s="1"/>
      <c r="R22" s="1"/>
    </row>
    <row r="23" ht="15.75" customHeight="1">
      <c r="A23" s="1"/>
      <c r="B23" s="67">
        <v>4.0</v>
      </c>
      <c r="C23" s="74"/>
      <c r="D23" s="75"/>
      <c r="E23" s="65"/>
      <c r="F23" s="1"/>
      <c r="G23" s="1"/>
      <c r="H23" s="1"/>
      <c r="I23" s="1"/>
      <c r="J23" s="1"/>
      <c r="K23" s="1"/>
      <c r="L23" s="1"/>
      <c r="M23" s="1"/>
      <c r="N23" s="76" t="s">
        <v>77</v>
      </c>
      <c r="O23" s="78" t="s">
        <v>65</v>
      </c>
      <c r="P23" s="1"/>
      <c r="Q23" s="1"/>
      <c r="R23" s="1"/>
    </row>
    <row r="24" ht="15.75" customHeight="1">
      <c r="A24" s="1"/>
      <c r="B24" s="62">
        <v>5.0</v>
      </c>
      <c r="C24" s="90"/>
      <c r="D24" s="91"/>
      <c r="E24" s="65"/>
      <c r="F24" s="1"/>
      <c r="G24" s="1"/>
      <c r="H24" s="1"/>
      <c r="I24" s="1"/>
      <c r="J24" s="1"/>
      <c r="K24" s="1"/>
      <c r="L24" s="1"/>
      <c r="M24" s="1"/>
      <c r="N24" s="79"/>
      <c r="O24" s="1"/>
      <c r="P24" s="1"/>
      <c r="Q24" s="1"/>
      <c r="R24" s="1"/>
    </row>
    <row r="25" ht="15.75" customHeight="1">
      <c r="A25" s="1"/>
      <c r="B25" s="67">
        <v>6.0</v>
      </c>
      <c r="C25" s="74"/>
      <c r="D25" s="75"/>
      <c r="E25" s="65"/>
      <c r="F25" s="82"/>
      <c r="G25" s="1"/>
      <c r="H25" s="1"/>
      <c r="I25" s="1"/>
      <c r="J25" s="1"/>
      <c r="K25" s="81" t="s">
        <v>78</v>
      </c>
      <c r="Q25" s="1"/>
      <c r="R25" s="1"/>
    </row>
    <row r="26" ht="15.75" customHeight="1">
      <c r="A26" s="1"/>
      <c r="B26" s="62">
        <v>7.0</v>
      </c>
      <c r="C26" s="63"/>
      <c r="D26" s="64"/>
      <c r="E26" s="65"/>
      <c r="F26" s="82"/>
      <c r="G26" s="1"/>
      <c r="H26" s="1"/>
      <c r="I26" s="1"/>
      <c r="J26" s="1"/>
      <c r="K26" s="83" t="s">
        <v>1</v>
      </c>
      <c r="L26" s="83" t="s">
        <v>79</v>
      </c>
      <c r="M26" s="83" t="s">
        <v>80</v>
      </c>
      <c r="N26" s="83" t="s">
        <v>81</v>
      </c>
      <c r="O26" s="83" t="s">
        <v>82</v>
      </c>
      <c r="P26" s="83" t="s">
        <v>83</v>
      </c>
      <c r="Q26" s="1"/>
      <c r="R26" s="1"/>
      <c r="AC26" s="84" t="s">
        <v>84</v>
      </c>
      <c r="AD26" s="84" t="s">
        <v>85</v>
      </c>
      <c r="AE26" s="84" t="s">
        <v>86</v>
      </c>
      <c r="AF26" s="84" t="s">
        <v>87</v>
      </c>
      <c r="AG26" s="84" t="s">
        <v>88</v>
      </c>
    </row>
    <row r="27" ht="15.75" customHeight="1">
      <c r="A27" s="1"/>
      <c r="B27" s="67">
        <v>8.0</v>
      </c>
      <c r="C27" s="68"/>
      <c r="D27" s="69"/>
      <c r="E27" s="65"/>
      <c r="F27" s="1"/>
      <c r="G27" s="1"/>
      <c r="H27" s="1"/>
      <c r="I27" s="1"/>
      <c r="J27" s="1"/>
      <c r="K27" s="85" t="str">
        <f t="shared" ref="K27:K30" si="1">IF(O20="","",O20)</f>
        <v>AMEL</v>
      </c>
      <c r="L27" s="86"/>
      <c r="M27" s="86"/>
      <c r="N27" s="86"/>
      <c r="O27" s="86"/>
      <c r="P27" s="86"/>
      <c r="Q27" s="1"/>
      <c r="R27" s="1"/>
      <c r="AC27" s="84" t="str">
        <f t="shared" ref="AC27:AC32" si="2">IF(AG27="","",IF(COUNT(L27:P27)&lt;5,"",L27/5*20+M27/5*25+N27/5*25+O27/5*15+P27/5*15))</f>
        <v/>
      </c>
      <c r="AD27" s="84" t="str">
        <f t="shared" ref="AD27:AD32" si="3">IF(AC27="","",IF(AC27&gt;=90,"Sangat Baik",IF(AC27&gt;=80,"Baik",IF(AC27&gt;=70,"Coaching","Underperform"))))</f>
        <v/>
      </c>
      <c r="AE27" s="84" t="str">
        <f t="shared" ref="AE27:AE32" si="4">IF(AG27="","",IF(OR(AG27="INDAH",AG27="ADDEL",AG27="AMEL",AG27="PENTIL",AG27="JIJANG"),"Admin/CS","Fotografer"))</f>
        <v>Admin/CS</v>
      </c>
      <c r="AF27" s="84" t="str">
        <f t="shared" ref="AF27:AF32" si="5">IF(OR(AG27="",COUNT(L27:P27)&lt;5),"",1)</f>
        <v/>
      </c>
      <c r="AG27" s="84" t="str">
        <f t="shared" ref="AG27:AG32" si="6">IFERROR(K27,"")</f>
        <v>AMEL</v>
      </c>
    </row>
    <row r="28" ht="15.75" customHeight="1">
      <c r="A28" s="1"/>
      <c r="B28" s="62">
        <v>9.0</v>
      </c>
      <c r="C28" s="63"/>
      <c r="D28" s="64"/>
      <c r="E28" s="65"/>
      <c r="F28" s="1"/>
      <c r="G28" s="1"/>
      <c r="H28" s="1"/>
      <c r="I28" s="1"/>
      <c r="J28" s="1"/>
      <c r="K28" s="85" t="str">
        <f t="shared" si="1"/>
        <v>INDAH</v>
      </c>
      <c r="L28" s="87">
        <v>5.0</v>
      </c>
      <c r="M28" s="87">
        <v>5.0</v>
      </c>
      <c r="N28" s="87">
        <v>5.0</v>
      </c>
      <c r="O28" s="87">
        <v>5.0</v>
      </c>
      <c r="P28" s="87">
        <v>5.0</v>
      </c>
      <c r="Q28" s="1"/>
      <c r="R28" s="1"/>
      <c r="AC28" s="84">
        <f t="shared" si="2"/>
        <v>100</v>
      </c>
      <c r="AD28" s="84" t="str">
        <f t="shared" si="3"/>
        <v>Sangat Baik</v>
      </c>
      <c r="AE28" s="84" t="str">
        <f t="shared" si="4"/>
        <v>Admin/CS</v>
      </c>
      <c r="AF28" s="84">
        <f t="shared" si="5"/>
        <v>1</v>
      </c>
      <c r="AG28" s="84" t="str">
        <f t="shared" si="6"/>
        <v>INDAH</v>
      </c>
    </row>
    <row r="29" ht="15.75" customHeight="1">
      <c r="A29" s="1"/>
      <c r="B29" s="67">
        <v>10.0</v>
      </c>
      <c r="C29" s="68"/>
      <c r="D29" s="69"/>
      <c r="E29" s="65"/>
      <c r="F29" s="1"/>
      <c r="G29" s="1"/>
      <c r="H29" s="1"/>
      <c r="I29" s="1"/>
      <c r="J29" s="1"/>
      <c r="K29" s="85" t="str">
        <f t="shared" si="1"/>
        <v>ADIF</v>
      </c>
      <c r="L29" s="86"/>
      <c r="M29" s="86"/>
      <c r="N29" s="86"/>
      <c r="O29" s="86"/>
      <c r="P29" s="86"/>
      <c r="Q29" s="1"/>
      <c r="R29" s="1"/>
      <c r="AC29" s="84" t="str">
        <f t="shared" si="2"/>
        <v/>
      </c>
      <c r="AD29" s="84" t="str">
        <f t="shared" si="3"/>
        <v/>
      </c>
      <c r="AE29" s="84" t="str">
        <f t="shared" si="4"/>
        <v>Fotografer</v>
      </c>
      <c r="AF29" s="84" t="str">
        <f t="shared" si="5"/>
        <v/>
      </c>
      <c r="AG29" s="84" t="str">
        <f t="shared" si="6"/>
        <v>ADIF</v>
      </c>
    </row>
    <row r="30" ht="15.75" customHeight="1">
      <c r="A30" s="1"/>
      <c r="B30" s="92">
        <v>11.0</v>
      </c>
      <c r="C30" s="93"/>
      <c r="D30" s="94"/>
      <c r="E30" s="65"/>
      <c r="F30" s="1"/>
      <c r="G30" s="1"/>
      <c r="H30" s="1"/>
      <c r="I30" s="1"/>
      <c r="J30" s="1"/>
      <c r="K30" s="85" t="str">
        <f t="shared" si="1"/>
        <v>SAKA</v>
      </c>
      <c r="L30" s="87">
        <v>5.0</v>
      </c>
      <c r="M30" s="87">
        <v>5.0</v>
      </c>
      <c r="N30" s="87">
        <v>5.0</v>
      </c>
      <c r="O30" s="87">
        <v>5.0</v>
      </c>
      <c r="P30" s="87">
        <v>5.0</v>
      </c>
      <c r="Q30" s="1"/>
      <c r="R30" s="1"/>
      <c r="AC30" s="84">
        <f t="shared" si="2"/>
        <v>100</v>
      </c>
      <c r="AD30" s="84" t="str">
        <f t="shared" si="3"/>
        <v>Sangat Baik</v>
      </c>
      <c r="AE30" s="84" t="str">
        <f t="shared" si="4"/>
        <v>Fotografer</v>
      </c>
      <c r="AF30" s="84">
        <f t="shared" si="5"/>
        <v>1</v>
      </c>
      <c r="AG30" s="84" t="str">
        <f t="shared" si="6"/>
        <v>SAKA</v>
      </c>
    </row>
    <row r="31" ht="15.75" customHeight="1">
      <c r="A31" s="1"/>
      <c r="B31" s="1"/>
      <c r="C31" s="2"/>
      <c r="D31" s="95">
        <f>SUM(D20:D30)</f>
        <v>0</v>
      </c>
      <c r="E31" s="1"/>
      <c r="F31" s="1"/>
      <c r="G31" s="1"/>
      <c r="H31" s="1"/>
      <c r="I31" s="1"/>
      <c r="J31" s="1"/>
      <c r="K31" s="85"/>
      <c r="L31" s="86"/>
      <c r="M31" s="86"/>
      <c r="N31" s="86"/>
      <c r="O31" s="86"/>
      <c r="P31" s="86"/>
      <c r="Q31" s="1"/>
      <c r="R31" s="1"/>
      <c r="AC31" s="84" t="str">
        <f t="shared" si="2"/>
        <v/>
      </c>
      <c r="AD31" s="84" t="str">
        <f t="shared" si="3"/>
        <v/>
      </c>
      <c r="AE31" s="84" t="str">
        <f t="shared" si="4"/>
        <v/>
      </c>
      <c r="AF31" s="84" t="str">
        <f t="shared" si="5"/>
        <v/>
      </c>
      <c r="AG31" s="8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6"/>
      <c r="M32" s="86"/>
      <c r="N32" s="86"/>
      <c r="O32" s="86"/>
      <c r="P32" s="86"/>
      <c r="Q32" s="1"/>
      <c r="R32" s="1"/>
      <c r="AC32" s="84" t="str">
        <f t="shared" si="2"/>
        <v/>
      </c>
      <c r="AD32" s="84" t="str">
        <f t="shared" si="3"/>
        <v/>
      </c>
      <c r="AE32" s="84" t="str">
        <f t="shared" si="4"/>
        <v/>
      </c>
      <c r="AF32" s="84" t="str">
        <f t="shared" si="5"/>
        <v/>
      </c>
      <c r="AG32" s="8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 t="s">
        <v>90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0" t="s">
        <v>91</v>
      </c>
      <c r="N35" s="1"/>
      <c r="O35" s="1"/>
      <c r="P35" s="1"/>
      <c r="Q35" s="1"/>
      <c r="R35" s="1"/>
    </row>
    <row r="36" ht="15.75" customHeight="1">
      <c r="K36" s="102" t="s">
        <v>7</v>
      </c>
      <c r="L36" s="102" t="s">
        <v>92</v>
      </c>
      <c r="M36" s="102" t="s">
        <v>93</v>
      </c>
    </row>
    <row r="37" ht="15.75" customHeight="1">
      <c r="K37" s="104" t="str">
        <f t="shared" ref="K37:K38" si="7">IF(O20="","",O20)</f>
        <v>AMEL</v>
      </c>
      <c r="L37" s="106">
        <v>3.0</v>
      </c>
      <c r="M37" s="105"/>
    </row>
    <row r="38" ht="15.75" customHeight="1">
      <c r="K38" s="104" t="str">
        <f t="shared" si="7"/>
        <v>INDAH</v>
      </c>
      <c r="L38" s="106">
        <v>2.0</v>
      </c>
      <c r="M38" s="105"/>
    </row>
    <row r="39" ht="15.75" customHeight="1"/>
    <row r="40" ht="19.5" customHeight="1">
      <c r="K40" s="109" t="s">
        <v>96</v>
      </c>
    </row>
    <row r="41" ht="19.5" customHeight="1">
      <c r="K41" s="110" t="s">
        <v>97</v>
      </c>
      <c r="M41" s="106">
        <v>39.0</v>
      </c>
    </row>
    <row r="42" ht="19.5" customHeight="1">
      <c r="K42" s="111" t="s">
        <v>98</v>
      </c>
      <c r="M42" s="112">
        <f>COUNTIF($I$4:$I$18,"DP")</f>
        <v>4</v>
      </c>
    </row>
    <row r="43" ht="19.5" customHeight="1">
      <c r="K43" s="111" t="s">
        <v>99</v>
      </c>
      <c r="M43" s="112">
        <f>COUNTIFS($I$4:$I$18,"&lt;&gt;DP",$I$4:$I$18,"&lt;&gt;")</f>
        <v>8</v>
      </c>
    </row>
    <row r="44" ht="19.5" customHeight="1">
      <c r="K44" s="113" t="s">
        <v>100</v>
      </c>
      <c r="M44" s="112">
        <f>M42+M43</f>
        <v>12</v>
      </c>
    </row>
    <row r="45" ht="19.5" customHeight="1">
      <c r="K45" s="110" t="s">
        <v>101</v>
      </c>
      <c r="M45" s="11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2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5" t="s">
        <v>21</v>
      </c>
      <c r="D4" s="16" t="s">
        <v>19</v>
      </c>
      <c r="E4" s="24"/>
      <c r="F4" s="18" t="s">
        <v>20</v>
      </c>
      <c r="G4" s="27"/>
      <c r="H4" s="32"/>
      <c r="I4" s="18" t="s">
        <v>23</v>
      </c>
      <c r="J4" s="34"/>
      <c r="K4" s="34"/>
      <c r="L4" s="18" t="s">
        <v>25</v>
      </c>
      <c r="M4" s="3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15" t="s">
        <v>35</v>
      </c>
      <c r="D5" s="16" t="s">
        <v>19</v>
      </c>
      <c r="E5" s="24"/>
      <c r="F5" s="18" t="s">
        <v>37</v>
      </c>
      <c r="G5" s="27"/>
      <c r="H5" s="32"/>
      <c r="I5" s="18" t="s">
        <v>23</v>
      </c>
      <c r="J5" s="34"/>
      <c r="K5" s="34"/>
      <c r="L5" s="18" t="s">
        <v>25</v>
      </c>
      <c r="M5" s="34"/>
      <c r="N5" s="26"/>
      <c r="O5" s="26"/>
      <c r="P5" s="30"/>
      <c r="Q5" s="1"/>
      <c r="R5" s="1"/>
    </row>
    <row r="6" ht="15.75" customHeight="1">
      <c r="A6" s="1"/>
      <c r="B6" s="19">
        <v>3.0</v>
      </c>
      <c r="C6" s="43"/>
      <c r="D6" s="46"/>
      <c r="E6" s="24"/>
      <c r="F6" s="14"/>
      <c r="G6" s="27"/>
      <c r="H6" s="32"/>
      <c r="I6" s="14"/>
      <c r="J6" s="34"/>
      <c r="K6" s="34"/>
      <c r="L6" s="14"/>
      <c r="M6" s="34"/>
      <c r="N6" s="26"/>
      <c r="O6" s="26"/>
      <c r="P6" s="30"/>
      <c r="Q6" s="1"/>
      <c r="R6" s="1"/>
    </row>
    <row r="7" ht="15.75" customHeight="1">
      <c r="A7" s="1"/>
      <c r="B7" s="19">
        <v>4.0</v>
      </c>
      <c r="C7" s="43"/>
      <c r="D7" s="46"/>
      <c r="E7" s="24"/>
      <c r="F7" s="14"/>
      <c r="G7" s="27"/>
      <c r="H7" s="32"/>
      <c r="I7" s="14"/>
      <c r="J7" s="34"/>
      <c r="K7" s="34"/>
      <c r="L7" s="14"/>
      <c r="M7" s="34"/>
      <c r="N7" s="26"/>
      <c r="O7" s="26"/>
      <c r="P7" s="30"/>
      <c r="Q7" s="1"/>
      <c r="R7" s="1"/>
    </row>
    <row r="8" ht="15.75" customHeight="1">
      <c r="A8" s="1"/>
      <c r="B8" s="19">
        <v>5.0</v>
      </c>
      <c r="C8" s="43"/>
      <c r="D8" s="46"/>
      <c r="E8" s="24"/>
      <c r="F8" s="14"/>
      <c r="G8" s="27"/>
      <c r="H8" s="32"/>
      <c r="I8" s="14"/>
      <c r="J8" s="34"/>
      <c r="K8" s="34"/>
      <c r="L8" s="14"/>
      <c r="M8" s="34"/>
      <c r="N8" s="26"/>
      <c r="O8" s="26"/>
      <c r="P8" s="30"/>
      <c r="Q8" s="1"/>
      <c r="R8" s="1"/>
    </row>
    <row r="9" ht="15.75" customHeight="1">
      <c r="A9" s="1"/>
      <c r="B9" s="19">
        <v>6.0</v>
      </c>
      <c r="C9" s="43"/>
      <c r="D9" s="46"/>
      <c r="E9" s="24"/>
      <c r="F9" s="14"/>
      <c r="G9" s="27"/>
      <c r="H9" s="32"/>
      <c r="I9" s="14"/>
      <c r="J9" s="34"/>
      <c r="K9" s="34"/>
      <c r="L9" s="14"/>
      <c r="M9" s="34"/>
      <c r="N9" s="26"/>
      <c r="O9" s="26"/>
      <c r="P9" s="30"/>
      <c r="Q9" s="1"/>
      <c r="R9" s="1"/>
    </row>
    <row r="10" ht="15.75" customHeight="1">
      <c r="A10" s="1"/>
      <c r="B10" s="19">
        <v>7.0</v>
      </c>
      <c r="C10" s="43"/>
      <c r="D10" s="46"/>
      <c r="E10" s="24"/>
      <c r="F10" s="14"/>
      <c r="G10" s="27"/>
      <c r="H10" s="32"/>
      <c r="I10" s="14"/>
      <c r="J10" s="34"/>
      <c r="K10" s="34"/>
      <c r="L10" s="14"/>
      <c r="M10" s="34"/>
      <c r="N10" s="26"/>
      <c r="O10" s="26"/>
      <c r="P10" s="30"/>
      <c r="Q10" s="1"/>
      <c r="R10" s="1"/>
    </row>
    <row r="11" ht="15.75" customHeight="1">
      <c r="A11" s="1"/>
      <c r="B11" s="19">
        <v>8.0</v>
      </c>
      <c r="C11" s="43"/>
      <c r="D11" s="46"/>
      <c r="E11" s="24"/>
      <c r="F11" s="14"/>
      <c r="G11" s="27"/>
      <c r="H11" s="32"/>
      <c r="I11" s="14"/>
      <c r="J11" s="34"/>
      <c r="K11" s="34"/>
      <c r="L11" s="14"/>
      <c r="M11" s="34"/>
      <c r="N11" s="26"/>
      <c r="O11" s="26"/>
      <c r="P11" s="30"/>
      <c r="Q11" s="1"/>
      <c r="R11" s="1"/>
    </row>
    <row r="12" ht="15.75" customHeight="1">
      <c r="A12" s="1"/>
      <c r="B12" s="19">
        <v>9.0</v>
      </c>
      <c r="C12" s="43"/>
      <c r="D12" s="46"/>
      <c r="E12" s="24"/>
      <c r="F12" s="14"/>
      <c r="G12" s="27"/>
      <c r="H12" s="32"/>
      <c r="I12" s="14"/>
      <c r="J12" s="34"/>
      <c r="K12" s="34"/>
      <c r="L12" s="14"/>
      <c r="M12" s="34"/>
      <c r="N12" s="26"/>
      <c r="O12" s="26"/>
      <c r="P12" s="30"/>
      <c r="Q12" s="1"/>
      <c r="R12" s="1"/>
    </row>
    <row r="13" ht="15.75" customHeight="1">
      <c r="A13" s="1"/>
      <c r="B13" s="19">
        <v>10.0</v>
      </c>
      <c r="C13" s="43"/>
      <c r="D13" s="46"/>
      <c r="E13" s="24"/>
      <c r="F13" s="14"/>
      <c r="G13" s="27"/>
      <c r="H13" s="32"/>
      <c r="I13" s="14"/>
      <c r="J13" s="34"/>
      <c r="K13" s="34"/>
      <c r="L13" s="14"/>
      <c r="M13" s="34"/>
      <c r="N13" s="26"/>
      <c r="O13" s="26"/>
      <c r="P13" s="30"/>
      <c r="Q13" s="1"/>
      <c r="R13" s="1"/>
    </row>
    <row r="14" ht="15.75" customHeight="1">
      <c r="A14" s="1"/>
      <c r="B14" s="19">
        <v>11.0</v>
      </c>
      <c r="C14" s="43"/>
      <c r="D14" s="46"/>
      <c r="E14" s="24"/>
      <c r="F14" s="14"/>
      <c r="G14" s="27"/>
      <c r="H14" s="32"/>
      <c r="I14" s="14"/>
      <c r="J14" s="34"/>
      <c r="K14" s="34"/>
      <c r="L14" s="14"/>
      <c r="M14" s="34"/>
      <c r="N14" s="26"/>
      <c r="O14" s="26"/>
      <c r="P14" s="30"/>
      <c r="Q14" s="1"/>
      <c r="R14" s="1"/>
    </row>
    <row r="15" ht="15.75" customHeight="1">
      <c r="A15" s="1"/>
      <c r="B15" s="19">
        <v>12.0</v>
      </c>
      <c r="C15" s="43"/>
      <c r="D15" s="46"/>
      <c r="E15" s="24"/>
      <c r="F15" s="14"/>
      <c r="G15" s="27"/>
      <c r="H15" s="32"/>
      <c r="I15" s="14"/>
      <c r="J15" s="34"/>
      <c r="K15" s="34"/>
      <c r="L15" s="14"/>
      <c r="M15" s="34"/>
      <c r="N15" s="26"/>
      <c r="O15" s="26"/>
      <c r="P15" s="30"/>
      <c r="Q15" s="1"/>
      <c r="R15" s="1"/>
    </row>
    <row r="16" ht="15.75" customHeight="1">
      <c r="A16" s="1"/>
      <c r="B16" s="19">
        <v>13.0</v>
      </c>
      <c r="C16" s="43"/>
      <c r="D16" s="46"/>
      <c r="E16" s="24"/>
      <c r="F16" s="14"/>
      <c r="G16" s="27"/>
      <c r="H16" s="32"/>
      <c r="I16" s="14"/>
      <c r="J16" s="34"/>
      <c r="K16" s="34"/>
      <c r="L16" s="14"/>
      <c r="M16" s="34"/>
      <c r="N16" s="26"/>
      <c r="O16" s="26"/>
      <c r="P16" s="30"/>
      <c r="Q16" s="1"/>
      <c r="R16" s="1"/>
    </row>
    <row r="17" ht="15.75" customHeight="1">
      <c r="A17" s="1"/>
      <c r="B17" s="19">
        <v>14.0</v>
      </c>
      <c r="C17" s="43"/>
      <c r="D17" s="46"/>
      <c r="E17" s="24"/>
      <c r="F17" s="14"/>
      <c r="G17" s="27"/>
      <c r="H17" s="32"/>
      <c r="I17" s="14"/>
      <c r="J17" s="34"/>
      <c r="K17" s="34"/>
      <c r="L17" s="14"/>
      <c r="M17" s="34"/>
      <c r="N17" s="26"/>
      <c r="O17" s="26"/>
      <c r="P17" s="30"/>
      <c r="Q17" s="1"/>
      <c r="R17" s="1"/>
    </row>
    <row r="18" ht="15.75" customHeight="1">
      <c r="A18" s="1"/>
      <c r="B18" s="19">
        <v>15.0</v>
      </c>
      <c r="C18" s="43"/>
      <c r="D18" s="46"/>
      <c r="E18" s="24"/>
      <c r="F18" s="14"/>
      <c r="G18" s="27"/>
      <c r="H18" s="32"/>
      <c r="I18" s="14"/>
      <c r="J18" s="34"/>
      <c r="K18" s="34"/>
      <c r="L18" s="14"/>
      <c r="M18" s="34"/>
      <c r="N18" s="26"/>
      <c r="O18" s="26"/>
      <c r="P18" s="30"/>
      <c r="Q18" s="1"/>
      <c r="R18" s="1"/>
    </row>
    <row r="19" ht="15.75" customHeight="1">
      <c r="A19" s="1"/>
      <c r="B19" s="19">
        <v>16.0</v>
      </c>
      <c r="C19" s="43"/>
      <c r="D19" s="46"/>
      <c r="E19" s="24"/>
      <c r="F19" s="14"/>
      <c r="G19" s="27"/>
      <c r="H19" s="32"/>
      <c r="I19" s="14"/>
      <c r="J19" s="34"/>
      <c r="K19" s="34"/>
      <c r="L19" s="14"/>
      <c r="M19" s="34"/>
      <c r="N19" s="26"/>
      <c r="O19" s="26"/>
      <c r="P19" s="30"/>
      <c r="Q19" s="1"/>
      <c r="R19" s="1"/>
    </row>
    <row r="20" ht="15.75" customHeight="1">
      <c r="A20" s="1"/>
      <c r="B20" s="19">
        <v>17.0</v>
      </c>
      <c r="C20" s="43"/>
      <c r="D20" s="46"/>
      <c r="E20" s="24"/>
      <c r="F20" s="14"/>
      <c r="G20" s="27"/>
      <c r="H20" s="32"/>
      <c r="I20" s="14"/>
      <c r="J20" s="34"/>
      <c r="K20" s="34"/>
      <c r="L20" s="14"/>
      <c r="M20" s="34"/>
      <c r="N20" s="26"/>
      <c r="O20" s="26"/>
      <c r="P20" s="30"/>
      <c r="Q20" s="1"/>
      <c r="R20" s="1"/>
    </row>
    <row r="21" ht="15.75" customHeight="1">
      <c r="A21" s="1"/>
      <c r="B21" s="19">
        <v>18.0</v>
      </c>
      <c r="C21" s="43"/>
      <c r="D21" s="46"/>
      <c r="E21" s="24"/>
      <c r="F21" s="14"/>
      <c r="G21" s="27"/>
      <c r="H21" s="32"/>
      <c r="I21" s="14"/>
      <c r="J21" s="34"/>
      <c r="K21" s="34"/>
      <c r="L21" s="14"/>
      <c r="M21" s="34"/>
      <c r="N21" s="26"/>
      <c r="O21" s="26"/>
      <c r="P21" s="30"/>
      <c r="Q21" s="1"/>
      <c r="R21" s="1"/>
    </row>
    <row r="22" ht="15.75" customHeight="1">
      <c r="A22" s="1"/>
      <c r="B22" s="19">
        <v>19.0</v>
      </c>
      <c r="C22" s="43"/>
      <c r="D22" s="46"/>
      <c r="E22" s="24"/>
      <c r="F22" s="14"/>
      <c r="G22" s="27"/>
      <c r="H22" s="32"/>
      <c r="I22" s="14"/>
      <c r="J22" s="34"/>
      <c r="K22" s="34"/>
      <c r="L22" s="14"/>
      <c r="M22" s="34"/>
      <c r="N22" s="26"/>
      <c r="O22" s="26"/>
      <c r="P22" s="30"/>
      <c r="Q22" s="1"/>
      <c r="R22" s="1"/>
    </row>
    <row r="23" ht="15.75" customHeight="1">
      <c r="A23" s="1"/>
      <c r="B23" s="19">
        <v>20.0</v>
      </c>
      <c r="C23" s="43"/>
      <c r="D23" s="46"/>
      <c r="E23" s="24"/>
      <c r="F23" s="14"/>
      <c r="G23" s="27"/>
      <c r="H23" s="32"/>
      <c r="I23" s="14"/>
      <c r="J23" s="34"/>
      <c r="K23" s="34"/>
      <c r="L23" s="14"/>
      <c r="M23" s="34"/>
      <c r="N23" s="26"/>
      <c r="O23" s="26"/>
      <c r="P23" s="30"/>
      <c r="Q23" s="1"/>
      <c r="R23" s="1"/>
    </row>
    <row r="24" ht="15.75" customHeight="1">
      <c r="A24" s="1"/>
      <c r="B24" s="19">
        <v>21.0</v>
      </c>
      <c r="C24" s="43"/>
      <c r="D24" s="46"/>
      <c r="E24" s="24"/>
      <c r="F24" s="14"/>
      <c r="G24" s="27"/>
      <c r="H24" s="32"/>
      <c r="I24" s="14"/>
      <c r="J24" s="34"/>
      <c r="K24" s="34"/>
      <c r="L24" s="14"/>
      <c r="M24" s="34"/>
      <c r="N24" s="26"/>
      <c r="O24" s="26"/>
      <c r="P24" s="30"/>
      <c r="Q24" s="1"/>
      <c r="R24" s="1"/>
    </row>
    <row r="25" ht="15.75" customHeight="1">
      <c r="A25" s="1"/>
      <c r="B25" s="19">
        <v>22.0</v>
      </c>
      <c r="C25" s="43"/>
      <c r="D25" s="46"/>
      <c r="E25" s="24"/>
      <c r="F25" s="14"/>
      <c r="G25" s="27"/>
      <c r="H25" s="32"/>
      <c r="I25" s="14"/>
      <c r="J25" s="34"/>
      <c r="K25" s="34"/>
      <c r="L25" s="14"/>
      <c r="M25" s="34"/>
      <c r="N25" s="26"/>
      <c r="O25" s="26"/>
      <c r="P25" s="30"/>
      <c r="Q25" s="1"/>
      <c r="R25" s="1"/>
    </row>
    <row r="26" ht="15.75" customHeight="1">
      <c r="A26" s="1"/>
      <c r="B26" s="19">
        <v>23.0</v>
      </c>
      <c r="C26" s="43"/>
      <c r="D26" s="46"/>
      <c r="E26" s="24"/>
      <c r="F26" s="14"/>
      <c r="G26" s="27"/>
      <c r="H26" s="32"/>
      <c r="I26" s="14"/>
      <c r="J26" s="34"/>
      <c r="K26" s="34"/>
      <c r="L26" s="14"/>
      <c r="M26" s="34"/>
      <c r="N26" s="26"/>
      <c r="O26" s="26"/>
      <c r="P26" s="30"/>
      <c r="Q26" s="1"/>
      <c r="R26" s="1"/>
    </row>
    <row r="27" ht="15.75" customHeight="1">
      <c r="A27" s="1"/>
      <c r="B27" s="19">
        <v>24.0</v>
      </c>
      <c r="C27" s="43"/>
      <c r="D27" s="46"/>
      <c r="E27" s="24"/>
      <c r="F27" s="14"/>
      <c r="G27" s="27"/>
      <c r="H27" s="32"/>
      <c r="I27" s="14"/>
      <c r="J27" s="34"/>
      <c r="K27" s="34"/>
      <c r="L27" s="14"/>
      <c r="M27" s="34"/>
      <c r="N27" s="26"/>
      <c r="O27" s="26"/>
      <c r="P27" s="30"/>
      <c r="Q27" s="1"/>
      <c r="R27" s="1"/>
    </row>
    <row r="28" ht="15.75" customHeight="1">
      <c r="A28" s="1"/>
      <c r="B28" s="19">
        <v>25.0</v>
      </c>
      <c r="C28" s="43"/>
      <c r="D28" s="46"/>
      <c r="E28" s="24"/>
      <c r="F28" s="14"/>
      <c r="G28" s="27"/>
      <c r="H28" s="32"/>
      <c r="I28" s="14"/>
      <c r="J28" s="34"/>
      <c r="K28" s="34"/>
      <c r="L28" s="14"/>
      <c r="M28" s="34"/>
      <c r="N28" s="26"/>
      <c r="O28" s="26"/>
      <c r="P28" s="30"/>
      <c r="Q28" s="1"/>
      <c r="R28" s="1"/>
    </row>
    <row r="29" ht="15.75" customHeight="1">
      <c r="A29" s="1"/>
      <c r="B29" s="19">
        <v>26.0</v>
      </c>
      <c r="C29" s="43"/>
      <c r="D29" s="46"/>
      <c r="E29" s="24"/>
      <c r="F29" s="14"/>
      <c r="G29" s="27"/>
      <c r="H29" s="32"/>
      <c r="I29" s="14"/>
      <c r="J29" s="34"/>
      <c r="K29" s="34"/>
      <c r="L29" s="14"/>
      <c r="M29" s="34"/>
      <c r="N29" s="26"/>
      <c r="O29" s="26"/>
      <c r="P29" s="30"/>
      <c r="Q29" s="1"/>
      <c r="R29" s="1"/>
    </row>
    <row r="30" ht="15.75" customHeight="1">
      <c r="A30" s="1"/>
      <c r="B30" s="19">
        <v>27.0</v>
      </c>
      <c r="C30" s="43"/>
      <c r="D30" s="46"/>
      <c r="E30" s="24"/>
      <c r="F30" s="14"/>
      <c r="G30" s="27"/>
      <c r="H30" s="32"/>
      <c r="I30" s="14"/>
      <c r="J30" s="34"/>
      <c r="K30" s="34"/>
      <c r="L30" s="14"/>
      <c r="M30" s="34"/>
      <c r="N30" s="26"/>
      <c r="O30" s="26"/>
      <c r="P30" s="30"/>
      <c r="Q30" s="1"/>
      <c r="R30" s="1"/>
    </row>
    <row r="31" ht="15.75" customHeight="1">
      <c r="A31" s="1"/>
      <c r="B31" s="19">
        <v>28.0</v>
      </c>
      <c r="C31" s="43"/>
      <c r="D31" s="46"/>
      <c r="E31" s="24"/>
      <c r="F31" s="14"/>
      <c r="G31" s="27"/>
      <c r="H31" s="32"/>
      <c r="I31" s="14"/>
      <c r="J31" s="34"/>
      <c r="K31" s="34"/>
      <c r="L31" s="14"/>
      <c r="M31" s="34"/>
      <c r="N31" s="26"/>
      <c r="O31" s="26"/>
      <c r="P31" s="30"/>
      <c r="Q31" s="1"/>
      <c r="R31" s="1"/>
    </row>
    <row r="32" ht="15.75" customHeight="1">
      <c r="A32" s="1"/>
      <c r="B32" s="19">
        <v>29.0</v>
      </c>
      <c r="C32" s="43"/>
      <c r="D32" s="46"/>
      <c r="E32" s="24"/>
      <c r="F32" s="14"/>
      <c r="G32" s="27"/>
      <c r="H32" s="32"/>
      <c r="I32" s="14"/>
      <c r="J32" s="34"/>
      <c r="K32" s="34"/>
      <c r="L32" s="14"/>
      <c r="M32" s="34"/>
      <c r="N32" s="26"/>
      <c r="O32" s="26"/>
      <c r="P32" s="30"/>
      <c r="Q32" s="1"/>
      <c r="R32" s="1"/>
    </row>
    <row r="33" ht="15.75" customHeight="1">
      <c r="A33" s="1"/>
      <c r="B33" s="19">
        <v>30.0</v>
      </c>
      <c r="C33" s="43"/>
      <c r="D33" s="46"/>
      <c r="E33" s="24"/>
      <c r="F33" s="14"/>
      <c r="G33" s="27"/>
      <c r="H33" s="32"/>
      <c r="I33" s="14"/>
      <c r="J33" s="34"/>
      <c r="K33" s="34"/>
      <c r="L33" s="14"/>
      <c r="M33" s="34"/>
      <c r="N33" s="26"/>
      <c r="O33" s="26"/>
      <c r="P33" s="30"/>
      <c r="Q33" s="1"/>
      <c r="R33" s="1"/>
    </row>
    <row r="34" ht="15.75" customHeight="1">
      <c r="A34" s="1"/>
      <c r="B34" s="19">
        <v>31.0</v>
      </c>
      <c r="C34" s="43"/>
      <c r="D34" s="46"/>
      <c r="E34" s="24"/>
      <c r="F34" s="14"/>
      <c r="G34" s="27"/>
      <c r="H34" s="32"/>
      <c r="I34" s="14"/>
      <c r="J34" s="34"/>
      <c r="K34" s="34"/>
      <c r="L34" s="14"/>
      <c r="M34" s="34"/>
      <c r="N34" s="26"/>
      <c r="O34" s="26"/>
      <c r="P34" s="30"/>
      <c r="Q34" s="1"/>
      <c r="R34" s="1"/>
    </row>
    <row r="35" ht="15.75" customHeight="1">
      <c r="A35" s="1"/>
      <c r="B35" s="19">
        <v>32.0</v>
      </c>
      <c r="C35" s="43"/>
      <c r="D35" s="46"/>
      <c r="E35" s="24"/>
      <c r="F35" s="14"/>
      <c r="G35" s="27"/>
      <c r="H35" s="32"/>
      <c r="I35" s="14"/>
      <c r="J35" s="34"/>
      <c r="K35" s="34"/>
      <c r="L35" s="14"/>
      <c r="M35" s="34"/>
      <c r="N35" s="26"/>
      <c r="O35" s="26"/>
      <c r="P35" s="30"/>
      <c r="Q35" s="1"/>
      <c r="R35" s="1"/>
    </row>
    <row r="36" ht="15.75" customHeight="1">
      <c r="A36" s="1"/>
      <c r="B36" s="19">
        <v>33.0</v>
      </c>
      <c r="C36" s="43"/>
      <c r="D36" s="46"/>
      <c r="E36" s="24"/>
      <c r="F36" s="14"/>
      <c r="G36" s="27"/>
      <c r="H36" s="32"/>
      <c r="I36" s="14"/>
      <c r="J36" s="34"/>
      <c r="K36" s="34"/>
      <c r="L36" s="14"/>
      <c r="M36" s="34"/>
      <c r="N36" s="26"/>
      <c r="O36" s="26"/>
      <c r="P36" s="30"/>
      <c r="Q36" s="1"/>
      <c r="R36" s="1"/>
    </row>
    <row r="37" ht="15.75" customHeight="1">
      <c r="A37" s="1"/>
      <c r="B37" s="19">
        <v>34.0</v>
      </c>
      <c r="C37" s="43"/>
      <c r="D37" s="46"/>
      <c r="E37" s="24"/>
      <c r="F37" s="14"/>
      <c r="G37" s="27"/>
      <c r="H37" s="32"/>
      <c r="I37" s="14"/>
      <c r="J37" s="34"/>
      <c r="K37" s="34"/>
      <c r="L37" s="14"/>
      <c r="M37" s="34"/>
      <c r="N37" s="26"/>
      <c r="O37" s="26"/>
      <c r="P37" s="30"/>
      <c r="Q37" s="1"/>
      <c r="R37" s="1"/>
    </row>
    <row r="38" ht="15.75" customHeight="1">
      <c r="A38" s="1"/>
      <c r="B38" s="19">
        <v>35.0</v>
      </c>
      <c r="C38" s="43"/>
      <c r="D38" s="46"/>
      <c r="E38" s="24"/>
      <c r="F38" s="14"/>
      <c r="G38" s="27"/>
      <c r="H38" s="32"/>
      <c r="I38" s="14"/>
      <c r="J38" s="34"/>
      <c r="K38" s="34"/>
      <c r="L38" s="14"/>
      <c r="M38" s="34"/>
      <c r="N38" s="26"/>
      <c r="O38" s="26"/>
      <c r="P38" s="30"/>
      <c r="Q38" s="1"/>
      <c r="R38" s="1"/>
    </row>
    <row r="39" ht="15.75" customHeight="1">
      <c r="A39" s="1"/>
      <c r="B39" s="19">
        <v>36.0</v>
      </c>
      <c r="C39" s="43"/>
      <c r="D39" s="46"/>
      <c r="E39" s="24"/>
      <c r="F39" s="14"/>
      <c r="G39" s="27"/>
      <c r="H39" s="32"/>
      <c r="I39" s="14"/>
      <c r="J39" s="34"/>
      <c r="K39" s="34"/>
      <c r="L39" s="14"/>
      <c r="M39" s="34"/>
      <c r="N39" s="26"/>
      <c r="O39" s="26"/>
      <c r="P39" s="30"/>
      <c r="Q39" s="1"/>
      <c r="R39" s="1"/>
    </row>
    <row r="40" ht="15.75" customHeight="1">
      <c r="A40" s="1"/>
      <c r="B40" s="19">
        <v>37.0</v>
      </c>
      <c r="C40" s="43"/>
      <c r="D40" s="46"/>
      <c r="E40" s="24"/>
      <c r="F40" s="14"/>
      <c r="G40" s="29"/>
      <c r="H40" s="35"/>
      <c r="I40" s="14"/>
      <c r="J40" s="34"/>
      <c r="K40" s="34"/>
      <c r="L40" s="14"/>
      <c r="M40" s="34"/>
      <c r="N40" s="26"/>
      <c r="O40" s="26"/>
      <c r="P40" s="30"/>
      <c r="Q40" s="1"/>
      <c r="R40" s="1"/>
    </row>
    <row r="41" ht="15.75" customHeight="1">
      <c r="A41" s="1"/>
      <c r="B41" s="19">
        <v>38.0</v>
      </c>
      <c r="C41" s="43"/>
      <c r="D41" s="46"/>
      <c r="E41" s="24"/>
      <c r="F41" s="14"/>
      <c r="G41" s="29"/>
      <c r="H41" s="35"/>
      <c r="I41" s="14"/>
      <c r="J41" s="34"/>
      <c r="K41" s="34"/>
      <c r="L41" s="14"/>
      <c r="M41" s="34"/>
      <c r="N41" s="36"/>
      <c r="O41" s="36"/>
      <c r="P41" s="36"/>
      <c r="Q41" s="1"/>
      <c r="R41" s="1"/>
    </row>
    <row r="42" ht="15.75" customHeight="1">
      <c r="A42" s="1"/>
      <c r="B42" s="19">
        <v>39.0</v>
      </c>
      <c r="C42" s="43"/>
      <c r="D42" s="46"/>
      <c r="E42" s="24"/>
      <c r="F42" s="14"/>
      <c r="G42" s="29"/>
      <c r="H42" s="35"/>
      <c r="I42" s="14"/>
      <c r="J42" s="34"/>
      <c r="K42" s="34"/>
      <c r="L42" s="14"/>
      <c r="M42" s="34"/>
      <c r="N42" s="36"/>
      <c r="O42" s="36"/>
      <c r="P42" s="36"/>
      <c r="Q42" s="1"/>
      <c r="R42" s="1"/>
    </row>
    <row r="43" ht="15.75" customHeight="1">
      <c r="A43" s="1"/>
      <c r="B43" s="19">
        <v>40.0</v>
      </c>
      <c r="C43" s="43"/>
      <c r="D43" s="46"/>
      <c r="E43" s="24"/>
      <c r="F43" s="14"/>
      <c r="G43" s="29"/>
      <c r="H43" s="35"/>
      <c r="I43" s="14"/>
      <c r="J43" s="14"/>
      <c r="K43" s="14"/>
      <c r="L43" s="14"/>
      <c r="M43" s="14"/>
      <c r="N43" s="36"/>
      <c r="O43" s="36"/>
      <c r="P43" s="36"/>
      <c r="Q43" s="1"/>
      <c r="R43" s="1"/>
    </row>
    <row r="44" ht="15.75" customHeight="1">
      <c r="A44" s="1"/>
      <c r="B44" s="19">
        <v>41.0</v>
      </c>
      <c r="C44" s="43"/>
      <c r="D44" s="46"/>
      <c r="E44" s="38"/>
      <c r="F44" s="14"/>
      <c r="G44" s="39"/>
      <c r="H44" s="96"/>
      <c r="I44" s="14"/>
      <c r="J44" s="14"/>
      <c r="K44" s="14"/>
      <c r="L44" s="14"/>
      <c r="M44" s="14"/>
      <c r="N44" s="36"/>
      <c r="O44" s="36"/>
      <c r="P44" s="36"/>
      <c r="Q44" s="1"/>
      <c r="R44" s="1"/>
    </row>
    <row r="45" ht="15.75" customHeight="1">
      <c r="A45" s="1"/>
      <c r="B45" s="19">
        <v>42.0</v>
      </c>
      <c r="C45" s="23"/>
      <c r="D45" s="46"/>
      <c r="E45" s="14"/>
      <c r="F45" s="19"/>
      <c r="G45" s="97"/>
      <c r="H45" s="31"/>
      <c r="I45" s="19"/>
      <c r="J45" s="19"/>
      <c r="K45" s="19"/>
      <c r="L45" s="14"/>
      <c r="M45" s="19"/>
      <c r="N45" s="36"/>
      <c r="O45" s="36"/>
      <c r="P45" s="36"/>
      <c r="Q45" s="1"/>
      <c r="R45" s="1"/>
    </row>
    <row r="46" ht="15.75" customHeight="1">
      <c r="A46" s="1"/>
      <c r="B46" s="19">
        <v>43.0</v>
      </c>
      <c r="C46" s="23"/>
      <c r="D46" s="43"/>
      <c r="E46" s="14"/>
      <c r="F46" s="19"/>
      <c r="G46" s="97"/>
      <c r="H46" s="31"/>
      <c r="I46" s="19"/>
      <c r="J46" s="19"/>
      <c r="K46" s="19"/>
      <c r="L46" s="14"/>
      <c r="M46" s="19"/>
      <c r="N46" s="36"/>
      <c r="O46" s="36"/>
      <c r="P46" s="36"/>
      <c r="Q46" s="1"/>
      <c r="R46" s="1"/>
    </row>
    <row r="47" ht="15.75" customHeight="1">
      <c r="A47" s="1"/>
      <c r="B47" s="19">
        <v>44.0</v>
      </c>
      <c r="C47" s="23"/>
      <c r="D47" s="43"/>
      <c r="E47" s="99"/>
      <c r="F47" s="19"/>
      <c r="G47" s="97"/>
      <c r="H47" s="31"/>
      <c r="I47" s="19"/>
      <c r="J47" s="19"/>
      <c r="K47" s="19"/>
      <c r="L47" s="14"/>
      <c r="M47" s="19"/>
      <c r="N47" s="36"/>
      <c r="O47" s="36"/>
      <c r="P47" s="36"/>
      <c r="Q47" s="1"/>
      <c r="R47" s="1"/>
    </row>
    <row r="48" ht="15.75" customHeight="1">
      <c r="A48" s="1"/>
      <c r="B48" s="19">
        <v>45.0</v>
      </c>
      <c r="C48" s="43"/>
      <c r="D48" s="43"/>
      <c r="E48" s="14"/>
      <c r="F48" s="19"/>
      <c r="G48" s="97"/>
      <c r="H48" s="31"/>
      <c r="I48" s="19"/>
      <c r="J48" s="19"/>
      <c r="K48" s="19"/>
      <c r="L48" s="19"/>
      <c r="M48" s="19"/>
      <c r="N48" s="36"/>
      <c r="O48" s="36"/>
      <c r="P48" s="36"/>
      <c r="Q48" s="1"/>
      <c r="R48" s="1"/>
    </row>
    <row r="49" ht="18.75" customHeight="1">
      <c r="A49" s="1"/>
      <c r="B49" s="1"/>
      <c r="C49" s="2"/>
      <c r="D49" s="2"/>
      <c r="E49" s="1"/>
      <c r="F49" s="1"/>
      <c r="G49" s="54">
        <f t="shared" ref="G49:H49" si="1">SUM(G40:G48)</f>
        <v>0</v>
      </c>
      <c r="H49" s="56">
        <f t="shared" si="1"/>
        <v>0</v>
      </c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23.2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59" t="s">
        <v>0</v>
      </c>
      <c r="C52" s="60" t="s">
        <v>6</v>
      </c>
      <c r="D52" s="60" t="s">
        <v>70</v>
      </c>
      <c r="E52" s="1"/>
      <c r="F52" s="1"/>
      <c r="G52" s="1"/>
      <c r="H52" s="1"/>
      <c r="I52" s="1"/>
      <c r="J52" s="1"/>
      <c r="K52" s="1"/>
      <c r="L52" s="1"/>
      <c r="M52" s="1"/>
      <c r="N52" s="60" t="s">
        <v>71</v>
      </c>
      <c r="O52" s="60" t="s">
        <v>1</v>
      </c>
      <c r="P52" s="1"/>
      <c r="Q52" s="1"/>
      <c r="R52" s="1"/>
    </row>
    <row r="53" ht="15.75" customHeight="1">
      <c r="A53" s="1"/>
      <c r="B53" s="62">
        <v>1.0</v>
      </c>
      <c r="C53" s="63" t="s">
        <v>72</v>
      </c>
      <c r="D53" s="64">
        <f>SUM(G49)</f>
        <v>0</v>
      </c>
      <c r="E53" s="65"/>
      <c r="F53" s="1"/>
      <c r="G53" s="1"/>
      <c r="H53" s="1"/>
      <c r="I53" s="1"/>
      <c r="J53" s="1"/>
      <c r="K53" s="1"/>
      <c r="L53" s="1"/>
      <c r="M53" s="1"/>
      <c r="N53" s="66" t="s">
        <v>73</v>
      </c>
      <c r="O53" s="26"/>
      <c r="P53" s="1"/>
      <c r="Q53" s="1"/>
      <c r="R53" s="1"/>
    </row>
    <row r="54" ht="15.75" customHeight="1">
      <c r="A54" s="1"/>
      <c r="B54" s="67">
        <v>2.0</v>
      </c>
      <c r="C54" s="68"/>
      <c r="D54" s="69"/>
      <c r="E54" s="65"/>
      <c r="F54" s="1"/>
      <c r="G54" s="1"/>
      <c r="H54" s="1"/>
      <c r="I54" s="1"/>
      <c r="J54" s="1"/>
      <c r="K54" s="1"/>
      <c r="L54" s="1"/>
      <c r="M54" s="1"/>
      <c r="N54" s="70" t="s">
        <v>75</v>
      </c>
      <c r="O54" s="71"/>
      <c r="P54" s="1"/>
      <c r="Q54" s="1"/>
      <c r="R54" s="1"/>
    </row>
    <row r="55" ht="15.75" customHeight="1">
      <c r="A55" s="1"/>
      <c r="B55" s="62">
        <v>3.0</v>
      </c>
      <c r="C55" s="63"/>
      <c r="D55" s="64"/>
      <c r="E55" s="65"/>
      <c r="F55" s="1"/>
      <c r="G55" s="1"/>
      <c r="H55" s="1"/>
      <c r="I55" s="1"/>
      <c r="J55" s="1"/>
      <c r="K55" s="1"/>
      <c r="L55" s="1"/>
      <c r="M55" s="1"/>
      <c r="N55" s="73" t="s">
        <v>76</v>
      </c>
      <c r="O55" s="36"/>
      <c r="P55" s="1"/>
      <c r="Q55" s="1"/>
      <c r="R55" s="1"/>
    </row>
    <row r="56" ht="15.75" customHeight="1">
      <c r="A56" s="1"/>
      <c r="B56" s="67">
        <v>4.0</v>
      </c>
      <c r="C56" s="68"/>
      <c r="D56" s="69"/>
      <c r="E56" s="65"/>
      <c r="F56" s="1"/>
      <c r="G56" s="1"/>
      <c r="H56" s="1"/>
      <c r="I56" s="1"/>
      <c r="J56" s="1"/>
      <c r="K56" s="1"/>
      <c r="L56" s="1"/>
      <c r="M56" s="1"/>
      <c r="N56" s="76" t="s">
        <v>77</v>
      </c>
      <c r="O56" s="71"/>
      <c r="P56" s="1"/>
      <c r="Q56" s="1"/>
      <c r="R56" s="1"/>
    </row>
    <row r="57" ht="15.75" customHeight="1">
      <c r="A57" s="1"/>
      <c r="B57" s="62">
        <v>5.0</v>
      </c>
      <c r="C57" s="63"/>
      <c r="D57" s="64"/>
      <c r="E57" s="65"/>
      <c r="F57" s="1"/>
      <c r="G57" s="1"/>
      <c r="H57" s="1"/>
      <c r="I57" s="1"/>
      <c r="J57" s="1"/>
      <c r="K57" s="1"/>
      <c r="L57" s="1"/>
      <c r="M57" s="1"/>
      <c r="N57" s="79"/>
      <c r="O57" s="1"/>
      <c r="P57" s="1"/>
      <c r="Q57" s="1"/>
      <c r="R57" s="1"/>
    </row>
    <row r="58" ht="15.75" customHeight="1">
      <c r="A58" s="1"/>
      <c r="B58" s="67">
        <v>6.0</v>
      </c>
      <c r="C58" s="68"/>
      <c r="D58" s="69"/>
      <c r="E58" s="65"/>
      <c r="F58" s="1"/>
      <c r="G58" s="1"/>
      <c r="H58" s="1"/>
      <c r="I58" s="1"/>
      <c r="J58" s="1"/>
      <c r="K58" s="81" t="s">
        <v>78</v>
      </c>
      <c r="Q58" s="1"/>
      <c r="R58" s="1"/>
    </row>
    <row r="59" ht="15.75" customHeight="1">
      <c r="A59" s="1"/>
      <c r="B59" s="62">
        <v>7.0</v>
      </c>
      <c r="C59" s="63"/>
      <c r="D59" s="64"/>
      <c r="E59" s="65"/>
      <c r="F59" s="1"/>
      <c r="G59" s="1"/>
      <c r="H59" s="1"/>
      <c r="I59" s="1"/>
      <c r="J59" s="1"/>
      <c r="K59" s="83" t="s">
        <v>1</v>
      </c>
      <c r="L59" s="83" t="s">
        <v>79</v>
      </c>
      <c r="M59" s="83" t="s">
        <v>80</v>
      </c>
      <c r="N59" s="83" t="s">
        <v>81</v>
      </c>
      <c r="O59" s="83" t="s">
        <v>82</v>
      </c>
      <c r="P59" s="83" t="s">
        <v>83</v>
      </c>
      <c r="Q59" s="1"/>
      <c r="R59" s="1"/>
      <c r="AC59" s="84" t="s">
        <v>84</v>
      </c>
      <c r="AD59" s="84" t="s">
        <v>85</v>
      </c>
      <c r="AE59" s="84" t="s">
        <v>86</v>
      </c>
      <c r="AF59" s="84" t="s">
        <v>87</v>
      </c>
      <c r="AG59" s="84" t="s">
        <v>88</v>
      </c>
    </row>
    <row r="60" ht="15.75" customHeight="1">
      <c r="A60" s="1"/>
      <c r="B60" s="67">
        <v>8.0</v>
      </c>
      <c r="C60" s="68"/>
      <c r="D60" s="69"/>
      <c r="E60" s="65"/>
      <c r="F60" s="1"/>
      <c r="G60" s="1"/>
      <c r="H60" s="1"/>
      <c r="I60" s="1"/>
      <c r="J60" s="1"/>
      <c r="K60" s="85" t="str">
        <f t="shared" ref="K60:K63" si="2">IF(O53="","",O53)</f>
        <v/>
      </c>
      <c r="L60" s="86"/>
      <c r="M60" s="86"/>
      <c r="N60" s="86"/>
      <c r="O60" s="86"/>
      <c r="P60" s="86"/>
      <c r="Q60" s="1"/>
      <c r="R60" s="1"/>
      <c r="AC60" s="84" t="str">
        <f t="shared" ref="AC60:AC65" si="3">IF(AG60="","",IF(COUNT(L60:P60)&lt;5,"",L60/5*20+M60/5*25+N60/5*25+O60/5*15+P60/5*15))</f>
        <v/>
      </c>
      <c r="AD60" s="84" t="str">
        <f t="shared" ref="AD60:AD65" si="4">IF(AC60="","",IF(AC60&gt;=90,"Sangat Baik",IF(AC60&gt;=80,"Baik",IF(AC60&gt;=70,"Coaching","Underperform"))))</f>
        <v/>
      </c>
      <c r="AE60" s="84" t="str">
        <f t="shared" ref="AE60:AE65" si="5">IF(AG60="","",IF(OR(AG60="INDAH",AG60="ADDEL",AG60="AMEL",AG60="PENTIL",AG60="JIJANG"),"Admin/CS","Fotografer"))</f>
        <v/>
      </c>
      <c r="AF60" s="84" t="str">
        <f t="shared" ref="AF60:AF65" si="6">IF(OR(AG60="",COUNT(L60:P60)&lt;5),"",1)</f>
        <v/>
      </c>
      <c r="AG60" s="84" t="str">
        <f t="shared" ref="AG60:AG65" si="7">IFERROR(K60,"")</f>
        <v/>
      </c>
    </row>
    <row r="61" ht="15.75" customHeight="1">
      <c r="A61" s="1"/>
      <c r="B61" s="62">
        <v>9.0</v>
      </c>
      <c r="C61" s="63"/>
      <c r="D61" s="64"/>
      <c r="E61" s="65"/>
      <c r="F61" s="1"/>
      <c r="G61" s="1"/>
      <c r="H61" s="1"/>
      <c r="I61" s="1"/>
      <c r="J61" s="1"/>
      <c r="K61" s="85" t="str">
        <f t="shared" si="2"/>
        <v/>
      </c>
      <c r="L61" s="86"/>
      <c r="M61" s="86"/>
      <c r="N61" s="86"/>
      <c r="O61" s="86"/>
      <c r="P61" s="86"/>
      <c r="Q61" s="1"/>
      <c r="R61" s="1"/>
      <c r="AC61" s="84" t="str">
        <f t="shared" si="3"/>
        <v/>
      </c>
      <c r="AD61" s="84" t="str">
        <f t="shared" si="4"/>
        <v/>
      </c>
      <c r="AE61" s="84" t="str">
        <f t="shared" si="5"/>
        <v/>
      </c>
      <c r="AF61" s="84" t="str">
        <f t="shared" si="6"/>
        <v/>
      </c>
      <c r="AG61" s="84" t="str">
        <f t="shared" si="7"/>
        <v/>
      </c>
    </row>
    <row r="62" ht="15.75" customHeight="1">
      <c r="A62" s="1"/>
      <c r="B62" s="67">
        <v>10.0</v>
      </c>
      <c r="C62" s="68"/>
      <c r="D62" s="69"/>
      <c r="E62" s="65"/>
      <c r="F62" s="1"/>
      <c r="G62" s="1"/>
      <c r="H62" s="1"/>
      <c r="I62" s="1"/>
      <c r="J62" s="1"/>
      <c r="K62" s="85" t="str">
        <f t="shared" si="2"/>
        <v/>
      </c>
      <c r="L62" s="86"/>
      <c r="M62" s="86"/>
      <c r="N62" s="86"/>
      <c r="O62" s="86"/>
      <c r="P62" s="86"/>
      <c r="Q62" s="1"/>
      <c r="R62" s="1"/>
      <c r="AC62" s="84" t="str">
        <f t="shared" si="3"/>
        <v/>
      </c>
      <c r="AD62" s="84" t="str">
        <f t="shared" si="4"/>
        <v/>
      </c>
      <c r="AE62" s="84" t="str">
        <f t="shared" si="5"/>
        <v/>
      </c>
      <c r="AF62" s="84" t="str">
        <f t="shared" si="6"/>
        <v/>
      </c>
      <c r="AG62" s="84" t="str">
        <f t="shared" si="7"/>
        <v/>
      </c>
    </row>
    <row r="63" ht="15.75" customHeight="1">
      <c r="A63" s="1"/>
      <c r="B63" s="92">
        <v>11.0</v>
      </c>
      <c r="C63" s="93"/>
      <c r="D63" s="94"/>
      <c r="E63" s="65"/>
      <c r="F63" s="1"/>
      <c r="G63" s="1"/>
      <c r="H63" s="1"/>
      <c r="I63" s="1"/>
      <c r="J63" s="1"/>
      <c r="K63" s="85" t="str">
        <f t="shared" si="2"/>
        <v/>
      </c>
      <c r="L63" s="86"/>
      <c r="M63" s="86"/>
      <c r="N63" s="86"/>
      <c r="O63" s="86"/>
      <c r="P63" s="86"/>
      <c r="Q63" s="1"/>
      <c r="R63" s="1"/>
      <c r="AC63" s="84" t="str">
        <f t="shared" si="3"/>
        <v/>
      </c>
      <c r="AD63" s="84" t="str">
        <f t="shared" si="4"/>
        <v/>
      </c>
      <c r="AE63" s="84" t="str">
        <f t="shared" si="5"/>
        <v/>
      </c>
      <c r="AF63" s="84" t="str">
        <f t="shared" si="6"/>
        <v/>
      </c>
      <c r="AG63" s="84" t="str">
        <f t="shared" si="7"/>
        <v/>
      </c>
    </row>
    <row r="64" ht="15.75" customHeight="1">
      <c r="A64" s="1"/>
      <c r="B64" s="1"/>
      <c r="C64" s="2"/>
      <c r="D64" s="95">
        <f>SUM(D53:D63)</f>
        <v>0</v>
      </c>
      <c r="E64" s="1"/>
      <c r="F64" s="1"/>
      <c r="G64" s="1"/>
      <c r="H64" s="1"/>
      <c r="I64" s="1"/>
      <c r="J64" s="1"/>
      <c r="K64" s="85"/>
      <c r="L64" s="86"/>
      <c r="M64" s="86"/>
      <c r="N64" s="86"/>
      <c r="O64" s="86"/>
      <c r="P64" s="86"/>
      <c r="Q64" s="1"/>
      <c r="R64" s="1"/>
      <c r="AC64" s="84" t="str">
        <f t="shared" si="3"/>
        <v/>
      </c>
      <c r="AD64" s="84" t="str">
        <f t="shared" si="4"/>
        <v/>
      </c>
      <c r="AE64" s="84" t="str">
        <f t="shared" si="5"/>
        <v/>
      </c>
      <c r="AF64" s="84" t="str">
        <f t="shared" si="6"/>
        <v/>
      </c>
      <c r="AG64" s="84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85"/>
      <c r="L65" s="86"/>
      <c r="M65" s="86"/>
      <c r="N65" s="86"/>
      <c r="O65" s="86"/>
      <c r="P65" s="86"/>
      <c r="Q65" s="1"/>
      <c r="R65" s="1"/>
      <c r="AC65" s="84" t="str">
        <f t="shared" si="3"/>
        <v/>
      </c>
      <c r="AD65" s="84" t="str">
        <f t="shared" si="4"/>
        <v/>
      </c>
      <c r="AE65" s="84" t="str">
        <f t="shared" si="5"/>
        <v/>
      </c>
      <c r="AF65" s="84" t="str">
        <f t="shared" si="6"/>
        <v/>
      </c>
      <c r="AG65" s="84" t="str">
        <f t="shared" si="7"/>
        <v/>
      </c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98" t="s">
        <v>90</v>
      </c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1"/>
      <c r="C68" s="2"/>
      <c r="D68" s="2"/>
      <c r="E68" s="1"/>
      <c r="F68" s="1"/>
      <c r="G68" s="1"/>
      <c r="H68" s="1"/>
      <c r="I68" s="1"/>
      <c r="J68" s="1"/>
      <c r="K68" s="100" t="s">
        <v>91</v>
      </c>
      <c r="N68" s="1"/>
      <c r="O68" s="1"/>
      <c r="P68" s="1"/>
      <c r="Q68" s="1"/>
      <c r="R68" s="1"/>
    </row>
    <row r="69" ht="15.75" customHeight="1">
      <c r="K69" s="102" t="s">
        <v>7</v>
      </c>
      <c r="L69" s="102" t="s">
        <v>92</v>
      </c>
      <c r="M69" s="102" t="s">
        <v>93</v>
      </c>
    </row>
    <row r="70" ht="15.75" customHeight="1">
      <c r="K70" s="104" t="str">
        <f t="shared" ref="K70:K71" si="8">IF(O53="","",O53)</f>
        <v/>
      </c>
      <c r="L70" s="105"/>
      <c r="M70" s="105"/>
    </row>
    <row r="71" ht="15.75" customHeight="1">
      <c r="K71" s="104" t="str">
        <f t="shared" si="8"/>
        <v/>
      </c>
      <c r="L71" s="105"/>
      <c r="M71" s="105"/>
    </row>
    <row r="72" ht="15.75" customHeight="1"/>
    <row r="73" ht="19.5" customHeight="1">
      <c r="K73" s="109" t="s">
        <v>96</v>
      </c>
    </row>
    <row r="74" ht="19.5" customHeight="1">
      <c r="K74" s="110" t="s">
        <v>97</v>
      </c>
      <c r="M74" s="105"/>
    </row>
    <row r="75" ht="19.5" customHeight="1">
      <c r="K75" s="111" t="s">
        <v>98</v>
      </c>
      <c r="M75" s="112">
        <f>COUNTIF($I$40:$I$51,"DP")</f>
        <v>0</v>
      </c>
    </row>
    <row r="76" ht="19.5" customHeight="1">
      <c r="K76" s="111" t="s">
        <v>99</v>
      </c>
      <c r="M76" s="112">
        <f>COUNTIFS($I$40:$I$51,"&lt;&gt;DP",$I$40:$I$51,"&lt;&gt;")</f>
        <v>0</v>
      </c>
    </row>
    <row r="77" ht="19.5" customHeight="1">
      <c r="K77" s="113" t="s">
        <v>100</v>
      </c>
      <c r="M77" s="112">
        <f>M75+M76</f>
        <v>0</v>
      </c>
    </row>
    <row r="78" ht="19.5" customHeight="1">
      <c r="K78" s="110" t="s">
        <v>101</v>
      </c>
      <c r="M78" s="114" t="str">
        <f>IF(OR(M74="",M74=0),"",M75/M74)</f>
        <v/>
      </c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4:L74"/>
    <mergeCell ref="K75:L75"/>
    <mergeCell ref="K76:L76"/>
    <mergeCell ref="K77:L77"/>
    <mergeCell ref="K78:L78"/>
    <mergeCell ref="L2:L3"/>
    <mergeCell ref="M2:M3"/>
    <mergeCell ref="N2:P2"/>
    <mergeCell ref="K58:P58"/>
    <mergeCell ref="K66:P66"/>
    <mergeCell ref="K68:M68"/>
    <mergeCell ref="K73:M73"/>
  </mergeCells>
  <conditionalFormatting sqref="I4:I51">
    <cfRule type="expression" dxfId="0" priority="1">
      <formula>I4="DP"</formula>
    </cfRule>
  </conditionalFormatting>
  <conditionalFormatting sqref="I4:I51">
    <cfRule type="expression" dxfId="1" priority="2">
      <formula>I4="Lunas"</formula>
    </cfRule>
  </conditionalFormatting>
  <conditionalFormatting sqref="J4:K51">
    <cfRule type="expression" dxfId="2" priority="3">
      <formula>OR(J4="Uploaded",J4="Delivered")</formula>
    </cfRule>
  </conditionalFormatting>
  <dataValidations>
    <dataValidation type="list" allowBlank="1" showDropDown="1" showErrorMessage="1" sqref="I4:I48">
      <formula1>"-,DP,Lunas"</formula1>
    </dataValidation>
    <dataValidation type="list" allowBlank="1" sqref="L60:P65">
      <formula1>"1,2,3,4,5"</formula1>
    </dataValidation>
    <dataValidation type="list" allowBlank="1" showDropDown="1" showErrorMessage="1" sqref="D4:D45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48">
      <formula1>"-,Pending,Uploaded"</formula1>
    </dataValidation>
    <dataValidation type="list" allowBlank="1" sqref="K60:K65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48">
      <formula1>"-,Pending,Progress,Uploaded"</formula1>
    </dataValidation>
    <dataValidation type="list" allowBlank="1" showDropDown="1" showErrorMessage="1" sqref="D46:D48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53:O56">
      <formula1>"INDAH,ADDEL,AMEL,PENTIL,JIJANG,HANIF,FAHME,ADIF,ABROR,FADEL,SAKA"</formula1>
    </dataValidation>
    <dataValidation type="list" allowBlank="1" showErrorMessage="1" sqref="O4:O48">
      <formula1>"-,In Pikako,In Foxe"</formula1>
    </dataValidation>
    <dataValidation type="list" allowBlank="1" showDropDown="1" showErrorMessage="1" sqref="L4:L48">
      <formula1>"-,JIJANG,AXEL,PENTIL,FAHME,INDAH,AMEL"</formula1>
    </dataValidation>
    <dataValidation type="list" allowBlank="1" showDropDown="1" showErrorMessage="1" sqref="M45:M48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23"/>
      <c r="E4" s="19"/>
      <c r="F4" s="25"/>
      <c r="G4" s="28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23"/>
      <c r="E5" s="19"/>
      <c r="F5" s="25"/>
      <c r="G5" s="28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23"/>
      <c r="E6" s="19"/>
      <c r="F6" s="40"/>
      <c r="G6" s="28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23"/>
      <c r="E7" s="19"/>
      <c r="F7" s="40"/>
      <c r="G7" s="28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23"/>
      <c r="E8" s="19"/>
      <c r="F8" s="44"/>
      <c r="G8" s="28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23"/>
      <c r="E9" s="19"/>
      <c r="F9" s="44"/>
      <c r="G9" s="28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23"/>
      <c r="E10" s="19"/>
      <c r="F10" s="44"/>
      <c r="G10" s="28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49"/>
      <c r="D11" s="23"/>
      <c r="E11" s="19"/>
      <c r="F11" s="40"/>
      <c r="G11" s="28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23"/>
      <c r="E12" s="19"/>
      <c r="F12" s="44"/>
      <c r="G12" s="28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23"/>
      <c r="E13" s="19"/>
      <c r="F13" s="40"/>
      <c r="G13" s="28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</row>
    <row r="4" ht="15.75" customHeight="1">
      <c r="A4" s="1"/>
      <c r="B4" s="19">
        <v>1.0</v>
      </c>
      <c r="C4" s="23"/>
      <c r="D4" s="23"/>
      <c r="E4" s="116"/>
      <c r="F4" s="25"/>
      <c r="G4" s="11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</row>
    <row r="5" ht="15.75" customHeight="1">
      <c r="A5" s="1"/>
      <c r="B5" s="19">
        <v>2.0</v>
      </c>
      <c r="C5" s="23"/>
      <c r="D5" s="23"/>
      <c r="E5" s="116"/>
      <c r="F5" s="25"/>
      <c r="G5" s="11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</row>
    <row r="6" ht="15.75" customHeight="1">
      <c r="A6" s="1"/>
      <c r="B6" s="19">
        <v>3.0</v>
      </c>
      <c r="C6" s="23"/>
      <c r="D6" s="23"/>
      <c r="E6" s="116"/>
      <c r="F6" s="40"/>
      <c r="G6" s="11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</row>
    <row r="7" ht="15.75" customHeight="1">
      <c r="A7" s="1"/>
      <c r="B7" s="19">
        <v>4.0</v>
      </c>
      <c r="C7" s="23"/>
      <c r="D7" s="23"/>
      <c r="E7" s="116"/>
      <c r="F7" s="40"/>
      <c r="G7" s="11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</row>
    <row r="8" ht="15.75" customHeight="1">
      <c r="A8" s="1"/>
      <c r="B8" s="19">
        <v>5.0</v>
      </c>
      <c r="C8" s="23"/>
      <c r="D8" s="23"/>
      <c r="E8" s="119"/>
      <c r="F8" s="40"/>
      <c r="G8" s="11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</row>
    <row r="9" ht="15.75" customHeight="1">
      <c r="A9" s="1"/>
      <c r="B9" s="19">
        <v>6.0</v>
      </c>
      <c r="C9" s="23"/>
      <c r="D9" s="23"/>
      <c r="E9" s="116"/>
      <c r="F9" s="40"/>
      <c r="G9" s="11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  <c r="S9" s="115"/>
      <c r="T9" s="115"/>
      <c r="U9" s="11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F9" s="115"/>
      <c r="AG9" s="115"/>
    </row>
    <row r="10" ht="15.75" customHeight="1">
      <c r="A10" s="1"/>
      <c r="B10" s="19">
        <v>7.0</v>
      </c>
      <c r="C10" s="23"/>
      <c r="D10" s="23"/>
      <c r="E10" s="116"/>
      <c r="F10" s="40"/>
      <c r="G10" s="11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</row>
    <row r="11" ht="15.75" customHeight="1">
      <c r="A11" s="1"/>
      <c r="B11" s="19">
        <v>8.0</v>
      </c>
      <c r="C11" s="120"/>
      <c r="D11" s="23"/>
      <c r="E11" s="119"/>
      <c r="F11" s="121"/>
      <c r="G11" s="11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5"/>
      <c r="AE11" s="115"/>
      <c r="AF11" s="115"/>
      <c r="AG11" s="115"/>
    </row>
    <row r="12" ht="15.75" customHeight="1">
      <c r="A12" s="1"/>
      <c r="B12" s="19">
        <v>9.0</v>
      </c>
      <c r="C12" s="23"/>
      <c r="D12" s="23"/>
      <c r="E12" s="119"/>
      <c r="F12" s="44"/>
      <c r="G12" s="11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F12" s="115"/>
      <c r="AG12" s="115"/>
    </row>
    <row r="13" ht="15.75" customHeight="1">
      <c r="A13" s="1"/>
      <c r="B13" s="19">
        <v>10.0</v>
      </c>
      <c r="C13" s="23"/>
      <c r="D13" s="23"/>
      <c r="E13" s="19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F13" s="115"/>
      <c r="AG13" s="115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 t="s">
        <v>84</v>
      </c>
      <c r="AD24" s="115" t="s">
        <v>85</v>
      </c>
      <c r="AE24" s="115" t="s">
        <v>86</v>
      </c>
      <c r="AF24" s="115" t="s">
        <v>87</v>
      </c>
      <c r="AG24" s="115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 t="str">
        <f t="shared" ref="AC25:AC30" si="3">IF(AG25="","",IF(COUNT(L25:P25)&lt;5,"",L25/5*20+M25/5*25+N25/5*25+O25/5*15+P25/5*15))</f>
        <v/>
      </c>
      <c r="AD25" s="115" t="str">
        <f t="shared" ref="AD25:AD30" si="4">IF(AC25="","",IF(AC25&gt;=90,"Sangat Baik",IF(AC25&gt;=80,"Baik",IF(AC25&gt;=70,"Coaching","Underperform"))))</f>
        <v/>
      </c>
      <c r="AE25" s="115" t="str">
        <f t="shared" ref="AE25:AE30" si="5">IF(AG25="","",IF(OR(AG25="INDAH",AG25="ADDEL",AG25="AMEL",AG25="PENTIL",AG25="JIJANG"),"Admin/CS","Fotografer"))</f>
        <v/>
      </c>
      <c r="AF25" s="115" t="str">
        <f t="shared" ref="AF25:AF30" si="6">IF(OR(AG25="",COUNT(L25:P25)&lt;5),"",1)</f>
        <v/>
      </c>
      <c r="AG25" s="115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 t="str">
        <f t="shared" si="3"/>
        <v/>
      </c>
      <c r="AD26" s="115" t="str">
        <f t="shared" si="4"/>
        <v/>
      </c>
      <c r="AE26" s="115" t="str">
        <f t="shared" si="5"/>
        <v/>
      </c>
      <c r="AF26" s="115" t="str">
        <f t="shared" si="6"/>
        <v/>
      </c>
      <c r="AG26" s="11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 t="str">
        <f t="shared" si="3"/>
        <v/>
      </c>
      <c r="AD27" s="115" t="str">
        <f t="shared" si="4"/>
        <v/>
      </c>
      <c r="AE27" s="115" t="str">
        <f t="shared" si="5"/>
        <v/>
      </c>
      <c r="AF27" s="115" t="str">
        <f t="shared" si="6"/>
        <v/>
      </c>
      <c r="AG27" s="115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 t="str">
        <f t="shared" si="3"/>
        <v/>
      </c>
      <c r="AD28" s="115" t="str">
        <f t="shared" si="4"/>
        <v/>
      </c>
      <c r="AE28" s="115" t="str">
        <f t="shared" si="5"/>
        <v/>
      </c>
      <c r="AF28" s="115" t="str">
        <f t="shared" si="6"/>
        <v/>
      </c>
      <c r="AG28" s="115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 t="str">
        <f t="shared" si="3"/>
        <v/>
      </c>
      <c r="AD29" s="115" t="str">
        <f t="shared" si="4"/>
        <v/>
      </c>
      <c r="AE29" s="115" t="str">
        <f t="shared" si="5"/>
        <v/>
      </c>
      <c r="AF29" s="115" t="str">
        <f t="shared" si="6"/>
        <v/>
      </c>
      <c r="AG29" s="11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 t="str">
        <f t="shared" si="3"/>
        <v/>
      </c>
      <c r="AD30" s="115" t="str">
        <f t="shared" si="4"/>
        <v/>
      </c>
      <c r="AE30" s="115" t="str">
        <f t="shared" si="5"/>
        <v/>
      </c>
      <c r="AF30" s="115" t="str">
        <f t="shared" si="6"/>
        <v/>
      </c>
      <c r="AG30" s="11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</row>
    <row r="34" ht="15.75" customHeight="1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02" t="s">
        <v>7</v>
      </c>
      <c r="L34" s="102" t="s">
        <v>92</v>
      </c>
      <c r="M34" s="102" t="s">
        <v>93</v>
      </c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</row>
    <row r="35" ht="15.75" customHeight="1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04" t="str">
        <f t="shared" ref="K35:K36" si="8">IF(O18="","",O18)</f>
        <v/>
      </c>
      <c r="L35" s="105"/>
      <c r="M35" s="10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</row>
    <row r="36" ht="15.75" customHeight="1">
      <c r="A36" s="115"/>
      <c r="B36" s="115"/>
      <c r="C36" s="115"/>
      <c r="D36" s="115"/>
      <c r="E36" s="115"/>
      <c r="F36" s="115"/>
      <c r="G36" s="115"/>
      <c r="H36" s="115"/>
      <c r="I36" s="115"/>
      <c r="J36" s="115"/>
      <c r="K36" s="104" t="str">
        <f t="shared" si="8"/>
        <v/>
      </c>
      <c r="L36" s="105"/>
      <c r="M36" s="10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</row>
    <row r="37" ht="15.75" customHeight="1">
      <c r="A37" s="115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</row>
    <row r="38" ht="19.5" customHeight="1">
      <c r="A38" s="115"/>
      <c r="B38" s="115"/>
      <c r="C38" s="115"/>
      <c r="D38" s="115"/>
      <c r="E38" s="115"/>
      <c r="F38" s="115"/>
      <c r="G38" s="115"/>
      <c r="H38" s="115"/>
      <c r="I38" s="115"/>
      <c r="J38" s="115"/>
      <c r="K38" s="109" t="s">
        <v>96</v>
      </c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</row>
    <row r="39" ht="19.5" customHeight="1">
      <c r="A39" s="115"/>
      <c r="B39" s="115"/>
      <c r="C39" s="115"/>
      <c r="D39" s="115"/>
      <c r="E39" s="115"/>
      <c r="F39" s="115"/>
      <c r="G39" s="115"/>
      <c r="H39" s="115"/>
      <c r="I39" s="115"/>
      <c r="J39" s="115"/>
      <c r="K39" s="110" t="s">
        <v>97</v>
      </c>
      <c r="M39" s="10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</row>
    <row r="40" ht="19.5" customHeight="1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1" t="s">
        <v>98</v>
      </c>
      <c r="M40" s="112">
        <f>COUNTIF($I$4:$I$16,"DP")</f>
        <v>0</v>
      </c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</row>
    <row r="41" ht="19.5" customHeight="1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1" t="s">
        <v>99</v>
      </c>
      <c r="M41" s="112">
        <f>COUNTIFS($I$4:$I$16,"&lt;&gt;DP",$I$4:$I$16,"&lt;&gt;")</f>
        <v>0</v>
      </c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</row>
    <row r="42" ht="19.5" customHeight="1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3" t="s">
        <v>100</v>
      </c>
      <c r="M42" s="112">
        <f>M40+M41</f>
        <v>0</v>
      </c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</row>
    <row r="43" ht="19.5" customHeight="1">
      <c r="A43" s="115"/>
      <c r="B43" s="115"/>
      <c r="C43" s="115"/>
      <c r="D43" s="115"/>
      <c r="E43" s="115"/>
      <c r="F43" s="115"/>
      <c r="G43" s="115"/>
      <c r="H43" s="115"/>
      <c r="I43" s="115"/>
      <c r="J43" s="115"/>
      <c r="K43" s="110" t="s">
        <v>101</v>
      </c>
      <c r="M43" s="114" t="str">
        <f>IF(OR(M39="",M39=0),"",M40/M39)</f>
        <v/>
      </c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</row>
    <row r="44" ht="15.75" customHeight="1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</row>
    <row r="45" ht="15.75" customHeight="1">
      <c r="A45" s="115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</row>
    <row r="46" ht="15.75" customHeight="1">
      <c r="A46" s="115"/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</row>
    <row r="47" ht="15.75" customHeight="1">
      <c r="A47" s="115"/>
      <c r="B47" s="115"/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</row>
    <row r="48" ht="15.75" customHeight="1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</row>
    <row r="49" ht="15.75" customHeight="1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</row>
    <row r="50" ht="15.75" customHeight="1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</row>
    <row r="51" ht="15.75" customHeight="1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</row>
    <row r="52" ht="15.75" customHeight="1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</row>
    <row r="53" ht="15.75" customHeight="1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</row>
    <row r="54" ht="15.75" customHeight="1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</row>
    <row r="55" ht="15.75" customHeight="1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</row>
    <row r="56" ht="15.75" customHeight="1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</row>
    <row r="57" ht="15.75" customHeight="1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</row>
    <row r="58" ht="15.75" customHeight="1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</row>
    <row r="59" ht="15.75" customHeight="1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</row>
    <row r="60" ht="15.75" customHeight="1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</row>
    <row r="61" ht="15.75" customHeight="1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</row>
    <row r="62" ht="15.75" customHeight="1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</row>
    <row r="63" ht="15.75" customHeight="1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</row>
    <row r="64" ht="15.75" customHeight="1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</row>
    <row r="65" ht="15.75" customHeight="1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</row>
    <row r="66" ht="15.75" customHeight="1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</row>
    <row r="67" ht="15.75" customHeight="1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</row>
    <row r="68" ht="15.75" customHeight="1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</row>
    <row r="69" ht="15.75" customHeight="1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</row>
    <row r="70" ht="15.75" customHeight="1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</row>
    <row r="71" ht="15.75" customHeight="1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</row>
    <row r="72" ht="15.75" customHeight="1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</row>
    <row r="73" ht="15.75" customHeight="1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</row>
    <row r="74" ht="15.75" customHeight="1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</row>
    <row r="75" ht="15.75" customHeight="1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</row>
    <row r="76" ht="15.75" customHeight="1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</row>
    <row r="77" ht="15.75" customHeight="1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</row>
    <row r="78" ht="15.75" customHeight="1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</row>
    <row r="79" ht="15.75" customHeight="1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</row>
    <row r="80" ht="15.75" customHeight="1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</row>
    <row r="81" ht="15.75" customHeight="1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</row>
    <row r="82" ht="15.75" customHeight="1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</row>
    <row r="83" ht="15.75" customHeight="1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</row>
    <row r="84" ht="15.75" customHeight="1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</row>
    <row r="85" ht="15.75" customHeight="1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</row>
    <row r="86" ht="15.75" customHeight="1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</row>
    <row r="87" ht="15.75" customHeight="1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</row>
    <row r="88" ht="15.75" customHeight="1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</row>
    <row r="89" ht="15.75" customHeight="1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</row>
    <row r="90" ht="15.75" customHeight="1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</row>
    <row r="91" ht="15.75" customHeight="1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</row>
    <row r="92" ht="15.75" customHeight="1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</row>
    <row r="93" ht="15.75" customHeight="1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</row>
    <row r="94" ht="15.75" customHeight="1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</row>
    <row r="95" ht="15.75" customHeight="1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</row>
    <row r="96" ht="15.75" customHeight="1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</row>
    <row r="97" ht="15.75" customHeight="1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</row>
    <row r="98" ht="15.75" customHeight="1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</row>
    <row r="99" ht="15.75" customHeight="1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</row>
    <row r="100" ht="15.75" customHeight="1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</row>
    <row r="101" ht="15.75" customHeight="1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</row>
    <row r="102" ht="15.75" customHeight="1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</row>
    <row r="103" ht="15.75" customHeight="1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</row>
    <row r="104" ht="15.75" customHeight="1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</row>
    <row r="105" ht="15.75" customHeight="1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</row>
    <row r="106" ht="15.75" customHeight="1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</row>
    <row r="107" ht="15.75" customHeight="1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</row>
    <row r="108" ht="15.75" customHeight="1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</row>
    <row r="109" ht="15.75" customHeight="1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</row>
    <row r="110" ht="15.75" customHeight="1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</row>
    <row r="111" ht="15.75" customHeight="1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</row>
    <row r="112" ht="15.75" customHeight="1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</row>
    <row r="113" ht="15.75" customHeight="1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</row>
    <row r="114" ht="15.75" customHeight="1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</row>
    <row r="115" ht="15.75" customHeight="1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</row>
    <row r="116" ht="15.75" customHeight="1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</row>
    <row r="117" ht="15.75" customHeight="1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</row>
    <row r="118" ht="15.75" customHeight="1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</row>
    <row r="119" ht="15.75" customHeight="1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</row>
    <row r="120" ht="15.75" customHeight="1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</row>
    <row r="121" ht="15.75" customHeight="1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</row>
    <row r="122" ht="15.75" customHeight="1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</row>
    <row r="123" ht="15.75" customHeight="1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</row>
    <row r="124" ht="15.75" customHeight="1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</row>
    <row r="125" ht="15.75" customHeight="1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</row>
    <row r="126" ht="15.75" customHeight="1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</row>
    <row r="127" ht="15.75" customHeight="1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</row>
    <row r="128" ht="15.75" customHeight="1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</row>
    <row r="129" ht="15.75" customHeight="1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</row>
    <row r="130" ht="15.75" customHeight="1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</row>
    <row r="131" ht="15.75" customHeight="1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</row>
    <row r="132" ht="15.75" customHeight="1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</row>
    <row r="133" ht="15.75" customHeight="1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</row>
    <row r="134" ht="15.75" customHeight="1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</row>
    <row r="135" ht="15.75" customHeight="1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</row>
    <row r="136" ht="15.75" customHeight="1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</row>
    <row r="137" ht="15.75" customHeight="1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</row>
    <row r="138" ht="15.75" customHeight="1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</row>
    <row r="139" ht="15.75" customHeight="1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</row>
    <row r="140" ht="15.75" customHeight="1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</row>
    <row r="141" ht="15.75" customHeight="1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</row>
    <row r="142" ht="15.75" customHeight="1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</row>
    <row r="143" ht="15.75" customHeight="1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</row>
    <row r="144" ht="15.75" customHeight="1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</row>
    <row r="145" ht="15.75" customHeight="1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</row>
    <row r="146" ht="15.75" customHeight="1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</row>
    <row r="147" ht="15.75" customHeight="1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</row>
    <row r="148" ht="15.75" customHeight="1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</row>
    <row r="149" ht="15.75" customHeight="1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</row>
    <row r="150" ht="15.75" customHeight="1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</row>
    <row r="151" ht="15.75" customHeight="1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</row>
    <row r="152" ht="15.75" customHeight="1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</row>
    <row r="153" ht="15.75" customHeight="1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</row>
    <row r="154" ht="15.75" customHeight="1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</row>
    <row r="155" ht="15.75" customHeight="1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</row>
    <row r="156" ht="15.75" customHeight="1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</row>
    <row r="157" ht="15.75" customHeight="1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</row>
    <row r="158" ht="15.75" customHeight="1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</row>
    <row r="159" ht="15.75" customHeight="1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</row>
    <row r="160" ht="15.75" customHeight="1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</row>
    <row r="161" ht="15.75" customHeight="1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</row>
    <row r="162" ht="15.75" customHeight="1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</row>
    <row r="163" ht="15.75" customHeight="1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</row>
    <row r="164" ht="15.75" customHeight="1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</row>
    <row r="165" ht="15.75" customHeight="1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</row>
    <row r="166" ht="15.75" customHeight="1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</row>
    <row r="167" ht="15.75" customHeight="1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</row>
    <row r="168" ht="15.75" customHeight="1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</row>
    <row r="169" ht="15.75" customHeight="1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</row>
    <row r="170" ht="15.75" customHeight="1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</row>
    <row r="171" ht="15.75" customHeight="1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</row>
    <row r="172" ht="15.75" customHeight="1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</row>
    <row r="173" ht="15.75" customHeight="1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</row>
    <row r="174" ht="15.75" customHeight="1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</row>
    <row r="175" ht="15.75" customHeight="1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</row>
    <row r="176" ht="15.75" customHeight="1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</row>
    <row r="177" ht="15.75" customHeight="1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</row>
    <row r="178" ht="15.75" customHeight="1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</row>
    <row r="179" ht="15.75" customHeight="1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</row>
    <row r="180" ht="15.75" customHeight="1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</row>
    <row r="181" ht="15.75" customHeight="1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</row>
    <row r="182" ht="15.75" customHeight="1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</row>
    <row r="183" ht="15.75" customHeight="1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</row>
    <row r="184" ht="15.75" customHeight="1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</row>
    <row r="185" ht="15.75" customHeight="1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</row>
    <row r="186" ht="15.75" customHeight="1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</row>
    <row r="187" ht="15.75" customHeight="1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</row>
    <row r="188" ht="15.75" customHeight="1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</row>
    <row r="189" ht="15.75" customHeight="1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</row>
    <row r="190" ht="15.75" customHeight="1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</row>
    <row r="191" ht="15.75" customHeight="1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</row>
    <row r="192" ht="15.75" customHeight="1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</row>
    <row r="193" ht="15.75" customHeight="1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</row>
    <row r="194" ht="15.75" customHeight="1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</row>
    <row r="195" ht="15.75" customHeight="1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</row>
    <row r="196" ht="15.75" customHeight="1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</row>
    <row r="197" ht="15.75" customHeight="1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</row>
    <row r="198" ht="15.75" customHeight="1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</row>
    <row r="199" ht="15.75" customHeight="1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</row>
    <row r="200" ht="15.75" customHeight="1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</row>
    <row r="201" ht="15.75" customHeight="1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</row>
    <row r="202" ht="15.75" customHeight="1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</row>
    <row r="203" ht="15.75" customHeight="1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</row>
    <row r="204" ht="15.75" customHeight="1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</row>
    <row r="205" ht="15.75" customHeight="1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</row>
    <row r="206" ht="15.75" customHeight="1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</row>
    <row r="207" ht="15.75" customHeight="1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</row>
    <row r="208" ht="15.75" customHeight="1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</row>
    <row r="209" ht="15.75" customHeight="1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</row>
    <row r="210" ht="15.75" customHeight="1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</row>
    <row r="211" ht="15.75" customHeight="1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</row>
    <row r="212" ht="15.75" customHeight="1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</row>
    <row r="213" ht="15.75" customHeight="1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</row>
    <row r="214" ht="15.75" customHeight="1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</row>
    <row r="215" ht="15.75" customHeight="1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</row>
    <row r="216" ht="15.75" customHeight="1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</row>
    <row r="217" ht="15.75" customHeight="1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</row>
    <row r="218" ht="15.75" customHeight="1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</row>
    <row r="219" ht="15.75" customHeight="1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</row>
    <row r="220" ht="15.75" customHeight="1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</row>
    <row r="221" ht="15.75" customHeight="1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</row>
    <row r="222" ht="15.75" customHeight="1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</row>
    <row r="223" ht="15.75" customHeight="1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</row>
    <row r="224" ht="15.75" customHeight="1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</row>
    <row r="225" ht="15.75" customHeight="1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</row>
    <row r="226" ht="15.75" customHeight="1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</row>
    <row r="227" ht="15.75" customHeight="1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</row>
    <row r="228" ht="15.75" customHeight="1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</row>
    <row r="229" ht="15.75" customHeight="1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</row>
    <row r="230" ht="15.75" customHeight="1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</row>
    <row r="231" ht="15.75" customHeight="1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</row>
    <row r="232" ht="15.75" customHeight="1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</row>
    <row r="233" ht="15.75" customHeight="1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</row>
    <row r="234" ht="15.75" customHeight="1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</row>
    <row r="235" ht="15.75" customHeight="1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</row>
    <row r="236" ht="15.75" customHeight="1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</row>
    <row r="237" ht="15.75" customHeight="1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</row>
    <row r="238" ht="15.75" customHeight="1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</row>
    <row r="239" ht="15.75" customHeight="1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</row>
    <row r="240" ht="15.75" customHeight="1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</row>
    <row r="241" ht="15.75" customHeight="1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</row>
    <row r="242" ht="15.75" customHeight="1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</row>
    <row r="243" ht="15.75" customHeight="1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</row>
    <row r="244" ht="15.75" customHeight="1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</row>
    <row r="245" ht="15.75" customHeight="1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</row>
    <row r="246" ht="15.75" customHeight="1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</row>
    <row r="247" ht="15.75" customHeight="1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</row>
    <row r="248" ht="15.75" customHeight="1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</row>
    <row r="249" ht="15.75" customHeight="1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</row>
    <row r="250" ht="15.75" customHeight="1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</row>
    <row r="251" ht="15.75" customHeight="1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</row>
    <row r="252" ht="15.75" customHeight="1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</row>
    <row r="253" ht="15.75" customHeight="1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</row>
    <row r="254" ht="15.75" customHeight="1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</row>
    <row r="255" ht="15.75" customHeight="1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</row>
    <row r="256" ht="15.75" customHeight="1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</row>
    <row r="257" ht="15.75" customHeight="1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</row>
    <row r="258" ht="15.75" customHeight="1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</row>
    <row r="259" ht="15.75" customHeight="1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</row>
    <row r="260" ht="15.75" customHeight="1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</row>
    <row r="261" ht="15.75" customHeight="1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</row>
    <row r="262" ht="15.75" customHeight="1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</row>
    <row r="263" ht="15.75" customHeight="1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</row>
    <row r="264" ht="15.75" customHeight="1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</row>
    <row r="265" ht="15.75" customHeight="1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</row>
    <row r="266" ht="15.75" customHeight="1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</row>
    <row r="267" ht="15.75" customHeight="1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</row>
    <row r="268" ht="15.75" customHeight="1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</row>
    <row r="269" ht="15.75" customHeight="1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</row>
    <row r="270" ht="15.75" customHeight="1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</row>
    <row r="271" ht="15.75" customHeight="1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</row>
    <row r="272" ht="15.75" customHeight="1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</row>
    <row r="273" ht="15.75" customHeight="1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</row>
    <row r="274" ht="15.75" customHeight="1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</row>
    <row r="275" ht="15.75" customHeight="1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</row>
    <row r="276" ht="15.75" customHeight="1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</row>
    <row r="277" ht="15.75" customHeight="1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</row>
    <row r="278" ht="15.75" customHeight="1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</row>
    <row r="279" ht="15.75" customHeight="1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</row>
    <row r="280" ht="15.75" customHeight="1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</row>
    <row r="281" ht="15.75" customHeight="1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</row>
    <row r="282" ht="15.75" customHeight="1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</row>
    <row r="283" ht="15.75" customHeight="1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</row>
    <row r="284" ht="15.75" customHeight="1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</row>
    <row r="285" ht="15.75" customHeight="1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</row>
    <row r="286" ht="15.75" customHeight="1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</row>
    <row r="287" ht="15.75" customHeight="1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</row>
    <row r="288" ht="15.75" customHeight="1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</row>
    <row r="289" ht="15.75" customHeight="1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</row>
    <row r="290" ht="15.75" customHeight="1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</row>
    <row r="291" ht="15.75" customHeight="1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</row>
    <row r="292" ht="15.75" customHeight="1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</row>
    <row r="293" ht="15.75" customHeight="1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</row>
    <row r="294" ht="15.75" customHeight="1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</row>
    <row r="295" ht="15.75" customHeight="1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</row>
    <row r="296" ht="15.75" customHeight="1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</row>
    <row r="297" ht="15.75" customHeight="1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</row>
    <row r="298" ht="15.75" customHeight="1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</row>
    <row r="299" ht="15.75" customHeight="1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</row>
    <row r="300" ht="15.75" customHeight="1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</row>
    <row r="301" ht="15.75" customHeight="1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</row>
    <row r="302" ht="15.75" customHeight="1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</row>
    <row r="303" ht="15.75" customHeight="1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</row>
    <row r="304" ht="15.75" customHeight="1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</row>
    <row r="305" ht="15.75" customHeight="1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</row>
    <row r="306" ht="15.75" customHeight="1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</row>
    <row r="307" ht="15.75" customHeight="1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</row>
    <row r="308" ht="15.75" customHeight="1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</row>
    <row r="309" ht="15.75" customHeight="1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</row>
    <row r="310" ht="15.75" customHeight="1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</row>
    <row r="311" ht="15.75" customHeight="1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</row>
    <row r="312" ht="15.75" customHeight="1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</row>
    <row r="313" ht="15.75" customHeight="1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</row>
    <row r="314" ht="15.75" customHeight="1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</row>
    <row r="315" ht="15.75" customHeight="1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</row>
    <row r="316" ht="15.75" customHeight="1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</row>
    <row r="317" ht="15.75" customHeight="1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</row>
    <row r="318" ht="15.75" customHeight="1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</row>
    <row r="319" ht="15.75" customHeight="1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</row>
    <row r="320" ht="15.75" customHeight="1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</row>
    <row r="321" ht="15.75" customHeight="1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</row>
    <row r="322" ht="15.75" customHeight="1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</row>
    <row r="323" ht="15.75" customHeight="1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</row>
    <row r="324" ht="15.75" customHeight="1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</row>
    <row r="325" ht="15.75" customHeight="1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</row>
    <row r="326" ht="15.75" customHeight="1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</row>
    <row r="327" ht="15.75" customHeight="1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</row>
    <row r="328" ht="15.75" customHeight="1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</row>
    <row r="329" ht="15.75" customHeight="1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</row>
    <row r="330" ht="15.75" customHeight="1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</row>
    <row r="331" ht="15.75" customHeight="1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</row>
    <row r="332" ht="15.75" customHeight="1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</row>
    <row r="333" ht="15.75" customHeight="1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</row>
    <row r="334" ht="15.75" customHeight="1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</row>
    <row r="335" ht="15.75" customHeight="1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</row>
    <row r="336" ht="15.75" customHeight="1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</row>
    <row r="337" ht="15.75" customHeight="1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</row>
    <row r="338" ht="15.75" customHeight="1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</row>
    <row r="339" ht="15.75" customHeight="1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</row>
    <row r="340" ht="15.75" customHeight="1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</row>
    <row r="341" ht="15.75" customHeight="1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</row>
    <row r="342" ht="15.75" customHeight="1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</row>
    <row r="343" ht="15.75" customHeight="1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</row>
    <row r="344" ht="15.75" customHeight="1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</row>
    <row r="345" ht="15.75" customHeight="1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</row>
    <row r="346" ht="15.75" customHeight="1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</row>
    <row r="347" ht="15.75" customHeight="1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</row>
    <row r="348" ht="15.75" customHeight="1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</row>
    <row r="349" ht="15.75" customHeight="1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</row>
    <row r="350" ht="15.75" customHeight="1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</row>
    <row r="351" ht="15.75" customHeight="1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</row>
    <row r="352" ht="15.75" customHeight="1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</row>
    <row r="353" ht="15.75" customHeight="1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</row>
    <row r="354" ht="15.75" customHeight="1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</row>
    <row r="355" ht="15.75" customHeight="1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</row>
    <row r="356" ht="15.75" customHeight="1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</row>
    <row r="357" ht="15.75" customHeight="1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</row>
    <row r="358" ht="15.75" customHeight="1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</row>
    <row r="359" ht="15.75" customHeight="1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</row>
    <row r="360" ht="15.75" customHeight="1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</row>
    <row r="361" ht="15.75" customHeight="1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</row>
    <row r="362" ht="15.75" customHeight="1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</row>
    <row r="363" ht="15.75" customHeight="1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</row>
    <row r="364" ht="15.75" customHeight="1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</row>
    <row r="365" ht="15.75" customHeight="1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</row>
    <row r="366" ht="15.75" customHeight="1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</row>
    <row r="367" ht="15.75" customHeight="1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</row>
    <row r="368" ht="15.75" customHeight="1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</row>
    <row r="369" ht="15.75" customHeight="1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</row>
    <row r="370" ht="15.75" customHeight="1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</row>
    <row r="371" ht="15.75" customHeight="1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</row>
    <row r="372" ht="15.75" customHeight="1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</row>
    <row r="373" ht="15.75" customHeight="1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</row>
    <row r="374" ht="15.75" customHeight="1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</row>
    <row r="375" ht="15.75" customHeight="1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</row>
    <row r="376" ht="15.75" customHeight="1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</row>
    <row r="377" ht="15.75" customHeight="1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</row>
    <row r="378" ht="15.75" customHeight="1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</row>
    <row r="379" ht="15.75" customHeight="1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</row>
    <row r="380" ht="15.75" customHeight="1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</row>
    <row r="381" ht="15.75" customHeight="1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</row>
    <row r="382" ht="15.75" customHeight="1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</row>
    <row r="383" ht="15.75" customHeight="1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</row>
    <row r="384" ht="15.75" customHeight="1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</row>
    <row r="385" ht="15.75" customHeight="1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</row>
    <row r="386" ht="15.75" customHeight="1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</row>
    <row r="387" ht="15.75" customHeight="1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</row>
    <row r="388" ht="15.75" customHeight="1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</row>
    <row r="389" ht="15.75" customHeight="1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</row>
    <row r="390" ht="15.75" customHeight="1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</row>
    <row r="391" ht="15.75" customHeight="1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</row>
    <row r="392" ht="15.75" customHeight="1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</row>
    <row r="393" ht="15.75" customHeight="1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</row>
    <row r="394" ht="15.75" customHeight="1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</row>
    <row r="395" ht="15.75" customHeight="1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</row>
    <row r="396" ht="15.75" customHeight="1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</row>
    <row r="397" ht="15.75" customHeight="1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</row>
    <row r="398" ht="15.75" customHeight="1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</row>
    <row r="399" ht="15.75" customHeight="1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</row>
    <row r="400" ht="15.75" customHeight="1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</row>
    <row r="401" ht="15.75" customHeight="1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</row>
    <row r="402" ht="15.75" customHeight="1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</row>
    <row r="403" ht="15.75" customHeight="1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</row>
    <row r="404" ht="15.75" customHeight="1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</row>
    <row r="405" ht="15.75" customHeight="1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</row>
    <row r="406" ht="15.75" customHeight="1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</row>
    <row r="407" ht="15.75" customHeight="1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</row>
    <row r="408" ht="15.75" customHeight="1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</row>
    <row r="409" ht="15.75" customHeight="1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</row>
    <row r="410" ht="15.75" customHeight="1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</row>
    <row r="411" ht="15.75" customHeight="1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</row>
    <row r="412" ht="15.75" customHeight="1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</row>
    <row r="413" ht="15.75" customHeight="1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</row>
    <row r="414" ht="15.75" customHeight="1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</row>
    <row r="415" ht="15.75" customHeight="1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</row>
    <row r="416" ht="15.75" customHeight="1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</row>
    <row r="417" ht="15.75" customHeight="1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</row>
    <row r="418" ht="15.75" customHeight="1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</row>
    <row r="419" ht="15.75" customHeight="1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</row>
    <row r="420" ht="15.75" customHeight="1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</row>
    <row r="421" ht="15.75" customHeight="1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</row>
    <row r="422" ht="15.75" customHeight="1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</row>
    <row r="423" ht="15.75" customHeight="1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</row>
    <row r="424" ht="15.75" customHeight="1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</row>
    <row r="425" ht="15.75" customHeight="1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</row>
    <row r="426" ht="15.75" customHeight="1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</row>
    <row r="427" ht="15.75" customHeight="1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</row>
    <row r="428" ht="15.75" customHeight="1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</row>
    <row r="429" ht="15.75" customHeight="1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</row>
    <row r="430" ht="15.75" customHeight="1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</row>
    <row r="431" ht="15.75" customHeight="1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</row>
    <row r="432" ht="15.75" customHeight="1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</row>
    <row r="433" ht="15.75" customHeight="1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</row>
    <row r="434" ht="15.75" customHeight="1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</row>
    <row r="435" ht="15.75" customHeight="1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</row>
    <row r="436" ht="15.75" customHeight="1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</row>
    <row r="437" ht="15.75" customHeight="1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</row>
    <row r="438" ht="15.75" customHeight="1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</row>
    <row r="439" ht="15.75" customHeight="1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</row>
    <row r="440" ht="15.75" customHeight="1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</row>
    <row r="441" ht="15.75" customHeight="1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</row>
    <row r="442" ht="15.75" customHeight="1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</row>
    <row r="443" ht="15.75" customHeight="1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</row>
    <row r="444" ht="15.75" customHeight="1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</row>
    <row r="445" ht="15.75" customHeight="1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</row>
    <row r="446" ht="15.75" customHeight="1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</row>
    <row r="447" ht="15.75" customHeight="1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</row>
    <row r="448" ht="15.75" customHeight="1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</row>
    <row r="449" ht="15.75" customHeight="1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</row>
    <row r="450" ht="15.75" customHeight="1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</row>
    <row r="451" ht="15.75" customHeight="1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</row>
    <row r="452" ht="15.75" customHeight="1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</row>
    <row r="453" ht="15.75" customHeight="1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</row>
    <row r="454" ht="15.75" customHeight="1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</row>
    <row r="455" ht="15.75" customHeight="1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</row>
    <row r="456" ht="15.75" customHeight="1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</row>
    <row r="457" ht="15.75" customHeight="1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</row>
    <row r="458" ht="15.75" customHeight="1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</row>
    <row r="459" ht="15.75" customHeight="1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</row>
    <row r="460" ht="15.75" customHeight="1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</row>
    <row r="461" ht="15.75" customHeight="1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</row>
    <row r="462" ht="15.75" customHeight="1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</row>
    <row r="463" ht="15.75" customHeight="1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</row>
    <row r="464" ht="15.75" customHeight="1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</row>
    <row r="465" ht="15.75" customHeight="1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</row>
    <row r="466" ht="15.75" customHeight="1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</row>
    <row r="467" ht="15.75" customHeight="1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</row>
    <row r="468" ht="15.75" customHeight="1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</row>
    <row r="469" ht="15.75" customHeight="1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</row>
    <row r="470" ht="15.75" customHeight="1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</row>
    <row r="471" ht="15.75" customHeight="1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</row>
    <row r="472" ht="15.75" customHeight="1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</row>
    <row r="473" ht="15.75" customHeight="1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</row>
    <row r="474" ht="15.75" customHeight="1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</row>
    <row r="475" ht="15.75" customHeight="1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</row>
    <row r="476" ht="15.75" customHeight="1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</row>
    <row r="477" ht="15.75" customHeight="1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</row>
    <row r="478" ht="15.75" customHeight="1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</row>
    <row r="479" ht="15.75" customHeight="1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</row>
    <row r="480" ht="15.75" customHeight="1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</row>
    <row r="481" ht="15.75" customHeight="1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</row>
    <row r="482" ht="15.75" customHeight="1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</row>
    <row r="483" ht="15.75" customHeight="1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</row>
    <row r="484" ht="15.75" customHeight="1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</row>
    <row r="485" ht="15.75" customHeight="1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</row>
    <row r="486" ht="15.75" customHeight="1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</row>
    <row r="487" ht="15.75" customHeight="1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</row>
    <row r="488" ht="15.75" customHeight="1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</row>
    <row r="489" ht="15.75" customHeight="1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</row>
    <row r="490" ht="15.75" customHeight="1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</row>
    <row r="491" ht="15.75" customHeight="1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</row>
    <row r="492" ht="15.75" customHeight="1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</row>
    <row r="493" ht="15.75" customHeight="1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</row>
    <row r="494" ht="15.75" customHeight="1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</row>
    <row r="495" ht="15.75" customHeight="1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</row>
    <row r="496" ht="15.75" customHeight="1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</row>
    <row r="497" ht="15.75" customHeight="1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</row>
    <row r="498" ht="15.75" customHeight="1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</row>
    <row r="499" ht="15.75" customHeight="1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</row>
    <row r="500" ht="15.75" customHeight="1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</row>
    <row r="501" ht="15.75" customHeight="1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</row>
    <row r="502" ht="15.75" customHeight="1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</row>
    <row r="503" ht="15.75" customHeight="1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</row>
    <row r="504" ht="15.75" customHeight="1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</row>
    <row r="505" ht="15.75" customHeight="1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</row>
    <row r="506" ht="15.75" customHeight="1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</row>
    <row r="507" ht="15.75" customHeight="1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</row>
    <row r="508" ht="15.75" customHeight="1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</row>
    <row r="509" ht="15.75" customHeight="1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  <c r="AA509" s="115"/>
      <c r="AB509" s="115"/>
      <c r="AC509" s="115"/>
      <c r="AD509" s="115"/>
      <c r="AE509" s="115"/>
      <c r="AF509" s="115"/>
      <c r="AG509" s="115"/>
    </row>
    <row r="510" ht="15.75" customHeight="1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  <c r="AA510" s="115"/>
      <c r="AB510" s="115"/>
      <c r="AC510" s="115"/>
      <c r="AD510" s="115"/>
      <c r="AE510" s="115"/>
      <c r="AF510" s="115"/>
      <c r="AG510" s="115"/>
    </row>
    <row r="511" ht="15.75" customHeight="1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  <c r="AA511" s="115"/>
      <c r="AB511" s="115"/>
      <c r="AC511" s="115"/>
      <c r="AD511" s="115"/>
      <c r="AE511" s="115"/>
      <c r="AF511" s="115"/>
      <c r="AG511" s="115"/>
    </row>
    <row r="512" ht="15.75" customHeight="1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  <c r="AA512" s="115"/>
      <c r="AB512" s="115"/>
      <c r="AC512" s="115"/>
      <c r="AD512" s="115"/>
      <c r="AE512" s="115"/>
      <c r="AF512" s="115"/>
      <c r="AG512" s="115"/>
    </row>
    <row r="513" ht="15.75" customHeight="1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  <c r="AA513" s="115"/>
      <c r="AB513" s="115"/>
      <c r="AC513" s="115"/>
      <c r="AD513" s="115"/>
      <c r="AE513" s="115"/>
      <c r="AF513" s="115"/>
      <c r="AG513" s="115"/>
    </row>
    <row r="514" ht="15.75" customHeight="1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  <c r="AA514" s="115"/>
      <c r="AB514" s="115"/>
      <c r="AC514" s="115"/>
      <c r="AD514" s="115"/>
      <c r="AE514" s="115"/>
      <c r="AF514" s="115"/>
      <c r="AG514" s="115"/>
    </row>
    <row r="515" ht="15.75" customHeight="1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  <c r="AA515" s="115"/>
      <c r="AB515" s="115"/>
      <c r="AC515" s="115"/>
      <c r="AD515" s="115"/>
      <c r="AE515" s="115"/>
      <c r="AF515" s="115"/>
      <c r="AG515" s="115"/>
    </row>
    <row r="516" ht="15.75" customHeight="1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  <c r="AA516" s="115"/>
      <c r="AB516" s="115"/>
      <c r="AC516" s="115"/>
      <c r="AD516" s="115"/>
      <c r="AE516" s="115"/>
      <c r="AF516" s="115"/>
      <c r="AG516" s="115"/>
    </row>
    <row r="517" ht="15.75" customHeight="1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  <c r="AA517" s="115"/>
      <c r="AB517" s="115"/>
      <c r="AC517" s="115"/>
      <c r="AD517" s="115"/>
      <c r="AE517" s="115"/>
      <c r="AF517" s="115"/>
      <c r="AG517" s="115"/>
    </row>
    <row r="518" ht="15.75" customHeight="1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  <c r="AA518" s="115"/>
      <c r="AB518" s="115"/>
      <c r="AC518" s="115"/>
      <c r="AD518" s="115"/>
      <c r="AE518" s="115"/>
      <c r="AF518" s="115"/>
      <c r="AG518" s="115"/>
    </row>
    <row r="519" ht="15.75" customHeight="1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  <c r="AA519" s="115"/>
      <c r="AB519" s="115"/>
      <c r="AC519" s="115"/>
      <c r="AD519" s="115"/>
      <c r="AE519" s="115"/>
      <c r="AF519" s="115"/>
      <c r="AG519" s="115"/>
    </row>
    <row r="520" ht="15.75" customHeight="1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  <c r="AA520" s="115"/>
      <c r="AB520" s="115"/>
      <c r="AC520" s="115"/>
      <c r="AD520" s="115"/>
      <c r="AE520" s="115"/>
      <c r="AF520" s="115"/>
      <c r="AG520" s="115"/>
    </row>
    <row r="521" ht="15.75" customHeight="1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  <c r="AA521" s="115"/>
      <c r="AB521" s="115"/>
      <c r="AC521" s="115"/>
      <c r="AD521" s="115"/>
      <c r="AE521" s="115"/>
      <c r="AF521" s="115"/>
      <c r="AG521" s="115"/>
    </row>
    <row r="522" ht="15.75" customHeight="1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  <c r="AA522" s="115"/>
      <c r="AB522" s="115"/>
      <c r="AC522" s="115"/>
      <c r="AD522" s="115"/>
      <c r="AE522" s="115"/>
      <c r="AF522" s="115"/>
      <c r="AG522" s="115"/>
    </row>
    <row r="523" ht="15.75" customHeight="1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  <c r="AA523" s="115"/>
      <c r="AB523" s="115"/>
      <c r="AC523" s="115"/>
      <c r="AD523" s="115"/>
      <c r="AE523" s="115"/>
      <c r="AF523" s="115"/>
      <c r="AG523" s="115"/>
    </row>
    <row r="524" ht="15.75" customHeight="1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  <c r="AA524" s="115"/>
      <c r="AB524" s="115"/>
      <c r="AC524" s="115"/>
      <c r="AD524" s="115"/>
      <c r="AE524" s="115"/>
      <c r="AF524" s="115"/>
      <c r="AG524" s="115"/>
    </row>
    <row r="525" ht="15.75" customHeight="1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  <c r="AA525" s="115"/>
      <c r="AB525" s="115"/>
      <c r="AC525" s="115"/>
      <c r="AD525" s="115"/>
      <c r="AE525" s="115"/>
      <c r="AF525" s="115"/>
      <c r="AG525" s="115"/>
    </row>
    <row r="526" ht="15.75" customHeight="1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  <c r="AA526" s="115"/>
      <c r="AB526" s="115"/>
      <c r="AC526" s="115"/>
      <c r="AD526" s="115"/>
      <c r="AE526" s="115"/>
      <c r="AF526" s="115"/>
      <c r="AG526" s="115"/>
    </row>
    <row r="527" ht="15.75" customHeight="1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  <c r="AA527" s="115"/>
      <c r="AB527" s="115"/>
      <c r="AC527" s="115"/>
      <c r="AD527" s="115"/>
      <c r="AE527" s="115"/>
      <c r="AF527" s="115"/>
      <c r="AG527" s="115"/>
    </row>
    <row r="528" ht="15.75" customHeight="1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  <c r="AA528" s="115"/>
      <c r="AB528" s="115"/>
      <c r="AC528" s="115"/>
      <c r="AD528" s="115"/>
      <c r="AE528" s="115"/>
      <c r="AF528" s="115"/>
      <c r="AG528" s="115"/>
    </row>
    <row r="529" ht="15.75" customHeight="1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  <c r="AA529" s="115"/>
      <c r="AB529" s="115"/>
      <c r="AC529" s="115"/>
      <c r="AD529" s="115"/>
      <c r="AE529" s="115"/>
      <c r="AF529" s="115"/>
      <c r="AG529" s="115"/>
    </row>
    <row r="530" ht="15.75" customHeight="1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  <c r="AA530" s="115"/>
      <c r="AB530" s="115"/>
      <c r="AC530" s="115"/>
      <c r="AD530" s="115"/>
      <c r="AE530" s="115"/>
      <c r="AF530" s="115"/>
      <c r="AG530" s="115"/>
    </row>
    <row r="531" ht="15.75" customHeight="1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  <c r="AA531" s="115"/>
      <c r="AB531" s="115"/>
      <c r="AC531" s="115"/>
      <c r="AD531" s="115"/>
      <c r="AE531" s="115"/>
      <c r="AF531" s="115"/>
      <c r="AG531" s="115"/>
    </row>
    <row r="532" ht="15.75" customHeight="1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  <c r="AA532" s="115"/>
      <c r="AB532" s="115"/>
      <c r="AC532" s="115"/>
      <c r="AD532" s="115"/>
      <c r="AE532" s="115"/>
      <c r="AF532" s="115"/>
      <c r="AG532" s="115"/>
    </row>
    <row r="533" ht="15.75" customHeight="1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  <c r="AA533" s="115"/>
      <c r="AB533" s="115"/>
      <c r="AC533" s="115"/>
      <c r="AD533" s="115"/>
      <c r="AE533" s="115"/>
      <c r="AF533" s="115"/>
      <c r="AG533" s="115"/>
    </row>
    <row r="534" ht="15.75" customHeight="1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  <c r="AA534" s="115"/>
      <c r="AB534" s="115"/>
      <c r="AC534" s="115"/>
      <c r="AD534" s="115"/>
      <c r="AE534" s="115"/>
      <c r="AF534" s="115"/>
      <c r="AG534" s="115"/>
    </row>
    <row r="535" ht="15.75" customHeight="1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  <c r="AA535" s="115"/>
      <c r="AB535" s="115"/>
      <c r="AC535" s="115"/>
      <c r="AD535" s="115"/>
      <c r="AE535" s="115"/>
      <c r="AF535" s="115"/>
      <c r="AG535" s="115"/>
    </row>
    <row r="536" ht="15.75" customHeight="1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  <c r="AA536" s="115"/>
      <c r="AB536" s="115"/>
      <c r="AC536" s="115"/>
      <c r="AD536" s="115"/>
      <c r="AE536" s="115"/>
      <c r="AF536" s="115"/>
      <c r="AG536" s="115"/>
    </row>
    <row r="537" ht="15.75" customHeight="1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  <c r="AA537" s="115"/>
      <c r="AB537" s="115"/>
      <c r="AC537" s="115"/>
      <c r="AD537" s="115"/>
      <c r="AE537" s="115"/>
      <c r="AF537" s="115"/>
      <c r="AG537" s="115"/>
    </row>
    <row r="538" ht="15.75" customHeight="1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  <c r="AA538" s="115"/>
      <c r="AB538" s="115"/>
      <c r="AC538" s="115"/>
      <c r="AD538" s="115"/>
      <c r="AE538" s="115"/>
      <c r="AF538" s="115"/>
      <c r="AG538" s="115"/>
    </row>
    <row r="539" ht="15.75" customHeight="1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  <c r="AA539" s="115"/>
      <c r="AB539" s="115"/>
      <c r="AC539" s="115"/>
      <c r="AD539" s="115"/>
      <c r="AE539" s="115"/>
      <c r="AF539" s="115"/>
      <c r="AG539" s="115"/>
    </row>
    <row r="540" ht="15.75" customHeight="1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  <c r="AA540" s="115"/>
      <c r="AB540" s="115"/>
      <c r="AC540" s="115"/>
      <c r="AD540" s="115"/>
      <c r="AE540" s="115"/>
      <c r="AF540" s="115"/>
      <c r="AG540" s="115"/>
    </row>
    <row r="541" ht="15.75" customHeight="1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  <c r="AA541" s="115"/>
      <c r="AB541" s="115"/>
      <c r="AC541" s="115"/>
      <c r="AD541" s="115"/>
      <c r="AE541" s="115"/>
      <c r="AF541" s="115"/>
      <c r="AG541" s="115"/>
    </row>
    <row r="542" ht="15.75" customHeight="1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  <c r="AA542" s="115"/>
      <c r="AB542" s="115"/>
      <c r="AC542" s="115"/>
      <c r="AD542" s="115"/>
      <c r="AE542" s="115"/>
      <c r="AF542" s="115"/>
      <c r="AG542" s="115"/>
    </row>
    <row r="543" ht="15.75" customHeight="1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  <c r="AA543" s="115"/>
      <c r="AB543" s="115"/>
      <c r="AC543" s="115"/>
      <c r="AD543" s="115"/>
      <c r="AE543" s="115"/>
      <c r="AF543" s="115"/>
      <c r="AG543" s="115"/>
    </row>
    <row r="544" ht="15.75" customHeight="1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  <c r="AA544" s="115"/>
      <c r="AB544" s="115"/>
      <c r="AC544" s="115"/>
      <c r="AD544" s="115"/>
      <c r="AE544" s="115"/>
      <c r="AF544" s="115"/>
      <c r="AG544" s="115"/>
    </row>
    <row r="545" ht="15.75" customHeight="1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  <c r="AA545" s="115"/>
      <c r="AB545" s="115"/>
      <c r="AC545" s="115"/>
      <c r="AD545" s="115"/>
      <c r="AE545" s="115"/>
      <c r="AF545" s="115"/>
      <c r="AG545" s="115"/>
    </row>
    <row r="546" ht="15.75" customHeight="1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  <c r="AA546" s="115"/>
      <c r="AB546" s="115"/>
      <c r="AC546" s="115"/>
      <c r="AD546" s="115"/>
      <c r="AE546" s="115"/>
      <c r="AF546" s="115"/>
      <c r="AG546" s="115"/>
    </row>
    <row r="547" ht="15.75" customHeight="1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  <c r="AA547" s="115"/>
      <c r="AB547" s="115"/>
      <c r="AC547" s="115"/>
      <c r="AD547" s="115"/>
      <c r="AE547" s="115"/>
      <c r="AF547" s="115"/>
      <c r="AG547" s="115"/>
    </row>
    <row r="548" ht="15.75" customHeight="1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  <c r="AA548" s="115"/>
      <c r="AB548" s="115"/>
      <c r="AC548" s="115"/>
      <c r="AD548" s="115"/>
      <c r="AE548" s="115"/>
      <c r="AF548" s="115"/>
      <c r="AG548" s="115"/>
    </row>
    <row r="549" ht="15.75" customHeight="1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  <c r="AA549" s="115"/>
      <c r="AB549" s="115"/>
      <c r="AC549" s="115"/>
      <c r="AD549" s="115"/>
      <c r="AE549" s="115"/>
      <c r="AF549" s="115"/>
      <c r="AG549" s="115"/>
    </row>
    <row r="550" ht="15.75" customHeight="1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  <c r="AA550" s="115"/>
      <c r="AB550" s="115"/>
      <c r="AC550" s="115"/>
      <c r="AD550" s="115"/>
      <c r="AE550" s="115"/>
      <c r="AF550" s="115"/>
      <c r="AG550" s="115"/>
    </row>
    <row r="551" ht="15.75" customHeight="1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  <c r="AA551" s="115"/>
      <c r="AB551" s="115"/>
      <c r="AC551" s="115"/>
      <c r="AD551" s="115"/>
      <c r="AE551" s="115"/>
      <c r="AF551" s="115"/>
      <c r="AG551" s="115"/>
    </row>
    <row r="552" ht="15.75" customHeight="1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  <c r="AA552" s="115"/>
      <c r="AB552" s="115"/>
      <c r="AC552" s="115"/>
      <c r="AD552" s="115"/>
      <c r="AE552" s="115"/>
      <c r="AF552" s="115"/>
      <c r="AG552" s="115"/>
    </row>
    <row r="553" ht="15.75" customHeight="1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  <c r="AA553" s="115"/>
      <c r="AB553" s="115"/>
      <c r="AC553" s="115"/>
      <c r="AD553" s="115"/>
      <c r="AE553" s="115"/>
      <c r="AF553" s="115"/>
      <c r="AG553" s="115"/>
    </row>
    <row r="554" ht="15.75" customHeight="1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  <c r="AA554" s="115"/>
      <c r="AB554" s="115"/>
      <c r="AC554" s="115"/>
      <c r="AD554" s="115"/>
      <c r="AE554" s="115"/>
      <c r="AF554" s="115"/>
      <c r="AG554" s="115"/>
    </row>
    <row r="555" ht="15.75" customHeight="1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  <c r="AA555" s="115"/>
      <c r="AB555" s="115"/>
      <c r="AC555" s="115"/>
      <c r="AD555" s="115"/>
      <c r="AE555" s="115"/>
      <c r="AF555" s="115"/>
      <c r="AG555" s="115"/>
    </row>
    <row r="556" ht="15.75" customHeight="1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  <c r="AA556" s="115"/>
      <c r="AB556" s="115"/>
      <c r="AC556" s="115"/>
      <c r="AD556" s="115"/>
      <c r="AE556" s="115"/>
      <c r="AF556" s="115"/>
      <c r="AG556" s="115"/>
    </row>
    <row r="557" ht="15.75" customHeight="1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  <c r="AA557" s="115"/>
      <c r="AB557" s="115"/>
      <c r="AC557" s="115"/>
      <c r="AD557" s="115"/>
      <c r="AE557" s="115"/>
      <c r="AF557" s="115"/>
      <c r="AG557" s="115"/>
    </row>
    <row r="558" ht="15.75" customHeight="1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  <c r="AA558" s="115"/>
      <c r="AB558" s="115"/>
      <c r="AC558" s="115"/>
      <c r="AD558" s="115"/>
      <c r="AE558" s="115"/>
      <c r="AF558" s="115"/>
      <c r="AG558" s="115"/>
    </row>
    <row r="559" ht="15.75" customHeight="1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  <c r="AA559" s="115"/>
      <c r="AB559" s="115"/>
      <c r="AC559" s="115"/>
      <c r="AD559" s="115"/>
      <c r="AE559" s="115"/>
      <c r="AF559" s="115"/>
      <c r="AG559" s="115"/>
    </row>
    <row r="560" ht="15.75" customHeight="1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  <c r="AA560" s="115"/>
      <c r="AB560" s="115"/>
      <c r="AC560" s="115"/>
      <c r="AD560" s="115"/>
      <c r="AE560" s="115"/>
      <c r="AF560" s="115"/>
      <c r="AG560" s="115"/>
    </row>
    <row r="561" ht="15.75" customHeight="1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  <c r="AA561" s="115"/>
      <c r="AB561" s="115"/>
      <c r="AC561" s="115"/>
      <c r="AD561" s="115"/>
      <c r="AE561" s="115"/>
      <c r="AF561" s="115"/>
      <c r="AG561" s="115"/>
    </row>
    <row r="562" ht="15.75" customHeight="1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  <c r="AA562" s="115"/>
      <c r="AB562" s="115"/>
      <c r="AC562" s="115"/>
      <c r="AD562" s="115"/>
      <c r="AE562" s="115"/>
      <c r="AF562" s="115"/>
      <c r="AG562" s="115"/>
    </row>
    <row r="563" ht="15.75" customHeight="1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  <c r="AA563" s="115"/>
      <c r="AB563" s="115"/>
      <c r="AC563" s="115"/>
      <c r="AD563" s="115"/>
      <c r="AE563" s="115"/>
      <c r="AF563" s="115"/>
      <c r="AG563" s="115"/>
    </row>
    <row r="564" ht="15.75" customHeight="1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  <c r="AA564" s="115"/>
      <c r="AB564" s="115"/>
      <c r="AC564" s="115"/>
      <c r="AD564" s="115"/>
      <c r="AE564" s="115"/>
      <c r="AF564" s="115"/>
      <c r="AG564" s="115"/>
    </row>
    <row r="565" ht="15.75" customHeight="1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  <c r="AA565" s="115"/>
      <c r="AB565" s="115"/>
      <c r="AC565" s="115"/>
      <c r="AD565" s="115"/>
      <c r="AE565" s="115"/>
      <c r="AF565" s="115"/>
      <c r="AG565" s="115"/>
    </row>
    <row r="566" ht="15.75" customHeight="1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  <c r="AA566" s="115"/>
      <c r="AB566" s="115"/>
      <c r="AC566" s="115"/>
      <c r="AD566" s="115"/>
      <c r="AE566" s="115"/>
      <c r="AF566" s="115"/>
      <c r="AG566" s="115"/>
    </row>
    <row r="567" ht="15.75" customHeight="1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  <c r="AA567" s="115"/>
      <c r="AB567" s="115"/>
      <c r="AC567" s="115"/>
      <c r="AD567" s="115"/>
      <c r="AE567" s="115"/>
      <c r="AF567" s="115"/>
      <c r="AG567" s="115"/>
    </row>
    <row r="568" ht="15.75" customHeight="1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  <c r="AA568" s="115"/>
      <c r="AB568" s="115"/>
      <c r="AC568" s="115"/>
      <c r="AD568" s="115"/>
      <c r="AE568" s="115"/>
      <c r="AF568" s="115"/>
      <c r="AG568" s="115"/>
    </row>
    <row r="569" ht="15.75" customHeight="1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  <c r="AA569" s="115"/>
      <c r="AB569" s="115"/>
      <c r="AC569" s="115"/>
      <c r="AD569" s="115"/>
      <c r="AE569" s="115"/>
      <c r="AF569" s="115"/>
      <c r="AG569" s="115"/>
    </row>
    <row r="570" ht="15.75" customHeight="1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  <c r="AA570" s="115"/>
      <c r="AB570" s="115"/>
      <c r="AC570" s="115"/>
      <c r="AD570" s="115"/>
      <c r="AE570" s="115"/>
      <c r="AF570" s="115"/>
      <c r="AG570" s="115"/>
    </row>
    <row r="571" ht="15.75" customHeight="1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  <c r="AA571" s="115"/>
      <c r="AB571" s="115"/>
      <c r="AC571" s="115"/>
      <c r="AD571" s="115"/>
      <c r="AE571" s="115"/>
      <c r="AF571" s="115"/>
      <c r="AG571" s="115"/>
    </row>
    <row r="572" ht="15.75" customHeight="1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  <c r="AA572" s="115"/>
      <c r="AB572" s="115"/>
      <c r="AC572" s="115"/>
      <c r="AD572" s="115"/>
      <c r="AE572" s="115"/>
      <c r="AF572" s="115"/>
      <c r="AG572" s="115"/>
    </row>
    <row r="573" ht="15.75" customHeight="1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  <c r="AA573" s="115"/>
      <c r="AB573" s="115"/>
      <c r="AC573" s="115"/>
      <c r="AD573" s="115"/>
      <c r="AE573" s="115"/>
      <c r="AF573" s="115"/>
      <c r="AG573" s="115"/>
    </row>
    <row r="574" ht="15.75" customHeight="1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  <c r="AA574" s="115"/>
      <c r="AB574" s="115"/>
      <c r="AC574" s="115"/>
      <c r="AD574" s="115"/>
      <c r="AE574" s="115"/>
      <c r="AF574" s="115"/>
      <c r="AG574" s="115"/>
    </row>
    <row r="575" ht="15.75" customHeight="1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  <c r="AA575" s="115"/>
      <c r="AB575" s="115"/>
      <c r="AC575" s="115"/>
      <c r="AD575" s="115"/>
      <c r="AE575" s="115"/>
      <c r="AF575" s="115"/>
      <c r="AG575" s="115"/>
    </row>
    <row r="576" ht="15.75" customHeight="1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  <c r="AA576" s="115"/>
      <c r="AB576" s="115"/>
      <c r="AC576" s="115"/>
      <c r="AD576" s="115"/>
      <c r="AE576" s="115"/>
      <c r="AF576" s="115"/>
      <c r="AG576" s="115"/>
    </row>
    <row r="577" ht="15.75" customHeight="1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  <c r="AA577" s="115"/>
      <c r="AB577" s="115"/>
      <c r="AC577" s="115"/>
      <c r="AD577" s="115"/>
      <c r="AE577" s="115"/>
      <c r="AF577" s="115"/>
      <c r="AG577" s="115"/>
    </row>
    <row r="578" ht="15.75" customHeight="1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  <c r="AA578" s="115"/>
      <c r="AB578" s="115"/>
      <c r="AC578" s="115"/>
      <c r="AD578" s="115"/>
      <c r="AE578" s="115"/>
      <c r="AF578" s="115"/>
      <c r="AG578" s="115"/>
    </row>
    <row r="579" ht="15.75" customHeight="1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  <c r="AA579" s="115"/>
      <c r="AB579" s="115"/>
      <c r="AC579" s="115"/>
      <c r="AD579" s="115"/>
      <c r="AE579" s="115"/>
      <c r="AF579" s="115"/>
      <c r="AG579" s="115"/>
    </row>
    <row r="580" ht="15.75" customHeight="1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  <c r="AA580" s="115"/>
      <c r="AB580" s="115"/>
      <c r="AC580" s="115"/>
      <c r="AD580" s="115"/>
      <c r="AE580" s="115"/>
      <c r="AF580" s="115"/>
      <c r="AG580" s="115"/>
    </row>
    <row r="581" ht="15.75" customHeight="1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  <c r="AA581" s="115"/>
      <c r="AB581" s="115"/>
      <c r="AC581" s="115"/>
      <c r="AD581" s="115"/>
      <c r="AE581" s="115"/>
      <c r="AF581" s="115"/>
      <c r="AG581" s="115"/>
    </row>
    <row r="582" ht="15.75" customHeight="1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  <c r="AA582" s="115"/>
      <c r="AB582" s="115"/>
      <c r="AC582" s="115"/>
      <c r="AD582" s="115"/>
      <c r="AE582" s="115"/>
      <c r="AF582" s="115"/>
      <c r="AG582" s="115"/>
    </row>
    <row r="583" ht="15.75" customHeight="1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  <c r="AA583" s="115"/>
      <c r="AB583" s="115"/>
      <c r="AC583" s="115"/>
      <c r="AD583" s="115"/>
      <c r="AE583" s="115"/>
      <c r="AF583" s="115"/>
      <c r="AG583" s="115"/>
    </row>
    <row r="584" ht="15.75" customHeight="1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  <c r="AA584" s="115"/>
      <c r="AB584" s="115"/>
      <c r="AC584" s="115"/>
      <c r="AD584" s="115"/>
      <c r="AE584" s="115"/>
      <c r="AF584" s="115"/>
      <c r="AG584" s="115"/>
    </row>
    <row r="585" ht="15.75" customHeight="1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  <c r="AA585" s="115"/>
      <c r="AB585" s="115"/>
      <c r="AC585" s="115"/>
      <c r="AD585" s="115"/>
      <c r="AE585" s="115"/>
      <c r="AF585" s="115"/>
      <c r="AG585" s="115"/>
    </row>
    <row r="586" ht="15.75" customHeight="1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  <c r="AA586" s="115"/>
      <c r="AB586" s="115"/>
      <c r="AC586" s="115"/>
      <c r="AD586" s="115"/>
      <c r="AE586" s="115"/>
      <c r="AF586" s="115"/>
      <c r="AG586" s="115"/>
    </row>
    <row r="587" ht="15.75" customHeight="1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  <c r="AA587" s="115"/>
      <c r="AB587" s="115"/>
      <c r="AC587" s="115"/>
      <c r="AD587" s="115"/>
      <c r="AE587" s="115"/>
      <c r="AF587" s="115"/>
      <c r="AG587" s="115"/>
    </row>
    <row r="588" ht="15.75" customHeight="1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  <c r="AA588" s="115"/>
      <c r="AB588" s="115"/>
      <c r="AC588" s="115"/>
      <c r="AD588" s="115"/>
      <c r="AE588" s="115"/>
      <c r="AF588" s="115"/>
      <c r="AG588" s="115"/>
    </row>
    <row r="589" ht="15.75" customHeight="1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  <c r="AA589" s="115"/>
      <c r="AB589" s="115"/>
      <c r="AC589" s="115"/>
      <c r="AD589" s="115"/>
      <c r="AE589" s="115"/>
      <c r="AF589" s="115"/>
      <c r="AG589" s="115"/>
    </row>
    <row r="590" ht="15.75" customHeight="1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  <c r="AA590" s="115"/>
      <c r="AB590" s="115"/>
      <c r="AC590" s="115"/>
      <c r="AD590" s="115"/>
      <c r="AE590" s="115"/>
      <c r="AF590" s="115"/>
      <c r="AG590" s="115"/>
    </row>
    <row r="591" ht="15.75" customHeight="1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  <c r="AA591" s="115"/>
      <c r="AB591" s="115"/>
      <c r="AC591" s="115"/>
      <c r="AD591" s="115"/>
      <c r="AE591" s="115"/>
      <c r="AF591" s="115"/>
      <c r="AG591" s="115"/>
    </row>
    <row r="592" ht="15.75" customHeight="1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  <c r="AA592" s="115"/>
      <c r="AB592" s="115"/>
      <c r="AC592" s="115"/>
      <c r="AD592" s="115"/>
      <c r="AE592" s="115"/>
      <c r="AF592" s="115"/>
      <c r="AG592" s="115"/>
    </row>
    <row r="593" ht="15.75" customHeight="1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  <c r="AA593" s="115"/>
      <c r="AB593" s="115"/>
      <c r="AC593" s="115"/>
      <c r="AD593" s="115"/>
      <c r="AE593" s="115"/>
      <c r="AF593" s="115"/>
      <c r="AG593" s="115"/>
    </row>
    <row r="594" ht="15.75" customHeight="1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  <c r="AA594" s="115"/>
      <c r="AB594" s="115"/>
      <c r="AC594" s="115"/>
      <c r="AD594" s="115"/>
      <c r="AE594" s="115"/>
      <c r="AF594" s="115"/>
      <c r="AG594" s="115"/>
    </row>
    <row r="595" ht="15.75" customHeight="1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  <c r="AA595" s="115"/>
      <c r="AB595" s="115"/>
      <c r="AC595" s="115"/>
      <c r="AD595" s="115"/>
      <c r="AE595" s="115"/>
      <c r="AF595" s="115"/>
      <c r="AG595" s="115"/>
    </row>
    <row r="596" ht="15.75" customHeight="1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  <c r="AA596" s="115"/>
      <c r="AB596" s="115"/>
      <c r="AC596" s="115"/>
      <c r="AD596" s="115"/>
      <c r="AE596" s="115"/>
      <c r="AF596" s="115"/>
      <c r="AG596" s="115"/>
    </row>
    <row r="597" ht="15.75" customHeight="1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  <c r="AA597" s="115"/>
      <c r="AB597" s="115"/>
      <c r="AC597" s="115"/>
      <c r="AD597" s="115"/>
      <c r="AE597" s="115"/>
      <c r="AF597" s="115"/>
      <c r="AG597" s="115"/>
    </row>
    <row r="598" ht="15.75" customHeight="1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  <c r="AA598" s="115"/>
      <c r="AB598" s="115"/>
      <c r="AC598" s="115"/>
      <c r="AD598" s="115"/>
      <c r="AE598" s="115"/>
      <c r="AF598" s="115"/>
      <c r="AG598" s="115"/>
    </row>
    <row r="599" ht="15.75" customHeight="1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  <c r="AA599" s="115"/>
      <c r="AB599" s="115"/>
      <c r="AC599" s="115"/>
      <c r="AD599" s="115"/>
      <c r="AE599" s="115"/>
      <c r="AF599" s="115"/>
      <c r="AG599" s="115"/>
    </row>
    <row r="600" ht="15.75" customHeight="1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  <c r="AA600" s="115"/>
      <c r="AB600" s="115"/>
      <c r="AC600" s="115"/>
      <c r="AD600" s="115"/>
      <c r="AE600" s="115"/>
      <c r="AF600" s="115"/>
      <c r="AG600" s="115"/>
    </row>
    <row r="601" ht="15.75" customHeight="1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  <c r="AA601" s="115"/>
      <c r="AB601" s="115"/>
      <c r="AC601" s="115"/>
      <c r="AD601" s="115"/>
      <c r="AE601" s="115"/>
      <c r="AF601" s="115"/>
      <c r="AG601" s="115"/>
    </row>
    <row r="602" ht="15.75" customHeight="1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  <c r="AA602" s="115"/>
      <c r="AB602" s="115"/>
      <c r="AC602" s="115"/>
      <c r="AD602" s="115"/>
      <c r="AE602" s="115"/>
      <c r="AF602" s="115"/>
      <c r="AG602" s="115"/>
    </row>
    <row r="603" ht="15.75" customHeight="1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  <c r="AA603" s="115"/>
      <c r="AB603" s="115"/>
      <c r="AC603" s="115"/>
      <c r="AD603" s="115"/>
      <c r="AE603" s="115"/>
      <c r="AF603" s="115"/>
      <c r="AG603" s="115"/>
    </row>
    <row r="604" ht="15.75" customHeight="1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  <c r="AA604" s="115"/>
      <c r="AB604" s="115"/>
      <c r="AC604" s="115"/>
      <c r="AD604" s="115"/>
      <c r="AE604" s="115"/>
      <c r="AF604" s="115"/>
      <c r="AG604" s="115"/>
    </row>
    <row r="605" ht="15.75" customHeight="1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  <c r="AA605" s="115"/>
      <c r="AB605" s="115"/>
      <c r="AC605" s="115"/>
      <c r="AD605" s="115"/>
      <c r="AE605" s="115"/>
      <c r="AF605" s="115"/>
      <c r="AG605" s="115"/>
    </row>
    <row r="606" ht="15.75" customHeight="1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  <c r="AA606" s="115"/>
      <c r="AB606" s="115"/>
      <c r="AC606" s="115"/>
      <c r="AD606" s="115"/>
      <c r="AE606" s="115"/>
      <c r="AF606" s="115"/>
      <c r="AG606" s="115"/>
    </row>
    <row r="607" ht="15.75" customHeight="1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  <c r="AA607" s="115"/>
      <c r="AB607" s="115"/>
      <c r="AC607" s="115"/>
      <c r="AD607" s="115"/>
      <c r="AE607" s="115"/>
      <c r="AF607" s="115"/>
      <c r="AG607" s="115"/>
    </row>
    <row r="608" ht="15.75" customHeight="1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  <c r="AA608" s="115"/>
      <c r="AB608" s="115"/>
      <c r="AC608" s="115"/>
      <c r="AD608" s="115"/>
      <c r="AE608" s="115"/>
      <c r="AF608" s="115"/>
      <c r="AG608" s="115"/>
    </row>
    <row r="609" ht="15.75" customHeight="1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  <c r="AA609" s="115"/>
      <c r="AB609" s="115"/>
      <c r="AC609" s="115"/>
      <c r="AD609" s="115"/>
      <c r="AE609" s="115"/>
      <c r="AF609" s="115"/>
      <c r="AG609" s="115"/>
    </row>
    <row r="610" ht="15.75" customHeight="1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  <c r="AA610" s="115"/>
      <c r="AB610" s="115"/>
      <c r="AC610" s="115"/>
      <c r="AD610" s="115"/>
      <c r="AE610" s="115"/>
      <c r="AF610" s="115"/>
      <c r="AG610" s="115"/>
    </row>
    <row r="611" ht="15.75" customHeight="1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  <c r="AA611" s="115"/>
      <c r="AB611" s="115"/>
      <c r="AC611" s="115"/>
      <c r="AD611" s="115"/>
      <c r="AE611" s="115"/>
      <c r="AF611" s="115"/>
      <c r="AG611" s="115"/>
    </row>
    <row r="612" ht="15.75" customHeight="1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  <c r="AA612" s="115"/>
      <c r="AB612" s="115"/>
      <c r="AC612" s="115"/>
      <c r="AD612" s="115"/>
      <c r="AE612" s="115"/>
      <c r="AF612" s="115"/>
      <c r="AG612" s="115"/>
    </row>
    <row r="613" ht="15.75" customHeight="1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  <c r="AA613" s="115"/>
      <c r="AB613" s="115"/>
      <c r="AC613" s="115"/>
      <c r="AD613" s="115"/>
      <c r="AE613" s="115"/>
      <c r="AF613" s="115"/>
      <c r="AG613" s="115"/>
    </row>
    <row r="614" ht="15.75" customHeight="1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  <c r="AA614" s="115"/>
      <c r="AB614" s="115"/>
      <c r="AC614" s="115"/>
      <c r="AD614" s="115"/>
      <c r="AE614" s="115"/>
      <c r="AF614" s="115"/>
      <c r="AG614" s="115"/>
    </row>
    <row r="615" ht="15.75" customHeight="1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  <c r="AA615" s="115"/>
      <c r="AB615" s="115"/>
      <c r="AC615" s="115"/>
      <c r="AD615" s="115"/>
      <c r="AE615" s="115"/>
      <c r="AF615" s="115"/>
      <c r="AG615" s="115"/>
    </row>
    <row r="616" ht="15.75" customHeight="1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  <c r="AA616" s="115"/>
      <c r="AB616" s="115"/>
      <c r="AC616" s="115"/>
      <c r="AD616" s="115"/>
      <c r="AE616" s="115"/>
      <c r="AF616" s="115"/>
      <c r="AG616" s="115"/>
    </row>
    <row r="617" ht="15.75" customHeight="1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  <c r="AA617" s="115"/>
      <c r="AB617" s="115"/>
      <c r="AC617" s="115"/>
      <c r="AD617" s="115"/>
      <c r="AE617" s="115"/>
      <c r="AF617" s="115"/>
      <c r="AG617" s="115"/>
    </row>
    <row r="618" ht="15.75" customHeight="1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  <c r="AA618" s="115"/>
      <c r="AB618" s="115"/>
      <c r="AC618" s="115"/>
      <c r="AD618" s="115"/>
      <c r="AE618" s="115"/>
      <c r="AF618" s="115"/>
      <c r="AG618" s="115"/>
    </row>
    <row r="619" ht="15.75" customHeight="1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  <c r="AA619" s="115"/>
      <c r="AB619" s="115"/>
      <c r="AC619" s="115"/>
      <c r="AD619" s="115"/>
      <c r="AE619" s="115"/>
      <c r="AF619" s="115"/>
      <c r="AG619" s="115"/>
    </row>
    <row r="620" ht="15.75" customHeight="1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  <c r="AA620" s="115"/>
      <c r="AB620" s="115"/>
      <c r="AC620" s="115"/>
      <c r="AD620" s="115"/>
      <c r="AE620" s="115"/>
      <c r="AF620" s="115"/>
      <c r="AG620" s="115"/>
    </row>
    <row r="621" ht="15.75" customHeight="1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  <c r="AA621" s="115"/>
      <c r="AB621" s="115"/>
      <c r="AC621" s="115"/>
      <c r="AD621" s="115"/>
      <c r="AE621" s="115"/>
      <c r="AF621" s="115"/>
      <c r="AG621" s="115"/>
    </row>
    <row r="622" ht="15.75" customHeight="1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  <c r="AA622" s="115"/>
      <c r="AB622" s="115"/>
      <c r="AC622" s="115"/>
      <c r="AD622" s="115"/>
      <c r="AE622" s="115"/>
      <c r="AF622" s="115"/>
      <c r="AG622" s="115"/>
    </row>
    <row r="623" ht="15.75" customHeight="1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  <c r="AA623" s="115"/>
      <c r="AB623" s="115"/>
      <c r="AC623" s="115"/>
      <c r="AD623" s="115"/>
      <c r="AE623" s="115"/>
      <c r="AF623" s="115"/>
      <c r="AG623" s="115"/>
    </row>
    <row r="624" ht="15.75" customHeight="1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  <c r="AA624" s="115"/>
      <c r="AB624" s="115"/>
      <c r="AC624" s="115"/>
      <c r="AD624" s="115"/>
      <c r="AE624" s="115"/>
      <c r="AF624" s="115"/>
      <c r="AG624" s="115"/>
    </row>
    <row r="625" ht="15.75" customHeight="1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  <c r="AA625" s="115"/>
      <c r="AB625" s="115"/>
      <c r="AC625" s="115"/>
      <c r="AD625" s="115"/>
      <c r="AE625" s="115"/>
      <c r="AF625" s="115"/>
      <c r="AG625" s="115"/>
    </row>
    <row r="626" ht="15.75" customHeight="1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  <c r="AA626" s="115"/>
      <c r="AB626" s="115"/>
      <c r="AC626" s="115"/>
      <c r="AD626" s="115"/>
      <c r="AE626" s="115"/>
      <c r="AF626" s="115"/>
      <c r="AG626" s="115"/>
    </row>
    <row r="627" ht="15.75" customHeight="1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  <c r="AA627" s="115"/>
      <c r="AB627" s="115"/>
      <c r="AC627" s="115"/>
      <c r="AD627" s="115"/>
      <c r="AE627" s="115"/>
      <c r="AF627" s="115"/>
      <c r="AG627" s="115"/>
    </row>
    <row r="628" ht="15.75" customHeight="1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  <c r="AA628" s="115"/>
      <c r="AB628" s="115"/>
      <c r="AC628" s="115"/>
      <c r="AD628" s="115"/>
      <c r="AE628" s="115"/>
      <c r="AF628" s="115"/>
      <c r="AG628" s="115"/>
    </row>
    <row r="629" ht="15.75" customHeight="1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  <c r="AA629" s="115"/>
      <c r="AB629" s="115"/>
      <c r="AC629" s="115"/>
      <c r="AD629" s="115"/>
      <c r="AE629" s="115"/>
      <c r="AF629" s="115"/>
      <c r="AG629" s="115"/>
    </row>
    <row r="630" ht="15.75" customHeight="1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  <c r="AA630" s="115"/>
      <c r="AB630" s="115"/>
      <c r="AC630" s="115"/>
      <c r="AD630" s="115"/>
      <c r="AE630" s="115"/>
      <c r="AF630" s="115"/>
      <c r="AG630" s="115"/>
    </row>
    <row r="631" ht="15.75" customHeight="1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  <c r="AA631" s="115"/>
      <c r="AB631" s="115"/>
      <c r="AC631" s="115"/>
      <c r="AD631" s="115"/>
      <c r="AE631" s="115"/>
      <c r="AF631" s="115"/>
      <c r="AG631" s="115"/>
    </row>
    <row r="632" ht="15.75" customHeight="1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  <c r="AA632" s="115"/>
      <c r="AB632" s="115"/>
      <c r="AC632" s="115"/>
      <c r="AD632" s="115"/>
      <c r="AE632" s="115"/>
      <c r="AF632" s="115"/>
      <c r="AG632" s="115"/>
    </row>
    <row r="633" ht="15.75" customHeight="1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  <c r="AA633" s="115"/>
      <c r="AB633" s="115"/>
      <c r="AC633" s="115"/>
      <c r="AD633" s="115"/>
      <c r="AE633" s="115"/>
      <c r="AF633" s="115"/>
      <c r="AG633" s="115"/>
    </row>
    <row r="634" ht="15.75" customHeight="1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  <c r="AA634" s="115"/>
      <c r="AB634" s="115"/>
      <c r="AC634" s="115"/>
      <c r="AD634" s="115"/>
      <c r="AE634" s="115"/>
      <c r="AF634" s="115"/>
      <c r="AG634" s="115"/>
    </row>
    <row r="635" ht="15.75" customHeight="1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  <c r="AA635" s="115"/>
      <c r="AB635" s="115"/>
      <c r="AC635" s="115"/>
      <c r="AD635" s="115"/>
      <c r="AE635" s="115"/>
      <c r="AF635" s="115"/>
      <c r="AG635" s="115"/>
    </row>
    <row r="636" ht="15.75" customHeight="1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  <c r="AA636" s="115"/>
      <c r="AB636" s="115"/>
      <c r="AC636" s="115"/>
      <c r="AD636" s="115"/>
      <c r="AE636" s="115"/>
      <c r="AF636" s="115"/>
      <c r="AG636" s="115"/>
    </row>
    <row r="637" ht="15.75" customHeight="1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  <c r="AA637" s="115"/>
      <c r="AB637" s="115"/>
      <c r="AC637" s="115"/>
      <c r="AD637" s="115"/>
      <c r="AE637" s="115"/>
      <c r="AF637" s="115"/>
      <c r="AG637" s="115"/>
    </row>
    <row r="638" ht="15.75" customHeight="1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  <c r="AA638" s="115"/>
      <c r="AB638" s="115"/>
      <c r="AC638" s="115"/>
      <c r="AD638" s="115"/>
      <c r="AE638" s="115"/>
      <c r="AF638" s="115"/>
      <c r="AG638" s="115"/>
    </row>
    <row r="639" ht="15.75" customHeight="1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  <c r="AA639" s="115"/>
      <c r="AB639" s="115"/>
      <c r="AC639" s="115"/>
      <c r="AD639" s="115"/>
      <c r="AE639" s="115"/>
      <c r="AF639" s="115"/>
      <c r="AG639" s="115"/>
    </row>
    <row r="640" ht="15.75" customHeight="1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  <c r="AA640" s="115"/>
      <c r="AB640" s="115"/>
      <c r="AC640" s="115"/>
      <c r="AD640" s="115"/>
      <c r="AE640" s="115"/>
      <c r="AF640" s="115"/>
      <c r="AG640" s="115"/>
    </row>
    <row r="641" ht="15.75" customHeight="1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  <c r="AA641" s="115"/>
      <c r="AB641" s="115"/>
      <c r="AC641" s="115"/>
      <c r="AD641" s="115"/>
      <c r="AE641" s="115"/>
      <c r="AF641" s="115"/>
      <c r="AG641" s="115"/>
    </row>
    <row r="642" ht="15.75" customHeight="1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  <c r="AA642" s="115"/>
      <c r="AB642" s="115"/>
      <c r="AC642" s="115"/>
      <c r="AD642" s="115"/>
      <c r="AE642" s="115"/>
      <c r="AF642" s="115"/>
      <c r="AG642" s="115"/>
    </row>
    <row r="643" ht="15.75" customHeight="1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  <c r="AA643" s="115"/>
      <c r="AB643" s="115"/>
      <c r="AC643" s="115"/>
      <c r="AD643" s="115"/>
      <c r="AE643" s="115"/>
      <c r="AF643" s="115"/>
      <c r="AG643" s="115"/>
    </row>
    <row r="644" ht="15.75" customHeight="1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  <c r="AA644" s="115"/>
      <c r="AB644" s="115"/>
      <c r="AC644" s="115"/>
      <c r="AD644" s="115"/>
      <c r="AE644" s="115"/>
      <c r="AF644" s="115"/>
      <c r="AG644" s="115"/>
    </row>
    <row r="645" ht="15.75" customHeight="1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  <c r="AA645" s="115"/>
      <c r="AB645" s="115"/>
      <c r="AC645" s="115"/>
      <c r="AD645" s="115"/>
      <c r="AE645" s="115"/>
      <c r="AF645" s="115"/>
      <c r="AG645" s="115"/>
    </row>
    <row r="646" ht="15.75" customHeight="1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  <c r="AA646" s="115"/>
      <c r="AB646" s="115"/>
      <c r="AC646" s="115"/>
      <c r="AD646" s="115"/>
      <c r="AE646" s="115"/>
      <c r="AF646" s="115"/>
      <c r="AG646" s="115"/>
    </row>
    <row r="647" ht="15.75" customHeight="1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  <c r="AA647" s="115"/>
      <c r="AB647" s="115"/>
      <c r="AC647" s="115"/>
      <c r="AD647" s="115"/>
      <c r="AE647" s="115"/>
      <c r="AF647" s="115"/>
      <c r="AG647" s="115"/>
    </row>
    <row r="648" ht="15.75" customHeight="1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  <c r="AA648" s="115"/>
      <c r="AB648" s="115"/>
      <c r="AC648" s="115"/>
      <c r="AD648" s="115"/>
      <c r="AE648" s="115"/>
      <c r="AF648" s="115"/>
      <c r="AG648" s="115"/>
    </row>
    <row r="649" ht="15.75" customHeight="1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  <c r="AA649" s="115"/>
      <c r="AB649" s="115"/>
      <c r="AC649" s="115"/>
      <c r="AD649" s="115"/>
      <c r="AE649" s="115"/>
      <c r="AF649" s="115"/>
      <c r="AG649" s="115"/>
    </row>
    <row r="650" ht="15.75" customHeight="1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  <c r="AA650" s="115"/>
      <c r="AB650" s="115"/>
      <c r="AC650" s="115"/>
      <c r="AD650" s="115"/>
      <c r="AE650" s="115"/>
      <c r="AF650" s="115"/>
      <c r="AG650" s="115"/>
    </row>
    <row r="651" ht="15.75" customHeight="1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  <c r="AA651" s="115"/>
      <c r="AB651" s="115"/>
      <c r="AC651" s="115"/>
      <c r="AD651" s="115"/>
      <c r="AE651" s="115"/>
      <c r="AF651" s="115"/>
      <c r="AG651" s="115"/>
    </row>
    <row r="652" ht="15.75" customHeight="1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  <c r="AA652" s="115"/>
      <c r="AB652" s="115"/>
      <c r="AC652" s="115"/>
      <c r="AD652" s="115"/>
      <c r="AE652" s="115"/>
      <c r="AF652" s="115"/>
      <c r="AG652" s="115"/>
    </row>
    <row r="653" ht="15.75" customHeight="1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  <c r="AA653" s="115"/>
      <c r="AB653" s="115"/>
      <c r="AC653" s="115"/>
      <c r="AD653" s="115"/>
      <c r="AE653" s="115"/>
      <c r="AF653" s="115"/>
      <c r="AG653" s="115"/>
    </row>
    <row r="654" ht="15.75" customHeight="1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  <c r="AA654" s="115"/>
      <c r="AB654" s="115"/>
      <c r="AC654" s="115"/>
      <c r="AD654" s="115"/>
      <c r="AE654" s="115"/>
      <c r="AF654" s="115"/>
      <c r="AG654" s="115"/>
    </row>
    <row r="655" ht="15.75" customHeight="1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  <c r="AA655" s="115"/>
      <c r="AB655" s="115"/>
      <c r="AC655" s="115"/>
      <c r="AD655" s="115"/>
      <c r="AE655" s="115"/>
      <c r="AF655" s="115"/>
      <c r="AG655" s="115"/>
    </row>
    <row r="656" ht="15.75" customHeight="1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  <c r="AA656" s="115"/>
      <c r="AB656" s="115"/>
      <c r="AC656" s="115"/>
      <c r="AD656" s="115"/>
      <c r="AE656" s="115"/>
      <c r="AF656" s="115"/>
      <c r="AG656" s="115"/>
    </row>
    <row r="657" ht="15.75" customHeight="1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  <c r="AA657" s="115"/>
      <c r="AB657" s="115"/>
      <c r="AC657" s="115"/>
      <c r="AD657" s="115"/>
      <c r="AE657" s="115"/>
      <c r="AF657" s="115"/>
      <c r="AG657" s="115"/>
    </row>
    <row r="658" ht="15.75" customHeight="1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  <c r="AA658" s="115"/>
      <c r="AB658" s="115"/>
      <c r="AC658" s="115"/>
      <c r="AD658" s="115"/>
      <c r="AE658" s="115"/>
      <c r="AF658" s="115"/>
      <c r="AG658" s="115"/>
    </row>
    <row r="659" ht="15.75" customHeight="1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  <c r="AA659" s="115"/>
      <c r="AB659" s="115"/>
      <c r="AC659" s="115"/>
      <c r="AD659" s="115"/>
      <c r="AE659" s="115"/>
      <c r="AF659" s="115"/>
      <c r="AG659" s="115"/>
    </row>
    <row r="660" ht="15.75" customHeight="1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  <c r="AA660" s="115"/>
      <c r="AB660" s="115"/>
      <c r="AC660" s="115"/>
      <c r="AD660" s="115"/>
      <c r="AE660" s="115"/>
      <c r="AF660" s="115"/>
      <c r="AG660" s="115"/>
    </row>
    <row r="661" ht="15.75" customHeight="1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  <c r="AA661" s="115"/>
      <c r="AB661" s="115"/>
      <c r="AC661" s="115"/>
      <c r="AD661" s="115"/>
      <c r="AE661" s="115"/>
      <c r="AF661" s="115"/>
      <c r="AG661" s="115"/>
    </row>
    <row r="662" ht="15.75" customHeight="1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  <c r="AA662" s="115"/>
      <c r="AB662" s="115"/>
      <c r="AC662" s="115"/>
      <c r="AD662" s="115"/>
      <c r="AE662" s="115"/>
      <c r="AF662" s="115"/>
      <c r="AG662" s="115"/>
    </row>
    <row r="663" ht="15.75" customHeight="1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  <c r="AA663" s="115"/>
      <c r="AB663" s="115"/>
      <c r="AC663" s="115"/>
      <c r="AD663" s="115"/>
      <c r="AE663" s="115"/>
      <c r="AF663" s="115"/>
      <c r="AG663" s="115"/>
    </row>
    <row r="664" ht="15.75" customHeight="1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  <c r="AA664" s="115"/>
      <c r="AB664" s="115"/>
      <c r="AC664" s="115"/>
      <c r="AD664" s="115"/>
      <c r="AE664" s="115"/>
      <c r="AF664" s="115"/>
      <c r="AG664" s="115"/>
    </row>
    <row r="665" ht="15.75" customHeight="1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  <c r="AA665" s="115"/>
      <c r="AB665" s="115"/>
      <c r="AC665" s="115"/>
      <c r="AD665" s="115"/>
      <c r="AE665" s="115"/>
      <c r="AF665" s="115"/>
      <c r="AG665" s="115"/>
    </row>
    <row r="666" ht="15.75" customHeight="1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  <c r="AA666" s="115"/>
      <c r="AB666" s="115"/>
      <c r="AC666" s="115"/>
      <c r="AD666" s="115"/>
      <c r="AE666" s="115"/>
      <c r="AF666" s="115"/>
      <c r="AG666" s="115"/>
    </row>
    <row r="667" ht="15.75" customHeight="1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  <c r="AA667" s="115"/>
      <c r="AB667" s="115"/>
      <c r="AC667" s="115"/>
      <c r="AD667" s="115"/>
      <c r="AE667" s="115"/>
      <c r="AF667" s="115"/>
      <c r="AG667" s="115"/>
    </row>
    <row r="668" ht="15.75" customHeight="1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  <c r="AA668" s="115"/>
      <c r="AB668" s="115"/>
      <c r="AC668" s="115"/>
      <c r="AD668" s="115"/>
      <c r="AE668" s="115"/>
      <c r="AF668" s="115"/>
      <c r="AG668" s="115"/>
    </row>
    <row r="669" ht="15.75" customHeight="1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  <c r="AA669" s="115"/>
      <c r="AB669" s="115"/>
      <c r="AC669" s="115"/>
      <c r="AD669" s="115"/>
      <c r="AE669" s="115"/>
      <c r="AF669" s="115"/>
      <c r="AG669" s="115"/>
    </row>
    <row r="670" ht="15.75" customHeight="1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  <c r="AA670" s="115"/>
      <c r="AB670" s="115"/>
      <c r="AC670" s="115"/>
      <c r="AD670" s="115"/>
      <c r="AE670" s="115"/>
      <c r="AF670" s="115"/>
      <c r="AG670" s="115"/>
    </row>
    <row r="671" ht="15.75" customHeight="1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  <c r="AA671" s="115"/>
      <c r="AB671" s="115"/>
      <c r="AC671" s="115"/>
      <c r="AD671" s="115"/>
      <c r="AE671" s="115"/>
      <c r="AF671" s="115"/>
      <c r="AG671" s="115"/>
    </row>
    <row r="672" ht="15.75" customHeight="1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  <c r="AA672" s="115"/>
      <c r="AB672" s="115"/>
      <c r="AC672" s="115"/>
      <c r="AD672" s="115"/>
      <c r="AE672" s="115"/>
      <c r="AF672" s="115"/>
      <c r="AG672" s="115"/>
    </row>
    <row r="673" ht="15.75" customHeight="1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  <c r="AA673" s="115"/>
      <c r="AB673" s="115"/>
      <c r="AC673" s="115"/>
      <c r="AD673" s="115"/>
      <c r="AE673" s="115"/>
      <c r="AF673" s="115"/>
      <c r="AG673" s="115"/>
    </row>
    <row r="674" ht="15.75" customHeight="1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  <c r="AA674" s="115"/>
      <c r="AB674" s="115"/>
      <c r="AC674" s="115"/>
      <c r="AD674" s="115"/>
      <c r="AE674" s="115"/>
      <c r="AF674" s="115"/>
      <c r="AG674" s="115"/>
    </row>
    <row r="675" ht="15.75" customHeight="1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  <c r="AA675" s="115"/>
      <c r="AB675" s="115"/>
      <c r="AC675" s="115"/>
      <c r="AD675" s="115"/>
      <c r="AE675" s="115"/>
      <c r="AF675" s="115"/>
      <c r="AG675" s="115"/>
    </row>
    <row r="676" ht="15.75" customHeight="1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  <c r="AA676" s="115"/>
      <c r="AB676" s="115"/>
      <c r="AC676" s="115"/>
      <c r="AD676" s="115"/>
      <c r="AE676" s="115"/>
      <c r="AF676" s="115"/>
      <c r="AG676" s="115"/>
    </row>
    <row r="677" ht="15.75" customHeight="1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  <c r="AA677" s="115"/>
      <c r="AB677" s="115"/>
      <c r="AC677" s="115"/>
      <c r="AD677" s="115"/>
      <c r="AE677" s="115"/>
      <c r="AF677" s="115"/>
      <c r="AG677" s="115"/>
    </row>
    <row r="678" ht="15.75" customHeight="1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  <c r="AA678" s="115"/>
      <c r="AB678" s="115"/>
      <c r="AC678" s="115"/>
      <c r="AD678" s="115"/>
      <c r="AE678" s="115"/>
      <c r="AF678" s="115"/>
      <c r="AG678" s="115"/>
    </row>
    <row r="679" ht="15.75" customHeight="1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  <c r="AA679" s="115"/>
      <c r="AB679" s="115"/>
      <c r="AC679" s="115"/>
      <c r="AD679" s="115"/>
      <c r="AE679" s="115"/>
      <c r="AF679" s="115"/>
      <c r="AG679" s="115"/>
    </row>
    <row r="680" ht="15.75" customHeight="1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  <c r="AA680" s="115"/>
      <c r="AB680" s="115"/>
      <c r="AC680" s="115"/>
      <c r="AD680" s="115"/>
      <c r="AE680" s="115"/>
      <c r="AF680" s="115"/>
      <c r="AG680" s="115"/>
    </row>
    <row r="681" ht="15.75" customHeight="1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  <c r="AA681" s="115"/>
      <c r="AB681" s="115"/>
      <c r="AC681" s="115"/>
      <c r="AD681" s="115"/>
      <c r="AE681" s="115"/>
      <c r="AF681" s="115"/>
      <c r="AG681" s="115"/>
    </row>
    <row r="682" ht="15.75" customHeight="1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  <c r="AA682" s="115"/>
      <c r="AB682" s="115"/>
      <c r="AC682" s="115"/>
      <c r="AD682" s="115"/>
      <c r="AE682" s="115"/>
      <c r="AF682" s="115"/>
      <c r="AG682" s="115"/>
    </row>
    <row r="683" ht="15.75" customHeight="1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  <c r="AA683" s="115"/>
      <c r="AB683" s="115"/>
      <c r="AC683" s="115"/>
      <c r="AD683" s="115"/>
      <c r="AE683" s="115"/>
      <c r="AF683" s="115"/>
      <c r="AG683" s="115"/>
    </row>
    <row r="684" ht="15.75" customHeight="1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  <c r="AA684" s="115"/>
      <c r="AB684" s="115"/>
      <c r="AC684" s="115"/>
      <c r="AD684" s="115"/>
      <c r="AE684" s="115"/>
      <c r="AF684" s="115"/>
      <c r="AG684" s="115"/>
    </row>
    <row r="685" ht="15.75" customHeight="1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  <c r="AA685" s="115"/>
      <c r="AB685" s="115"/>
      <c r="AC685" s="115"/>
      <c r="AD685" s="115"/>
      <c r="AE685" s="115"/>
      <c r="AF685" s="115"/>
      <c r="AG685" s="115"/>
    </row>
    <row r="686" ht="15.75" customHeight="1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  <c r="AA686" s="115"/>
      <c r="AB686" s="115"/>
      <c r="AC686" s="115"/>
      <c r="AD686" s="115"/>
      <c r="AE686" s="115"/>
      <c r="AF686" s="115"/>
      <c r="AG686" s="115"/>
    </row>
    <row r="687" ht="15.75" customHeight="1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  <c r="AA687" s="115"/>
      <c r="AB687" s="115"/>
      <c r="AC687" s="115"/>
      <c r="AD687" s="115"/>
      <c r="AE687" s="115"/>
      <c r="AF687" s="115"/>
      <c r="AG687" s="115"/>
    </row>
    <row r="688" ht="15.75" customHeight="1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  <c r="AA688" s="115"/>
      <c r="AB688" s="115"/>
      <c r="AC688" s="115"/>
      <c r="AD688" s="115"/>
      <c r="AE688" s="115"/>
      <c r="AF688" s="115"/>
      <c r="AG688" s="115"/>
    </row>
    <row r="689" ht="15.75" customHeight="1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  <c r="AA689" s="115"/>
      <c r="AB689" s="115"/>
      <c r="AC689" s="115"/>
      <c r="AD689" s="115"/>
      <c r="AE689" s="115"/>
      <c r="AF689" s="115"/>
      <c r="AG689" s="115"/>
    </row>
    <row r="690" ht="15.75" customHeight="1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  <c r="AA690" s="115"/>
      <c r="AB690" s="115"/>
      <c r="AC690" s="115"/>
      <c r="AD690" s="115"/>
      <c r="AE690" s="115"/>
      <c r="AF690" s="115"/>
      <c r="AG690" s="115"/>
    </row>
    <row r="691" ht="15.75" customHeight="1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  <c r="AA691" s="115"/>
      <c r="AB691" s="115"/>
      <c r="AC691" s="115"/>
      <c r="AD691" s="115"/>
      <c r="AE691" s="115"/>
      <c r="AF691" s="115"/>
      <c r="AG691" s="115"/>
    </row>
    <row r="692" ht="15.75" customHeight="1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  <c r="AA692" s="115"/>
      <c r="AB692" s="115"/>
      <c r="AC692" s="115"/>
      <c r="AD692" s="115"/>
      <c r="AE692" s="115"/>
      <c r="AF692" s="115"/>
      <c r="AG692" s="115"/>
    </row>
    <row r="693" ht="15.75" customHeight="1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  <c r="AA693" s="115"/>
      <c r="AB693" s="115"/>
      <c r="AC693" s="115"/>
      <c r="AD693" s="115"/>
      <c r="AE693" s="115"/>
      <c r="AF693" s="115"/>
      <c r="AG693" s="115"/>
    </row>
    <row r="694" ht="15.75" customHeight="1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  <c r="AA694" s="115"/>
      <c r="AB694" s="115"/>
      <c r="AC694" s="115"/>
      <c r="AD694" s="115"/>
      <c r="AE694" s="115"/>
      <c r="AF694" s="115"/>
      <c r="AG694" s="115"/>
    </row>
    <row r="695" ht="15.75" customHeight="1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  <c r="AA695" s="115"/>
      <c r="AB695" s="115"/>
      <c r="AC695" s="115"/>
      <c r="AD695" s="115"/>
      <c r="AE695" s="115"/>
      <c r="AF695" s="115"/>
      <c r="AG695" s="115"/>
    </row>
    <row r="696" ht="15.75" customHeight="1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  <c r="AA696" s="115"/>
      <c r="AB696" s="115"/>
      <c r="AC696" s="115"/>
      <c r="AD696" s="115"/>
      <c r="AE696" s="115"/>
      <c r="AF696" s="115"/>
      <c r="AG696" s="115"/>
    </row>
    <row r="697" ht="15.75" customHeight="1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  <c r="AA697" s="115"/>
      <c r="AB697" s="115"/>
      <c r="AC697" s="115"/>
      <c r="AD697" s="115"/>
      <c r="AE697" s="115"/>
      <c r="AF697" s="115"/>
      <c r="AG697" s="115"/>
    </row>
    <row r="698" ht="15.75" customHeight="1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  <c r="AA698" s="115"/>
      <c r="AB698" s="115"/>
      <c r="AC698" s="115"/>
      <c r="AD698" s="115"/>
      <c r="AE698" s="115"/>
      <c r="AF698" s="115"/>
      <c r="AG698" s="115"/>
    </row>
    <row r="699" ht="15.75" customHeight="1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  <c r="AA699" s="115"/>
      <c r="AB699" s="115"/>
      <c r="AC699" s="115"/>
      <c r="AD699" s="115"/>
      <c r="AE699" s="115"/>
      <c r="AF699" s="115"/>
      <c r="AG699" s="115"/>
    </row>
    <row r="700" ht="15.75" customHeight="1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  <c r="AA700" s="115"/>
      <c r="AB700" s="115"/>
      <c r="AC700" s="115"/>
      <c r="AD700" s="115"/>
      <c r="AE700" s="115"/>
      <c r="AF700" s="115"/>
      <c r="AG700" s="115"/>
    </row>
    <row r="701" ht="15.75" customHeight="1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  <c r="AA701" s="115"/>
      <c r="AB701" s="115"/>
      <c r="AC701" s="115"/>
      <c r="AD701" s="115"/>
      <c r="AE701" s="115"/>
      <c r="AF701" s="115"/>
      <c r="AG701" s="115"/>
    </row>
    <row r="702" ht="15.75" customHeight="1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  <c r="AA702" s="115"/>
      <c r="AB702" s="115"/>
      <c r="AC702" s="115"/>
      <c r="AD702" s="115"/>
      <c r="AE702" s="115"/>
      <c r="AF702" s="115"/>
      <c r="AG702" s="115"/>
    </row>
    <row r="703" ht="15.75" customHeight="1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  <c r="AA703" s="115"/>
      <c r="AB703" s="115"/>
      <c r="AC703" s="115"/>
      <c r="AD703" s="115"/>
      <c r="AE703" s="115"/>
      <c r="AF703" s="115"/>
      <c r="AG703" s="115"/>
    </row>
    <row r="704" ht="15.75" customHeight="1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  <c r="AA704" s="115"/>
      <c r="AB704" s="115"/>
      <c r="AC704" s="115"/>
      <c r="AD704" s="115"/>
      <c r="AE704" s="115"/>
      <c r="AF704" s="115"/>
      <c r="AG704" s="115"/>
    </row>
    <row r="705" ht="15.75" customHeight="1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  <c r="AA705" s="115"/>
      <c r="AB705" s="115"/>
      <c r="AC705" s="115"/>
      <c r="AD705" s="115"/>
      <c r="AE705" s="115"/>
      <c r="AF705" s="115"/>
      <c r="AG705" s="115"/>
    </row>
    <row r="706" ht="15.75" customHeight="1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  <c r="AA706" s="115"/>
      <c r="AB706" s="115"/>
      <c r="AC706" s="115"/>
      <c r="AD706" s="115"/>
      <c r="AE706" s="115"/>
      <c r="AF706" s="115"/>
      <c r="AG706" s="115"/>
    </row>
    <row r="707" ht="15.75" customHeight="1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  <c r="AA707" s="115"/>
      <c r="AB707" s="115"/>
      <c r="AC707" s="115"/>
      <c r="AD707" s="115"/>
      <c r="AE707" s="115"/>
      <c r="AF707" s="115"/>
      <c r="AG707" s="115"/>
    </row>
    <row r="708" ht="15.75" customHeight="1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  <c r="AA708" s="115"/>
      <c r="AB708" s="115"/>
      <c r="AC708" s="115"/>
      <c r="AD708" s="115"/>
      <c r="AE708" s="115"/>
      <c r="AF708" s="115"/>
      <c r="AG708" s="115"/>
    </row>
    <row r="709" ht="15.75" customHeight="1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  <c r="AA709" s="115"/>
      <c r="AB709" s="115"/>
      <c r="AC709" s="115"/>
      <c r="AD709" s="115"/>
      <c r="AE709" s="115"/>
      <c r="AF709" s="115"/>
      <c r="AG709" s="115"/>
    </row>
    <row r="710" ht="15.75" customHeight="1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  <c r="AA710" s="115"/>
      <c r="AB710" s="115"/>
      <c r="AC710" s="115"/>
      <c r="AD710" s="115"/>
      <c r="AE710" s="115"/>
      <c r="AF710" s="115"/>
      <c r="AG710" s="115"/>
    </row>
    <row r="711" ht="15.75" customHeight="1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  <c r="AA711" s="115"/>
      <c r="AB711" s="115"/>
      <c r="AC711" s="115"/>
      <c r="AD711" s="115"/>
      <c r="AE711" s="115"/>
      <c r="AF711" s="115"/>
      <c r="AG711" s="115"/>
    </row>
    <row r="712" ht="15.75" customHeight="1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  <c r="AA712" s="115"/>
      <c r="AB712" s="115"/>
      <c r="AC712" s="115"/>
      <c r="AD712" s="115"/>
      <c r="AE712" s="115"/>
      <c r="AF712" s="115"/>
      <c r="AG712" s="115"/>
    </row>
    <row r="713" ht="15.75" customHeight="1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  <c r="AA713" s="115"/>
      <c r="AB713" s="115"/>
      <c r="AC713" s="115"/>
      <c r="AD713" s="115"/>
      <c r="AE713" s="115"/>
      <c r="AF713" s="115"/>
      <c r="AG713" s="115"/>
    </row>
    <row r="714" ht="15.75" customHeight="1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  <c r="AA714" s="115"/>
      <c r="AB714" s="115"/>
      <c r="AC714" s="115"/>
      <c r="AD714" s="115"/>
      <c r="AE714" s="115"/>
      <c r="AF714" s="115"/>
      <c r="AG714" s="115"/>
    </row>
    <row r="715" ht="15.75" customHeight="1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  <c r="AA715" s="115"/>
      <c r="AB715" s="115"/>
      <c r="AC715" s="115"/>
      <c r="AD715" s="115"/>
      <c r="AE715" s="115"/>
      <c r="AF715" s="115"/>
      <c r="AG715" s="115"/>
    </row>
    <row r="716" ht="15.75" customHeight="1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  <c r="AA716" s="115"/>
      <c r="AB716" s="115"/>
      <c r="AC716" s="115"/>
      <c r="AD716" s="115"/>
      <c r="AE716" s="115"/>
      <c r="AF716" s="115"/>
      <c r="AG716" s="115"/>
    </row>
    <row r="717" ht="15.75" customHeight="1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  <c r="AA717" s="115"/>
      <c r="AB717" s="115"/>
      <c r="AC717" s="115"/>
      <c r="AD717" s="115"/>
      <c r="AE717" s="115"/>
      <c r="AF717" s="115"/>
      <c r="AG717" s="115"/>
    </row>
    <row r="718" ht="15.75" customHeight="1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  <c r="AA718" s="115"/>
      <c r="AB718" s="115"/>
      <c r="AC718" s="115"/>
      <c r="AD718" s="115"/>
      <c r="AE718" s="115"/>
      <c r="AF718" s="115"/>
      <c r="AG718" s="115"/>
    </row>
    <row r="719" ht="15.75" customHeight="1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  <c r="AA719" s="115"/>
      <c r="AB719" s="115"/>
      <c r="AC719" s="115"/>
      <c r="AD719" s="115"/>
      <c r="AE719" s="115"/>
      <c r="AF719" s="115"/>
      <c r="AG719" s="115"/>
    </row>
    <row r="720" ht="15.75" customHeight="1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  <c r="AA720" s="115"/>
      <c r="AB720" s="115"/>
      <c r="AC720" s="115"/>
      <c r="AD720" s="115"/>
      <c r="AE720" s="115"/>
      <c r="AF720" s="115"/>
      <c r="AG720" s="115"/>
    </row>
    <row r="721" ht="15.75" customHeight="1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  <c r="AA721" s="115"/>
      <c r="AB721" s="115"/>
      <c r="AC721" s="115"/>
      <c r="AD721" s="115"/>
      <c r="AE721" s="115"/>
      <c r="AF721" s="115"/>
      <c r="AG721" s="115"/>
    </row>
    <row r="722" ht="15.75" customHeight="1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  <c r="AA722" s="115"/>
      <c r="AB722" s="115"/>
      <c r="AC722" s="115"/>
      <c r="AD722" s="115"/>
      <c r="AE722" s="115"/>
      <c r="AF722" s="115"/>
      <c r="AG722" s="115"/>
    </row>
    <row r="723" ht="15.75" customHeight="1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  <c r="AA723" s="115"/>
      <c r="AB723" s="115"/>
      <c r="AC723" s="115"/>
      <c r="AD723" s="115"/>
      <c r="AE723" s="115"/>
      <c r="AF723" s="115"/>
      <c r="AG723" s="115"/>
    </row>
    <row r="724" ht="15.75" customHeight="1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  <c r="AA724" s="115"/>
      <c r="AB724" s="115"/>
      <c r="AC724" s="115"/>
      <c r="AD724" s="115"/>
      <c r="AE724" s="115"/>
      <c r="AF724" s="115"/>
      <c r="AG724" s="115"/>
    </row>
    <row r="725" ht="15.75" customHeight="1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  <c r="AA725" s="115"/>
      <c r="AB725" s="115"/>
      <c r="AC725" s="115"/>
      <c r="AD725" s="115"/>
      <c r="AE725" s="115"/>
      <c r="AF725" s="115"/>
      <c r="AG725" s="115"/>
    </row>
    <row r="726" ht="15.75" customHeight="1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  <c r="AA726" s="115"/>
      <c r="AB726" s="115"/>
      <c r="AC726" s="115"/>
      <c r="AD726" s="115"/>
      <c r="AE726" s="115"/>
      <c r="AF726" s="115"/>
      <c r="AG726" s="115"/>
    </row>
    <row r="727" ht="15.75" customHeight="1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  <c r="AA727" s="115"/>
      <c r="AB727" s="115"/>
      <c r="AC727" s="115"/>
      <c r="AD727" s="115"/>
      <c r="AE727" s="115"/>
      <c r="AF727" s="115"/>
      <c r="AG727" s="115"/>
    </row>
    <row r="728" ht="15.75" customHeight="1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  <c r="AA728" s="115"/>
      <c r="AB728" s="115"/>
      <c r="AC728" s="115"/>
      <c r="AD728" s="115"/>
      <c r="AE728" s="115"/>
      <c r="AF728" s="115"/>
      <c r="AG728" s="115"/>
    </row>
    <row r="729" ht="15.75" customHeight="1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  <c r="AA729" s="115"/>
      <c r="AB729" s="115"/>
      <c r="AC729" s="115"/>
      <c r="AD729" s="115"/>
      <c r="AE729" s="115"/>
      <c r="AF729" s="115"/>
      <c r="AG729" s="115"/>
    </row>
    <row r="730" ht="15.75" customHeight="1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  <c r="AA730" s="115"/>
      <c r="AB730" s="115"/>
      <c r="AC730" s="115"/>
      <c r="AD730" s="115"/>
      <c r="AE730" s="115"/>
      <c r="AF730" s="115"/>
      <c r="AG730" s="115"/>
    </row>
    <row r="731" ht="15.75" customHeight="1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  <c r="AA731" s="115"/>
      <c r="AB731" s="115"/>
      <c r="AC731" s="115"/>
      <c r="AD731" s="115"/>
      <c r="AE731" s="115"/>
      <c r="AF731" s="115"/>
      <c r="AG731" s="115"/>
    </row>
    <row r="732" ht="15.75" customHeight="1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  <c r="AA732" s="115"/>
      <c r="AB732" s="115"/>
      <c r="AC732" s="115"/>
      <c r="AD732" s="115"/>
      <c r="AE732" s="115"/>
      <c r="AF732" s="115"/>
      <c r="AG732" s="115"/>
    </row>
    <row r="733" ht="15.75" customHeight="1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  <c r="AA733" s="115"/>
      <c r="AB733" s="115"/>
      <c r="AC733" s="115"/>
      <c r="AD733" s="115"/>
      <c r="AE733" s="115"/>
      <c r="AF733" s="115"/>
      <c r="AG733" s="115"/>
    </row>
    <row r="734" ht="15.75" customHeight="1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  <c r="AA734" s="115"/>
      <c r="AB734" s="115"/>
      <c r="AC734" s="115"/>
      <c r="AD734" s="115"/>
      <c r="AE734" s="115"/>
      <c r="AF734" s="115"/>
      <c r="AG734" s="115"/>
    </row>
    <row r="735" ht="15.75" customHeight="1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  <c r="AA735" s="115"/>
      <c r="AB735" s="115"/>
      <c r="AC735" s="115"/>
      <c r="AD735" s="115"/>
      <c r="AE735" s="115"/>
      <c r="AF735" s="115"/>
      <c r="AG735" s="115"/>
    </row>
    <row r="736" ht="15.75" customHeight="1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  <c r="AA736" s="115"/>
      <c r="AB736" s="115"/>
      <c r="AC736" s="115"/>
      <c r="AD736" s="115"/>
      <c r="AE736" s="115"/>
      <c r="AF736" s="115"/>
      <c r="AG736" s="115"/>
    </row>
    <row r="737" ht="15.75" customHeight="1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  <c r="AA737" s="115"/>
      <c r="AB737" s="115"/>
      <c r="AC737" s="115"/>
      <c r="AD737" s="115"/>
      <c r="AE737" s="115"/>
      <c r="AF737" s="115"/>
      <c r="AG737" s="115"/>
    </row>
    <row r="738" ht="15.75" customHeight="1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  <c r="AA738" s="115"/>
      <c r="AB738" s="115"/>
      <c r="AC738" s="115"/>
      <c r="AD738" s="115"/>
      <c r="AE738" s="115"/>
      <c r="AF738" s="115"/>
      <c r="AG738" s="115"/>
    </row>
    <row r="739" ht="15.75" customHeight="1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  <c r="AA739" s="115"/>
      <c r="AB739" s="115"/>
      <c r="AC739" s="115"/>
      <c r="AD739" s="115"/>
      <c r="AE739" s="115"/>
      <c r="AF739" s="115"/>
      <c r="AG739" s="115"/>
    </row>
    <row r="740" ht="15.75" customHeight="1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  <c r="AA740" s="115"/>
      <c r="AB740" s="115"/>
      <c r="AC740" s="115"/>
      <c r="AD740" s="115"/>
      <c r="AE740" s="115"/>
      <c r="AF740" s="115"/>
      <c r="AG740" s="115"/>
    </row>
    <row r="741" ht="15.75" customHeight="1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  <c r="AA741" s="115"/>
      <c r="AB741" s="115"/>
      <c r="AC741" s="115"/>
      <c r="AD741" s="115"/>
      <c r="AE741" s="115"/>
      <c r="AF741" s="115"/>
      <c r="AG741" s="115"/>
    </row>
    <row r="742" ht="15.75" customHeight="1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  <c r="AA742" s="115"/>
      <c r="AB742" s="115"/>
      <c r="AC742" s="115"/>
      <c r="AD742" s="115"/>
      <c r="AE742" s="115"/>
      <c r="AF742" s="115"/>
      <c r="AG742" s="115"/>
    </row>
    <row r="743" ht="15.75" customHeight="1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  <c r="AA743" s="115"/>
      <c r="AB743" s="115"/>
      <c r="AC743" s="115"/>
      <c r="AD743" s="115"/>
      <c r="AE743" s="115"/>
      <c r="AF743" s="115"/>
      <c r="AG743" s="115"/>
    </row>
    <row r="744" ht="15.75" customHeight="1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  <c r="AA744" s="115"/>
      <c r="AB744" s="115"/>
      <c r="AC744" s="115"/>
      <c r="AD744" s="115"/>
      <c r="AE744" s="115"/>
      <c r="AF744" s="115"/>
      <c r="AG744" s="115"/>
    </row>
    <row r="745" ht="15.75" customHeight="1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  <c r="AA745" s="115"/>
      <c r="AB745" s="115"/>
      <c r="AC745" s="115"/>
      <c r="AD745" s="115"/>
      <c r="AE745" s="115"/>
      <c r="AF745" s="115"/>
      <c r="AG745" s="115"/>
    </row>
    <row r="746" ht="15.75" customHeight="1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  <c r="AA746" s="115"/>
      <c r="AB746" s="115"/>
      <c r="AC746" s="115"/>
      <c r="AD746" s="115"/>
      <c r="AE746" s="115"/>
      <c r="AF746" s="115"/>
      <c r="AG746" s="115"/>
    </row>
    <row r="747" ht="15.75" customHeight="1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  <c r="AA747" s="115"/>
      <c r="AB747" s="115"/>
      <c r="AC747" s="115"/>
      <c r="AD747" s="115"/>
      <c r="AE747" s="115"/>
      <c r="AF747" s="115"/>
      <c r="AG747" s="115"/>
    </row>
    <row r="748" ht="15.75" customHeight="1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  <c r="AA748" s="115"/>
      <c r="AB748" s="115"/>
      <c r="AC748" s="115"/>
      <c r="AD748" s="115"/>
      <c r="AE748" s="115"/>
      <c r="AF748" s="115"/>
      <c r="AG748" s="115"/>
    </row>
    <row r="749" ht="15.75" customHeight="1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  <c r="AA749" s="115"/>
      <c r="AB749" s="115"/>
      <c r="AC749" s="115"/>
      <c r="AD749" s="115"/>
      <c r="AE749" s="115"/>
      <c r="AF749" s="115"/>
      <c r="AG749" s="115"/>
    </row>
    <row r="750" ht="15.75" customHeight="1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  <c r="AA750" s="115"/>
      <c r="AB750" s="115"/>
      <c r="AC750" s="115"/>
      <c r="AD750" s="115"/>
      <c r="AE750" s="115"/>
      <c r="AF750" s="115"/>
      <c r="AG750" s="115"/>
    </row>
    <row r="751" ht="15.75" customHeight="1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  <c r="AA751" s="115"/>
      <c r="AB751" s="115"/>
      <c r="AC751" s="115"/>
      <c r="AD751" s="115"/>
      <c r="AE751" s="115"/>
      <c r="AF751" s="115"/>
      <c r="AG751" s="115"/>
    </row>
    <row r="752" ht="15.75" customHeight="1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  <c r="AA752" s="115"/>
      <c r="AB752" s="115"/>
      <c r="AC752" s="115"/>
      <c r="AD752" s="115"/>
      <c r="AE752" s="115"/>
      <c r="AF752" s="115"/>
      <c r="AG752" s="115"/>
    </row>
    <row r="753" ht="15.75" customHeight="1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  <c r="AA753" s="115"/>
      <c r="AB753" s="115"/>
      <c r="AC753" s="115"/>
      <c r="AD753" s="115"/>
      <c r="AE753" s="115"/>
      <c r="AF753" s="115"/>
      <c r="AG753" s="115"/>
    </row>
    <row r="754" ht="15.75" customHeight="1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  <c r="AA754" s="115"/>
      <c r="AB754" s="115"/>
      <c r="AC754" s="115"/>
      <c r="AD754" s="115"/>
      <c r="AE754" s="115"/>
      <c r="AF754" s="115"/>
      <c r="AG754" s="115"/>
    </row>
    <row r="755" ht="15.75" customHeight="1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  <c r="AA755" s="115"/>
      <c r="AB755" s="115"/>
      <c r="AC755" s="115"/>
      <c r="AD755" s="115"/>
      <c r="AE755" s="115"/>
      <c r="AF755" s="115"/>
      <c r="AG755" s="115"/>
    </row>
    <row r="756" ht="15.75" customHeight="1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  <c r="AA756" s="115"/>
      <c r="AB756" s="115"/>
      <c r="AC756" s="115"/>
      <c r="AD756" s="115"/>
      <c r="AE756" s="115"/>
      <c r="AF756" s="115"/>
      <c r="AG756" s="115"/>
    </row>
    <row r="757" ht="15.75" customHeight="1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  <c r="AA757" s="115"/>
      <c r="AB757" s="115"/>
      <c r="AC757" s="115"/>
      <c r="AD757" s="115"/>
      <c r="AE757" s="115"/>
      <c r="AF757" s="115"/>
      <c r="AG757" s="115"/>
    </row>
    <row r="758" ht="15.75" customHeight="1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  <c r="AA758" s="115"/>
      <c r="AB758" s="115"/>
      <c r="AC758" s="115"/>
      <c r="AD758" s="115"/>
      <c r="AE758" s="115"/>
      <c r="AF758" s="115"/>
      <c r="AG758" s="115"/>
    </row>
    <row r="759" ht="15.75" customHeight="1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  <c r="AA759" s="115"/>
      <c r="AB759" s="115"/>
      <c r="AC759" s="115"/>
      <c r="AD759" s="115"/>
      <c r="AE759" s="115"/>
      <c r="AF759" s="115"/>
      <c r="AG759" s="115"/>
    </row>
    <row r="760" ht="15.75" customHeight="1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  <c r="AA760" s="115"/>
      <c r="AB760" s="115"/>
      <c r="AC760" s="115"/>
      <c r="AD760" s="115"/>
      <c r="AE760" s="115"/>
      <c r="AF760" s="115"/>
      <c r="AG760" s="115"/>
    </row>
    <row r="761" ht="15.75" customHeight="1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  <c r="AA761" s="115"/>
      <c r="AB761" s="115"/>
      <c r="AC761" s="115"/>
      <c r="AD761" s="115"/>
      <c r="AE761" s="115"/>
      <c r="AF761" s="115"/>
      <c r="AG761" s="115"/>
    </row>
    <row r="762" ht="15.75" customHeight="1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  <c r="AA762" s="115"/>
      <c r="AB762" s="115"/>
      <c r="AC762" s="115"/>
      <c r="AD762" s="115"/>
      <c r="AE762" s="115"/>
      <c r="AF762" s="115"/>
      <c r="AG762" s="115"/>
    </row>
    <row r="763" ht="15.75" customHeight="1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  <c r="AA763" s="115"/>
      <c r="AB763" s="115"/>
      <c r="AC763" s="115"/>
      <c r="AD763" s="115"/>
      <c r="AE763" s="115"/>
      <c r="AF763" s="115"/>
      <c r="AG763" s="115"/>
    </row>
    <row r="764" ht="15.75" customHeight="1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  <c r="AA764" s="115"/>
      <c r="AB764" s="115"/>
      <c r="AC764" s="115"/>
      <c r="AD764" s="115"/>
      <c r="AE764" s="115"/>
      <c r="AF764" s="115"/>
      <c r="AG764" s="115"/>
    </row>
    <row r="765" ht="15.75" customHeight="1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  <c r="AA765" s="115"/>
      <c r="AB765" s="115"/>
      <c r="AC765" s="115"/>
      <c r="AD765" s="115"/>
      <c r="AE765" s="115"/>
      <c r="AF765" s="115"/>
      <c r="AG765" s="115"/>
    </row>
    <row r="766" ht="15.75" customHeight="1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  <c r="AA766" s="115"/>
      <c r="AB766" s="115"/>
      <c r="AC766" s="115"/>
      <c r="AD766" s="115"/>
      <c r="AE766" s="115"/>
      <c r="AF766" s="115"/>
      <c r="AG766" s="115"/>
    </row>
    <row r="767" ht="15.75" customHeight="1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  <c r="AA767" s="115"/>
      <c r="AB767" s="115"/>
      <c r="AC767" s="115"/>
      <c r="AD767" s="115"/>
      <c r="AE767" s="115"/>
      <c r="AF767" s="115"/>
      <c r="AG767" s="115"/>
    </row>
    <row r="768" ht="15.75" customHeight="1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  <c r="AA768" s="115"/>
      <c r="AB768" s="115"/>
      <c r="AC768" s="115"/>
      <c r="AD768" s="115"/>
      <c r="AE768" s="115"/>
      <c r="AF768" s="115"/>
      <c r="AG768" s="115"/>
    </row>
    <row r="769" ht="15.75" customHeight="1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  <c r="AA769" s="115"/>
      <c r="AB769" s="115"/>
      <c r="AC769" s="115"/>
      <c r="AD769" s="115"/>
      <c r="AE769" s="115"/>
      <c r="AF769" s="115"/>
      <c r="AG769" s="115"/>
    </row>
    <row r="770" ht="15.75" customHeight="1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  <c r="AA770" s="115"/>
      <c r="AB770" s="115"/>
      <c r="AC770" s="115"/>
      <c r="AD770" s="115"/>
      <c r="AE770" s="115"/>
      <c r="AF770" s="115"/>
      <c r="AG770" s="115"/>
    </row>
    <row r="771" ht="15.75" customHeight="1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  <c r="AA771" s="115"/>
      <c r="AB771" s="115"/>
      <c r="AC771" s="115"/>
      <c r="AD771" s="115"/>
      <c r="AE771" s="115"/>
      <c r="AF771" s="115"/>
      <c r="AG771" s="115"/>
    </row>
    <row r="772" ht="15.75" customHeight="1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  <c r="AA772" s="115"/>
      <c r="AB772" s="115"/>
      <c r="AC772" s="115"/>
      <c r="AD772" s="115"/>
      <c r="AE772" s="115"/>
      <c r="AF772" s="115"/>
      <c r="AG772" s="115"/>
    </row>
    <row r="773" ht="15.75" customHeight="1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  <c r="AA773" s="115"/>
      <c r="AB773" s="115"/>
      <c r="AC773" s="115"/>
      <c r="AD773" s="115"/>
      <c r="AE773" s="115"/>
      <c r="AF773" s="115"/>
      <c r="AG773" s="115"/>
    </row>
    <row r="774" ht="15.75" customHeight="1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  <c r="AA774" s="115"/>
      <c r="AB774" s="115"/>
      <c r="AC774" s="115"/>
      <c r="AD774" s="115"/>
      <c r="AE774" s="115"/>
      <c r="AF774" s="115"/>
      <c r="AG774" s="115"/>
    </row>
    <row r="775" ht="15.75" customHeight="1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  <c r="AA775" s="115"/>
      <c r="AB775" s="115"/>
      <c r="AC775" s="115"/>
      <c r="AD775" s="115"/>
      <c r="AE775" s="115"/>
      <c r="AF775" s="115"/>
      <c r="AG775" s="115"/>
    </row>
    <row r="776" ht="15.75" customHeight="1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  <c r="AA776" s="115"/>
      <c r="AB776" s="115"/>
      <c r="AC776" s="115"/>
      <c r="AD776" s="115"/>
      <c r="AE776" s="115"/>
      <c r="AF776" s="115"/>
      <c r="AG776" s="115"/>
    </row>
    <row r="777" ht="15.75" customHeight="1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  <c r="AA777" s="115"/>
      <c r="AB777" s="115"/>
      <c r="AC777" s="115"/>
      <c r="AD777" s="115"/>
      <c r="AE777" s="115"/>
      <c r="AF777" s="115"/>
      <c r="AG777" s="115"/>
    </row>
    <row r="778" ht="15.75" customHeight="1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  <c r="AA778" s="115"/>
      <c r="AB778" s="115"/>
      <c r="AC778" s="115"/>
      <c r="AD778" s="115"/>
      <c r="AE778" s="115"/>
      <c r="AF778" s="115"/>
      <c r="AG778" s="115"/>
    </row>
    <row r="779" ht="15.75" customHeight="1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  <c r="AA779" s="115"/>
      <c r="AB779" s="115"/>
      <c r="AC779" s="115"/>
      <c r="AD779" s="115"/>
      <c r="AE779" s="115"/>
      <c r="AF779" s="115"/>
      <c r="AG779" s="115"/>
    </row>
    <row r="780" ht="15.75" customHeight="1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  <c r="AA780" s="115"/>
      <c r="AB780" s="115"/>
      <c r="AC780" s="115"/>
      <c r="AD780" s="115"/>
      <c r="AE780" s="115"/>
      <c r="AF780" s="115"/>
      <c r="AG780" s="115"/>
    </row>
    <row r="781" ht="15.75" customHeight="1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  <c r="AA781" s="115"/>
      <c r="AB781" s="115"/>
      <c r="AC781" s="115"/>
      <c r="AD781" s="115"/>
      <c r="AE781" s="115"/>
      <c r="AF781" s="115"/>
      <c r="AG781" s="115"/>
    </row>
    <row r="782" ht="15.75" customHeight="1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  <c r="AA782" s="115"/>
      <c r="AB782" s="115"/>
      <c r="AC782" s="115"/>
      <c r="AD782" s="115"/>
      <c r="AE782" s="115"/>
      <c r="AF782" s="115"/>
      <c r="AG782" s="115"/>
    </row>
    <row r="783" ht="15.75" customHeight="1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  <c r="AA783" s="115"/>
      <c r="AB783" s="115"/>
      <c r="AC783" s="115"/>
      <c r="AD783" s="115"/>
      <c r="AE783" s="115"/>
      <c r="AF783" s="115"/>
      <c r="AG783" s="115"/>
    </row>
    <row r="784" ht="15.75" customHeight="1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  <c r="AA784" s="115"/>
      <c r="AB784" s="115"/>
      <c r="AC784" s="115"/>
      <c r="AD784" s="115"/>
      <c r="AE784" s="115"/>
      <c r="AF784" s="115"/>
      <c r="AG784" s="115"/>
    </row>
    <row r="785" ht="15.75" customHeight="1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  <c r="AA785" s="115"/>
      <c r="AB785" s="115"/>
      <c r="AC785" s="115"/>
      <c r="AD785" s="115"/>
      <c r="AE785" s="115"/>
      <c r="AF785" s="115"/>
      <c r="AG785" s="115"/>
    </row>
    <row r="786" ht="15.75" customHeight="1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  <c r="AA786" s="115"/>
      <c r="AB786" s="115"/>
      <c r="AC786" s="115"/>
      <c r="AD786" s="115"/>
      <c r="AE786" s="115"/>
      <c r="AF786" s="115"/>
      <c r="AG786" s="115"/>
    </row>
    <row r="787" ht="15.75" customHeight="1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  <c r="AA787" s="115"/>
      <c r="AB787" s="115"/>
      <c r="AC787" s="115"/>
      <c r="AD787" s="115"/>
      <c r="AE787" s="115"/>
      <c r="AF787" s="115"/>
      <c r="AG787" s="115"/>
    </row>
    <row r="788" ht="15.75" customHeight="1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  <c r="AA788" s="115"/>
      <c r="AB788" s="115"/>
      <c r="AC788" s="115"/>
      <c r="AD788" s="115"/>
      <c r="AE788" s="115"/>
      <c r="AF788" s="115"/>
      <c r="AG788" s="115"/>
    </row>
    <row r="789" ht="15.75" customHeight="1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  <c r="AA789" s="115"/>
      <c r="AB789" s="115"/>
      <c r="AC789" s="115"/>
      <c r="AD789" s="115"/>
      <c r="AE789" s="115"/>
      <c r="AF789" s="115"/>
      <c r="AG789" s="115"/>
    </row>
    <row r="790" ht="15.75" customHeight="1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  <c r="AA790" s="115"/>
      <c r="AB790" s="115"/>
      <c r="AC790" s="115"/>
      <c r="AD790" s="115"/>
      <c r="AE790" s="115"/>
      <c r="AF790" s="115"/>
      <c r="AG790" s="115"/>
    </row>
    <row r="791" ht="15.75" customHeight="1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  <c r="AA791" s="115"/>
      <c r="AB791" s="115"/>
      <c r="AC791" s="115"/>
      <c r="AD791" s="115"/>
      <c r="AE791" s="115"/>
      <c r="AF791" s="115"/>
      <c r="AG791" s="115"/>
    </row>
    <row r="792" ht="15.75" customHeight="1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  <c r="AA792" s="115"/>
      <c r="AB792" s="115"/>
      <c r="AC792" s="115"/>
      <c r="AD792" s="115"/>
      <c r="AE792" s="115"/>
      <c r="AF792" s="115"/>
      <c r="AG792" s="115"/>
    </row>
    <row r="793" ht="15.75" customHeight="1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  <c r="AA793" s="115"/>
      <c r="AB793" s="115"/>
      <c r="AC793" s="115"/>
      <c r="AD793" s="115"/>
      <c r="AE793" s="115"/>
      <c r="AF793" s="115"/>
      <c r="AG793" s="115"/>
    </row>
    <row r="794" ht="15.75" customHeight="1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</row>
    <row r="795" ht="15.75" customHeight="1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  <c r="AA795" s="115"/>
      <c r="AB795" s="115"/>
      <c r="AC795" s="115"/>
      <c r="AD795" s="115"/>
      <c r="AE795" s="115"/>
      <c r="AF795" s="115"/>
      <c r="AG795" s="115"/>
    </row>
    <row r="796" ht="15.75" customHeight="1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  <c r="AA796" s="115"/>
      <c r="AB796" s="115"/>
      <c r="AC796" s="115"/>
      <c r="AD796" s="115"/>
      <c r="AE796" s="115"/>
      <c r="AF796" s="115"/>
      <c r="AG796" s="115"/>
    </row>
    <row r="797" ht="15.75" customHeight="1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  <c r="AA797" s="115"/>
      <c r="AB797" s="115"/>
      <c r="AC797" s="115"/>
      <c r="AD797" s="115"/>
      <c r="AE797" s="115"/>
      <c r="AF797" s="115"/>
      <c r="AG797" s="115"/>
    </row>
    <row r="798" ht="15.75" customHeight="1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  <c r="AA798" s="115"/>
      <c r="AB798" s="115"/>
      <c r="AC798" s="115"/>
      <c r="AD798" s="115"/>
      <c r="AE798" s="115"/>
      <c r="AF798" s="115"/>
      <c r="AG798" s="115"/>
    </row>
    <row r="799" ht="15.75" customHeight="1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  <c r="AA799" s="115"/>
      <c r="AB799" s="115"/>
      <c r="AC799" s="115"/>
      <c r="AD799" s="115"/>
      <c r="AE799" s="115"/>
      <c r="AF799" s="115"/>
      <c r="AG799" s="115"/>
    </row>
    <row r="800" ht="15.75" customHeight="1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  <c r="AA800" s="115"/>
      <c r="AB800" s="115"/>
      <c r="AC800" s="115"/>
      <c r="AD800" s="115"/>
      <c r="AE800" s="115"/>
      <c r="AF800" s="115"/>
      <c r="AG800" s="115"/>
    </row>
    <row r="801" ht="15.75" customHeight="1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  <c r="AA801" s="115"/>
      <c r="AB801" s="115"/>
      <c r="AC801" s="115"/>
      <c r="AD801" s="115"/>
      <c r="AE801" s="115"/>
      <c r="AF801" s="115"/>
      <c r="AG801" s="115"/>
    </row>
    <row r="802" ht="15.75" customHeight="1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  <c r="AA802" s="115"/>
      <c r="AB802" s="115"/>
      <c r="AC802" s="115"/>
      <c r="AD802" s="115"/>
      <c r="AE802" s="115"/>
      <c r="AF802" s="115"/>
      <c r="AG802" s="115"/>
    </row>
    <row r="803" ht="15.75" customHeight="1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  <c r="AA803" s="115"/>
      <c r="AB803" s="115"/>
      <c r="AC803" s="115"/>
      <c r="AD803" s="115"/>
      <c r="AE803" s="115"/>
      <c r="AF803" s="115"/>
      <c r="AG803" s="115"/>
    </row>
    <row r="804" ht="15.75" customHeight="1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  <c r="AA804" s="115"/>
      <c r="AB804" s="115"/>
      <c r="AC804" s="115"/>
      <c r="AD804" s="115"/>
      <c r="AE804" s="115"/>
      <c r="AF804" s="115"/>
      <c r="AG804" s="115"/>
    </row>
    <row r="805" ht="15.75" customHeight="1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  <c r="AA805" s="115"/>
      <c r="AB805" s="115"/>
      <c r="AC805" s="115"/>
      <c r="AD805" s="115"/>
      <c r="AE805" s="115"/>
      <c r="AF805" s="115"/>
      <c r="AG805" s="115"/>
    </row>
    <row r="806" ht="15.75" customHeight="1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  <c r="AA806" s="115"/>
      <c r="AB806" s="115"/>
      <c r="AC806" s="115"/>
      <c r="AD806" s="115"/>
      <c r="AE806" s="115"/>
      <c r="AF806" s="115"/>
      <c r="AG806" s="115"/>
    </row>
    <row r="807" ht="15.75" customHeight="1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  <c r="AA807" s="115"/>
      <c r="AB807" s="115"/>
      <c r="AC807" s="115"/>
      <c r="AD807" s="115"/>
      <c r="AE807" s="115"/>
      <c r="AF807" s="115"/>
      <c r="AG807" s="115"/>
    </row>
    <row r="808" ht="15.75" customHeight="1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  <c r="AA808" s="115"/>
      <c r="AB808" s="115"/>
      <c r="AC808" s="115"/>
      <c r="AD808" s="115"/>
      <c r="AE808" s="115"/>
      <c r="AF808" s="115"/>
      <c r="AG808" s="115"/>
    </row>
    <row r="809" ht="15.75" customHeight="1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  <c r="AA809" s="115"/>
      <c r="AB809" s="115"/>
      <c r="AC809" s="115"/>
      <c r="AD809" s="115"/>
      <c r="AE809" s="115"/>
      <c r="AF809" s="115"/>
      <c r="AG809" s="115"/>
    </row>
    <row r="810" ht="15.75" customHeight="1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  <c r="AA810" s="115"/>
      <c r="AB810" s="115"/>
      <c r="AC810" s="115"/>
      <c r="AD810" s="115"/>
      <c r="AE810" s="115"/>
      <c r="AF810" s="115"/>
      <c r="AG810" s="115"/>
    </row>
    <row r="811" ht="15.75" customHeight="1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  <c r="AA811" s="115"/>
      <c r="AB811" s="115"/>
      <c r="AC811" s="115"/>
      <c r="AD811" s="115"/>
      <c r="AE811" s="115"/>
      <c r="AF811" s="115"/>
      <c r="AG811" s="115"/>
    </row>
    <row r="812" ht="15.75" customHeight="1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  <c r="AA812" s="115"/>
      <c r="AB812" s="115"/>
      <c r="AC812" s="115"/>
      <c r="AD812" s="115"/>
      <c r="AE812" s="115"/>
      <c r="AF812" s="115"/>
      <c r="AG812" s="115"/>
    </row>
    <row r="813" ht="15.75" customHeight="1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  <c r="AA813" s="115"/>
      <c r="AB813" s="115"/>
      <c r="AC813" s="115"/>
      <c r="AD813" s="115"/>
      <c r="AE813" s="115"/>
      <c r="AF813" s="115"/>
      <c r="AG813" s="115"/>
    </row>
    <row r="814" ht="15.75" customHeight="1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  <c r="AA814" s="115"/>
      <c r="AB814" s="115"/>
      <c r="AC814" s="115"/>
      <c r="AD814" s="115"/>
      <c r="AE814" s="115"/>
      <c r="AF814" s="115"/>
      <c r="AG814" s="115"/>
    </row>
    <row r="815" ht="15.75" customHeight="1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  <c r="AA815" s="115"/>
      <c r="AB815" s="115"/>
      <c r="AC815" s="115"/>
      <c r="AD815" s="115"/>
      <c r="AE815" s="115"/>
      <c r="AF815" s="115"/>
      <c r="AG815" s="115"/>
    </row>
    <row r="816" ht="15.75" customHeight="1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  <c r="AA816" s="115"/>
      <c r="AB816" s="115"/>
      <c r="AC816" s="115"/>
      <c r="AD816" s="115"/>
      <c r="AE816" s="115"/>
      <c r="AF816" s="115"/>
      <c r="AG816" s="115"/>
    </row>
    <row r="817" ht="15.75" customHeight="1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  <c r="AA817" s="115"/>
      <c r="AB817" s="115"/>
      <c r="AC817" s="115"/>
      <c r="AD817" s="115"/>
      <c r="AE817" s="115"/>
      <c r="AF817" s="115"/>
      <c r="AG817" s="115"/>
    </row>
    <row r="818" ht="15.75" customHeight="1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  <c r="AA818" s="115"/>
      <c r="AB818" s="115"/>
      <c r="AC818" s="115"/>
      <c r="AD818" s="115"/>
      <c r="AE818" s="115"/>
      <c r="AF818" s="115"/>
      <c r="AG818" s="115"/>
    </row>
    <row r="819" ht="15.75" customHeight="1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  <c r="AA819" s="115"/>
      <c r="AB819" s="115"/>
      <c r="AC819" s="115"/>
      <c r="AD819" s="115"/>
      <c r="AE819" s="115"/>
      <c r="AF819" s="115"/>
      <c r="AG819" s="115"/>
    </row>
    <row r="820" ht="15.75" customHeight="1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  <c r="AA820" s="115"/>
      <c r="AB820" s="115"/>
      <c r="AC820" s="115"/>
      <c r="AD820" s="115"/>
      <c r="AE820" s="115"/>
      <c r="AF820" s="115"/>
      <c r="AG820" s="115"/>
    </row>
    <row r="821" ht="15.75" customHeight="1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  <c r="AA821" s="115"/>
      <c r="AB821" s="115"/>
      <c r="AC821" s="115"/>
      <c r="AD821" s="115"/>
      <c r="AE821" s="115"/>
      <c r="AF821" s="115"/>
      <c r="AG821" s="115"/>
    </row>
    <row r="822" ht="15.75" customHeight="1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  <c r="AA822" s="115"/>
      <c r="AB822" s="115"/>
      <c r="AC822" s="115"/>
      <c r="AD822" s="115"/>
      <c r="AE822" s="115"/>
      <c r="AF822" s="115"/>
      <c r="AG822" s="115"/>
    </row>
    <row r="823" ht="15.75" customHeight="1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  <c r="AA823" s="115"/>
      <c r="AB823" s="115"/>
      <c r="AC823" s="115"/>
      <c r="AD823" s="115"/>
      <c r="AE823" s="115"/>
      <c r="AF823" s="115"/>
      <c r="AG823" s="115"/>
    </row>
    <row r="824" ht="15.75" customHeight="1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  <c r="AA824" s="115"/>
      <c r="AB824" s="115"/>
      <c r="AC824" s="115"/>
      <c r="AD824" s="115"/>
      <c r="AE824" s="115"/>
      <c r="AF824" s="115"/>
      <c r="AG824" s="115"/>
    </row>
    <row r="825" ht="15.75" customHeight="1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  <c r="AA825" s="115"/>
      <c r="AB825" s="115"/>
      <c r="AC825" s="115"/>
      <c r="AD825" s="115"/>
      <c r="AE825" s="115"/>
      <c r="AF825" s="115"/>
      <c r="AG825" s="115"/>
    </row>
    <row r="826" ht="15.75" customHeight="1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  <c r="AA826" s="115"/>
      <c r="AB826" s="115"/>
      <c r="AC826" s="115"/>
      <c r="AD826" s="115"/>
      <c r="AE826" s="115"/>
      <c r="AF826" s="115"/>
      <c r="AG826" s="115"/>
    </row>
    <row r="827" ht="15.75" customHeight="1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  <c r="AA827" s="115"/>
      <c r="AB827" s="115"/>
      <c r="AC827" s="115"/>
      <c r="AD827" s="115"/>
      <c r="AE827" s="115"/>
      <c r="AF827" s="115"/>
      <c r="AG827" s="115"/>
    </row>
    <row r="828" ht="15.75" customHeight="1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  <c r="AA828" s="115"/>
      <c r="AB828" s="115"/>
      <c r="AC828" s="115"/>
      <c r="AD828" s="115"/>
      <c r="AE828" s="115"/>
      <c r="AF828" s="115"/>
      <c r="AG828" s="115"/>
    </row>
    <row r="829" ht="15.75" customHeight="1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  <c r="AA829" s="115"/>
      <c r="AB829" s="115"/>
      <c r="AC829" s="115"/>
      <c r="AD829" s="115"/>
      <c r="AE829" s="115"/>
      <c r="AF829" s="115"/>
      <c r="AG829" s="115"/>
    </row>
    <row r="830" ht="15.75" customHeight="1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  <c r="AA830" s="115"/>
      <c r="AB830" s="115"/>
      <c r="AC830" s="115"/>
      <c r="AD830" s="115"/>
      <c r="AE830" s="115"/>
      <c r="AF830" s="115"/>
      <c r="AG830" s="115"/>
    </row>
    <row r="831" ht="15.75" customHeight="1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  <c r="AA831" s="115"/>
      <c r="AB831" s="115"/>
      <c r="AC831" s="115"/>
      <c r="AD831" s="115"/>
      <c r="AE831" s="115"/>
      <c r="AF831" s="115"/>
      <c r="AG831" s="115"/>
    </row>
    <row r="832" ht="15.75" customHeight="1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  <c r="AA832" s="115"/>
      <c r="AB832" s="115"/>
      <c r="AC832" s="115"/>
      <c r="AD832" s="115"/>
      <c r="AE832" s="115"/>
      <c r="AF832" s="115"/>
      <c r="AG832" s="115"/>
    </row>
    <row r="833" ht="15.75" customHeight="1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  <c r="AA833" s="115"/>
      <c r="AB833" s="115"/>
      <c r="AC833" s="115"/>
      <c r="AD833" s="115"/>
      <c r="AE833" s="115"/>
      <c r="AF833" s="115"/>
      <c r="AG833" s="115"/>
    </row>
    <row r="834" ht="15.75" customHeight="1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  <c r="AA834" s="115"/>
      <c r="AB834" s="115"/>
      <c r="AC834" s="115"/>
      <c r="AD834" s="115"/>
      <c r="AE834" s="115"/>
      <c r="AF834" s="115"/>
      <c r="AG834" s="115"/>
    </row>
    <row r="835" ht="15.75" customHeight="1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  <c r="AA835" s="115"/>
      <c r="AB835" s="115"/>
      <c r="AC835" s="115"/>
      <c r="AD835" s="115"/>
      <c r="AE835" s="115"/>
      <c r="AF835" s="115"/>
      <c r="AG835" s="115"/>
    </row>
    <row r="836" ht="15.75" customHeight="1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  <c r="AA836" s="115"/>
      <c r="AB836" s="115"/>
      <c r="AC836" s="115"/>
      <c r="AD836" s="115"/>
      <c r="AE836" s="115"/>
      <c r="AF836" s="115"/>
      <c r="AG836" s="115"/>
    </row>
    <row r="837" ht="15.75" customHeight="1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  <c r="AA837" s="115"/>
      <c r="AB837" s="115"/>
      <c r="AC837" s="115"/>
      <c r="AD837" s="115"/>
      <c r="AE837" s="115"/>
      <c r="AF837" s="115"/>
      <c r="AG837" s="115"/>
    </row>
    <row r="838" ht="15.75" customHeight="1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  <c r="AA838" s="115"/>
      <c r="AB838" s="115"/>
      <c r="AC838" s="115"/>
      <c r="AD838" s="115"/>
      <c r="AE838" s="115"/>
      <c r="AF838" s="115"/>
      <c r="AG838" s="115"/>
    </row>
    <row r="839" ht="15.75" customHeight="1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  <c r="AA839" s="115"/>
      <c r="AB839" s="115"/>
      <c r="AC839" s="115"/>
      <c r="AD839" s="115"/>
      <c r="AE839" s="115"/>
      <c r="AF839" s="115"/>
      <c r="AG839" s="115"/>
    </row>
    <row r="840" ht="15.75" customHeight="1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  <c r="AA840" s="115"/>
      <c r="AB840" s="115"/>
      <c r="AC840" s="115"/>
      <c r="AD840" s="115"/>
      <c r="AE840" s="115"/>
      <c r="AF840" s="115"/>
      <c r="AG840" s="115"/>
    </row>
    <row r="841" ht="15.75" customHeight="1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  <c r="AA841" s="115"/>
      <c r="AB841" s="115"/>
      <c r="AC841" s="115"/>
      <c r="AD841" s="115"/>
      <c r="AE841" s="115"/>
      <c r="AF841" s="115"/>
      <c r="AG841" s="115"/>
    </row>
    <row r="842" ht="15.75" customHeight="1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  <c r="AA842" s="115"/>
      <c r="AB842" s="115"/>
      <c r="AC842" s="115"/>
      <c r="AD842" s="115"/>
      <c r="AE842" s="115"/>
      <c r="AF842" s="115"/>
      <c r="AG842" s="115"/>
    </row>
    <row r="843" ht="15.75" customHeight="1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  <c r="AA843" s="115"/>
      <c r="AB843" s="115"/>
      <c r="AC843" s="115"/>
      <c r="AD843" s="115"/>
      <c r="AE843" s="115"/>
      <c r="AF843" s="115"/>
      <c r="AG843" s="115"/>
    </row>
    <row r="844" ht="15.75" customHeight="1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  <c r="AA844" s="115"/>
      <c r="AB844" s="115"/>
      <c r="AC844" s="115"/>
      <c r="AD844" s="115"/>
      <c r="AE844" s="115"/>
      <c r="AF844" s="115"/>
      <c r="AG844" s="115"/>
    </row>
    <row r="845" ht="15.75" customHeight="1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  <c r="AA845" s="115"/>
      <c r="AB845" s="115"/>
      <c r="AC845" s="115"/>
      <c r="AD845" s="115"/>
      <c r="AE845" s="115"/>
      <c r="AF845" s="115"/>
      <c r="AG845" s="115"/>
    </row>
    <row r="846" ht="15.75" customHeight="1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  <c r="AA846" s="115"/>
      <c r="AB846" s="115"/>
      <c r="AC846" s="115"/>
      <c r="AD846" s="115"/>
      <c r="AE846" s="115"/>
      <c r="AF846" s="115"/>
      <c r="AG846" s="115"/>
    </row>
    <row r="847" ht="15.75" customHeight="1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  <c r="AA847" s="115"/>
      <c r="AB847" s="115"/>
      <c r="AC847" s="115"/>
      <c r="AD847" s="115"/>
      <c r="AE847" s="115"/>
      <c r="AF847" s="115"/>
      <c r="AG847" s="115"/>
    </row>
    <row r="848" ht="15.75" customHeight="1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  <c r="AA848" s="115"/>
      <c r="AB848" s="115"/>
      <c r="AC848" s="115"/>
      <c r="AD848" s="115"/>
      <c r="AE848" s="115"/>
      <c r="AF848" s="115"/>
      <c r="AG848" s="115"/>
    </row>
    <row r="849" ht="15.75" customHeight="1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  <c r="AA849" s="115"/>
      <c r="AB849" s="115"/>
      <c r="AC849" s="115"/>
      <c r="AD849" s="115"/>
      <c r="AE849" s="115"/>
      <c r="AF849" s="115"/>
      <c r="AG849" s="115"/>
    </row>
    <row r="850" ht="15.75" customHeight="1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  <c r="AA850" s="115"/>
      <c r="AB850" s="115"/>
      <c r="AC850" s="115"/>
      <c r="AD850" s="115"/>
      <c r="AE850" s="115"/>
      <c r="AF850" s="115"/>
      <c r="AG850" s="115"/>
    </row>
    <row r="851" ht="15.75" customHeight="1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  <c r="AA851" s="115"/>
      <c r="AB851" s="115"/>
      <c r="AC851" s="115"/>
      <c r="AD851" s="115"/>
      <c r="AE851" s="115"/>
      <c r="AF851" s="115"/>
      <c r="AG851" s="115"/>
    </row>
    <row r="852" ht="15.75" customHeight="1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  <c r="AA852" s="115"/>
      <c r="AB852" s="115"/>
      <c r="AC852" s="115"/>
      <c r="AD852" s="115"/>
      <c r="AE852" s="115"/>
      <c r="AF852" s="115"/>
      <c r="AG852" s="115"/>
    </row>
    <row r="853" ht="15.75" customHeight="1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  <c r="AA853" s="115"/>
      <c r="AB853" s="115"/>
      <c r="AC853" s="115"/>
      <c r="AD853" s="115"/>
      <c r="AE853" s="115"/>
      <c r="AF853" s="115"/>
      <c r="AG853" s="115"/>
    </row>
    <row r="854" ht="15.75" customHeight="1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  <c r="AA854" s="115"/>
      <c r="AB854" s="115"/>
      <c r="AC854" s="115"/>
      <c r="AD854" s="115"/>
      <c r="AE854" s="115"/>
      <c r="AF854" s="115"/>
      <c r="AG854" s="115"/>
    </row>
    <row r="855" ht="15.75" customHeight="1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  <c r="AA855" s="115"/>
      <c r="AB855" s="115"/>
      <c r="AC855" s="115"/>
      <c r="AD855" s="115"/>
      <c r="AE855" s="115"/>
      <c r="AF855" s="115"/>
      <c r="AG855" s="115"/>
    </row>
    <row r="856" ht="15.75" customHeight="1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  <c r="AA856" s="115"/>
      <c r="AB856" s="115"/>
      <c r="AC856" s="115"/>
      <c r="AD856" s="115"/>
      <c r="AE856" s="115"/>
      <c r="AF856" s="115"/>
      <c r="AG856" s="115"/>
    </row>
    <row r="857" ht="15.75" customHeight="1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  <c r="AA857" s="115"/>
      <c r="AB857" s="115"/>
      <c r="AC857" s="115"/>
      <c r="AD857" s="115"/>
      <c r="AE857" s="115"/>
      <c r="AF857" s="115"/>
      <c r="AG857" s="115"/>
    </row>
    <row r="858" ht="15.75" customHeight="1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  <c r="AA858" s="115"/>
      <c r="AB858" s="115"/>
      <c r="AC858" s="115"/>
      <c r="AD858" s="115"/>
      <c r="AE858" s="115"/>
      <c r="AF858" s="115"/>
      <c r="AG858" s="115"/>
    </row>
    <row r="859" ht="15.75" customHeight="1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  <c r="AA859" s="115"/>
      <c r="AB859" s="115"/>
      <c r="AC859" s="115"/>
      <c r="AD859" s="115"/>
      <c r="AE859" s="115"/>
      <c r="AF859" s="115"/>
      <c r="AG859" s="115"/>
    </row>
    <row r="860" ht="15.75" customHeight="1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  <c r="AA860" s="115"/>
      <c r="AB860" s="115"/>
      <c r="AC860" s="115"/>
      <c r="AD860" s="115"/>
      <c r="AE860" s="115"/>
      <c r="AF860" s="115"/>
      <c r="AG860" s="115"/>
    </row>
    <row r="861" ht="15.75" customHeight="1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  <c r="AA861" s="115"/>
      <c r="AB861" s="115"/>
      <c r="AC861" s="115"/>
      <c r="AD861" s="115"/>
      <c r="AE861" s="115"/>
      <c r="AF861" s="115"/>
      <c r="AG861" s="115"/>
    </row>
    <row r="862" ht="15.75" customHeight="1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  <c r="AA862" s="115"/>
      <c r="AB862" s="115"/>
      <c r="AC862" s="115"/>
      <c r="AD862" s="115"/>
      <c r="AE862" s="115"/>
      <c r="AF862" s="115"/>
      <c r="AG862" s="115"/>
    </row>
    <row r="863" ht="15.75" customHeight="1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  <c r="AA863" s="115"/>
      <c r="AB863" s="115"/>
      <c r="AC863" s="115"/>
      <c r="AD863" s="115"/>
      <c r="AE863" s="115"/>
      <c r="AF863" s="115"/>
      <c r="AG863" s="115"/>
    </row>
    <row r="864" ht="15.75" customHeight="1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  <c r="AA864" s="115"/>
      <c r="AB864" s="115"/>
      <c r="AC864" s="115"/>
      <c r="AD864" s="115"/>
      <c r="AE864" s="115"/>
      <c r="AF864" s="115"/>
      <c r="AG864" s="115"/>
    </row>
    <row r="865" ht="15.75" customHeight="1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  <c r="AA865" s="115"/>
      <c r="AB865" s="115"/>
      <c r="AC865" s="115"/>
      <c r="AD865" s="115"/>
      <c r="AE865" s="115"/>
      <c r="AF865" s="115"/>
      <c r="AG865" s="115"/>
    </row>
    <row r="866" ht="15.75" customHeight="1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  <c r="AA866" s="115"/>
      <c r="AB866" s="115"/>
      <c r="AC866" s="115"/>
      <c r="AD866" s="115"/>
      <c r="AE866" s="115"/>
      <c r="AF866" s="115"/>
      <c r="AG866" s="115"/>
    </row>
    <row r="867" ht="15.75" customHeight="1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  <c r="AA867" s="115"/>
      <c r="AB867" s="115"/>
      <c r="AC867" s="115"/>
      <c r="AD867" s="115"/>
      <c r="AE867" s="115"/>
      <c r="AF867" s="115"/>
      <c r="AG867" s="115"/>
    </row>
    <row r="868" ht="15.75" customHeight="1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  <c r="AA868" s="115"/>
      <c r="AB868" s="115"/>
      <c r="AC868" s="115"/>
      <c r="AD868" s="115"/>
      <c r="AE868" s="115"/>
      <c r="AF868" s="115"/>
      <c r="AG868" s="115"/>
    </row>
    <row r="869" ht="15.75" customHeight="1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  <c r="AA869" s="115"/>
      <c r="AB869" s="115"/>
      <c r="AC869" s="115"/>
      <c r="AD869" s="115"/>
      <c r="AE869" s="115"/>
      <c r="AF869" s="115"/>
      <c r="AG869" s="115"/>
    </row>
    <row r="870" ht="15.75" customHeight="1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  <c r="AA870" s="115"/>
      <c r="AB870" s="115"/>
      <c r="AC870" s="115"/>
      <c r="AD870" s="115"/>
      <c r="AE870" s="115"/>
      <c r="AF870" s="115"/>
      <c r="AG870" s="115"/>
    </row>
    <row r="871" ht="15.75" customHeight="1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  <c r="AA871" s="115"/>
      <c r="AB871" s="115"/>
      <c r="AC871" s="115"/>
      <c r="AD871" s="115"/>
      <c r="AE871" s="115"/>
      <c r="AF871" s="115"/>
      <c r="AG871" s="115"/>
    </row>
    <row r="872" ht="15.75" customHeight="1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  <c r="AA872" s="115"/>
      <c r="AB872" s="115"/>
      <c r="AC872" s="115"/>
      <c r="AD872" s="115"/>
      <c r="AE872" s="115"/>
      <c r="AF872" s="115"/>
      <c r="AG872" s="115"/>
    </row>
    <row r="873" ht="15.75" customHeight="1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  <c r="AA873" s="115"/>
      <c r="AB873" s="115"/>
      <c r="AC873" s="115"/>
      <c r="AD873" s="115"/>
      <c r="AE873" s="115"/>
      <c r="AF873" s="115"/>
      <c r="AG873" s="115"/>
    </row>
    <row r="874" ht="15.75" customHeight="1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  <c r="AA874" s="115"/>
      <c r="AB874" s="115"/>
      <c r="AC874" s="115"/>
      <c r="AD874" s="115"/>
      <c r="AE874" s="115"/>
      <c r="AF874" s="115"/>
      <c r="AG874" s="115"/>
    </row>
    <row r="875" ht="15.75" customHeight="1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  <c r="AA875" s="115"/>
      <c r="AB875" s="115"/>
      <c r="AC875" s="115"/>
      <c r="AD875" s="115"/>
      <c r="AE875" s="115"/>
      <c r="AF875" s="115"/>
      <c r="AG875" s="115"/>
    </row>
    <row r="876" ht="15.75" customHeight="1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  <c r="AA876" s="115"/>
      <c r="AB876" s="115"/>
      <c r="AC876" s="115"/>
      <c r="AD876" s="115"/>
      <c r="AE876" s="115"/>
      <c r="AF876" s="115"/>
      <c r="AG876" s="115"/>
    </row>
    <row r="877" ht="15.75" customHeight="1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  <c r="AA877" s="115"/>
      <c r="AB877" s="115"/>
      <c r="AC877" s="115"/>
      <c r="AD877" s="115"/>
      <c r="AE877" s="115"/>
      <c r="AF877" s="115"/>
      <c r="AG877" s="115"/>
    </row>
    <row r="878" ht="15.75" customHeight="1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  <c r="AA878" s="115"/>
      <c r="AB878" s="115"/>
      <c r="AC878" s="115"/>
      <c r="AD878" s="115"/>
      <c r="AE878" s="115"/>
      <c r="AF878" s="115"/>
      <c r="AG878" s="115"/>
    </row>
    <row r="879" ht="15.75" customHeight="1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  <c r="AA879" s="115"/>
      <c r="AB879" s="115"/>
      <c r="AC879" s="115"/>
      <c r="AD879" s="115"/>
      <c r="AE879" s="115"/>
      <c r="AF879" s="115"/>
      <c r="AG879" s="115"/>
    </row>
    <row r="880" ht="15.75" customHeight="1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  <c r="AA880" s="115"/>
      <c r="AB880" s="115"/>
      <c r="AC880" s="115"/>
      <c r="AD880" s="115"/>
      <c r="AE880" s="115"/>
      <c r="AF880" s="115"/>
      <c r="AG880" s="115"/>
    </row>
    <row r="881" ht="15.75" customHeight="1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  <c r="AA881" s="115"/>
      <c r="AB881" s="115"/>
      <c r="AC881" s="115"/>
      <c r="AD881" s="115"/>
      <c r="AE881" s="115"/>
      <c r="AF881" s="115"/>
      <c r="AG881" s="115"/>
    </row>
    <row r="882" ht="15.75" customHeight="1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  <c r="AA882" s="115"/>
      <c r="AB882" s="115"/>
      <c r="AC882" s="115"/>
      <c r="AD882" s="115"/>
      <c r="AE882" s="115"/>
      <c r="AF882" s="115"/>
      <c r="AG882" s="115"/>
    </row>
    <row r="883" ht="15.75" customHeight="1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  <c r="AA883" s="115"/>
      <c r="AB883" s="115"/>
      <c r="AC883" s="115"/>
      <c r="AD883" s="115"/>
      <c r="AE883" s="115"/>
      <c r="AF883" s="115"/>
      <c r="AG883" s="115"/>
    </row>
    <row r="884" ht="15.75" customHeight="1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  <c r="AA884" s="115"/>
      <c r="AB884" s="115"/>
      <c r="AC884" s="115"/>
      <c r="AD884" s="115"/>
      <c r="AE884" s="115"/>
      <c r="AF884" s="115"/>
      <c r="AG884" s="115"/>
    </row>
    <row r="885" ht="15.75" customHeight="1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  <c r="AA885" s="115"/>
      <c r="AB885" s="115"/>
      <c r="AC885" s="115"/>
      <c r="AD885" s="115"/>
      <c r="AE885" s="115"/>
      <c r="AF885" s="115"/>
      <c r="AG885" s="115"/>
    </row>
    <row r="886" ht="15.75" customHeight="1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  <c r="AA886" s="115"/>
      <c r="AB886" s="115"/>
      <c r="AC886" s="115"/>
      <c r="AD886" s="115"/>
      <c r="AE886" s="115"/>
      <c r="AF886" s="115"/>
      <c r="AG886" s="115"/>
    </row>
    <row r="887" ht="15.75" customHeight="1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  <c r="AA887" s="115"/>
      <c r="AB887" s="115"/>
      <c r="AC887" s="115"/>
      <c r="AD887" s="115"/>
      <c r="AE887" s="115"/>
      <c r="AF887" s="115"/>
      <c r="AG887" s="115"/>
    </row>
    <row r="888" ht="15.75" customHeight="1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  <c r="AA888" s="115"/>
      <c r="AB888" s="115"/>
      <c r="AC888" s="115"/>
      <c r="AD888" s="115"/>
      <c r="AE888" s="115"/>
      <c r="AF888" s="115"/>
      <c r="AG888" s="115"/>
    </row>
    <row r="889" ht="15.75" customHeight="1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  <c r="AA889" s="115"/>
      <c r="AB889" s="115"/>
      <c r="AC889" s="115"/>
      <c r="AD889" s="115"/>
      <c r="AE889" s="115"/>
      <c r="AF889" s="115"/>
      <c r="AG889" s="115"/>
    </row>
    <row r="890" ht="15.75" customHeight="1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  <c r="AA890" s="115"/>
      <c r="AB890" s="115"/>
      <c r="AC890" s="115"/>
      <c r="AD890" s="115"/>
      <c r="AE890" s="115"/>
      <c r="AF890" s="115"/>
      <c r="AG890" s="115"/>
    </row>
    <row r="891" ht="15.75" customHeight="1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  <c r="AA891" s="115"/>
      <c r="AB891" s="115"/>
      <c r="AC891" s="115"/>
      <c r="AD891" s="115"/>
      <c r="AE891" s="115"/>
      <c r="AF891" s="115"/>
      <c r="AG891" s="115"/>
    </row>
    <row r="892" ht="15.75" customHeight="1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  <c r="AA892" s="115"/>
      <c r="AB892" s="115"/>
      <c r="AC892" s="115"/>
      <c r="AD892" s="115"/>
      <c r="AE892" s="115"/>
      <c r="AF892" s="115"/>
      <c r="AG892" s="115"/>
    </row>
    <row r="893" ht="15.75" customHeight="1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  <c r="AA893" s="115"/>
      <c r="AB893" s="115"/>
      <c r="AC893" s="115"/>
      <c r="AD893" s="115"/>
      <c r="AE893" s="115"/>
      <c r="AF893" s="115"/>
      <c r="AG893" s="115"/>
    </row>
    <row r="894" ht="15.75" customHeight="1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  <c r="AA894" s="115"/>
      <c r="AB894" s="115"/>
      <c r="AC894" s="115"/>
      <c r="AD894" s="115"/>
      <c r="AE894" s="115"/>
      <c r="AF894" s="115"/>
      <c r="AG894" s="115"/>
    </row>
    <row r="895" ht="15.75" customHeight="1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  <c r="AA895" s="115"/>
      <c r="AB895" s="115"/>
      <c r="AC895" s="115"/>
      <c r="AD895" s="115"/>
      <c r="AE895" s="115"/>
      <c r="AF895" s="115"/>
      <c r="AG895" s="115"/>
    </row>
    <row r="896" ht="15.75" customHeight="1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  <c r="AA896" s="115"/>
      <c r="AB896" s="115"/>
      <c r="AC896" s="115"/>
      <c r="AD896" s="115"/>
      <c r="AE896" s="115"/>
      <c r="AF896" s="115"/>
      <c r="AG896" s="115"/>
    </row>
    <row r="897" ht="15.75" customHeight="1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  <c r="AA897" s="115"/>
      <c r="AB897" s="115"/>
      <c r="AC897" s="115"/>
      <c r="AD897" s="115"/>
      <c r="AE897" s="115"/>
      <c r="AF897" s="115"/>
      <c r="AG897" s="115"/>
    </row>
    <row r="898" ht="15.75" customHeight="1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  <c r="AA898" s="115"/>
      <c r="AB898" s="115"/>
      <c r="AC898" s="115"/>
      <c r="AD898" s="115"/>
      <c r="AE898" s="115"/>
      <c r="AF898" s="115"/>
      <c r="AG898" s="115"/>
    </row>
    <row r="899" ht="15.75" customHeight="1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  <c r="AA899" s="115"/>
      <c r="AB899" s="115"/>
      <c r="AC899" s="115"/>
      <c r="AD899" s="115"/>
      <c r="AE899" s="115"/>
      <c r="AF899" s="115"/>
      <c r="AG899" s="115"/>
    </row>
    <row r="900" ht="15.75" customHeight="1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  <c r="AA900" s="115"/>
      <c r="AB900" s="115"/>
      <c r="AC900" s="115"/>
      <c r="AD900" s="115"/>
      <c r="AE900" s="115"/>
      <c r="AF900" s="115"/>
      <c r="AG900" s="115"/>
    </row>
    <row r="901" ht="15.75" customHeight="1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  <c r="AA901" s="115"/>
      <c r="AB901" s="115"/>
      <c r="AC901" s="115"/>
      <c r="AD901" s="115"/>
      <c r="AE901" s="115"/>
      <c r="AF901" s="115"/>
      <c r="AG901" s="115"/>
    </row>
    <row r="902" ht="15.75" customHeight="1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  <c r="AA902" s="115"/>
      <c r="AB902" s="115"/>
      <c r="AC902" s="115"/>
      <c r="AD902" s="115"/>
      <c r="AE902" s="115"/>
      <c r="AF902" s="115"/>
      <c r="AG902" s="115"/>
    </row>
    <row r="903" ht="15.75" customHeight="1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  <c r="AA903" s="115"/>
      <c r="AB903" s="115"/>
      <c r="AC903" s="115"/>
      <c r="AD903" s="115"/>
      <c r="AE903" s="115"/>
      <c r="AF903" s="115"/>
      <c r="AG903" s="115"/>
    </row>
    <row r="904" ht="15.75" customHeight="1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  <c r="AA904" s="115"/>
      <c r="AB904" s="115"/>
      <c r="AC904" s="115"/>
      <c r="AD904" s="115"/>
      <c r="AE904" s="115"/>
      <c r="AF904" s="115"/>
      <c r="AG904" s="115"/>
    </row>
    <row r="905" ht="15.75" customHeight="1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  <c r="AA905" s="115"/>
      <c r="AB905" s="115"/>
      <c r="AC905" s="115"/>
      <c r="AD905" s="115"/>
      <c r="AE905" s="115"/>
      <c r="AF905" s="115"/>
      <c r="AG905" s="115"/>
    </row>
    <row r="906" ht="15.75" customHeight="1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  <c r="AA906" s="115"/>
      <c r="AB906" s="115"/>
      <c r="AC906" s="115"/>
      <c r="AD906" s="115"/>
      <c r="AE906" s="115"/>
      <c r="AF906" s="115"/>
      <c r="AG906" s="115"/>
    </row>
    <row r="907" ht="15.75" customHeight="1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  <c r="AA907" s="115"/>
      <c r="AB907" s="115"/>
      <c r="AC907" s="115"/>
      <c r="AD907" s="115"/>
      <c r="AE907" s="115"/>
      <c r="AF907" s="115"/>
      <c r="AG907" s="115"/>
    </row>
    <row r="908" ht="15.75" customHeight="1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  <c r="AA908" s="115"/>
      <c r="AB908" s="115"/>
      <c r="AC908" s="115"/>
      <c r="AD908" s="115"/>
      <c r="AE908" s="115"/>
      <c r="AF908" s="115"/>
      <c r="AG908" s="115"/>
    </row>
    <row r="909" ht="15.75" customHeight="1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  <c r="AA909" s="115"/>
      <c r="AB909" s="115"/>
      <c r="AC909" s="115"/>
      <c r="AD909" s="115"/>
      <c r="AE909" s="115"/>
      <c r="AF909" s="115"/>
      <c r="AG909" s="115"/>
    </row>
    <row r="910" ht="15.75" customHeight="1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  <c r="AA910" s="115"/>
      <c r="AB910" s="115"/>
      <c r="AC910" s="115"/>
      <c r="AD910" s="115"/>
      <c r="AE910" s="115"/>
      <c r="AF910" s="115"/>
      <c r="AG910" s="115"/>
    </row>
    <row r="911" ht="15.75" customHeight="1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  <c r="AA911" s="115"/>
      <c r="AB911" s="115"/>
      <c r="AC911" s="115"/>
      <c r="AD911" s="115"/>
      <c r="AE911" s="115"/>
      <c r="AF911" s="115"/>
      <c r="AG911" s="115"/>
    </row>
    <row r="912" ht="15.75" customHeight="1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  <c r="AA912" s="115"/>
      <c r="AB912" s="115"/>
      <c r="AC912" s="115"/>
      <c r="AD912" s="115"/>
      <c r="AE912" s="115"/>
      <c r="AF912" s="115"/>
      <c r="AG912" s="115"/>
    </row>
    <row r="913" ht="15.75" customHeight="1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  <c r="AA913" s="115"/>
      <c r="AB913" s="115"/>
      <c r="AC913" s="115"/>
      <c r="AD913" s="115"/>
      <c r="AE913" s="115"/>
      <c r="AF913" s="115"/>
      <c r="AG913" s="115"/>
    </row>
    <row r="914" ht="15.75" customHeight="1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  <c r="AA914" s="115"/>
      <c r="AB914" s="115"/>
      <c r="AC914" s="115"/>
      <c r="AD914" s="115"/>
      <c r="AE914" s="115"/>
      <c r="AF914" s="115"/>
      <c r="AG914" s="115"/>
    </row>
    <row r="915" ht="15.75" customHeight="1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  <c r="AA915" s="115"/>
      <c r="AB915" s="115"/>
      <c r="AC915" s="115"/>
      <c r="AD915" s="115"/>
      <c r="AE915" s="115"/>
      <c r="AF915" s="115"/>
      <c r="AG915" s="115"/>
    </row>
    <row r="916" ht="15.75" customHeight="1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  <c r="AA916" s="115"/>
      <c r="AB916" s="115"/>
      <c r="AC916" s="115"/>
      <c r="AD916" s="115"/>
      <c r="AE916" s="115"/>
      <c r="AF916" s="115"/>
      <c r="AG916" s="115"/>
    </row>
    <row r="917" ht="15.75" customHeight="1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  <c r="AA917" s="115"/>
      <c r="AB917" s="115"/>
      <c r="AC917" s="115"/>
      <c r="AD917" s="115"/>
      <c r="AE917" s="115"/>
      <c r="AF917" s="115"/>
      <c r="AG917" s="115"/>
    </row>
    <row r="918" ht="15.75" customHeight="1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  <c r="AA918" s="115"/>
      <c r="AB918" s="115"/>
      <c r="AC918" s="115"/>
      <c r="AD918" s="115"/>
      <c r="AE918" s="115"/>
      <c r="AF918" s="115"/>
      <c r="AG918" s="115"/>
    </row>
    <row r="919" ht="15.75" customHeight="1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  <c r="AA919" s="115"/>
      <c r="AB919" s="115"/>
      <c r="AC919" s="115"/>
      <c r="AD919" s="115"/>
      <c r="AE919" s="115"/>
      <c r="AF919" s="115"/>
      <c r="AG919" s="115"/>
    </row>
    <row r="920" ht="15.75" customHeight="1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  <c r="AA920" s="115"/>
      <c r="AB920" s="115"/>
      <c r="AC920" s="115"/>
      <c r="AD920" s="115"/>
      <c r="AE920" s="115"/>
      <c r="AF920" s="115"/>
      <c r="AG920" s="115"/>
    </row>
    <row r="921" ht="15.75" customHeight="1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  <c r="AA921" s="115"/>
      <c r="AB921" s="115"/>
      <c r="AC921" s="115"/>
      <c r="AD921" s="115"/>
      <c r="AE921" s="115"/>
      <c r="AF921" s="115"/>
      <c r="AG921" s="115"/>
    </row>
    <row r="922" ht="15.75" customHeight="1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  <c r="AA922" s="115"/>
      <c r="AB922" s="115"/>
      <c r="AC922" s="115"/>
      <c r="AD922" s="115"/>
      <c r="AE922" s="115"/>
      <c r="AF922" s="115"/>
      <c r="AG922" s="115"/>
    </row>
    <row r="923" ht="15.75" customHeight="1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  <c r="AA923" s="115"/>
      <c r="AB923" s="115"/>
      <c r="AC923" s="115"/>
      <c r="AD923" s="115"/>
      <c r="AE923" s="115"/>
      <c r="AF923" s="115"/>
      <c r="AG923" s="115"/>
    </row>
    <row r="924" ht="15.75" customHeight="1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  <c r="AA924" s="115"/>
      <c r="AB924" s="115"/>
      <c r="AC924" s="115"/>
      <c r="AD924" s="115"/>
      <c r="AE924" s="115"/>
      <c r="AF924" s="115"/>
      <c r="AG924" s="115"/>
    </row>
    <row r="925" ht="15.75" customHeight="1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  <c r="AA925" s="115"/>
      <c r="AB925" s="115"/>
      <c r="AC925" s="115"/>
      <c r="AD925" s="115"/>
      <c r="AE925" s="115"/>
      <c r="AF925" s="115"/>
      <c r="AG925" s="115"/>
    </row>
    <row r="926" ht="15.75" customHeight="1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  <c r="AA926" s="115"/>
      <c r="AB926" s="115"/>
      <c r="AC926" s="115"/>
      <c r="AD926" s="115"/>
      <c r="AE926" s="115"/>
      <c r="AF926" s="115"/>
      <c r="AG926" s="115"/>
    </row>
    <row r="927" ht="15.75" customHeight="1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  <c r="AA927" s="115"/>
      <c r="AB927" s="115"/>
      <c r="AC927" s="115"/>
      <c r="AD927" s="115"/>
      <c r="AE927" s="115"/>
      <c r="AF927" s="115"/>
      <c r="AG927" s="115"/>
    </row>
    <row r="928" ht="15.75" customHeight="1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  <c r="AA928" s="115"/>
      <c r="AB928" s="115"/>
      <c r="AC928" s="115"/>
      <c r="AD928" s="115"/>
      <c r="AE928" s="115"/>
      <c r="AF928" s="115"/>
      <c r="AG928" s="115"/>
    </row>
    <row r="929" ht="15.75" customHeight="1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  <c r="AA929" s="115"/>
      <c r="AB929" s="115"/>
      <c r="AC929" s="115"/>
      <c r="AD929" s="115"/>
      <c r="AE929" s="115"/>
      <c r="AF929" s="115"/>
      <c r="AG929" s="115"/>
    </row>
    <row r="930" ht="15.75" customHeight="1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  <c r="AA930" s="115"/>
      <c r="AB930" s="115"/>
      <c r="AC930" s="115"/>
      <c r="AD930" s="115"/>
      <c r="AE930" s="115"/>
      <c r="AF930" s="115"/>
      <c r="AG930" s="115"/>
    </row>
    <row r="931" ht="15.75" customHeight="1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  <c r="AA931" s="115"/>
      <c r="AB931" s="115"/>
      <c r="AC931" s="115"/>
      <c r="AD931" s="115"/>
      <c r="AE931" s="115"/>
      <c r="AF931" s="115"/>
      <c r="AG931" s="115"/>
    </row>
    <row r="932" ht="15.75" customHeight="1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  <c r="AA932" s="115"/>
      <c r="AB932" s="115"/>
      <c r="AC932" s="115"/>
      <c r="AD932" s="115"/>
      <c r="AE932" s="115"/>
      <c r="AF932" s="115"/>
      <c r="AG932" s="115"/>
    </row>
    <row r="933" ht="15.75" customHeight="1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  <c r="AA933" s="115"/>
      <c r="AB933" s="115"/>
      <c r="AC933" s="115"/>
      <c r="AD933" s="115"/>
      <c r="AE933" s="115"/>
      <c r="AF933" s="115"/>
      <c r="AG933" s="115"/>
    </row>
    <row r="934" ht="15.75" customHeight="1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  <c r="AA934" s="115"/>
      <c r="AB934" s="115"/>
      <c r="AC934" s="115"/>
      <c r="AD934" s="115"/>
      <c r="AE934" s="115"/>
      <c r="AF934" s="115"/>
      <c r="AG934" s="115"/>
    </row>
    <row r="935" ht="15.75" customHeight="1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  <c r="AA935" s="115"/>
      <c r="AB935" s="115"/>
      <c r="AC935" s="115"/>
      <c r="AD935" s="115"/>
      <c r="AE935" s="115"/>
      <c r="AF935" s="115"/>
      <c r="AG935" s="115"/>
    </row>
    <row r="936" ht="15.75" customHeight="1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  <c r="AA936" s="115"/>
      <c r="AB936" s="115"/>
      <c r="AC936" s="115"/>
      <c r="AD936" s="115"/>
      <c r="AE936" s="115"/>
      <c r="AF936" s="115"/>
      <c r="AG936" s="115"/>
    </row>
    <row r="937" ht="15.75" customHeight="1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  <c r="AA937" s="115"/>
      <c r="AB937" s="115"/>
      <c r="AC937" s="115"/>
      <c r="AD937" s="115"/>
      <c r="AE937" s="115"/>
      <c r="AF937" s="115"/>
      <c r="AG937" s="115"/>
    </row>
    <row r="938" ht="15.75" customHeight="1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  <c r="AA938" s="115"/>
      <c r="AB938" s="115"/>
      <c r="AC938" s="115"/>
      <c r="AD938" s="115"/>
      <c r="AE938" s="115"/>
      <c r="AF938" s="115"/>
      <c r="AG938" s="115"/>
    </row>
    <row r="939" ht="15.75" customHeight="1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  <c r="AA939" s="115"/>
      <c r="AB939" s="115"/>
      <c r="AC939" s="115"/>
      <c r="AD939" s="115"/>
      <c r="AE939" s="115"/>
      <c r="AF939" s="115"/>
      <c r="AG939" s="115"/>
    </row>
    <row r="940" ht="15.75" customHeight="1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  <c r="AA940" s="115"/>
      <c r="AB940" s="115"/>
      <c r="AC940" s="115"/>
      <c r="AD940" s="115"/>
      <c r="AE940" s="115"/>
      <c r="AF940" s="115"/>
      <c r="AG940" s="115"/>
    </row>
    <row r="941" ht="15.75" customHeight="1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  <c r="AA941" s="115"/>
      <c r="AB941" s="115"/>
      <c r="AC941" s="115"/>
      <c r="AD941" s="115"/>
      <c r="AE941" s="115"/>
      <c r="AF941" s="115"/>
      <c r="AG941" s="115"/>
    </row>
    <row r="942" ht="15.75" customHeight="1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  <c r="AA942" s="115"/>
      <c r="AB942" s="115"/>
      <c r="AC942" s="115"/>
      <c r="AD942" s="115"/>
      <c r="AE942" s="115"/>
      <c r="AF942" s="115"/>
      <c r="AG942" s="115"/>
    </row>
    <row r="943" ht="15.75" customHeight="1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  <c r="AA943" s="115"/>
      <c r="AB943" s="115"/>
      <c r="AC943" s="115"/>
      <c r="AD943" s="115"/>
      <c r="AE943" s="115"/>
      <c r="AF943" s="115"/>
      <c r="AG943" s="115"/>
    </row>
    <row r="944" ht="15.75" customHeight="1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  <c r="AA944" s="115"/>
      <c r="AB944" s="115"/>
      <c r="AC944" s="115"/>
      <c r="AD944" s="115"/>
      <c r="AE944" s="115"/>
      <c r="AF944" s="115"/>
      <c r="AG944" s="115"/>
    </row>
    <row r="945" ht="15.75" customHeight="1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  <c r="AA945" s="115"/>
      <c r="AB945" s="115"/>
      <c r="AC945" s="115"/>
      <c r="AD945" s="115"/>
      <c r="AE945" s="115"/>
      <c r="AF945" s="115"/>
      <c r="AG945" s="115"/>
    </row>
    <row r="946" ht="15.75" customHeight="1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  <c r="AA946" s="115"/>
      <c r="AB946" s="115"/>
      <c r="AC946" s="115"/>
      <c r="AD946" s="115"/>
      <c r="AE946" s="115"/>
      <c r="AF946" s="115"/>
      <c r="AG946" s="115"/>
    </row>
    <row r="947" ht="15.75" customHeight="1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  <c r="AA947" s="115"/>
      <c r="AB947" s="115"/>
      <c r="AC947" s="115"/>
      <c r="AD947" s="115"/>
      <c r="AE947" s="115"/>
      <c r="AF947" s="115"/>
      <c r="AG947" s="115"/>
    </row>
    <row r="948" ht="15.75" customHeight="1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  <c r="AA948" s="115"/>
      <c r="AB948" s="115"/>
      <c r="AC948" s="115"/>
      <c r="AD948" s="115"/>
      <c r="AE948" s="115"/>
      <c r="AF948" s="115"/>
      <c r="AG948" s="115"/>
    </row>
    <row r="949" ht="15.75" customHeight="1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  <c r="AA949" s="115"/>
      <c r="AB949" s="115"/>
      <c r="AC949" s="115"/>
      <c r="AD949" s="115"/>
      <c r="AE949" s="115"/>
      <c r="AF949" s="115"/>
      <c r="AG949" s="115"/>
    </row>
    <row r="950" ht="15.75" customHeight="1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  <c r="AA950" s="115"/>
      <c r="AB950" s="115"/>
      <c r="AC950" s="115"/>
      <c r="AD950" s="115"/>
      <c r="AE950" s="115"/>
      <c r="AF950" s="115"/>
      <c r="AG950" s="115"/>
    </row>
    <row r="951" ht="15.75" customHeight="1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  <c r="AA951" s="115"/>
      <c r="AB951" s="115"/>
      <c r="AC951" s="115"/>
      <c r="AD951" s="115"/>
      <c r="AE951" s="115"/>
      <c r="AF951" s="115"/>
      <c r="AG951" s="115"/>
    </row>
    <row r="952" ht="15.75" customHeight="1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  <c r="AA952" s="115"/>
      <c r="AB952" s="115"/>
      <c r="AC952" s="115"/>
      <c r="AD952" s="115"/>
      <c r="AE952" s="115"/>
      <c r="AF952" s="115"/>
      <c r="AG952" s="115"/>
    </row>
    <row r="953" ht="15.75" customHeight="1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  <c r="AA953" s="115"/>
      <c r="AB953" s="115"/>
      <c r="AC953" s="115"/>
      <c r="AD953" s="115"/>
      <c r="AE953" s="115"/>
      <c r="AF953" s="115"/>
      <c r="AG953" s="115"/>
    </row>
    <row r="954" ht="15.75" customHeight="1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  <c r="AA954" s="115"/>
      <c r="AB954" s="115"/>
      <c r="AC954" s="115"/>
      <c r="AD954" s="115"/>
      <c r="AE954" s="115"/>
      <c r="AF954" s="115"/>
      <c r="AG954" s="115"/>
    </row>
    <row r="955" ht="15.75" customHeight="1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  <c r="AA955" s="115"/>
      <c r="AB955" s="115"/>
      <c r="AC955" s="115"/>
      <c r="AD955" s="115"/>
      <c r="AE955" s="115"/>
      <c r="AF955" s="115"/>
      <c r="AG955" s="115"/>
    </row>
    <row r="956" ht="15.75" customHeight="1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  <c r="AA956" s="115"/>
      <c r="AB956" s="115"/>
      <c r="AC956" s="115"/>
      <c r="AD956" s="115"/>
      <c r="AE956" s="115"/>
      <c r="AF956" s="115"/>
      <c r="AG956" s="115"/>
    </row>
    <row r="957" ht="15.75" customHeight="1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  <c r="AA957" s="115"/>
      <c r="AB957" s="115"/>
      <c r="AC957" s="115"/>
      <c r="AD957" s="115"/>
      <c r="AE957" s="115"/>
      <c r="AF957" s="115"/>
      <c r="AG957" s="115"/>
    </row>
    <row r="958" ht="15.75" customHeight="1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  <c r="AA958" s="115"/>
      <c r="AB958" s="115"/>
      <c r="AC958" s="115"/>
      <c r="AD958" s="115"/>
      <c r="AE958" s="115"/>
      <c r="AF958" s="115"/>
      <c r="AG958" s="115"/>
    </row>
    <row r="959" ht="15.75" customHeight="1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  <c r="AA959" s="115"/>
      <c r="AB959" s="115"/>
      <c r="AC959" s="115"/>
      <c r="AD959" s="115"/>
      <c r="AE959" s="115"/>
      <c r="AF959" s="115"/>
      <c r="AG959" s="115"/>
    </row>
    <row r="960" ht="15.75" customHeight="1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  <c r="AA960" s="115"/>
      <c r="AB960" s="115"/>
      <c r="AC960" s="115"/>
      <c r="AD960" s="115"/>
      <c r="AE960" s="115"/>
      <c r="AF960" s="115"/>
      <c r="AG960" s="115"/>
    </row>
    <row r="961" ht="15.75" customHeight="1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  <c r="AA961" s="115"/>
      <c r="AB961" s="115"/>
      <c r="AC961" s="115"/>
      <c r="AD961" s="115"/>
      <c r="AE961" s="115"/>
      <c r="AF961" s="115"/>
      <c r="AG961" s="115"/>
    </row>
    <row r="962" ht="15.75" customHeight="1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  <c r="AA962" s="115"/>
      <c r="AB962" s="115"/>
      <c r="AC962" s="115"/>
      <c r="AD962" s="115"/>
      <c r="AE962" s="115"/>
      <c r="AF962" s="115"/>
      <c r="AG962" s="115"/>
    </row>
    <row r="963" ht="15.75" customHeight="1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  <c r="AA963" s="115"/>
      <c r="AB963" s="115"/>
      <c r="AC963" s="115"/>
      <c r="AD963" s="115"/>
      <c r="AE963" s="115"/>
      <c r="AF963" s="115"/>
      <c r="AG963" s="115"/>
    </row>
    <row r="964" ht="15.75" customHeight="1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  <c r="AA964" s="115"/>
      <c r="AB964" s="115"/>
      <c r="AC964" s="115"/>
      <c r="AD964" s="115"/>
      <c r="AE964" s="115"/>
      <c r="AF964" s="115"/>
      <c r="AG964" s="115"/>
    </row>
    <row r="965" ht="15.75" customHeight="1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  <c r="AA965" s="115"/>
      <c r="AB965" s="115"/>
      <c r="AC965" s="115"/>
      <c r="AD965" s="115"/>
      <c r="AE965" s="115"/>
      <c r="AF965" s="115"/>
      <c r="AG965" s="115"/>
    </row>
    <row r="966" ht="15.75" customHeight="1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  <c r="AA966" s="115"/>
      <c r="AB966" s="115"/>
      <c r="AC966" s="115"/>
      <c r="AD966" s="115"/>
      <c r="AE966" s="115"/>
      <c r="AF966" s="115"/>
      <c r="AG966" s="115"/>
    </row>
    <row r="967" ht="15.75" customHeight="1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  <c r="AA967" s="115"/>
      <c r="AB967" s="115"/>
      <c r="AC967" s="115"/>
      <c r="AD967" s="115"/>
      <c r="AE967" s="115"/>
      <c r="AF967" s="115"/>
      <c r="AG967" s="115"/>
    </row>
    <row r="968" ht="15.75" customHeight="1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  <c r="AA968" s="115"/>
      <c r="AB968" s="115"/>
      <c r="AC968" s="115"/>
      <c r="AD968" s="115"/>
      <c r="AE968" s="115"/>
      <c r="AF968" s="115"/>
      <c r="AG968" s="115"/>
    </row>
    <row r="969" ht="15.75" customHeight="1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  <c r="AA969" s="115"/>
      <c r="AB969" s="115"/>
      <c r="AC969" s="115"/>
      <c r="AD969" s="115"/>
      <c r="AE969" s="115"/>
      <c r="AF969" s="115"/>
      <c r="AG969" s="115"/>
    </row>
    <row r="970" ht="15.75" customHeight="1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  <c r="AA970" s="115"/>
      <c r="AB970" s="115"/>
      <c r="AC970" s="115"/>
      <c r="AD970" s="115"/>
      <c r="AE970" s="115"/>
      <c r="AF970" s="115"/>
      <c r="AG970" s="115"/>
    </row>
    <row r="971" ht="15.75" customHeight="1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  <c r="AA971" s="115"/>
      <c r="AB971" s="115"/>
      <c r="AC971" s="115"/>
      <c r="AD971" s="115"/>
      <c r="AE971" s="115"/>
      <c r="AF971" s="115"/>
      <c r="AG971" s="115"/>
    </row>
    <row r="972" ht="15.75" customHeight="1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  <c r="AA972" s="115"/>
      <c r="AB972" s="115"/>
      <c r="AC972" s="115"/>
      <c r="AD972" s="115"/>
      <c r="AE972" s="115"/>
      <c r="AF972" s="115"/>
      <c r="AG972" s="115"/>
    </row>
    <row r="973" ht="15.75" customHeight="1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  <c r="AA973" s="115"/>
      <c r="AB973" s="115"/>
      <c r="AC973" s="115"/>
      <c r="AD973" s="115"/>
      <c r="AE973" s="115"/>
      <c r="AF973" s="115"/>
      <c r="AG973" s="115"/>
    </row>
    <row r="974" ht="15.75" customHeight="1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  <c r="AA974" s="115"/>
      <c r="AB974" s="115"/>
      <c r="AC974" s="115"/>
      <c r="AD974" s="115"/>
      <c r="AE974" s="115"/>
      <c r="AF974" s="115"/>
      <c r="AG974" s="115"/>
    </row>
    <row r="975" ht="15.75" customHeight="1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  <c r="AA975" s="115"/>
      <c r="AB975" s="115"/>
      <c r="AC975" s="115"/>
      <c r="AD975" s="115"/>
      <c r="AE975" s="115"/>
      <c r="AF975" s="115"/>
      <c r="AG975" s="115"/>
    </row>
    <row r="976" ht="15.75" customHeight="1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  <c r="AA976" s="115"/>
      <c r="AB976" s="115"/>
      <c r="AC976" s="115"/>
      <c r="AD976" s="115"/>
      <c r="AE976" s="115"/>
      <c r="AF976" s="115"/>
      <c r="AG976" s="115"/>
    </row>
    <row r="977" ht="15.75" customHeight="1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  <c r="AA977" s="115"/>
      <c r="AB977" s="115"/>
      <c r="AC977" s="115"/>
      <c r="AD977" s="115"/>
      <c r="AE977" s="115"/>
      <c r="AF977" s="115"/>
      <c r="AG977" s="115"/>
    </row>
    <row r="978" ht="15.75" customHeight="1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  <c r="AA978" s="115"/>
      <c r="AB978" s="115"/>
      <c r="AC978" s="115"/>
      <c r="AD978" s="115"/>
      <c r="AE978" s="115"/>
      <c r="AF978" s="115"/>
      <c r="AG978" s="115"/>
    </row>
    <row r="979" ht="15.75" customHeight="1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  <c r="AA979" s="115"/>
      <c r="AB979" s="115"/>
      <c r="AC979" s="115"/>
      <c r="AD979" s="115"/>
      <c r="AE979" s="115"/>
      <c r="AF979" s="115"/>
      <c r="AG979" s="115"/>
    </row>
    <row r="980" ht="15.75" customHeight="1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  <c r="AA980" s="115"/>
      <c r="AB980" s="115"/>
      <c r="AC980" s="115"/>
      <c r="AD980" s="115"/>
      <c r="AE980" s="115"/>
      <c r="AF980" s="115"/>
      <c r="AG980" s="115"/>
    </row>
    <row r="981" ht="15.75" customHeight="1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  <c r="AA981" s="115"/>
      <c r="AB981" s="115"/>
      <c r="AC981" s="115"/>
      <c r="AD981" s="115"/>
      <c r="AE981" s="115"/>
      <c r="AF981" s="115"/>
      <c r="AG981" s="115"/>
    </row>
    <row r="982" ht="15.75" customHeight="1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  <c r="AA982" s="115"/>
      <c r="AB982" s="115"/>
      <c r="AC982" s="115"/>
      <c r="AD982" s="115"/>
      <c r="AE982" s="115"/>
      <c r="AF982" s="115"/>
      <c r="AG982" s="115"/>
    </row>
    <row r="983" ht="15.75" customHeight="1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  <c r="AA983" s="115"/>
      <c r="AB983" s="115"/>
      <c r="AC983" s="115"/>
      <c r="AD983" s="115"/>
      <c r="AE983" s="115"/>
      <c r="AF983" s="115"/>
      <c r="AG983" s="115"/>
    </row>
    <row r="984" ht="15.75" customHeight="1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  <c r="AA984" s="115"/>
      <c r="AB984" s="115"/>
      <c r="AC984" s="115"/>
      <c r="AD984" s="115"/>
      <c r="AE984" s="115"/>
      <c r="AF984" s="115"/>
      <c r="AG984" s="115"/>
    </row>
    <row r="985" ht="15.75" customHeight="1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</row>
    <row r="986" ht="15.75" customHeight="1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  <c r="AA986" s="115"/>
      <c r="AB986" s="115"/>
      <c r="AC986" s="115"/>
      <c r="AD986" s="115"/>
      <c r="AE986" s="115"/>
      <c r="AF986" s="115"/>
      <c r="AG986" s="115"/>
    </row>
    <row r="987" ht="15.75" customHeight="1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  <c r="AA987" s="115"/>
      <c r="AB987" s="115"/>
      <c r="AC987" s="115"/>
      <c r="AD987" s="115"/>
      <c r="AE987" s="115"/>
      <c r="AF987" s="115"/>
      <c r="AG987" s="115"/>
    </row>
    <row r="988" ht="15.75" customHeight="1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  <c r="AA988" s="115"/>
      <c r="AB988" s="115"/>
      <c r="AC988" s="115"/>
      <c r="AD988" s="115"/>
      <c r="AE988" s="115"/>
      <c r="AF988" s="115"/>
      <c r="AG988" s="115"/>
    </row>
    <row r="989" ht="15.75" customHeight="1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  <c r="AA989" s="115"/>
      <c r="AB989" s="115"/>
      <c r="AC989" s="115"/>
      <c r="AD989" s="115"/>
      <c r="AE989" s="115"/>
      <c r="AF989" s="115"/>
      <c r="AG989" s="115"/>
    </row>
    <row r="990" ht="15.75" customHeight="1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  <c r="AA990" s="115"/>
      <c r="AB990" s="115"/>
      <c r="AC990" s="115"/>
      <c r="AD990" s="115"/>
      <c r="AE990" s="115"/>
      <c r="AF990" s="115"/>
      <c r="AG990" s="115"/>
    </row>
    <row r="991" ht="15.75" customHeight="1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  <c r="AA991" s="115"/>
      <c r="AB991" s="115"/>
      <c r="AC991" s="115"/>
      <c r="AD991" s="115"/>
      <c r="AE991" s="115"/>
      <c r="AF991" s="115"/>
      <c r="AG991" s="115"/>
    </row>
    <row r="992" ht="15.75" customHeight="1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  <c r="AA992" s="115"/>
      <c r="AB992" s="115"/>
      <c r="AC992" s="115"/>
      <c r="AD992" s="115"/>
      <c r="AE992" s="115"/>
      <c r="AF992" s="115"/>
      <c r="AG992" s="115"/>
    </row>
    <row r="993" ht="15.75" customHeight="1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  <c r="AA993" s="115"/>
      <c r="AB993" s="115"/>
      <c r="AC993" s="115"/>
      <c r="AD993" s="115"/>
      <c r="AE993" s="115"/>
      <c r="AF993" s="115"/>
      <c r="AG993" s="115"/>
    </row>
    <row r="994" ht="15.75" customHeight="1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  <c r="AA994" s="115"/>
      <c r="AB994" s="115"/>
      <c r="AC994" s="115"/>
      <c r="AD994" s="115"/>
      <c r="AE994" s="115"/>
      <c r="AF994" s="115"/>
      <c r="AG994" s="11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24"/>
      <c r="F4" s="14"/>
      <c r="G4" s="29"/>
      <c r="H4" s="35"/>
      <c r="I4" s="14"/>
      <c r="J4" s="34"/>
      <c r="K4" s="34"/>
      <c r="L4" s="14"/>
      <c r="M4" s="3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43"/>
      <c r="D5" s="46"/>
      <c r="E5" s="24"/>
      <c r="F5" s="14"/>
      <c r="G5" s="29"/>
      <c r="H5" s="35"/>
      <c r="I5" s="14"/>
      <c r="J5" s="34"/>
      <c r="K5" s="34"/>
      <c r="L5" s="14"/>
      <c r="M5" s="3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43"/>
      <c r="D6" s="46"/>
      <c r="E6" s="24"/>
      <c r="F6" s="14"/>
      <c r="G6" s="29"/>
      <c r="H6" s="35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118"/>
      <c r="D7" s="46"/>
      <c r="E7" s="24"/>
      <c r="F7" s="14"/>
      <c r="G7" s="39"/>
      <c r="H7" s="96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3"/>
      <c r="D8" s="46"/>
      <c r="E8" s="24"/>
      <c r="F8" s="57"/>
      <c r="G8" s="29"/>
      <c r="H8" s="35"/>
      <c r="I8" s="14"/>
      <c r="J8" s="34"/>
      <c r="K8" s="34"/>
      <c r="L8" s="14"/>
      <c r="M8" s="34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3"/>
      <c r="D9" s="46"/>
      <c r="E9" s="24"/>
      <c r="F9" s="14"/>
      <c r="G9" s="39"/>
      <c r="H9" s="96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43"/>
      <c r="D10" s="46"/>
      <c r="E10" s="17"/>
      <c r="F10" s="14"/>
      <c r="G10" s="39"/>
      <c r="H10" s="96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19"/>
      <c r="G11" s="97"/>
      <c r="H11" s="31"/>
      <c r="I11" s="19"/>
      <c r="J11" s="19"/>
      <c r="K11" s="19"/>
      <c r="L11" s="14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19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74"/>
      <c r="D19" s="75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90"/>
      <c r="D20" s="91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24"/>
      <c r="F4" s="14"/>
      <c r="G4" s="29"/>
      <c r="H4" s="35"/>
      <c r="I4" s="14"/>
      <c r="J4" s="34"/>
      <c r="K4" s="34"/>
      <c r="L4" s="14"/>
      <c r="M4" s="3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43"/>
      <c r="D5" s="46"/>
      <c r="E5" s="24"/>
      <c r="F5" s="14"/>
      <c r="G5" s="29"/>
      <c r="H5" s="35"/>
      <c r="I5" s="14"/>
      <c r="J5" s="34"/>
      <c r="K5" s="34"/>
      <c r="L5" s="14"/>
      <c r="M5" s="3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43"/>
      <c r="D6" s="46"/>
      <c r="E6" s="48"/>
      <c r="F6" s="14"/>
      <c r="G6" s="39"/>
      <c r="H6" s="35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43"/>
      <c r="D7" s="46"/>
      <c r="E7" s="24"/>
      <c r="F7" s="14"/>
      <c r="G7" s="29"/>
      <c r="H7" s="35"/>
      <c r="I7" s="14"/>
      <c r="J7" s="34"/>
      <c r="K7" s="34"/>
      <c r="L7" s="14"/>
      <c r="M7" s="3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3"/>
      <c r="D8" s="46"/>
      <c r="E8" s="24"/>
      <c r="F8" s="122"/>
      <c r="G8" s="29"/>
      <c r="H8" s="35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3"/>
      <c r="D9" s="46"/>
      <c r="E9" s="24"/>
      <c r="F9" s="122"/>
      <c r="G9" s="29"/>
      <c r="H9" s="35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43"/>
      <c r="D10" s="46"/>
      <c r="E10" s="38"/>
      <c r="F10" s="122"/>
      <c r="G10" s="29"/>
      <c r="H10" s="35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43"/>
      <c r="D11" s="46"/>
      <c r="E11" s="17"/>
      <c r="F11" s="122"/>
      <c r="G11" s="29"/>
      <c r="H11" s="35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43"/>
      <c r="D12" s="46"/>
      <c r="E12" s="24"/>
      <c r="F12" s="122"/>
      <c r="G12" s="29"/>
      <c r="H12" s="35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43"/>
      <c r="D13" s="46"/>
      <c r="E13" s="24"/>
      <c r="F13" s="122"/>
      <c r="G13" s="29"/>
      <c r="H13" s="35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5.75" customHeight="1">
      <c r="A14" s="1"/>
      <c r="B14" s="19">
        <v>11.0</v>
      </c>
      <c r="C14" s="43"/>
      <c r="D14" s="46"/>
      <c r="E14" s="24"/>
      <c r="F14" s="122"/>
      <c r="G14" s="29"/>
      <c r="H14" s="35"/>
      <c r="I14" s="19"/>
      <c r="J14" s="19"/>
      <c r="K14" s="19"/>
      <c r="L14" s="19"/>
      <c r="M14" s="19"/>
      <c r="N14" s="36"/>
      <c r="O14" s="36"/>
      <c r="P14" s="36"/>
      <c r="Q14" s="1"/>
      <c r="R14" s="1"/>
    </row>
    <row r="15" ht="15.75" customHeight="1">
      <c r="A15" s="1"/>
      <c r="B15" s="19">
        <v>12.0</v>
      </c>
      <c r="C15" s="43"/>
      <c r="D15" s="46"/>
      <c r="E15" s="24"/>
      <c r="F15" s="122"/>
      <c r="G15" s="29"/>
      <c r="H15" s="35"/>
      <c r="I15" s="19"/>
      <c r="J15" s="19"/>
      <c r="K15" s="19"/>
      <c r="L15" s="19"/>
      <c r="M15" s="19"/>
      <c r="N15" s="36"/>
      <c r="O15" s="36"/>
      <c r="P15" s="36"/>
      <c r="Q15" s="1"/>
      <c r="R15" s="1"/>
    </row>
    <row r="16" ht="15.75" customHeight="1">
      <c r="A16" s="1"/>
      <c r="B16" s="19">
        <v>13.0</v>
      </c>
      <c r="C16" s="43"/>
      <c r="D16" s="46"/>
      <c r="E16" s="24"/>
      <c r="F16" s="122"/>
      <c r="G16" s="29"/>
      <c r="H16" s="35"/>
      <c r="I16" s="19"/>
      <c r="J16" s="19"/>
      <c r="K16" s="19"/>
      <c r="L16" s="19"/>
      <c r="M16" s="19"/>
      <c r="N16" s="36"/>
      <c r="O16" s="36"/>
      <c r="P16" s="36"/>
      <c r="Q16" s="1"/>
      <c r="R16" s="1"/>
    </row>
    <row r="17" ht="15.75" customHeight="1">
      <c r="A17" s="1"/>
      <c r="B17" s="19">
        <v>14.0</v>
      </c>
      <c r="C17" s="43"/>
      <c r="D17" s="46"/>
      <c r="E17" s="17"/>
      <c r="F17" s="122"/>
      <c r="G17" s="39"/>
      <c r="H17" s="96"/>
      <c r="I17" s="19"/>
      <c r="J17" s="19"/>
      <c r="K17" s="19"/>
      <c r="L17" s="19"/>
      <c r="M17" s="19"/>
      <c r="N17" s="36"/>
      <c r="O17" s="36"/>
      <c r="P17" s="36"/>
      <c r="Q17" s="1"/>
      <c r="R17" s="1"/>
    </row>
    <row r="18" ht="15.75" customHeight="1">
      <c r="A18" s="1"/>
      <c r="B18" s="19">
        <v>15.0</v>
      </c>
      <c r="C18" s="23"/>
      <c r="D18" s="43"/>
      <c r="E18" s="14"/>
      <c r="F18" s="19"/>
      <c r="G18" s="97"/>
      <c r="H18" s="31"/>
      <c r="I18" s="19"/>
      <c r="J18" s="19"/>
      <c r="K18" s="19"/>
      <c r="L18" s="19"/>
      <c r="M18" s="19"/>
      <c r="N18" s="71"/>
      <c r="O18" s="71"/>
      <c r="P18" s="71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4">
        <f t="shared" ref="G19:H19" si="1">SUM(G4:G18)</f>
        <v>0</v>
      </c>
      <c r="H19" s="56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9" t="s">
        <v>0</v>
      </c>
      <c r="C22" s="60" t="s">
        <v>6</v>
      </c>
      <c r="D22" s="60" t="s">
        <v>70</v>
      </c>
      <c r="E22" s="1"/>
      <c r="F22" s="1"/>
      <c r="G22" s="1"/>
      <c r="H22" s="1"/>
      <c r="I22" s="1"/>
      <c r="J22" s="1"/>
      <c r="K22" s="1"/>
      <c r="L22" s="1"/>
      <c r="M22" s="1"/>
      <c r="N22" s="60" t="s">
        <v>71</v>
      </c>
      <c r="O22" s="60" t="s">
        <v>1</v>
      </c>
      <c r="P22" s="1"/>
      <c r="Q22" s="1"/>
      <c r="R22" s="1"/>
    </row>
    <row r="23" ht="15.75" customHeight="1">
      <c r="A23" s="1"/>
      <c r="B23" s="62">
        <v>1.0</v>
      </c>
      <c r="C23" s="63" t="s">
        <v>72</v>
      </c>
      <c r="D23" s="64">
        <f>SUM(G19)</f>
        <v>0</v>
      </c>
      <c r="E23" s="65"/>
      <c r="F23" s="1"/>
      <c r="G23" s="1"/>
      <c r="H23" s="1"/>
      <c r="I23" s="1"/>
      <c r="J23" s="1"/>
      <c r="K23" s="1"/>
      <c r="L23" s="1"/>
      <c r="M23" s="1"/>
      <c r="N23" s="66" t="s">
        <v>73</v>
      </c>
      <c r="O23" s="26"/>
      <c r="P23" s="1"/>
      <c r="Q23" s="1"/>
      <c r="R23" s="1"/>
    </row>
    <row r="24" ht="15.75" customHeight="1">
      <c r="A24" s="1"/>
      <c r="B24" s="67">
        <v>2.0</v>
      </c>
      <c r="C24" s="74"/>
      <c r="D24" s="75"/>
      <c r="E24" s="65"/>
      <c r="F24" s="1"/>
      <c r="G24" s="1"/>
      <c r="H24" s="1"/>
      <c r="I24" s="1"/>
      <c r="J24" s="1"/>
      <c r="K24" s="1"/>
      <c r="L24" s="1"/>
      <c r="M24" s="1"/>
      <c r="N24" s="70" t="s">
        <v>75</v>
      </c>
      <c r="O24" s="71"/>
      <c r="P24" s="1"/>
      <c r="Q24" s="1"/>
      <c r="R24" s="1"/>
    </row>
    <row r="25" ht="15.75" customHeight="1">
      <c r="A25" s="1"/>
      <c r="B25" s="62">
        <v>3.0</v>
      </c>
      <c r="C25" s="90"/>
      <c r="D25" s="91"/>
      <c r="E25" s="65"/>
      <c r="F25" s="1"/>
      <c r="G25" s="1"/>
      <c r="H25" s="1"/>
      <c r="I25" s="1"/>
      <c r="J25" s="1"/>
      <c r="K25" s="1"/>
      <c r="L25" s="1"/>
      <c r="M25" s="1"/>
      <c r="N25" s="73" t="s">
        <v>76</v>
      </c>
      <c r="O25" s="36"/>
      <c r="P25" s="1"/>
      <c r="Q25" s="1"/>
      <c r="R25" s="1"/>
    </row>
    <row r="26" ht="15.75" customHeight="1">
      <c r="A26" s="1"/>
      <c r="B26" s="67">
        <v>4.0</v>
      </c>
      <c r="C26" s="68"/>
      <c r="D26" s="69"/>
      <c r="E26" s="65"/>
      <c r="F26" s="1"/>
      <c r="G26" s="1"/>
      <c r="H26" s="1"/>
      <c r="I26" s="1"/>
      <c r="J26" s="1"/>
      <c r="K26" s="1"/>
      <c r="L26" s="1"/>
      <c r="M26" s="1"/>
      <c r="N26" s="76" t="s">
        <v>77</v>
      </c>
      <c r="O26" s="71"/>
      <c r="P26" s="1"/>
      <c r="Q26" s="1"/>
      <c r="R26" s="1"/>
    </row>
    <row r="27" ht="15.75" customHeight="1">
      <c r="A27" s="1"/>
      <c r="B27" s="62">
        <v>5.0</v>
      </c>
      <c r="C27" s="63"/>
      <c r="D27" s="64"/>
      <c r="E27" s="65"/>
      <c r="F27" s="82"/>
      <c r="G27" s="2"/>
      <c r="H27" s="1"/>
      <c r="I27" s="1"/>
      <c r="J27" s="1"/>
      <c r="K27" s="1"/>
      <c r="L27" s="1"/>
      <c r="M27" s="1"/>
      <c r="N27" s="79"/>
      <c r="O27" s="1"/>
      <c r="P27" s="1"/>
      <c r="Q27" s="1"/>
      <c r="R27" s="1"/>
    </row>
    <row r="28" ht="15.75" customHeight="1">
      <c r="A28" s="1"/>
      <c r="B28" s="67">
        <v>6.0</v>
      </c>
      <c r="C28" s="68"/>
      <c r="D28" s="69"/>
      <c r="E28" s="65"/>
      <c r="F28" s="1"/>
      <c r="G28" s="1"/>
      <c r="H28" s="1"/>
      <c r="I28" s="1"/>
      <c r="J28" s="1"/>
      <c r="K28" s="81" t="s">
        <v>78</v>
      </c>
      <c r="Q28" s="1"/>
      <c r="R28" s="1"/>
    </row>
    <row r="29" ht="15.75" customHeight="1">
      <c r="A29" s="1"/>
      <c r="B29" s="62">
        <v>7.0</v>
      </c>
      <c r="C29" s="63"/>
      <c r="D29" s="64"/>
      <c r="E29" s="65"/>
      <c r="F29" s="1"/>
      <c r="G29" s="1"/>
      <c r="H29" s="1"/>
      <c r="I29" s="1"/>
      <c r="J29" s="1"/>
      <c r="K29" s="83" t="s">
        <v>1</v>
      </c>
      <c r="L29" s="83" t="s">
        <v>79</v>
      </c>
      <c r="M29" s="83" t="s">
        <v>80</v>
      </c>
      <c r="N29" s="83" t="s">
        <v>81</v>
      </c>
      <c r="O29" s="83" t="s">
        <v>82</v>
      </c>
      <c r="P29" s="83" t="s">
        <v>83</v>
      </c>
      <c r="Q29" s="1"/>
      <c r="R29" s="1"/>
      <c r="AC29" s="84" t="s">
        <v>84</v>
      </c>
      <c r="AD29" s="84" t="s">
        <v>85</v>
      </c>
      <c r="AE29" s="84" t="s">
        <v>86</v>
      </c>
      <c r="AF29" s="84" t="s">
        <v>87</v>
      </c>
      <c r="AG29" s="84" t="s">
        <v>88</v>
      </c>
    </row>
    <row r="30" ht="15.75" customHeight="1">
      <c r="A30" s="1"/>
      <c r="B30" s="67">
        <v>8.0</v>
      </c>
      <c r="C30" s="68"/>
      <c r="D30" s="69"/>
      <c r="E30" s="65"/>
      <c r="F30" s="1"/>
      <c r="G30" s="1"/>
      <c r="H30" s="1"/>
      <c r="I30" s="1"/>
      <c r="J30" s="1"/>
      <c r="K30" s="85" t="str">
        <f t="shared" ref="K30:K33" si="2">IF(O23="","",O23)</f>
        <v/>
      </c>
      <c r="L30" s="86"/>
      <c r="M30" s="86"/>
      <c r="N30" s="86"/>
      <c r="O30" s="86"/>
      <c r="P30" s="86"/>
      <c r="Q30" s="1"/>
      <c r="R30" s="1"/>
      <c r="AC30" s="84" t="str">
        <f t="shared" ref="AC30:AC35" si="3">IF(AG30="","",IF(COUNT(L30:P30)&lt;5,"",L30/5*20+M30/5*25+N30/5*25+O30/5*15+P30/5*15))</f>
        <v/>
      </c>
      <c r="AD30" s="84" t="str">
        <f t="shared" ref="AD30:AD35" si="4">IF(AC30="","",IF(AC30&gt;=90,"Sangat Baik",IF(AC30&gt;=80,"Baik",IF(AC30&gt;=70,"Coaching","Underperform"))))</f>
        <v/>
      </c>
      <c r="AE30" s="84" t="str">
        <f t="shared" ref="AE30:AE35" si="5">IF(AG30="","",IF(OR(AG30="INDAH",AG30="ADDEL",AG30="AMEL",AG30="PENTIL",AG30="JIJANG"),"Admin/CS","Fotografer"))</f>
        <v/>
      </c>
      <c r="AF30" s="84" t="str">
        <f t="shared" ref="AF30:AF35" si="6">IF(OR(AG30="",COUNT(L30:P30)&lt;5),"",1)</f>
        <v/>
      </c>
      <c r="AG30" s="84" t="str">
        <f t="shared" ref="AG30:AG35" si="7">IFERROR(K30,"")</f>
        <v/>
      </c>
    </row>
    <row r="31" ht="15.75" customHeight="1">
      <c r="A31" s="1"/>
      <c r="B31" s="62">
        <v>9.0</v>
      </c>
      <c r="C31" s="63"/>
      <c r="D31" s="64"/>
      <c r="E31" s="65"/>
      <c r="F31" s="1"/>
      <c r="G31" s="1"/>
      <c r="H31" s="1"/>
      <c r="I31" s="1"/>
      <c r="J31" s="1"/>
      <c r="K31" s="85" t="str">
        <f t="shared" si="2"/>
        <v/>
      </c>
      <c r="L31" s="86"/>
      <c r="M31" s="86"/>
      <c r="N31" s="86"/>
      <c r="O31" s="86"/>
      <c r="P31" s="86"/>
      <c r="Q31" s="1"/>
      <c r="R31" s="1"/>
      <c r="AC31" s="84" t="str">
        <f t="shared" si="3"/>
        <v/>
      </c>
      <c r="AD31" s="84" t="str">
        <f t="shared" si="4"/>
        <v/>
      </c>
      <c r="AE31" s="84" t="str">
        <f t="shared" si="5"/>
        <v/>
      </c>
      <c r="AF31" s="84" t="str">
        <f t="shared" si="6"/>
        <v/>
      </c>
      <c r="AG31" s="84" t="str">
        <f t="shared" si="7"/>
        <v/>
      </c>
    </row>
    <row r="32" ht="15.75" customHeight="1">
      <c r="A32" s="1"/>
      <c r="B32" s="67">
        <v>10.0</v>
      </c>
      <c r="C32" s="68"/>
      <c r="D32" s="69"/>
      <c r="E32" s="65"/>
      <c r="F32" s="1"/>
      <c r="G32" s="1"/>
      <c r="H32" s="1"/>
      <c r="I32" s="1"/>
      <c r="J32" s="1"/>
      <c r="K32" s="85" t="str">
        <f t="shared" si="2"/>
        <v/>
      </c>
      <c r="L32" s="86"/>
      <c r="M32" s="86"/>
      <c r="N32" s="86"/>
      <c r="O32" s="86"/>
      <c r="P32" s="86"/>
      <c r="Q32" s="1"/>
      <c r="R32" s="1"/>
      <c r="AC32" s="84" t="str">
        <f t="shared" si="3"/>
        <v/>
      </c>
      <c r="AD32" s="84" t="str">
        <f t="shared" si="4"/>
        <v/>
      </c>
      <c r="AE32" s="84" t="str">
        <f t="shared" si="5"/>
        <v/>
      </c>
      <c r="AF32" s="84" t="str">
        <f t="shared" si="6"/>
        <v/>
      </c>
      <c r="AG32" s="84" t="str">
        <f t="shared" si="7"/>
        <v/>
      </c>
    </row>
    <row r="33" ht="15.75" customHeight="1">
      <c r="A33" s="1"/>
      <c r="B33" s="92">
        <v>11.0</v>
      </c>
      <c r="C33" s="93"/>
      <c r="D33" s="94"/>
      <c r="E33" s="65"/>
      <c r="F33" s="1"/>
      <c r="G33" s="1"/>
      <c r="H33" s="1"/>
      <c r="I33" s="1"/>
      <c r="J33" s="1"/>
      <c r="K33" s="85" t="str">
        <f t="shared" si="2"/>
        <v/>
      </c>
      <c r="L33" s="86"/>
      <c r="M33" s="86"/>
      <c r="N33" s="86"/>
      <c r="O33" s="86"/>
      <c r="P33" s="86"/>
      <c r="Q33" s="1"/>
      <c r="R33" s="1"/>
      <c r="AC33" s="84" t="str">
        <f t="shared" si="3"/>
        <v/>
      </c>
      <c r="AD33" s="84" t="str">
        <f t="shared" si="4"/>
        <v/>
      </c>
      <c r="AE33" s="84" t="str">
        <f t="shared" si="5"/>
        <v/>
      </c>
      <c r="AF33" s="84" t="str">
        <f t="shared" si="6"/>
        <v/>
      </c>
      <c r="AG33" s="84" t="str">
        <f t="shared" si="7"/>
        <v/>
      </c>
    </row>
    <row r="34" ht="15.75" customHeight="1">
      <c r="A34" s="1"/>
      <c r="B34" s="1"/>
      <c r="C34" s="2"/>
      <c r="D34" s="95">
        <f>SUM(D23:D33)</f>
        <v>0</v>
      </c>
      <c r="E34" s="1"/>
      <c r="F34" s="1"/>
      <c r="G34" s="1"/>
      <c r="H34" s="1"/>
      <c r="I34" s="1"/>
      <c r="J34" s="1"/>
      <c r="K34" s="85"/>
      <c r="L34" s="86"/>
      <c r="M34" s="86"/>
      <c r="N34" s="86"/>
      <c r="O34" s="86"/>
      <c r="P34" s="86"/>
      <c r="Q34" s="1"/>
      <c r="R34" s="1"/>
      <c r="AC34" s="84" t="str">
        <f t="shared" si="3"/>
        <v/>
      </c>
      <c r="AD34" s="84" t="str">
        <f t="shared" si="4"/>
        <v/>
      </c>
      <c r="AE34" s="84" t="str">
        <f t="shared" si="5"/>
        <v/>
      </c>
      <c r="AF34" s="84" t="str">
        <f t="shared" si="6"/>
        <v/>
      </c>
      <c r="AG34" s="8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5"/>
      <c r="L35" s="86"/>
      <c r="M35" s="86"/>
      <c r="N35" s="86"/>
      <c r="O35" s="86"/>
      <c r="P35" s="86"/>
      <c r="Q35" s="1"/>
      <c r="R35" s="1"/>
      <c r="AC35" s="84" t="str">
        <f t="shared" si="3"/>
        <v/>
      </c>
      <c r="AD35" s="84" t="str">
        <f t="shared" si="4"/>
        <v/>
      </c>
      <c r="AE35" s="84" t="str">
        <f t="shared" si="5"/>
        <v/>
      </c>
      <c r="AF35" s="84" t="str">
        <f t="shared" si="6"/>
        <v/>
      </c>
      <c r="AG35" s="8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 t="s">
        <v>90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91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92</v>
      </c>
      <c r="M39" s="102" t="s">
        <v>93</v>
      </c>
    </row>
    <row r="40" ht="15.75" customHeight="1">
      <c r="K40" s="104" t="str">
        <f t="shared" ref="K40:K41" si="8">IF(O23="","",O23)</f>
        <v/>
      </c>
      <c r="L40" s="105"/>
      <c r="M40" s="105"/>
    </row>
    <row r="41" ht="15.75" customHeight="1">
      <c r="K41" s="104" t="str">
        <f t="shared" si="8"/>
        <v/>
      </c>
      <c r="L41" s="105">
        <v>4.0</v>
      </c>
      <c r="M41" s="105"/>
    </row>
    <row r="42" ht="15.75" customHeight="1"/>
    <row r="43" ht="19.5" customHeight="1">
      <c r="K43" s="109" t="s">
        <v>96</v>
      </c>
    </row>
    <row r="44" ht="19.5" customHeight="1">
      <c r="K44" s="110" t="s">
        <v>97</v>
      </c>
      <c r="M44" s="105">
        <v>49.0</v>
      </c>
    </row>
    <row r="45" ht="19.5" customHeight="1">
      <c r="K45" s="111" t="s">
        <v>98</v>
      </c>
      <c r="M45" s="112">
        <f>COUNTIF($I$4:$I$21,"DP")</f>
        <v>0</v>
      </c>
    </row>
    <row r="46" ht="19.5" customHeight="1">
      <c r="K46" s="111" t="s">
        <v>99</v>
      </c>
      <c r="M46" s="112">
        <f>COUNTIFS($I$4:$I$21,"&lt;&gt;DP",$I$4:$I$21,"&lt;&gt;")</f>
        <v>0</v>
      </c>
    </row>
    <row r="47" ht="19.5" customHeight="1">
      <c r="K47" s="113" t="s">
        <v>100</v>
      </c>
      <c r="M47" s="112">
        <f>M45+M46</f>
        <v>0</v>
      </c>
    </row>
    <row r="48" ht="19.5" customHeight="1">
      <c r="K48" s="110" t="s">
        <v>101</v>
      </c>
      <c r="M48" s="11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17"/>
      <c r="F4" s="123"/>
      <c r="G4" s="20"/>
      <c r="H4" s="124"/>
      <c r="I4" s="14"/>
      <c r="J4" s="14"/>
      <c r="K4" s="14"/>
      <c r="L4" s="14"/>
      <c r="M4" s="14"/>
      <c r="N4" s="19"/>
      <c r="O4" s="19"/>
      <c r="P4" s="25"/>
      <c r="Q4" s="1"/>
      <c r="R4" s="1"/>
    </row>
    <row r="5" ht="15.75" customHeight="1">
      <c r="A5" s="1"/>
      <c r="B5" s="19">
        <v>2.0</v>
      </c>
      <c r="C5" s="43"/>
      <c r="D5" s="46"/>
      <c r="E5" s="17"/>
      <c r="F5" s="123"/>
      <c r="G5" s="20"/>
      <c r="H5" s="124"/>
      <c r="I5" s="14"/>
      <c r="J5" s="14"/>
      <c r="K5" s="14"/>
      <c r="L5" s="14"/>
      <c r="M5" s="14"/>
      <c r="N5" s="19"/>
      <c r="O5" s="19"/>
      <c r="P5" s="19"/>
      <c r="Q5" s="1"/>
      <c r="R5" s="1"/>
    </row>
    <row r="6" ht="15.75" customHeight="1">
      <c r="A6" s="1"/>
      <c r="B6" s="19">
        <v>3.0</v>
      </c>
      <c r="C6" s="43"/>
      <c r="D6" s="46"/>
      <c r="E6" s="17"/>
      <c r="F6" s="122"/>
      <c r="G6" s="20"/>
      <c r="H6" s="124"/>
      <c r="I6" s="14"/>
      <c r="J6" s="14"/>
      <c r="K6" s="14"/>
      <c r="L6" s="14"/>
      <c r="M6" s="14"/>
      <c r="N6" s="19"/>
      <c r="O6" s="19"/>
      <c r="P6" s="19"/>
      <c r="Q6" s="1"/>
      <c r="R6" s="1"/>
    </row>
    <row r="7" ht="15.75" customHeight="1">
      <c r="A7" s="1"/>
      <c r="B7" s="19">
        <v>4.0</v>
      </c>
      <c r="C7" s="43"/>
      <c r="D7" s="46"/>
      <c r="E7" s="17"/>
      <c r="F7" s="122"/>
      <c r="G7" s="20"/>
      <c r="H7" s="124"/>
      <c r="I7" s="14"/>
      <c r="J7" s="14"/>
      <c r="K7" s="14"/>
      <c r="L7" s="14"/>
      <c r="M7" s="14"/>
      <c r="N7" s="19"/>
      <c r="O7" s="19"/>
      <c r="P7" s="19"/>
      <c r="Q7" s="1"/>
      <c r="R7" s="1"/>
    </row>
    <row r="8" ht="15.75" customHeight="1">
      <c r="A8" s="1"/>
      <c r="B8" s="19">
        <v>5.0</v>
      </c>
      <c r="C8" s="43"/>
      <c r="D8" s="46"/>
      <c r="E8" s="17"/>
      <c r="F8" s="14"/>
      <c r="G8" s="41"/>
      <c r="H8" s="125"/>
      <c r="I8" s="14"/>
      <c r="J8" s="14"/>
      <c r="K8" s="14"/>
      <c r="L8" s="14"/>
      <c r="M8" s="14"/>
      <c r="N8" s="19"/>
      <c r="O8" s="19"/>
      <c r="P8" s="19"/>
      <c r="Q8" s="1"/>
      <c r="R8" s="1"/>
      <c r="S8" s="126"/>
    </row>
    <row r="9" ht="15.75" customHeight="1">
      <c r="A9" s="1"/>
      <c r="B9" s="19">
        <v>6.0</v>
      </c>
      <c r="C9" s="43"/>
      <c r="D9" s="46"/>
      <c r="E9" s="48"/>
      <c r="F9" s="14"/>
      <c r="G9" s="20"/>
      <c r="H9" s="124"/>
      <c r="I9" s="14"/>
      <c r="J9" s="14"/>
      <c r="K9" s="14"/>
      <c r="L9" s="14"/>
      <c r="M9" s="14"/>
      <c r="N9" s="19"/>
      <c r="O9" s="19"/>
      <c r="P9" s="19"/>
      <c r="Q9" s="1"/>
      <c r="R9" s="1"/>
      <c r="S9" s="126"/>
    </row>
    <row r="10" ht="15.75" customHeight="1">
      <c r="A10" s="1"/>
      <c r="B10" s="19">
        <v>7.0</v>
      </c>
      <c r="C10" s="43"/>
      <c r="D10" s="46"/>
      <c r="E10" s="48"/>
      <c r="F10" s="14"/>
      <c r="G10" s="20"/>
      <c r="H10" s="124"/>
      <c r="I10" s="14"/>
      <c r="J10" s="14"/>
      <c r="K10" s="14"/>
      <c r="L10" s="14"/>
      <c r="M10" s="14"/>
      <c r="N10" s="19"/>
      <c r="O10" s="19"/>
      <c r="P10" s="19"/>
      <c r="Q10" s="1"/>
      <c r="R10" s="1"/>
      <c r="S10" s="126"/>
      <c r="U10" s="126"/>
    </row>
    <row r="11" ht="15.75" customHeight="1">
      <c r="A11" s="1"/>
      <c r="B11" s="19">
        <v>8.0</v>
      </c>
      <c r="C11" s="43"/>
      <c r="D11" s="46"/>
      <c r="E11" s="17"/>
      <c r="F11" s="14"/>
      <c r="G11" s="20"/>
      <c r="H11" s="124"/>
      <c r="I11" s="14"/>
      <c r="J11" s="14"/>
      <c r="K11" s="14"/>
      <c r="L11" s="14"/>
      <c r="M11" s="14"/>
      <c r="N11" s="19"/>
      <c r="O11" s="19"/>
      <c r="P11" s="19"/>
      <c r="Q11" s="1"/>
      <c r="R11" s="1"/>
      <c r="S11" s="126"/>
      <c r="U11" s="126"/>
    </row>
    <row r="12" ht="15.75" customHeight="1">
      <c r="A12" s="1"/>
      <c r="B12" s="19">
        <v>9.0</v>
      </c>
      <c r="C12" s="43"/>
      <c r="D12" s="46"/>
      <c r="E12" s="17"/>
      <c r="F12" s="14"/>
      <c r="G12" s="20"/>
      <c r="H12" s="124"/>
      <c r="I12" s="14"/>
      <c r="J12" s="14"/>
      <c r="K12" s="14"/>
      <c r="L12" s="14"/>
      <c r="M12" s="14"/>
      <c r="N12" s="19"/>
      <c r="O12" s="19"/>
      <c r="P12" s="19"/>
      <c r="Q12" s="1"/>
      <c r="R12" s="1"/>
      <c r="S12" s="126"/>
      <c r="U12" s="126"/>
    </row>
    <row r="13" ht="15.75" customHeight="1">
      <c r="A13" s="1"/>
      <c r="B13" s="19">
        <v>10.0</v>
      </c>
      <c r="C13" s="14"/>
      <c r="D13" s="46"/>
      <c r="E13" s="17"/>
      <c r="F13" s="14"/>
      <c r="G13" s="20"/>
      <c r="H13" s="124"/>
      <c r="I13" s="14"/>
      <c r="J13" s="14"/>
      <c r="K13" s="14"/>
      <c r="L13" s="14"/>
      <c r="M13" s="14"/>
      <c r="N13" s="19"/>
      <c r="O13" s="19"/>
      <c r="P13" s="19"/>
      <c r="Q13" s="1"/>
      <c r="R13" s="1"/>
      <c r="S13" s="126"/>
      <c r="U13" s="126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74"/>
      <c r="D19" s="75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90"/>
      <c r="D20" s="91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17"/>
      <c r="F4" s="14"/>
      <c r="G4" s="20"/>
      <c r="H4" s="124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43"/>
      <c r="D5" s="46"/>
      <c r="E5" s="48"/>
      <c r="F5" s="14"/>
      <c r="G5" s="20"/>
      <c r="H5" s="124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43"/>
      <c r="D6" s="46"/>
      <c r="E6" s="17"/>
      <c r="F6" s="14"/>
      <c r="G6" s="20"/>
      <c r="H6" s="124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43"/>
      <c r="D7" s="46"/>
      <c r="E7" s="17"/>
      <c r="F7" s="14"/>
      <c r="G7" s="20"/>
      <c r="H7" s="124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3"/>
      <c r="D8" s="46"/>
      <c r="E8" s="17"/>
      <c r="F8" s="14"/>
      <c r="G8" s="20"/>
      <c r="H8" s="124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3"/>
      <c r="D9" s="46"/>
      <c r="E9" s="17"/>
      <c r="F9" s="14"/>
      <c r="G9" s="20"/>
      <c r="H9" s="124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43"/>
      <c r="D10" s="46"/>
      <c r="E10" s="17"/>
      <c r="F10" s="14"/>
      <c r="G10" s="41"/>
      <c r="H10" s="125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43"/>
      <c r="D11" s="46"/>
      <c r="E11" s="17"/>
      <c r="F11" s="14"/>
      <c r="G11" s="41"/>
      <c r="H11" s="125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43"/>
      <c r="D12" s="46"/>
      <c r="E12" s="17"/>
      <c r="F12" s="14"/>
      <c r="G12" s="41"/>
      <c r="H12" s="125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43"/>
      <c r="D13" s="46"/>
      <c r="E13" s="17"/>
      <c r="F13" s="14"/>
      <c r="G13" s="20"/>
      <c r="H13" s="124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74"/>
      <c r="D19" s="75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90"/>
      <c r="D20" s="91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24"/>
      <c r="F4" s="14"/>
      <c r="G4" s="29"/>
      <c r="H4" s="35"/>
      <c r="I4" s="14"/>
      <c r="J4" s="34"/>
      <c r="K4" s="34"/>
      <c r="L4" s="14"/>
      <c r="M4" s="3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43"/>
      <c r="D5" s="46"/>
      <c r="E5" s="24"/>
      <c r="F5" s="14"/>
      <c r="G5" s="29"/>
      <c r="H5" s="35"/>
      <c r="I5" s="14"/>
      <c r="J5" s="34"/>
      <c r="K5" s="34"/>
      <c r="L5" s="14"/>
      <c r="M5" s="3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43"/>
      <c r="D6" s="46"/>
      <c r="E6" s="24"/>
      <c r="F6" s="14"/>
      <c r="G6" s="39"/>
      <c r="H6" s="35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43"/>
      <c r="D7" s="46"/>
      <c r="E7" s="17"/>
      <c r="F7" s="14"/>
      <c r="G7" s="29"/>
      <c r="H7" s="35"/>
      <c r="I7" s="14"/>
      <c r="J7" s="34"/>
      <c r="K7" s="34"/>
      <c r="L7" s="14"/>
      <c r="M7" s="3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3"/>
      <c r="D8" s="46"/>
      <c r="E8" s="24"/>
      <c r="F8" s="14"/>
      <c r="G8" s="29"/>
      <c r="H8" s="35"/>
      <c r="I8" s="14"/>
      <c r="J8" s="34"/>
      <c r="K8" s="34"/>
      <c r="L8" s="14"/>
      <c r="M8" s="34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3"/>
      <c r="D9" s="46"/>
      <c r="E9" s="24"/>
      <c r="F9" s="14"/>
      <c r="G9" s="29"/>
      <c r="H9" s="35"/>
      <c r="I9" s="14"/>
      <c r="J9" s="34"/>
      <c r="K9" s="34"/>
      <c r="L9" s="14"/>
      <c r="M9" s="34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43"/>
      <c r="D10" s="46"/>
      <c r="E10" s="17"/>
      <c r="F10" s="14"/>
      <c r="G10" s="39"/>
      <c r="H10" s="96"/>
      <c r="I10" s="14"/>
      <c r="J10" s="34"/>
      <c r="K10" s="34"/>
      <c r="L10" s="14"/>
      <c r="M10" s="34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43"/>
      <c r="D11" s="46"/>
      <c r="E11" s="24"/>
      <c r="F11" s="14"/>
      <c r="G11" s="39"/>
      <c r="H11" s="96"/>
      <c r="I11" s="14"/>
      <c r="J11" s="34"/>
      <c r="K11" s="34"/>
      <c r="L11" s="14"/>
      <c r="M11" s="34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43"/>
      <c r="D12" s="46"/>
      <c r="E12" s="24"/>
      <c r="F12" s="14"/>
      <c r="G12" s="29"/>
      <c r="H12" s="35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43"/>
      <c r="D13" s="46"/>
      <c r="E13" s="17"/>
      <c r="F13" s="57"/>
      <c r="G13" s="29"/>
      <c r="H13" s="35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74"/>
      <c r="D19" s="75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90"/>
      <c r="D20" s="91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74"/>
      <c r="D21" s="75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90"/>
      <c r="D22" s="91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24"/>
      <c r="F4" s="14"/>
      <c r="G4" s="29"/>
      <c r="H4" s="35"/>
      <c r="I4" s="14"/>
      <c r="J4" s="34"/>
      <c r="K4" s="34"/>
      <c r="L4" s="14"/>
      <c r="M4" s="1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43"/>
      <c r="D5" s="46"/>
      <c r="E5" s="24"/>
      <c r="F5" s="14"/>
      <c r="G5" s="29"/>
      <c r="H5" s="35"/>
      <c r="I5" s="14"/>
      <c r="J5" s="34"/>
      <c r="K5" s="34"/>
      <c r="L5" s="14"/>
      <c r="M5" s="3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43"/>
      <c r="D6" s="46"/>
      <c r="E6" s="24"/>
      <c r="F6" s="14"/>
      <c r="G6" s="29"/>
      <c r="H6" s="35"/>
      <c r="I6" s="14"/>
      <c r="J6" s="34"/>
      <c r="K6" s="34"/>
      <c r="L6" s="14"/>
      <c r="M6" s="3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43"/>
      <c r="D7" s="46"/>
      <c r="E7" s="17"/>
      <c r="F7" s="14"/>
      <c r="G7" s="29"/>
      <c r="H7" s="35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3"/>
      <c r="D8" s="46"/>
      <c r="E8" s="24"/>
      <c r="F8" s="14"/>
      <c r="G8" s="29"/>
      <c r="H8" s="35"/>
      <c r="I8" s="14"/>
      <c r="J8" s="34"/>
      <c r="K8" s="34"/>
      <c r="L8" s="14"/>
      <c r="M8" s="34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3"/>
      <c r="D9" s="46"/>
      <c r="E9" s="24"/>
      <c r="F9" s="14"/>
      <c r="G9" s="29"/>
      <c r="H9" s="35"/>
      <c r="I9" s="14"/>
      <c r="J9" s="34"/>
      <c r="K9" s="34"/>
      <c r="L9" s="14"/>
      <c r="M9" s="34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43"/>
      <c r="D10" s="46"/>
      <c r="E10" s="24"/>
      <c r="F10" s="14"/>
      <c r="G10" s="29"/>
      <c r="H10" s="35"/>
      <c r="I10" s="14"/>
      <c r="J10" s="34"/>
      <c r="K10" s="34"/>
      <c r="L10" s="14"/>
      <c r="M10" s="34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43"/>
      <c r="D11" s="46"/>
      <c r="E11" s="24"/>
      <c r="F11" s="122"/>
      <c r="G11" s="29"/>
      <c r="H11" s="35"/>
      <c r="I11" s="14"/>
      <c r="J11" s="34"/>
      <c r="K11" s="34"/>
      <c r="L11" s="14"/>
      <c r="M11" s="34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43"/>
      <c r="D12" s="46"/>
      <c r="E12" s="24"/>
      <c r="F12" s="122"/>
      <c r="G12" s="29"/>
      <c r="H12" s="35"/>
      <c r="I12" s="14"/>
      <c r="J12" s="34"/>
      <c r="K12" s="34"/>
      <c r="L12" s="14"/>
      <c r="M12" s="34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43"/>
      <c r="D13" s="46"/>
      <c r="E13" s="24"/>
      <c r="F13" s="122"/>
      <c r="G13" s="29"/>
      <c r="H13" s="35"/>
      <c r="I13" s="14"/>
      <c r="J13" s="14"/>
      <c r="K13" s="14"/>
      <c r="L13" s="14"/>
      <c r="M13" s="3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74"/>
      <c r="D19" s="75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90"/>
      <c r="D20" s="91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/>
    </row>
    <row r="41" ht="19.5" customHeight="1">
      <c r="K41" s="111" t="s">
        <v>99</v>
      </c>
      <c r="M41" s="112"/>
    </row>
    <row r="42" ht="19.5" customHeight="1">
      <c r="K42" s="113" t="s">
        <v>100</v>
      </c>
      <c r="M42" s="112"/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26"/>
      <c r="D4" s="46"/>
      <c r="E4" s="24"/>
      <c r="F4" s="14"/>
      <c r="G4" s="29"/>
      <c r="H4" s="35"/>
      <c r="I4" s="14"/>
      <c r="J4" s="14"/>
      <c r="K4" s="14"/>
      <c r="L4" s="14"/>
      <c r="M4" s="34"/>
      <c r="N4" s="26"/>
      <c r="O4" s="26"/>
      <c r="P4" s="30"/>
      <c r="Q4" s="1"/>
      <c r="R4" s="1"/>
    </row>
    <row r="5" ht="15.75" customHeight="1">
      <c r="A5" s="1"/>
      <c r="B5" s="19">
        <v>2.0</v>
      </c>
      <c r="C5" s="14"/>
      <c r="D5" s="46"/>
      <c r="E5" s="24"/>
      <c r="F5" s="14"/>
      <c r="G5" s="29"/>
      <c r="H5" s="35"/>
      <c r="I5" s="14"/>
      <c r="J5" s="14"/>
      <c r="K5" s="14"/>
      <c r="L5" s="14"/>
      <c r="M5" s="34"/>
      <c r="N5" s="36"/>
      <c r="O5" s="36"/>
      <c r="P5" s="36"/>
      <c r="Q5" s="1"/>
      <c r="R5" s="1"/>
    </row>
    <row r="6" ht="15.75" customHeight="1">
      <c r="A6" s="1"/>
      <c r="B6" s="19">
        <v>3.0</v>
      </c>
      <c r="C6" s="126"/>
      <c r="D6" s="46"/>
      <c r="E6" s="24"/>
      <c r="F6" s="14"/>
      <c r="G6" s="29"/>
      <c r="H6" s="35"/>
      <c r="I6" s="14"/>
      <c r="J6" s="14"/>
      <c r="K6" s="14"/>
      <c r="L6" s="128"/>
      <c r="M6" s="34"/>
      <c r="N6" s="36"/>
      <c r="O6" s="36"/>
      <c r="P6" s="36"/>
      <c r="Q6" s="1"/>
      <c r="R6" s="1"/>
    </row>
    <row r="7" ht="15.75" customHeight="1">
      <c r="A7" s="1"/>
      <c r="B7" s="19">
        <v>4.0</v>
      </c>
      <c r="C7" s="43"/>
      <c r="D7" s="46"/>
      <c r="E7" s="17"/>
      <c r="F7" s="14"/>
      <c r="G7" s="29"/>
      <c r="H7" s="35"/>
      <c r="I7" s="14"/>
      <c r="J7" s="14"/>
      <c r="K7" s="14"/>
      <c r="L7" s="14"/>
      <c r="M7" s="34"/>
      <c r="N7" s="36"/>
      <c r="O7" s="36"/>
      <c r="P7" s="36"/>
      <c r="Q7" s="1"/>
      <c r="R7" s="1"/>
    </row>
    <row r="8" ht="15.75" customHeight="1">
      <c r="A8" s="1"/>
      <c r="B8" s="19">
        <v>5.0</v>
      </c>
      <c r="C8" s="43"/>
      <c r="D8" s="46"/>
      <c r="E8" s="24"/>
      <c r="F8" s="14"/>
      <c r="G8" s="29"/>
      <c r="H8" s="35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3"/>
      <c r="D9" s="46"/>
      <c r="E9" s="24"/>
      <c r="F9" s="14"/>
      <c r="G9" s="29"/>
      <c r="H9" s="35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43"/>
      <c r="D10" s="46"/>
      <c r="E10" s="24"/>
      <c r="F10" s="14"/>
      <c r="G10" s="29"/>
      <c r="H10" s="35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43"/>
      <c r="D11" s="46"/>
      <c r="E11" s="24"/>
      <c r="F11" s="14"/>
      <c r="G11" s="39"/>
      <c r="H11" s="96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43"/>
      <c r="D12" s="46"/>
      <c r="E12" s="24"/>
      <c r="F12" s="14"/>
      <c r="G12" s="29"/>
      <c r="H12" s="35"/>
      <c r="I12" s="14"/>
      <c r="J12" s="14"/>
      <c r="K12" s="14"/>
      <c r="L12" s="14"/>
      <c r="M12" s="34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43"/>
      <c r="D13" s="46"/>
      <c r="E13" s="24"/>
      <c r="F13" s="14"/>
      <c r="G13" s="29"/>
      <c r="H13" s="35"/>
      <c r="I13" s="14"/>
      <c r="J13" s="14"/>
      <c r="K13" s="14"/>
      <c r="L13" s="14"/>
      <c r="M13" s="34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74"/>
      <c r="D19" s="75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90"/>
      <c r="D20" s="91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24"/>
      <c r="F4" s="122"/>
      <c r="G4" s="29"/>
      <c r="H4" s="35"/>
      <c r="I4" s="14"/>
      <c r="J4" s="14"/>
      <c r="K4" s="14"/>
      <c r="L4" s="14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25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14"/>
      <c r="D10" s="43"/>
      <c r="E10" s="14"/>
      <c r="F10" s="19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0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118"/>
      <c r="D12" s="43"/>
      <c r="E12" s="14"/>
      <c r="F12" s="19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/>
    </row>
    <row r="41" ht="19.5" customHeight="1">
      <c r="K41" s="111" t="s">
        <v>99</v>
      </c>
      <c r="M41" s="112"/>
    </row>
    <row r="42" ht="19.5" customHeight="1">
      <c r="K42" s="113" t="s">
        <v>100</v>
      </c>
      <c r="M42" s="112"/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25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44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118"/>
      <c r="D6" s="43"/>
      <c r="E6" s="14"/>
      <c r="F6" s="40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0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129"/>
      <c r="D8" s="43"/>
      <c r="E8" s="14"/>
      <c r="F8" s="40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0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118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44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44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0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0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0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">
        <v>59</v>
      </c>
      <c r="L35" s="105"/>
      <c r="M35" s="105"/>
      <c r="N35" s="132"/>
    </row>
    <row r="36" ht="15.75" customHeight="1">
      <c r="K36" s="104" t="s">
        <v>59</v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13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19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19"/>
      <c r="G11" s="31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19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82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82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14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0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0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0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44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44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0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0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0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25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25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35"/>
    </row>
    <row r="41" ht="19.5" customHeight="1">
      <c r="K41" s="111" t="s">
        <v>99</v>
      </c>
      <c r="M41" s="112"/>
    </row>
    <row r="42" ht="19.5" customHeight="1">
      <c r="K42" s="113" t="s">
        <v>100</v>
      </c>
      <c r="M42" s="112"/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25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25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1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13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86"/>
      <c r="M25" s="86"/>
      <c r="N25" s="86"/>
      <c r="O25" s="86"/>
      <c r="P25" s="86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86"/>
      <c r="M26" s="86"/>
      <c r="N26" s="86"/>
      <c r="O26" s="86"/>
      <c r="P26" s="86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86"/>
      <c r="M27" s="86"/>
      <c r="N27" s="86"/>
      <c r="O27" s="86"/>
      <c r="P27" s="86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86"/>
      <c r="M28" s="86"/>
      <c r="N28" s="86"/>
      <c r="O28" s="86"/>
      <c r="P28" s="86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118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19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19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19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44"/>
      <c r="G4" s="97"/>
      <c r="H4" s="31"/>
      <c r="I4" s="19"/>
      <c r="J4" s="19"/>
      <c r="K4" s="19"/>
      <c r="L4" s="19"/>
      <c r="M4" s="19"/>
      <c r="N4" s="26"/>
      <c r="O4" s="26"/>
      <c r="P4" s="26"/>
      <c r="Q4" s="1"/>
      <c r="R4" s="1"/>
    </row>
    <row r="5" ht="15.75" customHeight="1">
      <c r="A5" s="1"/>
      <c r="B5" s="19">
        <v>2.0</v>
      </c>
      <c r="C5" s="23"/>
      <c r="D5" s="43"/>
      <c r="E5" s="14"/>
      <c r="F5" s="44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126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0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19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19"/>
      <c r="G11" s="31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19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25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25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0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0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0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19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19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0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82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19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19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36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</row>
    <row r="35" ht="15.75" customHeight="1">
      <c r="K35" s="104" t="str">
        <f t="shared" ref="K35:K36" si="8">IF(O18="","",O18)</f>
        <v/>
      </c>
      <c r="L35" s="105"/>
      <c r="M35" s="105"/>
    </row>
    <row r="36" ht="15.75" customHeight="1">
      <c r="K36" s="104" t="str">
        <f t="shared" si="8"/>
        <v/>
      </c>
      <c r="L36" s="105"/>
      <c r="M36" s="105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43"/>
      <c r="D4" s="46"/>
      <c r="E4" s="24"/>
      <c r="F4" s="57"/>
      <c r="G4" s="29"/>
      <c r="H4" s="35"/>
      <c r="I4" s="14"/>
      <c r="J4" s="34"/>
      <c r="K4" s="34"/>
      <c r="L4" s="14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25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44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4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118"/>
      <c r="D9" s="43"/>
      <c r="E9" s="14"/>
      <c r="F9" s="44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4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4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4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4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70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71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72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73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0" t="s">
        <v>75</v>
      </c>
      <c r="O19" s="71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3" t="s">
        <v>76</v>
      </c>
      <c r="O20" s="36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6" t="s">
        <v>77</v>
      </c>
      <c r="O21" s="71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1" t="s">
        <v>78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79</v>
      </c>
      <c r="M24" s="83" t="s">
        <v>80</v>
      </c>
      <c r="N24" s="83" t="s">
        <v>81</v>
      </c>
      <c r="O24" s="83" t="s">
        <v>82</v>
      </c>
      <c r="P24" s="83" t="s">
        <v>83</v>
      </c>
      <c r="Q24" s="1"/>
      <c r="R24" s="1"/>
      <c r="AC24" s="84" t="s">
        <v>84</v>
      </c>
      <c r="AD24" s="84" t="s">
        <v>85</v>
      </c>
      <c r="AE24" s="84" t="s">
        <v>86</v>
      </c>
      <c r="AF24" s="84" t="s">
        <v>87</v>
      </c>
      <c r="AG24" s="84" t="s">
        <v>88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5" t="str">
        <f t="shared" ref="K25:K28" si="2">IF(O18="","",O18)</f>
        <v/>
      </c>
      <c r="L25" s="127"/>
      <c r="M25" s="127"/>
      <c r="N25" s="127"/>
      <c r="O25" s="127"/>
      <c r="P25" s="127"/>
      <c r="Q25" s="1"/>
      <c r="R25" s="1"/>
      <c r="AC25" s="84" t="str">
        <f t="shared" ref="AC25:AC30" si="3">IF(AG25="","",IF(COUNT(L25:P25)&lt;5,"",L25/5*20+M25/5*25+N25/5*25+O25/5*15+P25/5*15))</f>
        <v/>
      </c>
      <c r="AD25" s="84" t="str">
        <f t="shared" ref="AD25:AD30" si="4">IF(AC25="","",IF(AC25&gt;=90,"Sangat Baik",IF(AC25&gt;=80,"Baik",IF(AC25&gt;=70,"Coaching","Underperform"))))</f>
        <v/>
      </c>
      <c r="AE25" s="84" t="str">
        <f t="shared" ref="AE25:AE30" si="5">IF(AG25="","",IF(OR(AG25="INDAH",AG25="ADDEL",AG25="AMEL",AG25="PENTIL",AG25="JIJANG"),"Admin/CS","Fotografer"))</f>
        <v/>
      </c>
      <c r="AF25" s="84" t="str">
        <f t="shared" ref="AF25:AF30" si="6">IF(OR(AG25="",COUNT(L25:P25)&lt;5),"",1)</f>
        <v/>
      </c>
      <c r="AG25" s="84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5" t="str">
        <f t="shared" si="2"/>
        <v/>
      </c>
      <c r="L26" s="127"/>
      <c r="M26" s="127"/>
      <c r="N26" s="127"/>
      <c r="O26" s="127"/>
      <c r="P26" s="127"/>
      <c r="Q26" s="1"/>
      <c r="R26" s="1"/>
      <c r="AC26" s="84" t="str">
        <f t="shared" si="3"/>
        <v/>
      </c>
      <c r="AD26" s="84" t="str">
        <f t="shared" si="4"/>
        <v/>
      </c>
      <c r="AE26" s="84" t="str">
        <f t="shared" si="5"/>
        <v/>
      </c>
      <c r="AF26" s="84" t="str">
        <f t="shared" si="6"/>
        <v/>
      </c>
      <c r="AG26" s="84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5" t="str">
        <f t="shared" si="2"/>
        <v/>
      </c>
      <c r="L27" s="127"/>
      <c r="M27" s="127"/>
      <c r="N27" s="127"/>
      <c r="O27" s="127"/>
      <c r="P27" s="127"/>
      <c r="Q27" s="1"/>
      <c r="R27" s="1"/>
      <c r="AC27" s="84" t="str">
        <f t="shared" si="3"/>
        <v/>
      </c>
      <c r="AD27" s="84" t="str">
        <f t="shared" si="4"/>
        <v/>
      </c>
      <c r="AE27" s="84" t="str">
        <f t="shared" si="5"/>
        <v/>
      </c>
      <c r="AF27" s="84" t="str">
        <f t="shared" si="6"/>
        <v/>
      </c>
      <c r="AG27" s="84" t="str">
        <f t="shared" si="7"/>
        <v/>
      </c>
    </row>
    <row r="28" ht="15.75" customHeight="1">
      <c r="A28" s="1"/>
      <c r="B28" s="92">
        <v>11.0</v>
      </c>
      <c r="C28" s="93"/>
      <c r="D28" s="94"/>
      <c r="E28" s="65"/>
      <c r="F28" s="1"/>
      <c r="G28" s="1"/>
      <c r="H28" s="1"/>
      <c r="I28" s="1"/>
      <c r="J28" s="1"/>
      <c r="K28" s="85" t="str">
        <f t="shared" si="2"/>
        <v/>
      </c>
      <c r="L28" s="127"/>
      <c r="M28" s="127"/>
      <c r="N28" s="127"/>
      <c r="O28" s="127"/>
      <c r="P28" s="127"/>
      <c r="Q28" s="1"/>
      <c r="R28" s="1"/>
      <c r="AC28" s="84" t="str">
        <f t="shared" si="3"/>
        <v/>
      </c>
      <c r="AD28" s="84" t="str">
        <f t="shared" si="4"/>
        <v/>
      </c>
      <c r="AE28" s="84" t="str">
        <f t="shared" si="5"/>
        <v/>
      </c>
      <c r="AF28" s="84" t="str">
        <f t="shared" si="6"/>
        <v/>
      </c>
      <c r="AG28" s="84" t="str">
        <f t="shared" si="7"/>
        <v/>
      </c>
    </row>
    <row r="29" ht="15.75" customHeight="1">
      <c r="A29" s="1"/>
      <c r="B29" s="1"/>
      <c r="C29" s="2"/>
      <c r="D29" s="95">
        <f>SUM(D18:D28)</f>
        <v>0</v>
      </c>
      <c r="E29" s="1"/>
      <c r="F29" s="1"/>
      <c r="G29" s="1"/>
      <c r="H29" s="1"/>
      <c r="I29" s="1"/>
      <c r="J29" s="1"/>
      <c r="K29" s="85"/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5"/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">
        <v>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0" t="s">
        <v>91</v>
      </c>
      <c r="N33" s="130"/>
      <c r="O33" s="1"/>
      <c r="P33" s="1"/>
      <c r="Q33" s="1"/>
      <c r="R33" s="1"/>
    </row>
    <row r="34" ht="15.75" customHeight="1">
      <c r="K34" s="102" t="s">
        <v>7</v>
      </c>
      <c r="L34" s="102" t="s">
        <v>92</v>
      </c>
      <c r="M34" s="102" t="s">
        <v>93</v>
      </c>
      <c r="N34" s="131" t="s">
        <v>94</v>
      </c>
    </row>
    <row r="35" ht="15.75" customHeight="1">
      <c r="K35" s="104" t="str">
        <f t="shared" ref="K35:K36" si="8">IF(O18="","",O18)</f>
        <v/>
      </c>
      <c r="L35" s="105"/>
      <c r="M35" s="105"/>
      <c r="N35" s="132"/>
    </row>
    <row r="36" ht="15.75" customHeight="1">
      <c r="K36" s="104" t="str">
        <f t="shared" si="8"/>
        <v/>
      </c>
      <c r="L36" s="105"/>
      <c r="M36" s="105"/>
      <c r="N36" s="132"/>
    </row>
    <row r="37" ht="15.75" customHeight="1"/>
    <row r="38" ht="19.5" customHeight="1">
      <c r="K38" s="109" t="s">
        <v>96</v>
      </c>
    </row>
    <row r="39" ht="19.5" customHeight="1">
      <c r="K39" s="110" t="s">
        <v>97</v>
      </c>
      <c r="M39" s="105"/>
    </row>
    <row r="40" ht="19.5" customHeight="1">
      <c r="K40" s="111" t="s">
        <v>98</v>
      </c>
      <c r="M40" s="112">
        <f>COUNTIF($I$4:$I$16,"DP")</f>
        <v>0</v>
      </c>
    </row>
    <row r="41" ht="19.5" customHeight="1">
      <c r="K41" s="111" t="s">
        <v>99</v>
      </c>
      <c r="M41" s="112">
        <f>COUNTIFS($I$4:$I$16,"&lt;&gt;DP",$I$4:$I$16,"&lt;&gt;")</f>
        <v>0</v>
      </c>
    </row>
    <row r="42" ht="19.5" customHeight="1">
      <c r="K42" s="113" t="s">
        <v>100</v>
      </c>
      <c r="M42" s="112">
        <f>M40+M41</f>
        <v>0</v>
      </c>
    </row>
    <row r="43" ht="19.5" customHeight="1">
      <c r="K43" s="110" t="s">
        <v>101</v>
      </c>
      <c r="M43" s="11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44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40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44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40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40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40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40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40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40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9" t="s">
        <v>0</v>
      </c>
      <c r="C18" s="60" t="s">
        <v>6</v>
      </c>
      <c r="D18" s="60" t="s">
        <v>70</v>
      </c>
      <c r="E18" s="1"/>
      <c r="F18" s="1"/>
      <c r="G18" s="1"/>
      <c r="H18" s="1"/>
      <c r="I18" s="1"/>
      <c r="J18" s="1"/>
      <c r="K18" s="1"/>
      <c r="L18" s="1"/>
      <c r="M18" s="1"/>
      <c r="N18" s="60" t="s">
        <v>71</v>
      </c>
      <c r="O18" s="60" t="s">
        <v>1</v>
      </c>
      <c r="P18" s="1"/>
      <c r="Q18" s="1"/>
      <c r="R18" s="1"/>
    </row>
    <row r="19" ht="15.75" customHeight="1">
      <c r="A19" s="1"/>
      <c r="B19" s="62">
        <v>1.0</v>
      </c>
      <c r="C19" s="63" t="s">
        <v>72</v>
      </c>
      <c r="D19" s="64">
        <f>SUM(G14)</f>
        <v>0</v>
      </c>
      <c r="E19" s="65"/>
      <c r="F19" s="1"/>
      <c r="G19" s="1"/>
      <c r="H19" s="1"/>
      <c r="I19" s="1"/>
      <c r="J19" s="1"/>
      <c r="K19" s="1"/>
      <c r="L19" s="1"/>
      <c r="M19" s="1"/>
      <c r="N19" s="66" t="s">
        <v>73</v>
      </c>
      <c r="O19" s="26"/>
      <c r="P19" s="1"/>
      <c r="Q19" s="1"/>
      <c r="R19" s="1"/>
    </row>
    <row r="20" ht="15.75" customHeight="1">
      <c r="A20" s="1"/>
      <c r="B20" s="67">
        <v>2.0</v>
      </c>
      <c r="C20" s="68"/>
      <c r="D20" s="69"/>
      <c r="E20" s="65"/>
      <c r="F20" s="1"/>
      <c r="G20" s="82"/>
      <c r="H20" s="1"/>
      <c r="I20" s="1"/>
      <c r="J20" s="1"/>
      <c r="K20" s="1"/>
      <c r="L20" s="1"/>
      <c r="M20" s="1"/>
      <c r="N20" s="70" t="s">
        <v>75</v>
      </c>
      <c r="O20" s="71"/>
      <c r="P20" s="1"/>
      <c r="Q20" s="1"/>
      <c r="R20" s="1"/>
    </row>
    <row r="21" ht="15.75" customHeight="1">
      <c r="A21" s="1"/>
      <c r="B21" s="62">
        <v>3.0</v>
      </c>
      <c r="C21" s="63"/>
      <c r="D21" s="64"/>
      <c r="E21" s="65"/>
      <c r="F21" s="1"/>
      <c r="G21" s="82"/>
      <c r="H21" s="1"/>
      <c r="I21" s="1"/>
      <c r="J21" s="1"/>
      <c r="K21" s="1"/>
      <c r="L21" s="1"/>
      <c r="M21" s="1"/>
      <c r="N21" s="73" t="s">
        <v>76</v>
      </c>
      <c r="O21" s="36"/>
      <c r="P21" s="1"/>
      <c r="Q21" s="1"/>
      <c r="R21" s="1"/>
    </row>
    <row r="22" ht="15.75" customHeight="1">
      <c r="A22" s="1"/>
      <c r="B22" s="67">
        <v>4.0</v>
      </c>
      <c r="C22" s="68"/>
      <c r="D22" s="69"/>
      <c r="E22" s="65"/>
      <c r="F22" s="1"/>
      <c r="G22" s="1"/>
      <c r="H22" s="1"/>
      <c r="I22" s="1"/>
      <c r="J22" s="1"/>
      <c r="K22" s="1"/>
      <c r="L22" s="1"/>
      <c r="M22" s="1"/>
      <c r="N22" s="76" t="s">
        <v>77</v>
      </c>
      <c r="O22" s="71"/>
      <c r="P22" s="1"/>
      <c r="Q22" s="1"/>
      <c r="R22" s="1"/>
    </row>
    <row r="23" ht="15.75" customHeight="1">
      <c r="A23" s="1"/>
      <c r="B23" s="62">
        <v>5.0</v>
      </c>
      <c r="C23" s="63"/>
      <c r="D23" s="64"/>
      <c r="E23" s="65"/>
      <c r="F23" s="1"/>
      <c r="G23" s="1"/>
      <c r="H23" s="1"/>
      <c r="I23" s="1"/>
      <c r="J23" s="1"/>
      <c r="K23" s="1"/>
      <c r="L23" s="1"/>
      <c r="M23" s="1"/>
      <c r="N23" s="79"/>
      <c r="O23" s="1"/>
      <c r="P23" s="1"/>
      <c r="Q23" s="1"/>
      <c r="R23" s="1"/>
    </row>
    <row r="24" ht="15.75" customHeight="1">
      <c r="A24" s="1"/>
      <c r="B24" s="67">
        <v>6.0</v>
      </c>
      <c r="C24" s="68"/>
      <c r="D24" s="69"/>
      <c r="E24" s="6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>
        <v>7.0</v>
      </c>
      <c r="C25" s="63"/>
      <c r="D25" s="64"/>
      <c r="E25" s="65"/>
      <c r="F25" s="8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>
        <v>8.0</v>
      </c>
      <c r="C26" s="68"/>
      <c r="D26" s="69"/>
      <c r="E26" s="65"/>
      <c r="F26" s="1"/>
      <c r="G26" s="1"/>
      <c r="H26" s="1"/>
      <c r="I26" s="1"/>
      <c r="J26" s="1"/>
      <c r="K26" s="81" t="s">
        <v>78</v>
      </c>
      <c r="Q26" s="1"/>
      <c r="R26" s="1"/>
    </row>
    <row r="27" ht="15.75" customHeight="1">
      <c r="A27" s="1"/>
      <c r="B27" s="62">
        <v>9.0</v>
      </c>
      <c r="C27" s="63"/>
      <c r="D27" s="64"/>
      <c r="E27" s="65"/>
      <c r="F27" s="1"/>
      <c r="G27" s="1"/>
      <c r="H27" s="1"/>
      <c r="I27" s="1"/>
      <c r="J27" s="1"/>
      <c r="K27" s="83" t="s">
        <v>1</v>
      </c>
      <c r="L27" s="83" t="s">
        <v>79</v>
      </c>
      <c r="M27" s="83" t="s">
        <v>80</v>
      </c>
      <c r="N27" s="83" t="s">
        <v>81</v>
      </c>
      <c r="O27" s="83" t="s">
        <v>82</v>
      </c>
      <c r="P27" s="83" t="s">
        <v>83</v>
      </c>
      <c r="Q27" s="1"/>
      <c r="R27" s="1"/>
      <c r="AC27" s="84" t="s">
        <v>84</v>
      </c>
      <c r="AD27" s="84" t="s">
        <v>85</v>
      </c>
      <c r="AE27" s="84" t="s">
        <v>86</v>
      </c>
      <c r="AF27" s="84" t="s">
        <v>87</v>
      </c>
      <c r="AG27" s="84" t="s">
        <v>88</v>
      </c>
    </row>
    <row r="28" ht="15.75" customHeight="1">
      <c r="A28" s="1"/>
      <c r="B28" s="67">
        <v>10.0</v>
      </c>
      <c r="C28" s="68"/>
      <c r="D28" s="69"/>
      <c r="E28" s="65"/>
      <c r="F28" s="1"/>
      <c r="G28" s="1"/>
      <c r="H28" s="1"/>
      <c r="I28" s="1"/>
      <c r="J28" s="1"/>
      <c r="K28" s="85" t="str">
        <f t="shared" ref="K28:K31" si="2">IF(O19="","",O19)</f>
        <v/>
      </c>
      <c r="L28" s="86"/>
      <c r="M28" s="86"/>
      <c r="N28" s="86"/>
      <c r="O28" s="86"/>
      <c r="P28" s="86"/>
      <c r="Q28" s="1"/>
      <c r="R28" s="1"/>
      <c r="AC28" s="84" t="str">
        <f t="shared" ref="AC28:AC33" si="3">IF(AG28="","",IF(COUNT(L28:P28)&lt;5,"",L28/5*20+M28/5*25+N28/5*25+O28/5*15+P28/5*15))</f>
        <v/>
      </c>
      <c r="AD28" s="84" t="str">
        <f t="shared" ref="AD28:AD33" si="4">IF(AC28="","",IF(AC28&gt;=90,"Sangat Baik",IF(AC28&gt;=80,"Baik",IF(AC28&gt;=70,"Coaching","Underperform"))))</f>
        <v/>
      </c>
      <c r="AE28" s="84" t="str">
        <f t="shared" ref="AE28:AE33" si="5">IF(AG28="","",IF(OR(AG28="INDAH",AG28="ADDEL",AG28="AMEL",AG28="PENTIL",AG28="JIJANG"),"Admin/CS","Fotografer"))</f>
        <v/>
      </c>
      <c r="AF28" s="84" t="str">
        <f t="shared" ref="AF28:AF33" si="6">IF(OR(AG28="",COUNT(L28:P28)&lt;5),"",1)</f>
        <v/>
      </c>
      <c r="AG28" s="84" t="str">
        <f t="shared" ref="AG28:AG33" si="7">IFERROR(K28,"")</f>
        <v/>
      </c>
    </row>
    <row r="29" ht="15.75" customHeight="1">
      <c r="A29" s="1"/>
      <c r="B29" s="92">
        <v>11.0</v>
      </c>
      <c r="C29" s="93"/>
      <c r="D29" s="94"/>
      <c r="E29" s="65"/>
      <c r="F29" s="1"/>
      <c r="G29" s="1"/>
      <c r="H29" s="1"/>
      <c r="I29" s="1"/>
      <c r="J29" s="1"/>
      <c r="K29" s="85" t="str">
        <f t="shared" si="2"/>
        <v/>
      </c>
      <c r="L29" s="86"/>
      <c r="M29" s="86"/>
      <c r="N29" s="86"/>
      <c r="O29" s="86"/>
      <c r="P29" s="86"/>
      <c r="Q29" s="1"/>
      <c r="R29" s="1"/>
      <c r="AC29" s="84" t="str">
        <f t="shared" si="3"/>
        <v/>
      </c>
      <c r="AD29" s="84" t="str">
        <f t="shared" si="4"/>
        <v/>
      </c>
      <c r="AE29" s="84" t="str">
        <f t="shared" si="5"/>
        <v/>
      </c>
      <c r="AF29" s="84" t="str">
        <f t="shared" si="6"/>
        <v/>
      </c>
      <c r="AG29" s="84" t="str">
        <f t="shared" si="7"/>
        <v/>
      </c>
    </row>
    <row r="30" ht="15.75" customHeight="1">
      <c r="A30" s="1"/>
      <c r="B30" s="1"/>
      <c r="C30" s="2"/>
      <c r="D30" s="95">
        <f>SUM(D19:D29)</f>
        <v>0</v>
      </c>
      <c r="E30" s="1"/>
      <c r="F30" s="1"/>
      <c r="G30" s="1"/>
      <c r="H30" s="1"/>
      <c r="I30" s="1"/>
      <c r="J30" s="1"/>
      <c r="K30" s="85" t="str">
        <f t="shared" si="2"/>
        <v/>
      </c>
      <c r="L30" s="86"/>
      <c r="M30" s="86"/>
      <c r="N30" s="86"/>
      <c r="O30" s="86"/>
      <c r="P30" s="86"/>
      <c r="Q30" s="1"/>
      <c r="R30" s="1"/>
      <c r="AC30" s="84" t="str">
        <f t="shared" si="3"/>
        <v/>
      </c>
      <c r="AD30" s="84" t="str">
        <f t="shared" si="4"/>
        <v/>
      </c>
      <c r="AE30" s="84" t="str">
        <f t="shared" si="5"/>
        <v/>
      </c>
      <c r="AF30" s="84" t="str">
        <f t="shared" si="6"/>
        <v/>
      </c>
      <c r="AG30" s="8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5" t="str">
        <f t="shared" si="2"/>
        <v/>
      </c>
      <c r="L31" s="86"/>
      <c r="M31" s="86"/>
      <c r="N31" s="86"/>
      <c r="O31" s="86"/>
      <c r="P31" s="86"/>
      <c r="Q31" s="1"/>
      <c r="R31" s="1"/>
      <c r="AC31" s="84" t="str">
        <f t="shared" si="3"/>
        <v/>
      </c>
      <c r="AD31" s="84" t="str">
        <f t="shared" si="4"/>
        <v/>
      </c>
      <c r="AE31" s="84" t="str">
        <f t="shared" si="5"/>
        <v/>
      </c>
      <c r="AF31" s="84" t="str">
        <f t="shared" si="6"/>
        <v/>
      </c>
      <c r="AG31" s="8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5"/>
      <c r="L32" s="86"/>
      <c r="M32" s="86"/>
      <c r="N32" s="86"/>
      <c r="O32" s="86"/>
      <c r="P32" s="86"/>
      <c r="Q32" s="1"/>
      <c r="R32" s="1"/>
      <c r="AC32" s="84" t="str">
        <f t="shared" si="3"/>
        <v/>
      </c>
      <c r="AD32" s="84" t="str">
        <f t="shared" si="4"/>
        <v/>
      </c>
      <c r="AE32" s="84" t="str">
        <f t="shared" si="5"/>
        <v/>
      </c>
      <c r="AF32" s="84" t="str">
        <f t="shared" si="6"/>
        <v/>
      </c>
      <c r="AG32" s="8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5"/>
      <c r="L33" s="86"/>
      <c r="M33" s="86"/>
      <c r="N33" s="86"/>
      <c r="O33" s="86"/>
      <c r="P33" s="86"/>
      <c r="Q33" s="1"/>
      <c r="R33" s="1"/>
      <c r="AC33" s="84" t="str">
        <f t="shared" si="3"/>
        <v/>
      </c>
      <c r="AD33" s="84" t="str">
        <f t="shared" si="4"/>
        <v/>
      </c>
      <c r="AE33" s="84" t="str">
        <f t="shared" si="5"/>
        <v/>
      </c>
      <c r="AF33" s="84" t="str">
        <f t="shared" si="6"/>
        <v/>
      </c>
      <c r="AG33" s="8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 t="s">
        <v>90</v>
      </c>
      <c r="Q34" s="1"/>
      <c r="R34" s="1"/>
    </row>
    <row r="35" ht="15.75" customHeight="1"/>
    <row r="36" ht="15.75" customHeight="1">
      <c r="K36" s="137" t="s">
        <v>91</v>
      </c>
    </row>
    <row r="37" ht="15.75" customHeight="1">
      <c r="K37" s="102" t="s">
        <v>7</v>
      </c>
      <c r="L37" s="102" t="s">
        <v>92</v>
      </c>
      <c r="M37" s="102" t="s">
        <v>93</v>
      </c>
    </row>
    <row r="38" ht="15.75" customHeight="1">
      <c r="K38" s="104" t="str">
        <f t="shared" ref="K38:K39" si="8">IF(O19="","",O19)</f>
        <v/>
      </c>
      <c r="L38" s="105"/>
      <c r="M38" s="105"/>
    </row>
    <row r="39" ht="15.75" customHeight="1">
      <c r="K39" s="104" t="str">
        <f t="shared" si="8"/>
        <v/>
      </c>
      <c r="L39" s="105"/>
      <c r="M39" s="105"/>
    </row>
    <row r="40" ht="15.75" customHeight="1"/>
    <row r="41" ht="19.5" customHeight="1">
      <c r="K41" s="109" t="s">
        <v>96</v>
      </c>
    </row>
    <row r="42" ht="19.5" customHeight="1">
      <c r="K42" s="110" t="s">
        <v>97</v>
      </c>
      <c r="M42" s="105"/>
    </row>
    <row r="43" ht="19.5" customHeight="1">
      <c r="K43" s="111" t="s">
        <v>98</v>
      </c>
      <c r="M43" s="112">
        <f>COUNTIF($I$4:$I$17,"DP")</f>
        <v>0</v>
      </c>
    </row>
    <row r="44" ht="19.5" customHeight="1">
      <c r="K44" s="111" t="s">
        <v>99</v>
      </c>
      <c r="M44" s="112">
        <f>COUNTIFS($I$4:$I$17,"&lt;&gt;DP",$I$4:$I$17,"&lt;&gt;")</f>
        <v>0</v>
      </c>
    </row>
    <row r="45" ht="19.5" customHeight="1">
      <c r="K45" s="113" t="s">
        <v>100</v>
      </c>
      <c r="M45" s="112">
        <f>M43+M44</f>
        <v>0</v>
      </c>
    </row>
    <row r="46" ht="19.5" customHeight="1">
      <c r="K46" s="110" t="s">
        <v>101</v>
      </c>
      <c r="M46" s="114" t="str">
        <f>IF(OR(M42="",M42=0),"",M43/M42)</f>
        <v/>
      </c>
    </row>
    <row r="47" ht="15.75" customHeight="1">
      <c r="A47" s="13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9" t="s">
        <v>102</v>
      </c>
      <c r="E49" s="139" t="s">
        <v>103</v>
      </c>
      <c r="I49" s="139" t="s">
        <v>104</v>
      </c>
      <c r="M49" s="139" t="s">
        <v>105</v>
      </c>
    </row>
    <row r="50" ht="15.75" customHeight="1">
      <c r="A50" s="140">
        <f>IFERROR(SUMIFS($D$56:$D$68,$C$56:$C$68,"&gt;0")/COUNTIFS($C$56:$C$68,"&gt;0"),0)</f>
        <v>94</v>
      </c>
      <c r="E50" s="140">
        <f>IFERROR(SUMIFS($D$56:$D$68,$B$56:$B$68,"Admin/CS",$C$56:$C$68,"&gt;0")/COUNTIFS($B$56:$B$68,"Admin/CS",$C$56:$C$68,"&gt;0"),0)</f>
        <v>90</v>
      </c>
      <c r="I50" s="140">
        <f>IFERROR(SUMIFS($D$56:$D$68,$B$56:$B$68,"Fotografer",$C$56:$C$68,"&gt;0")/COUNTIFS($B$56:$B$68,"Fotografer",$C$56:$C$68,"&gt;0"),0)</f>
        <v>98</v>
      </c>
      <c r="M50" s="14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1" t="s">
        <v>1</v>
      </c>
      <c r="B55" s="141" t="s">
        <v>106</v>
      </c>
      <c r="C55" s="141" t="s">
        <v>107</v>
      </c>
      <c r="D55" s="141" t="s">
        <v>108</v>
      </c>
      <c r="E55" s="141" t="s">
        <v>109</v>
      </c>
      <c r="F55" s="141" t="s">
        <v>110</v>
      </c>
      <c r="G55" s="141" t="s">
        <v>111</v>
      </c>
    </row>
    <row r="56" ht="15.75" customHeight="1">
      <c r="A56" s="142" t="str">
        <f>IF($A$78="","",$A$78)</f>
        <v>INDAH</v>
      </c>
      <c r="B56" s="142" t="str">
        <f>IF(A56="","",$B$78)</f>
        <v>Admin/CS</v>
      </c>
      <c r="C56" s="143">
        <f>IF(A56="","",SUMIF('1'!$AG$29:$AG$34,A56,'1'!$AF$29:$AF$34)+SUMIF('2'!$AG$27:$AG$32,A56,'2'!$AF$27:$AF$32)+SUMIF('3'!$AG$60:$AG$65,A56,'3'!$AF$60:$AF$65)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44">
        <f>IF(OR(A56="",C56=0),"",(SUMIF('1'!$AG$29:$AG$34,A56,'1'!$AC$29:$AC$34)+SUMIF('2'!$AG$27:$AG$32,A56,'2'!$AC$27:$AC$32)+SUMIF('3'!$AG$60:$AG$65,A56,'3'!$AC$60:$AC$65)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43">
        <f>IF(A56="","",COUNTIFS('1'!$AG$29:$AG$34,A56,'1'!$AD$29:$AD$34,"Underperform")+COUNTIFS('2'!$AG$27:$AG$32,A56,'2'!$AD$27:$AD$32,"Underperform")+COUNTIFS('3'!$AG$60:$AG$65,A56,'3'!$AD$60:$AD$65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42" t="str">
        <f t="shared" ref="F56:F68" si="9">IF(D56="","",IF(D56&gt;=90,"Sangat Baik",IF(D56&gt;=80,"Baik",IF(D56&gt;=70,"Coaching","Underperform"))))</f>
        <v>Sangat Baik</v>
      </c>
      <c r="G56" s="149"/>
    </row>
    <row r="57" ht="15.75" customHeight="1">
      <c r="A57" s="142" t="str">
        <f>IF($A$79="","",$A$79)</f>
        <v>ADDEL</v>
      </c>
      <c r="B57" s="142" t="str">
        <f>IF(A57="","",$B$79)</f>
        <v>Admin/CS</v>
      </c>
      <c r="C57" s="143">
        <f>IF(A57="","",SUMIF('1'!$AG$29:$AG$34,A57,'1'!$AF$29:$AF$34)+SUMIF('2'!$AG$27:$AG$32,A57,'2'!$AF$27:$AF$32)+SUMIF('3'!$AG$60:$AG$65,A57,'3'!$AF$60:$AF$65)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4" t="str">
        <f>IF(OR(A57="",C57=0),"",(SUMIF('1'!$AG$29:$AG$34,A57,'1'!$AC$29:$AC$34)+SUMIF('2'!$AG$27:$AG$32,A57,'2'!$AC$27:$AC$32)+SUMIF('3'!$AG$60:$AG$65,A57,'3'!$AC$60:$AC$65)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43">
        <f>IF(A57="","",COUNTIFS('1'!$AG$29:$AG$34,A57,'1'!$AD$29:$AD$34,"Underperform")+COUNTIFS('2'!$AG$27:$AG$32,A57,'2'!$AD$27:$AD$32,"Underperform")+COUNTIFS('3'!$AG$60:$AG$65,A57,'3'!$AD$60:$AD$65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42" t="str">
        <f t="shared" si="9"/>
        <v/>
      </c>
      <c r="G57" s="149"/>
    </row>
    <row r="58" ht="15.75" customHeight="1">
      <c r="A58" s="142" t="str">
        <f>IF($A$80="","",$A$80)</f>
        <v>AMEL</v>
      </c>
      <c r="B58" s="142" t="str">
        <f>IF(A58="","",$B$80)</f>
        <v>Admin/CS</v>
      </c>
      <c r="C58" s="143">
        <f>IF(A58="","",SUMIF('1'!$AG$29:$AG$34,A58,'1'!$AF$29:$AF$34)+SUMIF('2'!$AG$27:$AG$32,A58,'2'!$AF$27:$AF$32)+SUMIF('3'!$AG$60:$AG$65,A58,'3'!$AF$60:$AF$65)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4">
        <f>IF(OR(A58="",C58=0),"",(SUMIF('1'!$AG$29:$AG$34,A58,'1'!$AC$29:$AC$34)+SUMIF('2'!$AG$27:$AG$32,A58,'2'!$AC$27:$AC$32)+SUMIF('3'!$AG$60:$AG$65,A58,'3'!$AC$60:$AC$65)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43">
        <f>IF(A58="","",COUNTIFS('1'!$AG$29:$AG$34,A58,'1'!$AD$29:$AD$34,"Underperform")+COUNTIFS('2'!$AG$27:$AG$32,A58,'2'!$AD$27:$AD$32,"Underperform")+COUNTIFS('3'!$AG$60:$AG$65,A58,'3'!$AD$60:$AD$65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42" t="str">
        <f t="shared" si="9"/>
        <v>Baik</v>
      </c>
      <c r="G58" s="149"/>
    </row>
    <row r="59" ht="15.75" customHeight="1">
      <c r="A59" s="142" t="str">
        <f>IF($A$81="","",$A$81)</f>
        <v>PENTIL</v>
      </c>
      <c r="B59" s="142" t="str">
        <f>IF(A59="","",$B$81)</f>
        <v>Admin/CS</v>
      </c>
      <c r="C59" s="143">
        <f>IF(A59="","",SUMIF('1'!$AG$29:$AG$34,A59,'1'!$AF$29:$AF$34)+SUMIF('2'!$AG$27:$AG$32,A59,'2'!$AF$27:$AF$32)+SUMIF('3'!$AG$60:$AG$65,A59,'3'!$AF$60:$AF$65)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4" t="str">
        <f>IF(OR(A59="",C59=0),"",(SUMIF('1'!$AG$29:$AG$34,A59,'1'!$AC$29:$AC$34)+SUMIF('2'!$AG$27:$AG$32,A59,'2'!$AC$27:$AC$32)+SUMIF('3'!$AG$60:$AG$65,A59,'3'!$AC$60:$AC$65)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43">
        <f>IF(A59="","",COUNTIFS('1'!$AG$29:$AG$34,A59,'1'!$AD$29:$AD$34,"Underperform")+COUNTIFS('2'!$AG$27:$AG$32,A59,'2'!$AD$27:$AD$32,"Underperform")+COUNTIFS('3'!$AG$60:$AG$65,A59,'3'!$AD$60:$AD$65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42" t="str">
        <f t="shared" si="9"/>
        <v/>
      </c>
      <c r="G59" s="149"/>
    </row>
    <row r="60" ht="15.75" customHeight="1">
      <c r="A60" s="142" t="str">
        <f>IF($A$82="","",$A$82)</f>
        <v>JIJANG</v>
      </c>
      <c r="B60" s="142" t="str">
        <f>IF(A60="","",$B$82)</f>
        <v>Admin/CS</v>
      </c>
      <c r="C60" s="143">
        <f>IF(A60="","",SUMIF('1'!$AG$29:$AG$34,A60,'1'!$AF$29:$AF$34)+SUMIF('2'!$AG$27:$AG$32,A60,'2'!$AF$27:$AF$32)+SUMIF('3'!$AG$60:$AG$65,A60,'3'!$AF$60:$AF$65)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4" t="str">
        <f>IF(OR(A60="",C60=0),"",(SUMIF('1'!$AG$29:$AG$34,A60,'1'!$AC$29:$AC$34)+SUMIF('2'!$AG$27:$AG$32,A60,'2'!$AC$27:$AC$32)+SUMIF('3'!$AG$60:$AG$65,A60,'3'!$AC$60:$AC$65)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43">
        <f>IF(A60="","",COUNTIFS('1'!$AG$29:$AG$34,A60,'1'!$AD$29:$AD$34,"Underperform")+COUNTIFS('2'!$AG$27:$AG$32,A60,'2'!$AD$27:$AD$32,"Underperform")+COUNTIFS('3'!$AG$60:$AG$65,A60,'3'!$AD$60:$AD$65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42" t="str">
        <f t="shared" si="9"/>
        <v/>
      </c>
      <c r="G60" s="149"/>
    </row>
    <row r="61" ht="15.75" customHeight="1">
      <c r="A61" s="142" t="str">
        <f>IF($A$83="","",$A$83)</f>
        <v>HANIF</v>
      </c>
      <c r="B61" s="142" t="str">
        <f>IF(A61="","",$B$83)</f>
        <v>Fotografer</v>
      </c>
      <c r="C61" s="143">
        <f>IF(A61="","",SUMIF('1'!$AG$29:$AG$34,A61,'1'!$AF$29:$AF$34)+SUMIF('2'!$AG$27:$AG$32,A61,'2'!$AF$27:$AF$32)+SUMIF('3'!$AG$60:$AG$65,A61,'3'!$AF$60:$AF$65)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4" t="str">
        <f>IF(OR(A61="",C61=0),"",(SUMIF('1'!$AG$29:$AG$34,A61,'1'!$AC$29:$AC$34)+SUMIF('2'!$AG$27:$AG$32,A61,'2'!$AC$27:$AC$32)+SUMIF('3'!$AG$60:$AG$65,A61,'3'!$AC$60:$AC$65)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43">
        <f>IF(A61="","",COUNTIFS('1'!$AG$29:$AG$34,A61,'1'!$AD$29:$AD$34,"Underperform")+COUNTIFS('2'!$AG$27:$AG$32,A61,'2'!$AD$27:$AD$32,"Underperform")+COUNTIFS('3'!$AG$60:$AG$65,A61,'3'!$AD$60:$AD$65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42" t="str">
        <f t="shared" si="9"/>
        <v/>
      </c>
      <c r="G61" s="149"/>
    </row>
    <row r="62" ht="15.75" customHeight="1">
      <c r="A62" s="142" t="str">
        <f>IF($A$84="","",$A$84)</f>
        <v>FAHME</v>
      </c>
      <c r="B62" s="142" t="str">
        <f>IF(A62="","",$B$84)</f>
        <v>Fotografer</v>
      </c>
      <c r="C62" s="143">
        <f>IF(A62="","",SUMIF('1'!$AG$29:$AG$34,A62,'1'!$AF$29:$AF$34)+SUMIF('2'!$AG$27:$AG$32,A62,'2'!$AF$27:$AF$32)+SUMIF('3'!$AG$60:$AG$65,A62,'3'!$AF$60:$AF$65)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4" t="str">
        <f>IF(OR(A62="",C62=0),"",(SUMIF('1'!$AG$29:$AG$34,A62,'1'!$AC$29:$AC$34)+SUMIF('2'!$AG$27:$AG$32,A62,'2'!$AC$27:$AC$32)+SUMIF('3'!$AG$60:$AG$65,A62,'3'!$AC$60:$AC$65)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43">
        <f>IF(A62="","",COUNTIFS('1'!$AG$29:$AG$34,A62,'1'!$AD$29:$AD$34,"Underperform")+COUNTIFS('2'!$AG$27:$AG$32,A62,'2'!$AD$27:$AD$32,"Underperform")+COUNTIFS('3'!$AG$60:$AG$65,A62,'3'!$AD$60:$AD$65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42" t="str">
        <f t="shared" si="9"/>
        <v/>
      </c>
      <c r="G62" s="149"/>
    </row>
    <row r="63" ht="15.75" customHeight="1">
      <c r="A63" s="142" t="str">
        <f>IF($A$85="","",$A$85)</f>
        <v>ADIF</v>
      </c>
      <c r="B63" s="142" t="str">
        <f>IF(A63="","",$B$85)</f>
        <v>Fotografer</v>
      </c>
      <c r="C63" s="143">
        <f>IF(A63="","",SUMIF('1'!$AG$29:$AG$34,A63,'1'!$AF$29:$AF$34)+SUMIF('2'!$AG$27:$AG$32,A63,'2'!$AF$27:$AF$32)+SUMIF('3'!$AG$60:$AG$65,A63,'3'!$AF$60:$AF$65)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4">
        <f>IF(OR(A63="",C63=0),"",(SUMIF('1'!$AG$29:$AG$34,A63,'1'!$AC$29:$AC$34)+SUMIF('2'!$AG$27:$AG$32,A63,'2'!$AC$27:$AC$32)+SUMIF('3'!$AG$60:$AG$65,A63,'3'!$AC$60:$AC$65)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43">
        <f>IF(A63="","",COUNTIFS('1'!$AG$29:$AG$34,A63,'1'!$AD$29:$AD$34,"Underperform")+COUNTIFS('2'!$AG$27:$AG$32,A63,'2'!$AD$27:$AD$32,"Underperform")+COUNTIFS('3'!$AG$60:$AG$65,A63,'3'!$AD$60:$AD$65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42" t="str">
        <f t="shared" si="9"/>
        <v>Sangat Baik</v>
      </c>
      <c r="G63" s="149"/>
    </row>
    <row r="64" ht="15.75" customHeight="1">
      <c r="A64" s="142" t="str">
        <f>IF($A$86="","",$A$86)</f>
        <v>ABROR</v>
      </c>
      <c r="B64" s="142" t="str">
        <f>IF(A64="","",$B$86)</f>
        <v>Fotografer</v>
      </c>
      <c r="C64" s="143">
        <f>IF(A64="","",SUMIF('1'!$AG$29:$AG$34,A64,'1'!$AF$29:$AF$34)+SUMIF('2'!$AG$27:$AG$32,A64,'2'!$AF$27:$AF$32)+SUMIF('3'!$AG$60:$AG$65,A64,'3'!$AF$60:$AF$65)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4" t="str">
        <f>IF(OR(A64="",C64=0),"",(SUMIF('1'!$AG$29:$AG$34,A64,'1'!$AC$29:$AC$34)+SUMIF('2'!$AG$27:$AG$32,A64,'2'!$AC$27:$AC$32)+SUMIF('3'!$AG$60:$AG$65,A64,'3'!$AC$60:$AC$65)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43">
        <f>IF(A64="","",COUNTIFS('1'!$AG$29:$AG$34,A64,'1'!$AD$29:$AD$34,"Underperform")+COUNTIFS('2'!$AG$27:$AG$32,A64,'2'!$AD$27:$AD$32,"Underperform")+COUNTIFS('3'!$AG$60:$AG$65,A64,'3'!$AD$60:$AD$65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42" t="str">
        <f t="shared" si="9"/>
        <v/>
      </c>
      <c r="G64" s="149"/>
    </row>
    <row r="65" ht="15.75" customHeight="1">
      <c r="A65" s="142" t="str">
        <f>IF($A$87="","",$A$87)</f>
        <v>FADEL</v>
      </c>
      <c r="B65" s="142" t="str">
        <f>IF(A65="","",$B$87)</f>
        <v>Fotografer</v>
      </c>
      <c r="C65" s="143">
        <f>IF(A65="","",SUMIF('1'!$AG$29:$AG$34,A65,'1'!$AF$29:$AF$34)+SUMIF('2'!$AG$27:$AG$32,A65,'2'!$AF$27:$AF$32)+SUMIF('3'!$AG$60:$AG$65,A65,'3'!$AF$60:$AF$65)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4" t="str">
        <f>IF(OR(A65="",C65=0),"",(SUMIF('1'!$AG$29:$AG$34,A65,'1'!$AC$29:$AC$34)+SUMIF('2'!$AG$27:$AG$32,A65,'2'!$AC$27:$AC$32)+SUMIF('3'!$AG$60:$AG$65,A65,'3'!$AC$60:$AC$65)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43">
        <f>IF(A65="","",COUNTIFS('1'!$AG$29:$AG$34,A65,'1'!$AD$29:$AD$34,"Underperform")+COUNTIFS('2'!$AG$27:$AG$32,A65,'2'!$AD$27:$AD$32,"Underperform")+COUNTIFS('3'!$AG$60:$AG$65,A65,'3'!$AD$60:$AD$65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42" t="str">
        <f t="shared" si="9"/>
        <v/>
      </c>
      <c r="G65" s="149"/>
    </row>
    <row r="66" ht="15.75" customHeight="1">
      <c r="A66" s="142" t="str">
        <f>IF($A$88="","",$A$88)</f>
        <v>SAKA</v>
      </c>
      <c r="B66" s="142" t="str">
        <f>IF(A66="","",$B$88)</f>
        <v>Fotografer</v>
      </c>
      <c r="C66" s="143">
        <f>IF(A66="","",SUMIF('1'!$AG$29:$AG$34,A66,'1'!$AF$29:$AF$34)+SUMIF('2'!$AG$27:$AG$32,A66,'2'!$AF$27:$AF$32)+SUMIF('3'!$AG$60:$AG$65,A66,'3'!$AF$60:$AF$65)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44">
        <f>IF(OR(A66="",C66=0),"",(SUMIF('1'!$AG$29:$AG$34,A66,'1'!$AC$29:$AC$34)+SUMIF('2'!$AG$27:$AG$32,A66,'2'!$AC$27:$AC$32)+SUMIF('3'!$AG$60:$AG$65,A66,'3'!$AC$60:$AC$65)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43">
        <f>IF(A66="","",COUNTIFS('1'!$AG$29:$AG$34,A66,'1'!$AD$29:$AD$34,"Underperform")+COUNTIFS('2'!$AG$27:$AG$32,A66,'2'!$AD$27:$AD$32,"Underperform")+COUNTIFS('3'!$AG$60:$AG$65,A66,'3'!$AD$60:$AD$65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42" t="str">
        <f t="shared" si="9"/>
        <v>Sangat Baik</v>
      </c>
      <c r="G66" s="149"/>
    </row>
    <row r="67" ht="15.75" customHeight="1">
      <c r="A67" s="142" t="str">
        <f>IF($A$89="","",$A$89)</f>
        <v/>
      </c>
      <c r="B67" s="142" t="str">
        <f>IF(A67="","",$B$89)</f>
        <v/>
      </c>
      <c r="C67" s="143" t="str">
        <f>IF(A67="","",SUMIF('1'!$K$29:$K$34,A67,'1'!$AF$29:$AF$34)+SUMIF('2'!$K$27:$K$32,A67,'2'!$AF$27:$AF$32)+SUMIF('3'!$K$60:$K$65,A67,'3'!$AF$60:$AF$65)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4" t="str">
        <f>IF(OR(A67="",C67=0),"",(SUMIF('1'!$K$29:$K$34,A67,'1'!$AC$29:$AC$34)+SUMIF('2'!$K$27:$K$32,A67,'2'!$AC$27:$AC$32)+SUMIF('3'!$K$60:$K$65,A67,'3'!$AC$60:$AC$65)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43" t="str">
        <f>IF(A67="","",COUNTIFS('1'!$K$29:$K$34,A67,'1'!$AD$29:$AD$34,"Underperform")+COUNTIFS('2'!$K$27:$K$32,A67,'2'!$AD$27:$AD$32,"Underperform")+COUNTIFS('3'!$K$60:$K$65,A67,'3'!$AD$60:$AD$65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42" t="str">
        <f t="shared" si="9"/>
        <v/>
      </c>
      <c r="G67" s="149"/>
    </row>
    <row r="68" ht="15.75" customHeight="1">
      <c r="A68" s="142" t="str">
        <f>IF($A$90="","",$A$90)</f>
        <v/>
      </c>
      <c r="B68" s="142" t="str">
        <f>IF(A68="","",$B$90)</f>
        <v/>
      </c>
      <c r="C68" s="143" t="str">
        <f>IF(A68="","",SUMIF('1'!$K$29:$K$34,A68,'1'!$AF$29:$AF$34)+SUMIF('2'!$K$27:$K$32,A68,'2'!$AF$27:$AF$32)+SUMIF('3'!$K$60:$K$65,A68,'3'!$AF$60:$AF$65)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4" t="str">
        <f>IF(OR(A68="",C68=0),"",(SUMIF('1'!$K$29:$K$34,A68,'1'!$AC$29:$AC$34)+SUMIF('2'!$K$27:$K$32,A68,'2'!$AC$27:$AC$32)+SUMIF('3'!$K$60:$K$65,A68,'3'!$AC$60:$AC$65)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43" t="str">
        <f>IF(A68="","",COUNTIFS('1'!$K$29:$K$34,A68,'1'!$AD$29:$AD$34,"Underperform")+COUNTIFS('2'!$K$27:$K$32,A68,'2'!$AD$27:$AD$32,"Underperform")+COUNTIFS('3'!$K$60:$K$65,A68,'3'!$AD$60:$AD$65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42" t="str">
        <f t="shared" si="9"/>
        <v/>
      </c>
      <c r="G68" s="149"/>
    </row>
    <row r="69" ht="15.75" customHeight="1"/>
    <row r="70" ht="15.75" customHeight="1">
      <c r="A70" s="152" t="s">
        <v>127</v>
      </c>
    </row>
    <row r="71" ht="15.75" customHeight="1">
      <c r="A71" s="15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54" t="s">
        <v>128</v>
      </c>
      <c r="B77" s="154" t="s">
        <v>129</v>
      </c>
      <c r="D77" s="137" t="s">
        <v>130</v>
      </c>
    </row>
    <row r="78" ht="15.75" customHeight="1">
      <c r="A78" s="150" t="s">
        <v>59</v>
      </c>
      <c r="B78" s="150" t="s">
        <v>122</v>
      </c>
      <c r="D78" s="155" t="s">
        <v>92</v>
      </c>
      <c r="E78" s="112">
        <f>SUM('1'!$L$39:$L$40)+SUM('2'!$L$37:$L$38)+SUM('3'!$L$70:$L$71)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50" t="s">
        <v>125</v>
      </c>
      <c r="B79" s="150" t="s">
        <v>122</v>
      </c>
      <c r="D79" s="155" t="s">
        <v>93</v>
      </c>
      <c r="E79" s="112">
        <f>SUM('1'!$M$39:$M$40)+SUM('2'!$M$37:$M$38)+SUM('3'!$M$70:$M$71)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50" t="s">
        <v>25</v>
      </c>
      <c r="B80" s="150" t="s">
        <v>122</v>
      </c>
      <c r="D80" s="155" t="s">
        <v>97</v>
      </c>
      <c r="E80" s="112">
        <f>SUM('1'!$M$43)+SUM('2'!$M$41)+SUM('3'!$M$74)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50" t="s">
        <v>132</v>
      </c>
      <c r="B81" s="150" t="s">
        <v>122</v>
      </c>
      <c r="D81" s="155" t="s">
        <v>98</v>
      </c>
      <c r="E81" s="112">
        <f>SUM('1'!$M$44)+SUM('2'!$M$42)+SUM('3'!$M$75)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50" t="s">
        <v>133</v>
      </c>
      <c r="B82" s="150" t="s">
        <v>122</v>
      </c>
      <c r="D82" s="155" t="s">
        <v>99</v>
      </c>
      <c r="E82" s="112">
        <f>SUM('1'!$M$45)+SUM('2'!$M$43)+SUM('3'!$M$76)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50" t="s">
        <v>123</v>
      </c>
      <c r="B83" s="150" t="s">
        <v>134</v>
      </c>
      <c r="D83" s="155" t="s">
        <v>100</v>
      </c>
      <c r="E83" s="112">
        <f>SUM('1'!$M$46)+SUM('2'!$M$44)+SUM('3'!$M$77)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50" t="s">
        <v>126</v>
      </c>
      <c r="B84" s="150" t="s">
        <v>134</v>
      </c>
      <c r="D84" s="155" t="s">
        <v>101</v>
      </c>
      <c r="E84" s="114">
        <f>IFERROR(E81/E80,0)</f>
        <v>0.06557377049</v>
      </c>
    </row>
    <row r="85" ht="15.75" customHeight="1">
      <c r="A85" s="150" t="s">
        <v>33</v>
      </c>
      <c r="B85" s="150" t="s">
        <v>134</v>
      </c>
    </row>
    <row r="86" ht="15.75" customHeight="1">
      <c r="A86" s="150" t="s">
        <v>135</v>
      </c>
      <c r="B86" s="150" t="s">
        <v>134</v>
      </c>
    </row>
    <row r="87" ht="15.75" customHeight="1">
      <c r="A87" s="150" t="s">
        <v>136</v>
      </c>
      <c r="B87" s="150" t="s">
        <v>134</v>
      </c>
    </row>
    <row r="88" ht="15.75" customHeight="1">
      <c r="A88" s="150" t="s">
        <v>65</v>
      </c>
      <c r="B88" s="150" t="s">
        <v>134</v>
      </c>
    </row>
    <row r="89" ht="15.75" customHeight="1">
      <c r="A89" s="150"/>
      <c r="B89" s="150"/>
    </row>
    <row r="90" ht="15.75" customHeight="1">
      <c r="A90" s="150"/>
      <c r="B90" s="15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23"/>
      <c r="D4" s="43"/>
      <c r="E4" s="14"/>
      <c r="F4" s="25"/>
      <c r="G4" s="97"/>
      <c r="H4" s="31"/>
      <c r="I4" s="19"/>
      <c r="J4" s="19"/>
      <c r="K4" s="19"/>
      <c r="L4" s="19"/>
      <c r="M4" s="19"/>
      <c r="N4" s="26"/>
      <c r="O4" s="26"/>
      <c r="P4" s="30"/>
      <c r="Q4" s="1"/>
      <c r="R4" s="1"/>
    </row>
    <row r="5" ht="15.75" customHeight="1">
      <c r="A5" s="1"/>
      <c r="B5" s="19">
        <v>2.0</v>
      </c>
      <c r="C5" s="23"/>
      <c r="D5" s="43"/>
      <c r="E5" s="14"/>
      <c r="F5" s="25"/>
      <c r="G5" s="97"/>
      <c r="H5" s="31"/>
      <c r="I5" s="19"/>
      <c r="J5" s="19"/>
      <c r="K5" s="19"/>
      <c r="L5" s="19"/>
      <c r="M5" s="19"/>
      <c r="N5" s="36"/>
      <c r="O5" s="36"/>
      <c r="P5" s="36"/>
      <c r="Q5" s="1"/>
      <c r="R5" s="1"/>
    </row>
    <row r="6" ht="15.75" customHeight="1">
      <c r="A6" s="1"/>
      <c r="B6" s="19">
        <v>3.0</v>
      </c>
      <c r="C6" s="23"/>
      <c r="D6" s="43"/>
      <c r="E6" s="14"/>
      <c r="F6" s="19"/>
      <c r="G6" s="97"/>
      <c r="H6" s="31"/>
      <c r="I6" s="19"/>
      <c r="J6" s="19"/>
      <c r="K6" s="19"/>
      <c r="L6" s="19"/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3"/>
      <c r="D7" s="43"/>
      <c r="E7" s="14"/>
      <c r="F7" s="19"/>
      <c r="G7" s="97"/>
      <c r="H7" s="31"/>
      <c r="I7" s="19"/>
      <c r="J7" s="19"/>
      <c r="K7" s="19"/>
      <c r="L7" s="19"/>
      <c r="M7" s="19"/>
      <c r="N7" s="36"/>
      <c r="O7" s="36"/>
      <c r="P7" s="36"/>
      <c r="Q7" s="1"/>
      <c r="R7" s="1"/>
    </row>
    <row r="8" ht="15.75" customHeight="1">
      <c r="A8" s="1"/>
      <c r="B8" s="19">
        <v>5.0</v>
      </c>
      <c r="C8" s="23"/>
      <c r="D8" s="43"/>
      <c r="E8" s="14"/>
      <c r="F8" s="19"/>
      <c r="G8" s="97"/>
      <c r="H8" s="31"/>
      <c r="I8" s="19"/>
      <c r="J8" s="19"/>
      <c r="K8" s="19"/>
      <c r="L8" s="19"/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23"/>
      <c r="D9" s="43"/>
      <c r="E9" s="14"/>
      <c r="F9" s="19"/>
      <c r="G9" s="97"/>
      <c r="H9" s="31"/>
      <c r="I9" s="19"/>
      <c r="J9" s="19"/>
      <c r="K9" s="19"/>
      <c r="L9" s="19"/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3"/>
      <c r="D10" s="43"/>
      <c r="E10" s="14"/>
      <c r="F10" s="19"/>
      <c r="G10" s="97"/>
      <c r="H10" s="31"/>
      <c r="I10" s="19"/>
      <c r="J10" s="19"/>
      <c r="K10" s="19"/>
      <c r="L10" s="19"/>
      <c r="M10" s="19"/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3"/>
      <c r="D11" s="43"/>
      <c r="E11" s="14"/>
      <c r="F11" s="19"/>
      <c r="G11" s="97"/>
      <c r="H11" s="31"/>
      <c r="I11" s="19"/>
      <c r="J11" s="19"/>
      <c r="K11" s="19"/>
      <c r="L11" s="19"/>
      <c r="M11" s="19"/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23"/>
      <c r="D12" s="43"/>
      <c r="E12" s="14"/>
      <c r="F12" s="19"/>
      <c r="G12" s="97"/>
      <c r="H12" s="31"/>
      <c r="I12" s="19"/>
      <c r="J12" s="19"/>
      <c r="K12" s="19"/>
      <c r="L12" s="19"/>
      <c r="M12" s="19"/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23"/>
      <c r="D13" s="43"/>
      <c r="E13" s="14"/>
      <c r="F13" s="19"/>
      <c r="G13" s="97"/>
      <c r="H13" s="31"/>
      <c r="I13" s="19"/>
      <c r="J13" s="19"/>
      <c r="K13" s="19"/>
      <c r="L13" s="19"/>
      <c r="M13" s="19"/>
      <c r="N13" s="36"/>
      <c r="O13" s="36"/>
      <c r="P13" s="36"/>
      <c r="Q13" s="1"/>
      <c r="R13" s="1"/>
    </row>
    <row r="14" ht="15.75" customHeight="1">
      <c r="A14" s="1"/>
      <c r="B14" s="19"/>
      <c r="C14" s="23"/>
      <c r="D14" s="43"/>
      <c r="E14" s="14"/>
      <c r="F14" s="19"/>
      <c r="G14" s="97"/>
      <c r="H14" s="31"/>
      <c r="I14" s="19"/>
      <c r="J14" s="19"/>
      <c r="K14" s="19"/>
      <c r="L14" s="19"/>
      <c r="M14" s="19"/>
      <c r="N14" s="36"/>
      <c r="O14" s="36"/>
      <c r="P14" s="36"/>
      <c r="Q14" s="1"/>
      <c r="R14" s="1"/>
    </row>
    <row r="15" ht="15.75" customHeight="1">
      <c r="A15" s="1"/>
      <c r="B15" s="19"/>
      <c r="C15" s="23"/>
      <c r="D15" s="43"/>
      <c r="E15" s="14"/>
      <c r="F15" s="19"/>
      <c r="G15" s="97"/>
      <c r="H15" s="31"/>
      <c r="I15" s="19"/>
      <c r="J15" s="19"/>
      <c r="K15" s="19"/>
      <c r="L15" s="19"/>
      <c r="M15" s="19"/>
      <c r="N15" s="36"/>
      <c r="O15" s="36"/>
      <c r="P15" s="36"/>
      <c r="Q15" s="1"/>
      <c r="R15" s="1"/>
    </row>
    <row r="16" ht="15.75" customHeight="1">
      <c r="A16" s="1"/>
      <c r="B16" s="19"/>
      <c r="C16" s="23"/>
      <c r="D16" s="43"/>
      <c r="E16" s="14"/>
      <c r="F16" s="19"/>
      <c r="G16" s="97"/>
      <c r="H16" s="31"/>
      <c r="I16" s="19"/>
      <c r="J16" s="19"/>
      <c r="K16" s="19"/>
      <c r="L16" s="19"/>
      <c r="M16" s="19"/>
      <c r="N16" s="36"/>
      <c r="O16" s="36"/>
      <c r="P16" s="36"/>
      <c r="Q16" s="1"/>
      <c r="R16" s="1"/>
    </row>
    <row r="17" ht="15.75" customHeight="1">
      <c r="A17" s="1"/>
      <c r="B17" s="19"/>
      <c r="C17" s="23"/>
      <c r="D17" s="43"/>
      <c r="E17" s="14"/>
      <c r="F17" s="19"/>
      <c r="G17" s="97"/>
      <c r="H17" s="31"/>
      <c r="I17" s="19"/>
      <c r="J17" s="19"/>
      <c r="K17" s="19"/>
      <c r="L17" s="19"/>
      <c r="M17" s="19"/>
      <c r="N17" s="36"/>
      <c r="O17" s="36"/>
      <c r="P17" s="36"/>
      <c r="Q17" s="1"/>
      <c r="R17" s="1"/>
    </row>
    <row r="18" ht="15.75" customHeight="1">
      <c r="A18" s="1"/>
      <c r="B18" s="19"/>
      <c r="C18" s="23"/>
      <c r="D18" s="43"/>
      <c r="E18" s="14"/>
      <c r="F18" s="19"/>
      <c r="G18" s="97"/>
      <c r="H18" s="31"/>
      <c r="I18" s="19"/>
      <c r="J18" s="19"/>
      <c r="K18" s="19"/>
      <c r="L18" s="19"/>
      <c r="M18" s="19"/>
      <c r="N18" s="36"/>
      <c r="O18" s="36"/>
      <c r="P18" s="36"/>
      <c r="Q18" s="1"/>
      <c r="R18" s="1"/>
    </row>
    <row r="19" ht="15.75" customHeight="1">
      <c r="A19" s="1"/>
      <c r="B19" s="19"/>
      <c r="C19" s="23"/>
      <c r="D19" s="43"/>
      <c r="E19" s="14"/>
      <c r="F19" s="19"/>
      <c r="G19" s="97"/>
      <c r="H19" s="31"/>
      <c r="I19" s="19"/>
      <c r="J19" s="19"/>
      <c r="K19" s="19"/>
      <c r="L19" s="19"/>
      <c r="M19" s="19"/>
      <c r="N19" s="36"/>
      <c r="O19" s="36"/>
      <c r="P19" s="36"/>
      <c r="Q19" s="1"/>
      <c r="R19" s="1"/>
    </row>
    <row r="20" ht="15.75" customHeight="1">
      <c r="A20" s="1"/>
      <c r="B20" s="19"/>
      <c r="C20" s="23"/>
      <c r="D20" s="43"/>
      <c r="E20" s="14"/>
      <c r="F20" s="19"/>
      <c r="G20" s="97"/>
      <c r="H20" s="31"/>
      <c r="I20" s="19"/>
      <c r="J20" s="19"/>
      <c r="K20" s="19"/>
      <c r="L20" s="19"/>
      <c r="M20" s="19"/>
      <c r="N20" s="36"/>
      <c r="O20" s="36"/>
      <c r="P20" s="36"/>
      <c r="Q20" s="1"/>
      <c r="R20" s="1"/>
    </row>
    <row r="21" ht="15.75" customHeight="1">
      <c r="A21" s="1"/>
      <c r="B21" s="19"/>
      <c r="C21" s="23"/>
      <c r="D21" s="43"/>
      <c r="E21" s="14"/>
      <c r="F21" s="19"/>
      <c r="G21" s="97"/>
      <c r="H21" s="31"/>
      <c r="I21" s="19"/>
      <c r="J21" s="19"/>
      <c r="K21" s="19"/>
      <c r="L21" s="19"/>
      <c r="M21" s="19"/>
      <c r="N21" s="36"/>
      <c r="O21" s="36"/>
      <c r="P21" s="36"/>
      <c r="Q21" s="1"/>
      <c r="R21" s="1"/>
    </row>
    <row r="22" ht="15.75" customHeight="1">
      <c r="A22" s="1"/>
      <c r="B22" s="19"/>
      <c r="C22" s="23"/>
      <c r="D22" s="43"/>
      <c r="E22" s="14"/>
      <c r="F22" s="19"/>
      <c r="G22" s="97"/>
      <c r="H22" s="31"/>
      <c r="I22" s="19"/>
      <c r="J22" s="19"/>
      <c r="K22" s="19"/>
      <c r="L22" s="19"/>
      <c r="M22" s="19"/>
      <c r="N22" s="36"/>
      <c r="O22" s="36"/>
      <c r="P22" s="36"/>
      <c r="Q22" s="1"/>
      <c r="R22" s="1"/>
    </row>
    <row r="23" ht="15.75" customHeight="1">
      <c r="A23" s="1"/>
      <c r="B23" s="19"/>
      <c r="C23" s="23"/>
      <c r="D23" s="43"/>
      <c r="E23" s="14"/>
      <c r="F23" s="19"/>
      <c r="G23" s="97"/>
      <c r="H23" s="31"/>
      <c r="I23" s="19"/>
      <c r="J23" s="19"/>
      <c r="K23" s="19"/>
      <c r="L23" s="19"/>
      <c r="M23" s="19"/>
      <c r="N23" s="36"/>
      <c r="O23" s="36"/>
      <c r="P23" s="36"/>
      <c r="Q23" s="1"/>
      <c r="R23" s="1"/>
    </row>
    <row r="24" ht="15.75" customHeight="1">
      <c r="A24" s="1"/>
      <c r="B24" s="19"/>
      <c r="C24" s="23"/>
      <c r="D24" s="43"/>
      <c r="E24" s="14"/>
      <c r="F24" s="19"/>
      <c r="G24" s="97"/>
      <c r="H24" s="31"/>
      <c r="I24" s="19"/>
      <c r="J24" s="19"/>
      <c r="K24" s="19"/>
      <c r="L24" s="19"/>
      <c r="M24" s="19"/>
      <c r="N24" s="36"/>
      <c r="O24" s="36"/>
      <c r="P24" s="36"/>
      <c r="Q24" s="1"/>
      <c r="R24" s="1"/>
    </row>
    <row r="25" ht="15.75" customHeight="1">
      <c r="A25" s="1"/>
      <c r="B25" s="19"/>
      <c r="C25" s="23"/>
      <c r="D25" s="43"/>
      <c r="E25" s="14"/>
      <c r="F25" s="19"/>
      <c r="G25" s="97"/>
      <c r="H25" s="31"/>
      <c r="I25" s="19"/>
      <c r="J25" s="19"/>
      <c r="K25" s="19"/>
      <c r="L25" s="19"/>
      <c r="M25" s="19"/>
      <c r="N25" s="36"/>
      <c r="O25" s="36"/>
      <c r="P25" s="36"/>
      <c r="Q25" s="1"/>
      <c r="R25" s="1"/>
    </row>
    <row r="26" ht="15.75" customHeight="1">
      <c r="A26" s="1"/>
      <c r="B26" s="19"/>
      <c r="C26" s="23"/>
      <c r="D26" s="43"/>
      <c r="E26" s="14"/>
      <c r="F26" s="19"/>
      <c r="G26" s="97"/>
      <c r="H26" s="31"/>
      <c r="I26" s="19"/>
      <c r="J26" s="19"/>
      <c r="K26" s="19"/>
      <c r="L26" s="19"/>
      <c r="M26" s="19"/>
      <c r="N26" s="36"/>
      <c r="O26" s="36"/>
      <c r="P26" s="36"/>
      <c r="Q26" s="1"/>
      <c r="R26" s="1"/>
    </row>
    <row r="27" ht="15.75" customHeight="1">
      <c r="A27" s="1"/>
      <c r="B27" s="19"/>
      <c r="C27" s="23"/>
      <c r="D27" s="43"/>
      <c r="E27" s="14"/>
      <c r="F27" s="19"/>
      <c r="G27" s="97"/>
      <c r="H27" s="31"/>
      <c r="I27" s="19"/>
      <c r="J27" s="19"/>
      <c r="K27" s="19"/>
      <c r="L27" s="19"/>
      <c r="M27" s="19"/>
      <c r="N27" s="36"/>
      <c r="O27" s="36"/>
      <c r="P27" s="36"/>
      <c r="Q27" s="1"/>
      <c r="R27" s="1"/>
    </row>
    <row r="28" ht="15.75" customHeight="1">
      <c r="A28" s="1"/>
      <c r="B28" s="19"/>
      <c r="C28" s="23"/>
      <c r="D28" s="43"/>
      <c r="E28" s="14"/>
      <c r="F28" s="19"/>
      <c r="G28" s="97"/>
      <c r="H28" s="31"/>
      <c r="I28" s="19"/>
      <c r="J28" s="19"/>
      <c r="K28" s="19"/>
      <c r="L28" s="19"/>
      <c r="M28" s="19"/>
      <c r="N28" s="36"/>
      <c r="O28" s="36"/>
      <c r="P28" s="36"/>
      <c r="Q28" s="1"/>
      <c r="R28" s="1"/>
    </row>
    <row r="29" ht="15.75" customHeight="1">
      <c r="A29" s="1"/>
      <c r="B29" s="19"/>
      <c r="C29" s="23"/>
      <c r="D29" s="43"/>
      <c r="E29" s="14"/>
      <c r="F29" s="19"/>
      <c r="G29" s="97"/>
      <c r="H29" s="31"/>
      <c r="I29" s="19"/>
      <c r="J29" s="19"/>
      <c r="K29" s="19"/>
      <c r="L29" s="19"/>
      <c r="M29" s="19"/>
      <c r="N29" s="36"/>
      <c r="O29" s="36"/>
      <c r="P29" s="36"/>
      <c r="Q29" s="1"/>
      <c r="R29" s="1"/>
    </row>
    <row r="30" ht="15.75" customHeight="1">
      <c r="A30" s="1"/>
      <c r="B30" s="19"/>
      <c r="C30" s="23"/>
      <c r="D30" s="43"/>
      <c r="E30" s="14"/>
      <c r="F30" s="19"/>
      <c r="G30" s="97"/>
      <c r="H30" s="31"/>
      <c r="I30" s="19"/>
      <c r="J30" s="19"/>
      <c r="K30" s="19"/>
      <c r="L30" s="19"/>
      <c r="M30" s="19"/>
      <c r="N30" s="36"/>
      <c r="O30" s="36"/>
      <c r="P30" s="36"/>
      <c r="Q30" s="1"/>
      <c r="R30" s="1"/>
    </row>
    <row r="31" ht="15.75" customHeight="1">
      <c r="A31" s="1"/>
      <c r="B31" s="19"/>
      <c r="C31" s="23"/>
      <c r="D31" s="43"/>
      <c r="E31" s="14"/>
      <c r="F31" s="19"/>
      <c r="G31" s="97"/>
      <c r="H31" s="31"/>
      <c r="I31" s="19"/>
      <c r="J31" s="19"/>
      <c r="K31" s="19"/>
      <c r="L31" s="19"/>
      <c r="M31" s="19"/>
      <c r="N31" s="36"/>
      <c r="O31" s="36"/>
      <c r="P31" s="36"/>
      <c r="Q31" s="1"/>
      <c r="R31" s="1"/>
    </row>
    <row r="32" ht="15.75" customHeight="1">
      <c r="A32" s="1"/>
      <c r="B32" s="19"/>
      <c r="C32" s="23"/>
      <c r="D32" s="43"/>
      <c r="E32" s="14"/>
      <c r="F32" s="19"/>
      <c r="G32" s="97"/>
      <c r="H32" s="31"/>
      <c r="I32" s="19"/>
      <c r="J32" s="19"/>
      <c r="K32" s="19"/>
      <c r="L32" s="19"/>
      <c r="M32" s="19"/>
      <c r="N32" s="36"/>
      <c r="O32" s="36"/>
      <c r="P32" s="36"/>
      <c r="Q32" s="1"/>
      <c r="R32" s="1"/>
    </row>
    <row r="33" ht="15.75" customHeight="1">
      <c r="A33" s="1"/>
      <c r="B33" s="19"/>
      <c r="C33" s="23"/>
      <c r="D33" s="43"/>
      <c r="E33" s="14"/>
      <c r="F33" s="19"/>
      <c r="G33" s="97"/>
      <c r="H33" s="31"/>
      <c r="I33" s="19"/>
      <c r="J33" s="19"/>
      <c r="K33" s="19"/>
      <c r="L33" s="19"/>
      <c r="M33" s="19"/>
      <c r="N33" s="36"/>
      <c r="O33" s="36"/>
      <c r="P33" s="36"/>
      <c r="Q33" s="1"/>
      <c r="R33" s="1"/>
    </row>
    <row r="34" ht="15.75" customHeight="1">
      <c r="A34" s="1"/>
      <c r="B34" s="19"/>
      <c r="C34" s="23"/>
      <c r="D34" s="43"/>
      <c r="E34" s="14"/>
      <c r="F34" s="19"/>
      <c r="G34" s="97"/>
      <c r="H34" s="31"/>
      <c r="I34" s="19"/>
      <c r="J34" s="19"/>
      <c r="K34" s="19"/>
      <c r="L34" s="19"/>
      <c r="M34" s="19"/>
      <c r="N34" s="71"/>
      <c r="O34" s="71"/>
      <c r="P34" s="71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4">
        <f t="shared" ref="G35:H35" si="1">SUM(G4:G34)</f>
        <v>0</v>
      </c>
      <c r="H35" s="5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9" t="s">
        <v>0</v>
      </c>
      <c r="C38" s="60" t="s">
        <v>6</v>
      </c>
      <c r="D38" s="60" t="s">
        <v>70</v>
      </c>
      <c r="E38" s="1"/>
      <c r="F38" s="1"/>
      <c r="G38" s="1"/>
      <c r="H38" s="1"/>
      <c r="I38" s="1"/>
      <c r="J38" s="1"/>
      <c r="K38" s="1"/>
      <c r="L38" s="1"/>
      <c r="M38" s="1"/>
      <c r="N38" s="60" t="s">
        <v>71</v>
      </c>
      <c r="O38" s="60" t="s">
        <v>1</v>
      </c>
      <c r="P38" s="1"/>
      <c r="Q38" s="1"/>
      <c r="R38" s="1"/>
    </row>
    <row r="39" ht="15.75" customHeight="1">
      <c r="A39" s="1"/>
      <c r="B39" s="62">
        <v>1.0</v>
      </c>
      <c r="C39" s="63" t="s">
        <v>72</v>
      </c>
      <c r="D39" s="64">
        <f>SUM(G35)</f>
        <v>0</v>
      </c>
      <c r="E39" s="65"/>
      <c r="F39" s="1"/>
      <c r="G39" s="1"/>
      <c r="H39" s="1"/>
      <c r="I39" s="1"/>
      <c r="J39" s="1"/>
      <c r="K39" s="1"/>
      <c r="L39" s="1"/>
      <c r="M39" s="1"/>
      <c r="N39" s="66" t="s">
        <v>73</v>
      </c>
      <c r="O39" s="26"/>
      <c r="P39" s="1"/>
      <c r="Q39" s="1"/>
      <c r="R39" s="1"/>
    </row>
    <row r="40" ht="15.75" customHeight="1">
      <c r="A40" s="1"/>
      <c r="B40" s="67">
        <v>2.0</v>
      </c>
      <c r="C40" s="68"/>
      <c r="D40" s="69"/>
      <c r="E40" s="65"/>
      <c r="F40" s="1"/>
      <c r="G40" s="1"/>
      <c r="H40" s="1"/>
      <c r="I40" s="1"/>
      <c r="J40" s="1"/>
      <c r="K40" s="1"/>
      <c r="L40" s="1"/>
      <c r="M40" s="1"/>
      <c r="N40" s="70" t="s">
        <v>75</v>
      </c>
      <c r="O40" s="71"/>
      <c r="P40" s="1"/>
      <c r="Q40" s="1"/>
      <c r="R40" s="1"/>
    </row>
    <row r="41" ht="15.75" customHeight="1">
      <c r="A41" s="1"/>
      <c r="B41" s="62">
        <v>3.0</v>
      </c>
      <c r="C41" s="63"/>
      <c r="D41" s="64"/>
      <c r="E41" s="65"/>
      <c r="F41" s="1"/>
      <c r="G41" s="1"/>
      <c r="H41" s="1"/>
      <c r="I41" s="1"/>
      <c r="J41" s="1"/>
      <c r="K41" s="1"/>
      <c r="L41" s="1"/>
      <c r="M41" s="1"/>
      <c r="N41" s="73" t="s">
        <v>76</v>
      </c>
      <c r="O41" s="36"/>
      <c r="P41" s="1"/>
      <c r="Q41" s="1"/>
      <c r="R41" s="1"/>
    </row>
    <row r="42" ht="15.75" customHeight="1">
      <c r="A42" s="1"/>
      <c r="B42" s="67">
        <v>4.0</v>
      </c>
      <c r="C42" s="68"/>
      <c r="D42" s="69"/>
      <c r="E42" s="65"/>
      <c r="F42" s="1"/>
      <c r="G42" s="1"/>
      <c r="H42" s="1"/>
      <c r="I42" s="1"/>
      <c r="J42" s="1"/>
      <c r="K42" s="1"/>
      <c r="L42" s="1"/>
      <c r="M42" s="1"/>
      <c r="N42" s="76" t="s">
        <v>77</v>
      </c>
      <c r="O42" s="71"/>
      <c r="P42" s="1"/>
      <c r="Q42" s="1"/>
      <c r="R42" s="1"/>
    </row>
    <row r="43" ht="15.75" customHeight="1">
      <c r="A43" s="1"/>
      <c r="B43" s="62"/>
      <c r="C43" s="63"/>
      <c r="D43" s="64"/>
      <c r="E43" s="65"/>
      <c r="F43" s="1"/>
      <c r="G43" s="1"/>
      <c r="H43" s="1"/>
      <c r="I43" s="1"/>
      <c r="J43" s="1"/>
      <c r="K43" s="1"/>
      <c r="L43" s="1"/>
      <c r="M43" s="1"/>
      <c r="N43" s="79"/>
      <c r="O43" s="1"/>
      <c r="P43" s="1"/>
      <c r="Q43" s="1"/>
      <c r="R43" s="1"/>
    </row>
    <row r="44" ht="15.75" customHeight="1">
      <c r="A44" s="1"/>
      <c r="B44" s="67"/>
      <c r="C44" s="68"/>
      <c r="D44" s="69"/>
      <c r="E44" s="6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2"/>
      <c r="C45" s="63"/>
      <c r="D45" s="64"/>
      <c r="E45" s="6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/>
      <c r="C46" s="68"/>
      <c r="D46" s="69"/>
      <c r="E46" s="6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2"/>
      <c r="C47" s="63"/>
      <c r="D47" s="64"/>
      <c r="E47" s="6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7"/>
      <c r="C48" s="68"/>
      <c r="D48" s="69"/>
      <c r="E48" s="6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2"/>
      <c r="C49" s="93"/>
      <c r="D49" s="94"/>
      <c r="E49" s="6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45" t="s">
        <v>112</v>
      </c>
      <c r="AU1" s="84" t="s">
        <v>113</v>
      </c>
    </row>
    <row r="2">
      <c r="A2" s="146" t="s">
        <v>114</v>
      </c>
      <c r="AU2" s="84">
        <v>1.0</v>
      </c>
    </row>
    <row r="3">
      <c r="AU3" s="84">
        <v>2.0</v>
      </c>
    </row>
    <row r="4">
      <c r="A4" s="147" t="s">
        <v>115</v>
      </c>
      <c r="AU4" s="84">
        <v>3.0</v>
      </c>
      <c r="AV4" s="84">
        <v>1.0</v>
      </c>
      <c r="AW4" s="84">
        <v>2.0</v>
      </c>
      <c r="AX4" s="84">
        <v>3.0</v>
      </c>
      <c r="AY4" s="84">
        <v>4.0</v>
      </c>
      <c r="AZ4" s="84">
        <v>5.0</v>
      </c>
      <c r="BA4" s="84">
        <v>6.0</v>
      </c>
      <c r="BB4" s="84">
        <v>7.0</v>
      </c>
      <c r="BC4" s="84">
        <v>8.0</v>
      </c>
      <c r="BD4" s="84">
        <v>9.0</v>
      </c>
      <c r="BE4" s="84">
        <v>10.0</v>
      </c>
      <c r="BF4" s="84">
        <v>11.0</v>
      </c>
      <c r="BG4" s="84">
        <v>12.0</v>
      </c>
      <c r="BH4" s="84">
        <v>13.0</v>
      </c>
      <c r="BI4" s="84">
        <v>14.0</v>
      </c>
      <c r="BJ4" s="84">
        <v>15.0</v>
      </c>
      <c r="BK4" s="84">
        <v>16.0</v>
      </c>
      <c r="BL4" s="84">
        <v>17.0</v>
      </c>
      <c r="BM4" s="84">
        <v>18.0</v>
      </c>
      <c r="BN4" s="84">
        <v>19.0</v>
      </c>
      <c r="BO4" s="84">
        <v>20.0</v>
      </c>
      <c r="BP4" s="84">
        <v>21.0</v>
      </c>
      <c r="BQ4" s="84">
        <v>22.0</v>
      </c>
      <c r="BR4" s="84">
        <v>23.0</v>
      </c>
      <c r="BS4" s="84">
        <v>24.0</v>
      </c>
      <c r="BT4" s="84">
        <v>25.0</v>
      </c>
      <c r="BU4" s="84">
        <v>26.0</v>
      </c>
      <c r="BV4" s="84">
        <v>27.0</v>
      </c>
      <c r="BW4" s="84">
        <v>28.0</v>
      </c>
      <c r="BX4" s="84">
        <v>29.0</v>
      </c>
      <c r="BY4" s="84">
        <v>30.0</v>
      </c>
      <c r="BZ4" s="84">
        <v>31.0</v>
      </c>
      <c r="CA4" s="84" t="s">
        <v>116</v>
      </c>
      <c r="CB4" s="84" t="s">
        <v>117</v>
      </c>
    </row>
    <row r="5">
      <c r="A5" s="148" t="s">
        <v>118</v>
      </c>
      <c r="B5" s="148" t="s">
        <v>2</v>
      </c>
      <c r="C5" s="148" t="s">
        <v>119</v>
      </c>
      <c r="D5" s="148" t="s">
        <v>120</v>
      </c>
      <c r="E5" s="148" t="s">
        <v>121</v>
      </c>
      <c r="X5" s="84" t="s">
        <v>36</v>
      </c>
      <c r="Y5" s="84">
        <f>COUNTIF('1'!$D$4:$D$20,X5)+COUNTIF('2'!$D$4:$D$18,X5)+COUNTIF('3'!$D$40:$D$51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84">
        <f t="shared" ref="Z5:Z17" si="1">Y5+(18-ROW())/100000</f>
        <v>8.00013</v>
      </c>
      <c r="AA5" s="84" t="s">
        <v>59</v>
      </c>
      <c r="AB5" s="84" t="s">
        <v>122</v>
      </c>
      <c r="AC5" s="84">
        <f>COUNTIF('1'!$O$22:$O$25,AA5)+COUNTIF('2'!$O$20:$O$23,AA5)+COUNTIF('3'!$O$53:$O$56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84">
        <f t="shared" ref="AD5:AD15" si="2">AC5+(16-ROW())/100000</f>
        <v>1.00011</v>
      </c>
      <c r="AE5" s="84" t="s">
        <v>59</v>
      </c>
      <c r="AF5" s="84">
        <f>COUNTIF('1'!$L$4:$L$20,AE5)+COUNTIF('2'!$L$4:$L$18,AE5)+COUNTIF('3'!$L$40:$L$51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84">
        <f t="shared" ref="AG5:AG9" si="3">AF5+(10-ROW())/100000</f>
        <v>7.00005</v>
      </c>
      <c r="AH5" s="84" t="s">
        <v>123</v>
      </c>
      <c r="AI5" s="84">
        <f>COUNTIF('1'!$M$4:$M$20,AH5)+COUNTIF('2'!$M$4:$M$18,AH5)+COUNTIF('3'!$M$40:$M$51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4">
        <f t="shared" ref="AJ5:AJ10" si="4">AI5+(11-ROW())/100000</f>
        <v>0.00006</v>
      </c>
      <c r="AK5" s="84" t="s">
        <v>59</v>
      </c>
      <c r="AL5" s="84" t="s">
        <v>122</v>
      </c>
      <c r="AM5" s="84">
        <f>COUNTIFS('1'!$AG$29:$AG$34,AK5,'1'!$AF$29:$AF$34,1)+COUNTIFS('2'!$AG$27:$AG$32,AK5,'2'!$AF$27:$AF$32,1)+COUNTIFS('3'!$AG$60:$AG$65,AK5,'3'!$AF$60:$AF$65,1)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84">
        <f t="shared" ref="AN5:AN15" si="5">IF(AM5=0,"",AO5/5*20+AP5/5*25+AQ5/5*25+AR5/5*15+AS5/5*15)</f>
        <v>100</v>
      </c>
      <c r="AO5" s="84">
        <f>IF(AM5=0,"",(SUMIFS('1'!$L$29:$L$34,'1'!$AG$29:$AG$34,AK5,'1'!$AF$29:$AF$34,1)+SUMIFS('2'!$L$27:$L$32,'2'!$AG$27:$AG$32,AK5,'2'!$AF$27:$AF$32,1)+SUMIFS('3'!$L$60:$L$65,'3'!$AG$60:$AG$65,AK5,'3'!$AF$60:$AF$65,1)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4">
        <f>IF(AM5=0,"",(SUMIFS('1'!$M$29:$M$34,'1'!$AG$29:$AG$34,AK5,'1'!$AF$29:$AF$34,1)+SUMIFS('2'!$M$27:$M$32,'2'!$AG$27:$AG$32,AK5,'2'!$AF$27:$AF$32,1)+SUMIFS('3'!$M$60:$M$65,'3'!$AG$60:$AG$65,AK5,'3'!$AF$60:$AF$65,1)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4">
        <f>IF(AM5=0,"",(SUMIFS('1'!$N$29:$N$34,'1'!$AG$29:$AG$34,AK5,'1'!$AF$29:$AF$34,1)+SUMIFS('2'!$N$27:$N$32,'2'!$AG$27:$AG$32,AK5,'2'!$AF$27:$AF$32,1)+SUMIFS('3'!$N$60:$N$65,'3'!$AG$60:$AG$65,AK5,'3'!$AF$60:$AF$65,1)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4">
        <f>IF(AM5=0,"",(SUMIFS('1'!$O$29:$O$34,'1'!$AG$29:$AG$34,AK5,'1'!$AF$29:$AF$34,1)+SUMIFS('2'!$O$27:$O$32,'2'!$AG$27:$AG$32,AK5,'2'!$AF$27:$AF$32,1)+SUMIFS('3'!$O$60:$O$65,'3'!$AG$60:$AG$65,AK5,'3'!$AF$60:$AF$65,1)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4">
        <f>IF(AM5=0,"",(SUMIFS('1'!$P$29:$P$34,'1'!$AG$29:$AG$34,AK5,'1'!$AF$29:$AF$34,1)+SUMIFS('2'!$P$27:$P$32,'2'!$AG$27:$AG$32,AK5,'2'!$AF$27:$AF$32,1)+SUMIFS('3'!$P$60:$P$65,'3'!$AG$60:$AG$65,AK5,'3'!$AF$60:$AF$65,1)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4">
        <v>4.0</v>
      </c>
      <c r="AV5" s="84" t="str">
        <f>IF(COUNTIFS('1'!$AG$29:$AG$34,$AK5,'1'!$AF$29:$AF$34,1)=0,"",SUMIFS('1'!$AC$29:$AC$34,'1'!$AG$29:$AG$34,$AK5,'1'!$AF$29:$AF$34,1)/COUNTIFS('1'!$AG$29:$AG$34,$AK5,'1'!$AF$29:$AF$34,1))</f>
        <v/>
      </c>
      <c r="AW5" s="84">
        <f>IF(COUNTIFS('2'!$AG$27:$AG$32,$AK5,'2'!$AF$27:$AF$32,1)=0,"",SUMIFS('2'!$AC$27:$AC$32,'2'!$AG$27:$AG$32,$AK5,'2'!$AF$27:$AF$32,1)/COUNTIFS('2'!$AG$27:$AG$32,$AK5,'2'!$AF$27:$AF$32,1))</f>
        <v>100</v>
      </c>
      <c r="AX5" s="84" t="str">
        <f>IF(COUNTIFS('3'!$AG$60:$AG$65,$AK5,'3'!$AF$60:$AF$65,1)=0,"",SUMIFS('3'!$AC$60:$AC$65,'3'!$AG$60:$AG$65,$AK5,'3'!$AF$60:$AF$65,1)/COUNTIFS('3'!$AG$60:$AG$65,$AK5,'3'!$AF$60:$AF$65,1))</f>
        <v/>
      </c>
      <c r="AY5" s="84" t="str">
        <f>IF(COUNTIFS('4'!$AG$25:$AG$30,$AK5,'4'!$AF$25:$AF$30,1)=0,"",SUMIFS('4'!$AC$25:$AC$30,'4'!$AG$25:$AG$30,$AK5,'4'!$AF$25:$AF$30,1)/COUNTIFS('4'!$AG$25:$AG$30,$AK5,'4'!$AF$25:$AF$30,1))</f>
        <v/>
      </c>
      <c r="AZ5" s="84" t="str">
        <f>IF(COUNTIFS('5'!$AG$25:$AG$30,$AK5,'5'!$AF$25:$AF$30,1)=0,"",SUMIFS('5'!$AC$25:$AC$30,'5'!$AG$25:$AG$30,$AK5,'5'!$AF$25:$AF$30,1)/COUNTIFS('5'!$AG$25:$AG$30,$AK5,'5'!$AF$25:$AF$30,1))</f>
        <v/>
      </c>
      <c r="BA5" s="84" t="str">
        <f>IF(COUNTIFS('6'!$AG$25:$AG$30,$AK5,'6'!$AF$25:$AF$30,1)=0,"",SUMIFS('6'!$AC$25:$AC$30,'6'!$AG$25:$AG$30,$AK5,'6'!$AF$25:$AF$30,1)/COUNTIFS('6'!$AG$25:$AG$30,$AK5,'6'!$AF$25:$AF$30,1))</f>
        <v/>
      </c>
      <c r="BB5" s="84" t="str">
        <f>IF(COUNTIFS('7'!$AG$30:$AG$35,$AK5,'7'!$AF$30:$AF$35,1)=0,"",SUMIFS('7'!$AC$30:$AC$35,'7'!$AG$30:$AG$35,$AK5,'7'!$AF$30:$AF$35,1)/COUNTIFS('7'!$AG$30:$AG$35,$AK5,'7'!$AF$30:$AF$35,1))</f>
        <v/>
      </c>
      <c r="BC5" s="84" t="str">
        <f>IF(COUNTIFS('8'!$AG$25:$AG$30,$AK5,'8'!$AF$25:$AF$30,1)=0,"",SUMIFS('8'!$AC$25:$AC$30,'8'!$AG$25:$AG$30,$AK5,'8'!$AF$25:$AF$30,1)/COUNTIFS('8'!$AG$25:$AG$30,$AK5,'8'!$AF$25:$AF$30,1))</f>
        <v/>
      </c>
      <c r="BD5" s="84" t="str">
        <f>IF(COUNTIFS('9'!$AG$25:$AG$30,$AK5,'9'!$AF$25:$AF$30,1)=0,"",SUMIFS('9'!$AC$25:$AC$30,'9'!$AG$25:$AG$30,$AK5,'9'!$AF$25:$AF$30,1)/COUNTIFS('9'!$AG$25:$AG$30,$AK5,'9'!$AF$25:$AF$30,1))</f>
        <v/>
      </c>
      <c r="BE5" s="84" t="str">
        <f>IF(COUNTIFS('10'!$AG$25:$AG$30,$AK5,'10'!$AF$25:$AF$30,1)=0,"",SUMIFS('10'!$AC$25:$AC$30,'10'!$AG$25:$AG$30,$AK5,'10'!$AF$25:$AF$30,1)/COUNTIFS('10'!$AG$25:$AG$30,$AK5,'10'!$AF$25:$AF$30,1))</f>
        <v/>
      </c>
      <c r="BF5" s="84" t="str">
        <f>IF(COUNTIFS('11'!$AG$25:$AG$30,$AK5,'11'!$AF$25:$AF$30,1)=0,"",SUMIFS('11'!$AC$25:$AC$30,'11'!$AG$25:$AG$30,$AK5,'11'!$AF$25:$AF$30,1)/COUNTIFS('11'!$AG$25:$AG$30,$AK5,'11'!$AF$25:$AF$30,1))</f>
        <v/>
      </c>
      <c r="BG5" s="84" t="str">
        <f>IF(COUNTIFS('12'!$AG$25:$AG$30,$AK5,'12'!$AF$25:$AF$30,1)=0,"",SUMIFS('12'!$AC$25:$AC$30,'12'!$AG$25:$AG$30,$AK5,'12'!$AF$25:$AF$30,1)/COUNTIFS('12'!$AG$25:$AG$30,$AK5,'12'!$AF$25:$AF$30,1))</f>
        <v/>
      </c>
      <c r="BH5" s="84" t="str">
        <f>IF(COUNTIFS('13'!$AG$25:$AG$30,$AK5,'13'!$AF$25:$AF$30,1)=0,"",SUMIFS('13'!$AC$25:$AC$30,'13'!$AG$25:$AG$30,$AK5,'13'!$AF$25:$AF$30,1)/COUNTIFS('13'!$AG$25:$AG$30,$AK5,'13'!$AF$25:$AF$30,1))</f>
        <v/>
      </c>
      <c r="BI5" s="84" t="str">
        <f>IF(COUNTIFS('14'!$AG$25:$AG$30,$AK5,'14'!$AF$25:$AF$30,1)=0,"",SUMIFS('14'!$AC$25:$AC$30,'14'!$AG$25:$AG$30,$AK5,'14'!$AF$25:$AF$30,1)/COUNTIFS('14'!$AG$25:$AG$30,$AK5,'14'!$AF$25:$AF$30,1))</f>
        <v/>
      </c>
      <c r="BJ5" s="84" t="str">
        <f>IF(COUNTIFS('15'!$AG$25:$AG$30,$AK5,'15'!$AF$25:$AF$30,1)=0,"",SUMIFS('15'!$AC$25:$AC$30,'15'!$AG$25:$AG$30,$AK5,'15'!$AF$25:$AF$30,1)/COUNTIFS('15'!$AG$25:$AG$30,$AK5,'15'!$AF$25:$AF$30,1))</f>
        <v/>
      </c>
      <c r="BK5" s="84" t="str">
        <f>IF(COUNTIFS('16'!$AG$25:$AG$30,$AK5,'16'!$AF$25:$AF$30,1)=0,"",SUMIFS('16'!$AC$25:$AC$30,'16'!$AG$25:$AG$30,$AK5,'16'!$AF$25:$AF$30,1)/COUNTIFS('16'!$AG$25:$AG$30,$AK5,'16'!$AF$25:$AF$30,1))</f>
        <v/>
      </c>
      <c r="BL5" s="84" t="str">
        <f>IF(COUNTIFS('17'!$AG$25:$AG$30,$AK5,'17'!$AF$25:$AF$30,1)=0,"",SUMIFS('17'!$AC$25:$AC$30,'17'!$AG$25:$AG$30,$AK5,'17'!$AF$25:$AF$30,1)/COUNTIFS('17'!$AG$25:$AG$30,$AK5,'17'!$AF$25:$AF$30,1))</f>
        <v/>
      </c>
      <c r="BM5" s="84" t="str">
        <f>IF(COUNTIFS('18'!$AG$25:$AG$30,$AK5,'18'!$AF$25:$AF$30,1)=0,"",SUMIFS('18'!$AC$25:$AC$30,'18'!$AG$25:$AG$30,$AK5,'18'!$AF$25:$AF$30,1)/COUNTIFS('18'!$AG$25:$AG$30,$AK5,'18'!$AF$25:$AF$30,1))</f>
        <v/>
      </c>
      <c r="BN5" s="84" t="str">
        <f>IF(COUNTIFS('19'!$AG$25:$AG$30,$AK5,'19'!$AF$25:$AF$30,1)=0,"",SUMIFS('19'!$AC$25:$AC$30,'19'!$AG$25:$AG$30,$AK5,'19'!$AF$25:$AF$30,1)/COUNTIFS('19'!$AG$25:$AG$30,$AK5,'19'!$AF$25:$AF$30,1))</f>
        <v/>
      </c>
      <c r="BO5" s="84" t="str">
        <f>IF(COUNTIFS('20'!$AG$25:$AG$30,$AK5,'20'!$AF$25:$AF$30,1)=0,"",SUMIFS('20'!$AC$25:$AC$30,'20'!$AG$25:$AG$30,$AK5,'20'!$AF$25:$AF$30,1)/COUNTIFS('20'!$AG$25:$AG$30,$AK5,'20'!$AF$25:$AF$30,1))</f>
        <v/>
      </c>
      <c r="BP5" s="84" t="str">
        <f>IF(COUNTIFS('21'!$AG$25:$AG$30,$AK5,'21'!$AF$25:$AF$30,1)=0,"",SUMIFS('21'!$AC$25:$AC$30,'21'!$AG$25:$AG$30,$AK5,'21'!$AF$25:$AF$30,1)/COUNTIFS('21'!$AG$25:$AG$30,$AK5,'21'!$AF$25:$AF$30,1))</f>
        <v/>
      </c>
      <c r="BQ5" s="84" t="str">
        <f>IF(COUNTIFS('22'!$AG$25:$AG$30,$AK5,'22'!$AF$25:$AF$30,1)=0,"",SUMIFS('22'!$AC$25:$AC$30,'22'!$AG$25:$AG$30,$AK5,'22'!$AF$25:$AF$30,1)/COUNTIFS('22'!$AG$25:$AG$30,$AK5,'22'!$AF$25:$AF$30,1))</f>
        <v/>
      </c>
      <c r="BR5" s="84" t="str">
        <f>IF(COUNTIFS('23'!$AG$25:$AG$30,$AK5,'23'!$AF$25:$AF$30,1)=0,"",SUMIFS('23'!$AC$25:$AC$30,'23'!$AG$25:$AG$30,$AK5,'23'!$AF$25:$AF$30,1)/COUNTIFS('23'!$AG$25:$AG$30,$AK5,'23'!$AF$25:$AF$30,1))</f>
        <v/>
      </c>
      <c r="BS5" s="84" t="str">
        <f>IF(COUNTIFS('24'!$AG$25:$AG$30,$AK5,'24'!$AF$25:$AF$30,1)=0,"",SUMIFS('24'!$AC$25:$AC$30,'24'!$AG$25:$AG$30,$AK5,'24'!$AF$25:$AF$30,1)/COUNTIFS('24'!$AG$25:$AG$30,$AK5,'24'!$AF$25:$AF$30,1))</f>
        <v/>
      </c>
      <c r="BT5" s="84" t="str">
        <f>IF(COUNTIFS('25'!$AG$25:$AG$30,$AK5,'25'!$AF$25:$AF$30,1)=0,"",SUMIFS('25'!$AC$25:$AC$30,'25'!$AG$25:$AG$30,$AK5,'25'!$AF$25:$AF$30,1)/COUNTIFS('25'!$AG$25:$AG$30,$AK5,'25'!$AF$25:$AF$30,1))</f>
        <v/>
      </c>
      <c r="BU5" s="84" t="str">
        <f>IF(COUNTIFS('26'!$AG$25:$AG$30,$AK5,'26'!$AF$25:$AF$30,1)=0,"",SUMIFS('26'!$AC$25:$AC$30,'26'!$AG$25:$AG$30,$AK5,'26'!$AF$25:$AF$30,1)/COUNTIFS('26'!$AG$25:$AG$30,$AK5,'26'!$AF$25:$AF$30,1))</f>
        <v/>
      </c>
      <c r="BV5" s="84" t="str">
        <f>IF(COUNTIFS('27'!$AG$25:$AG$30,$AK5,'27'!$AF$25:$AF$30,1)=0,"",SUMIFS('27'!$AC$25:$AC$30,'27'!$AG$25:$AG$30,$AK5,'27'!$AF$25:$AF$30,1)/COUNTIFS('27'!$AG$25:$AG$30,$AK5,'27'!$AF$25:$AF$30,1))</f>
        <v/>
      </c>
      <c r="BW5" s="84" t="str">
        <f>IF(COUNTIFS('28'!$AG$25:$AG$30,$AK5,'28'!$AF$25:$AF$30,1)=0,"",SUMIFS('28'!$AC$25:$AC$30,'28'!$AG$25:$AG$30,$AK5,'28'!$AF$25:$AF$30,1)/COUNTIFS('28'!$AG$25:$AG$30,$AK5,'28'!$AF$25:$AF$30,1))</f>
        <v/>
      </c>
      <c r="BX5" s="84" t="str">
        <f>IF(COUNTIFS('29'!$AG$25:$AG$30,$AK5,'29'!$AF$25:$AF$30,1)=0,"",SUMIFS('29'!$AC$25:$AC$30,'29'!$AG$25:$AG$30,$AK5,'29'!$AF$25:$AF$30,1)/COUNTIFS('29'!$AG$25:$AG$30,$AK5,'29'!$AF$25:$AF$30,1))</f>
        <v/>
      </c>
      <c r="BY5" s="84" t="str">
        <f>IF(COUNTIFS('30'!$AG$25:$AG$30,$AK5,'30'!$AF$25:$AF$30,1)=0,"",SUMIFS('30'!$AC$25:$AC$30,'30'!$AG$25:$AG$30,$AK5,'30'!$AF$25:$AF$30,1)/COUNTIFS('30'!$AG$25:$AG$30,$AK5,'30'!$AF$25:$AF$30,1))</f>
        <v/>
      </c>
      <c r="BZ5" s="84" t="str">
        <f>IF(COUNTIFS('31'!$AG$28:$AG$33,$AK5,'31'!$AF$28:$AF$33,1)=0,"",SUMIFS('31'!$AC$28:$AC$33,'31'!$AG$28:$AG$33,$AK5,'31'!$AF$28:$AF$33,1)/COUNTIFS('31'!$AG$28:$AG$33,$AK5,'31'!$AF$28:$AF$33,1))</f>
        <v/>
      </c>
      <c r="CA5" s="84" t="s">
        <v>124</v>
      </c>
      <c r="CB5" s="84">
        <f t="shared" ref="CB5:CB8" si="6">COUNTIF($J$51:$J$61,CA5)</f>
        <v>3</v>
      </c>
    </row>
    <row r="6">
      <c r="A6" s="150">
        <f>IF(LARGE($Y$5:$Y$17,1)=0,"",1)</f>
        <v>1</v>
      </c>
      <c r="B6" s="150" t="str">
        <f t="shared" ref="B6:B18" si="7">IF(A6="","",INDEX($X$5:$X$17,MATCH(LARGE($Z$5:$Z$17,A6),$Z$5:$Z$17,0)))</f>
        <v>Large Group</v>
      </c>
      <c r="C6" s="150">
        <f t="shared" ref="C6:C18" si="8">IF(B6="","",INDEX($Y$5:$Y$17,MATCH(B6,$X$5:$X$17,0)))</f>
        <v>8</v>
      </c>
      <c r="D6" s="151">
        <f t="shared" ref="D6:D18" si="9">IF(C6="","",C6/$C$19)</f>
        <v>0.4</v>
      </c>
      <c r="E6" s="151">
        <f t="shared" ref="E6:E18" si="10">IF(D6="","",SUM($D$6:D6))</f>
        <v>0.4</v>
      </c>
      <c r="X6" s="84" t="s">
        <v>19</v>
      </c>
      <c r="Y6" s="84">
        <f>COUNTIF('1'!$D$4:$D$20,X6)+COUNTIF('2'!$D$4:$D$18,X6)+COUNTIF('3'!$D$40:$D$51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84">
        <f t="shared" si="1"/>
        <v>4.00012</v>
      </c>
      <c r="AA6" s="84" t="s">
        <v>125</v>
      </c>
      <c r="AB6" s="84" t="s">
        <v>122</v>
      </c>
      <c r="AC6" s="84">
        <f>COUNTIF('1'!$O$22:$O$25,AA6)+COUNTIF('2'!$O$20:$O$23,AA6)+COUNTIF('3'!$O$53:$O$56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4">
        <f t="shared" si="2"/>
        <v>0.0001</v>
      </c>
      <c r="AE6" s="84" t="s">
        <v>125</v>
      </c>
      <c r="AF6" s="84">
        <f>COUNTIF('1'!$L$4:$L$20,AE6)+COUNTIF('2'!$L$4:$L$18,AE6)+COUNTIF('3'!$L$40:$L$51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4">
        <f t="shared" si="3"/>
        <v>0.00004</v>
      </c>
      <c r="AH6" s="84" t="s">
        <v>126</v>
      </c>
      <c r="AI6" s="84">
        <f>COUNTIF('1'!$M$4:$M$20,AH6)+COUNTIF('2'!$M$4:$M$18,AH6)+COUNTIF('3'!$M$40:$M$51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4">
        <f t="shared" si="4"/>
        <v>0.00005</v>
      </c>
      <c r="AK6" s="84" t="s">
        <v>125</v>
      </c>
      <c r="AL6" s="84" t="s">
        <v>122</v>
      </c>
      <c r="AM6" s="84">
        <f>COUNTIFS('1'!$AG$29:$AG$34,AK6,'1'!$AF$29:$AF$34,1)+COUNTIFS('2'!$AG$27:$AG$32,AK6,'2'!$AF$27:$AF$32,1)+COUNTIFS('3'!$AG$60:$AG$65,AK6,'3'!$AF$60:$AF$65,1)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4" t="str">
        <f t="shared" si="5"/>
        <v/>
      </c>
      <c r="AO6" s="84" t="str">
        <f>IF(AM6=0,"",(SUMIFS('1'!$L$29:$L$34,'1'!$AG$29:$AG$34,AK6,'1'!$AF$29:$AF$34,1)+SUMIFS('2'!$L$27:$L$32,'2'!$AG$27:$AG$32,AK6,'2'!$AF$27:$AF$32,1)+SUMIFS('3'!$L$60:$L$65,'3'!$AG$60:$AG$65,AK6,'3'!$AF$60:$AF$65,1)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4" t="str">
        <f>IF(AM6=0,"",(SUMIFS('1'!$M$29:$M$34,'1'!$AG$29:$AG$34,AK6,'1'!$AF$29:$AF$34,1)+SUMIFS('2'!$M$27:$M$32,'2'!$AG$27:$AG$32,AK6,'2'!$AF$27:$AF$32,1)+SUMIFS('3'!$M$60:$M$65,'3'!$AG$60:$AG$65,AK6,'3'!$AF$60:$AF$65,1)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4" t="str">
        <f>IF(AM6=0,"",(SUMIFS('1'!$N$29:$N$34,'1'!$AG$29:$AG$34,AK6,'1'!$AF$29:$AF$34,1)+SUMIFS('2'!$N$27:$N$32,'2'!$AG$27:$AG$32,AK6,'2'!$AF$27:$AF$32,1)+SUMIFS('3'!$N$60:$N$65,'3'!$AG$60:$AG$65,AK6,'3'!$AF$60:$AF$65,1)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4" t="str">
        <f>IF(AM6=0,"",(SUMIFS('1'!$O$29:$O$34,'1'!$AG$29:$AG$34,AK6,'1'!$AF$29:$AF$34,1)+SUMIFS('2'!$O$27:$O$32,'2'!$AG$27:$AG$32,AK6,'2'!$AF$27:$AF$32,1)+SUMIFS('3'!$O$60:$O$65,'3'!$AG$60:$AG$65,AK6,'3'!$AF$60:$AF$65,1)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4" t="str">
        <f>IF(AM6=0,"",(SUMIFS('1'!$P$29:$P$34,'1'!$AG$29:$AG$34,AK6,'1'!$AF$29:$AF$34,1)+SUMIFS('2'!$P$27:$P$32,'2'!$AG$27:$AG$32,AK6,'2'!$AF$27:$AF$32,1)+SUMIFS('3'!$P$60:$P$65,'3'!$AG$60:$AG$65,AK6,'3'!$AF$60:$AF$65,1)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4">
        <v>5.0</v>
      </c>
      <c r="AV6" s="84" t="str">
        <f>IF(COUNTIFS('1'!$AG$29:$AG$34,$AK6,'1'!$AF$29:$AF$34,1)=0,"",SUMIFS('1'!$AC$29:$AC$34,'1'!$AG$29:$AG$34,$AK6,'1'!$AF$29:$AF$34,1)/COUNTIFS('1'!$AG$29:$AG$34,$AK6,'1'!$AF$29:$AF$34,1))</f>
        <v/>
      </c>
      <c r="AW6" s="84" t="str">
        <f>IF(COUNTIFS('2'!$AG$27:$AG$32,$AK6,'2'!$AF$27:$AF$32,1)=0,"",SUMIFS('2'!$AC$27:$AC$32,'2'!$AG$27:$AG$32,$AK6,'2'!$AF$27:$AF$32,1)/COUNTIFS('2'!$AG$27:$AG$32,$AK6,'2'!$AF$27:$AF$32,1))</f>
        <v/>
      </c>
      <c r="AX6" s="84" t="str">
        <f>IF(COUNTIFS('3'!$AG$60:$AG$65,$AK6,'3'!$AF$60:$AF$65,1)=0,"",SUMIFS('3'!$AC$60:$AC$65,'3'!$AG$60:$AG$65,$AK6,'3'!$AF$60:$AF$65,1)/COUNTIFS('3'!$AG$60:$AG$65,$AK6,'3'!$AF$60:$AF$65,1))</f>
        <v/>
      </c>
      <c r="AY6" s="84" t="str">
        <f>IF(COUNTIFS('4'!$AG$25:$AG$30,$AK6,'4'!$AF$25:$AF$30,1)=0,"",SUMIFS('4'!$AC$25:$AC$30,'4'!$AG$25:$AG$30,$AK6,'4'!$AF$25:$AF$30,1)/COUNTIFS('4'!$AG$25:$AG$30,$AK6,'4'!$AF$25:$AF$30,1))</f>
        <v/>
      </c>
      <c r="AZ6" s="84" t="str">
        <f>IF(COUNTIFS('5'!$AG$25:$AG$30,$AK6,'5'!$AF$25:$AF$30,1)=0,"",SUMIFS('5'!$AC$25:$AC$30,'5'!$AG$25:$AG$30,$AK6,'5'!$AF$25:$AF$30,1)/COUNTIFS('5'!$AG$25:$AG$30,$AK6,'5'!$AF$25:$AF$30,1))</f>
        <v/>
      </c>
      <c r="BA6" s="84" t="str">
        <f>IF(COUNTIFS('6'!$AG$25:$AG$30,$AK6,'6'!$AF$25:$AF$30,1)=0,"",SUMIFS('6'!$AC$25:$AC$30,'6'!$AG$25:$AG$30,$AK6,'6'!$AF$25:$AF$30,1)/COUNTIFS('6'!$AG$25:$AG$30,$AK6,'6'!$AF$25:$AF$30,1))</f>
        <v/>
      </c>
      <c r="BB6" s="84" t="str">
        <f>IF(COUNTIFS('7'!$AG$30:$AG$35,$AK6,'7'!$AF$30:$AF$35,1)=0,"",SUMIFS('7'!$AC$30:$AC$35,'7'!$AG$30:$AG$35,$AK6,'7'!$AF$30:$AF$35,1)/COUNTIFS('7'!$AG$30:$AG$35,$AK6,'7'!$AF$30:$AF$35,1))</f>
        <v/>
      </c>
      <c r="BC6" s="84" t="str">
        <f>IF(COUNTIFS('8'!$AG$25:$AG$30,$AK6,'8'!$AF$25:$AF$30,1)=0,"",SUMIFS('8'!$AC$25:$AC$30,'8'!$AG$25:$AG$30,$AK6,'8'!$AF$25:$AF$30,1)/COUNTIFS('8'!$AG$25:$AG$30,$AK6,'8'!$AF$25:$AF$30,1))</f>
        <v/>
      </c>
      <c r="BD6" s="84" t="str">
        <f>IF(COUNTIFS('9'!$AG$25:$AG$30,$AK6,'9'!$AF$25:$AF$30,1)=0,"",SUMIFS('9'!$AC$25:$AC$30,'9'!$AG$25:$AG$30,$AK6,'9'!$AF$25:$AF$30,1)/COUNTIFS('9'!$AG$25:$AG$30,$AK6,'9'!$AF$25:$AF$30,1))</f>
        <v/>
      </c>
      <c r="BE6" s="84" t="str">
        <f>IF(COUNTIFS('10'!$AG$25:$AG$30,$AK6,'10'!$AF$25:$AF$30,1)=0,"",SUMIFS('10'!$AC$25:$AC$30,'10'!$AG$25:$AG$30,$AK6,'10'!$AF$25:$AF$30,1)/COUNTIFS('10'!$AG$25:$AG$30,$AK6,'10'!$AF$25:$AF$30,1))</f>
        <v/>
      </c>
      <c r="BF6" s="84" t="str">
        <f>IF(COUNTIFS('11'!$AG$25:$AG$30,$AK6,'11'!$AF$25:$AF$30,1)=0,"",SUMIFS('11'!$AC$25:$AC$30,'11'!$AG$25:$AG$30,$AK6,'11'!$AF$25:$AF$30,1)/COUNTIFS('11'!$AG$25:$AG$30,$AK6,'11'!$AF$25:$AF$30,1))</f>
        <v/>
      </c>
      <c r="BG6" s="84" t="str">
        <f>IF(COUNTIFS('12'!$AG$25:$AG$30,$AK6,'12'!$AF$25:$AF$30,1)=0,"",SUMIFS('12'!$AC$25:$AC$30,'12'!$AG$25:$AG$30,$AK6,'12'!$AF$25:$AF$30,1)/COUNTIFS('12'!$AG$25:$AG$30,$AK6,'12'!$AF$25:$AF$30,1))</f>
        <v/>
      </c>
      <c r="BH6" s="84" t="str">
        <f>IF(COUNTIFS('13'!$AG$25:$AG$30,$AK6,'13'!$AF$25:$AF$30,1)=0,"",SUMIFS('13'!$AC$25:$AC$30,'13'!$AG$25:$AG$30,$AK6,'13'!$AF$25:$AF$30,1)/COUNTIFS('13'!$AG$25:$AG$30,$AK6,'13'!$AF$25:$AF$30,1))</f>
        <v/>
      </c>
      <c r="BI6" s="84" t="str">
        <f>IF(COUNTIFS('14'!$AG$25:$AG$30,$AK6,'14'!$AF$25:$AF$30,1)=0,"",SUMIFS('14'!$AC$25:$AC$30,'14'!$AG$25:$AG$30,$AK6,'14'!$AF$25:$AF$30,1)/COUNTIFS('14'!$AG$25:$AG$30,$AK6,'14'!$AF$25:$AF$30,1))</f>
        <v/>
      </c>
      <c r="BJ6" s="84" t="str">
        <f>IF(COUNTIFS('15'!$AG$25:$AG$30,$AK6,'15'!$AF$25:$AF$30,1)=0,"",SUMIFS('15'!$AC$25:$AC$30,'15'!$AG$25:$AG$30,$AK6,'15'!$AF$25:$AF$30,1)/COUNTIFS('15'!$AG$25:$AG$30,$AK6,'15'!$AF$25:$AF$30,1))</f>
        <v/>
      </c>
      <c r="BK6" s="84" t="str">
        <f>IF(COUNTIFS('16'!$AG$25:$AG$30,$AK6,'16'!$AF$25:$AF$30,1)=0,"",SUMIFS('16'!$AC$25:$AC$30,'16'!$AG$25:$AG$30,$AK6,'16'!$AF$25:$AF$30,1)/COUNTIFS('16'!$AG$25:$AG$30,$AK6,'16'!$AF$25:$AF$30,1))</f>
        <v/>
      </c>
      <c r="BL6" s="84" t="str">
        <f>IF(COUNTIFS('17'!$AG$25:$AG$30,$AK6,'17'!$AF$25:$AF$30,1)=0,"",SUMIFS('17'!$AC$25:$AC$30,'17'!$AG$25:$AG$30,$AK6,'17'!$AF$25:$AF$30,1)/COUNTIFS('17'!$AG$25:$AG$30,$AK6,'17'!$AF$25:$AF$30,1))</f>
        <v/>
      </c>
      <c r="BM6" s="84" t="str">
        <f>IF(COUNTIFS('18'!$AG$25:$AG$30,$AK6,'18'!$AF$25:$AF$30,1)=0,"",SUMIFS('18'!$AC$25:$AC$30,'18'!$AG$25:$AG$30,$AK6,'18'!$AF$25:$AF$30,1)/COUNTIFS('18'!$AG$25:$AG$30,$AK6,'18'!$AF$25:$AF$30,1))</f>
        <v/>
      </c>
      <c r="BN6" s="84" t="str">
        <f>IF(COUNTIFS('19'!$AG$25:$AG$30,$AK6,'19'!$AF$25:$AF$30,1)=0,"",SUMIFS('19'!$AC$25:$AC$30,'19'!$AG$25:$AG$30,$AK6,'19'!$AF$25:$AF$30,1)/COUNTIFS('19'!$AG$25:$AG$30,$AK6,'19'!$AF$25:$AF$30,1))</f>
        <v/>
      </c>
      <c r="BO6" s="84" t="str">
        <f>IF(COUNTIFS('20'!$AG$25:$AG$30,$AK6,'20'!$AF$25:$AF$30,1)=0,"",SUMIFS('20'!$AC$25:$AC$30,'20'!$AG$25:$AG$30,$AK6,'20'!$AF$25:$AF$30,1)/COUNTIFS('20'!$AG$25:$AG$30,$AK6,'20'!$AF$25:$AF$30,1))</f>
        <v/>
      </c>
      <c r="BP6" s="84" t="str">
        <f>IF(COUNTIFS('21'!$AG$25:$AG$30,$AK6,'21'!$AF$25:$AF$30,1)=0,"",SUMIFS('21'!$AC$25:$AC$30,'21'!$AG$25:$AG$30,$AK6,'21'!$AF$25:$AF$30,1)/COUNTIFS('21'!$AG$25:$AG$30,$AK6,'21'!$AF$25:$AF$30,1))</f>
        <v/>
      </c>
      <c r="BQ6" s="84" t="str">
        <f>IF(COUNTIFS('22'!$AG$25:$AG$30,$AK6,'22'!$AF$25:$AF$30,1)=0,"",SUMIFS('22'!$AC$25:$AC$30,'22'!$AG$25:$AG$30,$AK6,'22'!$AF$25:$AF$30,1)/COUNTIFS('22'!$AG$25:$AG$30,$AK6,'22'!$AF$25:$AF$30,1))</f>
        <v/>
      </c>
      <c r="BR6" s="84" t="str">
        <f>IF(COUNTIFS('23'!$AG$25:$AG$30,$AK6,'23'!$AF$25:$AF$30,1)=0,"",SUMIFS('23'!$AC$25:$AC$30,'23'!$AG$25:$AG$30,$AK6,'23'!$AF$25:$AF$30,1)/COUNTIFS('23'!$AG$25:$AG$30,$AK6,'23'!$AF$25:$AF$30,1))</f>
        <v/>
      </c>
      <c r="BS6" s="84" t="str">
        <f>IF(COUNTIFS('24'!$AG$25:$AG$30,$AK6,'24'!$AF$25:$AF$30,1)=0,"",SUMIFS('24'!$AC$25:$AC$30,'24'!$AG$25:$AG$30,$AK6,'24'!$AF$25:$AF$30,1)/COUNTIFS('24'!$AG$25:$AG$30,$AK6,'24'!$AF$25:$AF$30,1))</f>
        <v/>
      </c>
      <c r="BT6" s="84" t="str">
        <f>IF(COUNTIFS('25'!$AG$25:$AG$30,$AK6,'25'!$AF$25:$AF$30,1)=0,"",SUMIFS('25'!$AC$25:$AC$30,'25'!$AG$25:$AG$30,$AK6,'25'!$AF$25:$AF$30,1)/COUNTIFS('25'!$AG$25:$AG$30,$AK6,'25'!$AF$25:$AF$30,1))</f>
        <v/>
      </c>
      <c r="BU6" s="84" t="str">
        <f>IF(COUNTIFS('26'!$AG$25:$AG$30,$AK6,'26'!$AF$25:$AF$30,1)=0,"",SUMIFS('26'!$AC$25:$AC$30,'26'!$AG$25:$AG$30,$AK6,'26'!$AF$25:$AF$30,1)/COUNTIFS('26'!$AG$25:$AG$30,$AK6,'26'!$AF$25:$AF$30,1))</f>
        <v/>
      </c>
      <c r="BV6" s="84" t="str">
        <f>IF(COUNTIFS('27'!$AG$25:$AG$30,$AK6,'27'!$AF$25:$AF$30,1)=0,"",SUMIFS('27'!$AC$25:$AC$30,'27'!$AG$25:$AG$30,$AK6,'27'!$AF$25:$AF$30,1)/COUNTIFS('27'!$AG$25:$AG$30,$AK6,'27'!$AF$25:$AF$30,1))</f>
        <v/>
      </c>
      <c r="BW6" s="84" t="str">
        <f>IF(COUNTIFS('28'!$AG$25:$AG$30,$AK6,'28'!$AF$25:$AF$30,1)=0,"",SUMIFS('28'!$AC$25:$AC$30,'28'!$AG$25:$AG$30,$AK6,'28'!$AF$25:$AF$30,1)/COUNTIFS('28'!$AG$25:$AG$30,$AK6,'28'!$AF$25:$AF$30,1))</f>
        <v/>
      </c>
      <c r="BX6" s="84" t="str">
        <f>IF(COUNTIFS('29'!$AG$25:$AG$30,$AK6,'29'!$AF$25:$AF$30,1)=0,"",SUMIFS('29'!$AC$25:$AC$30,'29'!$AG$25:$AG$30,$AK6,'29'!$AF$25:$AF$30,1)/COUNTIFS('29'!$AG$25:$AG$30,$AK6,'29'!$AF$25:$AF$30,1))</f>
        <v/>
      </c>
      <c r="BY6" s="84" t="str">
        <f>IF(COUNTIFS('30'!$AG$25:$AG$30,$AK6,'30'!$AF$25:$AF$30,1)=0,"",SUMIFS('30'!$AC$25:$AC$30,'30'!$AG$25:$AG$30,$AK6,'30'!$AF$25:$AF$30,1)/COUNTIFS('30'!$AG$25:$AG$30,$AK6,'30'!$AF$25:$AF$30,1))</f>
        <v/>
      </c>
      <c r="BZ6" s="84" t="str">
        <f>IF(COUNTIFS('31'!$AG$28:$AG$33,$AK6,'31'!$AF$28:$AF$33,1)=0,"",SUMIFS('31'!$AC$28:$AC$33,'31'!$AG$28:$AG$33,$AK6,'31'!$AF$28:$AF$33,1)/COUNTIFS('31'!$AG$28:$AG$33,$AK6,'31'!$AF$28:$AF$33,1))</f>
        <v/>
      </c>
      <c r="CA6" s="84" t="s">
        <v>131</v>
      </c>
      <c r="CB6" s="84">
        <f t="shared" si="6"/>
        <v>1</v>
      </c>
    </row>
    <row r="7">
      <c r="A7" s="150">
        <f>IF(LARGE($Y$5:$Y$17,2)=0,"",2)</f>
        <v>2</v>
      </c>
      <c r="B7" s="150" t="str">
        <f t="shared" si="7"/>
        <v>Graduation</v>
      </c>
      <c r="C7" s="150">
        <f t="shared" si="8"/>
        <v>4</v>
      </c>
      <c r="D7" s="151">
        <f t="shared" si="9"/>
        <v>0.2</v>
      </c>
      <c r="E7" s="151">
        <f t="shared" si="10"/>
        <v>0.6</v>
      </c>
      <c r="X7" s="84" t="s">
        <v>58</v>
      </c>
      <c r="Y7" s="84">
        <f>COUNTIF('1'!$D$4:$D$20,X7)+COUNTIF('2'!$D$4:$D$18,X7)+COUNTIF('3'!$D$40:$D$51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84">
        <f t="shared" si="1"/>
        <v>2.00011</v>
      </c>
      <c r="AA7" s="84" t="s">
        <v>25</v>
      </c>
      <c r="AB7" s="84" t="s">
        <v>122</v>
      </c>
      <c r="AC7" s="84">
        <f>COUNTIF('1'!$O$22:$O$25,AA7)+COUNTIF('2'!$O$20:$O$23,AA7)+COUNTIF('3'!$O$53:$O$56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4">
        <f t="shared" si="2"/>
        <v>3.00009</v>
      </c>
      <c r="AE7" s="84" t="s">
        <v>25</v>
      </c>
      <c r="AF7" s="84">
        <f>COUNTIF('1'!$L$4:$L$20,AE7)+COUNTIF('2'!$L$4:$L$18,AE7)+COUNTIF('3'!$L$40:$L$51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84">
        <f t="shared" si="3"/>
        <v>18.00003</v>
      </c>
      <c r="AH7" s="84" t="s">
        <v>33</v>
      </c>
      <c r="AI7" s="84">
        <f>COUNTIF('1'!$M$4:$M$20,AH7)+COUNTIF('2'!$M$4:$M$18,AH7)+COUNTIF('3'!$M$40:$M$51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84">
        <f t="shared" si="4"/>
        <v>8.00004</v>
      </c>
      <c r="AK7" s="84" t="s">
        <v>25</v>
      </c>
      <c r="AL7" s="84" t="s">
        <v>122</v>
      </c>
      <c r="AM7" s="84">
        <f>COUNTIFS('1'!$AG$29:$AG$34,AK7,'1'!$AF$29:$AF$34,1)+COUNTIFS('2'!$AG$27:$AG$32,AK7,'2'!$AF$27:$AF$32,1)+COUNTIFS('3'!$AG$60:$AG$65,AK7,'3'!$AF$60:$AF$65,1)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4">
        <f t="shared" si="5"/>
        <v>80</v>
      </c>
      <c r="AO7" s="84">
        <f>IF(AM7=0,"",(SUMIFS('1'!$L$29:$L$34,'1'!$AG$29:$AG$34,AK7,'1'!$AF$29:$AF$34,1)+SUMIFS('2'!$L$27:$L$32,'2'!$AG$27:$AG$32,AK7,'2'!$AF$27:$AF$32,1)+SUMIFS('3'!$L$60:$L$65,'3'!$AG$60:$AG$65,AK7,'3'!$AF$60:$AF$65,1)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4">
        <f>IF(AM7=0,"",(SUMIFS('1'!$M$29:$M$34,'1'!$AG$29:$AG$34,AK7,'1'!$AF$29:$AF$34,1)+SUMIFS('2'!$M$27:$M$32,'2'!$AG$27:$AG$32,AK7,'2'!$AF$27:$AF$32,1)+SUMIFS('3'!$M$60:$M$65,'3'!$AG$60:$AG$65,AK7,'3'!$AF$60:$AF$65,1)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4">
        <f>IF(AM7=0,"",(SUMIFS('1'!$N$29:$N$34,'1'!$AG$29:$AG$34,AK7,'1'!$AF$29:$AF$34,1)+SUMIFS('2'!$N$27:$N$32,'2'!$AG$27:$AG$32,AK7,'2'!$AF$27:$AF$32,1)+SUMIFS('3'!$N$60:$N$65,'3'!$AG$60:$AG$65,AK7,'3'!$AF$60:$AF$65,1)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4">
        <f>IF(AM7=0,"",(SUMIFS('1'!$O$29:$O$34,'1'!$AG$29:$AG$34,AK7,'1'!$AF$29:$AF$34,1)+SUMIFS('2'!$O$27:$O$32,'2'!$AG$27:$AG$32,AK7,'2'!$AF$27:$AF$32,1)+SUMIFS('3'!$O$60:$O$65,'3'!$AG$60:$AG$65,AK7,'3'!$AF$60:$AF$65,1)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4">
        <f>IF(AM7=0,"",(SUMIFS('1'!$P$29:$P$34,'1'!$AG$29:$AG$34,AK7,'1'!$AF$29:$AF$34,1)+SUMIFS('2'!$P$27:$P$32,'2'!$AG$27:$AG$32,AK7,'2'!$AF$27:$AF$32,1)+SUMIFS('3'!$P$60:$P$65,'3'!$AG$60:$AG$65,AK7,'3'!$AF$60:$AF$65,1)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4">
        <f>IF(COUNTIFS('1'!$AG$29:$AG$34,$AK7,'1'!$AF$29:$AF$34,1)=0,"",SUMIFS('1'!$AC$29:$AC$34,'1'!$AG$29:$AG$34,$AK7,'1'!$AF$29:$AF$34,1)/COUNTIFS('1'!$AG$29:$AG$34,$AK7,'1'!$AF$29:$AF$34,1))</f>
        <v>80</v>
      </c>
      <c r="AW7" s="84" t="str">
        <f>IF(COUNTIFS('2'!$AG$27:$AG$32,$AK7,'2'!$AF$27:$AF$32,1)=0,"",SUMIFS('2'!$AC$27:$AC$32,'2'!$AG$27:$AG$32,$AK7,'2'!$AF$27:$AF$32,1)/COUNTIFS('2'!$AG$27:$AG$32,$AK7,'2'!$AF$27:$AF$32,1))</f>
        <v/>
      </c>
      <c r="AX7" s="84" t="str">
        <f>IF(COUNTIFS('3'!$AG$60:$AG$65,$AK7,'3'!$AF$60:$AF$65,1)=0,"",SUMIFS('3'!$AC$60:$AC$65,'3'!$AG$60:$AG$65,$AK7,'3'!$AF$60:$AF$65,1)/COUNTIFS('3'!$AG$60:$AG$65,$AK7,'3'!$AF$60:$AF$65,1))</f>
        <v/>
      </c>
      <c r="AY7" s="84" t="str">
        <f>IF(COUNTIFS('4'!$AG$25:$AG$30,$AK7,'4'!$AF$25:$AF$30,1)=0,"",SUMIFS('4'!$AC$25:$AC$30,'4'!$AG$25:$AG$30,$AK7,'4'!$AF$25:$AF$30,1)/COUNTIFS('4'!$AG$25:$AG$30,$AK7,'4'!$AF$25:$AF$30,1))</f>
        <v/>
      </c>
      <c r="AZ7" s="84" t="str">
        <f>IF(COUNTIFS('5'!$AG$25:$AG$30,$AK7,'5'!$AF$25:$AF$30,1)=0,"",SUMIFS('5'!$AC$25:$AC$30,'5'!$AG$25:$AG$30,$AK7,'5'!$AF$25:$AF$30,1)/COUNTIFS('5'!$AG$25:$AG$30,$AK7,'5'!$AF$25:$AF$30,1))</f>
        <v/>
      </c>
      <c r="BA7" s="84" t="str">
        <f>IF(COUNTIFS('6'!$AG$25:$AG$30,$AK7,'6'!$AF$25:$AF$30,1)=0,"",SUMIFS('6'!$AC$25:$AC$30,'6'!$AG$25:$AG$30,$AK7,'6'!$AF$25:$AF$30,1)/COUNTIFS('6'!$AG$25:$AG$30,$AK7,'6'!$AF$25:$AF$30,1))</f>
        <v/>
      </c>
      <c r="BB7" s="84" t="str">
        <f>IF(COUNTIFS('7'!$AG$30:$AG$35,$AK7,'7'!$AF$30:$AF$35,1)=0,"",SUMIFS('7'!$AC$30:$AC$35,'7'!$AG$30:$AG$35,$AK7,'7'!$AF$30:$AF$35,1)/COUNTIFS('7'!$AG$30:$AG$35,$AK7,'7'!$AF$30:$AF$35,1))</f>
        <v/>
      </c>
      <c r="BC7" s="84" t="str">
        <f>IF(COUNTIFS('8'!$AG$25:$AG$30,$AK7,'8'!$AF$25:$AF$30,1)=0,"",SUMIFS('8'!$AC$25:$AC$30,'8'!$AG$25:$AG$30,$AK7,'8'!$AF$25:$AF$30,1)/COUNTIFS('8'!$AG$25:$AG$30,$AK7,'8'!$AF$25:$AF$30,1))</f>
        <v/>
      </c>
      <c r="BD7" s="84" t="str">
        <f>IF(COUNTIFS('9'!$AG$25:$AG$30,$AK7,'9'!$AF$25:$AF$30,1)=0,"",SUMIFS('9'!$AC$25:$AC$30,'9'!$AG$25:$AG$30,$AK7,'9'!$AF$25:$AF$30,1)/COUNTIFS('9'!$AG$25:$AG$30,$AK7,'9'!$AF$25:$AF$30,1))</f>
        <v/>
      </c>
      <c r="BE7" s="84" t="str">
        <f>IF(COUNTIFS('10'!$AG$25:$AG$30,$AK7,'10'!$AF$25:$AF$30,1)=0,"",SUMIFS('10'!$AC$25:$AC$30,'10'!$AG$25:$AG$30,$AK7,'10'!$AF$25:$AF$30,1)/COUNTIFS('10'!$AG$25:$AG$30,$AK7,'10'!$AF$25:$AF$30,1))</f>
        <v/>
      </c>
      <c r="BF7" s="84" t="str">
        <f>IF(COUNTIFS('11'!$AG$25:$AG$30,$AK7,'11'!$AF$25:$AF$30,1)=0,"",SUMIFS('11'!$AC$25:$AC$30,'11'!$AG$25:$AG$30,$AK7,'11'!$AF$25:$AF$30,1)/COUNTIFS('11'!$AG$25:$AG$30,$AK7,'11'!$AF$25:$AF$30,1))</f>
        <v/>
      </c>
      <c r="BG7" s="84" t="str">
        <f>IF(COUNTIFS('12'!$AG$25:$AG$30,$AK7,'12'!$AF$25:$AF$30,1)=0,"",SUMIFS('12'!$AC$25:$AC$30,'12'!$AG$25:$AG$30,$AK7,'12'!$AF$25:$AF$30,1)/COUNTIFS('12'!$AG$25:$AG$30,$AK7,'12'!$AF$25:$AF$30,1))</f>
        <v/>
      </c>
      <c r="BH7" s="84" t="str">
        <f>IF(COUNTIFS('13'!$AG$25:$AG$30,$AK7,'13'!$AF$25:$AF$30,1)=0,"",SUMIFS('13'!$AC$25:$AC$30,'13'!$AG$25:$AG$30,$AK7,'13'!$AF$25:$AF$30,1)/COUNTIFS('13'!$AG$25:$AG$30,$AK7,'13'!$AF$25:$AF$30,1))</f>
        <v/>
      </c>
      <c r="BI7" s="84" t="str">
        <f>IF(COUNTIFS('14'!$AG$25:$AG$30,$AK7,'14'!$AF$25:$AF$30,1)=0,"",SUMIFS('14'!$AC$25:$AC$30,'14'!$AG$25:$AG$30,$AK7,'14'!$AF$25:$AF$30,1)/COUNTIFS('14'!$AG$25:$AG$30,$AK7,'14'!$AF$25:$AF$30,1))</f>
        <v/>
      </c>
      <c r="BJ7" s="84" t="str">
        <f>IF(COUNTIFS('15'!$AG$25:$AG$30,$AK7,'15'!$AF$25:$AF$30,1)=0,"",SUMIFS('15'!$AC$25:$AC$30,'15'!$AG$25:$AG$30,$AK7,'15'!$AF$25:$AF$30,1)/COUNTIFS('15'!$AG$25:$AG$30,$AK7,'15'!$AF$25:$AF$30,1))</f>
        <v/>
      </c>
      <c r="BK7" s="84" t="str">
        <f>IF(COUNTIFS('16'!$AG$25:$AG$30,$AK7,'16'!$AF$25:$AF$30,1)=0,"",SUMIFS('16'!$AC$25:$AC$30,'16'!$AG$25:$AG$30,$AK7,'16'!$AF$25:$AF$30,1)/COUNTIFS('16'!$AG$25:$AG$30,$AK7,'16'!$AF$25:$AF$30,1))</f>
        <v/>
      </c>
      <c r="BL7" s="84" t="str">
        <f>IF(COUNTIFS('17'!$AG$25:$AG$30,$AK7,'17'!$AF$25:$AF$30,1)=0,"",SUMIFS('17'!$AC$25:$AC$30,'17'!$AG$25:$AG$30,$AK7,'17'!$AF$25:$AF$30,1)/COUNTIFS('17'!$AG$25:$AG$30,$AK7,'17'!$AF$25:$AF$30,1))</f>
        <v/>
      </c>
      <c r="BM7" s="84" t="str">
        <f>IF(COUNTIFS('18'!$AG$25:$AG$30,$AK7,'18'!$AF$25:$AF$30,1)=0,"",SUMIFS('18'!$AC$25:$AC$30,'18'!$AG$25:$AG$30,$AK7,'18'!$AF$25:$AF$30,1)/COUNTIFS('18'!$AG$25:$AG$30,$AK7,'18'!$AF$25:$AF$30,1))</f>
        <v/>
      </c>
      <c r="BN7" s="84" t="str">
        <f>IF(COUNTIFS('19'!$AG$25:$AG$30,$AK7,'19'!$AF$25:$AF$30,1)=0,"",SUMIFS('19'!$AC$25:$AC$30,'19'!$AG$25:$AG$30,$AK7,'19'!$AF$25:$AF$30,1)/COUNTIFS('19'!$AG$25:$AG$30,$AK7,'19'!$AF$25:$AF$30,1))</f>
        <v/>
      </c>
      <c r="BO7" s="84" t="str">
        <f>IF(COUNTIFS('20'!$AG$25:$AG$30,$AK7,'20'!$AF$25:$AF$30,1)=0,"",SUMIFS('20'!$AC$25:$AC$30,'20'!$AG$25:$AG$30,$AK7,'20'!$AF$25:$AF$30,1)/COUNTIFS('20'!$AG$25:$AG$30,$AK7,'20'!$AF$25:$AF$30,1))</f>
        <v/>
      </c>
      <c r="BP7" s="84" t="str">
        <f>IF(COUNTIFS('21'!$AG$25:$AG$30,$AK7,'21'!$AF$25:$AF$30,1)=0,"",SUMIFS('21'!$AC$25:$AC$30,'21'!$AG$25:$AG$30,$AK7,'21'!$AF$25:$AF$30,1)/COUNTIFS('21'!$AG$25:$AG$30,$AK7,'21'!$AF$25:$AF$30,1))</f>
        <v/>
      </c>
      <c r="BQ7" s="84" t="str">
        <f>IF(COUNTIFS('22'!$AG$25:$AG$30,$AK7,'22'!$AF$25:$AF$30,1)=0,"",SUMIFS('22'!$AC$25:$AC$30,'22'!$AG$25:$AG$30,$AK7,'22'!$AF$25:$AF$30,1)/COUNTIFS('22'!$AG$25:$AG$30,$AK7,'22'!$AF$25:$AF$30,1))</f>
        <v/>
      </c>
      <c r="BR7" s="84" t="str">
        <f>IF(COUNTIFS('23'!$AG$25:$AG$30,$AK7,'23'!$AF$25:$AF$30,1)=0,"",SUMIFS('23'!$AC$25:$AC$30,'23'!$AG$25:$AG$30,$AK7,'23'!$AF$25:$AF$30,1)/COUNTIFS('23'!$AG$25:$AG$30,$AK7,'23'!$AF$25:$AF$30,1))</f>
        <v/>
      </c>
      <c r="BS7" s="84" t="str">
        <f>IF(COUNTIFS('24'!$AG$25:$AG$30,$AK7,'24'!$AF$25:$AF$30,1)=0,"",SUMIFS('24'!$AC$25:$AC$30,'24'!$AG$25:$AG$30,$AK7,'24'!$AF$25:$AF$30,1)/COUNTIFS('24'!$AG$25:$AG$30,$AK7,'24'!$AF$25:$AF$30,1))</f>
        <v/>
      </c>
      <c r="BT7" s="84" t="str">
        <f>IF(COUNTIFS('25'!$AG$25:$AG$30,$AK7,'25'!$AF$25:$AF$30,1)=0,"",SUMIFS('25'!$AC$25:$AC$30,'25'!$AG$25:$AG$30,$AK7,'25'!$AF$25:$AF$30,1)/COUNTIFS('25'!$AG$25:$AG$30,$AK7,'25'!$AF$25:$AF$30,1))</f>
        <v/>
      </c>
      <c r="BU7" s="84" t="str">
        <f>IF(COUNTIFS('26'!$AG$25:$AG$30,$AK7,'26'!$AF$25:$AF$30,1)=0,"",SUMIFS('26'!$AC$25:$AC$30,'26'!$AG$25:$AG$30,$AK7,'26'!$AF$25:$AF$30,1)/COUNTIFS('26'!$AG$25:$AG$30,$AK7,'26'!$AF$25:$AF$30,1))</f>
        <v/>
      </c>
      <c r="BV7" s="84" t="str">
        <f>IF(COUNTIFS('27'!$AG$25:$AG$30,$AK7,'27'!$AF$25:$AF$30,1)=0,"",SUMIFS('27'!$AC$25:$AC$30,'27'!$AG$25:$AG$30,$AK7,'27'!$AF$25:$AF$30,1)/COUNTIFS('27'!$AG$25:$AG$30,$AK7,'27'!$AF$25:$AF$30,1))</f>
        <v/>
      </c>
      <c r="BW7" s="84" t="str">
        <f>IF(COUNTIFS('28'!$AG$25:$AG$30,$AK7,'28'!$AF$25:$AF$30,1)=0,"",SUMIFS('28'!$AC$25:$AC$30,'28'!$AG$25:$AG$30,$AK7,'28'!$AF$25:$AF$30,1)/COUNTIFS('28'!$AG$25:$AG$30,$AK7,'28'!$AF$25:$AF$30,1))</f>
        <v/>
      </c>
      <c r="BX7" s="84" t="str">
        <f>IF(COUNTIFS('29'!$AG$25:$AG$30,$AK7,'29'!$AF$25:$AF$30,1)=0,"",SUMIFS('29'!$AC$25:$AC$30,'29'!$AG$25:$AG$30,$AK7,'29'!$AF$25:$AF$30,1)/COUNTIFS('29'!$AG$25:$AG$30,$AK7,'29'!$AF$25:$AF$30,1))</f>
        <v/>
      </c>
      <c r="BY7" s="84" t="str">
        <f>IF(COUNTIFS('30'!$AG$25:$AG$30,$AK7,'30'!$AF$25:$AF$30,1)=0,"",SUMIFS('30'!$AC$25:$AC$30,'30'!$AG$25:$AG$30,$AK7,'30'!$AF$25:$AF$30,1)/COUNTIFS('30'!$AG$25:$AG$30,$AK7,'30'!$AF$25:$AF$30,1))</f>
        <v/>
      </c>
      <c r="BZ7" s="84" t="str">
        <f>IF(COUNTIFS('31'!$AG$28:$AG$33,$AK7,'31'!$AF$28:$AF$33,1)=0,"",SUMIFS('31'!$AC$28:$AC$33,'31'!$AG$28:$AG$33,$AK7,'31'!$AF$28:$AF$33,1)/COUNTIFS('31'!$AG$28:$AG$33,$AK7,'31'!$AF$28:$AF$33,1))</f>
        <v/>
      </c>
      <c r="CA7" s="84" t="s">
        <v>137</v>
      </c>
      <c r="CB7" s="84">
        <f t="shared" si="6"/>
        <v>0</v>
      </c>
    </row>
    <row r="8">
      <c r="A8" s="150">
        <f>IF(LARGE($Y$5:$Y$17,3)=0,"",3)</f>
        <v>3</v>
      </c>
      <c r="B8" s="150" t="str">
        <f t="shared" si="7"/>
        <v>Single</v>
      </c>
      <c r="C8" s="150">
        <f t="shared" si="8"/>
        <v>2</v>
      </c>
      <c r="D8" s="151">
        <f t="shared" si="9"/>
        <v>0.1</v>
      </c>
      <c r="E8" s="151">
        <f t="shared" si="10"/>
        <v>0.7</v>
      </c>
      <c r="X8" s="84" t="s">
        <v>55</v>
      </c>
      <c r="Y8" s="84">
        <f>COUNTIF('1'!$D$4:$D$20,X8)+COUNTIF('2'!$D$4:$D$18,X8)+COUNTIF('3'!$D$40:$D$51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4">
        <f t="shared" si="1"/>
        <v>1.0001</v>
      </c>
      <c r="AA8" s="84" t="s">
        <v>132</v>
      </c>
      <c r="AB8" s="84" t="s">
        <v>122</v>
      </c>
      <c r="AC8" s="84">
        <f>COUNTIF('1'!$O$22:$O$25,AA8)+COUNTIF('2'!$O$20:$O$23,AA8)+COUNTIF('3'!$O$53:$O$56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4">
        <f t="shared" si="2"/>
        <v>0.00008</v>
      </c>
      <c r="AE8" s="84" t="s">
        <v>132</v>
      </c>
      <c r="AF8" s="84">
        <f>COUNTIF('1'!$L$4:$L$20,AE8)+COUNTIF('2'!$L$4:$L$18,AE8)+COUNTIF('3'!$L$40:$L$51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4">
        <f t="shared" si="3"/>
        <v>0.00002</v>
      </c>
      <c r="AH8" s="84" t="s">
        <v>135</v>
      </c>
      <c r="AI8" s="84">
        <f>COUNTIF('1'!$M$4:$M$20,AH8)+COUNTIF('2'!$M$4:$M$18,AH8)+COUNTIF('3'!$M$40:$M$51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4">
        <f t="shared" si="4"/>
        <v>0.00003</v>
      </c>
      <c r="AK8" s="84" t="s">
        <v>132</v>
      </c>
      <c r="AL8" s="84" t="s">
        <v>122</v>
      </c>
      <c r="AM8" s="84">
        <f>COUNTIFS('1'!$AG$29:$AG$34,AK8,'1'!$AF$29:$AF$34,1)+COUNTIFS('2'!$AG$27:$AG$32,AK8,'2'!$AF$27:$AF$32,1)+COUNTIFS('3'!$AG$60:$AG$65,AK8,'3'!$AF$60:$AF$65,1)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4" t="str">
        <f t="shared" si="5"/>
        <v/>
      </c>
      <c r="AO8" s="84" t="str">
        <f>IF(AM8=0,"",(SUMIFS('1'!$L$29:$L$34,'1'!$AG$29:$AG$34,AK8,'1'!$AF$29:$AF$34,1)+SUMIFS('2'!$L$27:$L$32,'2'!$AG$27:$AG$32,AK8,'2'!$AF$27:$AF$32,1)+SUMIFS('3'!$L$60:$L$65,'3'!$AG$60:$AG$65,AK8,'3'!$AF$60:$AF$65,1)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4" t="str">
        <f>IF(AM8=0,"",(SUMIFS('1'!$M$29:$M$34,'1'!$AG$29:$AG$34,AK8,'1'!$AF$29:$AF$34,1)+SUMIFS('2'!$M$27:$M$32,'2'!$AG$27:$AG$32,AK8,'2'!$AF$27:$AF$32,1)+SUMIFS('3'!$M$60:$M$65,'3'!$AG$60:$AG$65,AK8,'3'!$AF$60:$AF$65,1)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4" t="str">
        <f>IF(AM8=0,"",(SUMIFS('1'!$N$29:$N$34,'1'!$AG$29:$AG$34,AK8,'1'!$AF$29:$AF$34,1)+SUMIFS('2'!$N$27:$N$32,'2'!$AG$27:$AG$32,AK8,'2'!$AF$27:$AF$32,1)+SUMIFS('3'!$N$60:$N$65,'3'!$AG$60:$AG$65,AK8,'3'!$AF$60:$AF$65,1)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4" t="str">
        <f>IF(AM8=0,"",(SUMIFS('1'!$O$29:$O$34,'1'!$AG$29:$AG$34,AK8,'1'!$AF$29:$AF$34,1)+SUMIFS('2'!$O$27:$O$32,'2'!$AG$27:$AG$32,AK8,'2'!$AF$27:$AF$32,1)+SUMIFS('3'!$O$60:$O$65,'3'!$AG$60:$AG$65,AK8,'3'!$AF$60:$AF$65,1)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4" t="str">
        <f>IF(AM8=0,"",(SUMIFS('1'!$P$29:$P$34,'1'!$AG$29:$AG$34,AK8,'1'!$AF$29:$AF$34,1)+SUMIFS('2'!$P$27:$P$32,'2'!$AG$27:$AG$32,AK8,'2'!$AF$27:$AF$32,1)+SUMIFS('3'!$P$60:$P$65,'3'!$AG$60:$AG$65,AK8,'3'!$AF$60:$AF$65,1)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4" t="str">
        <f>IF(COUNTIFS('1'!$AG$29:$AG$34,$AK8,'1'!$AF$29:$AF$34,1)=0,"",SUMIFS('1'!$AC$29:$AC$34,'1'!$AG$29:$AG$34,$AK8,'1'!$AF$29:$AF$34,1)/COUNTIFS('1'!$AG$29:$AG$34,$AK8,'1'!$AF$29:$AF$34,1))</f>
        <v/>
      </c>
      <c r="AW8" s="84" t="str">
        <f>IF(COUNTIFS('2'!$AG$27:$AG$32,$AK8,'2'!$AF$27:$AF$32,1)=0,"",SUMIFS('2'!$AC$27:$AC$32,'2'!$AG$27:$AG$32,$AK8,'2'!$AF$27:$AF$32,1)/COUNTIFS('2'!$AG$27:$AG$32,$AK8,'2'!$AF$27:$AF$32,1))</f>
        <v/>
      </c>
      <c r="AX8" s="84" t="str">
        <f>IF(COUNTIFS('3'!$AG$60:$AG$65,$AK8,'3'!$AF$60:$AF$65,1)=0,"",SUMIFS('3'!$AC$60:$AC$65,'3'!$AG$60:$AG$65,$AK8,'3'!$AF$60:$AF$65,1)/COUNTIFS('3'!$AG$60:$AG$65,$AK8,'3'!$AF$60:$AF$65,1))</f>
        <v/>
      </c>
      <c r="AY8" s="84" t="str">
        <f>IF(COUNTIFS('4'!$AG$25:$AG$30,$AK8,'4'!$AF$25:$AF$30,1)=0,"",SUMIFS('4'!$AC$25:$AC$30,'4'!$AG$25:$AG$30,$AK8,'4'!$AF$25:$AF$30,1)/COUNTIFS('4'!$AG$25:$AG$30,$AK8,'4'!$AF$25:$AF$30,1))</f>
        <v/>
      </c>
      <c r="AZ8" s="84" t="str">
        <f>IF(COUNTIFS('5'!$AG$25:$AG$30,$AK8,'5'!$AF$25:$AF$30,1)=0,"",SUMIFS('5'!$AC$25:$AC$30,'5'!$AG$25:$AG$30,$AK8,'5'!$AF$25:$AF$30,1)/COUNTIFS('5'!$AG$25:$AG$30,$AK8,'5'!$AF$25:$AF$30,1))</f>
        <v/>
      </c>
      <c r="BA8" s="84" t="str">
        <f>IF(COUNTIFS('6'!$AG$25:$AG$30,$AK8,'6'!$AF$25:$AF$30,1)=0,"",SUMIFS('6'!$AC$25:$AC$30,'6'!$AG$25:$AG$30,$AK8,'6'!$AF$25:$AF$30,1)/COUNTIFS('6'!$AG$25:$AG$30,$AK8,'6'!$AF$25:$AF$30,1))</f>
        <v/>
      </c>
      <c r="BB8" s="84" t="str">
        <f>IF(COUNTIFS('7'!$AG$30:$AG$35,$AK8,'7'!$AF$30:$AF$35,1)=0,"",SUMIFS('7'!$AC$30:$AC$35,'7'!$AG$30:$AG$35,$AK8,'7'!$AF$30:$AF$35,1)/COUNTIFS('7'!$AG$30:$AG$35,$AK8,'7'!$AF$30:$AF$35,1))</f>
        <v/>
      </c>
      <c r="BC8" s="84" t="str">
        <f>IF(COUNTIFS('8'!$AG$25:$AG$30,$AK8,'8'!$AF$25:$AF$30,1)=0,"",SUMIFS('8'!$AC$25:$AC$30,'8'!$AG$25:$AG$30,$AK8,'8'!$AF$25:$AF$30,1)/COUNTIFS('8'!$AG$25:$AG$30,$AK8,'8'!$AF$25:$AF$30,1))</f>
        <v/>
      </c>
      <c r="BD8" s="84" t="str">
        <f>IF(COUNTIFS('9'!$AG$25:$AG$30,$AK8,'9'!$AF$25:$AF$30,1)=0,"",SUMIFS('9'!$AC$25:$AC$30,'9'!$AG$25:$AG$30,$AK8,'9'!$AF$25:$AF$30,1)/COUNTIFS('9'!$AG$25:$AG$30,$AK8,'9'!$AF$25:$AF$30,1))</f>
        <v/>
      </c>
      <c r="BE8" s="84" t="str">
        <f>IF(COUNTIFS('10'!$AG$25:$AG$30,$AK8,'10'!$AF$25:$AF$30,1)=0,"",SUMIFS('10'!$AC$25:$AC$30,'10'!$AG$25:$AG$30,$AK8,'10'!$AF$25:$AF$30,1)/COUNTIFS('10'!$AG$25:$AG$30,$AK8,'10'!$AF$25:$AF$30,1))</f>
        <v/>
      </c>
      <c r="BF8" s="84" t="str">
        <f>IF(COUNTIFS('11'!$AG$25:$AG$30,$AK8,'11'!$AF$25:$AF$30,1)=0,"",SUMIFS('11'!$AC$25:$AC$30,'11'!$AG$25:$AG$30,$AK8,'11'!$AF$25:$AF$30,1)/COUNTIFS('11'!$AG$25:$AG$30,$AK8,'11'!$AF$25:$AF$30,1))</f>
        <v/>
      </c>
      <c r="BG8" s="84" t="str">
        <f>IF(COUNTIFS('12'!$AG$25:$AG$30,$AK8,'12'!$AF$25:$AF$30,1)=0,"",SUMIFS('12'!$AC$25:$AC$30,'12'!$AG$25:$AG$30,$AK8,'12'!$AF$25:$AF$30,1)/COUNTIFS('12'!$AG$25:$AG$30,$AK8,'12'!$AF$25:$AF$30,1))</f>
        <v/>
      </c>
      <c r="BH8" s="84" t="str">
        <f>IF(COUNTIFS('13'!$AG$25:$AG$30,$AK8,'13'!$AF$25:$AF$30,1)=0,"",SUMIFS('13'!$AC$25:$AC$30,'13'!$AG$25:$AG$30,$AK8,'13'!$AF$25:$AF$30,1)/COUNTIFS('13'!$AG$25:$AG$30,$AK8,'13'!$AF$25:$AF$30,1))</f>
        <v/>
      </c>
      <c r="BI8" s="84" t="str">
        <f>IF(COUNTIFS('14'!$AG$25:$AG$30,$AK8,'14'!$AF$25:$AF$30,1)=0,"",SUMIFS('14'!$AC$25:$AC$30,'14'!$AG$25:$AG$30,$AK8,'14'!$AF$25:$AF$30,1)/COUNTIFS('14'!$AG$25:$AG$30,$AK8,'14'!$AF$25:$AF$30,1))</f>
        <v/>
      </c>
      <c r="BJ8" s="84" t="str">
        <f>IF(COUNTIFS('15'!$AG$25:$AG$30,$AK8,'15'!$AF$25:$AF$30,1)=0,"",SUMIFS('15'!$AC$25:$AC$30,'15'!$AG$25:$AG$30,$AK8,'15'!$AF$25:$AF$30,1)/COUNTIFS('15'!$AG$25:$AG$30,$AK8,'15'!$AF$25:$AF$30,1))</f>
        <v/>
      </c>
      <c r="BK8" s="84" t="str">
        <f>IF(COUNTIFS('16'!$AG$25:$AG$30,$AK8,'16'!$AF$25:$AF$30,1)=0,"",SUMIFS('16'!$AC$25:$AC$30,'16'!$AG$25:$AG$30,$AK8,'16'!$AF$25:$AF$30,1)/COUNTIFS('16'!$AG$25:$AG$30,$AK8,'16'!$AF$25:$AF$30,1))</f>
        <v/>
      </c>
      <c r="BL8" s="84" t="str">
        <f>IF(COUNTIFS('17'!$AG$25:$AG$30,$AK8,'17'!$AF$25:$AF$30,1)=0,"",SUMIFS('17'!$AC$25:$AC$30,'17'!$AG$25:$AG$30,$AK8,'17'!$AF$25:$AF$30,1)/COUNTIFS('17'!$AG$25:$AG$30,$AK8,'17'!$AF$25:$AF$30,1))</f>
        <v/>
      </c>
      <c r="BM8" s="84" t="str">
        <f>IF(COUNTIFS('18'!$AG$25:$AG$30,$AK8,'18'!$AF$25:$AF$30,1)=0,"",SUMIFS('18'!$AC$25:$AC$30,'18'!$AG$25:$AG$30,$AK8,'18'!$AF$25:$AF$30,1)/COUNTIFS('18'!$AG$25:$AG$30,$AK8,'18'!$AF$25:$AF$30,1))</f>
        <v/>
      </c>
      <c r="BN8" s="84" t="str">
        <f>IF(COUNTIFS('19'!$AG$25:$AG$30,$AK8,'19'!$AF$25:$AF$30,1)=0,"",SUMIFS('19'!$AC$25:$AC$30,'19'!$AG$25:$AG$30,$AK8,'19'!$AF$25:$AF$30,1)/COUNTIFS('19'!$AG$25:$AG$30,$AK8,'19'!$AF$25:$AF$30,1))</f>
        <v/>
      </c>
      <c r="BO8" s="84" t="str">
        <f>IF(COUNTIFS('20'!$AG$25:$AG$30,$AK8,'20'!$AF$25:$AF$30,1)=0,"",SUMIFS('20'!$AC$25:$AC$30,'20'!$AG$25:$AG$30,$AK8,'20'!$AF$25:$AF$30,1)/COUNTIFS('20'!$AG$25:$AG$30,$AK8,'20'!$AF$25:$AF$30,1))</f>
        <v/>
      </c>
      <c r="BP8" s="84" t="str">
        <f>IF(COUNTIFS('21'!$AG$25:$AG$30,$AK8,'21'!$AF$25:$AF$30,1)=0,"",SUMIFS('21'!$AC$25:$AC$30,'21'!$AG$25:$AG$30,$AK8,'21'!$AF$25:$AF$30,1)/COUNTIFS('21'!$AG$25:$AG$30,$AK8,'21'!$AF$25:$AF$30,1))</f>
        <v/>
      </c>
      <c r="BQ8" s="84" t="str">
        <f>IF(COUNTIFS('22'!$AG$25:$AG$30,$AK8,'22'!$AF$25:$AF$30,1)=0,"",SUMIFS('22'!$AC$25:$AC$30,'22'!$AG$25:$AG$30,$AK8,'22'!$AF$25:$AF$30,1)/COUNTIFS('22'!$AG$25:$AG$30,$AK8,'22'!$AF$25:$AF$30,1))</f>
        <v/>
      </c>
      <c r="BR8" s="84" t="str">
        <f>IF(COUNTIFS('23'!$AG$25:$AG$30,$AK8,'23'!$AF$25:$AF$30,1)=0,"",SUMIFS('23'!$AC$25:$AC$30,'23'!$AG$25:$AG$30,$AK8,'23'!$AF$25:$AF$30,1)/COUNTIFS('23'!$AG$25:$AG$30,$AK8,'23'!$AF$25:$AF$30,1))</f>
        <v/>
      </c>
      <c r="BS8" s="84" t="str">
        <f>IF(COUNTIFS('24'!$AG$25:$AG$30,$AK8,'24'!$AF$25:$AF$30,1)=0,"",SUMIFS('24'!$AC$25:$AC$30,'24'!$AG$25:$AG$30,$AK8,'24'!$AF$25:$AF$30,1)/COUNTIFS('24'!$AG$25:$AG$30,$AK8,'24'!$AF$25:$AF$30,1))</f>
        <v/>
      </c>
      <c r="BT8" s="84" t="str">
        <f>IF(COUNTIFS('25'!$AG$25:$AG$30,$AK8,'25'!$AF$25:$AF$30,1)=0,"",SUMIFS('25'!$AC$25:$AC$30,'25'!$AG$25:$AG$30,$AK8,'25'!$AF$25:$AF$30,1)/COUNTIFS('25'!$AG$25:$AG$30,$AK8,'25'!$AF$25:$AF$30,1))</f>
        <v/>
      </c>
      <c r="BU8" s="84" t="str">
        <f>IF(COUNTIFS('26'!$AG$25:$AG$30,$AK8,'26'!$AF$25:$AF$30,1)=0,"",SUMIFS('26'!$AC$25:$AC$30,'26'!$AG$25:$AG$30,$AK8,'26'!$AF$25:$AF$30,1)/COUNTIFS('26'!$AG$25:$AG$30,$AK8,'26'!$AF$25:$AF$30,1))</f>
        <v/>
      </c>
      <c r="BV8" s="84" t="str">
        <f>IF(COUNTIFS('27'!$AG$25:$AG$30,$AK8,'27'!$AF$25:$AF$30,1)=0,"",SUMIFS('27'!$AC$25:$AC$30,'27'!$AG$25:$AG$30,$AK8,'27'!$AF$25:$AF$30,1)/COUNTIFS('27'!$AG$25:$AG$30,$AK8,'27'!$AF$25:$AF$30,1))</f>
        <v/>
      </c>
      <c r="BW8" s="84" t="str">
        <f>IF(COUNTIFS('28'!$AG$25:$AG$30,$AK8,'28'!$AF$25:$AF$30,1)=0,"",SUMIFS('28'!$AC$25:$AC$30,'28'!$AG$25:$AG$30,$AK8,'28'!$AF$25:$AF$30,1)/COUNTIFS('28'!$AG$25:$AG$30,$AK8,'28'!$AF$25:$AF$30,1))</f>
        <v/>
      </c>
      <c r="BX8" s="84" t="str">
        <f>IF(COUNTIFS('29'!$AG$25:$AG$30,$AK8,'29'!$AF$25:$AF$30,1)=0,"",SUMIFS('29'!$AC$25:$AC$30,'29'!$AG$25:$AG$30,$AK8,'29'!$AF$25:$AF$30,1)/COUNTIFS('29'!$AG$25:$AG$30,$AK8,'29'!$AF$25:$AF$30,1))</f>
        <v/>
      </c>
      <c r="BY8" s="84" t="str">
        <f>IF(COUNTIFS('30'!$AG$25:$AG$30,$AK8,'30'!$AF$25:$AF$30,1)=0,"",SUMIFS('30'!$AC$25:$AC$30,'30'!$AG$25:$AG$30,$AK8,'30'!$AF$25:$AF$30,1)/COUNTIFS('30'!$AG$25:$AG$30,$AK8,'30'!$AF$25:$AF$30,1))</f>
        <v/>
      </c>
      <c r="BZ8" s="84" t="str">
        <f>IF(COUNTIFS('31'!$AG$28:$AG$33,$AK8,'31'!$AF$28:$AF$33,1)=0,"",SUMIFS('31'!$AC$28:$AC$33,'31'!$AG$28:$AG$33,$AK8,'31'!$AF$28:$AF$33,1)/COUNTIFS('31'!$AG$28:$AG$33,$AK8,'31'!$AF$28:$AF$33,1))</f>
        <v/>
      </c>
      <c r="CA8" s="84" t="s">
        <v>138</v>
      </c>
      <c r="CB8" s="84">
        <f t="shared" si="6"/>
        <v>0</v>
      </c>
    </row>
    <row r="9">
      <c r="A9" s="150">
        <f>IF(LARGE($Y$5:$Y$17,4)=0,"",4)</f>
        <v>4</v>
      </c>
      <c r="B9" s="150" t="str">
        <f t="shared" si="7"/>
        <v>Photofox</v>
      </c>
      <c r="C9" s="150">
        <f t="shared" si="8"/>
        <v>2</v>
      </c>
      <c r="D9" s="151">
        <f t="shared" si="9"/>
        <v>0.1</v>
      </c>
      <c r="E9" s="151">
        <f t="shared" si="10"/>
        <v>0.8</v>
      </c>
      <c r="X9" s="84" t="s">
        <v>139</v>
      </c>
      <c r="Y9" s="84">
        <f>COUNTIF('1'!$D$4:$D$20,X9)+COUNTIF('2'!$D$4:$D$18,X9)+COUNTIF('3'!$D$40:$D$51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4">
        <f t="shared" si="1"/>
        <v>0.00009</v>
      </c>
      <c r="AA9" s="84" t="s">
        <v>133</v>
      </c>
      <c r="AB9" s="84" t="s">
        <v>122</v>
      </c>
      <c r="AC9" s="84">
        <f>COUNTIF('1'!$O$22:$O$25,AA9)+COUNTIF('2'!$O$20:$O$23,AA9)+COUNTIF('3'!$O$53:$O$56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4">
        <f t="shared" si="2"/>
        <v>0.00007</v>
      </c>
      <c r="AE9" s="84" t="s">
        <v>133</v>
      </c>
      <c r="AF9" s="84">
        <f>COUNTIF('1'!$L$4:$L$20,AE9)+COUNTIF('2'!$L$4:$L$18,AE9)+COUNTIF('3'!$L$40:$L$51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4">
        <f t="shared" si="3"/>
        <v>0.00001</v>
      </c>
      <c r="AH9" s="84" t="s">
        <v>136</v>
      </c>
      <c r="AI9" s="84">
        <f>COUNTIF('1'!$M$4:$M$20,AH9)+COUNTIF('2'!$M$4:$M$18,AH9)+COUNTIF('3'!$M$40:$M$51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4">
        <f t="shared" si="4"/>
        <v>0.00002</v>
      </c>
      <c r="AK9" s="84" t="s">
        <v>133</v>
      </c>
      <c r="AL9" s="84" t="s">
        <v>122</v>
      </c>
      <c r="AM9" s="84">
        <f>COUNTIFS('1'!$AG$29:$AG$34,AK9,'1'!$AF$29:$AF$34,1)+COUNTIFS('2'!$AG$27:$AG$32,AK9,'2'!$AF$27:$AF$32,1)+COUNTIFS('3'!$AG$60:$AG$65,AK9,'3'!$AF$60:$AF$65,1)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4" t="str">
        <f t="shared" si="5"/>
        <v/>
      </c>
      <c r="AO9" s="84" t="str">
        <f>IF(AM9=0,"",(SUMIFS('1'!$L$29:$L$34,'1'!$AG$29:$AG$34,AK9,'1'!$AF$29:$AF$34,1)+SUMIFS('2'!$L$27:$L$32,'2'!$AG$27:$AG$32,AK9,'2'!$AF$27:$AF$32,1)+SUMIFS('3'!$L$60:$L$65,'3'!$AG$60:$AG$65,AK9,'3'!$AF$60:$AF$65,1)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4" t="str">
        <f>IF(AM9=0,"",(SUMIFS('1'!$M$29:$M$34,'1'!$AG$29:$AG$34,AK9,'1'!$AF$29:$AF$34,1)+SUMIFS('2'!$M$27:$M$32,'2'!$AG$27:$AG$32,AK9,'2'!$AF$27:$AF$32,1)+SUMIFS('3'!$M$60:$M$65,'3'!$AG$60:$AG$65,AK9,'3'!$AF$60:$AF$65,1)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4" t="str">
        <f>IF(AM9=0,"",(SUMIFS('1'!$N$29:$N$34,'1'!$AG$29:$AG$34,AK9,'1'!$AF$29:$AF$34,1)+SUMIFS('2'!$N$27:$N$32,'2'!$AG$27:$AG$32,AK9,'2'!$AF$27:$AF$32,1)+SUMIFS('3'!$N$60:$N$65,'3'!$AG$60:$AG$65,AK9,'3'!$AF$60:$AF$65,1)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4" t="str">
        <f>IF(AM9=0,"",(SUMIFS('1'!$O$29:$O$34,'1'!$AG$29:$AG$34,AK9,'1'!$AF$29:$AF$34,1)+SUMIFS('2'!$O$27:$O$32,'2'!$AG$27:$AG$32,AK9,'2'!$AF$27:$AF$32,1)+SUMIFS('3'!$O$60:$O$65,'3'!$AG$60:$AG$65,AK9,'3'!$AF$60:$AF$65,1)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4" t="str">
        <f>IF(AM9=0,"",(SUMIFS('1'!$P$29:$P$34,'1'!$AG$29:$AG$34,AK9,'1'!$AF$29:$AF$34,1)+SUMIFS('2'!$P$27:$P$32,'2'!$AG$27:$AG$32,AK9,'2'!$AF$27:$AF$32,1)+SUMIFS('3'!$P$60:$P$65,'3'!$AG$60:$AG$65,AK9,'3'!$AF$60:$AF$65,1)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4" t="str">
        <f>IF(COUNTIFS('1'!$AG$29:$AG$34,$AK9,'1'!$AF$29:$AF$34,1)=0,"",SUMIFS('1'!$AC$29:$AC$34,'1'!$AG$29:$AG$34,$AK9,'1'!$AF$29:$AF$34,1)/COUNTIFS('1'!$AG$29:$AG$34,$AK9,'1'!$AF$29:$AF$34,1))</f>
        <v/>
      </c>
      <c r="AW9" s="84" t="str">
        <f>IF(COUNTIFS('2'!$AG$27:$AG$32,$AK9,'2'!$AF$27:$AF$32,1)=0,"",SUMIFS('2'!$AC$27:$AC$32,'2'!$AG$27:$AG$32,$AK9,'2'!$AF$27:$AF$32,1)/COUNTIFS('2'!$AG$27:$AG$32,$AK9,'2'!$AF$27:$AF$32,1))</f>
        <v/>
      </c>
      <c r="AX9" s="84" t="str">
        <f>IF(COUNTIFS('3'!$AG$60:$AG$65,$AK9,'3'!$AF$60:$AF$65,1)=0,"",SUMIFS('3'!$AC$60:$AC$65,'3'!$AG$60:$AG$65,$AK9,'3'!$AF$60:$AF$65,1)/COUNTIFS('3'!$AG$60:$AG$65,$AK9,'3'!$AF$60:$AF$65,1))</f>
        <v/>
      </c>
      <c r="AY9" s="84" t="str">
        <f>IF(COUNTIFS('4'!$AG$25:$AG$30,$AK9,'4'!$AF$25:$AF$30,1)=0,"",SUMIFS('4'!$AC$25:$AC$30,'4'!$AG$25:$AG$30,$AK9,'4'!$AF$25:$AF$30,1)/COUNTIFS('4'!$AG$25:$AG$30,$AK9,'4'!$AF$25:$AF$30,1))</f>
        <v/>
      </c>
      <c r="AZ9" s="84" t="str">
        <f>IF(COUNTIFS('5'!$AG$25:$AG$30,$AK9,'5'!$AF$25:$AF$30,1)=0,"",SUMIFS('5'!$AC$25:$AC$30,'5'!$AG$25:$AG$30,$AK9,'5'!$AF$25:$AF$30,1)/COUNTIFS('5'!$AG$25:$AG$30,$AK9,'5'!$AF$25:$AF$30,1))</f>
        <v/>
      </c>
      <c r="BA9" s="84" t="str">
        <f>IF(COUNTIFS('6'!$AG$25:$AG$30,$AK9,'6'!$AF$25:$AF$30,1)=0,"",SUMIFS('6'!$AC$25:$AC$30,'6'!$AG$25:$AG$30,$AK9,'6'!$AF$25:$AF$30,1)/COUNTIFS('6'!$AG$25:$AG$30,$AK9,'6'!$AF$25:$AF$30,1))</f>
        <v/>
      </c>
      <c r="BB9" s="84" t="str">
        <f>IF(COUNTIFS('7'!$AG$30:$AG$35,$AK9,'7'!$AF$30:$AF$35,1)=0,"",SUMIFS('7'!$AC$30:$AC$35,'7'!$AG$30:$AG$35,$AK9,'7'!$AF$30:$AF$35,1)/COUNTIFS('7'!$AG$30:$AG$35,$AK9,'7'!$AF$30:$AF$35,1))</f>
        <v/>
      </c>
      <c r="BC9" s="84" t="str">
        <f>IF(COUNTIFS('8'!$AG$25:$AG$30,$AK9,'8'!$AF$25:$AF$30,1)=0,"",SUMIFS('8'!$AC$25:$AC$30,'8'!$AG$25:$AG$30,$AK9,'8'!$AF$25:$AF$30,1)/COUNTIFS('8'!$AG$25:$AG$30,$AK9,'8'!$AF$25:$AF$30,1))</f>
        <v/>
      </c>
      <c r="BD9" s="84" t="str">
        <f>IF(COUNTIFS('9'!$AG$25:$AG$30,$AK9,'9'!$AF$25:$AF$30,1)=0,"",SUMIFS('9'!$AC$25:$AC$30,'9'!$AG$25:$AG$30,$AK9,'9'!$AF$25:$AF$30,1)/COUNTIFS('9'!$AG$25:$AG$30,$AK9,'9'!$AF$25:$AF$30,1))</f>
        <v/>
      </c>
      <c r="BE9" s="84" t="str">
        <f>IF(COUNTIFS('10'!$AG$25:$AG$30,$AK9,'10'!$AF$25:$AF$30,1)=0,"",SUMIFS('10'!$AC$25:$AC$30,'10'!$AG$25:$AG$30,$AK9,'10'!$AF$25:$AF$30,1)/COUNTIFS('10'!$AG$25:$AG$30,$AK9,'10'!$AF$25:$AF$30,1))</f>
        <v/>
      </c>
      <c r="BF9" s="84" t="str">
        <f>IF(COUNTIFS('11'!$AG$25:$AG$30,$AK9,'11'!$AF$25:$AF$30,1)=0,"",SUMIFS('11'!$AC$25:$AC$30,'11'!$AG$25:$AG$30,$AK9,'11'!$AF$25:$AF$30,1)/COUNTIFS('11'!$AG$25:$AG$30,$AK9,'11'!$AF$25:$AF$30,1))</f>
        <v/>
      </c>
      <c r="BG9" s="84" t="str">
        <f>IF(COUNTIFS('12'!$AG$25:$AG$30,$AK9,'12'!$AF$25:$AF$30,1)=0,"",SUMIFS('12'!$AC$25:$AC$30,'12'!$AG$25:$AG$30,$AK9,'12'!$AF$25:$AF$30,1)/COUNTIFS('12'!$AG$25:$AG$30,$AK9,'12'!$AF$25:$AF$30,1))</f>
        <v/>
      </c>
      <c r="BH9" s="84" t="str">
        <f>IF(COUNTIFS('13'!$AG$25:$AG$30,$AK9,'13'!$AF$25:$AF$30,1)=0,"",SUMIFS('13'!$AC$25:$AC$30,'13'!$AG$25:$AG$30,$AK9,'13'!$AF$25:$AF$30,1)/COUNTIFS('13'!$AG$25:$AG$30,$AK9,'13'!$AF$25:$AF$30,1))</f>
        <v/>
      </c>
      <c r="BI9" s="84" t="str">
        <f>IF(COUNTIFS('14'!$AG$25:$AG$30,$AK9,'14'!$AF$25:$AF$30,1)=0,"",SUMIFS('14'!$AC$25:$AC$30,'14'!$AG$25:$AG$30,$AK9,'14'!$AF$25:$AF$30,1)/COUNTIFS('14'!$AG$25:$AG$30,$AK9,'14'!$AF$25:$AF$30,1))</f>
        <v/>
      </c>
      <c r="BJ9" s="84" t="str">
        <f>IF(COUNTIFS('15'!$AG$25:$AG$30,$AK9,'15'!$AF$25:$AF$30,1)=0,"",SUMIFS('15'!$AC$25:$AC$30,'15'!$AG$25:$AG$30,$AK9,'15'!$AF$25:$AF$30,1)/COUNTIFS('15'!$AG$25:$AG$30,$AK9,'15'!$AF$25:$AF$30,1))</f>
        <v/>
      </c>
      <c r="BK9" s="84" t="str">
        <f>IF(COUNTIFS('16'!$AG$25:$AG$30,$AK9,'16'!$AF$25:$AF$30,1)=0,"",SUMIFS('16'!$AC$25:$AC$30,'16'!$AG$25:$AG$30,$AK9,'16'!$AF$25:$AF$30,1)/COUNTIFS('16'!$AG$25:$AG$30,$AK9,'16'!$AF$25:$AF$30,1))</f>
        <v/>
      </c>
      <c r="BL9" s="84" t="str">
        <f>IF(COUNTIFS('17'!$AG$25:$AG$30,$AK9,'17'!$AF$25:$AF$30,1)=0,"",SUMIFS('17'!$AC$25:$AC$30,'17'!$AG$25:$AG$30,$AK9,'17'!$AF$25:$AF$30,1)/COUNTIFS('17'!$AG$25:$AG$30,$AK9,'17'!$AF$25:$AF$30,1))</f>
        <v/>
      </c>
      <c r="BM9" s="84" t="str">
        <f>IF(COUNTIFS('18'!$AG$25:$AG$30,$AK9,'18'!$AF$25:$AF$30,1)=0,"",SUMIFS('18'!$AC$25:$AC$30,'18'!$AG$25:$AG$30,$AK9,'18'!$AF$25:$AF$30,1)/COUNTIFS('18'!$AG$25:$AG$30,$AK9,'18'!$AF$25:$AF$30,1))</f>
        <v/>
      </c>
      <c r="BN9" s="84" t="str">
        <f>IF(COUNTIFS('19'!$AG$25:$AG$30,$AK9,'19'!$AF$25:$AF$30,1)=0,"",SUMIFS('19'!$AC$25:$AC$30,'19'!$AG$25:$AG$30,$AK9,'19'!$AF$25:$AF$30,1)/COUNTIFS('19'!$AG$25:$AG$30,$AK9,'19'!$AF$25:$AF$30,1))</f>
        <v/>
      </c>
      <c r="BO9" s="84" t="str">
        <f>IF(COUNTIFS('20'!$AG$25:$AG$30,$AK9,'20'!$AF$25:$AF$30,1)=0,"",SUMIFS('20'!$AC$25:$AC$30,'20'!$AG$25:$AG$30,$AK9,'20'!$AF$25:$AF$30,1)/COUNTIFS('20'!$AG$25:$AG$30,$AK9,'20'!$AF$25:$AF$30,1))</f>
        <v/>
      </c>
      <c r="BP9" s="84" t="str">
        <f>IF(COUNTIFS('21'!$AG$25:$AG$30,$AK9,'21'!$AF$25:$AF$30,1)=0,"",SUMIFS('21'!$AC$25:$AC$30,'21'!$AG$25:$AG$30,$AK9,'21'!$AF$25:$AF$30,1)/COUNTIFS('21'!$AG$25:$AG$30,$AK9,'21'!$AF$25:$AF$30,1))</f>
        <v/>
      </c>
      <c r="BQ9" s="84" t="str">
        <f>IF(COUNTIFS('22'!$AG$25:$AG$30,$AK9,'22'!$AF$25:$AF$30,1)=0,"",SUMIFS('22'!$AC$25:$AC$30,'22'!$AG$25:$AG$30,$AK9,'22'!$AF$25:$AF$30,1)/COUNTIFS('22'!$AG$25:$AG$30,$AK9,'22'!$AF$25:$AF$30,1))</f>
        <v/>
      </c>
      <c r="BR9" s="84" t="str">
        <f>IF(COUNTIFS('23'!$AG$25:$AG$30,$AK9,'23'!$AF$25:$AF$30,1)=0,"",SUMIFS('23'!$AC$25:$AC$30,'23'!$AG$25:$AG$30,$AK9,'23'!$AF$25:$AF$30,1)/COUNTIFS('23'!$AG$25:$AG$30,$AK9,'23'!$AF$25:$AF$30,1))</f>
        <v/>
      </c>
      <c r="BS9" s="84" t="str">
        <f>IF(COUNTIFS('24'!$AG$25:$AG$30,$AK9,'24'!$AF$25:$AF$30,1)=0,"",SUMIFS('24'!$AC$25:$AC$30,'24'!$AG$25:$AG$30,$AK9,'24'!$AF$25:$AF$30,1)/COUNTIFS('24'!$AG$25:$AG$30,$AK9,'24'!$AF$25:$AF$30,1))</f>
        <v/>
      </c>
      <c r="BT9" s="84" t="str">
        <f>IF(COUNTIFS('25'!$AG$25:$AG$30,$AK9,'25'!$AF$25:$AF$30,1)=0,"",SUMIFS('25'!$AC$25:$AC$30,'25'!$AG$25:$AG$30,$AK9,'25'!$AF$25:$AF$30,1)/COUNTIFS('25'!$AG$25:$AG$30,$AK9,'25'!$AF$25:$AF$30,1))</f>
        <v/>
      </c>
      <c r="BU9" s="84" t="str">
        <f>IF(COUNTIFS('26'!$AG$25:$AG$30,$AK9,'26'!$AF$25:$AF$30,1)=0,"",SUMIFS('26'!$AC$25:$AC$30,'26'!$AG$25:$AG$30,$AK9,'26'!$AF$25:$AF$30,1)/COUNTIFS('26'!$AG$25:$AG$30,$AK9,'26'!$AF$25:$AF$30,1))</f>
        <v/>
      </c>
      <c r="BV9" s="84" t="str">
        <f>IF(COUNTIFS('27'!$AG$25:$AG$30,$AK9,'27'!$AF$25:$AF$30,1)=0,"",SUMIFS('27'!$AC$25:$AC$30,'27'!$AG$25:$AG$30,$AK9,'27'!$AF$25:$AF$30,1)/COUNTIFS('27'!$AG$25:$AG$30,$AK9,'27'!$AF$25:$AF$30,1))</f>
        <v/>
      </c>
      <c r="BW9" s="84" t="str">
        <f>IF(COUNTIFS('28'!$AG$25:$AG$30,$AK9,'28'!$AF$25:$AF$30,1)=0,"",SUMIFS('28'!$AC$25:$AC$30,'28'!$AG$25:$AG$30,$AK9,'28'!$AF$25:$AF$30,1)/COUNTIFS('28'!$AG$25:$AG$30,$AK9,'28'!$AF$25:$AF$30,1))</f>
        <v/>
      </c>
      <c r="BX9" s="84" t="str">
        <f>IF(COUNTIFS('29'!$AG$25:$AG$30,$AK9,'29'!$AF$25:$AF$30,1)=0,"",SUMIFS('29'!$AC$25:$AC$30,'29'!$AG$25:$AG$30,$AK9,'29'!$AF$25:$AF$30,1)/COUNTIFS('29'!$AG$25:$AG$30,$AK9,'29'!$AF$25:$AF$30,1))</f>
        <v/>
      </c>
      <c r="BY9" s="84" t="str">
        <f>IF(COUNTIFS('30'!$AG$25:$AG$30,$AK9,'30'!$AF$25:$AF$30,1)=0,"",SUMIFS('30'!$AC$25:$AC$30,'30'!$AG$25:$AG$30,$AK9,'30'!$AF$25:$AF$30,1)/COUNTIFS('30'!$AG$25:$AG$30,$AK9,'30'!$AF$25:$AF$30,1))</f>
        <v/>
      </c>
      <c r="BZ9" s="8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50">
        <f>IF(LARGE($Y$5:$Y$17,5)=0,"",5)</f>
        <v>5</v>
      </c>
      <c r="B10" s="150" t="str">
        <f t="shared" si="7"/>
        <v>Couple A</v>
      </c>
      <c r="C10" s="150">
        <f t="shared" si="8"/>
        <v>1</v>
      </c>
      <c r="D10" s="151">
        <f t="shared" si="9"/>
        <v>0.05</v>
      </c>
      <c r="E10" s="151">
        <f t="shared" si="10"/>
        <v>0.85</v>
      </c>
      <c r="X10" s="84" t="s">
        <v>28</v>
      </c>
      <c r="Y10" s="84">
        <f>COUNTIF('1'!$D$4:$D$20,X10)+COUNTIF('2'!$D$4:$D$18,X10)+COUNTIF('3'!$D$40:$D$51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4">
        <f t="shared" si="1"/>
        <v>2.00008</v>
      </c>
      <c r="AA10" s="84" t="s">
        <v>123</v>
      </c>
      <c r="AB10" s="84" t="s">
        <v>134</v>
      </c>
      <c r="AC10" s="84">
        <f>COUNTIF('1'!$O$22:$O$25,AA10)+COUNTIF('2'!$O$20:$O$23,AA10)+COUNTIF('3'!$O$53:$O$56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4">
        <f t="shared" si="2"/>
        <v>0.00006</v>
      </c>
      <c r="AH10" s="84" t="s">
        <v>65</v>
      </c>
      <c r="AI10" s="84">
        <f>COUNTIF('1'!$M$4:$M$20,AH10)+COUNTIF('2'!$M$4:$M$18,AH10)+COUNTIF('3'!$M$40:$M$51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84">
        <f t="shared" si="4"/>
        <v>4.00001</v>
      </c>
      <c r="AK10" s="84" t="s">
        <v>123</v>
      </c>
      <c r="AL10" s="84" t="s">
        <v>134</v>
      </c>
      <c r="AM10" s="84">
        <f>COUNTIFS('1'!$AG$29:$AG$34,AK10,'1'!$AF$29:$AF$34,1)+COUNTIFS('2'!$AG$27:$AG$32,AK10,'2'!$AF$27:$AF$32,1)+COUNTIFS('3'!$AG$60:$AG$65,AK10,'3'!$AF$60:$AF$65,1)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4" t="str">
        <f t="shared" si="5"/>
        <v/>
      </c>
      <c r="AO10" s="84" t="str">
        <f>IF(AM10=0,"",(SUMIFS('1'!$L$29:$L$34,'1'!$AG$29:$AG$34,AK10,'1'!$AF$29:$AF$34,1)+SUMIFS('2'!$L$27:$L$32,'2'!$AG$27:$AG$32,AK10,'2'!$AF$27:$AF$32,1)+SUMIFS('3'!$L$60:$L$65,'3'!$AG$60:$AG$65,AK10,'3'!$AF$60:$AF$65,1)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4" t="str">
        <f>IF(AM10=0,"",(SUMIFS('1'!$M$29:$M$34,'1'!$AG$29:$AG$34,AK10,'1'!$AF$29:$AF$34,1)+SUMIFS('2'!$M$27:$M$32,'2'!$AG$27:$AG$32,AK10,'2'!$AF$27:$AF$32,1)+SUMIFS('3'!$M$60:$M$65,'3'!$AG$60:$AG$65,AK10,'3'!$AF$60:$AF$65,1)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4" t="str">
        <f>IF(AM10=0,"",(SUMIFS('1'!$N$29:$N$34,'1'!$AG$29:$AG$34,AK10,'1'!$AF$29:$AF$34,1)+SUMIFS('2'!$N$27:$N$32,'2'!$AG$27:$AG$32,AK10,'2'!$AF$27:$AF$32,1)+SUMIFS('3'!$N$60:$N$65,'3'!$AG$60:$AG$65,AK10,'3'!$AF$60:$AF$65,1)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4" t="str">
        <f>IF(AM10=0,"",(SUMIFS('1'!$O$29:$O$34,'1'!$AG$29:$AG$34,AK10,'1'!$AF$29:$AF$34,1)+SUMIFS('2'!$O$27:$O$32,'2'!$AG$27:$AG$32,AK10,'2'!$AF$27:$AF$32,1)+SUMIFS('3'!$O$60:$O$65,'3'!$AG$60:$AG$65,AK10,'3'!$AF$60:$AF$65,1)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4" t="str">
        <f>IF(AM10=0,"",(SUMIFS('1'!$P$29:$P$34,'1'!$AG$29:$AG$34,AK10,'1'!$AF$29:$AF$34,1)+SUMIFS('2'!$P$27:$P$32,'2'!$AG$27:$AG$32,AK10,'2'!$AF$27:$AF$32,1)+SUMIFS('3'!$P$60:$P$65,'3'!$AG$60:$AG$65,AK10,'3'!$AF$60:$AF$65,1)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4" t="str">
        <f>IF(COUNTIFS('1'!$AG$29:$AG$34,$AK10,'1'!$AF$29:$AF$34,1)=0,"",SUMIFS('1'!$AC$29:$AC$34,'1'!$AG$29:$AG$34,$AK10,'1'!$AF$29:$AF$34,1)/COUNTIFS('1'!$AG$29:$AG$34,$AK10,'1'!$AF$29:$AF$34,1))</f>
        <v/>
      </c>
      <c r="AW10" s="84" t="str">
        <f>IF(COUNTIFS('2'!$AG$27:$AG$32,$AK10,'2'!$AF$27:$AF$32,1)=0,"",SUMIFS('2'!$AC$27:$AC$32,'2'!$AG$27:$AG$32,$AK10,'2'!$AF$27:$AF$32,1)/COUNTIFS('2'!$AG$27:$AG$32,$AK10,'2'!$AF$27:$AF$32,1))</f>
        <v/>
      </c>
      <c r="AX10" s="84" t="str">
        <f>IF(COUNTIFS('3'!$AG$60:$AG$65,$AK10,'3'!$AF$60:$AF$65,1)=0,"",SUMIFS('3'!$AC$60:$AC$65,'3'!$AG$60:$AG$65,$AK10,'3'!$AF$60:$AF$65,1)/COUNTIFS('3'!$AG$60:$AG$65,$AK10,'3'!$AF$60:$AF$65,1))</f>
        <v/>
      </c>
      <c r="AY10" s="84" t="str">
        <f>IF(COUNTIFS('4'!$AG$25:$AG$30,$AK10,'4'!$AF$25:$AF$30,1)=0,"",SUMIFS('4'!$AC$25:$AC$30,'4'!$AG$25:$AG$30,$AK10,'4'!$AF$25:$AF$30,1)/COUNTIFS('4'!$AG$25:$AG$30,$AK10,'4'!$AF$25:$AF$30,1))</f>
        <v/>
      </c>
      <c r="AZ10" s="84" t="str">
        <f>IF(COUNTIFS('5'!$AG$25:$AG$30,$AK10,'5'!$AF$25:$AF$30,1)=0,"",SUMIFS('5'!$AC$25:$AC$30,'5'!$AG$25:$AG$30,$AK10,'5'!$AF$25:$AF$30,1)/COUNTIFS('5'!$AG$25:$AG$30,$AK10,'5'!$AF$25:$AF$30,1))</f>
        <v/>
      </c>
      <c r="BA10" s="84" t="str">
        <f>IF(COUNTIFS('6'!$AG$25:$AG$30,$AK10,'6'!$AF$25:$AF$30,1)=0,"",SUMIFS('6'!$AC$25:$AC$30,'6'!$AG$25:$AG$30,$AK10,'6'!$AF$25:$AF$30,1)/COUNTIFS('6'!$AG$25:$AG$30,$AK10,'6'!$AF$25:$AF$30,1))</f>
        <v/>
      </c>
      <c r="BB10" s="84" t="str">
        <f>IF(COUNTIFS('7'!$AG$30:$AG$35,$AK10,'7'!$AF$30:$AF$35,1)=0,"",SUMIFS('7'!$AC$30:$AC$35,'7'!$AG$30:$AG$35,$AK10,'7'!$AF$30:$AF$35,1)/COUNTIFS('7'!$AG$30:$AG$35,$AK10,'7'!$AF$30:$AF$35,1))</f>
        <v/>
      </c>
      <c r="BC10" s="84" t="str">
        <f>IF(COUNTIFS('8'!$AG$25:$AG$30,$AK10,'8'!$AF$25:$AF$30,1)=0,"",SUMIFS('8'!$AC$25:$AC$30,'8'!$AG$25:$AG$30,$AK10,'8'!$AF$25:$AF$30,1)/COUNTIFS('8'!$AG$25:$AG$30,$AK10,'8'!$AF$25:$AF$30,1))</f>
        <v/>
      </c>
      <c r="BD10" s="84" t="str">
        <f>IF(COUNTIFS('9'!$AG$25:$AG$30,$AK10,'9'!$AF$25:$AF$30,1)=0,"",SUMIFS('9'!$AC$25:$AC$30,'9'!$AG$25:$AG$30,$AK10,'9'!$AF$25:$AF$30,1)/COUNTIFS('9'!$AG$25:$AG$30,$AK10,'9'!$AF$25:$AF$30,1))</f>
        <v/>
      </c>
      <c r="BE10" s="84" t="str">
        <f>IF(COUNTIFS('10'!$AG$25:$AG$30,$AK10,'10'!$AF$25:$AF$30,1)=0,"",SUMIFS('10'!$AC$25:$AC$30,'10'!$AG$25:$AG$30,$AK10,'10'!$AF$25:$AF$30,1)/COUNTIFS('10'!$AG$25:$AG$30,$AK10,'10'!$AF$25:$AF$30,1))</f>
        <v/>
      </c>
      <c r="BF10" s="84" t="str">
        <f>IF(COUNTIFS('11'!$AG$25:$AG$30,$AK10,'11'!$AF$25:$AF$30,1)=0,"",SUMIFS('11'!$AC$25:$AC$30,'11'!$AG$25:$AG$30,$AK10,'11'!$AF$25:$AF$30,1)/COUNTIFS('11'!$AG$25:$AG$30,$AK10,'11'!$AF$25:$AF$30,1))</f>
        <v/>
      </c>
      <c r="BG10" s="84" t="str">
        <f>IF(COUNTIFS('12'!$AG$25:$AG$30,$AK10,'12'!$AF$25:$AF$30,1)=0,"",SUMIFS('12'!$AC$25:$AC$30,'12'!$AG$25:$AG$30,$AK10,'12'!$AF$25:$AF$30,1)/COUNTIFS('12'!$AG$25:$AG$30,$AK10,'12'!$AF$25:$AF$30,1))</f>
        <v/>
      </c>
      <c r="BH10" s="84" t="str">
        <f>IF(COUNTIFS('13'!$AG$25:$AG$30,$AK10,'13'!$AF$25:$AF$30,1)=0,"",SUMIFS('13'!$AC$25:$AC$30,'13'!$AG$25:$AG$30,$AK10,'13'!$AF$25:$AF$30,1)/COUNTIFS('13'!$AG$25:$AG$30,$AK10,'13'!$AF$25:$AF$30,1))</f>
        <v/>
      </c>
      <c r="BI10" s="84" t="str">
        <f>IF(COUNTIFS('14'!$AG$25:$AG$30,$AK10,'14'!$AF$25:$AF$30,1)=0,"",SUMIFS('14'!$AC$25:$AC$30,'14'!$AG$25:$AG$30,$AK10,'14'!$AF$25:$AF$30,1)/COUNTIFS('14'!$AG$25:$AG$30,$AK10,'14'!$AF$25:$AF$30,1))</f>
        <v/>
      </c>
      <c r="BJ10" s="84" t="str">
        <f>IF(COUNTIFS('15'!$AG$25:$AG$30,$AK10,'15'!$AF$25:$AF$30,1)=0,"",SUMIFS('15'!$AC$25:$AC$30,'15'!$AG$25:$AG$30,$AK10,'15'!$AF$25:$AF$30,1)/COUNTIFS('15'!$AG$25:$AG$30,$AK10,'15'!$AF$25:$AF$30,1))</f>
        <v/>
      </c>
      <c r="BK10" s="84" t="str">
        <f>IF(COUNTIFS('16'!$AG$25:$AG$30,$AK10,'16'!$AF$25:$AF$30,1)=0,"",SUMIFS('16'!$AC$25:$AC$30,'16'!$AG$25:$AG$30,$AK10,'16'!$AF$25:$AF$30,1)/COUNTIFS('16'!$AG$25:$AG$30,$AK10,'16'!$AF$25:$AF$30,1))</f>
        <v/>
      </c>
      <c r="BL10" s="84" t="str">
        <f>IF(COUNTIFS('17'!$AG$25:$AG$30,$AK10,'17'!$AF$25:$AF$30,1)=0,"",SUMIFS('17'!$AC$25:$AC$30,'17'!$AG$25:$AG$30,$AK10,'17'!$AF$25:$AF$30,1)/COUNTIFS('17'!$AG$25:$AG$30,$AK10,'17'!$AF$25:$AF$30,1))</f>
        <v/>
      </c>
      <c r="BM10" s="84" t="str">
        <f>IF(COUNTIFS('18'!$AG$25:$AG$30,$AK10,'18'!$AF$25:$AF$30,1)=0,"",SUMIFS('18'!$AC$25:$AC$30,'18'!$AG$25:$AG$30,$AK10,'18'!$AF$25:$AF$30,1)/COUNTIFS('18'!$AG$25:$AG$30,$AK10,'18'!$AF$25:$AF$30,1))</f>
        <v/>
      </c>
      <c r="BN10" s="84" t="str">
        <f>IF(COUNTIFS('19'!$AG$25:$AG$30,$AK10,'19'!$AF$25:$AF$30,1)=0,"",SUMIFS('19'!$AC$25:$AC$30,'19'!$AG$25:$AG$30,$AK10,'19'!$AF$25:$AF$30,1)/COUNTIFS('19'!$AG$25:$AG$30,$AK10,'19'!$AF$25:$AF$30,1))</f>
        <v/>
      </c>
      <c r="BO10" s="84" t="str">
        <f>IF(COUNTIFS('20'!$AG$25:$AG$30,$AK10,'20'!$AF$25:$AF$30,1)=0,"",SUMIFS('20'!$AC$25:$AC$30,'20'!$AG$25:$AG$30,$AK10,'20'!$AF$25:$AF$30,1)/COUNTIFS('20'!$AG$25:$AG$30,$AK10,'20'!$AF$25:$AF$30,1))</f>
        <v/>
      </c>
      <c r="BP10" s="84" t="str">
        <f>IF(COUNTIFS('21'!$AG$25:$AG$30,$AK10,'21'!$AF$25:$AF$30,1)=0,"",SUMIFS('21'!$AC$25:$AC$30,'21'!$AG$25:$AG$30,$AK10,'21'!$AF$25:$AF$30,1)/COUNTIFS('21'!$AG$25:$AG$30,$AK10,'21'!$AF$25:$AF$30,1))</f>
        <v/>
      </c>
      <c r="BQ10" s="84" t="str">
        <f>IF(COUNTIFS('22'!$AG$25:$AG$30,$AK10,'22'!$AF$25:$AF$30,1)=0,"",SUMIFS('22'!$AC$25:$AC$30,'22'!$AG$25:$AG$30,$AK10,'22'!$AF$25:$AF$30,1)/COUNTIFS('22'!$AG$25:$AG$30,$AK10,'22'!$AF$25:$AF$30,1))</f>
        <v/>
      </c>
      <c r="BR10" s="84" t="str">
        <f>IF(COUNTIFS('23'!$AG$25:$AG$30,$AK10,'23'!$AF$25:$AF$30,1)=0,"",SUMIFS('23'!$AC$25:$AC$30,'23'!$AG$25:$AG$30,$AK10,'23'!$AF$25:$AF$30,1)/COUNTIFS('23'!$AG$25:$AG$30,$AK10,'23'!$AF$25:$AF$30,1))</f>
        <v/>
      </c>
      <c r="BS10" s="84" t="str">
        <f>IF(COUNTIFS('24'!$AG$25:$AG$30,$AK10,'24'!$AF$25:$AF$30,1)=0,"",SUMIFS('24'!$AC$25:$AC$30,'24'!$AG$25:$AG$30,$AK10,'24'!$AF$25:$AF$30,1)/COUNTIFS('24'!$AG$25:$AG$30,$AK10,'24'!$AF$25:$AF$30,1))</f>
        <v/>
      </c>
      <c r="BT10" s="84" t="str">
        <f>IF(COUNTIFS('25'!$AG$25:$AG$30,$AK10,'25'!$AF$25:$AF$30,1)=0,"",SUMIFS('25'!$AC$25:$AC$30,'25'!$AG$25:$AG$30,$AK10,'25'!$AF$25:$AF$30,1)/COUNTIFS('25'!$AG$25:$AG$30,$AK10,'25'!$AF$25:$AF$30,1))</f>
        <v/>
      </c>
      <c r="BU10" s="84" t="str">
        <f>IF(COUNTIFS('26'!$AG$25:$AG$30,$AK10,'26'!$AF$25:$AF$30,1)=0,"",SUMIFS('26'!$AC$25:$AC$30,'26'!$AG$25:$AG$30,$AK10,'26'!$AF$25:$AF$30,1)/COUNTIFS('26'!$AG$25:$AG$30,$AK10,'26'!$AF$25:$AF$30,1))</f>
        <v/>
      </c>
      <c r="BV10" s="84" t="str">
        <f>IF(COUNTIFS('27'!$AG$25:$AG$30,$AK10,'27'!$AF$25:$AF$30,1)=0,"",SUMIFS('27'!$AC$25:$AC$30,'27'!$AG$25:$AG$30,$AK10,'27'!$AF$25:$AF$30,1)/COUNTIFS('27'!$AG$25:$AG$30,$AK10,'27'!$AF$25:$AF$30,1))</f>
        <v/>
      </c>
      <c r="BW10" s="84" t="str">
        <f>IF(COUNTIFS('28'!$AG$25:$AG$30,$AK10,'28'!$AF$25:$AF$30,1)=0,"",SUMIFS('28'!$AC$25:$AC$30,'28'!$AG$25:$AG$30,$AK10,'28'!$AF$25:$AF$30,1)/COUNTIFS('28'!$AG$25:$AG$30,$AK10,'28'!$AF$25:$AF$30,1))</f>
        <v/>
      </c>
      <c r="BX10" s="84" t="str">
        <f>IF(COUNTIFS('29'!$AG$25:$AG$30,$AK10,'29'!$AF$25:$AF$30,1)=0,"",SUMIFS('29'!$AC$25:$AC$30,'29'!$AG$25:$AG$30,$AK10,'29'!$AF$25:$AF$30,1)/COUNTIFS('29'!$AG$25:$AG$30,$AK10,'29'!$AF$25:$AF$30,1))</f>
        <v/>
      </c>
      <c r="BY10" s="84" t="str">
        <f>IF(COUNTIFS('30'!$AG$25:$AG$30,$AK10,'30'!$AF$25:$AF$30,1)=0,"",SUMIFS('30'!$AC$25:$AC$30,'30'!$AG$25:$AG$30,$AK10,'30'!$AF$25:$AF$30,1)/COUNTIFS('30'!$AG$25:$AG$30,$AK10,'30'!$AF$25:$AF$30,1))</f>
        <v/>
      </c>
      <c r="BZ10" s="8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50">
        <f>IF(LARGE($Y$5:$Y$17,6)=0,"",6)</f>
        <v>6</v>
      </c>
      <c r="B11" s="150" t="str">
        <f t="shared" si="7"/>
        <v>Graduation Premium</v>
      </c>
      <c r="C11" s="150">
        <f t="shared" si="8"/>
        <v>1</v>
      </c>
      <c r="D11" s="151">
        <f t="shared" si="9"/>
        <v>0.05</v>
      </c>
      <c r="E11" s="151">
        <f t="shared" si="10"/>
        <v>0.9</v>
      </c>
      <c r="X11" s="84" t="s">
        <v>140</v>
      </c>
      <c r="Y11" s="84">
        <f>COUNTIF('1'!$D$4:$D$20,X11)+COUNTIF('2'!$D$4:$D$18,X11)+COUNTIF('3'!$D$40:$D$51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4">
        <f t="shared" si="1"/>
        <v>0.00007</v>
      </c>
      <c r="AA11" s="84" t="s">
        <v>126</v>
      </c>
      <c r="AB11" s="84" t="s">
        <v>134</v>
      </c>
      <c r="AC11" s="84">
        <f>COUNTIF('1'!$O$22:$O$25,AA11)+COUNTIF('2'!$O$20:$O$23,AA11)+COUNTIF('3'!$O$53:$O$56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4">
        <f t="shared" si="2"/>
        <v>0.00005</v>
      </c>
      <c r="AK11" s="84" t="s">
        <v>126</v>
      </c>
      <c r="AL11" s="84" t="s">
        <v>134</v>
      </c>
      <c r="AM11" s="84">
        <f>COUNTIFS('1'!$AG$29:$AG$34,AK11,'1'!$AF$29:$AF$34,1)+COUNTIFS('2'!$AG$27:$AG$32,AK11,'2'!$AF$27:$AF$32,1)+COUNTIFS('3'!$AG$60:$AG$65,AK11,'3'!$AF$60:$AF$65,1)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4" t="str">
        <f t="shared" si="5"/>
        <v/>
      </c>
      <c r="AO11" s="84" t="str">
        <f>IF(AM11=0,"",(SUMIFS('1'!$L$29:$L$34,'1'!$AG$29:$AG$34,AK11,'1'!$AF$29:$AF$34,1)+SUMIFS('2'!$L$27:$L$32,'2'!$AG$27:$AG$32,AK11,'2'!$AF$27:$AF$32,1)+SUMIFS('3'!$L$60:$L$65,'3'!$AG$60:$AG$65,AK11,'3'!$AF$60:$AF$65,1)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4" t="str">
        <f>IF(AM11=0,"",(SUMIFS('1'!$M$29:$M$34,'1'!$AG$29:$AG$34,AK11,'1'!$AF$29:$AF$34,1)+SUMIFS('2'!$M$27:$M$32,'2'!$AG$27:$AG$32,AK11,'2'!$AF$27:$AF$32,1)+SUMIFS('3'!$M$60:$M$65,'3'!$AG$60:$AG$65,AK11,'3'!$AF$60:$AF$65,1)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4" t="str">
        <f>IF(AM11=0,"",(SUMIFS('1'!$N$29:$N$34,'1'!$AG$29:$AG$34,AK11,'1'!$AF$29:$AF$34,1)+SUMIFS('2'!$N$27:$N$32,'2'!$AG$27:$AG$32,AK11,'2'!$AF$27:$AF$32,1)+SUMIFS('3'!$N$60:$N$65,'3'!$AG$60:$AG$65,AK11,'3'!$AF$60:$AF$65,1)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4" t="str">
        <f>IF(AM11=0,"",(SUMIFS('1'!$O$29:$O$34,'1'!$AG$29:$AG$34,AK11,'1'!$AF$29:$AF$34,1)+SUMIFS('2'!$O$27:$O$32,'2'!$AG$27:$AG$32,AK11,'2'!$AF$27:$AF$32,1)+SUMIFS('3'!$O$60:$O$65,'3'!$AG$60:$AG$65,AK11,'3'!$AF$60:$AF$65,1)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4" t="str">
        <f>IF(AM11=0,"",(SUMIFS('1'!$P$29:$P$34,'1'!$AG$29:$AG$34,AK11,'1'!$AF$29:$AF$34,1)+SUMIFS('2'!$P$27:$P$32,'2'!$AG$27:$AG$32,AK11,'2'!$AF$27:$AF$32,1)+SUMIFS('3'!$P$60:$P$65,'3'!$AG$60:$AG$65,AK11,'3'!$AF$60:$AF$65,1)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4" t="str">
        <f>IF(COUNTIFS('1'!$AG$29:$AG$34,$AK11,'1'!$AF$29:$AF$34,1)=0,"",SUMIFS('1'!$AC$29:$AC$34,'1'!$AG$29:$AG$34,$AK11,'1'!$AF$29:$AF$34,1)/COUNTIFS('1'!$AG$29:$AG$34,$AK11,'1'!$AF$29:$AF$34,1))</f>
        <v/>
      </c>
      <c r="AW11" s="84" t="str">
        <f>IF(COUNTIFS('2'!$AG$27:$AG$32,$AK11,'2'!$AF$27:$AF$32,1)=0,"",SUMIFS('2'!$AC$27:$AC$32,'2'!$AG$27:$AG$32,$AK11,'2'!$AF$27:$AF$32,1)/COUNTIFS('2'!$AG$27:$AG$32,$AK11,'2'!$AF$27:$AF$32,1))</f>
        <v/>
      </c>
      <c r="AX11" s="84" t="str">
        <f>IF(COUNTIFS('3'!$AG$60:$AG$65,$AK11,'3'!$AF$60:$AF$65,1)=0,"",SUMIFS('3'!$AC$60:$AC$65,'3'!$AG$60:$AG$65,$AK11,'3'!$AF$60:$AF$65,1)/COUNTIFS('3'!$AG$60:$AG$65,$AK11,'3'!$AF$60:$AF$65,1))</f>
        <v/>
      </c>
      <c r="AY11" s="84" t="str">
        <f>IF(COUNTIFS('4'!$AG$25:$AG$30,$AK11,'4'!$AF$25:$AF$30,1)=0,"",SUMIFS('4'!$AC$25:$AC$30,'4'!$AG$25:$AG$30,$AK11,'4'!$AF$25:$AF$30,1)/COUNTIFS('4'!$AG$25:$AG$30,$AK11,'4'!$AF$25:$AF$30,1))</f>
        <v/>
      </c>
      <c r="AZ11" s="84" t="str">
        <f>IF(COUNTIFS('5'!$AG$25:$AG$30,$AK11,'5'!$AF$25:$AF$30,1)=0,"",SUMIFS('5'!$AC$25:$AC$30,'5'!$AG$25:$AG$30,$AK11,'5'!$AF$25:$AF$30,1)/COUNTIFS('5'!$AG$25:$AG$30,$AK11,'5'!$AF$25:$AF$30,1))</f>
        <v/>
      </c>
      <c r="BA11" s="84" t="str">
        <f>IF(COUNTIFS('6'!$AG$25:$AG$30,$AK11,'6'!$AF$25:$AF$30,1)=0,"",SUMIFS('6'!$AC$25:$AC$30,'6'!$AG$25:$AG$30,$AK11,'6'!$AF$25:$AF$30,1)/COUNTIFS('6'!$AG$25:$AG$30,$AK11,'6'!$AF$25:$AF$30,1))</f>
        <v/>
      </c>
      <c r="BB11" s="84" t="str">
        <f>IF(COUNTIFS('7'!$AG$30:$AG$35,$AK11,'7'!$AF$30:$AF$35,1)=0,"",SUMIFS('7'!$AC$30:$AC$35,'7'!$AG$30:$AG$35,$AK11,'7'!$AF$30:$AF$35,1)/COUNTIFS('7'!$AG$30:$AG$35,$AK11,'7'!$AF$30:$AF$35,1))</f>
        <v/>
      </c>
      <c r="BC11" s="84" t="str">
        <f>IF(COUNTIFS('8'!$AG$25:$AG$30,$AK11,'8'!$AF$25:$AF$30,1)=0,"",SUMIFS('8'!$AC$25:$AC$30,'8'!$AG$25:$AG$30,$AK11,'8'!$AF$25:$AF$30,1)/COUNTIFS('8'!$AG$25:$AG$30,$AK11,'8'!$AF$25:$AF$30,1))</f>
        <v/>
      </c>
      <c r="BD11" s="84" t="str">
        <f>IF(COUNTIFS('9'!$AG$25:$AG$30,$AK11,'9'!$AF$25:$AF$30,1)=0,"",SUMIFS('9'!$AC$25:$AC$30,'9'!$AG$25:$AG$30,$AK11,'9'!$AF$25:$AF$30,1)/COUNTIFS('9'!$AG$25:$AG$30,$AK11,'9'!$AF$25:$AF$30,1))</f>
        <v/>
      </c>
      <c r="BE11" s="84" t="str">
        <f>IF(COUNTIFS('10'!$AG$25:$AG$30,$AK11,'10'!$AF$25:$AF$30,1)=0,"",SUMIFS('10'!$AC$25:$AC$30,'10'!$AG$25:$AG$30,$AK11,'10'!$AF$25:$AF$30,1)/COUNTIFS('10'!$AG$25:$AG$30,$AK11,'10'!$AF$25:$AF$30,1))</f>
        <v/>
      </c>
      <c r="BF11" s="84" t="str">
        <f>IF(COUNTIFS('11'!$AG$25:$AG$30,$AK11,'11'!$AF$25:$AF$30,1)=0,"",SUMIFS('11'!$AC$25:$AC$30,'11'!$AG$25:$AG$30,$AK11,'11'!$AF$25:$AF$30,1)/COUNTIFS('11'!$AG$25:$AG$30,$AK11,'11'!$AF$25:$AF$30,1))</f>
        <v/>
      </c>
      <c r="BG11" s="84" t="str">
        <f>IF(COUNTIFS('12'!$AG$25:$AG$30,$AK11,'12'!$AF$25:$AF$30,1)=0,"",SUMIFS('12'!$AC$25:$AC$30,'12'!$AG$25:$AG$30,$AK11,'12'!$AF$25:$AF$30,1)/COUNTIFS('12'!$AG$25:$AG$30,$AK11,'12'!$AF$25:$AF$30,1))</f>
        <v/>
      </c>
      <c r="BH11" s="84" t="str">
        <f>IF(COUNTIFS('13'!$AG$25:$AG$30,$AK11,'13'!$AF$25:$AF$30,1)=0,"",SUMIFS('13'!$AC$25:$AC$30,'13'!$AG$25:$AG$30,$AK11,'13'!$AF$25:$AF$30,1)/COUNTIFS('13'!$AG$25:$AG$30,$AK11,'13'!$AF$25:$AF$30,1))</f>
        <v/>
      </c>
      <c r="BI11" s="84" t="str">
        <f>IF(COUNTIFS('14'!$AG$25:$AG$30,$AK11,'14'!$AF$25:$AF$30,1)=0,"",SUMIFS('14'!$AC$25:$AC$30,'14'!$AG$25:$AG$30,$AK11,'14'!$AF$25:$AF$30,1)/COUNTIFS('14'!$AG$25:$AG$30,$AK11,'14'!$AF$25:$AF$30,1))</f>
        <v/>
      </c>
      <c r="BJ11" s="84" t="str">
        <f>IF(COUNTIFS('15'!$AG$25:$AG$30,$AK11,'15'!$AF$25:$AF$30,1)=0,"",SUMIFS('15'!$AC$25:$AC$30,'15'!$AG$25:$AG$30,$AK11,'15'!$AF$25:$AF$30,1)/COUNTIFS('15'!$AG$25:$AG$30,$AK11,'15'!$AF$25:$AF$30,1))</f>
        <v/>
      </c>
      <c r="BK11" s="84" t="str">
        <f>IF(COUNTIFS('16'!$AG$25:$AG$30,$AK11,'16'!$AF$25:$AF$30,1)=0,"",SUMIFS('16'!$AC$25:$AC$30,'16'!$AG$25:$AG$30,$AK11,'16'!$AF$25:$AF$30,1)/COUNTIFS('16'!$AG$25:$AG$30,$AK11,'16'!$AF$25:$AF$30,1))</f>
        <v/>
      </c>
      <c r="BL11" s="84" t="str">
        <f>IF(COUNTIFS('17'!$AG$25:$AG$30,$AK11,'17'!$AF$25:$AF$30,1)=0,"",SUMIFS('17'!$AC$25:$AC$30,'17'!$AG$25:$AG$30,$AK11,'17'!$AF$25:$AF$30,1)/COUNTIFS('17'!$AG$25:$AG$30,$AK11,'17'!$AF$25:$AF$30,1))</f>
        <v/>
      </c>
      <c r="BM11" s="84" t="str">
        <f>IF(COUNTIFS('18'!$AG$25:$AG$30,$AK11,'18'!$AF$25:$AF$30,1)=0,"",SUMIFS('18'!$AC$25:$AC$30,'18'!$AG$25:$AG$30,$AK11,'18'!$AF$25:$AF$30,1)/COUNTIFS('18'!$AG$25:$AG$30,$AK11,'18'!$AF$25:$AF$30,1))</f>
        <v/>
      </c>
      <c r="BN11" s="84" t="str">
        <f>IF(COUNTIFS('19'!$AG$25:$AG$30,$AK11,'19'!$AF$25:$AF$30,1)=0,"",SUMIFS('19'!$AC$25:$AC$30,'19'!$AG$25:$AG$30,$AK11,'19'!$AF$25:$AF$30,1)/COUNTIFS('19'!$AG$25:$AG$30,$AK11,'19'!$AF$25:$AF$30,1))</f>
        <v/>
      </c>
      <c r="BO11" s="84" t="str">
        <f>IF(COUNTIFS('20'!$AG$25:$AG$30,$AK11,'20'!$AF$25:$AF$30,1)=0,"",SUMIFS('20'!$AC$25:$AC$30,'20'!$AG$25:$AG$30,$AK11,'20'!$AF$25:$AF$30,1)/COUNTIFS('20'!$AG$25:$AG$30,$AK11,'20'!$AF$25:$AF$30,1))</f>
        <v/>
      </c>
      <c r="BP11" s="84" t="str">
        <f>IF(COUNTIFS('21'!$AG$25:$AG$30,$AK11,'21'!$AF$25:$AF$30,1)=0,"",SUMIFS('21'!$AC$25:$AC$30,'21'!$AG$25:$AG$30,$AK11,'21'!$AF$25:$AF$30,1)/COUNTIFS('21'!$AG$25:$AG$30,$AK11,'21'!$AF$25:$AF$30,1))</f>
        <v/>
      </c>
      <c r="BQ11" s="84" t="str">
        <f>IF(COUNTIFS('22'!$AG$25:$AG$30,$AK11,'22'!$AF$25:$AF$30,1)=0,"",SUMIFS('22'!$AC$25:$AC$30,'22'!$AG$25:$AG$30,$AK11,'22'!$AF$25:$AF$30,1)/COUNTIFS('22'!$AG$25:$AG$30,$AK11,'22'!$AF$25:$AF$30,1))</f>
        <v/>
      </c>
      <c r="BR11" s="84" t="str">
        <f>IF(COUNTIFS('23'!$AG$25:$AG$30,$AK11,'23'!$AF$25:$AF$30,1)=0,"",SUMIFS('23'!$AC$25:$AC$30,'23'!$AG$25:$AG$30,$AK11,'23'!$AF$25:$AF$30,1)/COUNTIFS('23'!$AG$25:$AG$30,$AK11,'23'!$AF$25:$AF$30,1))</f>
        <v/>
      </c>
      <c r="BS11" s="84" t="str">
        <f>IF(COUNTIFS('24'!$AG$25:$AG$30,$AK11,'24'!$AF$25:$AF$30,1)=0,"",SUMIFS('24'!$AC$25:$AC$30,'24'!$AG$25:$AG$30,$AK11,'24'!$AF$25:$AF$30,1)/COUNTIFS('24'!$AG$25:$AG$30,$AK11,'24'!$AF$25:$AF$30,1))</f>
        <v/>
      </c>
      <c r="BT11" s="84" t="str">
        <f>IF(COUNTIFS('25'!$AG$25:$AG$30,$AK11,'25'!$AF$25:$AF$30,1)=0,"",SUMIFS('25'!$AC$25:$AC$30,'25'!$AG$25:$AG$30,$AK11,'25'!$AF$25:$AF$30,1)/COUNTIFS('25'!$AG$25:$AG$30,$AK11,'25'!$AF$25:$AF$30,1))</f>
        <v/>
      </c>
      <c r="BU11" s="84" t="str">
        <f>IF(COUNTIFS('26'!$AG$25:$AG$30,$AK11,'26'!$AF$25:$AF$30,1)=0,"",SUMIFS('26'!$AC$25:$AC$30,'26'!$AG$25:$AG$30,$AK11,'26'!$AF$25:$AF$30,1)/COUNTIFS('26'!$AG$25:$AG$30,$AK11,'26'!$AF$25:$AF$30,1))</f>
        <v/>
      </c>
      <c r="BV11" s="84" t="str">
        <f>IF(COUNTIFS('27'!$AG$25:$AG$30,$AK11,'27'!$AF$25:$AF$30,1)=0,"",SUMIFS('27'!$AC$25:$AC$30,'27'!$AG$25:$AG$30,$AK11,'27'!$AF$25:$AF$30,1)/COUNTIFS('27'!$AG$25:$AG$30,$AK11,'27'!$AF$25:$AF$30,1))</f>
        <v/>
      </c>
      <c r="BW11" s="84" t="str">
        <f>IF(COUNTIFS('28'!$AG$25:$AG$30,$AK11,'28'!$AF$25:$AF$30,1)=0,"",SUMIFS('28'!$AC$25:$AC$30,'28'!$AG$25:$AG$30,$AK11,'28'!$AF$25:$AF$30,1)/COUNTIFS('28'!$AG$25:$AG$30,$AK11,'28'!$AF$25:$AF$30,1))</f>
        <v/>
      </c>
      <c r="BX11" s="84" t="str">
        <f>IF(COUNTIFS('29'!$AG$25:$AG$30,$AK11,'29'!$AF$25:$AF$30,1)=0,"",SUMIFS('29'!$AC$25:$AC$30,'29'!$AG$25:$AG$30,$AK11,'29'!$AF$25:$AF$30,1)/COUNTIFS('29'!$AG$25:$AG$30,$AK11,'29'!$AF$25:$AF$30,1))</f>
        <v/>
      </c>
      <c r="BY11" s="84" t="str">
        <f>IF(COUNTIFS('30'!$AG$25:$AG$30,$AK11,'30'!$AF$25:$AF$30,1)=0,"",SUMIFS('30'!$AC$25:$AC$30,'30'!$AG$25:$AG$30,$AK11,'30'!$AF$25:$AF$30,1)/COUNTIFS('30'!$AG$25:$AG$30,$AK11,'30'!$AF$25:$AF$30,1))</f>
        <v/>
      </c>
      <c r="BZ11" s="8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50">
        <f>IF(LARGE($Y$5:$Y$17,7)=0,"",7)</f>
        <v>7</v>
      </c>
      <c r="B12" s="150" t="str">
        <f t="shared" si="7"/>
        <v>Studio Rent</v>
      </c>
      <c r="C12" s="150">
        <f t="shared" si="8"/>
        <v>1</v>
      </c>
      <c r="D12" s="151">
        <f t="shared" si="9"/>
        <v>0.05</v>
      </c>
      <c r="E12" s="151">
        <f t="shared" si="10"/>
        <v>0.95</v>
      </c>
      <c r="X12" s="84" t="s">
        <v>141</v>
      </c>
      <c r="Y12" s="84">
        <f>COUNTIF('1'!$D$4:$D$20,X12)+COUNTIF('2'!$D$4:$D$18,X12)+COUNTIF('3'!$D$40:$D$51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4">
        <f t="shared" si="1"/>
        <v>0.00006</v>
      </c>
      <c r="AA12" s="84" t="s">
        <v>33</v>
      </c>
      <c r="AB12" s="84" t="s">
        <v>134</v>
      </c>
      <c r="AC12" s="84">
        <f>COUNTIF('1'!$O$22:$O$25,AA12)+COUNTIF('2'!$O$20:$O$23,AA12)+COUNTIF('3'!$O$53:$O$56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4">
        <f t="shared" si="2"/>
        <v>3.00004</v>
      </c>
      <c r="AK12" s="84" t="s">
        <v>33</v>
      </c>
      <c r="AL12" s="84" t="s">
        <v>134</v>
      </c>
      <c r="AM12" s="84">
        <f>COUNTIFS('1'!$AG$29:$AG$34,AK12,'1'!$AF$29:$AF$34,1)+COUNTIFS('2'!$AG$27:$AG$32,AK12,'2'!$AF$27:$AF$32,1)+COUNTIFS('3'!$AG$60:$AG$65,AK12,'3'!$AF$60:$AF$65,1)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4">
        <f t="shared" si="5"/>
        <v>96</v>
      </c>
      <c r="AO12" s="84">
        <f>IF(AM12=0,"",(SUMIFS('1'!$L$29:$L$34,'1'!$AG$29:$AG$34,AK12,'1'!$AF$29:$AF$34,1)+SUMIFS('2'!$L$27:$L$32,'2'!$AG$27:$AG$32,AK12,'2'!$AF$27:$AF$32,1)+SUMIFS('3'!$L$60:$L$65,'3'!$AG$60:$AG$65,AK12,'3'!$AF$60:$AF$65,1)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4">
        <f>IF(AM12=0,"",(SUMIFS('1'!$M$29:$M$34,'1'!$AG$29:$AG$34,AK12,'1'!$AF$29:$AF$34,1)+SUMIFS('2'!$M$27:$M$32,'2'!$AG$27:$AG$32,AK12,'2'!$AF$27:$AF$32,1)+SUMIFS('3'!$M$60:$M$65,'3'!$AG$60:$AG$65,AK12,'3'!$AF$60:$AF$65,1)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4">
        <f>IF(AM12=0,"",(SUMIFS('1'!$N$29:$N$34,'1'!$AG$29:$AG$34,AK12,'1'!$AF$29:$AF$34,1)+SUMIFS('2'!$N$27:$N$32,'2'!$AG$27:$AG$32,AK12,'2'!$AF$27:$AF$32,1)+SUMIFS('3'!$N$60:$N$65,'3'!$AG$60:$AG$65,AK12,'3'!$AF$60:$AF$65,1)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4">
        <f>IF(AM12=0,"",(SUMIFS('1'!$O$29:$O$34,'1'!$AG$29:$AG$34,AK12,'1'!$AF$29:$AF$34,1)+SUMIFS('2'!$O$27:$O$32,'2'!$AG$27:$AG$32,AK12,'2'!$AF$27:$AF$32,1)+SUMIFS('3'!$O$60:$O$65,'3'!$AG$60:$AG$65,AK12,'3'!$AF$60:$AF$65,1)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4">
        <f>IF(AM12=0,"",(SUMIFS('1'!$P$29:$P$34,'1'!$AG$29:$AG$34,AK12,'1'!$AF$29:$AF$34,1)+SUMIFS('2'!$P$27:$P$32,'2'!$AG$27:$AG$32,AK12,'2'!$AF$27:$AF$32,1)+SUMIFS('3'!$P$60:$P$65,'3'!$AG$60:$AG$65,AK12,'3'!$AF$60:$AF$65,1)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4">
        <f>IF(COUNTIFS('1'!$AG$29:$AG$34,$AK12,'1'!$AF$29:$AF$34,1)=0,"",SUMIFS('1'!$AC$29:$AC$34,'1'!$AG$29:$AG$34,$AK12,'1'!$AF$29:$AF$34,1)/COUNTIFS('1'!$AG$29:$AG$34,$AK12,'1'!$AF$29:$AF$34,1))</f>
        <v>96</v>
      </c>
      <c r="AW12" s="84" t="str">
        <f>IF(COUNTIFS('2'!$AG$27:$AG$32,$AK12,'2'!$AF$27:$AF$32,1)=0,"",SUMIFS('2'!$AC$27:$AC$32,'2'!$AG$27:$AG$32,$AK12,'2'!$AF$27:$AF$32,1)/COUNTIFS('2'!$AG$27:$AG$32,$AK12,'2'!$AF$27:$AF$32,1))</f>
        <v/>
      </c>
      <c r="AX12" s="84" t="str">
        <f>IF(COUNTIFS('3'!$AG$60:$AG$65,$AK12,'3'!$AF$60:$AF$65,1)=0,"",SUMIFS('3'!$AC$60:$AC$65,'3'!$AG$60:$AG$65,$AK12,'3'!$AF$60:$AF$65,1)/COUNTIFS('3'!$AG$60:$AG$65,$AK12,'3'!$AF$60:$AF$65,1))</f>
        <v/>
      </c>
      <c r="AY12" s="84" t="str">
        <f>IF(COUNTIFS('4'!$AG$25:$AG$30,$AK12,'4'!$AF$25:$AF$30,1)=0,"",SUMIFS('4'!$AC$25:$AC$30,'4'!$AG$25:$AG$30,$AK12,'4'!$AF$25:$AF$30,1)/COUNTIFS('4'!$AG$25:$AG$30,$AK12,'4'!$AF$25:$AF$30,1))</f>
        <v/>
      </c>
      <c r="AZ12" s="84" t="str">
        <f>IF(COUNTIFS('5'!$AG$25:$AG$30,$AK12,'5'!$AF$25:$AF$30,1)=0,"",SUMIFS('5'!$AC$25:$AC$30,'5'!$AG$25:$AG$30,$AK12,'5'!$AF$25:$AF$30,1)/COUNTIFS('5'!$AG$25:$AG$30,$AK12,'5'!$AF$25:$AF$30,1))</f>
        <v/>
      </c>
      <c r="BA12" s="84" t="str">
        <f>IF(COUNTIFS('6'!$AG$25:$AG$30,$AK12,'6'!$AF$25:$AF$30,1)=0,"",SUMIFS('6'!$AC$25:$AC$30,'6'!$AG$25:$AG$30,$AK12,'6'!$AF$25:$AF$30,1)/COUNTIFS('6'!$AG$25:$AG$30,$AK12,'6'!$AF$25:$AF$30,1))</f>
        <v/>
      </c>
      <c r="BB12" s="84" t="str">
        <f>IF(COUNTIFS('7'!$AG$30:$AG$35,$AK12,'7'!$AF$30:$AF$35,1)=0,"",SUMIFS('7'!$AC$30:$AC$35,'7'!$AG$30:$AG$35,$AK12,'7'!$AF$30:$AF$35,1)/COUNTIFS('7'!$AG$30:$AG$35,$AK12,'7'!$AF$30:$AF$35,1))</f>
        <v/>
      </c>
      <c r="BC12" s="84" t="str">
        <f>IF(COUNTIFS('8'!$AG$25:$AG$30,$AK12,'8'!$AF$25:$AF$30,1)=0,"",SUMIFS('8'!$AC$25:$AC$30,'8'!$AG$25:$AG$30,$AK12,'8'!$AF$25:$AF$30,1)/COUNTIFS('8'!$AG$25:$AG$30,$AK12,'8'!$AF$25:$AF$30,1))</f>
        <v/>
      </c>
      <c r="BD12" s="84" t="str">
        <f>IF(COUNTIFS('9'!$AG$25:$AG$30,$AK12,'9'!$AF$25:$AF$30,1)=0,"",SUMIFS('9'!$AC$25:$AC$30,'9'!$AG$25:$AG$30,$AK12,'9'!$AF$25:$AF$30,1)/COUNTIFS('9'!$AG$25:$AG$30,$AK12,'9'!$AF$25:$AF$30,1))</f>
        <v/>
      </c>
      <c r="BE12" s="84" t="str">
        <f>IF(COUNTIFS('10'!$AG$25:$AG$30,$AK12,'10'!$AF$25:$AF$30,1)=0,"",SUMIFS('10'!$AC$25:$AC$30,'10'!$AG$25:$AG$30,$AK12,'10'!$AF$25:$AF$30,1)/COUNTIFS('10'!$AG$25:$AG$30,$AK12,'10'!$AF$25:$AF$30,1))</f>
        <v/>
      </c>
      <c r="BF12" s="84" t="str">
        <f>IF(COUNTIFS('11'!$AG$25:$AG$30,$AK12,'11'!$AF$25:$AF$30,1)=0,"",SUMIFS('11'!$AC$25:$AC$30,'11'!$AG$25:$AG$30,$AK12,'11'!$AF$25:$AF$30,1)/COUNTIFS('11'!$AG$25:$AG$30,$AK12,'11'!$AF$25:$AF$30,1))</f>
        <v/>
      </c>
      <c r="BG12" s="84" t="str">
        <f>IF(COUNTIFS('12'!$AG$25:$AG$30,$AK12,'12'!$AF$25:$AF$30,1)=0,"",SUMIFS('12'!$AC$25:$AC$30,'12'!$AG$25:$AG$30,$AK12,'12'!$AF$25:$AF$30,1)/COUNTIFS('12'!$AG$25:$AG$30,$AK12,'12'!$AF$25:$AF$30,1))</f>
        <v/>
      </c>
      <c r="BH12" s="84" t="str">
        <f>IF(COUNTIFS('13'!$AG$25:$AG$30,$AK12,'13'!$AF$25:$AF$30,1)=0,"",SUMIFS('13'!$AC$25:$AC$30,'13'!$AG$25:$AG$30,$AK12,'13'!$AF$25:$AF$30,1)/COUNTIFS('13'!$AG$25:$AG$30,$AK12,'13'!$AF$25:$AF$30,1))</f>
        <v/>
      </c>
      <c r="BI12" s="84" t="str">
        <f>IF(COUNTIFS('14'!$AG$25:$AG$30,$AK12,'14'!$AF$25:$AF$30,1)=0,"",SUMIFS('14'!$AC$25:$AC$30,'14'!$AG$25:$AG$30,$AK12,'14'!$AF$25:$AF$30,1)/COUNTIFS('14'!$AG$25:$AG$30,$AK12,'14'!$AF$25:$AF$30,1))</f>
        <v/>
      </c>
      <c r="BJ12" s="84" t="str">
        <f>IF(COUNTIFS('15'!$AG$25:$AG$30,$AK12,'15'!$AF$25:$AF$30,1)=0,"",SUMIFS('15'!$AC$25:$AC$30,'15'!$AG$25:$AG$30,$AK12,'15'!$AF$25:$AF$30,1)/COUNTIFS('15'!$AG$25:$AG$30,$AK12,'15'!$AF$25:$AF$30,1))</f>
        <v/>
      </c>
      <c r="BK12" s="84" t="str">
        <f>IF(COUNTIFS('16'!$AG$25:$AG$30,$AK12,'16'!$AF$25:$AF$30,1)=0,"",SUMIFS('16'!$AC$25:$AC$30,'16'!$AG$25:$AG$30,$AK12,'16'!$AF$25:$AF$30,1)/COUNTIFS('16'!$AG$25:$AG$30,$AK12,'16'!$AF$25:$AF$30,1))</f>
        <v/>
      </c>
      <c r="BL12" s="84" t="str">
        <f>IF(COUNTIFS('17'!$AG$25:$AG$30,$AK12,'17'!$AF$25:$AF$30,1)=0,"",SUMIFS('17'!$AC$25:$AC$30,'17'!$AG$25:$AG$30,$AK12,'17'!$AF$25:$AF$30,1)/COUNTIFS('17'!$AG$25:$AG$30,$AK12,'17'!$AF$25:$AF$30,1))</f>
        <v/>
      </c>
      <c r="BM12" s="84" t="str">
        <f>IF(COUNTIFS('18'!$AG$25:$AG$30,$AK12,'18'!$AF$25:$AF$30,1)=0,"",SUMIFS('18'!$AC$25:$AC$30,'18'!$AG$25:$AG$30,$AK12,'18'!$AF$25:$AF$30,1)/COUNTIFS('18'!$AG$25:$AG$30,$AK12,'18'!$AF$25:$AF$30,1))</f>
        <v/>
      </c>
      <c r="BN12" s="84" t="str">
        <f>IF(COUNTIFS('19'!$AG$25:$AG$30,$AK12,'19'!$AF$25:$AF$30,1)=0,"",SUMIFS('19'!$AC$25:$AC$30,'19'!$AG$25:$AG$30,$AK12,'19'!$AF$25:$AF$30,1)/COUNTIFS('19'!$AG$25:$AG$30,$AK12,'19'!$AF$25:$AF$30,1))</f>
        <v/>
      </c>
      <c r="BO12" s="84" t="str">
        <f>IF(COUNTIFS('20'!$AG$25:$AG$30,$AK12,'20'!$AF$25:$AF$30,1)=0,"",SUMIFS('20'!$AC$25:$AC$30,'20'!$AG$25:$AG$30,$AK12,'20'!$AF$25:$AF$30,1)/COUNTIFS('20'!$AG$25:$AG$30,$AK12,'20'!$AF$25:$AF$30,1))</f>
        <v/>
      </c>
      <c r="BP12" s="84" t="str">
        <f>IF(COUNTIFS('21'!$AG$25:$AG$30,$AK12,'21'!$AF$25:$AF$30,1)=0,"",SUMIFS('21'!$AC$25:$AC$30,'21'!$AG$25:$AG$30,$AK12,'21'!$AF$25:$AF$30,1)/COUNTIFS('21'!$AG$25:$AG$30,$AK12,'21'!$AF$25:$AF$30,1))</f>
        <v/>
      </c>
      <c r="BQ12" s="84" t="str">
        <f>IF(COUNTIFS('22'!$AG$25:$AG$30,$AK12,'22'!$AF$25:$AF$30,1)=0,"",SUMIFS('22'!$AC$25:$AC$30,'22'!$AG$25:$AG$30,$AK12,'22'!$AF$25:$AF$30,1)/COUNTIFS('22'!$AG$25:$AG$30,$AK12,'22'!$AF$25:$AF$30,1))</f>
        <v/>
      </c>
      <c r="BR12" s="84" t="str">
        <f>IF(COUNTIFS('23'!$AG$25:$AG$30,$AK12,'23'!$AF$25:$AF$30,1)=0,"",SUMIFS('23'!$AC$25:$AC$30,'23'!$AG$25:$AG$30,$AK12,'23'!$AF$25:$AF$30,1)/COUNTIFS('23'!$AG$25:$AG$30,$AK12,'23'!$AF$25:$AF$30,1))</f>
        <v/>
      </c>
      <c r="BS12" s="84" t="str">
        <f>IF(COUNTIFS('24'!$AG$25:$AG$30,$AK12,'24'!$AF$25:$AF$30,1)=0,"",SUMIFS('24'!$AC$25:$AC$30,'24'!$AG$25:$AG$30,$AK12,'24'!$AF$25:$AF$30,1)/COUNTIFS('24'!$AG$25:$AG$30,$AK12,'24'!$AF$25:$AF$30,1))</f>
        <v/>
      </c>
      <c r="BT12" s="84" t="str">
        <f>IF(COUNTIFS('25'!$AG$25:$AG$30,$AK12,'25'!$AF$25:$AF$30,1)=0,"",SUMIFS('25'!$AC$25:$AC$30,'25'!$AG$25:$AG$30,$AK12,'25'!$AF$25:$AF$30,1)/COUNTIFS('25'!$AG$25:$AG$30,$AK12,'25'!$AF$25:$AF$30,1))</f>
        <v/>
      </c>
      <c r="BU12" s="84" t="str">
        <f>IF(COUNTIFS('26'!$AG$25:$AG$30,$AK12,'26'!$AF$25:$AF$30,1)=0,"",SUMIFS('26'!$AC$25:$AC$30,'26'!$AG$25:$AG$30,$AK12,'26'!$AF$25:$AF$30,1)/COUNTIFS('26'!$AG$25:$AG$30,$AK12,'26'!$AF$25:$AF$30,1))</f>
        <v/>
      </c>
      <c r="BV12" s="84" t="str">
        <f>IF(COUNTIFS('27'!$AG$25:$AG$30,$AK12,'27'!$AF$25:$AF$30,1)=0,"",SUMIFS('27'!$AC$25:$AC$30,'27'!$AG$25:$AG$30,$AK12,'27'!$AF$25:$AF$30,1)/COUNTIFS('27'!$AG$25:$AG$30,$AK12,'27'!$AF$25:$AF$30,1))</f>
        <v/>
      </c>
      <c r="BW12" s="84" t="str">
        <f>IF(COUNTIFS('28'!$AG$25:$AG$30,$AK12,'28'!$AF$25:$AF$30,1)=0,"",SUMIFS('28'!$AC$25:$AC$30,'28'!$AG$25:$AG$30,$AK12,'28'!$AF$25:$AF$30,1)/COUNTIFS('28'!$AG$25:$AG$30,$AK12,'28'!$AF$25:$AF$30,1))</f>
        <v/>
      </c>
      <c r="BX12" s="84" t="str">
        <f>IF(COUNTIFS('29'!$AG$25:$AG$30,$AK12,'29'!$AF$25:$AF$30,1)=0,"",SUMIFS('29'!$AC$25:$AC$30,'29'!$AG$25:$AG$30,$AK12,'29'!$AF$25:$AF$30,1)/COUNTIFS('29'!$AG$25:$AG$30,$AK12,'29'!$AF$25:$AF$30,1))</f>
        <v/>
      </c>
      <c r="BY12" s="84" t="str">
        <f>IF(COUNTIFS('30'!$AG$25:$AG$30,$AK12,'30'!$AF$25:$AF$30,1)=0,"",SUMIFS('30'!$AC$25:$AC$30,'30'!$AG$25:$AG$30,$AK12,'30'!$AF$25:$AF$30,1)/COUNTIFS('30'!$AG$25:$AG$30,$AK12,'30'!$AF$25:$AF$30,1))</f>
        <v/>
      </c>
      <c r="BZ12" s="8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50">
        <f>IF(LARGE($Y$5:$Y$17,8)=0,"",8)</f>
        <v>8</v>
      </c>
      <c r="B13" s="150" t="str">
        <f t="shared" si="7"/>
        <v>Photo Fox</v>
      </c>
      <c r="C13" s="150">
        <f t="shared" si="8"/>
        <v>1</v>
      </c>
      <c r="D13" s="151">
        <f t="shared" si="9"/>
        <v>0.05</v>
      </c>
      <c r="E13" s="151">
        <f t="shared" si="10"/>
        <v>1</v>
      </c>
      <c r="X13" s="84" t="s">
        <v>142</v>
      </c>
      <c r="Y13" s="84">
        <f>COUNTIF('1'!$D$4:$D$20,X13)+COUNTIF('2'!$D$4:$D$18,X13)+COUNTIF('3'!$D$40:$D$51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4">
        <f t="shared" si="1"/>
        <v>0.00005</v>
      </c>
      <c r="AA13" s="84" t="s">
        <v>135</v>
      </c>
      <c r="AB13" s="84" t="s">
        <v>134</v>
      </c>
      <c r="AC13" s="84">
        <f>COUNTIF('1'!$O$22:$O$25,AA13)+COUNTIF('2'!$O$20:$O$23,AA13)+COUNTIF('3'!$O$53:$O$56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4">
        <f t="shared" si="2"/>
        <v>0.00003</v>
      </c>
      <c r="AK13" s="84" t="s">
        <v>135</v>
      </c>
      <c r="AL13" s="84" t="s">
        <v>134</v>
      </c>
      <c r="AM13" s="84">
        <f>COUNTIFS('1'!$AG$29:$AG$34,AK13,'1'!$AF$29:$AF$34,1)+COUNTIFS('2'!$AG$27:$AG$32,AK13,'2'!$AF$27:$AF$32,1)+COUNTIFS('3'!$AG$60:$AG$65,AK13,'3'!$AF$60:$AF$65,1)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4" t="str">
        <f t="shared" si="5"/>
        <v/>
      </c>
      <c r="AO13" s="84" t="str">
        <f>IF(AM13=0,"",(SUMIFS('1'!$L$29:$L$34,'1'!$AG$29:$AG$34,AK13,'1'!$AF$29:$AF$34,1)+SUMIFS('2'!$L$27:$L$32,'2'!$AG$27:$AG$32,AK13,'2'!$AF$27:$AF$32,1)+SUMIFS('3'!$L$60:$L$65,'3'!$AG$60:$AG$65,AK13,'3'!$AF$60:$AF$65,1)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4" t="str">
        <f>IF(AM13=0,"",(SUMIFS('1'!$M$29:$M$34,'1'!$AG$29:$AG$34,AK13,'1'!$AF$29:$AF$34,1)+SUMIFS('2'!$M$27:$M$32,'2'!$AG$27:$AG$32,AK13,'2'!$AF$27:$AF$32,1)+SUMIFS('3'!$M$60:$M$65,'3'!$AG$60:$AG$65,AK13,'3'!$AF$60:$AF$65,1)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4" t="str">
        <f>IF(AM13=0,"",(SUMIFS('1'!$N$29:$N$34,'1'!$AG$29:$AG$34,AK13,'1'!$AF$29:$AF$34,1)+SUMIFS('2'!$N$27:$N$32,'2'!$AG$27:$AG$32,AK13,'2'!$AF$27:$AF$32,1)+SUMIFS('3'!$N$60:$N$65,'3'!$AG$60:$AG$65,AK13,'3'!$AF$60:$AF$65,1)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4" t="str">
        <f>IF(AM13=0,"",(SUMIFS('1'!$O$29:$O$34,'1'!$AG$29:$AG$34,AK13,'1'!$AF$29:$AF$34,1)+SUMIFS('2'!$O$27:$O$32,'2'!$AG$27:$AG$32,AK13,'2'!$AF$27:$AF$32,1)+SUMIFS('3'!$O$60:$O$65,'3'!$AG$60:$AG$65,AK13,'3'!$AF$60:$AF$65,1)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4" t="str">
        <f>IF(AM13=0,"",(SUMIFS('1'!$P$29:$P$34,'1'!$AG$29:$AG$34,AK13,'1'!$AF$29:$AF$34,1)+SUMIFS('2'!$P$27:$P$32,'2'!$AG$27:$AG$32,AK13,'2'!$AF$27:$AF$32,1)+SUMIFS('3'!$P$60:$P$65,'3'!$AG$60:$AG$65,AK13,'3'!$AF$60:$AF$65,1)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4" t="str">
        <f>IF(COUNTIFS('1'!$AG$29:$AG$34,$AK13,'1'!$AF$29:$AF$34,1)=0,"",SUMIFS('1'!$AC$29:$AC$34,'1'!$AG$29:$AG$34,$AK13,'1'!$AF$29:$AF$34,1)/COUNTIFS('1'!$AG$29:$AG$34,$AK13,'1'!$AF$29:$AF$34,1))</f>
        <v/>
      </c>
      <c r="AW13" s="84" t="str">
        <f>IF(COUNTIFS('2'!$AG$27:$AG$32,$AK13,'2'!$AF$27:$AF$32,1)=0,"",SUMIFS('2'!$AC$27:$AC$32,'2'!$AG$27:$AG$32,$AK13,'2'!$AF$27:$AF$32,1)/COUNTIFS('2'!$AG$27:$AG$32,$AK13,'2'!$AF$27:$AF$32,1))</f>
        <v/>
      </c>
      <c r="AX13" s="84" t="str">
        <f>IF(COUNTIFS('3'!$AG$60:$AG$65,$AK13,'3'!$AF$60:$AF$65,1)=0,"",SUMIFS('3'!$AC$60:$AC$65,'3'!$AG$60:$AG$65,$AK13,'3'!$AF$60:$AF$65,1)/COUNTIFS('3'!$AG$60:$AG$65,$AK13,'3'!$AF$60:$AF$65,1))</f>
        <v/>
      </c>
      <c r="AY13" s="84" t="str">
        <f>IF(COUNTIFS('4'!$AG$25:$AG$30,$AK13,'4'!$AF$25:$AF$30,1)=0,"",SUMIFS('4'!$AC$25:$AC$30,'4'!$AG$25:$AG$30,$AK13,'4'!$AF$25:$AF$30,1)/COUNTIFS('4'!$AG$25:$AG$30,$AK13,'4'!$AF$25:$AF$30,1))</f>
        <v/>
      </c>
      <c r="AZ13" s="84" t="str">
        <f>IF(COUNTIFS('5'!$AG$25:$AG$30,$AK13,'5'!$AF$25:$AF$30,1)=0,"",SUMIFS('5'!$AC$25:$AC$30,'5'!$AG$25:$AG$30,$AK13,'5'!$AF$25:$AF$30,1)/COUNTIFS('5'!$AG$25:$AG$30,$AK13,'5'!$AF$25:$AF$30,1))</f>
        <v/>
      </c>
      <c r="BA13" s="84" t="str">
        <f>IF(COUNTIFS('6'!$AG$25:$AG$30,$AK13,'6'!$AF$25:$AF$30,1)=0,"",SUMIFS('6'!$AC$25:$AC$30,'6'!$AG$25:$AG$30,$AK13,'6'!$AF$25:$AF$30,1)/COUNTIFS('6'!$AG$25:$AG$30,$AK13,'6'!$AF$25:$AF$30,1))</f>
        <v/>
      </c>
      <c r="BB13" s="84" t="str">
        <f>IF(COUNTIFS('7'!$AG$30:$AG$35,$AK13,'7'!$AF$30:$AF$35,1)=0,"",SUMIFS('7'!$AC$30:$AC$35,'7'!$AG$30:$AG$35,$AK13,'7'!$AF$30:$AF$35,1)/COUNTIFS('7'!$AG$30:$AG$35,$AK13,'7'!$AF$30:$AF$35,1))</f>
        <v/>
      </c>
      <c r="BC13" s="84" t="str">
        <f>IF(COUNTIFS('8'!$AG$25:$AG$30,$AK13,'8'!$AF$25:$AF$30,1)=0,"",SUMIFS('8'!$AC$25:$AC$30,'8'!$AG$25:$AG$30,$AK13,'8'!$AF$25:$AF$30,1)/COUNTIFS('8'!$AG$25:$AG$30,$AK13,'8'!$AF$25:$AF$30,1))</f>
        <v/>
      </c>
      <c r="BD13" s="84" t="str">
        <f>IF(COUNTIFS('9'!$AG$25:$AG$30,$AK13,'9'!$AF$25:$AF$30,1)=0,"",SUMIFS('9'!$AC$25:$AC$30,'9'!$AG$25:$AG$30,$AK13,'9'!$AF$25:$AF$30,1)/COUNTIFS('9'!$AG$25:$AG$30,$AK13,'9'!$AF$25:$AF$30,1))</f>
        <v/>
      </c>
      <c r="BE13" s="84" t="str">
        <f>IF(COUNTIFS('10'!$AG$25:$AG$30,$AK13,'10'!$AF$25:$AF$30,1)=0,"",SUMIFS('10'!$AC$25:$AC$30,'10'!$AG$25:$AG$30,$AK13,'10'!$AF$25:$AF$30,1)/COUNTIFS('10'!$AG$25:$AG$30,$AK13,'10'!$AF$25:$AF$30,1))</f>
        <v/>
      </c>
      <c r="BF13" s="84" t="str">
        <f>IF(COUNTIFS('11'!$AG$25:$AG$30,$AK13,'11'!$AF$25:$AF$30,1)=0,"",SUMIFS('11'!$AC$25:$AC$30,'11'!$AG$25:$AG$30,$AK13,'11'!$AF$25:$AF$30,1)/COUNTIFS('11'!$AG$25:$AG$30,$AK13,'11'!$AF$25:$AF$30,1))</f>
        <v/>
      </c>
      <c r="BG13" s="84" t="str">
        <f>IF(COUNTIFS('12'!$AG$25:$AG$30,$AK13,'12'!$AF$25:$AF$30,1)=0,"",SUMIFS('12'!$AC$25:$AC$30,'12'!$AG$25:$AG$30,$AK13,'12'!$AF$25:$AF$30,1)/COUNTIFS('12'!$AG$25:$AG$30,$AK13,'12'!$AF$25:$AF$30,1))</f>
        <v/>
      </c>
      <c r="BH13" s="84" t="str">
        <f>IF(COUNTIFS('13'!$AG$25:$AG$30,$AK13,'13'!$AF$25:$AF$30,1)=0,"",SUMIFS('13'!$AC$25:$AC$30,'13'!$AG$25:$AG$30,$AK13,'13'!$AF$25:$AF$30,1)/COUNTIFS('13'!$AG$25:$AG$30,$AK13,'13'!$AF$25:$AF$30,1))</f>
        <v/>
      </c>
      <c r="BI13" s="84" t="str">
        <f>IF(COUNTIFS('14'!$AG$25:$AG$30,$AK13,'14'!$AF$25:$AF$30,1)=0,"",SUMIFS('14'!$AC$25:$AC$30,'14'!$AG$25:$AG$30,$AK13,'14'!$AF$25:$AF$30,1)/COUNTIFS('14'!$AG$25:$AG$30,$AK13,'14'!$AF$25:$AF$30,1))</f>
        <v/>
      </c>
      <c r="BJ13" s="84" t="str">
        <f>IF(COUNTIFS('15'!$AG$25:$AG$30,$AK13,'15'!$AF$25:$AF$30,1)=0,"",SUMIFS('15'!$AC$25:$AC$30,'15'!$AG$25:$AG$30,$AK13,'15'!$AF$25:$AF$30,1)/COUNTIFS('15'!$AG$25:$AG$30,$AK13,'15'!$AF$25:$AF$30,1))</f>
        <v/>
      </c>
      <c r="BK13" s="84" t="str">
        <f>IF(COUNTIFS('16'!$AG$25:$AG$30,$AK13,'16'!$AF$25:$AF$30,1)=0,"",SUMIFS('16'!$AC$25:$AC$30,'16'!$AG$25:$AG$30,$AK13,'16'!$AF$25:$AF$30,1)/COUNTIFS('16'!$AG$25:$AG$30,$AK13,'16'!$AF$25:$AF$30,1))</f>
        <v/>
      </c>
      <c r="BL13" s="84" t="str">
        <f>IF(COUNTIFS('17'!$AG$25:$AG$30,$AK13,'17'!$AF$25:$AF$30,1)=0,"",SUMIFS('17'!$AC$25:$AC$30,'17'!$AG$25:$AG$30,$AK13,'17'!$AF$25:$AF$30,1)/COUNTIFS('17'!$AG$25:$AG$30,$AK13,'17'!$AF$25:$AF$30,1))</f>
        <v/>
      </c>
      <c r="BM13" s="84" t="str">
        <f>IF(COUNTIFS('18'!$AG$25:$AG$30,$AK13,'18'!$AF$25:$AF$30,1)=0,"",SUMIFS('18'!$AC$25:$AC$30,'18'!$AG$25:$AG$30,$AK13,'18'!$AF$25:$AF$30,1)/COUNTIFS('18'!$AG$25:$AG$30,$AK13,'18'!$AF$25:$AF$30,1))</f>
        <v/>
      </c>
      <c r="BN13" s="84" t="str">
        <f>IF(COUNTIFS('19'!$AG$25:$AG$30,$AK13,'19'!$AF$25:$AF$30,1)=0,"",SUMIFS('19'!$AC$25:$AC$30,'19'!$AG$25:$AG$30,$AK13,'19'!$AF$25:$AF$30,1)/COUNTIFS('19'!$AG$25:$AG$30,$AK13,'19'!$AF$25:$AF$30,1))</f>
        <v/>
      </c>
      <c r="BO13" s="84" t="str">
        <f>IF(COUNTIFS('20'!$AG$25:$AG$30,$AK13,'20'!$AF$25:$AF$30,1)=0,"",SUMIFS('20'!$AC$25:$AC$30,'20'!$AG$25:$AG$30,$AK13,'20'!$AF$25:$AF$30,1)/COUNTIFS('20'!$AG$25:$AG$30,$AK13,'20'!$AF$25:$AF$30,1))</f>
        <v/>
      </c>
      <c r="BP13" s="84" t="str">
        <f>IF(COUNTIFS('21'!$AG$25:$AG$30,$AK13,'21'!$AF$25:$AF$30,1)=0,"",SUMIFS('21'!$AC$25:$AC$30,'21'!$AG$25:$AG$30,$AK13,'21'!$AF$25:$AF$30,1)/COUNTIFS('21'!$AG$25:$AG$30,$AK13,'21'!$AF$25:$AF$30,1))</f>
        <v/>
      </c>
      <c r="BQ13" s="84" t="str">
        <f>IF(COUNTIFS('22'!$AG$25:$AG$30,$AK13,'22'!$AF$25:$AF$30,1)=0,"",SUMIFS('22'!$AC$25:$AC$30,'22'!$AG$25:$AG$30,$AK13,'22'!$AF$25:$AF$30,1)/COUNTIFS('22'!$AG$25:$AG$30,$AK13,'22'!$AF$25:$AF$30,1))</f>
        <v/>
      </c>
      <c r="BR13" s="84" t="str">
        <f>IF(COUNTIFS('23'!$AG$25:$AG$30,$AK13,'23'!$AF$25:$AF$30,1)=0,"",SUMIFS('23'!$AC$25:$AC$30,'23'!$AG$25:$AG$30,$AK13,'23'!$AF$25:$AF$30,1)/COUNTIFS('23'!$AG$25:$AG$30,$AK13,'23'!$AF$25:$AF$30,1))</f>
        <v/>
      </c>
      <c r="BS13" s="84" t="str">
        <f>IF(COUNTIFS('24'!$AG$25:$AG$30,$AK13,'24'!$AF$25:$AF$30,1)=0,"",SUMIFS('24'!$AC$25:$AC$30,'24'!$AG$25:$AG$30,$AK13,'24'!$AF$25:$AF$30,1)/COUNTIFS('24'!$AG$25:$AG$30,$AK13,'24'!$AF$25:$AF$30,1))</f>
        <v/>
      </c>
      <c r="BT13" s="84" t="str">
        <f>IF(COUNTIFS('25'!$AG$25:$AG$30,$AK13,'25'!$AF$25:$AF$30,1)=0,"",SUMIFS('25'!$AC$25:$AC$30,'25'!$AG$25:$AG$30,$AK13,'25'!$AF$25:$AF$30,1)/COUNTIFS('25'!$AG$25:$AG$30,$AK13,'25'!$AF$25:$AF$30,1))</f>
        <v/>
      </c>
      <c r="BU13" s="84" t="str">
        <f>IF(COUNTIFS('26'!$AG$25:$AG$30,$AK13,'26'!$AF$25:$AF$30,1)=0,"",SUMIFS('26'!$AC$25:$AC$30,'26'!$AG$25:$AG$30,$AK13,'26'!$AF$25:$AF$30,1)/COUNTIFS('26'!$AG$25:$AG$30,$AK13,'26'!$AF$25:$AF$30,1))</f>
        <v/>
      </c>
      <c r="BV13" s="84" t="str">
        <f>IF(COUNTIFS('27'!$AG$25:$AG$30,$AK13,'27'!$AF$25:$AF$30,1)=0,"",SUMIFS('27'!$AC$25:$AC$30,'27'!$AG$25:$AG$30,$AK13,'27'!$AF$25:$AF$30,1)/COUNTIFS('27'!$AG$25:$AG$30,$AK13,'27'!$AF$25:$AF$30,1))</f>
        <v/>
      </c>
      <c r="BW13" s="84" t="str">
        <f>IF(COUNTIFS('28'!$AG$25:$AG$30,$AK13,'28'!$AF$25:$AF$30,1)=0,"",SUMIFS('28'!$AC$25:$AC$30,'28'!$AG$25:$AG$30,$AK13,'28'!$AF$25:$AF$30,1)/COUNTIFS('28'!$AG$25:$AG$30,$AK13,'28'!$AF$25:$AF$30,1))</f>
        <v/>
      </c>
      <c r="BX13" s="84" t="str">
        <f>IF(COUNTIFS('29'!$AG$25:$AG$30,$AK13,'29'!$AF$25:$AF$30,1)=0,"",SUMIFS('29'!$AC$25:$AC$30,'29'!$AG$25:$AG$30,$AK13,'29'!$AF$25:$AF$30,1)/COUNTIFS('29'!$AG$25:$AG$30,$AK13,'29'!$AF$25:$AF$30,1))</f>
        <v/>
      </c>
      <c r="BY13" s="84" t="str">
        <f>IF(COUNTIFS('30'!$AG$25:$AG$30,$AK13,'30'!$AF$25:$AF$30,1)=0,"",SUMIFS('30'!$AC$25:$AC$30,'30'!$AG$25:$AG$30,$AK13,'30'!$AF$25:$AF$30,1)/COUNTIFS('30'!$AG$25:$AG$30,$AK13,'30'!$AF$25:$AF$30,1))</f>
        <v/>
      </c>
      <c r="BZ13" s="8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50" t="str">
        <f>IF(LARGE($Y$5:$Y$17,9)=0,"",9)</f>
        <v/>
      </c>
      <c r="B14" s="150" t="str">
        <f t="shared" si="7"/>
        <v/>
      </c>
      <c r="C14" s="150" t="str">
        <f t="shared" si="8"/>
        <v/>
      </c>
      <c r="D14" s="151" t="str">
        <f t="shared" si="9"/>
        <v/>
      </c>
      <c r="E14" s="151" t="str">
        <f t="shared" si="10"/>
        <v/>
      </c>
      <c r="X14" s="84" t="s">
        <v>24</v>
      </c>
      <c r="Y14" s="84">
        <f>COUNTIF('1'!$D$4:$D$20,X14)+COUNTIF('2'!$D$4:$D$18,X14)+COUNTIF('3'!$D$40:$D$51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4">
        <f t="shared" si="1"/>
        <v>1.00004</v>
      </c>
      <c r="AA14" s="84" t="s">
        <v>136</v>
      </c>
      <c r="AB14" s="84" t="s">
        <v>134</v>
      </c>
      <c r="AC14" s="84">
        <f>COUNTIF('1'!$O$22:$O$25,AA14)+COUNTIF('2'!$O$20:$O$23,AA14)+COUNTIF('3'!$O$53:$O$56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4">
        <f t="shared" si="2"/>
        <v>0.00002</v>
      </c>
      <c r="AK14" s="84" t="s">
        <v>136</v>
      </c>
      <c r="AL14" s="84" t="s">
        <v>134</v>
      </c>
      <c r="AM14" s="84">
        <f>COUNTIFS('1'!$AG$29:$AG$34,AK14,'1'!$AF$29:$AF$34,1)+COUNTIFS('2'!$AG$27:$AG$32,AK14,'2'!$AF$27:$AF$32,1)+COUNTIFS('3'!$AG$60:$AG$65,AK14,'3'!$AF$60:$AF$65,1)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4" t="str">
        <f t="shared" si="5"/>
        <v/>
      </c>
      <c r="AO14" s="84" t="str">
        <f>IF(AM14=0,"",(SUMIFS('1'!$L$29:$L$34,'1'!$AG$29:$AG$34,AK14,'1'!$AF$29:$AF$34,1)+SUMIFS('2'!$L$27:$L$32,'2'!$AG$27:$AG$32,AK14,'2'!$AF$27:$AF$32,1)+SUMIFS('3'!$L$60:$L$65,'3'!$AG$60:$AG$65,AK14,'3'!$AF$60:$AF$65,1)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4" t="str">
        <f>IF(AM14=0,"",(SUMIFS('1'!$M$29:$M$34,'1'!$AG$29:$AG$34,AK14,'1'!$AF$29:$AF$34,1)+SUMIFS('2'!$M$27:$M$32,'2'!$AG$27:$AG$32,AK14,'2'!$AF$27:$AF$32,1)+SUMIFS('3'!$M$60:$M$65,'3'!$AG$60:$AG$65,AK14,'3'!$AF$60:$AF$65,1)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4" t="str">
        <f>IF(AM14=0,"",(SUMIFS('1'!$N$29:$N$34,'1'!$AG$29:$AG$34,AK14,'1'!$AF$29:$AF$34,1)+SUMIFS('2'!$N$27:$N$32,'2'!$AG$27:$AG$32,AK14,'2'!$AF$27:$AF$32,1)+SUMIFS('3'!$N$60:$N$65,'3'!$AG$60:$AG$65,AK14,'3'!$AF$60:$AF$65,1)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4" t="str">
        <f>IF(AM14=0,"",(SUMIFS('1'!$O$29:$O$34,'1'!$AG$29:$AG$34,AK14,'1'!$AF$29:$AF$34,1)+SUMIFS('2'!$O$27:$O$32,'2'!$AG$27:$AG$32,AK14,'2'!$AF$27:$AF$32,1)+SUMIFS('3'!$O$60:$O$65,'3'!$AG$60:$AG$65,AK14,'3'!$AF$60:$AF$65,1)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4" t="str">
        <f>IF(AM14=0,"",(SUMIFS('1'!$P$29:$P$34,'1'!$AG$29:$AG$34,AK14,'1'!$AF$29:$AF$34,1)+SUMIFS('2'!$P$27:$P$32,'2'!$AG$27:$AG$32,AK14,'2'!$AF$27:$AF$32,1)+SUMIFS('3'!$P$60:$P$65,'3'!$AG$60:$AG$65,AK14,'3'!$AF$60:$AF$65,1)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4" t="str">
        <f>IF(COUNTIFS('1'!$AG$29:$AG$34,$AK14,'1'!$AF$29:$AF$34,1)=0,"",SUMIFS('1'!$AC$29:$AC$34,'1'!$AG$29:$AG$34,$AK14,'1'!$AF$29:$AF$34,1)/COUNTIFS('1'!$AG$29:$AG$34,$AK14,'1'!$AF$29:$AF$34,1))</f>
        <v/>
      </c>
      <c r="AW14" s="84" t="str">
        <f>IF(COUNTIFS('2'!$AG$27:$AG$32,$AK14,'2'!$AF$27:$AF$32,1)=0,"",SUMIFS('2'!$AC$27:$AC$32,'2'!$AG$27:$AG$32,$AK14,'2'!$AF$27:$AF$32,1)/COUNTIFS('2'!$AG$27:$AG$32,$AK14,'2'!$AF$27:$AF$32,1))</f>
        <v/>
      </c>
      <c r="AX14" s="84" t="str">
        <f>IF(COUNTIFS('3'!$AG$60:$AG$65,$AK14,'3'!$AF$60:$AF$65,1)=0,"",SUMIFS('3'!$AC$60:$AC$65,'3'!$AG$60:$AG$65,$AK14,'3'!$AF$60:$AF$65,1)/COUNTIFS('3'!$AG$60:$AG$65,$AK14,'3'!$AF$60:$AF$65,1))</f>
        <v/>
      </c>
      <c r="AY14" s="84" t="str">
        <f>IF(COUNTIFS('4'!$AG$25:$AG$30,$AK14,'4'!$AF$25:$AF$30,1)=0,"",SUMIFS('4'!$AC$25:$AC$30,'4'!$AG$25:$AG$30,$AK14,'4'!$AF$25:$AF$30,1)/COUNTIFS('4'!$AG$25:$AG$30,$AK14,'4'!$AF$25:$AF$30,1))</f>
        <v/>
      </c>
      <c r="AZ14" s="84" t="str">
        <f>IF(COUNTIFS('5'!$AG$25:$AG$30,$AK14,'5'!$AF$25:$AF$30,1)=0,"",SUMIFS('5'!$AC$25:$AC$30,'5'!$AG$25:$AG$30,$AK14,'5'!$AF$25:$AF$30,1)/COUNTIFS('5'!$AG$25:$AG$30,$AK14,'5'!$AF$25:$AF$30,1))</f>
        <v/>
      </c>
      <c r="BA14" s="84" t="str">
        <f>IF(COUNTIFS('6'!$AG$25:$AG$30,$AK14,'6'!$AF$25:$AF$30,1)=0,"",SUMIFS('6'!$AC$25:$AC$30,'6'!$AG$25:$AG$30,$AK14,'6'!$AF$25:$AF$30,1)/COUNTIFS('6'!$AG$25:$AG$30,$AK14,'6'!$AF$25:$AF$30,1))</f>
        <v/>
      </c>
      <c r="BB14" s="84" t="str">
        <f>IF(COUNTIFS('7'!$AG$30:$AG$35,$AK14,'7'!$AF$30:$AF$35,1)=0,"",SUMIFS('7'!$AC$30:$AC$35,'7'!$AG$30:$AG$35,$AK14,'7'!$AF$30:$AF$35,1)/COUNTIFS('7'!$AG$30:$AG$35,$AK14,'7'!$AF$30:$AF$35,1))</f>
        <v/>
      </c>
      <c r="BC14" s="84" t="str">
        <f>IF(COUNTIFS('8'!$AG$25:$AG$30,$AK14,'8'!$AF$25:$AF$30,1)=0,"",SUMIFS('8'!$AC$25:$AC$30,'8'!$AG$25:$AG$30,$AK14,'8'!$AF$25:$AF$30,1)/COUNTIFS('8'!$AG$25:$AG$30,$AK14,'8'!$AF$25:$AF$30,1))</f>
        <v/>
      </c>
      <c r="BD14" s="84" t="str">
        <f>IF(COUNTIFS('9'!$AG$25:$AG$30,$AK14,'9'!$AF$25:$AF$30,1)=0,"",SUMIFS('9'!$AC$25:$AC$30,'9'!$AG$25:$AG$30,$AK14,'9'!$AF$25:$AF$30,1)/COUNTIFS('9'!$AG$25:$AG$30,$AK14,'9'!$AF$25:$AF$30,1))</f>
        <v/>
      </c>
      <c r="BE14" s="84" t="str">
        <f>IF(COUNTIFS('10'!$AG$25:$AG$30,$AK14,'10'!$AF$25:$AF$30,1)=0,"",SUMIFS('10'!$AC$25:$AC$30,'10'!$AG$25:$AG$30,$AK14,'10'!$AF$25:$AF$30,1)/COUNTIFS('10'!$AG$25:$AG$30,$AK14,'10'!$AF$25:$AF$30,1))</f>
        <v/>
      </c>
      <c r="BF14" s="84" t="str">
        <f>IF(COUNTIFS('11'!$AG$25:$AG$30,$AK14,'11'!$AF$25:$AF$30,1)=0,"",SUMIFS('11'!$AC$25:$AC$30,'11'!$AG$25:$AG$30,$AK14,'11'!$AF$25:$AF$30,1)/COUNTIFS('11'!$AG$25:$AG$30,$AK14,'11'!$AF$25:$AF$30,1))</f>
        <v/>
      </c>
      <c r="BG14" s="84" t="str">
        <f>IF(COUNTIFS('12'!$AG$25:$AG$30,$AK14,'12'!$AF$25:$AF$30,1)=0,"",SUMIFS('12'!$AC$25:$AC$30,'12'!$AG$25:$AG$30,$AK14,'12'!$AF$25:$AF$30,1)/COUNTIFS('12'!$AG$25:$AG$30,$AK14,'12'!$AF$25:$AF$30,1))</f>
        <v/>
      </c>
      <c r="BH14" s="84" t="str">
        <f>IF(COUNTIFS('13'!$AG$25:$AG$30,$AK14,'13'!$AF$25:$AF$30,1)=0,"",SUMIFS('13'!$AC$25:$AC$30,'13'!$AG$25:$AG$30,$AK14,'13'!$AF$25:$AF$30,1)/COUNTIFS('13'!$AG$25:$AG$30,$AK14,'13'!$AF$25:$AF$30,1))</f>
        <v/>
      </c>
      <c r="BI14" s="84" t="str">
        <f>IF(COUNTIFS('14'!$AG$25:$AG$30,$AK14,'14'!$AF$25:$AF$30,1)=0,"",SUMIFS('14'!$AC$25:$AC$30,'14'!$AG$25:$AG$30,$AK14,'14'!$AF$25:$AF$30,1)/COUNTIFS('14'!$AG$25:$AG$30,$AK14,'14'!$AF$25:$AF$30,1))</f>
        <v/>
      </c>
      <c r="BJ14" s="84" t="str">
        <f>IF(COUNTIFS('15'!$AG$25:$AG$30,$AK14,'15'!$AF$25:$AF$30,1)=0,"",SUMIFS('15'!$AC$25:$AC$30,'15'!$AG$25:$AG$30,$AK14,'15'!$AF$25:$AF$30,1)/COUNTIFS('15'!$AG$25:$AG$30,$AK14,'15'!$AF$25:$AF$30,1))</f>
        <v/>
      </c>
      <c r="BK14" s="84" t="str">
        <f>IF(COUNTIFS('16'!$AG$25:$AG$30,$AK14,'16'!$AF$25:$AF$30,1)=0,"",SUMIFS('16'!$AC$25:$AC$30,'16'!$AG$25:$AG$30,$AK14,'16'!$AF$25:$AF$30,1)/COUNTIFS('16'!$AG$25:$AG$30,$AK14,'16'!$AF$25:$AF$30,1))</f>
        <v/>
      </c>
      <c r="BL14" s="84" t="str">
        <f>IF(COUNTIFS('17'!$AG$25:$AG$30,$AK14,'17'!$AF$25:$AF$30,1)=0,"",SUMIFS('17'!$AC$25:$AC$30,'17'!$AG$25:$AG$30,$AK14,'17'!$AF$25:$AF$30,1)/COUNTIFS('17'!$AG$25:$AG$30,$AK14,'17'!$AF$25:$AF$30,1))</f>
        <v/>
      </c>
      <c r="BM14" s="84" t="str">
        <f>IF(COUNTIFS('18'!$AG$25:$AG$30,$AK14,'18'!$AF$25:$AF$30,1)=0,"",SUMIFS('18'!$AC$25:$AC$30,'18'!$AG$25:$AG$30,$AK14,'18'!$AF$25:$AF$30,1)/COUNTIFS('18'!$AG$25:$AG$30,$AK14,'18'!$AF$25:$AF$30,1))</f>
        <v/>
      </c>
      <c r="BN14" s="84" t="str">
        <f>IF(COUNTIFS('19'!$AG$25:$AG$30,$AK14,'19'!$AF$25:$AF$30,1)=0,"",SUMIFS('19'!$AC$25:$AC$30,'19'!$AG$25:$AG$30,$AK14,'19'!$AF$25:$AF$30,1)/COUNTIFS('19'!$AG$25:$AG$30,$AK14,'19'!$AF$25:$AF$30,1))</f>
        <v/>
      </c>
      <c r="BO14" s="84" t="str">
        <f>IF(COUNTIFS('20'!$AG$25:$AG$30,$AK14,'20'!$AF$25:$AF$30,1)=0,"",SUMIFS('20'!$AC$25:$AC$30,'20'!$AG$25:$AG$30,$AK14,'20'!$AF$25:$AF$30,1)/COUNTIFS('20'!$AG$25:$AG$30,$AK14,'20'!$AF$25:$AF$30,1))</f>
        <v/>
      </c>
      <c r="BP14" s="84" t="str">
        <f>IF(COUNTIFS('21'!$AG$25:$AG$30,$AK14,'21'!$AF$25:$AF$30,1)=0,"",SUMIFS('21'!$AC$25:$AC$30,'21'!$AG$25:$AG$30,$AK14,'21'!$AF$25:$AF$30,1)/COUNTIFS('21'!$AG$25:$AG$30,$AK14,'21'!$AF$25:$AF$30,1))</f>
        <v/>
      </c>
      <c r="BQ14" s="84" t="str">
        <f>IF(COUNTIFS('22'!$AG$25:$AG$30,$AK14,'22'!$AF$25:$AF$30,1)=0,"",SUMIFS('22'!$AC$25:$AC$30,'22'!$AG$25:$AG$30,$AK14,'22'!$AF$25:$AF$30,1)/COUNTIFS('22'!$AG$25:$AG$30,$AK14,'22'!$AF$25:$AF$30,1))</f>
        <v/>
      </c>
      <c r="BR14" s="84" t="str">
        <f>IF(COUNTIFS('23'!$AG$25:$AG$30,$AK14,'23'!$AF$25:$AF$30,1)=0,"",SUMIFS('23'!$AC$25:$AC$30,'23'!$AG$25:$AG$30,$AK14,'23'!$AF$25:$AF$30,1)/COUNTIFS('23'!$AG$25:$AG$30,$AK14,'23'!$AF$25:$AF$30,1))</f>
        <v/>
      </c>
      <c r="BS14" s="84" t="str">
        <f>IF(COUNTIFS('24'!$AG$25:$AG$30,$AK14,'24'!$AF$25:$AF$30,1)=0,"",SUMIFS('24'!$AC$25:$AC$30,'24'!$AG$25:$AG$30,$AK14,'24'!$AF$25:$AF$30,1)/COUNTIFS('24'!$AG$25:$AG$30,$AK14,'24'!$AF$25:$AF$30,1))</f>
        <v/>
      </c>
      <c r="BT14" s="84" t="str">
        <f>IF(COUNTIFS('25'!$AG$25:$AG$30,$AK14,'25'!$AF$25:$AF$30,1)=0,"",SUMIFS('25'!$AC$25:$AC$30,'25'!$AG$25:$AG$30,$AK14,'25'!$AF$25:$AF$30,1)/COUNTIFS('25'!$AG$25:$AG$30,$AK14,'25'!$AF$25:$AF$30,1))</f>
        <v/>
      </c>
      <c r="BU14" s="84" t="str">
        <f>IF(COUNTIFS('26'!$AG$25:$AG$30,$AK14,'26'!$AF$25:$AF$30,1)=0,"",SUMIFS('26'!$AC$25:$AC$30,'26'!$AG$25:$AG$30,$AK14,'26'!$AF$25:$AF$30,1)/COUNTIFS('26'!$AG$25:$AG$30,$AK14,'26'!$AF$25:$AF$30,1))</f>
        <v/>
      </c>
      <c r="BV14" s="84" t="str">
        <f>IF(COUNTIFS('27'!$AG$25:$AG$30,$AK14,'27'!$AF$25:$AF$30,1)=0,"",SUMIFS('27'!$AC$25:$AC$30,'27'!$AG$25:$AG$30,$AK14,'27'!$AF$25:$AF$30,1)/COUNTIFS('27'!$AG$25:$AG$30,$AK14,'27'!$AF$25:$AF$30,1))</f>
        <v/>
      </c>
      <c r="BW14" s="84" t="str">
        <f>IF(COUNTIFS('28'!$AG$25:$AG$30,$AK14,'28'!$AF$25:$AF$30,1)=0,"",SUMIFS('28'!$AC$25:$AC$30,'28'!$AG$25:$AG$30,$AK14,'28'!$AF$25:$AF$30,1)/COUNTIFS('28'!$AG$25:$AG$30,$AK14,'28'!$AF$25:$AF$30,1))</f>
        <v/>
      </c>
      <c r="BX14" s="84" t="str">
        <f>IF(COUNTIFS('29'!$AG$25:$AG$30,$AK14,'29'!$AF$25:$AF$30,1)=0,"",SUMIFS('29'!$AC$25:$AC$30,'29'!$AG$25:$AG$30,$AK14,'29'!$AF$25:$AF$30,1)/COUNTIFS('29'!$AG$25:$AG$30,$AK14,'29'!$AF$25:$AF$30,1))</f>
        <v/>
      </c>
      <c r="BY14" s="84" t="str">
        <f>IF(COUNTIFS('30'!$AG$25:$AG$30,$AK14,'30'!$AF$25:$AF$30,1)=0,"",SUMIFS('30'!$AC$25:$AC$30,'30'!$AG$25:$AG$30,$AK14,'30'!$AF$25:$AF$30,1)/COUNTIFS('30'!$AG$25:$AG$30,$AK14,'30'!$AF$25:$AF$30,1))</f>
        <v/>
      </c>
      <c r="BZ14" s="8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50" t="str">
        <f>IF(LARGE($Y$5:$Y$17,10)=0,"",10)</f>
        <v/>
      </c>
      <c r="B15" s="150" t="str">
        <f t="shared" si="7"/>
        <v/>
      </c>
      <c r="C15" s="150" t="str">
        <f t="shared" si="8"/>
        <v/>
      </c>
      <c r="D15" s="151" t="str">
        <f t="shared" si="9"/>
        <v/>
      </c>
      <c r="E15" s="151" t="str">
        <f t="shared" si="10"/>
        <v/>
      </c>
      <c r="X15" s="84" t="s">
        <v>49</v>
      </c>
      <c r="Y15" s="84">
        <f>COUNTIF('1'!$D$4:$D$20,X15)+COUNTIF('2'!$D$4:$D$18,X15)+COUNTIF('3'!$D$40:$D$51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4">
        <f t="shared" si="1"/>
        <v>1.00003</v>
      </c>
      <c r="AA15" s="84" t="s">
        <v>65</v>
      </c>
      <c r="AB15" s="84" t="s">
        <v>134</v>
      </c>
      <c r="AC15" s="84">
        <f>COUNTIF('1'!$O$22:$O$25,AA15)+COUNTIF('2'!$O$20:$O$23,AA15)+COUNTIF('3'!$O$53:$O$56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84">
        <f t="shared" si="2"/>
        <v>1.00001</v>
      </c>
      <c r="AK15" s="84" t="s">
        <v>65</v>
      </c>
      <c r="AL15" s="84" t="s">
        <v>134</v>
      </c>
      <c r="AM15" s="84">
        <f>COUNTIFS('1'!$AG$29:$AG$34,AK15,'1'!$AF$29:$AF$34,1)+COUNTIFS('2'!$AG$27:$AG$32,AK15,'2'!$AF$27:$AF$32,1)+COUNTIFS('3'!$AG$60:$AG$65,AK15,'3'!$AF$60:$AF$65,1)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84">
        <f t="shared" si="5"/>
        <v>100</v>
      </c>
      <c r="AO15" s="84">
        <f>IF(AM15=0,"",(SUMIFS('1'!$L$29:$L$34,'1'!$AG$29:$AG$34,AK15,'1'!$AF$29:$AF$34,1)+SUMIFS('2'!$L$27:$L$32,'2'!$AG$27:$AG$32,AK15,'2'!$AF$27:$AF$32,1)+SUMIFS('3'!$L$60:$L$65,'3'!$AG$60:$AG$65,AK15,'3'!$AF$60:$AF$65,1)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4">
        <f>IF(AM15=0,"",(SUMIFS('1'!$M$29:$M$34,'1'!$AG$29:$AG$34,AK15,'1'!$AF$29:$AF$34,1)+SUMIFS('2'!$M$27:$M$32,'2'!$AG$27:$AG$32,AK15,'2'!$AF$27:$AF$32,1)+SUMIFS('3'!$M$60:$M$65,'3'!$AG$60:$AG$65,AK15,'3'!$AF$60:$AF$65,1)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4">
        <f>IF(AM15=0,"",(SUMIFS('1'!$N$29:$N$34,'1'!$AG$29:$AG$34,AK15,'1'!$AF$29:$AF$34,1)+SUMIFS('2'!$N$27:$N$32,'2'!$AG$27:$AG$32,AK15,'2'!$AF$27:$AF$32,1)+SUMIFS('3'!$N$60:$N$65,'3'!$AG$60:$AG$65,AK15,'3'!$AF$60:$AF$65,1)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4">
        <f>IF(AM15=0,"",(SUMIFS('1'!$O$29:$O$34,'1'!$AG$29:$AG$34,AK15,'1'!$AF$29:$AF$34,1)+SUMIFS('2'!$O$27:$O$32,'2'!$AG$27:$AG$32,AK15,'2'!$AF$27:$AF$32,1)+SUMIFS('3'!$O$60:$O$65,'3'!$AG$60:$AG$65,AK15,'3'!$AF$60:$AF$65,1)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4">
        <f>IF(AM15=0,"",(SUMIFS('1'!$P$29:$P$34,'1'!$AG$29:$AG$34,AK15,'1'!$AF$29:$AF$34,1)+SUMIFS('2'!$P$27:$P$32,'2'!$AG$27:$AG$32,AK15,'2'!$AF$27:$AF$32,1)+SUMIFS('3'!$P$60:$P$65,'3'!$AG$60:$AG$65,AK15,'3'!$AF$60:$AF$65,1)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4" t="str">
        <f>IF(COUNTIFS('1'!$AG$29:$AG$34,$AK15,'1'!$AF$29:$AF$34,1)=0,"",SUMIFS('1'!$AC$29:$AC$34,'1'!$AG$29:$AG$34,$AK15,'1'!$AF$29:$AF$34,1)/COUNTIFS('1'!$AG$29:$AG$34,$AK15,'1'!$AF$29:$AF$34,1))</f>
        <v/>
      </c>
      <c r="AW15" s="84">
        <f>IF(COUNTIFS('2'!$AG$27:$AG$32,$AK15,'2'!$AF$27:$AF$32,1)=0,"",SUMIFS('2'!$AC$27:$AC$32,'2'!$AG$27:$AG$32,$AK15,'2'!$AF$27:$AF$32,1)/COUNTIFS('2'!$AG$27:$AG$32,$AK15,'2'!$AF$27:$AF$32,1))</f>
        <v>100</v>
      </c>
      <c r="AX15" s="84" t="str">
        <f>IF(COUNTIFS('3'!$AG$60:$AG$65,$AK15,'3'!$AF$60:$AF$65,1)=0,"",SUMIFS('3'!$AC$60:$AC$65,'3'!$AG$60:$AG$65,$AK15,'3'!$AF$60:$AF$65,1)/COUNTIFS('3'!$AG$60:$AG$65,$AK15,'3'!$AF$60:$AF$65,1))</f>
        <v/>
      </c>
      <c r="AY15" s="84" t="str">
        <f>IF(COUNTIFS('4'!$AG$25:$AG$30,$AK15,'4'!$AF$25:$AF$30,1)=0,"",SUMIFS('4'!$AC$25:$AC$30,'4'!$AG$25:$AG$30,$AK15,'4'!$AF$25:$AF$30,1)/COUNTIFS('4'!$AG$25:$AG$30,$AK15,'4'!$AF$25:$AF$30,1))</f>
        <v/>
      </c>
      <c r="AZ15" s="84" t="str">
        <f>IF(COUNTIFS('5'!$AG$25:$AG$30,$AK15,'5'!$AF$25:$AF$30,1)=0,"",SUMIFS('5'!$AC$25:$AC$30,'5'!$AG$25:$AG$30,$AK15,'5'!$AF$25:$AF$30,1)/COUNTIFS('5'!$AG$25:$AG$30,$AK15,'5'!$AF$25:$AF$30,1))</f>
        <v/>
      </c>
      <c r="BA15" s="84" t="str">
        <f>IF(COUNTIFS('6'!$AG$25:$AG$30,$AK15,'6'!$AF$25:$AF$30,1)=0,"",SUMIFS('6'!$AC$25:$AC$30,'6'!$AG$25:$AG$30,$AK15,'6'!$AF$25:$AF$30,1)/COUNTIFS('6'!$AG$25:$AG$30,$AK15,'6'!$AF$25:$AF$30,1))</f>
        <v/>
      </c>
      <c r="BB15" s="84" t="str">
        <f>IF(COUNTIFS('7'!$AG$30:$AG$35,$AK15,'7'!$AF$30:$AF$35,1)=0,"",SUMIFS('7'!$AC$30:$AC$35,'7'!$AG$30:$AG$35,$AK15,'7'!$AF$30:$AF$35,1)/COUNTIFS('7'!$AG$30:$AG$35,$AK15,'7'!$AF$30:$AF$35,1))</f>
        <v/>
      </c>
      <c r="BC15" s="84" t="str">
        <f>IF(COUNTIFS('8'!$AG$25:$AG$30,$AK15,'8'!$AF$25:$AF$30,1)=0,"",SUMIFS('8'!$AC$25:$AC$30,'8'!$AG$25:$AG$30,$AK15,'8'!$AF$25:$AF$30,1)/COUNTIFS('8'!$AG$25:$AG$30,$AK15,'8'!$AF$25:$AF$30,1))</f>
        <v/>
      </c>
      <c r="BD15" s="84" t="str">
        <f>IF(COUNTIFS('9'!$AG$25:$AG$30,$AK15,'9'!$AF$25:$AF$30,1)=0,"",SUMIFS('9'!$AC$25:$AC$30,'9'!$AG$25:$AG$30,$AK15,'9'!$AF$25:$AF$30,1)/COUNTIFS('9'!$AG$25:$AG$30,$AK15,'9'!$AF$25:$AF$30,1))</f>
        <v/>
      </c>
      <c r="BE15" s="84" t="str">
        <f>IF(COUNTIFS('10'!$AG$25:$AG$30,$AK15,'10'!$AF$25:$AF$30,1)=0,"",SUMIFS('10'!$AC$25:$AC$30,'10'!$AG$25:$AG$30,$AK15,'10'!$AF$25:$AF$30,1)/COUNTIFS('10'!$AG$25:$AG$30,$AK15,'10'!$AF$25:$AF$30,1))</f>
        <v/>
      </c>
      <c r="BF15" s="84" t="str">
        <f>IF(COUNTIFS('11'!$AG$25:$AG$30,$AK15,'11'!$AF$25:$AF$30,1)=0,"",SUMIFS('11'!$AC$25:$AC$30,'11'!$AG$25:$AG$30,$AK15,'11'!$AF$25:$AF$30,1)/COUNTIFS('11'!$AG$25:$AG$30,$AK15,'11'!$AF$25:$AF$30,1))</f>
        <v/>
      </c>
      <c r="BG15" s="84" t="str">
        <f>IF(COUNTIFS('12'!$AG$25:$AG$30,$AK15,'12'!$AF$25:$AF$30,1)=0,"",SUMIFS('12'!$AC$25:$AC$30,'12'!$AG$25:$AG$30,$AK15,'12'!$AF$25:$AF$30,1)/COUNTIFS('12'!$AG$25:$AG$30,$AK15,'12'!$AF$25:$AF$30,1))</f>
        <v/>
      </c>
      <c r="BH15" s="84" t="str">
        <f>IF(COUNTIFS('13'!$AG$25:$AG$30,$AK15,'13'!$AF$25:$AF$30,1)=0,"",SUMIFS('13'!$AC$25:$AC$30,'13'!$AG$25:$AG$30,$AK15,'13'!$AF$25:$AF$30,1)/COUNTIFS('13'!$AG$25:$AG$30,$AK15,'13'!$AF$25:$AF$30,1))</f>
        <v/>
      </c>
      <c r="BI15" s="84" t="str">
        <f>IF(COUNTIFS('14'!$AG$25:$AG$30,$AK15,'14'!$AF$25:$AF$30,1)=0,"",SUMIFS('14'!$AC$25:$AC$30,'14'!$AG$25:$AG$30,$AK15,'14'!$AF$25:$AF$30,1)/COUNTIFS('14'!$AG$25:$AG$30,$AK15,'14'!$AF$25:$AF$30,1))</f>
        <v/>
      </c>
      <c r="BJ15" s="84" t="str">
        <f>IF(COUNTIFS('15'!$AG$25:$AG$30,$AK15,'15'!$AF$25:$AF$30,1)=0,"",SUMIFS('15'!$AC$25:$AC$30,'15'!$AG$25:$AG$30,$AK15,'15'!$AF$25:$AF$30,1)/COUNTIFS('15'!$AG$25:$AG$30,$AK15,'15'!$AF$25:$AF$30,1))</f>
        <v/>
      </c>
      <c r="BK15" s="84" t="str">
        <f>IF(COUNTIFS('16'!$AG$25:$AG$30,$AK15,'16'!$AF$25:$AF$30,1)=0,"",SUMIFS('16'!$AC$25:$AC$30,'16'!$AG$25:$AG$30,$AK15,'16'!$AF$25:$AF$30,1)/COUNTIFS('16'!$AG$25:$AG$30,$AK15,'16'!$AF$25:$AF$30,1))</f>
        <v/>
      </c>
      <c r="BL15" s="84" t="str">
        <f>IF(COUNTIFS('17'!$AG$25:$AG$30,$AK15,'17'!$AF$25:$AF$30,1)=0,"",SUMIFS('17'!$AC$25:$AC$30,'17'!$AG$25:$AG$30,$AK15,'17'!$AF$25:$AF$30,1)/COUNTIFS('17'!$AG$25:$AG$30,$AK15,'17'!$AF$25:$AF$30,1))</f>
        <v/>
      </c>
      <c r="BM15" s="84" t="str">
        <f>IF(COUNTIFS('18'!$AG$25:$AG$30,$AK15,'18'!$AF$25:$AF$30,1)=0,"",SUMIFS('18'!$AC$25:$AC$30,'18'!$AG$25:$AG$30,$AK15,'18'!$AF$25:$AF$30,1)/COUNTIFS('18'!$AG$25:$AG$30,$AK15,'18'!$AF$25:$AF$30,1))</f>
        <v/>
      </c>
      <c r="BN15" s="84" t="str">
        <f>IF(COUNTIFS('19'!$AG$25:$AG$30,$AK15,'19'!$AF$25:$AF$30,1)=0,"",SUMIFS('19'!$AC$25:$AC$30,'19'!$AG$25:$AG$30,$AK15,'19'!$AF$25:$AF$30,1)/COUNTIFS('19'!$AG$25:$AG$30,$AK15,'19'!$AF$25:$AF$30,1))</f>
        <v/>
      </c>
      <c r="BO15" s="84" t="str">
        <f>IF(COUNTIFS('20'!$AG$25:$AG$30,$AK15,'20'!$AF$25:$AF$30,1)=0,"",SUMIFS('20'!$AC$25:$AC$30,'20'!$AG$25:$AG$30,$AK15,'20'!$AF$25:$AF$30,1)/COUNTIFS('20'!$AG$25:$AG$30,$AK15,'20'!$AF$25:$AF$30,1))</f>
        <v/>
      </c>
      <c r="BP15" s="84" t="str">
        <f>IF(COUNTIFS('21'!$AG$25:$AG$30,$AK15,'21'!$AF$25:$AF$30,1)=0,"",SUMIFS('21'!$AC$25:$AC$30,'21'!$AG$25:$AG$30,$AK15,'21'!$AF$25:$AF$30,1)/COUNTIFS('21'!$AG$25:$AG$30,$AK15,'21'!$AF$25:$AF$30,1))</f>
        <v/>
      </c>
      <c r="BQ15" s="84" t="str">
        <f>IF(COUNTIFS('22'!$AG$25:$AG$30,$AK15,'22'!$AF$25:$AF$30,1)=0,"",SUMIFS('22'!$AC$25:$AC$30,'22'!$AG$25:$AG$30,$AK15,'22'!$AF$25:$AF$30,1)/COUNTIFS('22'!$AG$25:$AG$30,$AK15,'22'!$AF$25:$AF$30,1))</f>
        <v/>
      </c>
      <c r="BR15" s="84" t="str">
        <f>IF(COUNTIFS('23'!$AG$25:$AG$30,$AK15,'23'!$AF$25:$AF$30,1)=0,"",SUMIFS('23'!$AC$25:$AC$30,'23'!$AG$25:$AG$30,$AK15,'23'!$AF$25:$AF$30,1)/COUNTIFS('23'!$AG$25:$AG$30,$AK15,'23'!$AF$25:$AF$30,1))</f>
        <v/>
      </c>
      <c r="BS15" s="84" t="str">
        <f>IF(COUNTIFS('24'!$AG$25:$AG$30,$AK15,'24'!$AF$25:$AF$30,1)=0,"",SUMIFS('24'!$AC$25:$AC$30,'24'!$AG$25:$AG$30,$AK15,'24'!$AF$25:$AF$30,1)/COUNTIFS('24'!$AG$25:$AG$30,$AK15,'24'!$AF$25:$AF$30,1))</f>
        <v/>
      </c>
      <c r="BT15" s="84" t="str">
        <f>IF(COUNTIFS('25'!$AG$25:$AG$30,$AK15,'25'!$AF$25:$AF$30,1)=0,"",SUMIFS('25'!$AC$25:$AC$30,'25'!$AG$25:$AG$30,$AK15,'25'!$AF$25:$AF$30,1)/COUNTIFS('25'!$AG$25:$AG$30,$AK15,'25'!$AF$25:$AF$30,1))</f>
        <v/>
      </c>
      <c r="BU15" s="84" t="str">
        <f>IF(COUNTIFS('26'!$AG$25:$AG$30,$AK15,'26'!$AF$25:$AF$30,1)=0,"",SUMIFS('26'!$AC$25:$AC$30,'26'!$AG$25:$AG$30,$AK15,'26'!$AF$25:$AF$30,1)/COUNTIFS('26'!$AG$25:$AG$30,$AK15,'26'!$AF$25:$AF$30,1))</f>
        <v/>
      </c>
      <c r="BV15" s="84" t="str">
        <f>IF(COUNTIFS('27'!$AG$25:$AG$30,$AK15,'27'!$AF$25:$AF$30,1)=0,"",SUMIFS('27'!$AC$25:$AC$30,'27'!$AG$25:$AG$30,$AK15,'27'!$AF$25:$AF$30,1)/COUNTIFS('27'!$AG$25:$AG$30,$AK15,'27'!$AF$25:$AF$30,1))</f>
        <v/>
      </c>
      <c r="BW15" s="84" t="str">
        <f>IF(COUNTIFS('28'!$AG$25:$AG$30,$AK15,'28'!$AF$25:$AF$30,1)=0,"",SUMIFS('28'!$AC$25:$AC$30,'28'!$AG$25:$AG$30,$AK15,'28'!$AF$25:$AF$30,1)/COUNTIFS('28'!$AG$25:$AG$30,$AK15,'28'!$AF$25:$AF$30,1))</f>
        <v/>
      </c>
      <c r="BX15" s="84" t="str">
        <f>IF(COUNTIFS('29'!$AG$25:$AG$30,$AK15,'29'!$AF$25:$AF$30,1)=0,"",SUMIFS('29'!$AC$25:$AC$30,'29'!$AG$25:$AG$30,$AK15,'29'!$AF$25:$AF$30,1)/COUNTIFS('29'!$AG$25:$AG$30,$AK15,'29'!$AF$25:$AF$30,1))</f>
        <v/>
      </c>
      <c r="BY15" s="84" t="str">
        <f>IF(COUNTIFS('30'!$AG$25:$AG$30,$AK15,'30'!$AF$25:$AF$30,1)=0,"",SUMIFS('30'!$AC$25:$AC$30,'30'!$AG$25:$AG$30,$AK15,'30'!$AF$25:$AF$30,1)/COUNTIFS('30'!$AG$25:$AG$30,$AK15,'30'!$AF$25:$AF$30,1))</f>
        <v/>
      </c>
      <c r="BZ15" s="8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50" t="str">
        <f>IF(LARGE($Y$5:$Y$17,11)=0,"",11)</f>
        <v/>
      </c>
      <c r="B16" s="150" t="str">
        <f t="shared" si="7"/>
        <v/>
      </c>
      <c r="C16" s="150" t="str">
        <f t="shared" si="8"/>
        <v/>
      </c>
      <c r="D16" s="151" t="str">
        <f t="shared" si="9"/>
        <v/>
      </c>
      <c r="E16" s="151" t="str">
        <f t="shared" si="10"/>
        <v/>
      </c>
      <c r="X16" s="84" t="s">
        <v>143</v>
      </c>
      <c r="Y16" s="84">
        <f>COUNTIF('1'!$D$4:$D$20,X16)+COUNTIF('2'!$D$4:$D$18,X16)+COUNTIF('3'!$D$40:$D$51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4">
        <f t="shared" si="1"/>
        <v>0.00002</v>
      </c>
    </row>
    <row r="17">
      <c r="A17" s="150" t="str">
        <f>IF(LARGE($Y$5:$Y$17,12)=0,"",12)</f>
        <v/>
      </c>
      <c r="B17" s="150" t="str">
        <f t="shared" si="7"/>
        <v/>
      </c>
      <c r="C17" s="150" t="str">
        <f t="shared" si="8"/>
        <v/>
      </c>
      <c r="D17" s="151" t="str">
        <f t="shared" si="9"/>
        <v/>
      </c>
      <c r="E17" s="151" t="str">
        <f t="shared" si="10"/>
        <v/>
      </c>
      <c r="X17" s="84" t="s">
        <v>51</v>
      </c>
      <c r="Y17" s="84">
        <f>COUNTIF('1'!$D$4:$D$20,X17)+COUNTIF('2'!$D$4:$D$18,X17)+COUNTIF('3'!$D$40:$D$51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4">
        <f t="shared" si="1"/>
        <v>1.00001</v>
      </c>
    </row>
    <row r="18">
      <c r="A18" s="150" t="str">
        <f>IF(LARGE($Y$5:$Y$17,13)=0,"",13)</f>
        <v/>
      </c>
      <c r="B18" s="150" t="str">
        <f t="shared" si="7"/>
        <v/>
      </c>
      <c r="C18" s="150" t="str">
        <f t="shared" si="8"/>
        <v/>
      </c>
      <c r="D18" s="151" t="str">
        <f t="shared" si="9"/>
        <v/>
      </c>
      <c r="E18" s="151" t="str">
        <f t="shared" si="10"/>
        <v/>
      </c>
      <c r="AV18" s="84">
        <f t="shared" ref="AV18:BZ18" si="11">IF(COUNT(AV5:AV15)=0,"",AVERAGE(AV5:AV15))</f>
        <v>88</v>
      </c>
      <c r="AW18" s="84">
        <f t="shared" si="11"/>
        <v>100</v>
      </c>
      <c r="AX18" s="84" t="str">
        <f t="shared" si="11"/>
        <v/>
      </c>
      <c r="AY18" s="84" t="str">
        <f t="shared" si="11"/>
        <v/>
      </c>
      <c r="AZ18" s="84" t="str">
        <f t="shared" si="11"/>
        <v/>
      </c>
      <c r="BA18" s="84" t="str">
        <f t="shared" si="11"/>
        <v/>
      </c>
      <c r="BB18" s="84" t="str">
        <f t="shared" si="11"/>
        <v/>
      </c>
      <c r="BC18" s="84" t="str">
        <f t="shared" si="11"/>
        <v/>
      </c>
      <c r="BD18" s="84" t="str">
        <f t="shared" si="11"/>
        <v/>
      </c>
      <c r="BE18" s="84" t="str">
        <f t="shared" si="11"/>
        <v/>
      </c>
      <c r="BF18" s="84" t="str">
        <f t="shared" si="11"/>
        <v/>
      </c>
      <c r="BG18" s="84" t="str">
        <f t="shared" si="11"/>
        <v/>
      </c>
      <c r="BH18" s="84" t="str">
        <f t="shared" si="11"/>
        <v/>
      </c>
      <c r="BI18" s="84" t="str">
        <f t="shared" si="11"/>
        <v/>
      </c>
      <c r="BJ18" s="84" t="str">
        <f t="shared" si="11"/>
        <v/>
      </c>
      <c r="BK18" s="84" t="str">
        <f t="shared" si="11"/>
        <v/>
      </c>
      <c r="BL18" s="84" t="str">
        <f t="shared" si="11"/>
        <v/>
      </c>
      <c r="BM18" s="84" t="str">
        <f t="shared" si="11"/>
        <v/>
      </c>
      <c r="BN18" s="84" t="str">
        <f t="shared" si="11"/>
        <v/>
      </c>
      <c r="BO18" s="84" t="str">
        <f t="shared" si="11"/>
        <v/>
      </c>
      <c r="BP18" s="84" t="str">
        <f t="shared" si="11"/>
        <v/>
      </c>
      <c r="BQ18" s="84" t="str">
        <f t="shared" si="11"/>
        <v/>
      </c>
      <c r="BR18" s="84" t="str">
        <f t="shared" si="11"/>
        <v/>
      </c>
      <c r="BS18" s="84" t="str">
        <f t="shared" si="11"/>
        <v/>
      </c>
      <c r="BT18" s="84" t="str">
        <f t="shared" si="11"/>
        <v/>
      </c>
      <c r="BU18" s="84" t="str">
        <f t="shared" si="11"/>
        <v/>
      </c>
      <c r="BV18" s="84" t="str">
        <f t="shared" si="11"/>
        <v/>
      </c>
      <c r="BW18" s="84" t="str">
        <f t="shared" si="11"/>
        <v/>
      </c>
      <c r="BX18" s="84" t="str">
        <f t="shared" si="11"/>
        <v/>
      </c>
      <c r="BY18" s="84" t="str">
        <f t="shared" si="11"/>
        <v/>
      </c>
      <c r="BZ18" s="84" t="str">
        <f t="shared" si="11"/>
        <v/>
      </c>
    </row>
    <row r="19">
      <c r="A19" s="150" t="s">
        <v>144</v>
      </c>
      <c r="C19" s="150">
        <f>SUM(C6:C18)</f>
        <v>20</v>
      </c>
      <c r="D19" s="151"/>
      <c r="E19" s="151">
        <f>SUM(D6:D18)</f>
        <v>1</v>
      </c>
    </row>
    <row r="21" ht="15.75" customHeight="1"/>
    <row r="22" ht="15.75" customHeight="1"/>
    <row r="23" ht="15.75" customHeight="1">
      <c r="A23" s="147" t="s">
        <v>145</v>
      </c>
      <c r="F23" s="147" t="s">
        <v>146</v>
      </c>
    </row>
    <row r="24" ht="15.75" customHeight="1">
      <c r="A24" s="148" t="s">
        <v>1</v>
      </c>
      <c r="B24" s="148" t="s">
        <v>147</v>
      </c>
      <c r="C24" s="148" t="s">
        <v>148</v>
      </c>
      <c r="D24" s="148" t="s">
        <v>149</v>
      </c>
      <c r="F24" s="148" t="s">
        <v>118</v>
      </c>
      <c r="G24" s="148" t="s">
        <v>7</v>
      </c>
      <c r="H24" s="148" t="s">
        <v>150</v>
      </c>
      <c r="I24" s="148" t="s">
        <v>151</v>
      </c>
    </row>
    <row r="25" ht="15.75" customHeight="1">
      <c r="A25" s="150" t="str">
        <f t="array" ref="A25">IF(LARGE($AC$5:$AC$15,1)=0,"",INDEX($AA$5:$AA$15,MATCH(LARGE($AD$5:$AD$15,1),$AD$5:$AD$15,0)))</f>
        <v>AMEL</v>
      </c>
      <c r="B25" s="150" t="str">
        <f t="shared" ref="B25:B35" si="12">IF(A25="","",INDEX($AB$5:$AB$15,MATCH(A25,$AA$5:$AA$15,0)))</f>
        <v>Admin/CS</v>
      </c>
      <c r="C25" s="150">
        <f t="shared" ref="C25:C35" si="13">IF(A25="","",INDEX($AC$5:$AC$15,MATCH(A25,$AA$5:$AA$15,0)))</f>
        <v>3</v>
      </c>
      <c r="D25" s="151">
        <f t="shared" ref="D25:D35" si="14">IF(A25="","",IFERROR(C25/SUM($C$25:$C$35),0))</f>
        <v>0.375</v>
      </c>
      <c r="F25" s="150">
        <f>IF(LARGE($AF$5:$AF$9,1)=0,"",1)</f>
        <v>1</v>
      </c>
      <c r="G25" s="150" t="str">
        <f t="shared" ref="G25:G29" si="15">IF(F25="","",INDEX($AE$5:$AE$9,MATCH(LARGE($AG$5:$AG$9,F25),$AG$5:$AG$9,0)))</f>
        <v>AMEL</v>
      </c>
      <c r="H25" s="150">
        <f t="shared" ref="H25:H29" si="16">IF(G25="","",INDEX($AF$5:$AF$9,MATCH(G25,$AE$5:$AE$9,0)))</f>
        <v>18</v>
      </c>
      <c r="I25" s="151">
        <f t="shared" ref="I25:I29" si="17">IF(H25="","",IFERROR(H25/SUM($H$25:$H$29),0))</f>
        <v>0.72</v>
      </c>
    </row>
    <row r="26" ht="15.75" customHeight="1">
      <c r="A26" s="150" t="str">
        <f t="array" ref="A26">IF(LARGE($AC$5:$AC$15,2)=0,"",INDEX($AA$5:$AA$15,MATCH(LARGE($AD$5:$AD$15,2),$AD$5:$AD$15,0)))</f>
        <v>ADIF</v>
      </c>
      <c r="B26" s="150" t="str">
        <f t="shared" si="12"/>
        <v>Fotografer</v>
      </c>
      <c r="C26" s="150">
        <f t="shared" si="13"/>
        <v>3</v>
      </c>
      <c r="D26" s="151">
        <f t="shared" si="14"/>
        <v>0.375</v>
      </c>
      <c r="F26" s="150">
        <f>IF(LARGE($AF$5:$AF$9,2)=0,"",2)</f>
        <v>2</v>
      </c>
      <c r="G26" s="150" t="str">
        <f t="shared" si="15"/>
        <v>INDAH</v>
      </c>
      <c r="H26" s="150">
        <f t="shared" si="16"/>
        <v>7</v>
      </c>
      <c r="I26" s="151">
        <f t="shared" si="17"/>
        <v>0.28</v>
      </c>
    </row>
    <row r="27" ht="15.75" customHeight="1">
      <c r="A27" s="150" t="str">
        <f t="array" ref="A27">IF(LARGE($AC$5:$AC$15,3)=0,"",INDEX($AA$5:$AA$15,MATCH(LARGE($AD$5:$AD$15,3),$AD$5:$AD$15,0)))</f>
        <v>INDAH</v>
      </c>
      <c r="B27" s="150" t="str">
        <f t="shared" si="12"/>
        <v>Admin/CS</v>
      </c>
      <c r="C27" s="150">
        <f t="shared" si="13"/>
        <v>1</v>
      </c>
      <c r="D27" s="151">
        <f t="shared" si="14"/>
        <v>0.125</v>
      </c>
      <c r="F27" s="150" t="str">
        <f>IF(LARGE($AF$5:$AF$9,3)=0,"",3)</f>
        <v/>
      </c>
      <c r="G27" s="150" t="str">
        <f t="shared" si="15"/>
        <v/>
      </c>
      <c r="H27" s="150" t="str">
        <f t="shared" si="16"/>
        <v/>
      </c>
      <c r="I27" s="151" t="str">
        <f t="shared" si="17"/>
        <v/>
      </c>
    </row>
    <row r="28" ht="15.75" customHeight="1">
      <c r="A28" s="150" t="str">
        <f t="array" ref="A28">IF(LARGE($AC$5:$AC$15,4)=0,"",INDEX($AA$5:$AA$15,MATCH(LARGE($AD$5:$AD$15,4),$AD$5:$AD$15,0)))</f>
        <v>SAKA</v>
      </c>
      <c r="B28" s="150" t="str">
        <f t="shared" si="12"/>
        <v>Fotografer</v>
      </c>
      <c r="C28" s="150">
        <f t="shared" si="13"/>
        <v>1</v>
      </c>
      <c r="D28" s="151">
        <f t="shared" si="14"/>
        <v>0.125</v>
      </c>
      <c r="F28" s="150" t="str">
        <f>IF(LARGE($AF$5:$AF$9,4)=0,"",4)</f>
        <v/>
      </c>
      <c r="G28" s="150" t="str">
        <f t="shared" si="15"/>
        <v/>
      </c>
      <c r="H28" s="150" t="str">
        <f t="shared" si="16"/>
        <v/>
      </c>
      <c r="I28" s="151" t="str">
        <f t="shared" si="17"/>
        <v/>
      </c>
    </row>
    <row r="29" ht="15.75" customHeight="1">
      <c r="A29" s="150" t="str">
        <f t="array" ref="A29">IF(LARGE($AC$5:$AC$15,5)=0,"",INDEX($AA$5:$AA$15,MATCH(LARGE($AD$5:$AD$15,5),$AD$5:$AD$15,0)))</f>
        <v/>
      </c>
      <c r="B29" s="150" t="str">
        <f t="shared" si="12"/>
        <v/>
      </c>
      <c r="C29" s="150" t="str">
        <f t="shared" si="13"/>
        <v/>
      </c>
      <c r="D29" s="151" t="str">
        <f t="shared" si="14"/>
        <v/>
      </c>
      <c r="F29" s="150" t="str">
        <f>IF(LARGE($AF$5:$AF$9,5)=0,"",5)</f>
        <v/>
      </c>
      <c r="G29" s="150" t="str">
        <f t="shared" si="15"/>
        <v/>
      </c>
      <c r="H29" s="150" t="str">
        <f t="shared" si="16"/>
        <v/>
      </c>
      <c r="I29" s="151" t="str">
        <f t="shared" si="17"/>
        <v/>
      </c>
    </row>
    <row r="30" ht="15.75" customHeight="1">
      <c r="A30" s="150" t="str">
        <f t="array" ref="A30">IF(LARGE($AC$5:$AC$15,6)=0,"",INDEX($AA$5:$AA$15,MATCH(LARGE($AD$5:$AD$15,6),$AD$5:$AD$15,0)))</f>
        <v/>
      </c>
      <c r="B30" s="150" t="str">
        <f t="shared" si="12"/>
        <v/>
      </c>
      <c r="C30" s="150" t="str">
        <f t="shared" si="13"/>
        <v/>
      </c>
      <c r="D30" s="151" t="str">
        <f t="shared" si="14"/>
        <v/>
      </c>
    </row>
    <row r="31" ht="15.75" customHeight="1">
      <c r="A31" s="150" t="str">
        <f t="array" ref="A31">IF(LARGE($AC$5:$AC$15,7)=0,"",INDEX($AA$5:$AA$15,MATCH(LARGE($AD$5:$AD$15,7),$AD$5:$AD$15,0)))</f>
        <v/>
      </c>
      <c r="B31" s="150" t="str">
        <f t="shared" si="12"/>
        <v/>
      </c>
      <c r="C31" s="150" t="str">
        <f t="shared" si="13"/>
        <v/>
      </c>
      <c r="D31" s="151" t="str">
        <f t="shared" si="14"/>
        <v/>
      </c>
      <c r="F31" s="147" t="s">
        <v>152</v>
      </c>
    </row>
    <row r="32" ht="15.75" customHeight="1">
      <c r="A32" s="150" t="str">
        <f t="array" ref="A32">IF(LARGE($AC$5:$AC$15,8)=0,"",INDEX($AA$5:$AA$15,MATCH(LARGE($AD$5:$AD$15,8),$AD$5:$AD$15,0)))</f>
        <v/>
      </c>
      <c r="B32" s="150" t="str">
        <f t="shared" si="12"/>
        <v/>
      </c>
      <c r="C32" s="150" t="str">
        <f t="shared" si="13"/>
        <v/>
      </c>
      <c r="D32" s="151" t="str">
        <f t="shared" si="14"/>
        <v/>
      </c>
      <c r="F32" s="148" t="s">
        <v>118</v>
      </c>
      <c r="G32" s="148" t="s">
        <v>134</v>
      </c>
      <c r="H32" s="148" t="s">
        <v>150</v>
      </c>
      <c r="I32" s="148" t="s">
        <v>151</v>
      </c>
    </row>
    <row r="33" ht="15.75" customHeight="1">
      <c r="A33" s="150" t="str">
        <f t="array" ref="A33">IF(LARGE($AC$5:$AC$15,9)=0,"",INDEX($AA$5:$AA$15,MATCH(LARGE($AD$5:$AD$15,9),$AD$5:$AD$15,0)))</f>
        <v/>
      </c>
      <c r="B33" s="150" t="str">
        <f t="shared" si="12"/>
        <v/>
      </c>
      <c r="C33" s="150" t="str">
        <f t="shared" si="13"/>
        <v/>
      </c>
      <c r="D33" s="151" t="str">
        <f t="shared" si="14"/>
        <v/>
      </c>
      <c r="F33" s="150">
        <f>IF(LARGE($AI$5:$AI$10,1)=0,"",1)</f>
        <v>1</v>
      </c>
      <c r="G33" s="150" t="str">
        <f t="shared" ref="G33:G38" si="18">IF(F33="","",INDEX($AH$5:$AH$10,MATCH(LARGE($AJ$5:$AJ$10,F33),$AJ$5:$AJ$10,0)))</f>
        <v>ADIF</v>
      </c>
      <c r="H33" s="150">
        <f t="shared" ref="H33:H38" si="19">IF(G33="","",INDEX($AI$5:$AI$10,MATCH(G33,$AH$5:$AH$10,0)))</f>
        <v>8</v>
      </c>
      <c r="I33" s="151">
        <f t="shared" ref="I33:I38" si="20">IF(H33="","",IFERROR(H33/SUM($H$33:$H$38),0))</f>
        <v>0.6666666667</v>
      </c>
    </row>
    <row r="34" ht="15.75" customHeight="1">
      <c r="A34" s="150" t="str">
        <f t="array" ref="A34">IF(LARGE($AC$5:$AC$15,10)=0,"",INDEX($AA$5:$AA$15,MATCH(LARGE($AD$5:$AD$15,10),$AD$5:$AD$15,0)))</f>
        <v/>
      </c>
      <c r="B34" s="150" t="str">
        <f t="shared" si="12"/>
        <v/>
      </c>
      <c r="C34" s="150" t="str">
        <f t="shared" si="13"/>
        <v/>
      </c>
      <c r="D34" s="151" t="str">
        <f t="shared" si="14"/>
        <v/>
      </c>
      <c r="F34" s="150">
        <f>IF(LARGE($AI$5:$AI$10,2)=0,"",2)</f>
        <v>2</v>
      </c>
      <c r="G34" s="150" t="str">
        <f t="shared" si="18"/>
        <v>SAKA</v>
      </c>
      <c r="H34" s="150">
        <f t="shared" si="19"/>
        <v>4</v>
      </c>
      <c r="I34" s="151">
        <f t="shared" si="20"/>
        <v>0.3333333333</v>
      </c>
    </row>
    <row r="35" ht="15.75" customHeight="1">
      <c r="A35" s="150" t="str">
        <f t="array" ref="A35">IF(LARGE($AC$5:$AC$15,11)=0,"",INDEX($AA$5:$AA$15,MATCH(LARGE($AD$5:$AD$15,11),$AD$5:$AD$15,0)))</f>
        <v/>
      </c>
      <c r="B35" s="150" t="str">
        <f t="shared" si="12"/>
        <v/>
      </c>
      <c r="C35" s="150" t="str">
        <f t="shared" si="13"/>
        <v/>
      </c>
      <c r="D35" s="151" t="str">
        <f t="shared" si="14"/>
        <v/>
      </c>
      <c r="F35" s="150" t="str">
        <f>IF(LARGE($AI$5:$AI$10,3)=0,"",3)</f>
        <v/>
      </c>
      <c r="G35" s="150" t="str">
        <f t="shared" si="18"/>
        <v/>
      </c>
      <c r="H35" s="150" t="str">
        <f t="shared" si="19"/>
        <v/>
      </c>
      <c r="I35" s="151" t="str">
        <f t="shared" si="20"/>
        <v/>
      </c>
    </row>
    <row r="36" ht="15.75" customHeight="1">
      <c r="F36" s="150" t="str">
        <f>IF(LARGE($AI$5:$AI$10,4)=0,"",4)</f>
        <v/>
      </c>
      <c r="G36" s="150" t="str">
        <f t="shared" si="18"/>
        <v/>
      </c>
      <c r="H36" s="150" t="str">
        <f t="shared" si="19"/>
        <v/>
      </c>
      <c r="I36" s="151" t="str">
        <f t="shared" si="20"/>
        <v/>
      </c>
    </row>
    <row r="37" ht="15.75" customHeight="1">
      <c r="F37" s="150" t="str">
        <f>IF(LARGE($AI$5:$AI$10,5)=0,"",5)</f>
        <v/>
      </c>
      <c r="G37" s="150" t="str">
        <f t="shared" si="18"/>
        <v/>
      </c>
      <c r="H37" s="150" t="str">
        <f t="shared" si="19"/>
        <v/>
      </c>
      <c r="I37" s="151" t="str">
        <f t="shared" si="20"/>
        <v/>
      </c>
    </row>
    <row r="38" ht="15.75" customHeight="1">
      <c r="F38" s="150" t="str">
        <f>IF(LARGE($AI$5:$AI$10,6)=0,"",6)</f>
        <v/>
      </c>
      <c r="G38" s="150" t="str">
        <f t="shared" si="18"/>
        <v/>
      </c>
      <c r="H38" s="150" t="str">
        <f t="shared" si="19"/>
        <v/>
      </c>
      <c r="I38" s="15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47" t="s">
        <v>153</v>
      </c>
    </row>
    <row r="44" ht="15.75" customHeight="1"/>
    <row r="45" ht="15.75" customHeight="1">
      <c r="A45" s="148" t="s">
        <v>102</v>
      </c>
      <c r="D45" s="148" t="s">
        <v>154</v>
      </c>
      <c r="G45" s="148" t="s">
        <v>155</v>
      </c>
      <c r="J45" s="148" t="s">
        <v>156</v>
      </c>
    </row>
    <row r="46" ht="15.75" customHeight="1">
      <c r="A46" s="156">
        <f>IF(COUNTIF($C$51:$C$61,"&gt;0")=0,"",AVERAGEIF($D$51:$D$61,"&gt;0",$D$51:$D$61))</f>
        <v>0.94</v>
      </c>
      <c r="D46" s="156">
        <f>IF(COUNTIFS($B$51:$B$61,"Admin/CS",$C$51:$C$61,"&gt;0")=0,"",SUMIFS($D$51:$D$61,$B$51:$B$61,"Admin/CS",$C$51:$C$61,"&gt;0")/COUNTIFS($B$51:$B$61,"Admin/CS",$C$51:$C$61,"&gt;0"))</f>
        <v>0.9</v>
      </c>
      <c r="G46" s="156">
        <f>IF(COUNTIFS($B$51:$B$61,"Fotografer",$C$51:$C$61,"&gt;0")=0,"",SUMIFS($D$51:$D$61,$B$51:$B$61,"Fotografer",$C$51:$C$61,"&gt;0")/COUNTIFS($B$51:$B$61,"Fotografer",$C$51:$C$61,"&gt;0"))</f>
        <v>0.98</v>
      </c>
      <c r="J46" s="15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48" t="s">
        <v>1</v>
      </c>
      <c r="B50" s="148" t="s">
        <v>147</v>
      </c>
      <c r="C50" s="148" t="s">
        <v>107</v>
      </c>
      <c r="D50" s="148" t="s">
        <v>108</v>
      </c>
      <c r="E50" s="148" t="s">
        <v>79</v>
      </c>
      <c r="F50" s="148" t="s">
        <v>80</v>
      </c>
      <c r="G50" s="148" t="s">
        <v>81</v>
      </c>
      <c r="H50" s="148" t="s">
        <v>82</v>
      </c>
      <c r="I50" s="148" t="s">
        <v>83</v>
      </c>
      <c r="J50" s="148" t="s">
        <v>157</v>
      </c>
      <c r="K50" s="148" t="s">
        <v>158</v>
      </c>
    </row>
    <row r="51" ht="15.75" customHeight="1">
      <c r="A51" s="150" t="str">
        <f t="shared" ref="A51:C51" si="21">AK5</f>
        <v>INDAH</v>
      </c>
      <c r="B51" s="150" t="str">
        <f t="shared" si="21"/>
        <v>Admin/CS</v>
      </c>
      <c r="C51" s="158">
        <f t="shared" si="21"/>
        <v>1</v>
      </c>
      <c r="D51" s="151">
        <f t="shared" ref="D51:D61" si="23">IF(C51=0,"",AN5/100)</f>
        <v>1</v>
      </c>
      <c r="E51" s="159">
        <f t="shared" ref="E51:E61" si="24">IF(C51=0,"",AO5)</f>
        <v>5</v>
      </c>
      <c r="F51" s="159">
        <f t="shared" ref="F51:F61" si="25">IF(C51=0,"",AP5)</f>
        <v>5</v>
      </c>
      <c r="G51" s="159">
        <f t="shared" ref="G51:G61" si="26">IF(C51=0,"",AQ5)</f>
        <v>5</v>
      </c>
      <c r="H51" s="159">
        <f t="shared" ref="H51:H61" si="27">IF(C51=0,"",AR5)</f>
        <v>5</v>
      </c>
      <c r="I51" s="159">
        <f t="shared" ref="I51:I61" si="28">IF(C51=0,"",AS5)</f>
        <v>5</v>
      </c>
      <c r="J51" s="150" t="str">
        <f t="shared" ref="J51:J61" si="29">IF(D51="","Belum Dinilai",IF(D51&gt;=0.9,"Sangat Baik",IF(D51&gt;=0.8,"Baik",IF(D51&gt;=0.7,"Coaching","Underperform"))))</f>
        <v>Sangat Baik</v>
      </c>
      <c r="K51" s="10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50" t="str">
        <f t="shared" ref="A52:C52" si="22">AK6</f>
        <v>ADDEL</v>
      </c>
      <c r="B52" s="150" t="str">
        <f t="shared" si="22"/>
        <v>Admin/CS</v>
      </c>
      <c r="C52" s="158">
        <f t="shared" si="22"/>
        <v>0</v>
      </c>
      <c r="D52" s="151" t="str">
        <f t="shared" si="23"/>
        <v/>
      </c>
      <c r="E52" s="159" t="str">
        <f t="shared" si="24"/>
        <v/>
      </c>
      <c r="F52" s="159" t="str">
        <f t="shared" si="25"/>
        <v/>
      </c>
      <c r="G52" s="159" t="str">
        <f t="shared" si="26"/>
        <v/>
      </c>
      <c r="H52" s="159" t="str">
        <f t="shared" si="27"/>
        <v/>
      </c>
      <c r="I52" s="159" t="str">
        <f t="shared" si="28"/>
        <v/>
      </c>
      <c r="J52" s="150" t="str">
        <f t="shared" si="29"/>
        <v>Belum Dinilai</v>
      </c>
      <c r="K52" s="104" t="str">
        <f t="shared" si="30"/>
        <v>Belum Ada</v>
      </c>
    </row>
    <row r="53" ht="15.75" customHeight="1">
      <c r="A53" s="150" t="str">
        <f t="shared" ref="A53:C53" si="31">AK7</f>
        <v>AMEL</v>
      </c>
      <c r="B53" s="150" t="str">
        <f t="shared" si="31"/>
        <v>Admin/CS</v>
      </c>
      <c r="C53" s="158">
        <f t="shared" si="31"/>
        <v>1</v>
      </c>
      <c r="D53" s="151">
        <f t="shared" si="23"/>
        <v>0.8</v>
      </c>
      <c r="E53" s="159">
        <f t="shared" si="24"/>
        <v>4</v>
      </c>
      <c r="F53" s="159">
        <f t="shared" si="25"/>
        <v>4</v>
      </c>
      <c r="G53" s="159">
        <f t="shared" si="26"/>
        <v>4</v>
      </c>
      <c r="H53" s="159">
        <f t="shared" si="27"/>
        <v>4</v>
      </c>
      <c r="I53" s="159">
        <f t="shared" si="28"/>
        <v>4</v>
      </c>
      <c r="J53" s="150" t="str">
        <f t="shared" si="29"/>
        <v>Baik</v>
      </c>
      <c r="K53" s="104" t="str">
        <f t="shared" si="30"/>
        <v>#N/A</v>
      </c>
    </row>
    <row r="54" ht="15.75" customHeight="1">
      <c r="A54" s="150" t="str">
        <f t="shared" ref="A54:C54" si="32">AK8</f>
        <v>PENTIL</v>
      </c>
      <c r="B54" s="150" t="str">
        <f t="shared" si="32"/>
        <v>Admin/CS</v>
      </c>
      <c r="C54" s="158">
        <f t="shared" si="32"/>
        <v>0</v>
      </c>
      <c r="D54" s="151" t="str">
        <f t="shared" si="23"/>
        <v/>
      </c>
      <c r="E54" s="159" t="str">
        <f t="shared" si="24"/>
        <v/>
      </c>
      <c r="F54" s="159" t="str">
        <f t="shared" si="25"/>
        <v/>
      </c>
      <c r="G54" s="159" t="str">
        <f t="shared" si="26"/>
        <v/>
      </c>
      <c r="H54" s="159" t="str">
        <f t="shared" si="27"/>
        <v/>
      </c>
      <c r="I54" s="159" t="str">
        <f t="shared" si="28"/>
        <v/>
      </c>
      <c r="J54" s="150" t="str">
        <f t="shared" si="29"/>
        <v>Belum Dinilai</v>
      </c>
      <c r="K54" s="104" t="str">
        <f t="shared" si="30"/>
        <v>Belum Ada</v>
      </c>
    </row>
    <row r="55" ht="15.75" customHeight="1">
      <c r="A55" s="150" t="str">
        <f t="shared" ref="A55:C55" si="33">AK9</f>
        <v>JIJANG</v>
      </c>
      <c r="B55" s="150" t="str">
        <f t="shared" si="33"/>
        <v>Admin/CS</v>
      </c>
      <c r="C55" s="158">
        <f t="shared" si="33"/>
        <v>0</v>
      </c>
      <c r="D55" s="151" t="str">
        <f t="shared" si="23"/>
        <v/>
      </c>
      <c r="E55" s="159" t="str">
        <f t="shared" si="24"/>
        <v/>
      </c>
      <c r="F55" s="159" t="str">
        <f t="shared" si="25"/>
        <v/>
      </c>
      <c r="G55" s="159" t="str">
        <f t="shared" si="26"/>
        <v/>
      </c>
      <c r="H55" s="159" t="str">
        <f t="shared" si="27"/>
        <v/>
      </c>
      <c r="I55" s="159" t="str">
        <f t="shared" si="28"/>
        <v/>
      </c>
      <c r="J55" s="150" t="str">
        <f t="shared" si="29"/>
        <v>Belum Dinilai</v>
      </c>
      <c r="K55" s="104" t="str">
        <f t="shared" si="30"/>
        <v>Belum Ada</v>
      </c>
    </row>
    <row r="56" ht="15.75" customHeight="1">
      <c r="A56" s="150" t="str">
        <f t="shared" ref="A56:C56" si="34">AK10</f>
        <v>HANIF</v>
      </c>
      <c r="B56" s="150" t="str">
        <f t="shared" si="34"/>
        <v>Fotografer</v>
      </c>
      <c r="C56" s="158">
        <f t="shared" si="34"/>
        <v>0</v>
      </c>
      <c r="D56" s="151" t="str">
        <f t="shared" si="23"/>
        <v/>
      </c>
      <c r="E56" s="159" t="str">
        <f t="shared" si="24"/>
        <v/>
      </c>
      <c r="F56" s="159" t="str">
        <f t="shared" si="25"/>
        <v/>
      </c>
      <c r="G56" s="159" t="str">
        <f t="shared" si="26"/>
        <v/>
      </c>
      <c r="H56" s="159" t="str">
        <f t="shared" si="27"/>
        <v/>
      </c>
      <c r="I56" s="159" t="str">
        <f t="shared" si="28"/>
        <v/>
      </c>
      <c r="J56" s="150" t="str">
        <f t="shared" si="29"/>
        <v>Belum Dinilai</v>
      </c>
      <c r="K56" s="104" t="str">
        <f t="shared" si="30"/>
        <v>Belum Ada</v>
      </c>
    </row>
    <row r="57" ht="15.75" customHeight="1">
      <c r="A57" s="150" t="str">
        <f t="shared" ref="A57:C57" si="35">AK11</f>
        <v>FAHME</v>
      </c>
      <c r="B57" s="150" t="str">
        <f t="shared" si="35"/>
        <v>Fotografer</v>
      </c>
      <c r="C57" s="158">
        <f t="shared" si="35"/>
        <v>0</v>
      </c>
      <c r="D57" s="151" t="str">
        <f t="shared" si="23"/>
        <v/>
      </c>
      <c r="E57" s="159" t="str">
        <f t="shared" si="24"/>
        <v/>
      </c>
      <c r="F57" s="159" t="str">
        <f t="shared" si="25"/>
        <v/>
      </c>
      <c r="G57" s="159" t="str">
        <f t="shared" si="26"/>
        <v/>
      </c>
      <c r="H57" s="159" t="str">
        <f t="shared" si="27"/>
        <v/>
      </c>
      <c r="I57" s="159" t="str">
        <f t="shared" si="28"/>
        <v/>
      </c>
      <c r="J57" s="150" t="str">
        <f t="shared" si="29"/>
        <v>Belum Dinilai</v>
      </c>
      <c r="K57" s="104" t="str">
        <f t="shared" si="30"/>
        <v>Belum Ada</v>
      </c>
    </row>
    <row r="58" ht="15.75" customHeight="1">
      <c r="A58" s="150" t="str">
        <f t="shared" ref="A58:C58" si="36">AK12</f>
        <v>ADIF</v>
      </c>
      <c r="B58" s="150" t="str">
        <f t="shared" si="36"/>
        <v>Fotografer</v>
      </c>
      <c r="C58" s="158">
        <f t="shared" si="36"/>
        <v>1</v>
      </c>
      <c r="D58" s="151">
        <f t="shared" si="23"/>
        <v>0.96</v>
      </c>
      <c r="E58" s="159">
        <f t="shared" si="24"/>
        <v>4</v>
      </c>
      <c r="F58" s="159">
        <f t="shared" si="25"/>
        <v>5</v>
      </c>
      <c r="G58" s="159">
        <f t="shared" si="26"/>
        <v>5</v>
      </c>
      <c r="H58" s="159">
        <f t="shared" si="27"/>
        <v>5</v>
      </c>
      <c r="I58" s="159">
        <f t="shared" si="28"/>
        <v>5</v>
      </c>
      <c r="J58" s="150" t="str">
        <f t="shared" si="29"/>
        <v>Sangat Baik</v>
      </c>
      <c r="K58" s="104" t="str">
        <f t="shared" si="30"/>
        <v>#N/A</v>
      </c>
    </row>
    <row r="59" ht="15.75" customHeight="1">
      <c r="A59" s="150" t="str">
        <f t="shared" ref="A59:C59" si="37">AK13</f>
        <v>ABROR</v>
      </c>
      <c r="B59" s="150" t="str">
        <f t="shared" si="37"/>
        <v>Fotografer</v>
      </c>
      <c r="C59" s="158">
        <f t="shared" si="37"/>
        <v>0</v>
      </c>
      <c r="D59" s="151" t="str">
        <f t="shared" si="23"/>
        <v/>
      </c>
      <c r="E59" s="159" t="str">
        <f t="shared" si="24"/>
        <v/>
      </c>
      <c r="F59" s="159" t="str">
        <f t="shared" si="25"/>
        <v/>
      </c>
      <c r="G59" s="159" t="str">
        <f t="shared" si="26"/>
        <v/>
      </c>
      <c r="H59" s="159" t="str">
        <f t="shared" si="27"/>
        <v/>
      </c>
      <c r="I59" s="159" t="str">
        <f t="shared" si="28"/>
        <v/>
      </c>
      <c r="J59" s="150" t="str">
        <f t="shared" si="29"/>
        <v>Belum Dinilai</v>
      </c>
      <c r="K59" s="104" t="str">
        <f t="shared" si="30"/>
        <v>Belum Ada</v>
      </c>
    </row>
    <row r="60" ht="15.75" customHeight="1">
      <c r="A60" s="150" t="str">
        <f t="shared" ref="A60:C60" si="38">AK14</f>
        <v>FADEL</v>
      </c>
      <c r="B60" s="150" t="str">
        <f t="shared" si="38"/>
        <v>Fotografer</v>
      </c>
      <c r="C60" s="158">
        <f t="shared" si="38"/>
        <v>0</v>
      </c>
      <c r="D60" s="151" t="str">
        <f t="shared" si="23"/>
        <v/>
      </c>
      <c r="E60" s="159" t="str">
        <f t="shared" si="24"/>
        <v/>
      </c>
      <c r="F60" s="159" t="str">
        <f t="shared" si="25"/>
        <v/>
      </c>
      <c r="G60" s="159" t="str">
        <f t="shared" si="26"/>
        <v/>
      </c>
      <c r="H60" s="159" t="str">
        <f t="shared" si="27"/>
        <v/>
      </c>
      <c r="I60" s="159" t="str">
        <f t="shared" si="28"/>
        <v/>
      </c>
      <c r="J60" s="150" t="str">
        <f t="shared" si="29"/>
        <v>Belum Dinilai</v>
      </c>
      <c r="K60" s="104" t="str">
        <f t="shared" si="30"/>
        <v>Belum Ada</v>
      </c>
    </row>
    <row r="61" ht="15.75" customHeight="1">
      <c r="A61" s="150" t="str">
        <f t="shared" ref="A61:C61" si="39">AK15</f>
        <v>SAKA</v>
      </c>
      <c r="B61" s="150" t="str">
        <f t="shared" si="39"/>
        <v>Fotografer</v>
      </c>
      <c r="C61" s="158">
        <f t="shared" si="39"/>
        <v>1</v>
      </c>
      <c r="D61" s="151">
        <f t="shared" si="23"/>
        <v>1</v>
      </c>
      <c r="E61" s="159">
        <f t="shared" si="24"/>
        <v>5</v>
      </c>
      <c r="F61" s="159">
        <f t="shared" si="25"/>
        <v>5</v>
      </c>
      <c r="G61" s="159">
        <f t="shared" si="26"/>
        <v>5</v>
      </c>
      <c r="H61" s="159">
        <f t="shared" si="27"/>
        <v>5</v>
      </c>
      <c r="I61" s="159">
        <f t="shared" si="28"/>
        <v>5</v>
      </c>
      <c r="J61" s="150" t="str">
        <f t="shared" si="29"/>
        <v>Sangat Baik</v>
      </c>
      <c r="K61" s="104" t="str">
        <f t="shared" si="30"/>
        <v>#N/A</v>
      </c>
    </row>
    <row r="62" ht="15.75" customHeight="1"/>
    <row r="63" ht="15.75" customHeight="1"/>
    <row r="64" ht="15.75" customHeight="1">
      <c r="A64" s="160" t="s">
        <v>159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