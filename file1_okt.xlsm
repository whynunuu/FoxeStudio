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TV4WqVIanaZMnHwf4aVXzLJdj1cAV8sE9SxI9s/WUN0="/>
    </ext>
  </extLst>
</workbook>
</file>

<file path=xl/sharedStrings.xml><?xml version="1.0" encoding="utf-8"?>
<sst xmlns="http://schemas.openxmlformats.org/spreadsheetml/2006/main" count="1875" uniqueCount="143">
  <si>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</si>
  <si>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</si>
  <si>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</si>
  <si>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</si>
  <si>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</si>
  <si>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</si>
  <si>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</si>
  <si>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</si>
  <si>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</si>
  <si>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</si>
  <si>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</si>
  <si>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</si>
  <si>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</si>
  <si>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</si>
  <si>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</si>
  <si>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</si>
  <si>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</si>
  <si>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</si>
  <si>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</si>
  <si>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</si>
  <si>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</si>
  <si>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</si>
  <si>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</si>
  <si>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</si>
  <si>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</si>
  <si>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</si>
  <si>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</si>
  <si>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</si>
  <si>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</si>
  <si>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</si>
  <si>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</si>
  <si>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</si>
  <si>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Rotho</t>
  </si>
  <si>
    <t>Large Group</t>
  </si>
  <si>
    <t>Uji</t>
  </si>
  <si>
    <t>3 okt</t>
  </si>
  <si>
    <t>Liaamalia</t>
  </si>
  <si>
    <t>Studio Rent</t>
  </si>
  <si>
    <t>Danisha</t>
  </si>
  <si>
    <t>Pending</t>
  </si>
  <si>
    <t>Rachel</t>
  </si>
  <si>
    <t>Couple A</t>
  </si>
  <si>
    <t>Qonita</t>
  </si>
  <si>
    <t>Single</t>
  </si>
  <si>
    <t>Dedik Purwanto</t>
  </si>
  <si>
    <t>Add cetak</t>
  </si>
  <si>
    <t>22 sept</t>
  </si>
  <si>
    <t>Lutfia</t>
  </si>
  <si>
    <t>Nominal</t>
  </si>
  <si>
    <t xml:space="preserve"> Bilqis</t>
  </si>
  <si>
    <t>2 okt</t>
  </si>
  <si>
    <t>Shift</t>
  </si>
  <si>
    <t>All file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</si>
  <si>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</si>
  <si>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</si>
  <si>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</si>
  <si>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</si>
  <si>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</si>
  <si>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</si>
  <si>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</si>
  <si>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</si>
  <si>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</si>
  <si>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</si>
  <si>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</si>
  <si>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</si>
  <si>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</si>
  <si>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</si>
  <si>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</si>
  <si>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</si>
  <si>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</si>
  <si>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</si>
  <si>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</si>
  <si>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</si>
  <si>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</si>
  <si>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TODAY | LEADS &amp; TRANSAKSI</t>
  </si>
  <si>
    <t>Leads</t>
  </si>
  <si>
    <t>5R</t>
  </si>
  <si>
    <t>Total DP</t>
  </si>
  <si>
    <t>Sesi Foto</t>
  </si>
  <si>
    <t>Jumlah Transaksi Harian</t>
  </si>
  <si>
    <t>Conversion Rate</t>
  </si>
  <si>
    <t>INDAH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</si>
  <si>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</si>
  <si>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</si>
  <si>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</si>
  <si>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</si>
  <si>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</si>
  <si>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</si>
  <si>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</si>
  <si>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</si>
  <si>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</si>
  <si>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</si>
  <si>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</si>
  <si>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</si>
  <si>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</si>
  <si>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</si>
  <si>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</si>
  <si>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</si>
  <si>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</si>
  <si>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</si>
  <si>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</si>
  <si>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</si>
  <si>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</si>
  <si>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</si>
  <si>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</si>
  <si>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</si>
  <si>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FAHME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</si>
  <si>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</si>
  <si>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</si>
  <si>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</si>
  <si>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</si>
  <si>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</si>
  <si>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</si>
  <si>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</si>
  <si>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</si>
  <si>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</si>
  <si>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</si>
  <si>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SAKA</t>
  </si>
  <si>
    <t>Coaching</t>
  </si>
  <si>
    <t>Underperform</t>
  </si>
  <si>
    <t>Pas Foto</t>
  </si>
  <si>
    <t>Family A</t>
  </si>
  <si>
    <t>Family B</t>
  </si>
  <si>
    <t>Couple C</t>
  </si>
  <si>
    <t>Graduation Premium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</si>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</sst>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2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5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2" fillId="0" fontId="5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bottom"/>
    </xf>
    <xf borderId="6" fillId="0" fontId="5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/>
    </xf>
    <xf borderId="2" fillId="0" fontId="1" numFmtId="165" xfId="0" applyBorder="1" applyFont="1" applyNumberFormat="1"/>
    <xf borderId="2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right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Border="1" applyFont="1"/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 vertical="center"/>
    </xf>
    <xf borderId="2" fillId="0" fontId="1" numFmtId="165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6" fillId="0" fontId="1" numFmtId="9" xfId="0" applyAlignment="1" applyBorder="1" applyFont="1" applyNumberFormat="1">
      <alignment vertical="bottom"/>
    </xf>
    <xf borderId="6" fillId="0" fontId="1" numFmtId="167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right" readingOrder="0"/>
    </xf>
    <xf borderId="6" fillId="0" fontId="1" numFmtId="165" xfId="0" applyBorder="1" applyFont="1" applyNumberFormat="1"/>
    <xf borderId="6" fillId="0" fontId="1" numFmtId="167" xfId="0" applyAlignment="1" applyBorder="1" applyFont="1" applyNumberFormat="1">
      <alignment horizontal="center"/>
    </xf>
    <xf borderId="2" fillId="0" fontId="2" numFmtId="165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9" fillId="0" fontId="6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horizontal="center" vertical="bottom"/>
    </xf>
    <xf borderId="8" fillId="0" fontId="1" numFmtId="0" xfId="0" applyAlignment="1" applyBorder="1" applyFont="1">
      <alignment horizontal="center" vertical="bottom"/>
    </xf>
    <xf borderId="2" fillId="0" fontId="2" numFmtId="165" xfId="0" applyAlignment="1" applyBorder="1" applyFont="1" applyNumberFormat="1">
      <alignment horizontal="right" readingOrder="0"/>
    </xf>
    <xf borderId="6" fillId="0" fontId="1" numFmtId="9" xfId="0" applyAlignment="1" applyBorder="1" applyFont="1" applyNumberFormat="1">
      <alignment horizontal="center"/>
    </xf>
    <xf borderId="5" fillId="4" fontId="2" numFmtId="165" xfId="0" applyAlignment="1" applyBorder="1" applyFill="1" applyFont="1" applyNumberFormat="1">
      <alignment horizontal="center" vertical="center"/>
    </xf>
    <xf borderId="0" fillId="0" fontId="2" numFmtId="0" xfId="0" applyFont="1"/>
    <xf borderId="5" fillId="5" fontId="5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6" fillId="4" fontId="2" numFmtId="165" xfId="0" applyAlignment="1" applyBorder="1" applyFill="1" applyFont="1" applyNumberFormat="1">
      <alignment horizontal="center" vertical="center"/>
    </xf>
    <xf borderId="6" fillId="5" fontId="2" numFmtId="165" xfId="0" applyAlignment="1" applyBorder="1" applyFill="1" applyFont="1" applyNumberForma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7" fillId="7" fontId="2" numFmtId="0" xfId="0" applyBorder="1" applyFill="1" applyFont="1"/>
    <xf borderId="5" fillId="6" fontId="1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/>
    </xf>
    <xf borderId="5" fillId="0" fontId="1" numFmtId="0" xfId="0" applyAlignment="1" applyBorder="1" applyFont="1">
      <alignment horizontal="center"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7" fillId="4" fontId="1" numFmtId="0" xfId="0" applyAlignment="1" applyBorder="1" applyFill="1" applyFont="1">
      <alignment horizontal="lef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5" xfId="0" applyAlignment="1" applyFont="1" applyNumberFormat="1">
      <alignment horizontal="center" vertical="center"/>
    </xf>
    <xf borderId="0" fillId="8" fontId="7" numFmtId="0" xfId="0" applyAlignment="1" applyFill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0" fillId="2" fontId="7" numFmtId="0" xfId="0" applyAlignment="1" applyFill="1" applyFont="1">
      <alignment horizontal="center" shrinkToFit="0" vertical="center" wrapText="1"/>
    </xf>
    <xf borderId="0" fillId="0" fontId="1" numFmtId="0" xfId="0" applyFont="1"/>
    <xf borderId="5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11" fontId="8" numFmtId="0" xfId="0" applyAlignment="1" applyFill="1" applyFont="1">
      <alignment horizontal="center" shrinkToFit="0" vertical="center" wrapText="1"/>
    </xf>
    <xf borderId="0" fillId="12" fontId="7" numFmtId="0" xfId="0" applyAlignment="1" applyFill="1" applyFont="1">
      <alignment horizontal="center" vertical="center"/>
    </xf>
    <xf borderId="0" fillId="12" fontId="9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horizontal="center" shrinkToFit="0" vertical="center" wrapText="0"/>
    </xf>
    <xf borderId="0" fillId="13" fontId="1" numFmtId="0" xfId="0" applyFill="1" applyFont="1"/>
    <xf borderId="0" fillId="9" fontId="10" numFmtId="1" xfId="0" applyAlignment="1" applyFill="1" applyFont="1" applyNumberForma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14" fontId="11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horizontal="left" shrinkToFit="0" vertical="center" wrapText="0"/>
    </xf>
    <xf borderId="0" fillId="9" fontId="10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0" fontId="13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vertical="bottom"/>
    </xf>
    <xf borderId="0" fillId="11" fontId="9" numFmtId="1" xfId="0" applyAlignment="1" applyFill="1" applyFont="1" applyNumberForma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5" fontId="9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8" fillId="16" fontId="1" numFmtId="0" xfId="0" applyAlignment="1" applyBorder="1" applyFill="1" applyFont="1">
      <alignment horizontal="center" vertical="bottom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7" fillId="0" fontId="1" numFmtId="0" xfId="0" applyAlignment="1" applyBorder="1" applyFont="1">
      <alignment horizontal="center"/>
    </xf>
    <xf borderId="0" fillId="11" fontId="9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2" fontId="14" numFmtId="0" xfId="0" applyAlignment="1" applyFill="1" applyFont="1">
      <alignment horizontal="center" shrinkToFit="0" vertical="center" wrapText="0"/>
    </xf>
    <xf borderId="0" fillId="8" fontId="15" numFmtId="0" xfId="0" applyAlignment="1" applyFill="1" applyFont="1">
      <alignment horizontal="center" shrinkToFit="0" vertical="center" wrapText="0"/>
    </xf>
    <xf borderId="0" fillId="2" fontId="9" numFmtId="0" xfId="0" applyAlignment="1" applyFill="1" applyFont="1">
      <alignment horizontal="center" shrinkToFit="0" vertical="center" wrapText="0"/>
    </xf>
    <xf borderId="0" fillId="16" fontId="16" numFmtId="171" xfId="0" applyAlignment="1" applyFill="1" applyFont="1" applyNumberFormat="1">
      <alignment horizontal="center" shrinkToFit="0" vertical="center" wrapText="0"/>
    </xf>
    <xf borderId="0" fillId="2" fontId="9" numFmtId="0" xfId="0" applyAlignment="1" applyFill="1" applyFont="1">
      <alignment horizontal="center" shrinkToFit="0" vertical="center" wrapText="1"/>
    </xf>
    <xf borderId="0" fillId="0" fontId="10" numFmtId="0" xfId="0" applyAlignment="1" applyFont="1">
      <alignment shrinkToFit="0" vertical="center" wrapText="1"/>
    </xf>
    <xf borderId="0" fillId="0" fontId="10" numFmtId="172" xfId="0" applyAlignment="1" applyFont="1" applyNumberFormat="1">
      <alignment shrinkToFit="0" vertical="center" wrapText="1"/>
    </xf>
    <xf borderId="0" fillId="0" fontId="10" numFmtId="171" xfId="0" applyAlignment="1" applyFont="1" applyNumberFormat="1">
      <alignment shrinkToFit="0" vertical="center" wrapText="1"/>
    </xf>
    <xf borderId="0" fillId="17" fontId="17" numFmtId="0" xfId="0" applyAlignment="1" applyFill="1" applyFont="1">
      <alignment horizontal="left" shrinkToFit="0" vertical="bottom" wrapText="0"/>
    </xf>
    <xf borderId="0" fillId="18" fontId="18" numFmtId="0" xfId="0" applyAlignment="1" applyFill="1" applyFont="1">
      <alignment shrinkToFit="0" vertical="bottom" wrapText="0"/>
    </xf>
    <xf borderId="0" fillId="17" fontId="19" numFmtId="0" xfId="0" applyAlignment="1" applyFill="1" applyFont="1">
      <alignment horizontal="left" shrinkToFit="0" vertical="center" wrapText="0"/>
    </xf>
    <xf borderId="0" fillId="19" fontId="20" numFmtId="0" xfId="0" applyAlignment="1" applyFill="1" applyFont="1">
      <alignment horizontal="center" shrinkToFit="0" vertical="center" wrapText="1"/>
    </xf>
    <xf borderId="0" fillId="9" fontId="10" numFmtId="0" xfId="0" applyAlignment="1" applyFill="1" applyFont="1">
      <alignment shrinkToFit="0" vertical="center" wrapText="1"/>
    </xf>
    <xf borderId="0" fillId="0" fontId="10" numFmtId="0" xfId="0" applyAlignment="1" applyFont="1">
      <alignment shrinkToFit="0" vertical="bottom" wrapText="0"/>
    </xf>
    <xf borderId="0" fillId="0" fontId="10" numFmtId="168" xfId="0" applyAlignment="1" applyFont="1" applyNumberFormat="1">
      <alignment shrinkToFit="0" vertical="bottom" wrapText="0"/>
    </xf>
    <xf borderId="0" fillId="3" fontId="9" numFmtId="0" xfId="0" applyAlignment="1" applyFill="1" applyFont="1">
      <alignment horizontal="center" shrinkToFit="0" vertical="bottom" wrapText="0"/>
    </xf>
    <xf borderId="0" fillId="9" fontId="10" numFmtId="0" xfId="0" applyAlignment="1" applyFill="1" applyFont="1">
      <alignment shrinkToFit="0" vertical="top" wrapText="1"/>
    </xf>
    <xf borderId="0" fillId="8" fontId="9" numFmtId="0" xfId="0" applyAlignment="1" applyFill="1" applyFont="1">
      <alignment horizontal="center" shrinkToFit="0" vertical="center" wrapText="0"/>
    </xf>
    <xf borderId="0" fillId="0" fontId="9" numFmtId="0" xfId="0" applyAlignment="1" applyFont="1">
      <alignment shrinkToFit="0" vertical="center" wrapText="0"/>
    </xf>
    <xf borderId="0" fillId="16" fontId="21" numFmtId="168" xfId="0" applyAlignment="1" applyFill="1" applyFont="1" applyNumberFormat="1">
      <alignment horizontal="center" shrinkToFit="0" vertical="center" wrapText="0"/>
    </xf>
    <xf borderId="0" fillId="16" fontId="21" numFmtId="0" xfId="0" applyAlignment="1" applyFill="1" applyFont="1">
      <alignment horizontal="center" shrinkToFit="0" vertical="center" wrapText="0"/>
    </xf>
    <xf borderId="0" fillId="0" fontId="10" numFmtId="172" xfId="0" applyAlignment="1" applyFont="1" applyNumberFormat="1">
      <alignment shrinkToFit="0" vertical="bottom" wrapText="0"/>
    </xf>
    <xf borderId="0" fillId="0" fontId="10" numFmtId="2" xfId="0" applyAlignment="1" applyFont="1" applyNumberFormat="1">
      <alignment shrinkToFit="0" vertical="bottom" wrapText="0"/>
    </xf>
    <xf borderId="0" fillId="18" fontId="18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invertIfNegative val="0"/>
          <c:cat>
            <c:strRef>
              <c:f>'31'!$D$56:$D$68</c:f>
            </c:strRef>
          </c:cat>
          <c:val>
            <c:numRef>
              <c:f>'31'!$D$56:$D$68</c:f>
              <c:numCache/>
            </c:numRef>
          </c:val>
        </c:ser>
        <c:axId val="540579185"/>
        <c:axId val="160453950"/>
      </c:barChart>
      <c:catAx>
        <c:axId val="54057918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0453950"/>
      </c:catAx>
      <c:valAx>
        <c:axId val="160453950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54057918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axId val="2050700502"/>
        <c:axId val="573995007"/>
      </c:lineChart>
      <c:catAx>
        <c:axId val="205070050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73995007"/>
      </c:catAx>
      <c:valAx>
        <c:axId val="573995007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205070050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18</v>
      </c>
      <c r="D4" s="23" t="s">
        <v>19</v>
      </c>
      <c r="E4" s="25"/>
      <c r="F4" s="27" t="s">
        <v>20</v>
      </c>
      <c r="G4" s="29"/>
      <c r="H4" s="32">
        <v>100000.0</v>
      </c>
      <c r="I4" s="27" t="s">
        <v>21</v>
      </c>
      <c r="J4" s="15"/>
      <c r="K4" s="15"/>
      <c r="L4" s="27" t="s">
        <v>22</v>
      </c>
      <c r="M4" s="15"/>
      <c r="N4" s="26"/>
      <c r="O4" s="26"/>
      <c r="P4" s="30"/>
      <c r="Q4" s="1"/>
      <c r="R4" s="1"/>
    </row>
    <row r="5" ht="15.75" customHeight="1">
      <c r="A5" s="1"/>
      <c r="B5" s="15">
        <v>2.0</v>
      </c>
      <c r="C5" s="17" t="s">
        <v>23</v>
      </c>
      <c r="D5" s="23" t="s">
        <v>24</v>
      </c>
      <c r="E5" s="25"/>
      <c r="F5" s="27" t="s">
        <v>25</v>
      </c>
      <c r="G5" s="37">
        <v>125000.0</v>
      </c>
      <c r="H5" s="31"/>
      <c r="I5" s="27" t="s">
        <v>26</v>
      </c>
      <c r="J5" s="27" t="s">
        <v>27</v>
      </c>
      <c r="K5" s="27" t="s">
        <v>28</v>
      </c>
      <c r="L5" s="27" t="s">
        <v>22</v>
      </c>
      <c r="M5" s="27" t="s">
        <v>29</v>
      </c>
      <c r="N5" s="34"/>
      <c r="O5" s="34"/>
      <c r="P5" s="34"/>
      <c r="Q5" s="1"/>
      <c r="R5" s="1"/>
    </row>
    <row r="6" ht="15.75" customHeight="1">
      <c r="A6" s="1"/>
      <c r="B6" s="15">
        <v>3.0</v>
      </c>
      <c r="C6" s="17" t="s">
        <v>30</v>
      </c>
      <c r="D6" s="23" t="s">
        <v>19</v>
      </c>
      <c r="E6" s="25"/>
      <c r="F6" s="27" t="s">
        <v>31</v>
      </c>
      <c r="G6" s="38"/>
      <c r="H6" s="32">
        <v>100000.0</v>
      </c>
      <c r="I6" s="27" t="s">
        <v>21</v>
      </c>
      <c r="J6" s="15"/>
      <c r="K6" s="15"/>
      <c r="L6" s="27" t="s">
        <v>22</v>
      </c>
      <c r="M6" s="15"/>
      <c r="N6" s="34"/>
      <c r="O6" s="34"/>
      <c r="P6" s="34"/>
      <c r="Q6" s="1"/>
      <c r="R6" s="1"/>
    </row>
    <row r="7" ht="15.75" customHeight="1">
      <c r="A7" s="1"/>
      <c r="B7" s="15">
        <v>4.0</v>
      </c>
      <c r="C7" s="17" t="s">
        <v>32</v>
      </c>
      <c r="D7" s="23" t="s">
        <v>33</v>
      </c>
      <c r="E7" s="25"/>
      <c r="F7" s="27" t="s">
        <v>25</v>
      </c>
      <c r="G7" s="38"/>
      <c r="H7" s="44">
        <v>200000.0</v>
      </c>
      <c r="I7" s="27" t="s">
        <v>26</v>
      </c>
      <c r="J7" s="27" t="s">
        <v>27</v>
      </c>
      <c r="K7" s="27" t="s">
        <v>27</v>
      </c>
      <c r="L7" s="27" t="s">
        <v>22</v>
      </c>
      <c r="M7" s="27" t="s">
        <v>29</v>
      </c>
      <c r="N7" s="34"/>
      <c r="O7" s="34"/>
      <c r="P7" s="34"/>
      <c r="Q7" s="1"/>
      <c r="R7" s="1"/>
    </row>
    <row r="8" ht="15.75" customHeight="1">
      <c r="A8" s="1"/>
      <c r="B8" s="15">
        <v>5.0</v>
      </c>
      <c r="C8" s="17" t="s">
        <v>34</v>
      </c>
      <c r="D8" s="23" t="s">
        <v>19</v>
      </c>
      <c r="E8" s="25"/>
      <c r="F8" s="27" t="s">
        <v>35</v>
      </c>
      <c r="G8" s="29"/>
      <c r="H8" s="32">
        <v>100000.0</v>
      </c>
      <c r="I8" s="27" t="s">
        <v>21</v>
      </c>
      <c r="J8" s="15"/>
      <c r="K8" s="15"/>
      <c r="L8" s="27" t="s">
        <v>22</v>
      </c>
      <c r="M8" s="15"/>
      <c r="N8" s="34"/>
      <c r="O8" s="34"/>
      <c r="P8" s="34"/>
      <c r="Q8" s="1"/>
      <c r="R8" s="1"/>
    </row>
    <row r="9" ht="15.75" customHeight="1">
      <c r="A9" s="1"/>
      <c r="B9" s="15">
        <v>6.0</v>
      </c>
      <c r="C9" s="48" t="s">
        <v>36</v>
      </c>
      <c r="D9" s="23" t="s">
        <v>37</v>
      </c>
      <c r="E9" s="50"/>
      <c r="F9" s="27" t="s">
        <v>25</v>
      </c>
      <c r="G9" s="38"/>
      <c r="H9" s="44">
        <v>450000.0</v>
      </c>
      <c r="I9" s="27" t="s">
        <v>26</v>
      </c>
      <c r="J9" s="15"/>
      <c r="K9" s="15"/>
      <c r="L9" s="27" t="s">
        <v>22</v>
      </c>
      <c r="M9" s="15"/>
      <c r="N9" s="34"/>
      <c r="O9" s="34"/>
      <c r="P9" s="34"/>
      <c r="Q9" s="1"/>
      <c r="R9" s="1"/>
    </row>
    <row r="10" ht="15.75" customHeight="1">
      <c r="A10" s="1"/>
      <c r="B10" s="15">
        <v>7.0</v>
      </c>
      <c r="C10" s="17" t="s">
        <v>38</v>
      </c>
      <c r="D10" s="23" t="s">
        <v>33</v>
      </c>
      <c r="E10" s="50"/>
      <c r="F10" s="27" t="s">
        <v>25</v>
      </c>
      <c r="G10" s="38"/>
      <c r="H10" s="44">
        <v>100000.0</v>
      </c>
      <c r="I10" s="27" t="s">
        <v>26</v>
      </c>
      <c r="J10" s="27" t="s">
        <v>27</v>
      </c>
      <c r="K10" s="27" t="s">
        <v>39</v>
      </c>
      <c r="L10" s="27" t="s">
        <v>22</v>
      </c>
      <c r="M10" s="27" t="s">
        <v>29</v>
      </c>
      <c r="N10" s="34"/>
      <c r="O10" s="34"/>
      <c r="P10" s="34"/>
      <c r="Q10" s="1"/>
      <c r="R10" s="1"/>
    </row>
    <row r="11" ht="15.75" customHeight="1">
      <c r="A11" s="1"/>
      <c r="B11" s="15">
        <v>8.0</v>
      </c>
      <c r="C11" s="17" t="s">
        <v>40</v>
      </c>
      <c r="D11" s="23" t="s">
        <v>41</v>
      </c>
      <c r="E11" s="50"/>
      <c r="F11" s="27" t="s">
        <v>25</v>
      </c>
      <c r="G11" s="37">
        <v>150000.0</v>
      </c>
      <c r="H11" s="31"/>
      <c r="I11" s="27" t="s">
        <v>26</v>
      </c>
      <c r="J11" s="27" t="s">
        <v>27</v>
      </c>
      <c r="K11" s="27" t="s">
        <v>27</v>
      </c>
      <c r="L11" s="27" t="s">
        <v>22</v>
      </c>
      <c r="M11" s="27" t="s">
        <v>29</v>
      </c>
      <c r="N11" s="34"/>
      <c r="O11" s="34"/>
      <c r="P11" s="34"/>
      <c r="Q11" s="1"/>
      <c r="R11" s="1"/>
    </row>
    <row r="12" ht="15.75" customHeight="1">
      <c r="A12" s="1"/>
      <c r="B12" s="15">
        <v>9.0</v>
      </c>
      <c r="C12" s="48" t="s">
        <v>42</v>
      </c>
      <c r="D12" s="23" t="s">
        <v>43</v>
      </c>
      <c r="E12" s="50"/>
      <c r="F12" s="27" t="s">
        <v>25</v>
      </c>
      <c r="G12" s="38"/>
      <c r="H12" s="32">
        <v>100000.0</v>
      </c>
      <c r="I12" s="27" t="s">
        <v>26</v>
      </c>
      <c r="J12" s="27" t="s">
        <v>27</v>
      </c>
      <c r="K12" s="27" t="s">
        <v>27</v>
      </c>
      <c r="L12" s="27" t="s">
        <v>22</v>
      </c>
      <c r="M12" s="27" t="s">
        <v>29</v>
      </c>
      <c r="N12" s="34"/>
      <c r="O12" s="34"/>
      <c r="P12" s="34"/>
      <c r="Q12" s="1"/>
      <c r="R12" s="1"/>
    </row>
    <row r="13" ht="15.75" customHeight="1">
      <c r="A13" s="1"/>
      <c r="B13" s="15">
        <v>10.0</v>
      </c>
      <c r="C13" s="48" t="s">
        <v>44</v>
      </c>
      <c r="D13" s="23" t="s">
        <v>45</v>
      </c>
      <c r="E13" s="50"/>
      <c r="F13" s="27" t="s">
        <v>46</v>
      </c>
      <c r="G13" s="57">
        <v>25000.0</v>
      </c>
      <c r="H13" s="31"/>
      <c r="I13" s="27" t="s">
        <v>26</v>
      </c>
      <c r="J13" s="27" t="s">
        <v>28</v>
      </c>
      <c r="K13" s="27" t="s">
        <v>28</v>
      </c>
      <c r="L13" s="27" t="s">
        <v>22</v>
      </c>
      <c r="M13" s="15"/>
      <c r="N13" s="34"/>
      <c r="O13" s="34"/>
      <c r="P13" s="34"/>
      <c r="Q13" s="1"/>
      <c r="R13" s="1"/>
    </row>
    <row r="14" ht="15.75" customHeight="1">
      <c r="A14" s="1"/>
      <c r="B14" s="15">
        <v>11.0</v>
      </c>
      <c r="C14" s="48" t="s">
        <v>47</v>
      </c>
      <c r="D14" s="23" t="s">
        <v>33</v>
      </c>
      <c r="E14" s="50"/>
      <c r="F14" s="27" t="s">
        <v>25</v>
      </c>
      <c r="G14" s="57">
        <v>105000.0</v>
      </c>
      <c r="H14" s="32">
        <v>220000.0</v>
      </c>
      <c r="I14" s="27" t="s">
        <v>26</v>
      </c>
      <c r="J14" s="27" t="s">
        <v>27</v>
      </c>
      <c r="K14" s="27" t="s">
        <v>27</v>
      </c>
      <c r="L14" s="27" t="s">
        <v>22</v>
      </c>
      <c r="M14" s="27" t="s">
        <v>29</v>
      </c>
      <c r="N14" s="34"/>
      <c r="O14" s="34"/>
      <c r="P14" s="34"/>
      <c r="Q14" s="1"/>
      <c r="R14" s="1"/>
    </row>
    <row r="15" ht="15.75" customHeight="1">
      <c r="A15" s="1"/>
      <c r="B15" s="15">
        <v>12.0</v>
      </c>
      <c r="C15" s="48" t="s">
        <v>49</v>
      </c>
      <c r="D15" s="23" t="s">
        <v>24</v>
      </c>
      <c r="E15" s="50"/>
      <c r="F15" s="27" t="s">
        <v>50</v>
      </c>
      <c r="G15" s="38"/>
      <c r="H15" s="32">
        <v>100000.0</v>
      </c>
      <c r="I15" s="27" t="s">
        <v>21</v>
      </c>
      <c r="J15" s="15"/>
      <c r="K15" s="15"/>
      <c r="L15" s="27" t="s">
        <v>22</v>
      </c>
      <c r="M15" s="15"/>
      <c r="N15" s="34"/>
      <c r="O15" s="34"/>
      <c r="P15" s="34"/>
      <c r="Q15" s="1"/>
      <c r="R15" s="1"/>
    </row>
    <row r="16" ht="15.75" customHeight="1">
      <c r="A16" s="1"/>
      <c r="B16" s="15">
        <v>13.0</v>
      </c>
      <c r="C16" s="48" t="s">
        <v>42</v>
      </c>
      <c r="D16" s="23" t="s">
        <v>52</v>
      </c>
      <c r="E16" s="50"/>
      <c r="F16" s="27" t="s">
        <v>25</v>
      </c>
      <c r="G16" s="38"/>
      <c r="H16" s="32">
        <v>50000.0</v>
      </c>
      <c r="I16" s="27" t="s">
        <v>26</v>
      </c>
      <c r="J16" s="27" t="s">
        <v>27</v>
      </c>
      <c r="K16" s="27" t="s">
        <v>27</v>
      </c>
      <c r="L16" s="27" t="s">
        <v>22</v>
      </c>
      <c r="M16" s="27" t="s">
        <v>29</v>
      </c>
      <c r="N16" s="34"/>
      <c r="O16" s="34"/>
      <c r="P16" s="34"/>
      <c r="Q16" s="1"/>
      <c r="R16" s="1"/>
    </row>
    <row r="17" ht="15.75" customHeight="1">
      <c r="A17" s="1"/>
      <c r="B17" s="15">
        <v>14.0</v>
      </c>
      <c r="C17" s="18"/>
      <c r="D17" s="21"/>
      <c r="E17" s="50"/>
      <c r="F17" s="46"/>
      <c r="G17" s="29"/>
      <c r="H17" s="31"/>
      <c r="I17" s="15"/>
      <c r="J17" s="15"/>
      <c r="K17" s="15"/>
      <c r="L17" s="15"/>
      <c r="M17" s="15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0">
        <f>SUM(G5:G17)</f>
        <v>405000</v>
      </c>
      <c r="H18" s="5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8" t="s">
        <v>0</v>
      </c>
      <c r="C21" s="59" t="s">
        <v>6</v>
      </c>
      <c r="D21" s="59" t="s">
        <v>48</v>
      </c>
      <c r="E21" s="1"/>
      <c r="F21" s="1"/>
      <c r="G21" s="1"/>
      <c r="H21" s="1"/>
      <c r="I21" s="1"/>
      <c r="J21" s="1"/>
      <c r="K21" s="1"/>
      <c r="L21" s="1"/>
      <c r="M21" s="1"/>
      <c r="N21" s="59" t="s">
        <v>51</v>
      </c>
      <c r="O21" s="59" t="s">
        <v>1</v>
      </c>
      <c r="P21" s="1"/>
      <c r="Q21" s="1"/>
      <c r="R21" s="1"/>
    </row>
    <row r="22" ht="15.75" customHeight="1">
      <c r="A22" s="1"/>
      <c r="B22" s="62">
        <v>1.0</v>
      </c>
      <c r="C22" s="63" t="s">
        <v>53</v>
      </c>
      <c r="D22" s="64">
        <f>SUM(G18)</f>
        <v>405000</v>
      </c>
      <c r="E22" s="65"/>
      <c r="F22" s="1"/>
      <c r="G22" s="1"/>
      <c r="H22" s="1"/>
      <c r="I22" s="1"/>
      <c r="J22" s="1"/>
      <c r="K22" s="1"/>
      <c r="L22" s="1"/>
      <c r="M22" s="1"/>
      <c r="N22" s="66" t="s">
        <v>54</v>
      </c>
      <c r="O22" s="81" t="s">
        <v>22</v>
      </c>
      <c r="P22" s="1"/>
      <c r="Q22" s="1"/>
      <c r="R22" s="1"/>
    </row>
    <row r="23" ht="15.75" customHeight="1">
      <c r="A23" s="1"/>
      <c r="B23" s="67">
        <v>2.0</v>
      </c>
      <c r="C23" s="70"/>
      <c r="D23" s="72"/>
      <c r="E23" s="65"/>
      <c r="F23" s="1"/>
      <c r="G23" s="1"/>
      <c r="H23" s="1"/>
      <c r="I23" s="1"/>
      <c r="J23" s="1"/>
      <c r="K23" s="1"/>
      <c r="L23" s="1"/>
      <c r="M23" s="1"/>
      <c r="N23" s="71" t="s">
        <v>55</v>
      </c>
      <c r="O23" s="84" t="s">
        <v>22</v>
      </c>
      <c r="P23" s="1"/>
      <c r="Q23" s="1"/>
      <c r="R23" s="1"/>
    </row>
    <row r="24" ht="15.75" customHeight="1">
      <c r="A24" s="1"/>
      <c r="B24" s="62">
        <v>3.0</v>
      </c>
      <c r="C24" s="63"/>
      <c r="D24" s="64"/>
      <c r="E24" s="65"/>
      <c r="F24" s="1"/>
      <c r="G24" s="1"/>
      <c r="H24" s="1"/>
      <c r="I24" s="1"/>
      <c r="J24" s="1"/>
      <c r="K24" s="1"/>
      <c r="L24" s="1"/>
      <c r="M24" s="1"/>
      <c r="N24" s="76" t="s">
        <v>56</v>
      </c>
      <c r="O24" s="85" t="s">
        <v>29</v>
      </c>
      <c r="P24" s="1"/>
      <c r="Q24" s="1"/>
      <c r="R24" s="1"/>
    </row>
    <row r="25" ht="15.75" customHeight="1">
      <c r="A25" s="1"/>
      <c r="B25" s="67">
        <v>4.0</v>
      </c>
      <c r="C25" s="68"/>
      <c r="D25" s="69"/>
      <c r="E25" s="65"/>
      <c r="F25" s="79"/>
      <c r="G25" s="1"/>
      <c r="H25" s="1"/>
      <c r="I25" s="1"/>
      <c r="J25" s="1"/>
      <c r="K25" s="1"/>
      <c r="L25" s="1"/>
      <c r="M25" s="1"/>
      <c r="N25" s="77" t="s">
        <v>57</v>
      </c>
      <c r="O25" s="84" t="s">
        <v>29</v>
      </c>
      <c r="P25" s="1"/>
      <c r="Q25" s="1"/>
      <c r="R25" s="1"/>
    </row>
    <row r="26" ht="15.75" customHeight="1">
      <c r="A26" s="1"/>
      <c r="B26" s="62">
        <v>5.0</v>
      </c>
      <c r="C26" s="63"/>
      <c r="D26" s="64"/>
      <c r="E26" s="65"/>
      <c r="F26" s="1"/>
      <c r="G26" s="1"/>
      <c r="H26" s="1"/>
      <c r="I26" s="1"/>
      <c r="J26" s="1"/>
      <c r="K26" s="1"/>
      <c r="L26" s="1"/>
      <c r="M26" s="1"/>
      <c r="N26" s="78"/>
      <c r="O26" s="1"/>
      <c r="P26" s="1"/>
      <c r="Q26" s="1"/>
      <c r="R26" s="1"/>
    </row>
    <row r="27" ht="15.75" customHeight="1">
      <c r="A27" s="1"/>
      <c r="B27" s="67">
        <v>6.0</v>
      </c>
      <c r="C27" s="68"/>
      <c r="D27" s="69"/>
      <c r="E27" s="65"/>
      <c r="F27" s="1"/>
      <c r="G27" s="1"/>
      <c r="H27" s="1"/>
      <c r="I27" s="1"/>
      <c r="J27" s="1"/>
      <c r="K27" s="80" t="s">
        <v>58</v>
      </c>
      <c r="Q27" s="1"/>
      <c r="R27" s="1"/>
    </row>
    <row r="28" ht="15.75" customHeight="1">
      <c r="A28" s="1"/>
      <c r="B28" s="62">
        <v>7.0</v>
      </c>
      <c r="C28" s="63"/>
      <c r="D28" s="64"/>
      <c r="E28" s="65"/>
      <c r="F28" s="1"/>
      <c r="G28" s="1"/>
      <c r="H28" s="1"/>
      <c r="I28" s="1"/>
      <c r="J28" s="1"/>
      <c r="K28" s="82" t="s">
        <v>1</v>
      </c>
      <c r="L28" s="82" t="s">
        <v>59</v>
      </c>
      <c r="M28" s="82" t="s">
        <v>60</v>
      </c>
      <c r="N28" s="82" t="s">
        <v>61</v>
      </c>
      <c r="O28" s="82" t="s">
        <v>62</v>
      </c>
      <c r="P28" s="82" t="s">
        <v>63</v>
      </c>
      <c r="Q28" s="1"/>
      <c r="R28" s="1"/>
      <c r="AC28" s="83" t="s">
        <v>64</v>
      </c>
      <c r="AD28" s="83" t="s">
        <v>65</v>
      </c>
      <c r="AE28" s="83" t="s">
        <v>66</v>
      </c>
      <c r="AF28" s="83" t="s">
        <v>67</v>
      </c>
      <c r="AG28" s="83" t="s">
        <v>68</v>
      </c>
    </row>
    <row r="29" ht="15.75" customHeight="1">
      <c r="A29" s="1"/>
      <c r="B29" s="67">
        <v>8.0</v>
      </c>
      <c r="C29" s="68"/>
      <c r="D29" s="69"/>
      <c r="E29" s="65"/>
      <c r="F29" s="1"/>
      <c r="G29" s="1"/>
      <c r="H29" s="1"/>
      <c r="I29" s="1"/>
      <c r="J29" s="1"/>
      <c r="K29" s="86" t="str">
        <f t="shared" ref="K29:K32" si="1">IF(O22="","",O22)</f>
        <v>AMEL</v>
      </c>
      <c r="L29" s="87"/>
      <c r="M29" s="87"/>
      <c r="N29" s="87"/>
      <c r="O29" s="87"/>
      <c r="P29" s="87"/>
      <c r="Q29" s="1"/>
      <c r="R29" s="1"/>
      <c r="AC29" s="83" t="str">
        <f t="shared" ref="AC29:AC34" si="2">IF(AG29="","",IF(COUNT(L29:P29)&lt;5,"",L29/5*20+M29/5*25+N29/5*25+O29/5*15+P29/5*15))</f>
        <v/>
      </c>
      <c r="AD29" s="83" t="str">
        <f t="shared" ref="AD29:AD34" si="3">IF(AC29="","",IF(AC29&gt;=90,"Sangat Baik",IF(AC29&gt;=80,"Baik",IF(AC29&gt;=70,"Coaching","Underperform"))))</f>
        <v/>
      </c>
      <c r="AE29" s="83" t="str">
        <f t="shared" ref="AE29:AE34" si="4">IF(AG29="","",IF(OR(AG29="INDAH",AG29="ADDEL",AG29="AMEL",AG29="PENTIL",AG29="JIJANG"),"Admin/CS","Fotografer"))</f>
        <v>Admin/CS</v>
      </c>
      <c r="AF29" s="83" t="str">
        <f t="shared" ref="AF29:AF34" si="5">IF(OR(AG29="",COUNT(L29:P29)&lt;5),"",1)</f>
        <v/>
      </c>
      <c r="AG29" s="83" t="str">
        <f t="shared" ref="AG29:AG34" si="6">IFERROR(K29,"")</f>
        <v>AMEL</v>
      </c>
    </row>
    <row r="30" ht="15.75" customHeight="1">
      <c r="A30" s="1"/>
      <c r="B30" s="62">
        <v>9.0</v>
      </c>
      <c r="C30" s="63"/>
      <c r="D30" s="64"/>
      <c r="E30" s="65"/>
      <c r="F30" s="1"/>
      <c r="G30" s="1"/>
      <c r="H30" s="1"/>
      <c r="I30" s="1"/>
      <c r="J30" s="1"/>
      <c r="K30" s="86" t="str">
        <f t="shared" si="1"/>
        <v>AMEL</v>
      </c>
      <c r="L30" s="87"/>
      <c r="M30" s="87"/>
      <c r="N30" s="87"/>
      <c r="O30" s="87"/>
      <c r="P30" s="87"/>
      <c r="Q30" s="1"/>
      <c r="R30" s="1"/>
      <c r="AC30" s="83" t="str">
        <f t="shared" si="2"/>
        <v/>
      </c>
      <c r="AD30" s="83" t="str">
        <f t="shared" si="3"/>
        <v/>
      </c>
      <c r="AE30" s="83" t="str">
        <f t="shared" si="4"/>
        <v>Admin/CS</v>
      </c>
      <c r="AF30" s="83" t="str">
        <f t="shared" si="5"/>
        <v/>
      </c>
      <c r="AG30" s="83" t="str">
        <f t="shared" si="6"/>
        <v>AMEL</v>
      </c>
    </row>
    <row r="31" ht="15.75" customHeight="1">
      <c r="A31" s="1"/>
      <c r="B31" s="67">
        <v>10.0</v>
      </c>
      <c r="C31" s="68"/>
      <c r="D31" s="69"/>
      <c r="E31" s="65"/>
      <c r="F31" s="1"/>
      <c r="G31" s="1"/>
      <c r="H31" s="1"/>
      <c r="I31" s="1"/>
      <c r="J31" s="1"/>
      <c r="K31" s="86" t="str">
        <f t="shared" si="1"/>
        <v>ADIF</v>
      </c>
      <c r="L31" s="87"/>
      <c r="M31" s="87"/>
      <c r="N31" s="87"/>
      <c r="O31" s="87"/>
      <c r="P31" s="87"/>
      <c r="Q31" s="1"/>
      <c r="R31" s="1"/>
      <c r="AC31" s="83" t="str">
        <f t="shared" si="2"/>
        <v/>
      </c>
      <c r="AD31" s="83" t="str">
        <f t="shared" si="3"/>
        <v/>
      </c>
      <c r="AE31" s="83" t="str">
        <f t="shared" si="4"/>
        <v>Fotografer</v>
      </c>
      <c r="AF31" s="83" t="str">
        <f t="shared" si="5"/>
        <v/>
      </c>
      <c r="AG31" s="83" t="str">
        <f t="shared" si="6"/>
        <v>ADIF</v>
      </c>
    </row>
    <row r="32" ht="15.75" customHeight="1">
      <c r="A32" s="1"/>
      <c r="B32" s="88">
        <v>11.0</v>
      </c>
      <c r="C32" s="89"/>
      <c r="D32" s="90"/>
      <c r="E32" s="65"/>
      <c r="F32" s="1"/>
      <c r="G32" s="1"/>
      <c r="H32" s="1"/>
      <c r="I32" s="1"/>
      <c r="J32" s="1"/>
      <c r="K32" s="86" t="str">
        <f t="shared" si="1"/>
        <v>ADIF</v>
      </c>
      <c r="L32" s="87"/>
      <c r="M32" s="87"/>
      <c r="N32" s="87"/>
      <c r="O32" s="87"/>
      <c r="P32" s="87"/>
      <c r="Q32" s="1"/>
      <c r="R32" s="1"/>
      <c r="AC32" s="83" t="str">
        <f t="shared" si="2"/>
        <v/>
      </c>
      <c r="AD32" s="83" t="str">
        <f t="shared" si="3"/>
        <v/>
      </c>
      <c r="AE32" s="83" t="str">
        <f t="shared" si="4"/>
        <v>Fotografer</v>
      </c>
      <c r="AF32" s="83" t="str">
        <f t="shared" si="5"/>
        <v/>
      </c>
      <c r="AG32" s="83" t="str">
        <f t="shared" si="6"/>
        <v>ADIF</v>
      </c>
    </row>
    <row r="33" ht="15.75" customHeight="1">
      <c r="A33" s="1"/>
      <c r="B33" s="1"/>
      <c r="C33" s="2"/>
      <c r="D33" s="91">
        <f>SUM(D22:D32)</f>
        <v>405000</v>
      </c>
      <c r="E33" s="1"/>
      <c r="F33" s="1"/>
      <c r="G33" s="1"/>
      <c r="H33" s="1"/>
      <c r="I33" s="1"/>
      <c r="J33" s="1"/>
      <c r="K33" s="86"/>
      <c r="L33" s="87"/>
      <c r="M33" s="87"/>
      <c r="N33" s="87"/>
      <c r="O33" s="87"/>
      <c r="P33" s="87"/>
      <c r="Q33" s="1"/>
      <c r="R33" s="1"/>
      <c r="AC33" s="83" t="str">
        <f t="shared" si="2"/>
        <v/>
      </c>
      <c r="AD33" s="83" t="str">
        <f t="shared" si="3"/>
        <v/>
      </c>
      <c r="AE33" s="83" t="str">
        <f t="shared" si="4"/>
        <v/>
      </c>
      <c r="AF33" s="83" t="str">
        <f t="shared" si="5"/>
        <v/>
      </c>
      <c r="AG33" s="83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6"/>
      <c r="L34" s="87"/>
      <c r="M34" s="87"/>
      <c r="N34" s="87"/>
      <c r="O34" s="87"/>
      <c r="P34" s="87"/>
      <c r="Q34" s="1"/>
      <c r="R34" s="1"/>
      <c r="AC34" s="83" t="str">
        <f t="shared" si="2"/>
        <v/>
      </c>
      <c r="AD34" s="83" t="str">
        <f t="shared" si="3"/>
        <v/>
      </c>
      <c r="AE34" s="83" t="str">
        <f t="shared" si="4"/>
        <v/>
      </c>
      <c r="AF34" s="83" t="str">
        <f t="shared" si="5"/>
        <v/>
      </c>
      <c r="AG34" s="83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 t="s">
        <v>69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3" t="s">
        <v>70</v>
      </c>
      <c r="N37" s="96"/>
      <c r="O37" s="1"/>
      <c r="P37" s="1"/>
      <c r="Q37" s="1"/>
      <c r="R37" s="1"/>
    </row>
    <row r="38" ht="15.75" customHeight="1">
      <c r="K38" s="94" t="s">
        <v>7</v>
      </c>
      <c r="L38" s="94" t="s">
        <v>71</v>
      </c>
      <c r="M38" s="94" t="s">
        <v>72</v>
      </c>
      <c r="N38" s="98" t="s">
        <v>73</v>
      </c>
    </row>
    <row r="39" ht="15.75" customHeight="1">
      <c r="K39" s="95" t="str">
        <f t="shared" ref="K39:K40" si="7">IF(O22="","",O22)</f>
        <v>AMEL</v>
      </c>
      <c r="L39" s="101">
        <v>5.0</v>
      </c>
      <c r="M39" s="101" t="s">
        <v>76</v>
      </c>
      <c r="N39" s="102">
        <v>4.0</v>
      </c>
    </row>
    <row r="40" ht="15.75" customHeight="1">
      <c r="K40" s="95" t="str">
        <f t="shared" si="7"/>
        <v>AMEL</v>
      </c>
      <c r="L40" s="97"/>
      <c r="M40" s="97"/>
      <c r="N40" s="104"/>
    </row>
    <row r="41" ht="15.75" customHeight="1"/>
    <row r="42" ht="19.5" customHeight="1">
      <c r="K42" s="99" t="s">
        <v>74</v>
      </c>
    </row>
    <row r="43" ht="19.5" customHeight="1">
      <c r="K43" s="100" t="s">
        <v>75</v>
      </c>
      <c r="M43" s="101">
        <v>34.0</v>
      </c>
    </row>
    <row r="44" ht="19.5" customHeight="1">
      <c r="K44" s="103" t="s">
        <v>77</v>
      </c>
      <c r="M44" s="105">
        <f>COUNTIF($I$4:$I$20,"DP")</f>
        <v>4</v>
      </c>
    </row>
    <row r="45" ht="19.5" customHeight="1">
      <c r="K45" s="103" t="s">
        <v>78</v>
      </c>
      <c r="M45" s="105">
        <f>COUNTIFS($I$4:$I$20,"&lt;&gt;DP",$I$4:$I$20,"&lt;&gt;")</f>
        <v>9</v>
      </c>
    </row>
    <row r="46" ht="19.5" customHeight="1">
      <c r="K46" s="106" t="s">
        <v>79</v>
      </c>
      <c r="M46" s="105">
        <f>M44+M45</f>
        <v>13</v>
      </c>
    </row>
    <row r="47" ht="19.5" customHeight="1">
      <c r="K47" s="100" t="s">
        <v>80</v>
      </c>
      <c r="M47" s="107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4"/>
      <c r="F4" s="35"/>
      <c r="G4" s="28"/>
      <c r="H4" s="32"/>
      <c r="I4" s="15"/>
      <c r="J4" s="15"/>
      <c r="K4" s="15"/>
      <c r="L4" s="15"/>
      <c r="M4" s="15"/>
      <c r="N4" s="26"/>
      <c r="O4" s="26"/>
      <c r="P4" s="30"/>
      <c r="Q4" s="1"/>
      <c r="R4" s="1"/>
    </row>
    <row r="5" ht="15.75" customHeight="1">
      <c r="A5" s="1"/>
      <c r="B5" s="14">
        <v>2.0</v>
      </c>
      <c r="C5" s="39"/>
      <c r="D5" s="21"/>
      <c r="E5" s="40"/>
      <c r="F5" s="15"/>
      <c r="G5" s="42"/>
      <c r="H5" s="43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8"/>
      <c r="D6" s="21"/>
      <c r="E6" s="24"/>
      <c r="F6" s="46"/>
      <c r="G6" s="28"/>
      <c r="H6" s="31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8"/>
      <c r="D7" s="21"/>
      <c r="E7" s="40"/>
      <c r="F7" s="35"/>
      <c r="G7" s="28"/>
      <c r="H7" s="31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51"/>
      <c r="D8" s="21"/>
      <c r="E8" s="24"/>
      <c r="F8" s="15"/>
      <c r="G8" s="52"/>
      <c r="H8" s="45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8"/>
      <c r="D9" s="21"/>
      <c r="E9" s="24"/>
      <c r="F9" s="15"/>
      <c r="G9" s="42"/>
      <c r="H9" s="45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8"/>
      <c r="D10" s="21"/>
      <c r="E10" s="24"/>
      <c r="F10" s="15"/>
      <c r="G10" s="28"/>
      <c r="H10" s="31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9"/>
      <c r="D11" s="21"/>
      <c r="E11" s="24"/>
      <c r="F11" s="15"/>
      <c r="G11" s="28"/>
      <c r="H11" s="31"/>
      <c r="I11" s="15"/>
      <c r="J11" s="15"/>
      <c r="K11" s="15"/>
      <c r="L11" s="15"/>
      <c r="M11" s="15"/>
      <c r="N11" s="34"/>
      <c r="O11" s="34"/>
      <c r="P11" s="34"/>
      <c r="Q11" s="1"/>
      <c r="R11" s="1"/>
      <c r="S11" s="55"/>
    </row>
    <row r="12" ht="15.75" customHeight="1">
      <c r="A12" s="1"/>
      <c r="B12" s="14">
        <v>9.0</v>
      </c>
      <c r="C12" s="18"/>
      <c r="D12" s="21"/>
      <c r="E12" s="24"/>
      <c r="F12" s="15"/>
      <c r="G12" s="28"/>
      <c r="H12" s="31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21"/>
      <c r="E13" s="24"/>
      <c r="F13" s="15"/>
      <c r="G13" s="28"/>
      <c r="H13" s="31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>SUM(G3:G13)</f>
        <v>0</v>
      </c>
      <c r="H14" s="61">
        <f>SUM(H4:H13)</f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70"/>
      <c r="D19" s="72"/>
      <c r="E19" s="65"/>
      <c r="F19" s="1"/>
      <c r="G19" s="1"/>
      <c r="H19" s="1"/>
      <c r="I19" s="1"/>
      <c r="J19" s="1"/>
      <c r="K19" s="1"/>
      <c r="L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74"/>
      <c r="D20" s="75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70"/>
      <c r="D21" s="72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74"/>
      <c r="D22" s="75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70"/>
      <c r="D23" s="72"/>
      <c r="E23" s="65"/>
      <c r="F23" s="79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79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1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2">IF(AG25="","",IF(COUNT(L25:P25)&lt;5,"",L25/5*20+M25/5*25+N25/5*25+O25/5*15+P25/5*15))</f>
        <v/>
      </c>
      <c r="AD25" s="83" t="str">
        <f t="shared" ref="AD25:AD30" si="3">IF(AC25="","",IF(AC25&gt;=90,"Sangat Baik",IF(AC25&gt;=80,"Baik",IF(AC25&gt;=70,"Coaching","Underperform"))))</f>
        <v/>
      </c>
      <c r="AE25" s="83" t="str">
        <f t="shared" ref="AE25:AE30" si="4">IF(AG25="","",IF(OR(AG25="INDAH",AG25="ADDEL",AG25="AMEL",AG25="PENTIL",AG25="JIJANG"),"Admin/CS","Fotografer"))</f>
        <v/>
      </c>
      <c r="AF25" s="83" t="str">
        <f t="shared" ref="AF25:AF30" si="5">IF(OR(AG25="",COUNT(L25:P25)&lt;5),"",1)</f>
        <v/>
      </c>
      <c r="AG25" s="83" t="str">
        <f t="shared" ref="AG25:AG30" si="6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1"/>
        <v/>
      </c>
      <c r="L26" s="87"/>
      <c r="M26" s="87"/>
      <c r="N26" s="87"/>
      <c r="O26" s="87"/>
      <c r="P26" s="87"/>
      <c r="Q26" s="1"/>
      <c r="R26" s="1"/>
      <c r="AC26" s="83" t="str">
        <f t="shared" si="2"/>
        <v/>
      </c>
      <c r="AD26" s="83" t="str">
        <f t="shared" si="3"/>
        <v/>
      </c>
      <c r="AE26" s="83" t="str">
        <f t="shared" si="4"/>
        <v/>
      </c>
      <c r="AF26" s="83" t="str">
        <f t="shared" si="5"/>
        <v/>
      </c>
      <c r="AG26" s="83" t="str">
        <f t="shared" si="6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1"/>
        <v/>
      </c>
      <c r="L27" s="87"/>
      <c r="M27" s="87"/>
      <c r="N27" s="87"/>
      <c r="O27" s="87"/>
      <c r="P27" s="87"/>
      <c r="Q27" s="1"/>
      <c r="R27" s="1"/>
      <c r="AC27" s="83" t="str">
        <f t="shared" si="2"/>
        <v/>
      </c>
      <c r="AD27" s="83" t="str">
        <f t="shared" si="3"/>
        <v/>
      </c>
      <c r="AE27" s="83" t="str">
        <f t="shared" si="4"/>
        <v/>
      </c>
      <c r="AF27" s="83" t="str">
        <f t="shared" si="5"/>
        <v/>
      </c>
      <c r="AG27" s="83" t="str">
        <f t="shared" si="6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1"/>
        <v/>
      </c>
      <c r="L28" s="87"/>
      <c r="M28" s="87"/>
      <c r="N28" s="87"/>
      <c r="O28" s="87"/>
      <c r="P28" s="87"/>
      <c r="Q28" s="1"/>
      <c r="R28" s="1"/>
      <c r="AC28" s="83" t="str">
        <f t="shared" si="2"/>
        <v/>
      </c>
      <c r="AD28" s="83" t="str">
        <f t="shared" si="3"/>
        <v/>
      </c>
      <c r="AE28" s="83" t="str">
        <f t="shared" si="4"/>
        <v/>
      </c>
      <c r="AF28" s="83" t="str">
        <f t="shared" si="5"/>
        <v/>
      </c>
      <c r="AG28" s="83" t="str">
        <f t="shared" si="6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2"/>
        <v/>
      </c>
      <c r="AD29" s="83" t="str">
        <f t="shared" si="3"/>
        <v/>
      </c>
      <c r="AE29" s="83" t="str">
        <f t="shared" si="4"/>
        <v/>
      </c>
      <c r="AF29" s="83" t="str">
        <f t="shared" si="5"/>
        <v/>
      </c>
      <c r="AG29" s="83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2"/>
        <v/>
      </c>
      <c r="AD30" s="83" t="str">
        <f t="shared" si="3"/>
        <v/>
      </c>
      <c r="AE30" s="83" t="str">
        <f t="shared" si="4"/>
        <v/>
      </c>
      <c r="AF30" s="83" t="str">
        <f t="shared" si="5"/>
        <v/>
      </c>
      <c r="AG30" s="83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7">IF(O18="","",O18)</f>
        <v/>
      </c>
      <c r="L35" s="97"/>
      <c r="M35" s="97"/>
    </row>
    <row r="36" ht="15.75" customHeight="1">
      <c r="K36" s="95" t="str">
        <f t="shared" si="7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4"/>
      <c r="F4" s="15"/>
      <c r="G4" s="28"/>
      <c r="H4" s="31"/>
      <c r="I4" s="15"/>
      <c r="J4" s="33"/>
      <c r="K4" s="33"/>
      <c r="L4" s="15"/>
      <c r="M4" s="33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8"/>
      <c r="D5" s="21"/>
      <c r="E5" s="24"/>
      <c r="F5" s="15"/>
      <c r="G5" s="28"/>
      <c r="H5" s="31"/>
      <c r="I5" s="15"/>
      <c r="J5" s="33"/>
      <c r="K5" s="33"/>
      <c r="L5" s="15"/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8"/>
      <c r="D6" s="21"/>
      <c r="E6" s="24"/>
      <c r="F6" s="15"/>
      <c r="G6" s="28"/>
      <c r="H6" s="31"/>
      <c r="I6" s="15"/>
      <c r="J6" s="33"/>
      <c r="K6" s="33"/>
      <c r="L6" s="15"/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8"/>
      <c r="D7" s="21"/>
      <c r="E7" s="24"/>
      <c r="F7" s="15"/>
      <c r="G7" s="28"/>
      <c r="H7" s="31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8"/>
      <c r="D8" s="21"/>
      <c r="E8" s="40"/>
      <c r="F8" s="15"/>
      <c r="G8" s="42"/>
      <c r="H8" s="45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21"/>
      <c r="E9" s="15"/>
      <c r="F9" s="14"/>
      <c r="G9" s="47"/>
      <c r="H9" s="22"/>
      <c r="I9" s="14"/>
      <c r="J9" s="14"/>
      <c r="K9" s="14"/>
      <c r="L9" s="15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14"/>
      <c r="G10" s="47"/>
      <c r="H10" s="22"/>
      <c r="I10" s="14"/>
      <c r="J10" s="14"/>
      <c r="K10" s="14"/>
      <c r="L10" s="15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53"/>
      <c r="F11" s="14"/>
      <c r="G11" s="47"/>
      <c r="H11" s="22"/>
      <c r="I11" s="14"/>
      <c r="J11" s="14"/>
      <c r="K11" s="14"/>
      <c r="L11" s="15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8"/>
      <c r="D12" s="18"/>
      <c r="E12" s="15"/>
      <c r="F12" s="14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54">
        <f t="shared" ref="G13:H13" si="1">SUM(G4:G12)</f>
        <v>0</v>
      </c>
      <c r="H13" s="56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8" t="s">
        <v>0</v>
      </c>
      <c r="C16" s="59" t="s">
        <v>6</v>
      </c>
      <c r="D16" s="59" t="s">
        <v>48</v>
      </c>
      <c r="E16" s="1"/>
      <c r="F16" s="1"/>
      <c r="G16" s="1"/>
      <c r="H16" s="1"/>
      <c r="I16" s="1"/>
      <c r="J16" s="1"/>
      <c r="K16" s="1"/>
      <c r="L16" s="1"/>
      <c r="M16" s="1"/>
      <c r="N16" s="59" t="s">
        <v>51</v>
      </c>
      <c r="O16" s="59" t="s">
        <v>1</v>
      </c>
      <c r="P16" s="1"/>
      <c r="Q16" s="1"/>
      <c r="R16" s="1"/>
    </row>
    <row r="17" ht="15.75" customHeight="1">
      <c r="A17" s="1"/>
      <c r="B17" s="62">
        <v>1.0</v>
      </c>
      <c r="C17" s="63" t="s">
        <v>53</v>
      </c>
      <c r="D17" s="64">
        <f>SUM(G13)</f>
        <v>0</v>
      </c>
      <c r="E17" s="65"/>
      <c r="F17" s="1"/>
      <c r="G17" s="1"/>
      <c r="H17" s="1"/>
      <c r="I17" s="1"/>
      <c r="J17" s="1"/>
      <c r="K17" s="1"/>
      <c r="L17" s="1"/>
      <c r="M17" s="1"/>
      <c r="N17" s="66" t="s">
        <v>54</v>
      </c>
      <c r="O17" s="26"/>
      <c r="P17" s="1"/>
      <c r="Q17" s="1"/>
      <c r="R17" s="1"/>
    </row>
    <row r="18" ht="15.75" customHeight="1">
      <c r="A18" s="1"/>
      <c r="B18" s="67">
        <v>2.0</v>
      </c>
      <c r="C18" s="68"/>
      <c r="D18" s="69"/>
      <c r="E18" s="65"/>
      <c r="F18" s="1"/>
      <c r="G18" s="1"/>
      <c r="H18" s="1"/>
      <c r="I18" s="1"/>
      <c r="J18" s="1"/>
      <c r="K18" s="1"/>
      <c r="L18" s="1"/>
      <c r="M18" s="1"/>
      <c r="N18" s="71" t="s">
        <v>55</v>
      </c>
      <c r="O18" s="73"/>
      <c r="P18" s="1"/>
      <c r="Q18" s="1"/>
      <c r="R18" s="1"/>
    </row>
    <row r="19" ht="15.75" customHeight="1">
      <c r="A19" s="1"/>
      <c r="B19" s="62">
        <v>3.0</v>
      </c>
      <c r="C19" s="63"/>
      <c r="D19" s="64"/>
      <c r="E19" s="65"/>
      <c r="F19" s="1"/>
      <c r="G19" s="1"/>
      <c r="H19" s="1"/>
      <c r="I19" s="1"/>
      <c r="J19" s="1"/>
      <c r="K19" s="1"/>
      <c r="L19" s="1"/>
      <c r="M19" s="1"/>
      <c r="N19" s="76" t="s">
        <v>56</v>
      </c>
      <c r="O19" s="34"/>
      <c r="P19" s="1"/>
      <c r="Q19" s="1"/>
      <c r="R19" s="1"/>
    </row>
    <row r="20" ht="15.75" customHeight="1">
      <c r="A20" s="1"/>
      <c r="B20" s="67">
        <v>4.0</v>
      </c>
      <c r="C20" s="68"/>
      <c r="D20" s="69"/>
      <c r="E20" s="65"/>
      <c r="F20" s="1"/>
      <c r="G20" s="1"/>
      <c r="H20" s="1"/>
      <c r="I20" s="1"/>
      <c r="J20" s="1"/>
      <c r="K20" s="1"/>
      <c r="L20" s="1"/>
      <c r="M20" s="1"/>
      <c r="N20" s="77" t="s">
        <v>57</v>
      </c>
      <c r="O20" s="73"/>
      <c r="P20" s="1"/>
      <c r="Q20" s="1"/>
      <c r="R20" s="1"/>
    </row>
    <row r="21" ht="15.75" customHeight="1">
      <c r="A21" s="1"/>
      <c r="B21" s="62">
        <v>5.0</v>
      </c>
      <c r="C21" s="63"/>
      <c r="D21" s="64"/>
      <c r="E21" s="65"/>
      <c r="F21" s="1"/>
      <c r="G21" s="1"/>
      <c r="H21" s="1"/>
      <c r="I21" s="1"/>
      <c r="J21" s="1"/>
      <c r="K21" s="1"/>
      <c r="L21" s="1"/>
      <c r="M21" s="1"/>
      <c r="N21" s="78"/>
      <c r="O21" s="1"/>
      <c r="P21" s="1"/>
      <c r="Q21" s="1"/>
      <c r="R21" s="1"/>
    </row>
    <row r="22" ht="15.75" customHeight="1">
      <c r="A22" s="1"/>
      <c r="B22" s="67">
        <v>6.0</v>
      </c>
      <c r="C22" s="68"/>
      <c r="D22" s="69"/>
      <c r="E22" s="65"/>
      <c r="F22" s="1"/>
      <c r="G22" s="1"/>
      <c r="H22" s="1"/>
      <c r="I22" s="1"/>
      <c r="J22" s="1"/>
      <c r="K22" s="80" t="s">
        <v>58</v>
      </c>
      <c r="Q22" s="1"/>
      <c r="R22" s="1"/>
    </row>
    <row r="23" ht="15.75" customHeight="1">
      <c r="A23" s="1"/>
      <c r="B23" s="62">
        <v>7.0</v>
      </c>
      <c r="C23" s="63"/>
      <c r="D23" s="64"/>
      <c r="E23" s="65"/>
      <c r="F23" s="1"/>
      <c r="G23" s="1"/>
      <c r="H23" s="1"/>
      <c r="I23" s="1"/>
      <c r="J23" s="1"/>
      <c r="K23" s="82" t="s">
        <v>1</v>
      </c>
      <c r="L23" s="82" t="s">
        <v>59</v>
      </c>
      <c r="M23" s="82" t="s">
        <v>60</v>
      </c>
      <c r="N23" s="82" t="s">
        <v>61</v>
      </c>
      <c r="O23" s="82" t="s">
        <v>62</v>
      </c>
      <c r="P23" s="82" t="s">
        <v>63</v>
      </c>
      <c r="Q23" s="1"/>
      <c r="R23" s="1"/>
      <c r="AC23" s="83" t="s">
        <v>64</v>
      </c>
      <c r="AD23" s="83" t="s">
        <v>65</v>
      </c>
      <c r="AE23" s="83" t="s">
        <v>66</v>
      </c>
      <c r="AF23" s="83" t="s">
        <v>67</v>
      </c>
      <c r="AG23" s="83" t="s">
        <v>68</v>
      </c>
    </row>
    <row r="24" ht="15.75" customHeight="1">
      <c r="A24" s="1"/>
      <c r="B24" s="67">
        <v>8.0</v>
      </c>
      <c r="C24" s="68"/>
      <c r="D24" s="69"/>
      <c r="E24" s="65"/>
      <c r="F24" s="1"/>
      <c r="G24" s="1"/>
      <c r="H24" s="1"/>
      <c r="I24" s="1"/>
      <c r="J24" s="1"/>
      <c r="K24" s="86" t="str">
        <f t="shared" ref="K24:K27" si="2">IF(O17="","",O17)</f>
        <v/>
      </c>
      <c r="L24" s="87"/>
      <c r="M24" s="87"/>
      <c r="N24" s="87"/>
      <c r="O24" s="87"/>
      <c r="P24" s="87"/>
      <c r="Q24" s="1"/>
      <c r="R24" s="1"/>
      <c r="AC24" s="83" t="str">
        <f t="shared" ref="AC24:AC29" si="3">IF(AG24="","",IF(COUNT(L24:P24)&lt;5,"",L24/5*20+M24/5*25+N24/5*25+O24/5*15+P24/5*15))</f>
        <v/>
      </c>
      <c r="AD24" s="83" t="str">
        <f t="shared" ref="AD24:AD29" si="4">IF(AC24="","",IF(AC24&gt;=90,"Sangat Baik",IF(AC24&gt;=80,"Baik",IF(AC24&gt;=70,"Coaching","Underperform"))))</f>
        <v/>
      </c>
      <c r="AE24" s="83" t="str">
        <f t="shared" ref="AE24:AE29" si="5">IF(AG24="","",IF(OR(AG24="INDAH",AG24="ADDEL",AG24="AMEL",AG24="PENTIL",AG24="JIJANG"),"Admin/CS","Fotografer"))</f>
        <v/>
      </c>
      <c r="AF24" s="83" t="str">
        <f t="shared" ref="AF24:AF29" si="6">IF(OR(AG24="",COUNT(L24:P24)&lt;5),"",1)</f>
        <v/>
      </c>
      <c r="AG24" s="83" t="str">
        <f t="shared" ref="AG24:AG29" si="7">IFERROR(K24,"")</f>
        <v/>
      </c>
    </row>
    <row r="25" ht="15.75" customHeight="1">
      <c r="A25" s="1"/>
      <c r="B25" s="62">
        <v>9.0</v>
      </c>
      <c r="C25" s="63"/>
      <c r="D25" s="64"/>
      <c r="E25" s="65"/>
      <c r="F25" s="1"/>
      <c r="G25" s="1"/>
      <c r="H25" s="1"/>
      <c r="I25" s="1"/>
      <c r="J25" s="1"/>
      <c r="K25" s="86" t="str">
        <f t="shared" si="2"/>
        <v/>
      </c>
      <c r="L25" s="87"/>
      <c r="M25" s="87"/>
      <c r="N25" s="87"/>
      <c r="O25" s="87"/>
      <c r="P25" s="87"/>
      <c r="Q25" s="1"/>
      <c r="R25" s="1"/>
      <c r="AC25" s="83" t="str">
        <f t="shared" si="3"/>
        <v/>
      </c>
      <c r="AD25" s="83" t="str">
        <f t="shared" si="4"/>
        <v/>
      </c>
      <c r="AE25" s="83" t="str">
        <f t="shared" si="5"/>
        <v/>
      </c>
      <c r="AF25" s="83" t="str">
        <f t="shared" si="6"/>
        <v/>
      </c>
      <c r="AG25" s="83" t="str">
        <f t="shared" si="7"/>
        <v/>
      </c>
    </row>
    <row r="26" ht="15.75" customHeight="1">
      <c r="A26" s="1"/>
      <c r="B26" s="67">
        <v>10.0</v>
      </c>
      <c r="C26" s="68"/>
      <c r="D26" s="69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88">
        <v>11.0</v>
      </c>
      <c r="C27" s="89"/>
      <c r="D27" s="90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1"/>
      <c r="C28" s="2"/>
      <c r="D28" s="91">
        <f>SUM(D17:D27)</f>
        <v>0</v>
      </c>
      <c r="E28" s="1"/>
      <c r="F28" s="1"/>
      <c r="G28" s="1"/>
      <c r="H28" s="1"/>
      <c r="I28" s="1"/>
      <c r="J28" s="1"/>
      <c r="K28" s="86"/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2" t="s">
        <v>69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3" t="s">
        <v>70</v>
      </c>
      <c r="N32" s="1"/>
      <c r="O32" s="1"/>
      <c r="P32" s="1"/>
      <c r="Q32" s="1"/>
      <c r="R32" s="1"/>
    </row>
    <row r="33" ht="15.75" customHeight="1">
      <c r="K33" s="94" t="s">
        <v>7</v>
      </c>
      <c r="L33" s="94" t="s">
        <v>71</v>
      </c>
      <c r="M33" s="94" t="s">
        <v>72</v>
      </c>
    </row>
    <row r="34" ht="15.75" customHeight="1">
      <c r="K34" s="95" t="str">
        <f t="shared" ref="K34:K35" si="8">IF(O17="","",O17)</f>
        <v/>
      </c>
      <c r="L34" s="97"/>
      <c r="M34" s="97"/>
    </row>
    <row r="35" ht="15.75" customHeight="1">
      <c r="K35" s="95" t="str">
        <f t="shared" si="8"/>
        <v/>
      </c>
      <c r="L35" s="97"/>
      <c r="M35" s="97"/>
    </row>
    <row r="36" ht="15.75" customHeight="1"/>
    <row r="37" ht="19.5" customHeight="1">
      <c r="K37" s="99" t="s">
        <v>74</v>
      </c>
    </row>
    <row r="38" ht="19.5" customHeight="1">
      <c r="K38" s="100" t="s">
        <v>75</v>
      </c>
      <c r="M38" s="97"/>
    </row>
    <row r="39" ht="19.5" customHeight="1">
      <c r="K39" s="103" t="s">
        <v>77</v>
      </c>
      <c r="M39" s="105">
        <f>COUNTIF($I$4:$I$15,"DP")</f>
        <v>0</v>
      </c>
    </row>
    <row r="40" ht="19.5" customHeight="1">
      <c r="K40" s="103" t="s">
        <v>78</v>
      </c>
      <c r="M40" s="105">
        <f>COUNTIFS($I$4:$I$15,"&lt;&gt;DP",$I$4:$I$15,"&lt;&gt;")</f>
        <v>0</v>
      </c>
    </row>
    <row r="41" ht="19.5" customHeight="1">
      <c r="K41" s="106" t="s">
        <v>79</v>
      </c>
      <c r="M41" s="105">
        <f>M39+M40</f>
        <v>0</v>
      </c>
    </row>
    <row r="42" ht="19.5" customHeight="1">
      <c r="K42" s="100" t="s">
        <v>80</v>
      </c>
      <c r="M42" s="107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6"/>
      <c r="E4" s="14"/>
      <c r="F4" s="19"/>
      <c r="G4" s="20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6"/>
      <c r="E5" s="14"/>
      <c r="F5" s="19"/>
      <c r="G5" s="20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6"/>
      <c r="E6" s="14"/>
      <c r="F6" s="36"/>
      <c r="G6" s="20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6"/>
      <c r="E7" s="14"/>
      <c r="F7" s="36"/>
      <c r="G7" s="20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6"/>
      <c r="E8" s="14"/>
      <c r="F8" s="41"/>
      <c r="G8" s="20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6"/>
      <c r="E9" s="14"/>
      <c r="F9" s="41"/>
      <c r="G9" s="20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6"/>
      <c r="E10" s="14"/>
      <c r="F10" s="41"/>
      <c r="G10" s="20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9"/>
      <c r="D11" s="16"/>
      <c r="E11" s="14"/>
      <c r="F11" s="36"/>
      <c r="G11" s="20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6"/>
      <c r="E12" s="14"/>
      <c r="F12" s="41"/>
      <c r="G12" s="20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6"/>
      <c r="E13" s="14"/>
      <c r="F13" s="36"/>
      <c r="G13" s="20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</row>
    <row r="4" ht="15.75" customHeight="1">
      <c r="A4" s="1"/>
      <c r="B4" s="14">
        <v>1.0</v>
      </c>
      <c r="C4" s="16"/>
      <c r="D4" s="16"/>
      <c r="E4" s="109"/>
      <c r="F4" s="19"/>
      <c r="G4" s="110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</row>
    <row r="5" ht="15.75" customHeight="1">
      <c r="A5" s="1"/>
      <c r="B5" s="14">
        <v>2.0</v>
      </c>
      <c r="C5" s="16"/>
      <c r="D5" s="16"/>
      <c r="E5" s="109"/>
      <c r="F5" s="19"/>
      <c r="G5" s="110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</row>
    <row r="6" ht="15.75" customHeight="1">
      <c r="A6" s="1"/>
      <c r="B6" s="14">
        <v>3.0</v>
      </c>
      <c r="C6" s="16"/>
      <c r="D6" s="16"/>
      <c r="E6" s="109"/>
      <c r="F6" s="36"/>
      <c r="G6" s="110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</row>
    <row r="7" ht="15.75" customHeight="1">
      <c r="A7" s="1"/>
      <c r="B7" s="14">
        <v>4.0</v>
      </c>
      <c r="C7" s="16"/>
      <c r="D7" s="16"/>
      <c r="E7" s="109"/>
      <c r="F7" s="36"/>
      <c r="G7" s="110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</row>
    <row r="8" ht="15.75" customHeight="1">
      <c r="A8" s="1"/>
      <c r="B8" s="14">
        <v>5.0</v>
      </c>
      <c r="C8" s="16"/>
      <c r="D8" s="16"/>
      <c r="E8" s="111"/>
      <c r="F8" s="36"/>
      <c r="G8" s="110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</row>
    <row r="9" ht="15.75" customHeight="1">
      <c r="A9" s="1"/>
      <c r="B9" s="14">
        <v>6.0</v>
      </c>
      <c r="C9" s="16"/>
      <c r="D9" s="16"/>
      <c r="E9" s="109"/>
      <c r="F9" s="36"/>
      <c r="G9" s="110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</row>
    <row r="10" ht="15.75" customHeight="1">
      <c r="A10" s="1"/>
      <c r="B10" s="14">
        <v>7.0</v>
      </c>
      <c r="C10" s="16"/>
      <c r="D10" s="16"/>
      <c r="E10" s="109"/>
      <c r="F10" s="36"/>
      <c r="G10" s="110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</row>
    <row r="11" ht="15.75" customHeight="1">
      <c r="A11" s="1"/>
      <c r="B11" s="14">
        <v>8.0</v>
      </c>
      <c r="C11" s="112"/>
      <c r="D11" s="16"/>
      <c r="E11" s="111"/>
      <c r="F11" s="113"/>
      <c r="G11" s="110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</row>
    <row r="12" ht="15.75" customHeight="1">
      <c r="A12" s="1"/>
      <c r="B12" s="14">
        <v>9.0</v>
      </c>
      <c r="C12" s="16"/>
      <c r="D12" s="16"/>
      <c r="E12" s="111"/>
      <c r="F12" s="41"/>
      <c r="G12" s="110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</row>
    <row r="13" ht="15.75" customHeight="1">
      <c r="A13" s="1"/>
      <c r="B13" s="14">
        <v>10.0</v>
      </c>
      <c r="C13" s="16"/>
      <c r="D13" s="16"/>
      <c r="E13" s="14"/>
      <c r="F13" s="14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 t="s">
        <v>64</v>
      </c>
      <c r="AD24" s="108" t="s">
        <v>65</v>
      </c>
      <c r="AE24" s="108" t="s">
        <v>66</v>
      </c>
      <c r="AF24" s="108" t="s">
        <v>67</v>
      </c>
      <c r="AG24" s="108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 t="str">
        <f t="shared" ref="AC25:AC30" si="3">IF(AG25="","",IF(COUNT(L25:P25)&lt;5,"",L25/5*20+M25/5*25+N25/5*25+O25/5*15+P25/5*15))</f>
        <v/>
      </c>
      <c r="AD25" s="108" t="str">
        <f t="shared" ref="AD25:AD30" si="4">IF(AC25="","",IF(AC25&gt;=90,"Sangat Baik",IF(AC25&gt;=80,"Baik",IF(AC25&gt;=70,"Coaching","Underperform"))))</f>
        <v/>
      </c>
      <c r="AE25" s="108" t="str">
        <f t="shared" ref="AE25:AE30" si="5">IF(AG25="","",IF(OR(AG25="INDAH",AG25="ADDEL",AG25="AMEL",AG25="PENTIL",AG25="JIJANG"),"Admin/CS","Fotografer"))</f>
        <v/>
      </c>
      <c r="AF25" s="108" t="str">
        <f t="shared" ref="AF25:AF30" si="6">IF(OR(AG25="",COUNT(L25:P25)&lt;5),"",1)</f>
        <v/>
      </c>
      <c r="AG25" s="108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 t="str">
        <f t="shared" si="3"/>
        <v/>
      </c>
      <c r="AD26" s="108" t="str">
        <f t="shared" si="4"/>
        <v/>
      </c>
      <c r="AE26" s="108" t="str">
        <f t="shared" si="5"/>
        <v/>
      </c>
      <c r="AF26" s="108" t="str">
        <f t="shared" si="6"/>
        <v/>
      </c>
      <c r="AG26" s="108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 t="str">
        <f t="shared" si="3"/>
        <v/>
      </c>
      <c r="AD27" s="108" t="str">
        <f t="shared" si="4"/>
        <v/>
      </c>
      <c r="AE27" s="108" t="str">
        <f t="shared" si="5"/>
        <v/>
      </c>
      <c r="AF27" s="108" t="str">
        <f t="shared" si="6"/>
        <v/>
      </c>
      <c r="AG27" s="108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 t="str">
        <f t="shared" si="3"/>
        <v/>
      </c>
      <c r="AD28" s="108" t="str">
        <f t="shared" si="4"/>
        <v/>
      </c>
      <c r="AE28" s="108" t="str">
        <f t="shared" si="5"/>
        <v/>
      </c>
      <c r="AF28" s="108" t="str">
        <f t="shared" si="6"/>
        <v/>
      </c>
      <c r="AG28" s="108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 t="str">
        <f t="shared" si="3"/>
        <v/>
      </c>
      <c r="AD29" s="108" t="str">
        <f t="shared" si="4"/>
        <v/>
      </c>
      <c r="AE29" s="108" t="str">
        <f t="shared" si="5"/>
        <v/>
      </c>
      <c r="AF29" s="108" t="str">
        <f t="shared" si="6"/>
        <v/>
      </c>
      <c r="AG29" s="10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 t="str">
        <f t="shared" si="3"/>
        <v/>
      </c>
      <c r="AD30" s="108" t="str">
        <f t="shared" si="4"/>
        <v/>
      </c>
      <c r="AE30" s="108" t="str">
        <f t="shared" si="5"/>
        <v/>
      </c>
      <c r="AF30" s="108" t="str">
        <f t="shared" si="6"/>
        <v/>
      </c>
      <c r="AG30" s="10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</row>
    <row r="34" ht="15.75" customHeight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94" t="s">
        <v>7</v>
      </c>
      <c r="L34" s="94" t="s">
        <v>71</v>
      </c>
      <c r="M34" s="94" t="s">
        <v>72</v>
      </c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</row>
    <row r="35" ht="15.75" customHeight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95" t="str">
        <f t="shared" ref="K35:K36" si="8">IF(O18="","",O18)</f>
        <v/>
      </c>
      <c r="L35" s="97"/>
      <c r="M35" s="97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</row>
    <row r="36" ht="15.75" customHeight="1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95" t="str">
        <f t="shared" si="8"/>
        <v/>
      </c>
      <c r="L36" s="97"/>
      <c r="M36" s="97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</row>
    <row r="37" ht="15.75" customHeight="1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</row>
    <row r="38" ht="19.5" customHeight="1">
      <c r="A38" s="108"/>
      <c r="B38" s="108"/>
      <c r="C38" s="108"/>
      <c r="D38" s="108"/>
      <c r="E38" s="108"/>
      <c r="F38" s="108"/>
      <c r="G38" s="108"/>
      <c r="H38" s="108"/>
      <c r="I38" s="108"/>
      <c r="J38" s="108"/>
      <c r="K38" s="99" t="s">
        <v>74</v>
      </c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</row>
    <row r="39" ht="19.5" customHeight="1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100" t="s">
        <v>75</v>
      </c>
      <c r="M39" s="97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</row>
    <row r="40" ht="19.5" customHeight="1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3" t="s">
        <v>77</v>
      </c>
      <c r="M40" s="105">
        <f>COUNTIF($I$4:$I$16,"DP")</f>
        <v>0</v>
      </c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</row>
    <row r="41" ht="19.5" customHeight="1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3" t="s">
        <v>78</v>
      </c>
      <c r="M41" s="105">
        <f>COUNTIFS($I$4:$I$16,"&lt;&gt;DP",$I$4:$I$16,"&lt;&gt;")</f>
        <v>0</v>
      </c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</row>
    <row r="42" ht="19.5" customHeight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6" t="s">
        <v>79</v>
      </c>
      <c r="M42" s="105">
        <f>M40+M41</f>
        <v>0</v>
      </c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</row>
    <row r="43" ht="19.5" customHeigh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100" t="s">
        <v>80</v>
      </c>
      <c r="M43" s="107" t="str">
        <f>IF(OR(M39="",M39=0),"",M40/M39)</f>
        <v/>
      </c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</row>
    <row r="44" ht="15.75" customHeigh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</row>
    <row r="45" ht="15.75" customHeigh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</row>
    <row r="46" ht="15.75" customHeigh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</row>
    <row r="47" ht="15.75" customHeigh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</row>
    <row r="48" ht="15.75" customHeight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</row>
    <row r="49" ht="15.75" customHeigh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</row>
    <row r="50" ht="15.75" customHeight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</row>
    <row r="51" ht="15.75" customHeight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</row>
    <row r="52" ht="15.75" customHeight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</row>
    <row r="53" ht="15.75" customHeight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</row>
    <row r="54" ht="15.75" customHeight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</row>
    <row r="55" ht="15.75" customHeight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</row>
    <row r="56" ht="15.75" customHeight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</row>
    <row r="57" ht="15.75" customHeight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</row>
    <row r="58" ht="15.75" customHeight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</row>
    <row r="59" ht="15.75" customHeight="1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</row>
    <row r="60" ht="15.75" customHeight="1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</row>
    <row r="61" ht="15.75" customHeight="1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</row>
    <row r="62" ht="15.75" customHeight="1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</row>
    <row r="63" ht="15.75" customHeight="1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</row>
    <row r="64" ht="15.75" customHeight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</row>
    <row r="65" ht="15.75" customHeight="1">
      <c r="A65" s="108"/>
      <c r="B65" s="108"/>
      <c r="C65" s="108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</row>
    <row r="66" ht="15.75" customHeight="1">
      <c r="A66" s="108"/>
      <c r="B66" s="108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</row>
    <row r="67" ht="15.75" customHeight="1">
      <c r="A67" s="108"/>
      <c r="B67" s="108"/>
      <c r="C67" s="108"/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</row>
    <row r="68" ht="15.75" customHeight="1">
      <c r="A68" s="108"/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</row>
    <row r="69" ht="15.75" customHeight="1">
      <c r="A69" s="108"/>
      <c r="B69" s="108"/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</row>
    <row r="70" ht="15.75" customHeight="1">
      <c r="A70" s="108"/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</row>
    <row r="71" ht="15.75" customHeight="1">
      <c r="A71" s="108"/>
      <c r="B71" s="108"/>
      <c r="C71" s="108"/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</row>
    <row r="72" ht="15.75" customHeight="1">
      <c r="A72" s="108"/>
      <c r="B72" s="108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</row>
    <row r="73" ht="15.75" customHeight="1">
      <c r="A73" s="108"/>
      <c r="B73" s="108"/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</row>
    <row r="74" ht="15.75" customHeight="1">
      <c r="A74" s="108"/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</row>
    <row r="75" ht="15.75" customHeight="1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</row>
    <row r="76" ht="15.75" customHeight="1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</row>
    <row r="77" ht="15.75" customHeight="1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</row>
    <row r="78" ht="15.75" customHeight="1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</row>
    <row r="79" ht="15.75" customHeight="1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</row>
    <row r="80" ht="15.75" customHeight="1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</row>
    <row r="81" ht="15.75" customHeight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</row>
    <row r="82" ht="15.75" customHeight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</row>
    <row r="83" ht="15.75" customHeigh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</row>
    <row r="84" ht="15.75" customHeight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</row>
    <row r="85" ht="15.75" customHeight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</row>
    <row r="86" ht="15.75" customHeight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</row>
    <row r="87" ht="15.75" customHeight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</row>
    <row r="88" ht="15.75" customHeight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</row>
    <row r="89" ht="15.75" customHeight="1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</row>
    <row r="90" ht="15.75" customHeight="1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</row>
    <row r="91" ht="15.75" customHeight="1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</row>
    <row r="92" ht="15.75" customHeight="1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</row>
    <row r="93" ht="15.75" customHeight="1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</row>
    <row r="94" ht="15.75" customHeight="1">
      <c r="A94" s="108"/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</row>
    <row r="95" ht="15.75" customHeight="1">
      <c r="A95" s="108"/>
      <c r="B95" s="108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</row>
    <row r="96" ht="15.75" customHeight="1">
      <c r="A96" s="108"/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</row>
    <row r="97" ht="15.75" customHeight="1">
      <c r="A97" s="108"/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</row>
    <row r="98" ht="15.75" customHeight="1">
      <c r="A98" s="108"/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</row>
    <row r="99" ht="15.75" customHeight="1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</row>
    <row r="100" ht="15.75" customHeight="1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</row>
    <row r="101" ht="15.75" customHeight="1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</row>
    <row r="102" ht="15.75" customHeight="1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</row>
    <row r="103" ht="15.75" customHeight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</row>
    <row r="104" ht="15.75" customHeight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</row>
    <row r="105" ht="15.75" customHeight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</row>
    <row r="106" ht="15.75" customHeight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</row>
    <row r="107" ht="15.75" customHeight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</row>
    <row r="108" ht="15.75" customHeight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</row>
    <row r="109" ht="15.75" customHeight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</row>
    <row r="110" ht="15.75" customHeight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</row>
    <row r="111" ht="15.75" customHeight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</row>
    <row r="112" ht="15.75" customHeight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</row>
    <row r="113" ht="15.75" customHeight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</row>
    <row r="114" ht="15.75" customHeight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</row>
    <row r="115" ht="15.75" customHeight="1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</row>
    <row r="116" ht="15.75" customHeight="1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</row>
    <row r="117" ht="15.75" customHeight="1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</row>
    <row r="118" ht="15.75" customHeight="1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</row>
    <row r="119" ht="15.75" customHeight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</row>
    <row r="120" ht="15.75" customHeight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</row>
    <row r="121" ht="15.75" customHeight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</row>
    <row r="122" ht="15.75" customHeight="1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</row>
    <row r="123" ht="15.75" customHeight="1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</row>
    <row r="124" ht="15.75" customHeight="1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</row>
    <row r="125" ht="15.75" customHeight="1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</row>
    <row r="126" ht="15.75" customHeight="1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</row>
    <row r="127" ht="15.75" customHeight="1">
      <c r="A127" s="108"/>
      <c r="B127" s="108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</row>
    <row r="128" ht="15.75" customHeight="1">
      <c r="A128" s="10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</row>
    <row r="129" ht="15.75" customHeight="1">
      <c r="A129" s="108"/>
      <c r="B129" s="108"/>
      <c r="C129" s="108"/>
      <c r="D129" s="108"/>
      <c r="E129" s="108"/>
      <c r="F129" s="108"/>
      <c r="G129" s="108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</row>
    <row r="130" ht="15.75" customHeight="1">
      <c r="A130" s="108"/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</row>
    <row r="131" ht="15.75" customHeight="1">
      <c r="A131" s="108"/>
      <c r="B131" s="108"/>
      <c r="C131" s="108"/>
      <c r="D131" s="108"/>
      <c r="E131" s="108"/>
      <c r="F131" s="108"/>
      <c r="G131" s="108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</row>
    <row r="132" ht="15.75" customHeight="1">
      <c r="A132" s="108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</row>
    <row r="133" ht="15.75" customHeight="1">
      <c r="A133" s="108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</row>
    <row r="134" ht="15.75" customHeight="1">
      <c r="A134" s="108"/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</row>
    <row r="135" ht="15.75" customHeight="1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</row>
    <row r="136" ht="15.75" customHeight="1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</row>
    <row r="137" ht="15.75" customHeight="1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</row>
    <row r="138" ht="15.75" customHeight="1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</row>
    <row r="139" ht="15.75" customHeight="1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</row>
    <row r="140" ht="15.75" customHeight="1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</row>
    <row r="141" ht="15.75" customHeight="1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</row>
    <row r="142" ht="15.75" customHeight="1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</row>
    <row r="143" ht="15.75" customHeight="1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</row>
    <row r="144" ht="15.75" customHeight="1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</row>
    <row r="145" ht="15.75" customHeight="1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</row>
    <row r="146" ht="15.75" customHeight="1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</row>
    <row r="147" ht="15.75" customHeight="1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</row>
    <row r="148" ht="15.75" customHeight="1">
      <c r="A148" s="108"/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</row>
    <row r="149" ht="15.75" customHeight="1">
      <c r="A149" s="108"/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</row>
    <row r="150" ht="15.75" customHeight="1">
      <c r="A150" s="108"/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</row>
    <row r="151" ht="15.75" customHeight="1">
      <c r="A151" s="108"/>
      <c r="B151" s="108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</row>
    <row r="152" ht="15.75" customHeight="1">
      <c r="A152" s="108"/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</row>
    <row r="153" ht="15.75" customHeight="1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</row>
    <row r="154" ht="15.75" customHeight="1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</row>
    <row r="155" ht="15.75" customHeight="1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</row>
    <row r="156" ht="15.75" customHeight="1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</row>
    <row r="157" ht="15.75" customHeight="1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</row>
    <row r="158" ht="15.75" customHeight="1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</row>
    <row r="159" ht="15.75" customHeight="1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</row>
    <row r="160" ht="15.75" customHeight="1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</row>
    <row r="161" ht="15.75" customHeight="1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</row>
    <row r="162" ht="15.75" customHeight="1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</row>
    <row r="163" ht="15.75" customHeight="1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</row>
    <row r="164" ht="15.75" customHeight="1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</row>
    <row r="165" ht="15.75" customHeight="1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</row>
    <row r="166" ht="15.75" customHeight="1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</row>
    <row r="167" ht="15.75" customHeight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</row>
    <row r="168" ht="15.75" customHeight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</row>
    <row r="169" ht="15.75" customHeight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</row>
    <row r="170" ht="15.75" customHeight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</row>
    <row r="171" ht="15.75" customHeight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</row>
    <row r="172" ht="15.75" customHeight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</row>
    <row r="173" ht="15.75" customHeight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</row>
    <row r="174" ht="15.75" customHeight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</row>
    <row r="175" ht="15.75" customHeight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</row>
    <row r="176" ht="15.75" customHeight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</row>
    <row r="177" ht="15.75" customHeight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</row>
    <row r="178" ht="15.75" customHeight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</row>
    <row r="179" ht="15.75" customHeight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</row>
    <row r="180" ht="15.75" customHeight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</row>
    <row r="181" ht="15.75" customHeight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</row>
    <row r="182" ht="15.75" customHeight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</row>
    <row r="183" ht="15.75" customHeight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</row>
    <row r="184" ht="15.75" customHeight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</row>
    <row r="185" ht="15.75" customHeight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</row>
    <row r="186" ht="15.75" customHeight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</row>
    <row r="187" ht="15.75" customHeight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</row>
    <row r="188" ht="15.75" customHeight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</row>
    <row r="189" ht="15.75" customHeight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</row>
    <row r="190" ht="15.75" customHeight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</row>
    <row r="191" ht="15.75" customHeight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</row>
    <row r="192" ht="15.75" customHeight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</row>
    <row r="193" ht="15.75" customHeight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</row>
    <row r="194" ht="15.75" customHeight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</row>
    <row r="195" ht="15.75" customHeight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</row>
    <row r="196" ht="15.75" customHeight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</row>
    <row r="197" ht="15.75" customHeight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</row>
    <row r="198" ht="15.75" customHeight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</row>
    <row r="199" ht="15.75" customHeight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</row>
    <row r="200" ht="15.75" customHeight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</row>
    <row r="201" ht="15.75" customHeight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</row>
    <row r="202" ht="15.75" customHeight="1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</row>
    <row r="203" ht="15.75" customHeight="1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</row>
    <row r="204" ht="15.75" customHeight="1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</row>
    <row r="205" ht="15.75" customHeight="1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</row>
    <row r="206" ht="15.75" customHeight="1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</row>
    <row r="207" ht="15.75" customHeight="1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</row>
    <row r="208" ht="15.75" customHeight="1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</row>
    <row r="209" ht="15.75" customHeight="1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</row>
    <row r="210" ht="15.75" customHeight="1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</row>
    <row r="211" ht="15.75" customHeight="1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</row>
    <row r="212" ht="15.75" customHeight="1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</row>
    <row r="213" ht="15.75" customHeight="1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</row>
    <row r="214" ht="15.75" customHeight="1">
      <c r="A214" s="108"/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</row>
    <row r="215" ht="15.75" customHeight="1">
      <c r="A215" s="108"/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</row>
    <row r="216" ht="15.75" customHeight="1">
      <c r="A216" s="108"/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</row>
    <row r="217" ht="15.75" customHeight="1">
      <c r="A217" s="108"/>
      <c r="B217" s="108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</row>
    <row r="218" ht="15.75" customHeight="1">
      <c r="A218" s="108"/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</row>
    <row r="219" ht="15.75" customHeight="1">
      <c r="A219" s="108"/>
      <c r="B219" s="108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</row>
    <row r="220" ht="15.75" customHeight="1">
      <c r="A220" s="108"/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</row>
    <row r="221" ht="15.75" customHeight="1">
      <c r="A221" s="108"/>
      <c r="B221" s="108"/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</row>
    <row r="222" ht="15.75" customHeight="1">
      <c r="A222" s="108"/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</row>
    <row r="223" ht="15.75" customHeight="1">
      <c r="A223" s="108"/>
      <c r="B223" s="108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</row>
    <row r="224" ht="15.75" customHeight="1">
      <c r="A224" s="108"/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</row>
    <row r="225" ht="15.75" customHeight="1">
      <c r="A225" s="108"/>
      <c r="B225" s="108"/>
      <c r="C225" s="108"/>
      <c r="D225" s="108"/>
      <c r="E225" s="108"/>
      <c r="F225" s="108"/>
      <c r="G225" s="108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</row>
    <row r="226" ht="15.75" customHeight="1">
      <c r="A226" s="108"/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</row>
    <row r="227" ht="15.75" customHeight="1">
      <c r="A227" s="108"/>
      <c r="B227" s="108"/>
      <c r="C227" s="108"/>
      <c r="D227" s="108"/>
      <c r="E227" s="108"/>
      <c r="F227" s="108"/>
      <c r="G227" s="108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</row>
    <row r="228" ht="15.75" customHeight="1">
      <c r="A228" s="108"/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</row>
    <row r="229" ht="15.75" customHeight="1">
      <c r="A229" s="108"/>
      <c r="B229" s="108"/>
      <c r="C229" s="108"/>
      <c r="D229" s="108"/>
      <c r="E229" s="108"/>
      <c r="F229" s="108"/>
      <c r="G229" s="108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</row>
    <row r="230" ht="15.75" customHeight="1">
      <c r="A230" s="108"/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</row>
    <row r="231" ht="15.75" customHeight="1">
      <c r="A231" s="108"/>
      <c r="B231" s="108"/>
      <c r="C231" s="108"/>
      <c r="D231" s="108"/>
      <c r="E231" s="108"/>
      <c r="F231" s="108"/>
      <c r="G231" s="108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</row>
    <row r="232" ht="15.75" customHeight="1">
      <c r="A232" s="108"/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</row>
    <row r="233" ht="15.75" customHeight="1">
      <c r="A233" s="108"/>
      <c r="B233" s="108"/>
      <c r="C233" s="108"/>
      <c r="D233" s="108"/>
      <c r="E233" s="108"/>
      <c r="F233" s="108"/>
      <c r="G233" s="108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</row>
    <row r="234" ht="15.75" customHeight="1">
      <c r="A234" s="108"/>
      <c r="B234" s="108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</row>
    <row r="235" ht="15.75" customHeight="1">
      <c r="A235" s="108"/>
      <c r="B235" s="108"/>
      <c r="C235" s="108"/>
      <c r="D235" s="108"/>
      <c r="E235" s="108"/>
      <c r="F235" s="108"/>
      <c r="G235" s="108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</row>
    <row r="236" ht="15.75" customHeight="1">
      <c r="A236" s="108"/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</row>
    <row r="237" ht="15.75" customHeight="1">
      <c r="A237" s="108"/>
      <c r="B237" s="108"/>
      <c r="C237" s="108"/>
      <c r="D237" s="108"/>
      <c r="E237" s="108"/>
      <c r="F237" s="108"/>
      <c r="G237" s="108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</row>
    <row r="238" ht="15.75" customHeight="1">
      <c r="A238" s="108"/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</row>
    <row r="239" ht="15.75" customHeight="1">
      <c r="A239" s="108"/>
      <c r="B239" s="108"/>
      <c r="C239" s="108"/>
      <c r="D239" s="108"/>
      <c r="E239" s="108"/>
      <c r="F239" s="108"/>
      <c r="G239" s="108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</row>
    <row r="240" ht="15.75" customHeight="1">
      <c r="A240" s="108"/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</row>
    <row r="241" ht="15.75" customHeight="1">
      <c r="A241" s="108"/>
      <c r="B241" s="108"/>
      <c r="C241" s="108"/>
      <c r="D241" s="108"/>
      <c r="E241" s="108"/>
      <c r="F241" s="108"/>
      <c r="G241" s="108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</row>
    <row r="242" ht="15.75" customHeight="1">
      <c r="A242" s="108"/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</row>
    <row r="243" ht="15.75" customHeight="1">
      <c r="A243" s="108"/>
      <c r="B243" s="108"/>
      <c r="C243" s="108"/>
      <c r="D243" s="108"/>
      <c r="E243" s="108"/>
      <c r="F243" s="108"/>
      <c r="G243" s="108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</row>
    <row r="244" ht="15.75" customHeight="1">
      <c r="A244" s="108"/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</row>
    <row r="245" ht="15.75" customHeight="1">
      <c r="A245" s="108"/>
      <c r="B245" s="108"/>
      <c r="C245" s="108"/>
      <c r="D245" s="108"/>
      <c r="E245" s="108"/>
      <c r="F245" s="108"/>
      <c r="G245" s="108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</row>
    <row r="246" ht="15.75" customHeight="1">
      <c r="A246" s="108"/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</row>
    <row r="247" ht="15.75" customHeight="1">
      <c r="A247" s="108"/>
      <c r="B247" s="108"/>
      <c r="C247" s="108"/>
      <c r="D247" s="108"/>
      <c r="E247" s="108"/>
      <c r="F247" s="108"/>
      <c r="G247" s="108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</row>
    <row r="248" ht="15.75" customHeight="1">
      <c r="A248" s="108"/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</row>
    <row r="249" ht="15.75" customHeight="1">
      <c r="A249" s="108"/>
      <c r="B249" s="108"/>
      <c r="C249" s="108"/>
      <c r="D249" s="108"/>
      <c r="E249" s="108"/>
      <c r="F249" s="108"/>
      <c r="G249" s="108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</row>
    <row r="250" ht="15.75" customHeight="1">
      <c r="A250" s="108"/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</row>
    <row r="251" ht="15.75" customHeight="1">
      <c r="A251" s="108"/>
      <c r="B251" s="108"/>
      <c r="C251" s="108"/>
      <c r="D251" s="108"/>
      <c r="E251" s="108"/>
      <c r="F251" s="108"/>
      <c r="G251" s="108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</row>
    <row r="252" ht="15.75" customHeight="1">
      <c r="A252" s="108"/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</row>
    <row r="253" ht="15.75" customHeight="1">
      <c r="A253" s="108"/>
      <c r="B253" s="108"/>
      <c r="C253" s="108"/>
      <c r="D253" s="108"/>
      <c r="E253" s="108"/>
      <c r="F253" s="108"/>
      <c r="G253" s="108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</row>
    <row r="254" ht="15.75" customHeight="1">
      <c r="A254" s="108"/>
      <c r="B254" s="108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</row>
    <row r="255" ht="15.75" customHeight="1">
      <c r="A255" s="108"/>
      <c r="B255" s="108"/>
      <c r="C255" s="108"/>
      <c r="D255" s="108"/>
      <c r="E255" s="108"/>
      <c r="F255" s="108"/>
      <c r="G255" s="108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</row>
    <row r="256" ht="15.75" customHeight="1">
      <c r="A256" s="108"/>
      <c r="B256" s="108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</row>
    <row r="257" ht="15.75" customHeight="1">
      <c r="A257" s="108"/>
      <c r="B257" s="108"/>
      <c r="C257" s="108"/>
      <c r="D257" s="108"/>
      <c r="E257" s="108"/>
      <c r="F257" s="108"/>
      <c r="G257" s="108"/>
      <c r="H257" s="108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</row>
    <row r="258" ht="15.75" customHeight="1">
      <c r="A258" s="108"/>
      <c r="B258" s="108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</row>
    <row r="259" ht="15.75" customHeight="1">
      <c r="A259" s="108"/>
      <c r="B259" s="108"/>
      <c r="C259" s="108"/>
      <c r="D259" s="108"/>
      <c r="E259" s="108"/>
      <c r="F259" s="108"/>
      <c r="G259" s="108"/>
      <c r="H259" s="108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</row>
    <row r="260" ht="15.75" customHeight="1">
      <c r="A260" s="108"/>
      <c r="B260" s="108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</row>
    <row r="261" ht="15.75" customHeight="1">
      <c r="A261" s="108"/>
      <c r="B261" s="108"/>
      <c r="C261" s="108"/>
      <c r="D261" s="108"/>
      <c r="E261" s="108"/>
      <c r="F261" s="108"/>
      <c r="G261" s="108"/>
      <c r="H261" s="108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</row>
    <row r="262" ht="15.75" customHeight="1">
      <c r="A262" s="108"/>
      <c r="B262" s="108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</row>
    <row r="263" ht="15.75" customHeight="1">
      <c r="A263" s="108"/>
      <c r="B263" s="108"/>
      <c r="C263" s="108"/>
      <c r="D263" s="108"/>
      <c r="E263" s="108"/>
      <c r="F263" s="108"/>
      <c r="G263" s="108"/>
      <c r="H263" s="108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</row>
    <row r="264" ht="15.75" customHeight="1">
      <c r="A264" s="108"/>
      <c r="B264" s="108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</row>
    <row r="265" ht="15.75" customHeight="1">
      <c r="A265" s="108"/>
      <c r="B265" s="108"/>
      <c r="C265" s="108"/>
      <c r="D265" s="108"/>
      <c r="E265" s="108"/>
      <c r="F265" s="108"/>
      <c r="G265" s="108"/>
      <c r="H265" s="108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</row>
    <row r="266" ht="15.75" customHeight="1">
      <c r="A266" s="108"/>
      <c r="B266" s="108"/>
      <c r="C266" s="108"/>
      <c r="D266" s="108"/>
      <c r="E266" s="108"/>
      <c r="F266" s="108"/>
      <c r="G266" s="108"/>
      <c r="H266" s="108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</row>
    <row r="267" ht="15.75" customHeight="1">
      <c r="A267" s="108"/>
      <c r="B267" s="108"/>
      <c r="C267" s="108"/>
      <c r="D267" s="108"/>
      <c r="E267" s="108"/>
      <c r="F267" s="108"/>
      <c r="G267" s="108"/>
      <c r="H267" s="108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</row>
    <row r="268" ht="15.75" customHeight="1">
      <c r="A268" s="108"/>
      <c r="B268" s="108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</row>
    <row r="269" ht="15.75" customHeight="1">
      <c r="A269" s="108"/>
      <c r="B269" s="108"/>
      <c r="C269" s="108"/>
      <c r="D269" s="108"/>
      <c r="E269" s="108"/>
      <c r="F269" s="108"/>
      <c r="G269" s="108"/>
      <c r="H269" s="108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</row>
    <row r="270" ht="15.75" customHeight="1">
      <c r="A270" s="108"/>
      <c r="B270" s="108"/>
      <c r="C270" s="108"/>
      <c r="D270" s="108"/>
      <c r="E270" s="108"/>
      <c r="F270" s="108"/>
      <c r="G270" s="108"/>
      <c r="H270" s="108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</row>
    <row r="271" ht="15.75" customHeight="1">
      <c r="A271" s="108"/>
      <c r="B271" s="108"/>
      <c r="C271" s="108"/>
      <c r="D271" s="108"/>
      <c r="E271" s="108"/>
      <c r="F271" s="108"/>
      <c r="G271" s="108"/>
      <c r="H271" s="108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</row>
    <row r="272" ht="15.75" customHeight="1">
      <c r="A272" s="108"/>
      <c r="B272" s="108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</row>
    <row r="273" ht="15.75" customHeight="1">
      <c r="A273" s="108"/>
      <c r="B273" s="108"/>
      <c r="C273" s="108"/>
      <c r="D273" s="108"/>
      <c r="E273" s="108"/>
      <c r="F273" s="108"/>
      <c r="G273" s="108"/>
      <c r="H273" s="108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</row>
    <row r="274" ht="15.75" customHeight="1">
      <c r="A274" s="108"/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</row>
    <row r="275" ht="15.75" customHeight="1">
      <c r="A275" s="108"/>
      <c r="B275" s="108"/>
      <c r="C275" s="108"/>
      <c r="D275" s="108"/>
      <c r="E275" s="108"/>
      <c r="F275" s="108"/>
      <c r="G275" s="108"/>
      <c r="H275" s="108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</row>
    <row r="276" ht="15.75" customHeight="1">
      <c r="A276" s="108"/>
      <c r="B276" s="108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</row>
    <row r="277" ht="15.75" customHeight="1">
      <c r="A277" s="108"/>
      <c r="B277" s="108"/>
      <c r="C277" s="108"/>
      <c r="D277" s="108"/>
      <c r="E277" s="108"/>
      <c r="F277" s="108"/>
      <c r="G277" s="108"/>
      <c r="H277" s="108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</row>
    <row r="278" ht="15.75" customHeight="1">
      <c r="A278" s="108"/>
      <c r="B278" s="108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</row>
    <row r="279" ht="15.75" customHeight="1">
      <c r="A279" s="108"/>
      <c r="B279" s="108"/>
      <c r="C279" s="108"/>
      <c r="D279" s="108"/>
      <c r="E279" s="108"/>
      <c r="F279" s="108"/>
      <c r="G279" s="108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</row>
    <row r="280" ht="15.75" customHeight="1">
      <c r="A280" s="108"/>
      <c r="B280" s="108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</row>
    <row r="281" ht="15.75" customHeight="1">
      <c r="A281" s="108"/>
      <c r="B281" s="108"/>
      <c r="C281" s="108"/>
      <c r="D281" s="108"/>
      <c r="E281" s="108"/>
      <c r="F281" s="108"/>
      <c r="G281" s="108"/>
      <c r="H281" s="108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</row>
    <row r="282" ht="15.75" customHeight="1">
      <c r="A282" s="108"/>
      <c r="B282" s="108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</row>
    <row r="283" ht="15.75" customHeight="1">
      <c r="A283" s="108"/>
      <c r="B283" s="108"/>
      <c r="C283" s="108"/>
      <c r="D283" s="108"/>
      <c r="E283" s="108"/>
      <c r="F283" s="108"/>
      <c r="G283" s="108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</row>
    <row r="284" ht="15.75" customHeight="1">
      <c r="A284" s="108"/>
      <c r="B284" s="108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</row>
    <row r="285" ht="15.75" customHeight="1">
      <c r="A285" s="108"/>
      <c r="B285" s="108"/>
      <c r="C285" s="108"/>
      <c r="D285" s="108"/>
      <c r="E285" s="108"/>
      <c r="F285" s="108"/>
      <c r="G285" s="108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</row>
    <row r="286" ht="15.75" customHeight="1">
      <c r="A286" s="108"/>
      <c r="B286" s="108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</row>
    <row r="287" ht="15.75" customHeight="1">
      <c r="A287" s="108"/>
      <c r="B287" s="108"/>
      <c r="C287" s="108"/>
      <c r="D287" s="108"/>
      <c r="E287" s="108"/>
      <c r="F287" s="108"/>
      <c r="G287" s="108"/>
      <c r="H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</row>
    <row r="288" ht="15.75" customHeight="1">
      <c r="A288" s="108"/>
      <c r="B288" s="108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</row>
    <row r="289" ht="15.75" customHeight="1">
      <c r="A289" s="108"/>
      <c r="B289" s="108"/>
      <c r="C289" s="108"/>
      <c r="D289" s="108"/>
      <c r="E289" s="108"/>
      <c r="F289" s="108"/>
      <c r="G289" s="108"/>
      <c r="H289" s="108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</row>
    <row r="290" ht="15.75" customHeight="1">
      <c r="A290" s="108"/>
      <c r="B290" s="108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</row>
    <row r="291" ht="15.75" customHeight="1">
      <c r="A291" s="108"/>
      <c r="B291" s="108"/>
      <c r="C291" s="108"/>
      <c r="D291" s="108"/>
      <c r="E291" s="108"/>
      <c r="F291" s="108"/>
      <c r="G291" s="108"/>
      <c r="H291" s="108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</row>
    <row r="292" ht="15.75" customHeight="1">
      <c r="A292" s="108"/>
      <c r="B292" s="108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</row>
    <row r="293" ht="15.75" customHeight="1">
      <c r="A293" s="108"/>
      <c r="B293" s="108"/>
      <c r="C293" s="108"/>
      <c r="D293" s="108"/>
      <c r="E293" s="108"/>
      <c r="F293" s="108"/>
      <c r="G293" s="108"/>
      <c r="H293" s="108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</row>
    <row r="294" ht="15.75" customHeight="1">
      <c r="A294" s="108"/>
      <c r="B294" s="108"/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</row>
    <row r="295" ht="15.75" customHeight="1">
      <c r="A295" s="108"/>
      <c r="B295" s="108"/>
      <c r="C295" s="108"/>
      <c r="D295" s="108"/>
      <c r="E295" s="108"/>
      <c r="F295" s="108"/>
      <c r="G295" s="108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</row>
    <row r="296" ht="15.75" customHeight="1">
      <c r="A296" s="108"/>
      <c r="B296" s="108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</row>
    <row r="297" ht="15.75" customHeight="1">
      <c r="A297" s="108"/>
      <c r="B297" s="108"/>
      <c r="C297" s="108"/>
      <c r="D297" s="108"/>
      <c r="E297" s="108"/>
      <c r="F297" s="108"/>
      <c r="G297" s="108"/>
      <c r="H297" s="108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</row>
    <row r="298" ht="15.75" customHeight="1">
      <c r="A298" s="108"/>
      <c r="B298" s="108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</row>
    <row r="299" ht="15.75" customHeight="1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</row>
    <row r="300" ht="15.75" customHeight="1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</row>
    <row r="301" ht="15.75" customHeight="1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  <c r="AD301" s="108"/>
      <c r="AE301" s="108"/>
      <c r="AF301" s="108"/>
      <c r="AG301" s="108"/>
    </row>
    <row r="302" ht="15.75" customHeight="1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  <c r="AD302" s="108"/>
      <c r="AE302" s="108"/>
      <c r="AF302" s="108"/>
      <c r="AG302" s="108"/>
    </row>
    <row r="303" ht="15.75" customHeight="1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  <c r="AD303" s="108"/>
      <c r="AE303" s="108"/>
      <c r="AF303" s="108"/>
      <c r="AG303" s="108"/>
    </row>
    <row r="304" ht="15.75" customHeight="1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  <c r="AD304" s="108"/>
      <c r="AE304" s="108"/>
      <c r="AF304" s="108"/>
      <c r="AG304" s="108"/>
    </row>
    <row r="305" ht="15.75" customHeight="1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  <c r="AD305" s="108"/>
      <c r="AE305" s="108"/>
      <c r="AF305" s="108"/>
      <c r="AG305" s="108"/>
    </row>
    <row r="306" ht="15.75" customHeight="1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  <c r="AD306" s="108"/>
      <c r="AE306" s="108"/>
      <c r="AF306" s="108"/>
      <c r="AG306" s="108"/>
    </row>
    <row r="307" ht="15.75" customHeight="1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  <c r="AD307" s="108"/>
      <c r="AE307" s="108"/>
      <c r="AF307" s="108"/>
      <c r="AG307" s="108"/>
    </row>
    <row r="308" ht="15.75" customHeight="1">
      <c r="A308" s="108"/>
      <c r="B308" s="108"/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  <c r="AD308" s="108"/>
      <c r="AE308" s="108"/>
      <c r="AF308" s="108"/>
      <c r="AG308" s="108"/>
    </row>
    <row r="309" ht="15.75" customHeight="1">
      <c r="A309" s="108"/>
      <c r="B309" s="108"/>
      <c r="C309" s="108"/>
      <c r="D309" s="108"/>
      <c r="E309" s="108"/>
      <c r="F309" s="108"/>
      <c r="G309" s="108"/>
      <c r="H309" s="108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  <c r="AD309" s="108"/>
      <c r="AE309" s="108"/>
      <c r="AF309" s="108"/>
      <c r="AG309" s="108"/>
    </row>
    <row r="310" ht="15.75" customHeight="1">
      <c r="A310" s="108"/>
      <c r="B310" s="108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  <c r="AD310" s="108"/>
      <c r="AE310" s="108"/>
      <c r="AF310" s="108"/>
      <c r="AG310" s="108"/>
    </row>
    <row r="311" ht="15.75" customHeight="1">
      <c r="A311" s="108"/>
      <c r="B311" s="108"/>
      <c r="C311" s="108"/>
      <c r="D311" s="108"/>
      <c r="E311" s="108"/>
      <c r="F311" s="108"/>
      <c r="G311" s="108"/>
      <c r="H311" s="108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8"/>
      <c r="AF311" s="108"/>
      <c r="AG311" s="108"/>
    </row>
    <row r="312" ht="15.75" customHeight="1">
      <c r="A312" s="108"/>
      <c r="B312" s="108"/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  <c r="AD312" s="108"/>
      <c r="AE312" s="108"/>
      <c r="AF312" s="108"/>
      <c r="AG312" s="108"/>
    </row>
    <row r="313" ht="15.75" customHeight="1">
      <c r="A313" s="108"/>
      <c r="B313" s="108"/>
      <c r="C313" s="108"/>
      <c r="D313" s="108"/>
      <c r="E313" s="108"/>
      <c r="F313" s="108"/>
      <c r="G313" s="108"/>
      <c r="H313" s="108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  <c r="AD313" s="108"/>
      <c r="AE313" s="108"/>
      <c r="AF313" s="108"/>
      <c r="AG313" s="108"/>
    </row>
    <row r="314" ht="15.75" customHeight="1">
      <c r="A314" s="108"/>
      <c r="B314" s="108"/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  <c r="AD314" s="108"/>
      <c r="AE314" s="108"/>
      <c r="AF314" s="108"/>
      <c r="AG314" s="108"/>
    </row>
    <row r="315" ht="15.75" customHeight="1">
      <c r="A315" s="108"/>
      <c r="B315" s="108"/>
      <c r="C315" s="108"/>
      <c r="D315" s="108"/>
      <c r="E315" s="108"/>
      <c r="F315" s="108"/>
      <c r="G315" s="108"/>
      <c r="H315" s="108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  <c r="AD315" s="108"/>
      <c r="AE315" s="108"/>
      <c r="AF315" s="108"/>
      <c r="AG315" s="108"/>
    </row>
    <row r="316" ht="15.75" customHeight="1">
      <c r="A316" s="108"/>
      <c r="B316" s="108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  <c r="AD316" s="108"/>
      <c r="AE316" s="108"/>
      <c r="AF316" s="108"/>
      <c r="AG316" s="108"/>
    </row>
    <row r="317" ht="15.75" customHeight="1">
      <c r="A317" s="108"/>
      <c r="B317" s="108"/>
      <c r="C317" s="108"/>
      <c r="D317" s="108"/>
      <c r="E317" s="108"/>
      <c r="F317" s="108"/>
      <c r="G317" s="108"/>
      <c r="H317" s="108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  <c r="AD317" s="108"/>
      <c r="AE317" s="108"/>
      <c r="AF317" s="108"/>
      <c r="AG317" s="108"/>
    </row>
    <row r="318" ht="15.75" customHeight="1">
      <c r="A318" s="108"/>
      <c r="B318" s="108"/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  <c r="AD318" s="108"/>
      <c r="AE318" s="108"/>
      <c r="AF318" s="108"/>
      <c r="AG318" s="108"/>
    </row>
    <row r="319" ht="15.75" customHeight="1">
      <c r="A319" s="108"/>
      <c r="B319" s="108"/>
      <c r="C319" s="108"/>
      <c r="D319" s="108"/>
      <c r="E319" s="108"/>
      <c r="F319" s="108"/>
      <c r="G319" s="108"/>
      <c r="H319" s="108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8"/>
      <c r="AF319" s="108"/>
      <c r="AG319" s="108"/>
    </row>
    <row r="320" ht="15.75" customHeight="1">
      <c r="A320" s="108"/>
      <c r="B320" s="108"/>
      <c r="C320" s="108"/>
      <c r="D320" s="108"/>
      <c r="E320" s="108"/>
      <c r="F320" s="108"/>
      <c r="G320" s="108"/>
      <c r="H320" s="108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  <c r="AD320" s="108"/>
      <c r="AE320" s="108"/>
      <c r="AF320" s="108"/>
      <c r="AG320" s="108"/>
    </row>
    <row r="321" ht="15.75" customHeight="1">
      <c r="A321" s="108"/>
      <c r="B321" s="108"/>
      <c r="C321" s="108"/>
      <c r="D321" s="108"/>
      <c r="E321" s="108"/>
      <c r="F321" s="108"/>
      <c r="G321" s="108"/>
      <c r="H321" s="108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  <c r="AD321" s="108"/>
      <c r="AE321" s="108"/>
      <c r="AF321" s="108"/>
      <c r="AG321" s="108"/>
    </row>
    <row r="322" ht="15.75" customHeight="1">
      <c r="A322" s="108"/>
      <c r="B322" s="108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  <c r="AD322" s="108"/>
      <c r="AE322" s="108"/>
      <c r="AF322" s="108"/>
      <c r="AG322" s="108"/>
    </row>
    <row r="323" ht="15.75" customHeight="1">
      <c r="A323" s="108"/>
      <c r="B323" s="108"/>
      <c r="C323" s="108"/>
      <c r="D323" s="108"/>
      <c r="E323" s="108"/>
      <c r="F323" s="108"/>
      <c r="G323" s="108"/>
      <c r="H323" s="108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  <c r="AD323" s="108"/>
      <c r="AE323" s="108"/>
      <c r="AF323" s="108"/>
      <c r="AG323" s="108"/>
    </row>
    <row r="324" ht="15.75" customHeight="1">
      <c r="A324" s="108"/>
      <c r="B324" s="108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  <c r="AD324" s="108"/>
      <c r="AE324" s="108"/>
      <c r="AF324" s="108"/>
      <c r="AG324" s="108"/>
    </row>
    <row r="325" ht="15.75" customHeight="1">
      <c r="A325" s="108"/>
      <c r="B325" s="108"/>
      <c r="C325" s="108"/>
      <c r="D325" s="108"/>
      <c r="E325" s="108"/>
      <c r="F325" s="108"/>
      <c r="G325" s="108"/>
      <c r="H325" s="108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  <c r="AD325" s="108"/>
      <c r="AE325" s="108"/>
      <c r="AF325" s="108"/>
      <c r="AG325" s="108"/>
    </row>
    <row r="326" ht="15.75" customHeight="1">
      <c r="A326" s="108"/>
      <c r="B326" s="108"/>
      <c r="C326" s="108"/>
      <c r="D326" s="108"/>
      <c r="E326" s="108"/>
      <c r="F326" s="108"/>
      <c r="G326" s="108"/>
      <c r="H326" s="108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  <c r="AD326" s="108"/>
      <c r="AE326" s="108"/>
      <c r="AF326" s="108"/>
      <c r="AG326" s="108"/>
    </row>
    <row r="327" ht="15.75" customHeight="1">
      <c r="A327" s="108"/>
      <c r="B327" s="108"/>
      <c r="C327" s="108"/>
      <c r="D327" s="108"/>
      <c r="E327" s="108"/>
      <c r="F327" s="108"/>
      <c r="G327" s="108"/>
      <c r="H327" s="108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8"/>
      <c r="AF327" s="108"/>
      <c r="AG327" s="108"/>
    </row>
    <row r="328" ht="15.75" customHeight="1">
      <c r="A328" s="108"/>
      <c r="B328" s="108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  <c r="AD328" s="108"/>
      <c r="AE328" s="108"/>
      <c r="AF328" s="108"/>
      <c r="AG328" s="108"/>
    </row>
    <row r="329" ht="15.75" customHeight="1">
      <c r="A329" s="108"/>
      <c r="B329" s="108"/>
      <c r="C329" s="108"/>
      <c r="D329" s="108"/>
      <c r="E329" s="108"/>
      <c r="F329" s="108"/>
      <c r="G329" s="108"/>
      <c r="H329" s="108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  <c r="AD329" s="108"/>
      <c r="AE329" s="108"/>
      <c r="AF329" s="108"/>
      <c r="AG329" s="108"/>
    </row>
    <row r="330" ht="15.75" customHeight="1">
      <c r="A330" s="108"/>
      <c r="B330" s="108"/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  <c r="AD330" s="108"/>
      <c r="AE330" s="108"/>
      <c r="AF330" s="108"/>
      <c r="AG330" s="108"/>
    </row>
    <row r="331" ht="15.75" customHeight="1">
      <c r="A331" s="108"/>
      <c r="B331" s="108"/>
      <c r="C331" s="108"/>
      <c r="D331" s="108"/>
      <c r="E331" s="108"/>
      <c r="F331" s="108"/>
      <c r="G331" s="108"/>
      <c r="H331" s="108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  <c r="AD331" s="108"/>
      <c r="AE331" s="108"/>
      <c r="AF331" s="108"/>
      <c r="AG331" s="108"/>
    </row>
    <row r="332" ht="15.75" customHeight="1">
      <c r="A332" s="108"/>
      <c r="B332" s="108"/>
      <c r="C332" s="108"/>
      <c r="D332" s="108"/>
      <c r="E332" s="108"/>
      <c r="F332" s="108"/>
      <c r="G332" s="108"/>
      <c r="H332" s="108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  <c r="AD332" s="108"/>
      <c r="AE332" s="108"/>
      <c r="AF332" s="108"/>
      <c r="AG332" s="108"/>
    </row>
    <row r="333" ht="15.75" customHeight="1">
      <c r="A333" s="108"/>
      <c r="B333" s="108"/>
      <c r="C333" s="108"/>
      <c r="D333" s="108"/>
      <c r="E333" s="108"/>
      <c r="F333" s="108"/>
      <c r="G333" s="108"/>
      <c r="H333" s="108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  <c r="AD333" s="108"/>
      <c r="AE333" s="108"/>
      <c r="AF333" s="108"/>
      <c r="AG333" s="108"/>
    </row>
    <row r="334" ht="15.75" customHeight="1">
      <c r="A334" s="108"/>
      <c r="B334" s="108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  <c r="AD334" s="108"/>
      <c r="AE334" s="108"/>
      <c r="AF334" s="108"/>
      <c r="AG334" s="108"/>
    </row>
    <row r="335" ht="15.75" customHeight="1">
      <c r="A335" s="108"/>
      <c r="B335" s="108"/>
      <c r="C335" s="108"/>
      <c r="D335" s="108"/>
      <c r="E335" s="108"/>
      <c r="F335" s="108"/>
      <c r="G335" s="108"/>
      <c r="H335" s="108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8"/>
      <c r="AF335" s="108"/>
      <c r="AG335" s="108"/>
    </row>
    <row r="336" ht="15.75" customHeight="1">
      <c r="A336" s="108"/>
      <c r="B336" s="108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  <c r="AD336" s="108"/>
      <c r="AE336" s="108"/>
      <c r="AF336" s="108"/>
      <c r="AG336" s="108"/>
    </row>
    <row r="337" ht="15.75" customHeight="1">
      <c r="A337" s="108"/>
      <c r="B337" s="108"/>
      <c r="C337" s="108"/>
      <c r="D337" s="108"/>
      <c r="E337" s="108"/>
      <c r="F337" s="108"/>
      <c r="G337" s="108"/>
      <c r="H337" s="108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  <c r="AD337" s="108"/>
      <c r="AE337" s="108"/>
      <c r="AF337" s="108"/>
      <c r="AG337" s="108"/>
    </row>
    <row r="338" ht="15.75" customHeight="1">
      <c r="A338" s="108"/>
      <c r="B338" s="108"/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  <c r="AD338" s="108"/>
      <c r="AE338" s="108"/>
      <c r="AF338" s="108"/>
      <c r="AG338" s="108"/>
    </row>
    <row r="339" ht="15.75" customHeight="1">
      <c r="A339" s="108"/>
      <c r="B339" s="108"/>
      <c r="C339" s="108"/>
      <c r="D339" s="108"/>
      <c r="E339" s="108"/>
      <c r="F339" s="108"/>
      <c r="G339" s="108"/>
      <c r="H339" s="108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  <c r="AD339" s="108"/>
      <c r="AE339" s="108"/>
      <c r="AF339" s="108"/>
      <c r="AG339" s="108"/>
    </row>
    <row r="340" ht="15.75" customHeight="1">
      <c r="A340" s="108"/>
      <c r="B340" s="108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  <c r="AD340" s="108"/>
      <c r="AE340" s="108"/>
      <c r="AF340" s="108"/>
      <c r="AG340" s="108"/>
    </row>
    <row r="341" ht="15.75" customHeight="1">
      <c r="A341" s="108"/>
      <c r="B341" s="108"/>
      <c r="C341" s="108"/>
      <c r="D341" s="108"/>
      <c r="E341" s="108"/>
      <c r="F341" s="108"/>
      <c r="G341" s="108"/>
      <c r="H341" s="108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  <c r="AD341" s="108"/>
      <c r="AE341" s="108"/>
      <c r="AF341" s="108"/>
      <c r="AG341" s="108"/>
    </row>
    <row r="342" ht="15.75" customHeight="1">
      <c r="A342" s="108"/>
      <c r="B342" s="108"/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  <c r="AD342" s="108"/>
      <c r="AE342" s="108"/>
      <c r="AF342" s="108"/>
      <c r="AG342" s="108"/>
    </row>
    <row r="343" ht="15.75" customHeight="1">
      <c r="A343" s="108"/>
      <c r="B343" s="108"/>
      <c r="C343" s="108"/>
      <c r="D343" s="108"/>
      <c r="E343" s="108"/>
      <c r="F343" s="108"/>
      <c r="G343" s="108"/>
      <c r="H343" s="108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  <c r="AD343" s="108"/>
      <c r="AE343" s="108"/>
      <c r="AF343" s="108"/>
      <c r="AG343" s="108"/>
    </row>
    <row r="344" ht="15.75" customHeight="1">
      <c r="A344" s="108"/>
      <c r="B344" s="108"/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  <c r="AD344" s="108"/>
      <c r="AE344" s="108"/>
      <c r="AF344" s="108"/>
      <c r="AG344" s="108"/>
    </row>
    <row r="345" ht="15.75" customHeight="1">
      <c r="A345" s="108"/>
      <c r="B345" s="108"/>
      <c r="C345" s="108"/>
      <c r="D345" s="108"/>
      <c r="E345" s="108"/>
      <c r="F345" s="108"/>
      <c r="G345" s="108"/>
      <c r="H345" s="108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  <c r="AD345" s="108"/>
      <c r="AE345" s="108"/>
      <c r="AF345" s="108"/>
      <c r="AG345" s="108"/>
    </row>
    <row r="346" ht="15.75" customHeight="1">
      <c r="A346" s="108"/>
      <c r="B346" s="108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  <c r="AD346" s="108"/>
      <c r="AE346" s="108"/>
      <c r="AF346" s="108"/>
      <c r="AG346" s="108"/>
    </row>
    <row r="347" ht="15.75" customHeight="1">
      <c r="A347" s="108"/>
      <c r="B347" s="108"/>
      <c r="C347" s="108"/>
      <c r="D347" s="108"/>
      <c r="E347" s="108"/>
      <c r="F347" s="108"/>
      <c r="G347" s="108"/>
      <c r="H347" s="108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  <c r="AD347" s="108"/>
      <c r="AE347" s="108"/>
      <c r="AF347" s="108"/>
      <c r="AG347" s="108"/>
    </row>
    <row r="348" ht="15.75" customHeight="1">
      <c r="A348" s="108"/>
      <c r="B348" s="108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  <c r="AD348" s="108"/>
      <c r="AE348" s="108"/>
      <c r="AF348" s="108"/>
      <c r="AG348" s="108"/>
    </row>
    <row r="349" ht="15.75" customHeight="1">
      <c r="A349" s="108"/>
      <c r="B349" s="108"/>
      <c r="C349" s="108"/>
      <c r="D349" s="108"/>
      <c r="E349" s="108"/>
      <c r="F349" s="108"/>
      <c r="G349" s="108"/>
      <c r="H349" s="108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  <c r="AD349" s="108"/>
      <c r="AE349" s="108"/>
      <c r="AF349" s="108"/>
      <c r="AG349" s="108"/>
    </row>
    <row r="350" ht="15.75" customHeight="1">
      <c r="A350" s="108"/>
      <c r="B350" s="108"/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  <c r="AD350" s="108"/>
      <c r="AE350" s="108"/>
      <c r="AF350" s="108"/>
      <c r="AG350" s="108"/>
    </row>
    <row r="351" ht="15.75" customHeight="1">
      <c r="A351" s="108"/>
      <c r="B351" s="108"/>
      <c r="C351" s="108"/>
      <c r="D351" s="108"/>
      <c r="E351" s="108"/>
      <c r="F351" s="108"/>
      <c r="G351" s="108"/>
      <c r="H351" s="108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  <c r="AD351" s="108"/>
      <c r="AE351" s="108"/>
      <c r="AF351" s="108"/>
      <c r="AG351" s="108"/>
    </row>
    <row r="352" ht="15.75" customHeight="1">
      <c r="A352" s="108"/>
      <c r="B352" s="108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  <c r="AD352" s="108"/>
      <c r="AE352" s="108"/>
      <c r="AF352" s="108"/>
      <c r="AG352" s="108"/>
    </row>
    <row r="353" ht="15.75" customHeight="1">
      <c r="A353" s="108"/>
      <c r="B353" s="108"/>
      <c r="C353" s="108"/>
      <c r="D353" s="108"/>
      <c r="E353" s="108"/>
      <c r="F353" s="108"/>
      <c r="G353" s="108"/>
      <c r="H353" s="108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  <c r="AD353" s="108"/>
      <c r="AE353" s="108"/>
      <c r="AF353" s="108"/>
      <c r="AG353" s="108"/>
    </row>
    <row r="354" ht="15.75" customHeight="1">
      <c r="A354" s="108"/>
      <c r="B354" s="108"/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  <c r="AD354" s="108"/>
      <c r="AE354" s="108"/>
      <c r="AF354" s="108"/>
      <c r="AG354" s="108"/>
    </row>
    <row r="355" ht="15.75" customHeight="1">
      <c r="A355" s="108"/>
      <c r="B355" s="108"/>
      <c r="C355" s="108"/>
      <c r="D355" s="108"/>
      <c r="E355" s="108"/>
      <c r="F355" s="108"/>
      <c r="G355" s="108"/>
      <c r="H355" s="108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  <c r="AD355" s="108"/>
      <c r="AE355" s="108"/>
      <c r="AF355" s="108"/>
      <c r="AG355" s="108"/>
    </row>
    <row r="356" ht="15.75" customHeight="1">
      <c r="A356" s="108"/>
      <c r="B356" s="108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  <c r="AD356" s="108"/>
      <c r="AE356" s="108"/>
      <c r="AF356" s="108"/>
      <c r="AG356" s="108"/>
    </row>
    <row r="357" ht="15.75" customHeight="1">
      <c r="A357" s="108"/>
      <c r="B357" s="108"/>
      <c r="C357" s="108"/>
      <c r="D357" s="108"/>
      <c r="E357" s="108"/>
      <c r="F357" s="108"/>
      <c r="G357" s="108"/>
      <c r="H357" s="108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  <c r="AD357" s="108"/>
      <c r="AE357" s="108"/>
      <c r="AF357" s="108"/>
      <c r="AG357" s="108"/>
    </row>
    <row r="358" ht="15.75" customHeight="1">
      <c r="A358" s="108"/>
      <c r="B358" s="108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  <c r="AD358" s="108"/>
      <c r="AE358" s="108"/>
      <c r="AF358" s="108"/>
      <c r="AG358" s="108"/>
    </row>
    <row r="359" ht="15.75" customHeight="1">
      <c r="A359" s="108"/>
      <c r="B359" s="108"/>
      <c r="C359" s="108"/>
      <c r="D359" s="108"/>
      <c r="E359" s="108"/>
      <c r="F359" s="108"/>
      <c r="G359" s="108"/>
      <c r="H359" s="108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  <c r="AD359" s="108"/>
      <c r="AE359" s="108"/>
      <c r="AF359" s="108"/>
      <c r="AG359" s="108"/>
    </row>
    <row r="360" ht="15.75" customHeight="1">
      <c r="A360" s="108"/>
      <c r="B360" s="108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  <c r="AD360" s="108"/>
      <c r="AE360" s="108"/>
      <c r="AF360" s="108"/>
      <c r="AG360" s="108"/>
    </row>
    <row r="361" ht="15.75" customHeight="1">
      <c r="A361" s="108"/>
      <c r="B361" s="108"/>
      <c r="C361" s="108"/>
      <c r="D361" s="108"/>
      <c r="E361" s="108"/>
      <c r="F361" s="108"/>
      <c r="G361" s="108"/>
      <c r="H361" s="108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  <c r="AD361" s="108"/>
      <c r="AE361" s="108"/>
      <c r="AF361" s="108"/>
      <c r="AG361" s="108"/>
    </row>
    <row r="362" ht="15.75" customHeight="1">
      <c r="A362" s="108"/>
      <c r="B362" s="108"/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  <c r="AD362" s="108"/>
      <c r="AE362" s="108"/>
      <c r="AF362" s="108"/>
      <c r="AG362" s="108"/>
    </row>
    <row r="363" ht="15.75" customHeight="1">
      <c r="A363" s="108"/>
      <c r="B363" s="108"/>
      <c r="C363" s="108"/>
      <c r="D363" s="108"/>
      <c r="E363" s="108"/>
      <c r="F363" s="108"/>
      <c r="G363" s="108"/>
      <c r="H363" s="108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  <c r="AD363" s="108"/>
      <c r="AE363" s="108"/>
      <c r="AF363" s="108"/>
      <c r="AG363" s="108"/>
    </row>
    <row r="364" ht="15.75" customHeight="1">
      <c r="A364" s="108"/>
      <c r="B364" s="108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  <c r="AD364" s="108"/>
      <c r="AE364" s="108"/>
      <c r="AF364" s="108"/>
      <c r="AG364" s="108"/>
    </row>
    <row r="365" ht="15.75" customHeight="1">
      <c r="A365" s="108"/>
      <c r="B365" s="108"/>
      <c r="C365" s="108"/>
      <c r="D365" s="108"/>
      <c r="E365" s="108"/>
      <c r="F365" s="108"/>
      <c r="G365" s="108"/>
      <c r="H365" s="108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  <c r="AD365" s="108"/>
      <c r="AE365" s="108"/>
      <c r="AF365" s="108"/>
      <c r="AG365" s="108"/>
    </row>
    <row r="366" ht="15.75" customHeight="1">
      <c r="A366" s="108"/>
      <c r="B366" s="108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  <c r="AD366" s="108"/>
      <c r="AE366" s="108"/>
      <c r="AF366" s="108"/>
      <c r="AG366" s="108"/>
    </row>
    <row r="367" ht="15.75" customHeight="1">
      <c r="A367" s="108"/>
      <c r="B367" s="108"/>
      <c r="C367" s="108"/>
      <c r="D367" s="108"/>
      <c r="E367" s="108"/>
      <c r="F367" s="108"/>
      <c r="G367" s="108"/>
      <c r="H367" s="108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  <c r="AD367" s="108"/>
      <c r="AE367" s="108"/>
      <c r="AF367" s="108"/>
      <c r="AG367" s="108"/>
    </row>
    <row r="368" ht="15.75" customHeight="1">
      <c r="A368" s="108"/>
      <c r="B368" s="108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  <c r="AD368" s="108"/>
      <c r="AE368" s="108"/>
      <c r="AF368" s="108"/>
      <c r="AG368" s="108"/>
    </row>
    <row r="369" ht="15.75" customHeight="1">
      <c r="A369" s="108"/>
      <c r="B369" s="108"/>
      <c r="C369" s="108"/>
      <c r="D369" s="108"/>
      <c r="E369" s="108"/>
      <c r="F369" s="108"/>
      <c r="G369" s="108"/>
      <c r="H369" s="108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  <c r="AD369" s="108"/>
      <c r="AE369" s="108"/>
      <c r="AF369" s="108"/>
      <c r="AG369" s="108"/>
    </row>
    <row r="370" ht="15.75" customHeight="1">
      <c r="A370" s="108"/>
      <c r="B370" s="108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  <c r="AD370" s="108"/>
      <c r="AE370" s="108"/>
      <c r="AF370" s="108"/>
      <c r="AG370" s="108"/>
    </row>
    <row r="371" ht="15.75" customHeight="1">
      <c r="A371" s="108"/>
      <c r="B371" s="108"/>
      <c r="C371" s="108"/>
      <c r="D371" s="108"/>
      <c r="E371" s="108"/>
      <c r="F371" s="108"/>
      <c r="G371" s="108"/>
      <c r="H371" s="108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  <c r="AD371" s="108"/>
      <c r="AE371" s="108"/>
      <c r="AF371" s="108"/>
      <c r="AG371" s="108"/>
    </row>
    <row r="372" ht="15.75" customHeight="1">
      <c r="A372" s="108"/>
      <c r="B372" s="108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  <c r="AD372" s="108"/>
      <c r="AE372" s="108"/>
      <c r="AF372" s="108"/>
      <c r="AG372" s="108"/>
    </row>
    <row r="373" ht="15.75" customHeight="1">
      <c r="A373" s="108"/>
      <c r="B373" s="108"/>
      <c r="C373" s="108"/>
      <c r="D373" s="108"/>
      <c r="E373" s="108"/>
      <c r="F373" s="108"/>
      <c r="G373" s="108"/>
      <c r="H373" s="108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  <c r="AD373" s="108"/>
      <c r="AE373" s="108"/>
      <c r="AF373" s="108"/>
      <c r="AG373" s="108"/>
    </row>
    <row r="374" ht="15.75" customHeight="1">
      <c r="A374" s="108"/>
      <c r="B374" s="108"/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  <c r="AD374" s="108"/>
      <c r="AE374" s="108"/>
      <c r="AF374" s="108"/>
      <c r="AG374" s="108"/>
    </row>
    <row r="375" ht="15.75" customHeight="1">
      <c r="A375" s="108"/>
      <c r="B375" s="108"/>
      <c r="C375" s="108"/>
      <c r="D375" s="108"/>
      <c r="E375" s="108"/>
      <c r="F375" s="108"/>
      <c r="G375" s="108"/>
      <c r="H375" s="108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  <c r="AD375" s="108"/>
      <c r="AE375" s="108"/>
      <c r="AF375" s="108"/>
      <c r="AG375" s="108"/>
    </row>
    <row r="376" ht="15.75" customHeight="1">
      <c r="A376" s="108"/>
      <c r="B376" s="108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  <c r="AD376" s="108"/>
      <c r="AE376" s="108"/>
      <c r="AF376" s="108"/>
      <c r="AG376" s="108"/>
    </row>
    <row r="377" ht="15.75" customHeight="1">
      <c r="A377" s="108"/>
      <c r="B377" s="108"/>
      <c r="C377" s="108"/>
      <c r="D377" s="108"/>
      <c r="E377" s="108"/>
      <c r="F377" s="108"/>
      <c r="G377" s="108"/>
      <c r="H377" s="108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  <c r="AD377" s="108"/>
      <c r="AE377" s="108"/>
      <c r="AF377" s="108"/>
      <c r="AG377" s="108"/>
    </row>
    <row r="378" ht="15.75" customHeight="1">
      <c r="A378" s="108"/>
      <c r="B378" s="108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  <c r="AD378" s="108"/>
      <c r="AE378" s="108"/>
      <c r="AF378" s="108"/>
      <c r="AG378" s="108"/>
    </row>
    <row r="379" ht="15.75" customHeight="1">
      <c r="A379" s="108"/>
      <c r="B379" s="108"/>
      <c r="C379" s="108"/>
      <c r="D379" s="108"/>
      <c r="E379" s="108"/>
      <c r="F379" s="108"/>
      <c r="G379" s="108"/>
      <c r="H379" s="108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  <c r="AD379" s="108"/>
      <c r="AE379" s="108"/>
      <c r="AF379" s="108"/>
      <c r="AG379" s="108"/>
    </row>
    <row r="380" ht="15.75" customHeight="1">
      <c r="A380" s="108"/>
      <c r="B380" s="108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  <c r="AD380" s="108"/>
      <c r="AE380" s="108"/>
      <c r="AF380" s="108"/>
      <c r="AG380" s="108"/>
    </row>
    <row r="381" ht="15.75" customHeight="1">
      <c r="A381" s="108"/>
      <c r="B381" s="108"/>
      <c r="C381" s="108"/>
      <c r="D381" s="108"/>
      <c r="E381" s="108"/>
      <c r="F381" s="108"/>
      <c r="G381" s="108"/>
      <c r="H381" s="108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  <c r="AD381" s="108"/>
      <c r="AE381" s="108"/>
      <c r="AF381" s="108"/>
      <c r="AG381" s="108"/>
    </row>
    <row r="382" ht="15.75" customHeight="1">
      <c r="A382" s="108"/>
      <c r="B382" s="108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  <c r="AD382" s="108"/>
      <c r="AE382" s="108"/>
      <c r="AF382" s="108"/>
      <c r="AG382" s="108"/>
    </row>
    <row r="383" ht="15.75" customHeight="1">
      <c r="A383" s="108"/>
      <c r="B383" s="108"/>
      <c r="C383" s="108"/>
      <c r="D383" s="108"/>
      <c r="E383" s="108"/>
      <c r="F383" s="108"/>
      <c r="G383" s="108"/>
      <c r="H383" s="108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  <c r="AD383" s="108"/>
      <c r="AE383" s="108"/>
      <c r="AF383" s="108"/>
      <c r="AG383" s="108"/>
    </row>
    <row r="384" ht="15.75" customHeight="1">
      <c r="A384" s="108"/>
      <c r="B384" s="108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  <c r="AD384" s="108"/>
      <c r="AE384" s="108"/>
      <c r="AF384" s="108"/>
      <c r="AG384" s="108"/>
    </row>
    <row r="385" ht="15.75" customHeight="1">
      <c r="A385" s="108"/>
      <c r="B385" s="108"/>
      <c r="C385" s="108"/>
      <c r="D385" s="108"/>
      <c r="E385" s="108"/>
      <c r="F385" s="108"/>
      <c r="G385" s="108"/>
      <c r="H385" s="108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  <c r="AD385" s="108"/>
      <c r="AE385" s="108"/>
      <c r="AF385" s="108"/>
      <c r="AG385" s="108"/>
    </row>
    <row r="386" ht="15.75" customHeight="1">
      <c r="A386" s="108"/>
      <c r="B386" s="108"/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  <c r="AD386" s="108"/>
      <c r="AE386" s="108"/>
      <c r="AF386" s="108"/>
      <c r="AG386" s="108"/>
    </row>
    <row r="387" ht="15.75" customHeight="1">
      <c r="A387" s="108"/>
      <c r="B387" s="108"/>
      <c r="C387" s="108"/>
      <c r="D387" s="108"/>
      <c r="E387" s="108"/>
      <c r="F387" s="108"/>
      <c r="G387" s="108"/>
      <c r="H387" s="108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  <c r="AD387" s="108"/>
      <c r="AE387" s="108"/>
      <c r="AF387" s="108"/>
      <c r="AG387" s="108"/>
    </row>
    <row r="388" ht="15.75" customHeight="1">
      <c r="A388" s="108"/>
      <c r="B388" s="108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  <c r="AD388" s="108"/>
      <c r="AE388" s="108"/>
      <c r="AF388" s="108"/>
      <c r="AG388" s="108"/>
    </row>
    <row r="389" ht="15.75" customHeight="1">
      <c r="A389" s="108"/>
      <c r="B389" s="108"/>
      <c r="C389" s="108"/>
      <c r="D389" s="108"/>
      <c r="E389" s="108"/>
      <c r="F389" s="108"/>
      <c r="G389" s="108"/>
      <c r="H389" s="108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  <c r="AD389" s="108"/>
      <c r="AE389" s="108"/>
      <c r="AF389" s="108"/>
      <c r="AG389" s="108"/>
    </row>
    <row r="390" ht="15.75" customHeight="1">
      <c r="A390" s="108"/>
      <c r="B390" s="108"/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  <c r="AD390" s="108"/>
      <c r="AE390" s="108"/>
      <c r="AF390" s="108"/>
      <c r="AG390" s="108"/>
    </row>
    <row r="391" ht="15.75" customHeight="1">
      <c r="A391" s="108"/>
      <c r="B391" s="108"/>
      <c r="C391" s="108"/>
      <c r="D391" s="108"/>
      <c r="E391" s="108"/>
      <c r="F391" s="108"/>
      <c r="G391" s="108"/>
      <c r="H391" s="108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  <c r="AD391" s="108"/>
      <c r="AE391" s="108"/>
      <c r="AF391" s="108"/>
      <c r="AG391" s="108"/>
    </row>
    <row r="392" ht="15.75" customHeight="1">
      <c r="A392" s="108"/>
      <c r="B392" s="108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  <c r="AD392" s="108"/>
      <c r="AE392" s="108"/>
      <c r="AF392" s="108"/>
      <c r="AG392" s="108"/>
    </row>
    <row r="393" ht="15.75" customHeight="1">
      <c r="A393" s="108"/>
      <c r="B393" s="108"/>
      <c r="C393" s="108"/>
      <c r="D393" s="108"/>
      <c r="E393" s="108"/>
      <c r="F393" s="108"/>
      <c r="G393" s="108"/>
      <c r="H393" s="108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  <c r="AD393" s="108"/>
      <c r="AE393" s="108"/>
      <c r="AF393" s="108"/>
      <c r="AG393" s="108"/>
    </row>
    <row r="394" ht="15.75" customHeight="1">
      <c r="A394" s="108"/>
      <c r="B394" s="108"/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  <c r="AD394" s="108"/>
      <c r="AE394" s="108"/>
      <c r="AF394" s="108"/>
      <c r="AG394" s="108"/>
    </row>
    <row r="395" ht="15.75" customHeight="1">
      <c r="A395" s="108"/>
      <c r="B395" s="108"/>
      <c r="C395" s="108"/>
      <c r="D395" s="108"/>
      <c r="E395" s="108"/>
      <c r="F395" s="108"/>
      <c r="G395" s="108"/>
      <c r="H395" s="108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  <c r="AD395" s="108"/>
      <c r="AE395" s="108"/>
      <c r="AF395" s="108"/>
      <c r="AG395" s="108"/>
    </row>
    <row r="396" ht="15.75" customHeight="1">
      <c r="A396" s="108"/>
      <c r="B396" s="108"/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  <c r="AD396" s="108"/>
      <c r="AE396" s="108"/>
      <c r="AF396" s="108"/>
      <c r="AG396" s="108"/>
    </row>
    <row r="397" ht="15.75" customHeight="1">
      <c r="A397" s="108"/>
      <c r="B397" s="108"/>
      <c r="C397" s="108"/>
      <c r="D397" s="108"/>
      <c r="E397" s="108"/>
      <c r="F397" s="108"/>
      <c r="G397" s="108"/>
      <c r="H397" s="108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  <c r="AD397" s="108"/>
      <c r="AE397" s="108"/>
      <c r="AF397" s="108"/>
      <c r="AG397" s="108"/>
    </row>
    <row r="398" ht="15.75" customHeight="1">
      <c r="A398" s="108"/>
      <c r="B398" s="108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  <c r="AD398" s="108"/>
      <c r="AE398" s="108"/>
      <c r="AF398" s="108"/>
      <c r="AG398" s="108"/>
    </row>
    <row r="399" ht="15.75" customHeight="1">
      <c r="A399" s="108"/>
      <c r="B399" s="108"/>
      <c r="C399" s="108"/>
      <c r="D399" s="108"/>
      <c r="E399" s="108"/>
      <c r="F399" s="108"/>
      <c r="G399" s="108"/>
      <c r="H399" s="108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  <c r="AD399" s="108"/>
      <c r="AE399" s="108"/>
      <c r="AF399" s="108"/>
      <c r="AG399" s="108"/>
    </row>
    <row r="400" ht="15.75" customHeight="1">
      <c r="A400" s="108"/>
      <c r="B400" s="108"/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  <c r="AD400" s="108"/>
      <c r="AE400" s="108"/>
      <c r="AF400" s="108"/>
      <c r="AG400" s="108"/>
    </row>
    <row r="401" ht="15.75" customHeight="1">
      <c r="A401" s="108"/>
      <c r="B401" s="108"/>
      <c r="C401" s="108"/>
      <c r="D401" s="108"/>
      <c r="E401" s="108"/>
      <c r="F401" s="108"/>
      <c r="G401" s="108"/>
      <c r="H401" s="108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  <c r="AD401" s="108"/>
      <c r="AE401" s="108"/>
      <c r="AF401" s="108"/>
      <c r="AG401" s="108"/>
    </row>
    <row r="402" ht="15.75" customHeight="1">
      <c r="A402" s="108"/>
      <c r="B402" s="108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  <c r="AD402" s="108"/>
      <c r="AE402" s="108"/>
      <c r="AF402" s="108"/>
      <c r="AG402" s="108"/>
    </row>
    <row r="403" ht="15.75" customHeight="1">
      <c r="A403" s="108"/>
      <c r="B403" s="108"/>
      <c r="C403" s="108"/>
      <c r="D403" s="108"/>
      <c r="E403" s="108"/>
      <c r="F403" s="108"/>
      <c r="G403" s="108"/>
      <c r="H403" s="108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  <c r="AD403" s="108"/>
      <c r="AE403" s="108"/>
      <c r="AF403" s="108"/>
      <c r="AG403" s="108"/>
    </row>
    <row r="404" ht="15.75" customHeight="1">
      <c r="A404" s="108"/>
      <c r="B404" s="108"/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  <c r="AD404" s="108"/>
      <c r="AE404" s="108"/>
      <c r="AF404" s="108"/>
      <c r="AG404" s="108"/>
    </row>
    <row r="405" ht="15.75" customHeight="1">
      <c r="A405" s="108"/>
      <c r="B405" s="108"/>
      <c r="C405" s="108"/>
      <c r="D405" s="108"/>
      <c r="E405" s="108"/>
      <c r="F405" s="108"/>
      <c r="G405" s="108"/>
      <c r="H405" s="108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</row>
    <row r="406" ht="15.75" customHeight="1">
      <c r="A406" s="108"/>
      <c r="B406" s="108"/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  <c r="AD406" s="108"/>
      <c r="AE406" s="108"/>
      <c r="AF406" s="108"/>
      <c r="AG406" s="108"/>
    </row>
    <row r="407" ht="15.75" customHeight="1">
      <c r="A407" s="108"/>
      <c r="B407" s="108"/>
      <c r="C407" s="108"/>
      <c r="D407" s="108"/>
      <c r="E407" s="108"/>
      <c r="F407" s="108"/>
      <c r="G407" s="108"/>
      <c r="H407" s="108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  <c r="AD407" s="108"/>
      <c r="AE407" s="108"/>
      <c r="AF407" s="108"/>
      <c r="AG407" s="108"/>
    </row>
    <row r="408" ht="15.75" customHeight="1">
      <c r="A408" s="108"/>
      <c r="B408" s="108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  <c r="AD408" s="108"/>
      <c r="AE408" s="108"/>
      <c r="AF408" s="108"/>
      <c r="AG408" s="108"/>
    </row>
    <row r="409" ht="15.75" customHeight="1">
      <c r="A409" s="108"/>
      <c r="B409" s="108"/>
      <c r="C409" s="108"/>
      <c r="D409" s="108"/>
      <c r="E409" s="108"/>
      <c r="F409" s="108"/>
      <c r="G409" s="108"/>
      <c r="H409" s="108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  <c r="AD409" s="108"/>
      <c r="AE409" s="108"/>
      <c r="AF409" s="108"/>
      <c r="AG409" s="108"/>
    </row>
    <row r="410" ht="15.75" customHeight="1">
      <c r="A410" s="108"/>
      <c r="B410" s="108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  <c r="AD410" s="108"/>
      <c r="AE410" s="108"/>
      <c r="AF410" s="108"/>
      <c r="AG410" s="108"/>
    </row>
    <row r="411" ht="15.75" customHeight="1">
      <c r="A411" s="108"/>
      <c r="B411" s="108"/>
      <c r="C411" s="108"/>
      <c r="D411" s="108"/>
      <c r="E411" s="108"/>
      <c r="F411" s="108"/>
      <c r="G411" s="108"/>
      <c r="H411" s="108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  <c r="AD411" s="108"/>
      <c r="AE411" s="108"/>
      <c r="AF411" s="108"/>
      <c r="AG411" s="108"/>
    </row>
    <row r="412" ht="15.75" customHeight="1">
      <c r="A412" s="108"/>
      <c r="B412" s="108"/>
      <c r="C412" s="108"/>
      <c r="D412" s="108"/>
      <c r="E412" s="108"/>
      <c r="F412" s="108"/>
      <c r="G412" s="108"/>
      <c r="H412" s="108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  <c r="AD412" s="108"/>
      <c r="AE412" s="108"/>
      <c r="AF412" s="108"/>
      <c r="AG412" s="108"/>
    </row>
    <row r="413" ht="15.75" customHeight="1">
      <c r="A413" s="108"/>
      <c r="B413" s="108"/>
      <c r="C413" s="108"/>
      <c r="D413" s="108"/>
      <c r="E413" s="108"/>
      <c r="F413" s="108"/>
      <c r="G413" s="108"/>
      <c r="H413" s="108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  <c r="AD413" s="108"/>
      <c r="AE413" s="108"/>
      <c r="AF413" s="108"/>
      <c r="AG413" s="108"/>
    </row>
    <row r="414" ht="15.75" customHeight="1">
      <c r="A414" s="108"/>
      <c r="B414" s="108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  <c r="AD414" s="108"/>
      <c r="AE414" s="108"/>
      <c r="AF414" s="108"/>
      <c r="AG414" s="108"/>
    </row>
    <row r="415" ht="15.75" customHeight="1">
      <c r="A415" s="108"/>
      <c r="B415" s="108"/>
      <c r="C415" s="108"/>
      <c r="D415" s="108"/>
      <c r="E415" s="108"/>
      <c r="F415" s="108"/>
      <c r="G415" s="108"/>
      <c r="H415" s="108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  <c r="AD415" s="108"/>
      <c r="AE415" s="108"/>
      <c r="AF415" s="108"/>
      <c r="AG415" s="108"/>
    </row>
    <row r="416" ht="15.75" customHeight="1">
      <c r="A416" s="108"/>
      <c r="B416" s="108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  <c r="AD416" s="108"/>
      <c r="AE416" s="108"/>
      <c r="AF416" s="108"/>
      <c r="AG416" s="108"/>
    </row>
    <row r="417" ht="15.75" customHeight="1">
      <c r="A417" s="108"/>
      <c r="B417" s="108"/>
      <c r="C417" s="108"/>
      <c r="D417" s="108"/>
      <c r="E417" s="108"/>
      <c r="F417" s="108"/>
      <c r="G417" s="108"/>
      <c r="H417" s="108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  <c r="AD417" s="108"/>
      <c r="AE417" s="108"/>
      <c r="AF417" s="108"/>
      <c r="AG417" s="108"/>
    </row>
    <row r="418" ht="15.75" customHeight="1">
      <c r="A418" s="108"/>
      <c r="B418" s="108"/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  <c r="AD418" s="108"/>
      <c r="AE418" s="108"/>
      <c r="AF418" s="108"/>
      <c r="AG418" s="108"/>
    </row>
    <row r="419" ht="15.75" customHeight="1">
      <c r="A419" s="108"/>
      <c r="B419" s="108"/>
      <c r="C419" s="108"/>
      <c r="D419" s="108"/>
      <c r="E419" s="108"/>
      <c r="F419" s="108"/>
      <c r="G419" s="108"/>
      <c r="H419" s="108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  <c r="AD419" s="108"/>
      <c r="AE419" s="108"/>
      <c r="AF419" s="108"/>
      <c r="AG419" s="108"/>
    </row>
    <row r="420" ht="15.75" customHeight="1">
      <c r="A420" s="108"/>
      <c r="B420" s="108"/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  <c r="AD420" s="108"/>
      <c r="AE420" s="108"/>
      <c r="AF420" s="108"/>
      <c r="AG420" s="108"/>
    </row>
    <row r="421" ht="15.75" customHeight="1">
      <c r="A421" s="108"/>
      <c r="B421" s="108"/>
      <c r="C421" s="108"/>
      <c r="D421" s="108"/>
      <c r="E421" s="108"/>
      <c r="F421" s="108"/>
      <c r="G421" s="108"/>
      <c r="H421" s="108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  <c r="AD421" s="108"/>
      <c r="AE421" s="108"/>
      <c r="AF421" s="108"/>
      <c r="AG421" s="108"/>
    </row>
    <row r="422" ht="15.75" customHeight="1">
      <c r="A422" s="108"/>
      <c r="B422" s="108"/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  <c r="AD422" s="108"/>
      <c r="AE422" s="108"/>
      <c r="AF422" s="108"/>
      <c r="AG422" s="108"/>
    </row>
    <row r="423" ht="15.75" customHeight="1">
      <c r="A423" s="108"/>
      <c r="B423" s="108"/>
      <c r="C423" s="108"/>
      <c r="D423" s="108"/>
      <c r="E423" s="108"/>
      <c r="F423" s="108"/>
      <c r="G423" s="108"/>
      <c r="H423" s="108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  <c r="AD423" s="108"/>
      <c r="AE423" s="108"/>
      <c r="AF423" s="108"/>
      <c r="AG423" s="108"/>
    </row>
    <row r="424" ht="15.75" customHeight="1">
      <c r="A424" s="108"/>
      <c r="B424" s="108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  <c r="AD424" s="108"/>
      <c r="AE424" s="108"/>
      <c r="AF424" s="108"/>
      <c r="AG424" s="108"/>
    </row>
    <row r="425" ht="15.75" customHeight="1">
      <c r="A425" s="108"/>
      <c r="B425" s="108"/>
      <c r="C425" s="108"/>
      <c r="D425" s="108"/>
      <c r="E425" s="108"/>
      <c r="F425" s="108"/>
      <c r="G425" s="108"/>
      <c r="H425" s="108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  <c r="AD425" s="108"/>
      <c r="AE425" s="108"/>
      <c r="AF425" s="108"/>
      <c r="AG425" s="108"/>
    </row>
    <row r="426" ht="15.75" customHeight="1">
      <c r="A426" s="108"/>
      <c r="B426" s="108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  <c r="AD426" s="108"/>
      <c r="AE426" s="108"/>
      <c r="AF426" s="108"/>
      <c r="AG426" s="108"/>
    </row>
    <row r="427" ht="15.75" customHeight="1">
      <c r="A427" s="108"/>
      <c r="B427" s="108"/>
      <c r="C427" s="108"/>
      <c r="D427" s="108"/>
      <c r="E427" s="108"/>
      <c r="F427" s="108"/>
      <c r="G427" s="108"/>
      <c r="H427" s="108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  <c r="AD427" s="108"/>
      <c r="AE427" s="108"/>
      <c r="AF427" s="108"/>
      <c r="AG427" s="108"/>
    </row>
    <row r="428" ht="15.75" customHeight="1">
      <c r="A428" s="108"/>
      <c r="B428" s="108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  <c r="AD428" s="108"/>
      <c r="AE428" s="108"/>
      <c r="AF428" s="108"/>
      <c r="AG428" s="108"/>
    </row>
    <row r="429" ht="15.75" customHeight="1">
      <c r="A429" s="108"/>
      <c r="B429" s="108"/>
      <c r="C429" s="108"/>
      <c r="D429" s="108"/>
      <c r="E429" s="108"/>
      <c r="F429" s="108"/>
      <c r="G429" s="108"/>
      <c r="H429" s="108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  <c r="AD429" s="108"/>
      <c r="AE429" s="108"/>
      <c r="AF429" s="108"/>
      <c r="AG429" s="108"/>
    </row>
    <row r="430" ht="15.75" customHeight="1">
      <c r="A430" s="108"/>
      <c r="B430" s="108"/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  <c r="AD430" s="108"/>
      <c r="AE430" s="108"/>
      <c r="AF430" s="108"/>
      <c r="AG430" s="108"/>
    </row>
    <row r="431" ht="15.75" customHeight="1">
      <c r="A431" s="108"/>
      <c r="B431" s="108"/>
      <c r="C431" s="108"/>
      <c r="D431" s="108"/>
      <c r="E431" s="108"/>
      <c r="F431" s="108"/>
      <c r="G431" s="108"/>
      <c r="H431" s="108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  <c r="AD431" s="108"/>
      <c r="AE431" s="108"/>
      <c r="AF431" s="108"/>
      <c r="AG431" s="108"/>
    </row>
    <row r="432" ht="15.75" customHeight="1">
      <c r="A432" s="108"/>
      <c r="B432" s="108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  <c r="AD432" s="108"/>
      <c r="AE432" s="108"/>
      <c r="AF432" s="108"/>
      <c r="AG432" s="108"/>
    </row>
    <row r="433" ht="15.75" customHeight="1">
      <c r="A433" s="108"/>
      <c r="B433" s="108"/>
      <c r="C433" s="108"/>
      <c r="D433" s="108"/>
      <c r="E433" s="108"/>
      <c r="F433" s="108"/>
      <c r="G433" s="108"/>
      <c r="H433" s="108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  <c r="AD433" s="108"/>
      <c r="AE433" s="108"/>
      <c r="AF433" s="108"/>
      <c r="AG433" s="108"/>
    </row>
    <row r="434" ht="15.75" customHeight="1">
      <c r="A434" s="108"/>
      <c r="B434" s="108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  <c r="AD434" s="108"/>
      <c r="AE434" s="108"/>
      <c r="AF434" s="108"/>
      <c r="AG434" s="108"/>
    </row>
    <row r="435" ht="15.75" customHeight="1">
      <c r="A435" s="108"/>
      <c r="B435" s="108"/>
      <c r="C435" s="108"/>
      <c r="D435" s="108"/>
      <c r="E435" s="108"/>
      <c r="F435" s="108"/>
      <c r="G435" s="108"/>
      <c r="H435" s="108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  <c r="AD435" s="108"/>
      <c r="AE435" s="108"/>
      <c r="AF435" s="108"/>
      <c r="AG435" s="108"/>
    </row>
    <row r="436" ht="15.75" customHeight="1">
      <c r="A436" s="108"/>
      <c r="B436" s="108"/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  <c r="AD436" s="108"/>
      <c r="AE436" s="108"/>
      <c r="AF436" s="108"/>
      <c r="AG436" s="108"/>
    </row>
    <row r="437" ht="15.75" customHeight="1">
      <c r="A437" s="108"/>
      <c r="B437" s="108"/>
      <c r="C437" s="108"/>
      <c r="D437" s="108"/>
      <c r="E437" s="108"/>
      <c r="F437" s="108"/>
      <c r="G437" s="108"/>
      <c r="H437" s="108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  <c r="AD437" s="108"/>
      <c r="AE437" s="108"/>
      <c r="AF437" s="108"/>
      <c r="AG437" s="108"/>
    </row>
    <row r="438" ht="15.75" customHeight="1">
      <c r="A438" s="108"/>
      <c r="B438" s="108"/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  <c r="AD438" s="108"/>
      <c r="AE438" s="108"/>
      <c r="AF438" s="108"/>
      <c r="AG438" s="108"/>
    </row>
    <row r="439" ht="15.75" customHeight="1">
      <c r="A439" s="108"/>
      <c r="B439" s="108"/>
      <c r="C439" s="108"/>
      <c r="D439" s="108"/>
      <c r="E439" s="108"/>
      <c r="F439" s="108"/>
      <c r="G439" s="108"/>
      <c r="H439" s="108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  <c r="AD439" s="108"/>
      <c r="AE439" s="108"/>
      <c r="AF439" s="108"/>
      <c r="AG439" s="108"/>
    </row>
    <row r="440" ht="15.75" customHeight="1">
      <c r="A440" s="108"/>
      <c r="B440" s="108"/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  <c r="AD440" s="108"/>
      <c r="AE440" s="108"/>
      <c r="AF440" s="108"/>
      <c r="AG440" s="108"/>
    </row>
    <row r="441" ht="15.75" customHeight="1">
      <c r="A441" s="108"/>
      <c r="B441" s="108"/>
      <c r="C441" s="108"/>
      <c r="D441" s="108"/>
      <c r="E441" s="108"/>
      <c r="F441" s="108"/>
      <c r="G441" s="108"/>
      <c r="H441" s="108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  <c r="AD441" s="108"/>
      <c r="AE441" s="108"/>
      <c r="AF441" s="108"/>
      <c r="AG441" s="108"/>
    </row>
    <row r="442" ht="15.75" customHeight="1">
      <c r="A442" s="108"/>
      <c r="B442" s="108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  <c r="AD442" s="108"/>
      <c r="AE442" s="108"/>
      <c r="AF442" s="108"/>
      <c r="AG442" s="108"/>
    </row>
    <row r="443" ht="15.75" customHeight="1">
      <c r="A443" s="108"/>
      <c r="B443" s="108"/>
      <c r="C443" s="108"/>
      <c r="D443" s="108"/>
      <c r="E443" s="108"/>
      <c r="F443" s="108"/>
      <c r="G443" s="108"/>
      <c r="H443" s="108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  <c r="AD443" s="108"/>
      <c r="AE443" s="108"/>
      <c r="AF443" s="108"/>
      <c r="AG443" s="108"/>
    </row>
    <row r="444" ht="15.75" customHeight="1">
      <c r="A444" s="108"/>
      <c r="B444" s="108"/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  <c r="AD444" s="108"/>
      <c r="AE444" s="108"/>
      <c r="AF444" s="108"/>
      <c r="AG444" s="108"/>
    </row>
    <row r="445" ht="15.75" customHeight="1">
      <c r="A445" s="108"/>
      <c r="B445" s="108"/>
      <c r="C445" s="108"/>
      <c r="D445" s="108"/>
      <c r="E445" s="108"/>
      <c r="F445" s="108"/>
      <c r="G445" s="108"/>
      <c r="H445" s="108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  <c r="AD445" s="108"/>
      <c r="AE445" s="108"/>
      <c r="AF445" s="108"/>
      <c r="AG445" s="108"/>
    </row>
    <row r="446" ht="15.75" customHeight="1">
      <c r="A446" s="108"/>
      <c r="B446" s="108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  <c r="AD446" s="108"/>
      <c r="AE446" s="108"/>
      <c r="AF446" s="108"/>
      <c r="AG446" s="108"/>
    </row>
    <row r="447" ht="15.75" customHeight="1">
      <c r="A447" s="108"/>
      <c r="B447" s="108"/>
      <c r="C447" s="108"/>
      <c r="D447" s="108"/>
      <c r="E447" s="108"/>
      <c r="F447" s="108"/>
      <c r="G447" s="108"/>
      <c r="H447" s="108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  <c r="AD447" s="108"/>
      <c r="AE447" s="108"/>
      <c r="AF447" s="108"/>
      <c r="AG447" s="108"/>
    </row>
    <row r="448" ht="15.75" customHeight="1">
      <c r="A448" s="108"/>
      <c r="B448" s="108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  <c r="AD448" s="108"/>
      <c r="AE448" s="108"/>
      <c r="AF448" s="108"/>
      <c r="AG448" s="108"/>
    </row>
    <row r="449" ht="15.75" customHeight="1">
      <c r="A449" s="108"/>
      <c r="B449" s="108"/>
      <c r="C449" s="108"/>
      <c r="D449" s="108"/>
      <c r="E449" s="108"/>
      <c r="F449" s="108"/>
      <c r="G449" s="108"/>
      <c r="H449" s="108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  <c r="AD449" s="108"/>
      <c r="AE449" s="108"/>
      <c r="AF449" s="108"/>
      <c r="AG449" s="108"/>
    </row>
    <row r="450" ht="15.75" customHeight="1">
      <c r="A450" s="108"/>
      <c r="B450" s="108"/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  <c r="AD450" s="108"/>
      <c r="AE450" s="108"/>
      <c r="AF450" s="108"/>
      <c r="AG450" s="108"/>
    </row>
    <row r="451" ht="15.75" customHeight="1">
      <c r="A451" s="108"/>
      <c r="B451" s="108"/>
      <c r="C451" s="108"/>
      <c r="D451" s="108"/>
      <c r="E451" s="108"/>
      <c r="F451" s="108"/>
      <c r="G451" s="108"/>
      <c r="H451" s="108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  <c r="AD451" s="108"/>
      <c r="AE451" s="108"/>
      <c r="AF451" s="108"/>
      <c r="AG451" s="108"/>
    </row>
    <row r="452" ht="15.75" customHeight="1">
      <c r="A452" s="108"/>
      <c r="B452" s="108"/>
      <c r="C452" s="108"/>
      <c r="D452" s="108"/>
      <c r="E452" s="108"/>
      <c r="F452" s="108"/>
      <c r="G452" s="108"/>
      <c r="H452" s="108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  <c r="AD452" s="108"/>
      <c r="AE452" s="108"/>
      <c r="AF452" s="108"/>
      <c r="AG452" s="108"/>
    </row>
    <row r="453" ht="15.75" customHeight="1">
      <c r="A453" s="108"/>
      <c r="B453" s="108"/>
      <c r="C453" s="108"/>
      <c r="D453" s="108"/>
      <c r="E453" s="108"/>
      <c r="F453" s="108"/>
      <c r="G453" s="108"/>
      <c r="H453" s="108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  <c r="AD453" s="108"/>
      <c r="AE453" s="108"/>
      <c r="AF453" s="108"/>
      <c r="AG453" s="108"/>
    </row>
    <row r="454" ht="15.75" customHeight="1">
      <c r="A454" s="108"/>
      <c r="B454" s="108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  <c r="AD454" s="108"/>
      <c r="AE454" s="108"/>
      <c r="AF454" s="108"/>
      <c r="AG454" s="108"/>
    </row>
    <row r="455" ht="15.75" customHeight="1">
      <c r="A455" s="108"/>
      <c r="B455" s="108"/>
      <c r="C455" s="108"/>
      <c r="D455" s="108"/>
      <c r="E455" s="108"/>
      <c r="F455" s="108"/>
      <c r="G455" s="108"/>
      <c r="H455" s="108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  <c r="AD455" s="108"/>
      <c r="AE455" s="108"/>
      <c r="AF455" s="108"/>
      <c r="AG455" s="108"/>
    </row>
    <row r="456" ht="15.75" customHeight="1">
      <c r="A456" s="108"/>
      <c r="B456" s="108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  <c r="AD456" s="108"/>
      <c r="AE456" s="108"/>
      <c r="AF456" s="108"/>
      <c r="AG456" s="108"/>
    </row>
    <row r="457" ht="15.75" customHeight="1">
      <c r="A457" s="108"/>
      <c r="B457" s="108"/>
      <c r="C457" s="108"/>
      <c r="D457" s="108"/>
      <c r="E457" s="108"/>
      <c r="F457" s="108"/>
      <c r="G457" s="108"/>
      <c r="H457" s="108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  <c r="AD457" s="108"/>
      <c r="AE457" s="108"/>
      <c r="AF457" s="108"/>
      <c r="AG457" s="108"/>
    </row>
    <row r="458" ht="15.75" customHeight="1">
      <c r="A458" s="108"/>
      <c r="B458" s="108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  <c r="AD458" s="108"/>
      <c r="AE458" s="108"/>
      <c r="AF458" s="108"/>
      <c r="AG458" s="108"/>
    </row>
    <row r="459" ht="15.75" customHeight="1">
      <c r="A459" s="108"/>
      <c r="B459" s="108"/>
      <c r="C459" s="108"/>
      <c r="D459" s="108"/>
      <c r="E459" s="108"/>
      <c r="F459" s="108"/>
      <c r="G459" s="108"/>
      <c r="H459" s="108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  <c r="AD459" s="108"/>
      <c r="AE459" s="108"/>
      <c r="AF459" s="108"/>
      <c r="AG459" s="108"/>
    </row>
    <row r="460" ht="15.75" customHeight="1">
      <c r="A460" s="108"/>
      <c r="B460" s="108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  <c r="AD460" s="108"/>
      <c r="AE460" s="108"/>
      <c r="AF460" s="108"/>
      <c r="AG460" s="108"/>
    </row>
    <row r="461" ht="15.75" customHeight="1">
      <c r="A461" s="108"/>
      <c r="B461" s="108"/>
      <c r="C461" s="108"/>
      <c r="D461" s="108"/>
      <c r="E461" s="108"/>
      <c r="F461" s="108"/>
      <c r="G461" s="108"/>
      <c r="H461" s="108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  <c r="AD461" s="108"/>
      <c r="AE461" s="108"/>
      <c r="AF461" s="108"/>
      <c r="AG461" s="108"/>
    </row>
    <row r="462" ht="15.75" customHeight="1">
      <c r="A462" s="108"/>
      <c r="B462" s="108"/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  <c r="AD462" s="108"/>
      <c r="AE462" s="108"/>
      <c r="AF462" s="108"/>
      <c r="AG462" s="108"/>
    </row>
    <row r="463" ht="15.75" customHeight="1">
      <c r="A463" s="108"/>
      <c r="B463" s="108"/>
      <c r="C463" s="108"/>
      <c r="D463" s="108"/>
      <c r="E463" s="108"/>
      <c r="F463" s="108"/>
      <c r="G463" s="108"/>
      <c r="H463" s="108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  <c r="AD463" s="108"/>
      <c r="AE463" s="108"/>
      <c r="AF463" s="108"/>
      <c r="AG463" s="108"/>
    </row>
    <row r="464" ht="15.75" customHeight="1">
      <c r="A464" s="108"/>
      <c r="B464" s="108"/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  <c r="AD464" s="108"/>
      <c r="AE464" s="108"/>
      <c r="AF464" s="108"/>
      <c r="AG464" s="108"/>
    </row>
    <row r="465" ht="15.75" customHeight="1">
      <c r="A465" s="108"/>
      <c r="B465" s="108"/>
      <c r="C465" s="108"/>
      <c r="D465" s="108"/>
      <c r="E465" s="108"/>
      <c r="F465" s="108"/>
      <c r="G465" s="108"/>
      <c r="H465" s="108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  <c r="AD465" s="108"/>
      <c r="AE465" s="108"/>
      <c r="AF465" s="108"/>
      <c r="AG465" s="108"/>
    </row>
    <row r="466" ht="15.75" customHeight="1">
      <c r="A466" s="108"/>
      <c r="B466" s="108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  <c r="AD466" s="108"/>
      <c r="AE466" s="108"/>
      <c r="AF466" s="108"/>
      <c r="AG466" s="108"/>
    </row>
    <row r="467" ht="15.75" customHeight="1">
      <c r="A467" s="108"/>
      <c r="B467" s="108"/>
      <c r="C467" s="108"/>
      <c r="D467" s="108"/>
      <c r="E467" s="108"/>
      <c r="F467" s="108"/>
      <c r="G467" s="108"/>
      <c r="H467" s="108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  <c r="AD467" s="108"/>
      <c r="AE467" s="108"/>
      <c r="AF467" s="108"/>
      <c r="AG467" s="108"/>
    </row>
    <row r="468" ht="15.75" customHeight="1">
      <c r="A468" s="108"/>
      <c r="B468" s="108"/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  <c r="AD468" s="108"/>
      <c r="AE468" s="108"/>
      <c r="AF468" s="108"/>
      <c r="AG468" s="108"/>
    </row>
    <row r="469" ht="15.75" customHeight="1">
      <c r="A469" s="108"/>
      <c r="B469" s="108"/>
      <c r="C469" s="108"/>
      <c r="D469" s="108"/>
      <c r="E469" s="108"/>
      <c r="F469" s="108"/>
      <c r="G469" s="108"/>
      <c r="H469" s="108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  <c r="AD469" s="108"/>
      <c r="AE469" s="108"/>
      <c r="AF469" s="108"/>
      <c r="AG469" s="108"/>
    </row>
    <row r="470" ht="15.75" customHeight="1">
      <c r="A470" s="108"/>
      <c r="B470" s="108"/>
      <c r="C470" s="108"/>
      <c r="D470" s="108"/>
      <c r="E470" s="108"/>
      <c r="F470" s="108"/>
      <c r="G470" s="108"/>
      <c r="H470" s="108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  <c r="AD470" s="108"/>
      <c r="AE470" s="108"/>
      <c r="AF470" s="108"/>
      <c r="AG470" s="108"/>
    </row>
    <row r="471" ht="15.75" customHeight="1">
      <c r="A471" s="108"/>
      <c r="B471" s="108"/>
      <c r="C471" s="108"/>
      <c r="D471" s="108"/>
      <c r="E471" s="108"/>
      <c r="F471" s="108"/>
      <c r="G471" s="108"/>
      <c r="H471" s="108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  <c r="AD471" s="108"/>
      <c r="AE471" s="108"/>
      <c r="AF471" s="108"/>
      <c r="AG471" s="108"/>
    </row>
    <row r="472" ht="15.75" customHeight="1">
      <c r="A472" s="108"/>
      <c r="B472" s="108"/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  <c r="AD472" s="108"/>
      <c r="AE472" s="108"/>
      <c r="AF472" s="108"/>
      <c r="AG472" s="108"/>
    </row>
    <row r="473" ht="15.75" customHeight="1">
      <c r="A473" s="108"/>
      <c r="B473" s="108"/>
      <c r="C473" s="108"/>
      <c r="D473" s="108"/>
      <c r="E473" s="108"/>
      <c r="F473" s="108"/>
      <c r="G473" s="108"/>
      <c r="H473" s="108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  <c r="AD473" s="108"/>
      <c r="AE473" s="108"/>
      <c r="AF473" s="108"/>
      <c r="AG473" s="108"/>
    </row>
    <row r="474" ht="15.75" customHeight="1">
      <c r="A474" s="108"/>
      <c r="B474" s="108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  <c r="AD474" s="108"/>
      <c r="AE474" s="108"/>
      <c r="AF474" s="108"/>
      <c r="AG474" s="108"/>
    </row>
    <row r="475" ht="15.75" customHeight="1">
      <c r="A475" s="108"/>
      <c r="B475" s="108"/>
      <c r="C475" s="108"/>
      <c r="D475" s="108"/>
      <c r="E475" s="108"/>
      <c r="F475" s="108"/>
      <c r="G475" s="108"/>
      <c r="H475" s="108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  <c r="AD475" s="108"/>
      <c r="AE475" s="108"/>
      <c r="AF475" s="108"/>
      <c r="AG475" s="108"/>
    </row>
    <row r="476" ht="15.75" customHeight="1">
      <c r="A476" s="108"/>
      <c r="B476" s="108"/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  <c r="AD476" s="108"/>
      <c r="AE476" s="108"/>
      <c r="AF476" s="108"/>
      <c r="AG476" s="108"/>
    </row>
    <row r="477" ht="15.75" customHeight="1">
      <c r="A477" s="108"/>
      <c r="B477" s="108"/>
      <c r="C477" s="108"/>
      <c r="D477" s="108"/>
      <c r="E477" s="108"/>
      <c r="F477" s="108"/>
      <c r="G477" s="108"/>
      <c r="H477" s="108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  <c r="AD477" s="108"/>
      <c r="AE477" s="108"/>
      <c r="AF477" s="108"/>
      <c r="AG477" s="108"/>
    </row>
    <row r="478" ht="15.75" customHeight="1">
      <c r="A478" s="108"/>
      <c r="B478" s="108"/>
      <c r="C478" s="108"/>
      <c r="D478" s="108"/>
      <c r="E478" s="108"/>
      <c r="F478" s="108"/>
      <c r="G478" s="108"/>
      <c r="H478" s="10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  <c r="AD478" s="108"/>
      <c r="AE478" s="108"/>
      <c r="AF478" s="108"/>
      <c r="AG478" s="108"/>
    </row>
    <row r="479" ht="15.75" customHeight="1">
      <c r="A479" s="108"/>
      <c r="B479" s="108"/>
      <c r="C479" s="108"/>
      <c r="D479" s="108"/>
      <c r="E479" s="108"/>
      <c r="F479" s="108"/>
      <c r="G479" s="108"/>
      <c r="H479" s="108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  <c r="AD479" s="108"/>
      <c r="AE479" s="108"/>
      <c r="AF479" s="108"/>
      <c r="AG479" s="108"/>
    </row>
    <row r="480" ht="15.75" customHeight="1">
      <c r="A480" s="108"/>
      <c r="B480" s="108"/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  <c r="AD480" s="108"/>
      <c r="AE480" s="108"/>
      <c r="AF480" s="108"/>
      <c r="AG480" s="108"/>
    </row>
    <row r="481" ht="15.75" customHeight="1">
      <c r="A481" s="108"/>
      <c r="B481" s="108"/>
      <c r="C481" s="108"/>
      <c r="D481" s="108"/>
      <c r="E481" s="108"/>
      <c r="F481" s="108"/>
      <c r="G481" s="108"/>
      <c r="H481" s="108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  <c r="AD481" s="108"/>
      <c r="AE481" s="108"/>
      <c r="AF481" s="108"/>
      <c r="AG481" s="108"/>
    </row>
    <row r="482" ht="15.75" customHeight="1">
      <c r="A482" s="108"/>
      <c r="B482" s="108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  <c r="AD482" s="108"/>
      <c r="AE482" s="108"/>
      <c r="AF482" s="108"/>
      <c r="AG482" s="108"/>
    </row>
    <row r="483" ht="15.75" customHeight="1">
      <c r="A483" s="108"/>
      <c r="B483" s="108"/>
      <c r="C483" s="108"/>
      <c r="D483" s="108"/>
      <c r="E483" s="108"/>
      <c r="F483" s="108"/>
      <c r="G483" s="108"/>
      <c r="H483" s="108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  <c r="AD483" s="108"/>
      <c r="AE483" s="108"/>
      <c r="AF483" s="108"/>
      <c r="AG483" s="108"/>
    </row>
    <row r="484" ht="15.75" customHeight="1">
      <c r="A484" s="108"/>
      <c r="B484" s="108"/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  <c r="AD484" s="108"/>
      <c r="AE484" s="108"/>
      <c r="AF484" s="108"/>
      <c r="AG484" s="108"/>
    </row>
    <row r="485" ht="15.75" customHeight="1">
      <c r="A485" s="108"/>
      <c r="B485" s="108"/>
      <c r="C485" s="108"/>
      <c r="D485" s="108"/>
      <c r="E485" s="108"/>
      <c r="F485" s="108"/>
      <c r="G485" s="108"/>
      <c r="H485" s="108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  <c r="AD485" s="108"/>
      <c r="AE485" s="108"/>
      <c r="AF485" s="108"/>
      <c r="AG485" s="108"/>
    </row>
    <row r="486" ht="15.75" customHeight="1">
      <c r="A486" s="108"/>
      <c r="B486" s="108"/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  <c r="AD486" s="108"/>
      <c r="AE486" s="108"/>
      <c r="AF486" s="108"/>
      <c r="AG486" s="108"/>
    </row>
    <row r="487" ht="15.75" customHeight="1">
      <c r="A487" s="108"/>
      <c r="B487" s="108"/>
      <c r="C487" s="108"/>
      <c r="D487" s="108"/>
      <c r="E487" s="108"/>
      <c r="F487" s="108"/>
      <c r="G487" s="108"/>
      <c r="H487" s="108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  <c r="AD487" s="108"/>
      <c r="AE487" s="108"/>
      <c r="AF487" s="108"/>
      <c r="AG487" s="108"/>
    </row>
    <row r="488" ht="15.75" customHeight="1">
      <c r="A488" s="108"/>
      <c r="B488" s="108"/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  <c r="AD488" s="108"/>
      <c r="AE488" s="108"/>
      <c r="AF488" s="108"/>
      <c r="AG488" s="108"/>
    </row>
    <row r="489" ht="15.75" customHeight="1">
      <c r="A489" s="108"/>
      <c r="B489" s="108"/>
      <c r="C489" s="108"/>
      <c r="D489" s="108"/>
      <c r="E489" s="108"/>
      <c r="F489" s="108"/>
      <c r="G489" s="108"/>
      <c r="H489" s="108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  <c r="AD489" s="108"/>
      <c r="AE489" s="108"/>
      <c r="AF489" s="108"/>
      <c r="AG489" s="108"/>
    </row>
    <row r="490" ht="15.75" customHeight="1">
      <c r="A490" s="108"/>
      <c r="B490" s="108"/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  <c r="AD490" s="108"/>
      <c r="AE490" s="108"/>
      <c r="AF490" s="108"/>
      <c r="AG490" s="108"/>
    </row>
    <row r="491" ht="15.75" customHeight="1">
      <c r="A491" s="108"/>
      <c r="B491" s="108"/>
      <c r="C491" s="108"/>
      <c r="D491" s="108"/>
      <c r="E491" s="108"/>
      <c r="F491" s="108"/>
      <c r="G491" s="108"/>
      <c r="H491" s="108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  <c r="AD491" s="108"/>
      <c r="AE491" s="108"/>
      <c r="AF491" s="108"/>
      <c r="AG491" s="108"/>
    </row>
    <row r="492" ht="15.75" customHeight="1">
      <c r="A492" s="108"/>
      <c r="B492" s="108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  <c r="AD492" s="108"/>
      <c r="AE492" s="108"/>
      <c r="AF492" s="108"/>
      <c r="AG492" s="108"/>
    </row>
    <row r="493" ht="15.75" customHeight="1">
      <c r="A493" s="108"/>
      <c r="B493" s="108"/>
      <c r="C493" s="108"/>
      <c r="D493" s="108"/>
      <c r="E493" s="108"/>
      <c r="F493" s="108"/>
      <c r="G493" s="108"/>
      <c r="H493" s="108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  <c r="AD493" s="108"/>
      <c r="AE493" s="108"/>
      <c r="AF493" s="108"/>
      <c r="AG493" s="108"/>
    </row>
    <row r="494" ht="15.75" customHeight="1">
      <c r="A494" s="108"/>
      <c r="B494" s="108"/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  <c r="AD494" s="108"/>
      <c r="AE494" s="108"/>
      <c r="AF494" s="108"/>
      <c r="AG494" s="108"/>
    </row>
    <row r="495" ht="15.75" customHeight="1">
      <c r="A495" s="108"/>
      <c r="B495" s="108"/>
      <c r="C495" s="108"/>
      <c r="D495" s="108"/>
      <c r="E495" s="108"/>
      <c r="F495" s="108"/>
      <c r="G495" s="108"/>
      <c r="H495" s="108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  <c r="AD495" s="108"/>
      <c r="AE495" s="108"/>
      <c r="AF495" s="108"/>
      <c r="AG495" s="108"/>
    </row>
    <row r="496" ht="15.75" customHeight="1">
      <c r="A496" s="108"/>
      <c r="B496" s="108"/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  <c r="AD496" s="108"/>
      <c r="AE496" s="108"/>
      <c r="AF496" s="108"/>
      <c r="AG496" s="108"/>
    </row>
    <row r="497" ht="15.75" customHeight="1">
      <c r="A497" s="108"/>
      <c r="B497" s="108"/>
      <c r="C497" s="108"/>
      <c r="D497" s="108"/>
      <c r="E497" s="108"/>
      <c r="F497" s="108"/>
      <c r="G497" s="108"/>
      <c r="H497" s="108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  <c r="AD497" s="108"/>
      <c r="AE497" s="108"/>
      <c r="AF497" s="108"/>
      <c r="AG497" s="108"/>
    </row>
    <row r="498" ht="15.75" customHeight="1">
      <c r="A498" s="108"/>
      <c r="B498" s="108"/>
      <c r="C498" s="108"/>
      <c r="D498" s="108"/>
      <c r="E498" s="108"/>
      <c r="F498" s="108"/>
      <c r="G498" s="108"/>
      <c r="H498" s="10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  <c r="AD498" s="108"/>
      <c r="AE498" s="108"/>
      <c r="AF498" s="108"/>
      <c r="AG498" s="108"/>
    </row>
    <row r="499" ht="15.75" customHeight="1">
      <c r="A499" s="108"/>
      <c r="B499" s="108"/>
      <c r="C499" s="108"/>
      <c r="D499" s="108"/>
      <c r="E499" s="108"/>
      <c r="F499" s="108"/>
      <c r="G499" s="108"/>
      <c r="H499" s="108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  <c r="AD499" s="108"/>
      <c r="AE499" s="108"/>
      <c r="AF499" s="108"/>
      <c r="AG499" s="108"/>
    </row>
    <row r="500" ht="15.75" customHeight="1">
      <c r="A500" s="108"/>
      <c r="B500" s="108"/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  <c r="AD500" s="108"/>
      <c r="AE500" s="108"/>
      <c r="AF500" s="108"/>
      <c r="AG500" s="108"/>
    </row>
    <row r="501" ht="15.75" customHeight="1">
      <c r="A501" s="108"/>
      <c r="B501" s="108"/>
      <c r="C501" s="108"/>
      <c r="D501" s="108"/>
      <c r="E501" s="108"/>
      <c r="F501" s="108"/>
      <c r="G501" s="108"/>
      <c r="H501" s="108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  <c r="AD501" s="108"/>
      <c r="AE501" s="108"/>
      <c r="AF501" s="108"/>
      <c r="AG501" s="108"/>
    </row>
    <row r="502" ht="15.75" customHeight="1">
      <c r="A502" s="108"/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  <c r="AD502" s="108"/>
      <c r="AE502" s="108"/>
      <c r="AF502" s="108"/>
      <c r="AG502" s="108"/>
    </row>
    <row r="503" ht="15.75" customHeight="1">
      <c r="A503" s="108"/>
      <c r="B503" s="108"/>
      <c r="C503" s="108"/>
      <c r="D503" s="108"/>
      <c r="E503" s="108"/>
      <c r="F503" s="108"/>
      <c r="G503" s="108"/>
      <c r="H503" s="108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  <c r="AD503" s="108"/>
      <c r="AE503" s="108"/>
      <c r="AF503" s="108"/>
      <c r="AG503" s="108"/>
    </row>
    <row r="504" ht="15.75" customHeight="1">
      <c r="A504" s="108"/>
      <c r="B504" s="108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  <c r="AD504" s="108"/>
      <c r="AE504" s="108"/>
      <c r="AF504" s="108"/>
      <c r="AG504" s="108"/>
    </row>
    <row r="505" ht="15.75" customHeight="1">
      <c r="A505" s="108"/>
      <c r="B505" s="108"/>
      <c r="C505" s="108"/>
      <c r="D505" s="108"/>
      <c r="E505" s="108"/>
      <c r="F505" s="108"/>
      <c r="G505" s="108"/>
      <c r="H505" s="108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  <c r="AD505" s="108"/>
      <c r="AE505" s="108"/>
      <c r="AF505" s="108"/>
      <c r="AG505" s="108"/>
    </row>
    <row r="506" ht="15.75" customHeight="1">
      <c r="A506" s="108"/>
      <c r="B506" s="108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  <c r="AD506" s="108"/>
      <c r="AE506" s="108"/>
      <c r="AF506" s="108"/>
      <c r="AG506" s="108"/>
    </row>
    <row r="507" ht="15.75" customHeight="1">
      <c r="A507" s="108"/>
      <c r="B507" s="108"/>
      <c r="C507" s="108"/>
      <c r="D507" s="108"/>
      <c r="E507" s="108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</row>
    <row r="508" ht="15.75" customHeight="1">
      <c r="A508" s="108"/>
      <c r="B508" s="108"/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  <c r="AD508" s="108"/>
      <c r="AE508" s="108"/>
      <c r="AF508" s="108"/>
      <c r="AG508" s="108"/>
    </row>
    <row r="509" ht="15.75" customHeight="1">
      <c r="A509" s="108"/>
      <c r="B509" s="108"/>
      <c r="C509" s="108"/>
      <c r="D509" s="108"/>
      <c r="E509" s="108"/>
      <c r="F509" s="108"/>
      <c r="G509" s="108"/>
      <c r="H509" s="108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  <c r="AD509" s="108"/>
      <c r="AE509" s="108"/>
      <c r="AF509" s="108"/>
      <c r="AG509" s="108"/>
    </row>
    <row r="510" ht="15.75" customHeight="1">
      <c r="A510" s="108"/>
      <c r="B510" s="108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  <c r="AD510" s="108"/>
      <c r="AE510" s="108"/>
      <c r="AF510" s="108"/>
      <c r="AG510" s="108"/>
    </row>
    <row r="511" ht="15.75" customHeight="1">
      <c r="A511" s="108"/>
      <c r="B511" s="108"/>
      <c r="C511" s="108"/>
      <c r="D511" s="108"/>
      <c r="E511" s="108"/>
      <c r="F511" s="108"/>
      <c r="G511" s="108"/>
      <c r="H511" s="108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  <c r="AD511" s="108"/>
      <c r="AE511" s="108"/>
      <c r="AF511" s="108"/>
      <c r="AG511" s="108"/>
    </row>
    <row r="512" ht="15.75" customHeight="1">
      <c r="A512" s="108"/>
      <c r="B512" s="108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  <c r="AD512" s="108"/>
      <c r="AE512" s="108"/>
      <c r="AF512" s="108"/>
      <c r="AG512" s="108"/>
    </row>
    <row r="513" ht="15.75" customHeight="1">
      <c r="A513" s="108"/>
      <c r="B513" s="108"/>
      <c r="C513" s="108"/>
      <c r="D513" s="108"/>
      <c r="E513" s="108"/>
      <c r="F513" s="108"/>
      <c r="G513" s="108"/>
      <c r="H513" s="108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  <c r="AD513" s="108"/>
      <c r="AE513" s="108"/>
      <c r="AF513" s="108"/>
      <c r="AG513" s="108"/>
    </row>
    <row r="514" ht="15.75" customHeight="1">
      <c r="A514" s="108"/>
      <c r="B514" s="108"/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  <c r="AD514" s="108"/>
      <c r="AE514" s="108"/>
      <c r="AF514" s="108"/>
      <c r="AG514" s="108"/>
    </row>
    <row r="515" ht="15.75" customHeight="1">
      <c r="A515" s="108"/>
      <c r="B515" s="108"/>
      <c r="C515" s="108"/>
      <c r="D515" s="108"/>
      <c r="E515" s="108"/>
      <c r="F515" s="108"/>
      <c r="G515" s="108"/>
      <c r="H515" s="108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  <c r="AD515" s="108"/>
      <c r="AE515" s="108"/>
      <c r="AF515" s="108"/>
      <c r="AG515" s="108"/>
    </row>
    <row r="516" ht="15.75" customHeight="1">
      <c r="A516" s="108"/>
      <c r="B516" s="108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  <c r="AD516" s="108"/>
      <c r="AE516" s="108"/>
      <c r="AF516" s="108"/>
      <c r="AG516" s="108"/>
    </row>
    <row r="517" ht="15.75" customHeight="1">
      <c r="A517" s="108"/>
      <c r="B517" s="108"/>
      <c r="C517" s="108"/>
      <c r="D517" s="108"/>
      <c r="E517" s="108"/>
      <c r="F517" s="108"/>
      <c r="G517" s="108"/>
      <c r="H517" s="108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  <c r="AD517" s="108"/>
      <c r="AE517" s="108"/>
      <c r="AF517" s="108"/>
      <c r="AG517" s="108"/>
    </row>
    <row r="518" ht="15.75" customHeight="1">
      <c r="A518" s="108"/>
      <c r="B518" s="108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  <c r="AD518" s="108"/>
      <c r="AE518" s="108"/>
      <c r="AF518" s="108"/>
      <c r="AG518" s="108"/>
    </row>
    <row r="519" ht="15.75" customHeight="1">
      <c r="A519" s="108"/>
      <c r="B519" s="108"/>
      <c r="C519" s="108"/>
      <c r="D519" s="108"/>
      <c r="E519" s="108"/>
      <c r="F519" s="108"/>
      <c r="G519" s="108"/>
      <c r="H519" s="108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  <c r="AD519" s="108"/>
      <c r="AE519" s="108"/>
      <c r="AF519" s="108"/>
      <c r="AG519" s="108"/>
    </row>
    <row r="520" ht="15.75" customHeight="1">
      <c r="A520" s="108"/>
      <c r="B520" s="108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  <c r="AD520" s="108"/>
      <c r="AE520" s="108"/>
      <c r="AF520" s="108"/>
      <c r="AG520" s="108"/>
    </row>
    <row r="521" ht="15.75" customHeight="1">
      <c r="A521" s="108"/>
      <c r="B521" s="108"/>
      <c r="C521" s="108"/>
      <c r="D521" s="108"/>
      <c r="E521" s="108"/>
      <c r="F521" s="108"/>
      <c r="G521" s="108"/>
      <c r="H521" s="108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  <c r="AD521" s="108"/>
      <c r="AE521" s="108"/>
      <c r="AF521" s="108"/>
      <c r="AG521" s="108"/>
    </row>
    <row r="522" ht="15.75" customHeight="1">
      <c r="A522" s="108"/>
      <c r="B522" s="108"/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  <c r="AD522" s="108"/>
      <c r="AE522" s="108"/>
      <c r="AF522" s="108"/>
      <c r="AG522" s="108"/>
    </row>
    <row r="523" ht="15.75" customHeight="1">
      <c r="A523" s="108"/>
      <c r="B523" s="108"/>
      <c r="C523" s="108"/>
      <c r="D523" s="108"/>
      <c r="E523" s="108"/>
      <c r="F523" s="108"/>
      <c r="G523" s="108"/>
      <c r="H523" s="108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  <c r="AD523" s="108"/>
      <c r="AE523" s="108"/>
      <c r="AF523" s="108"/>
      <c r="AG523" s="108"/>
    </row>
    <row r="524" ht="15.75" customHeight="1">
      <c r="A524" s="108"/>
      <c r="B524" s="108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  <c r="AD524" s="108"/>
      <c r="AE524" s="108"/>
      <c r="AF524" s="108"/>
      <c r="AG524" s="108"/>
    </row>
    <row r="525" ht="15.75" customHeight="1">
      <c r="A525" s="108"/>
      <c r="B525" s="108"/>
      <c r="C525" s="108"/>
      <c r="D525" s="108"/>
      <c r="E525" s="108"/>
      <c r="F525" s="108"/>
      <c r="G525" s="108"/>
      <c r="H525" s="108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  <c r="AD525" s="108"/>
      <c r="AE525" s="108"/>
      <c r="AF525" s="108"/>
      <c r="AG525" s="108"/>
    </row>
    <row r="526" ht="15.75" customHeight="1">
      <c r="A526" s="108"/>
      <c r="B526" s="108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  <c r="AD526" s="108"/>
      <c r="AE526" s="108"/>
      <c r="AF526" s="108"/>
      <c r="AG526" s="108"/>
    </row>
    <row r="527" ht="15.75" customHeight="1">
      <c r="A527" s="108"/>
      <c r="B527" s="108"/>
      <c r="C527" s="108"/>
      <c r="D527" s="108"/>
      <c r="E527" s="108"/>
      <c r="F527" s="108"/>
      <c r="G527" s="108"/>
      <c r="H527" s="108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  <c r="AD527" s="108"/>
      <c r="AE527" s="108"/>
      <c r="AF527" s="108"/>
      <c r="AG527" s="108"/>
    </row>
    <row r="528" ht="15.75" customHeight="1">
      <c r="A528" s="108"/>
      <c r="B528" s="108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  <c r="AD528" s="108"/>
      <c r="AE528" s="108"/>
      <c r="AF528" s="108"/>
      <c r="AG528" s="108"/>
    </row>
    <row r="529" ht="15.75" customHeight="1">
      <c r="A529" s="108"/>
      <c r="B529" s="108"/>
      <c r="C529" s="108"/>
      <c r="D529" s="108"/>
      <c r="E529" s="108"/>
      <c r="F529" s="108"/>
      <c r="G529" s="108"/>
      <c r="H529" s="108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  <c r="AD529" s="108"/>
      <c r="AE529" s="108"/>
      <c r="AF529" s="108"/>
      <c r="AG529" s="108"/>
    </row>
    <row r="530" ht="15.75" customHeight="1">
      <c r="A530" s="108"/>
      <c r="B530" s="108"/>
      <c r="C530" s="108"/>
      <c r="D530" s="108"/>
      <c r="E530" s="108"/>
      <c r="F530" s="108"/>
      <c r="G530" s="108"/>
      <c r="H530" s="108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  <c r="AD530" s="108"/>
      <c r="AE530" s="108"/>
      <c r="AF530" s="108"/>
      <c r="AG530" s="108"/>
    </row>
    <row r="531" ht="15.75" customHeight="1">
      <c r="A531" s="108"/>
      <c r="B531" s="108"/>
      <c r="C531" s="108"/>
      <c r="D531" s="108"/>
      <c r="E531" s="108"/>
      <c r="F531" s="108"/>
      <c r="G531" s="108"/>
      <c r="H531" s="108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  <c r="AD531" s="108"/>
      <c r="AE531" s="108"/>
      <c r="AF531" s="108"/>
      <c r="AG531" s="108"/>
    </row>
    <row r="532" ht="15.75" customHeight="1">
      <c r="A532" s="108"/>
      <c r="B532" s="108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  <c r="AD532" s="108"/>
      <c r="AE532" s="108"/>
      <c r="AF532" s="108"/>
      <c r="AG532" s="108"/>
    </row>
    <row r="533" ht="15.75" customHeight="1">
      <c r="A533" s="108"/>
      <c r="B533" s="108"/>
      <c r="C533" s="108"/>
      <c r="D533" s="108"/>
      <c r="E533" s="108"/>
      <c r="F533" s="108"/>
      <c r="G533" s="108"/>
      <c r="H533" s="108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  <c r="AD533" s="108"/>
      <c r="AE533" s="108"/>
      <c r="AF533" s="108"/>
      <c r="AG533" s="108"/>
    </row>
    <row r="534" ht="15.75" customHeight="1">
      <c r="A534" s="108"/>
      <c r="B534" s="108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  <c r="AD534" s="108"/>
      <c r="AE534" s="108"/>
      <c r="AF534" s="108"/>
      <c r="AG534" s="108"/>
    </row>
    <row r="535" ht="15.75" customHeight="1">
      <c r="A535" s="108"/>
      <c r="B535" s="108"/>
      <c r="C535" s="108"/>
      <c r="D535" s="108"/>
      <c r="E535" s="108"/>
      <c r="F535" s="108"/>
      <c r="G535" s="108"/>
      <c r="H535" s="108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  <c r="AD535" s="108"/>
      <c r="AE535" s="108"/>
      <c r="AF535" s="108"/>
      <c r="AG535" s="108"/>
    </row>
    <row r="536" ht="15.75" customHeight="1">
      <c r="A536" s="108"/>
      <c r="B536" s="108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  <c r="AD536" s="108"/>
      <c r="AE536" s="108"/>
      <c r="AF536" s="108"/>
      <c r="AG536" s="108"/>
    </row>
    <row r="537" ht="15.75" customHeight="1">
      <c r="A537" s="108"/>
      <c r="B537" s="108"/>
      <c r="C537" s="108"/>
      <c r="D537" s="108"/>
      <c r="E537" s="108"/>
      <c r="F537" s="108"/>
      <c r="G537" s="108"/>
      <c r="H537" s="108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  <c r="AD537" s="108"/>
      <c r="AE537" s="108"/>
      <c r="AF537" s="108"/>
      <c r="AG537" s="108"/>
    </row>
    <row r="538" ht="15.75" customHeight="1">
      <c r="A538" s="108"/>
      <c r="B538" s="108"/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  <c r="AD538" s="108"/>
      <c r="AE538" s="108"/>
      <c r="AF538" s="108"/>
      <c r="AG538" s="108"/>
    </row>
    <row r="539" ht="15.75" customHeight="1">
      <c r="A539" s="108"/>
      <c r="B539" s="108"/>
      <c r="C539" s="108"/>
      <c r="D539" s="108"/>
      <c r="E539" s="108"/>
      <c r="F539" s="108"/>
      <c r="G539" s="108"/>
      <c r="H539" s="108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  <c r="AD539" s="108"/>
      <c r="AE539" s="108"/>
      <c r="AF539" s="108"/>
      <c r="AG539" s="108"/>
    </row>
    <row r="540" ht="15.75" customHeight="1">
      <c r="A540" s="108"/>
      <c r="B540" s="108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  <c r="AD540" s="108"/>
      <c r="AE540" s="108"/>
      <c r="AF540" s="108"/>
      <c r="AG540" s="108"/>
    </row>
    <row r="541" ht="15.75" customHeight="1">
      <c r="A541" s="108"/>
      <c r="B541" s="108"/>
      <c r="C541" s="108"/>
      <c r="D541" s="108"/>
      <c r="E541" s="108"/>
      <c r="F541" s="108"/>
      <c r="G541" s="108"/>
      <c r="H541" s="108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  <c r="AD541" s="108"/>
      <c r="AE541" s="108"/>
      <c r="AF541" s="108"/>
      <c r="AG541" s="108"/>
    </row>
    <row r="542" ht="15.75" customHeight="1">
      <c r="A542" s="108"/>
      <c r="B542" s="108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  <c r="AD542" s="108"/>
      <c r="AE542" s="108"/>
      <c r="AF542" s="108"/>
      <c r="AG542" s="108"/>
    </row>
    <row r="543" ht="15.75" customHeight="1">
      <c r="A543" s="108"/>
      <c r="B543" s="108"/>
      <c r="C543" s="108"/>
      <c r="D543" s="108"/>
      <c r="E543" s="108"/>
      <c r="F543" s="108"/>
      <c r="G543" s="108"/>
      <c r="H543" s="108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  <c r="AD543" s="108"/>
      <c r="AE543" s="108"/>
      <c r="AF543" s="108"/>
      <c r="AG543" s="108"/>
    </row>
    <row r="544" ht="15.75" customHeight="1">
      <c r="A544" s="108"/>
      <c r="B544" s="108"/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  <c r="AD544" s="108"/>
      <c r="AE544" s="108"/>
      <c r="AF544" s="108"/>
      <c r="AG544" s="108"/>
    </row>
    <row r="545" ht="15.75" customHeight="1">
      <c r="A545" s="108"/>
      <c r="B545" s="108"/>
      <c r="C545" s="108"/>
      <c r="D545" s="108"/>
      <c r="E545" s="108"/>
      <c r="F545" s="108"/>
      <c r="G545" s="108"/>
      <c r="H545" s="108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  <c r="AD545" s="108"/>
      <c r="AE545" s="108"/>
      <c r="AF545" s="108"/>
      <c r="AG545" s="108"/>
    </row>
    <row r="546" ht="15.75" customHeight="1">
      <c r="A546" s="108"/>
      <c r="B546" s="108"/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  <c r="AD546" s="108"/>
      <c r="AE546" s="108"/>
      <c r="AF546" s="108"/>
      <c r="AG546" s="108"/>
    </row>
    <row r="547" ht="15.75" customHeight="1">
      <c r="A547" s="108"/>
      <c r="B547" s="108"/>
      <c r="C547" s="108"/>
      <c r="D547" s="108"/>
      <c r="E547" s="108"/>
      <c r="F547" s="108"/>
      <c r="G547" s="108"/>
      <c r="H547" s="108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  <c r="AD547" s="108"/>
      <c r="AE547" s="108"/>
      <c r="AF547" s="108"/>
      <c r="AG547" s="108"/>
    </row>
    <row r="548" ht="15.75" customHeight="1">
      <c r="A548" s="108"/>
      <c r="B548" s="108"/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  <c r="AD548" s="108"/>
      <c r="AE548" s="108"/>
      <c r="AF548" s="108"/>
      <c r="AG548" s="108"/>
    </row>
    <row r="549" ht="15.75" customHeight="1">
      <c r="A549" s="108"/>
      <c r="B549" s="108"/>
      <c r="C549" s="108"/>
      <c r="D549" s="108"/>
      <c r="E549" s="108"/>
      <c r="F549" s="108"/>
      <c r="G549" s="108"/>
      <c r="H549" s="108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  <c r="AD549" s="108"/>
      <c r="AE549" s="108"/>
      <c r="AF549" s="108"/>
      <c r="AG549" s="108"/>
    </row>
    <row r="550" ht="15.75" customHeight="1">
      <c r="A550" s="108"/>
      <c r="B550" s="108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  <c r="AD550" s="108"/>
      <c r="AE550" s="108"/>
      <c r="AF550" s="108"/>
      <c r="AG550" s="108"/>
    </row>
    <row r="551" ht="15.75" customHeight="1">
      <c r="A551" s="108"/>
      <c r="B551" s="108"/>
      <c r="C551" s="108"/>
      <c r="D551" s="108"/>
      <c r="E551" s="108"/>
      <c r="F551" s="108"/>
      <c r="G551" s="108"/>
      <c r="H551" s="108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  <c r="AD551" s="108"/>
      <c r="AE551" s="108"/>
      <c r="AF551" s="108"/>
      <c r="AG551" s="108"/>
    </row>
    <row r="552" ht="15.75" customHeight="1">
      <c r="A552" s="108"/>
      <c r="B552" s="108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  <c r="AD552" s="108"/>
      <c r="AE552" s="108"/>
      <c r="AF552" s="108"/>
      <c r="AG552" s="108"/>
    </row>
    <row r="553" ht="15.75" customHeight="1">
      <c r="A553" s="108"/>
      <c r="B553" s="108"/>
      <c r="C553" s="108"/>
      <c r="D553" s="108"/>
      <c r="E553" s="108"/>
      <c r="F553" s="108"/>
      <c r="G553" s="108"/>
      <c r="H553" s="108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  <c r="AD553" s="108"/>
      <c r="AE553" s="108"/>
      <c r="AF553" s="108"/>
      <c r="AG553" s="108"/>
    </row>
    <row r="554" ht="15.75" customHeight="1">
      <c r="A554" s="108"/>
      <c r="B554" s="108"/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  <c r="AD554" s="108"/>
      <c r="AE554" s="108"/>
      <c r="AF554" s="108"/>
      <c r="AG554" s="108"/>
    </row>
    <row r="555" ht="15.75" customHeight="1">
      <c r="A555" s="108"/>
      <c r="B555" s="108"/>
      <c r="C555" s="108"/>
      <c r="D555" s="108"/>
      <c r="E555" s="108"/>
      <c r="F555" s="108"/>
      <c r="G555" s="108"/>
      <c r="H555" s="108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  <c r="AD555" s="108"/>
      <c r="AE555" s="108"/>
      <c r="AF555" s="108"/>
      <c r="AG555" s="108"/>
    </row>
    <row r="556" ht="15.75" customHeight="1">
      <c r="A556" s="108"/>
      <c r="B556" s="108"/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  <c r="AD556" s="108"/>
      <c r="AE556" s="108"/>
      <c r="AF556" s="108"/>
      <c r="AG556" s="108"/>
    </row>
    <row r="557" ht="15.75" customHeight="1">
      <c r="A557" s="108"/>
      <c r="B557" s="108"/>
      <c r="C557" s="108"/>
      <c r="D557" s="108"/>
      <c r="E557" s="108"/>
      <c r="F557" s="108"/>
      <c r="G557" s="108"/>
      <c r="H557" s="108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  <c r="AD557" s="108"/>
      <c r="AE557" s="108"/>
      <c r="AF557" s="108"/>
      <c r="AG557" s="108"/>
    </row>
    <row r="558" ht="15.75" customHeight="1">
      <c r="A558" s="108"/>
      <c r="B558" s="108"/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  <c r="AD558" s="108"/>
      <c r="AE558" s="108"/>
      <c r="AF558" s="108"/>
      <c r="AG558" s="108"/>
    </row>
    <row r="559" ht="15.75" customHeight="1">
      <c r="A559" s="108"/>
      <c r="B559" s="108"/>
      <c r="C559" s="108"/>
      <c r="D559" s="108"/>
      <c r="E559" s="108"/>
      <c r="F559" s="108"/>
      <c r="G559" s="108"/>
      <c r="H559" s="108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  <c r="AD559" s="108"/>
      <c r="AE559" s="108"/>
      <c r="AF559" s="108"/>
      <c r="AG559" s="108"/>
    </row>
    <row r="560" ht="15.75" customHeight="1">
      <c r="A560" s="108"/>
      <c r="B560" s="108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  <c r="AD560" s="108"/>
      <c r="AE560" s="108"/>
      <c r="AF560" s="108"/>
      <c r="AG560" s="108"/>
    </row>
    <row r="561" ht="15.75" customHeight="1">
      <c r="A561" s="108"/>
      <c r="B561" s="108"/>
      <c r="C561" s="108"/>
      <c r="D561" s="108"/>
      <c r="E561" s="108"/>
      <c r="F561" s="108"/>
      <c r="G561" s="108"/>
      <c r="H561" s="108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  <c r="AD561" s="108"/>
      <c r="AE561" s="108"/>
      <c r="AF561" s="108"/>
      <c r="AG561" s="108"/>
    </row>
    <row r="562" ht="15.75" customHeight="1">
      <c r="A562" s="108"/>
      <c r="B562" s="108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  <c r="AD562" s="108"/>
      <c r="AE562" s="108"/>
      <c r="AF562" s="108"/>
      <c r="AG562" s="108"/>
    </row>
    <row r="563" ht="15.75" customHeight="1">
      <c r="A563" s="108"/>
      <c r="B563" s="108"/>
      <c r="C563" s="108"/>
      <c r="D563" s="108"/>
      <c r="E563" s="108"/>
      <c r="F563" s="108"/>
      <c r="G563" s="108"/>
      <c r="H563" s="108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  <c r="AD563" s="108"/>
      <c r="AE563" s="108"/>
      <c r="AF563" s="108"/>
      <c r="AG563" s="108"/>
    </row>
    <row r="564" ht="15.75" customHeight="1">
      <c r="A564" s="108"/>
      <c r="B564" s="108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  <c r="AD564" s="108"/>
      <c r="AE564" s="108"/>
      <c r="AF564" s="108"/>
      <c r="AG564" s="108"/>
    </row>
    <row r="565" ht="15.75" customHeight="1">
      <c r="A565" s="108"/>
      <c r="B565" s="108"/>
      <c r="C565" s="108"/>
      <c r="D565" s="108"/>
      <c r="E565" s="108"/>
      <c r="F565" s="108"/>
      <c r="G565" s="108"/>
      <c r="H565" s="108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  <c r="AD565" s="108"/>
      <c r="AE565" s="108"/>
      <c r="AF565" s="108"/>
      <c r="AG565" s="108"/>
    </row>
    <row r="566" ht="15.75" customHeight="1">
      <c r="A566" s="108"/>
      <c r="B566" s="108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  <c r="AD566" s="108"/>
      <c r="AE566" s="108"/>
      <c r="AF566" s="108"/>
      <c r="AG566" s="108"/>
    </row>
    <row r="567" ht="15.75" customHeight="1">
      <c r="A567" s="108"/>
      <c r="B567" s="108"/>
      <c r="C567" s="108"/>
      <c r="D567" s="108"/>
      <c r="E567" s="108"/>
      <c r="F567" s="108"/>
      <c r="G567" s="108"/>
      <c r="H567" s="108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  <c r="AD567" s="108"/>
      <c r="AE567" s="108"/>
      <c r="AF567" s="108"/>
      <c r="AG567" s="108"/>
    </row>
    <row r="568" ht="15.75" customHeight="1">
      <c r="A568" s="108"/>
      <c r="B568" s="108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  <c r="AD568" s="108"/>
      <c r="AE568" s="108"/>
      <c r="AF568" s="108"/>
      <c r="AG568" s="108"/>
    </row>
    <row r="569" ht="15.75" customHeight="1">
      <c r="A569" s="108"/>
      <c r="B569" s="108"/>
      <c r="C569" s="108"/>
      <c r="D569" s="108"/>
      <c r="E569" s="108"/>
      <c r="F569" s="108"/>
      <c r="G569" s="108"/>
      <c r="H569" s="108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  <c r="AD569" s="108"/>
      <c r="AE569" s="108"/>
      <c r="AF569" s="108"/>
      <c r="AG569" s="108"/>
    </row>
    <row r="570" ht="15.75" customHeight="1">
      <c r="A570" s="108"/>
      <c r="B570" s="108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  <c r="AD570" s="108"/>
      <c r="AE570" s="108"/>
      <c r="AF570" s="108"/>
      <c r="AG570" s="108"/>
    </row>
    <row r="571" ht="15.75" customHeight="1">
      <c r="A571" s="108"/>
      <c r="B571" s="108"/>
      <c r="C571" s="108"/>
      <c r="D571" s="108"/>
      <c r="E571" s="108"/>
      <c r="F571" s="108"/>
      <c r="G571" s="108"/>
      <c r="H571" s="108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  <c r="AD571" s="108"/>
      <c r="AE571" s="108"/>
      <c r="AF571" s="108"/>
      <c r="AG571" s="108"/>
    </row>
    <row r="572" ht="15.75" customHeight="1">
      <c r="A572" s="108"/>
      <c r="B572" s="108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  <c r="AD572" s="108"/>
      <c r="AE572" s="108"/>
      <c r="AF572" s="108"/>
      <c r="AG572" s="108"/>
    </row>
    <row r="573" ht="15.75" customHeight="1">
      <c r="A573" s="108"/>
      <c r="B573" s="108"/>
      <c r="C573" s="108"/>
      <c r="D573" s="108"/>
      <c r="E573" s="108"/>
      <c r="F573" s="108"/>
      <c r="G573" s="108"/>
      <c r="H573" s="108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  <c r="AD573" s="108"/>
      <c r="AE573" s="108"/>
      <c r="AF573" s="108"/>
      <c r="AG573" s="108"/>
    </row>
    <row r="574" ht="15.75" customHeight="1">
      <c r="A574" s="108"/>
      <c r="B574" s="108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  <c r="AD574" s="108"/>
      <c r="AE574" s="108"/>
      <c r="AF574" s="108"/>
      <c r="AG574" s="108"/>
    </row>
    <row r="575" ht="15.75" customHeight="1">
      <c r="A575" s="108"/>
      <c r="B575" s="108"/>
      <c r="C575" s="108"/>
      <c r="D575" s="108"/>
      <c r="E575" s="108"/>
      <c r="F575" s="108"/>
      <c r="G575" s="108"/>
      <c r="H575" s="108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  <c r="AD575" s="108"/>
      <c r="AE575" s="108"/>
      <c r="AF575" s="108"/>
      <c r="AG575" s="108"/>
    </row>
    <row r="576" ht="15.75" customHeight="1">
      <c r="A576" s="108"/>
      <c r="B576" s="108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  <c r="AD576" s="108"/>
      <c r="AE576" s="108"/>
      <c r="AF576" s="108"/>
      <c r="AG576" s="108"/>
    </row>
    <row r="577" ht="15.75" customHeight="1">
      <c r="A577" s="108"/>
      <c r="B577" s="108"/>
      <c r="C577" s="108"/>
      <c r="D577" s="108"/>
      <c r="E577" s="108"/>
      <c r="F577" s="108"/>
      <c r="G577" s="108"/>
      <c r="H577" s="108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  <c r="AD577" s="108"/>
      <c r="AE577" s="108"/>
      <c r="AF577" s="108"/>
      <c r="AG577" s="108"/>
    </row>
    <row r="578" ht="15.75" customHeight="1">
      <c r="A578" s="108"/>
      <c r="B578" s="108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  <c r="AD578" s="108"/>
      <c r="AE578" s="108"/>
      <c r="AF578" s="108"/>
      <c r="AG578" s="108"/>
    </row>
    <row r="579" ht="15.75" customHeight="1">
      <c r="A579" s="108"/>
      <c r="B579" s="108"/>
      <c r="C579" s="108"/>
      <c r="D579" s="108"/>
      <c r="E579" s="108"/>
      <c r="F579" s="108"/>
      <c r="G579" s="108"/>
      <c r="H579" s="108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  <c r="AD579" s="108"/>
      <c r="AE579" s="108"/>
      <c r="AF579" s="108"/>
      <c r="AG579" s="108"/>
    </row>
    <row r="580" ht="15.75" customHeight="1">
      <c r="A580" s="108"/>
      <c r="B580" s="108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  <c r="AD580" s="108"/>
      <c r="AE580" s="108"/>
      <c r="AF580" s="108"/>
      <c r="AG580" s="108"/>
    </row>
    <row r="581" ht="15.75" customHeight="1">
      <c r="A581" s="108"/>
      <c r="B581" s="108"/>
      <c r="C581" s="108"/>
      <c r="D581" s="108"/>
      <c r="E581" s="108"/>
      <c r="F581" s="108"/>
      <c r="G581" s="108"/>
      <c r="H581" s="108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  <c r="AD581" s="108"/>
      <c r="AE581" s="108"/>
      <c r="AF581" s="108"/>
      <c r="AG581" s="108"/>
    </row>
    <row r="582" ht="15.75" customHeight="1">
      <c r="A582" s="108"/>
      <c r="B582" s="108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  <c r="AD582" s="108"/>
      <c r="AE582" s="108"/>
      <c r="AF582" s="108"/>
      <c r="AG582" s="108"/>
    </row>
    <row r="583" ht="15.75" customHeight="1">
      <c r="A583" s="108"/>
      <c r="B583" s="108"/>
      <c r="C583" s="108"/>
      <c r="D583" s="108"/>
      <c r="E583" s="108"/>
      <c r="F583" s="108"/>
      <c r="G583" s="108"/>
      <c r="H583" s="108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  <c r="AD583" s="108"/>
      <c r="AE583" s="108"/>
      <c r="AF583" s="108"/>
      <c r="AG583" s="108"/>
    </row>
    <row r="584" ht="15.75" customHeight="1">
      <c r="A584" s="108"/>
      <c r="B584" s="108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  <c r="AD584" s="108"/>
      <c r="AE584" s="108"/>
      <c r="AF584" s="108"/>
      <c r="AG584" s="108"/>
    </row>
    <row r="585" ht="15.75" customHeight="1">
      <c r="A585" s="108"/>
      <c r="B585" s="108"/>
      <c r="C585" s="108"/>
      <c r="D585" s="108"/>
      <c r="E585" s="108"/>
      <c r="F585" s="108"/>
      <c r="G585" s="108"/>
      <c r="H585" s="108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  <c r="AD585" s="108"/>
      <c r="AE585" s="108"/>
      <c r="AF585" s="108"/>
      <c r="AG585" s="108"/>
    </row>
    <row r="586" ht="15.75" customHeight="1">
      <c r="A586" s="108"/>
      <c r="B586" s="108"/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  <c r="AD586" s="108"/>
      <c r="AE586" s="108"/>
      <c r="AF586" s="108"/>
      <c r="AG586" s="108"/>
    </row>
    <row r="587" ht="15.75" customHeight="1">
      <c r="A587" s="108"/>
      <c r="B587" s="108"/>
      <c r="C587" s="108"/>
      <c r="D587" s="108"/>
      <c r="E587" s="108"/>
      <c r="F587" s="108"/>
      <c r="G587" s="108"/>
      <c r="H587" s="108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  <c r="AD587" s="108"/>
      <c r="AE587" s="108"/>
      <c r="AF587" s="108"/>
      <c r="AG587" s="108"/>
    </row>
    <row r="588" ht="15.75" customHeight="1">
      <c r="A588" s="108"/>
      <c r="B588" s="108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  <c r="AD588" s="108"/>
      <c r="AE588" s="108"/>
      <c r="AF588" s="108"/>
      <c r="AG588" s="108"/>
    </row>
    <row r="589" ht="15.75" customHeight="1">
      <c r="A589" s="108"/>
      <c r="B589" s="108"/>
      <c r="C589" s="108"/>
      <c r="D589" s="108"/>
      <c r="E589" s="108"/>
      <c r="F589" s="108"/>
      <c r="G589" s="108"/>
      <c r="H589" s="108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  <c r="AD589" s="108"/>
      <c r="AE589" s="108"/>
      <c r="AF589" s="108"/>
      <c r="AG589" s="108"/>
    </row>
    <row r="590" ht="15.75" customHeight="1">
      <c r="A590" s="108"/>
      <c r="B590" s="108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  <c r="AD590" s="108"/>
      <c r="AE590" s="108"/>
      <c r="AF590" s="108"/>
      <c r="AG590" s="108"/>
    </row>
    <row r="591" ht="15.75" customHeight="1">
      <c r="A591" s="108"/>
      <c r="B591" s="108"/>
      <c r="C591" s="108"/>
      <c r="D591" s="108"/>
      <c r="E591" s="108"/>
      <c r="F591" s="108"/>
      <c r="G591" s="108"/>
      <c r="H591" s="108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  <c r="AD591" s="108"/>
      <c r="AE591" s="108"/>
      <c r="AF591" s="108"/>
      <c r="AG591" s="108"/>
    </row>
    <row r="592" ht="15.75" customHeight="1">
      <c r="A592" s="108"/>
      <c r="B592" s="108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  <c r="AD592" s="108"/>
      <c r="AE592" s="108"/>
      <c r="AF592" s="108"/>
      <c r="AG592" s="108"/>
    </row>
    <row r="593" ht="15.75" customHeight="1">
      <c r="A593" s="108"/>
      <c r="B593" s="108"/>
      <c r="C593" s="108"/>
      <c r="D593" s="108"/>
      <c r="E593" s="108"/>
      <c r="F593" s="108"/>
      <c r="G593" s="108"/>
      <c r="H593" s="108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  <c r="AD593" s="108"/>
      <c r="AE593" s="108"/>
      <c r="AF593" s="108"/>
      <c r="AG593" s="108"/>
    </row>
    <row r="594" ht="15.75" customHeight="1">
      <c r="A594" s="108"/>
      <c r="B594" s="108"/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  <c r="AD594" s="108"/>
      <c r="AE594" s="108"/>
      <c r="AF594" s="108"/>
      <c r="AG594" s="108"/>
    </row>
    <row r="595" ht="15.75" customHeight="1">
      <c r="A595" s="108"/>
      <c r="B595" s="108"/>
      <c r="C595" s="108"/>
      <c r="D595" s="108"/>
      <c r="E595" s="108"/>
      <c r="F595" s="108"/>
      <c r="G595" s="108"/>
      <c r="H595" s="108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  <c r="AD595" s="108"/>
      <c r="AE595" s="108"/>
      <c r="AF595" s="108"/>
      <c r="AG595" s="108"/>
    </row>
    <row r="596" ht="15.75" customHeight="1">
      <c r="A596" s="108"/>
      <c r="B596" s="108"/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  <c r="AD596" s="108"/>
      <c r="AE596" s="108"/>
      <c r="AF596" s="108"/>
      <c r="AG596" s="108"/>
    </row>
    <row r="597" ht="15.75" customHeight="1">
      <c r="A597" s="108"/>
      <c r="B597" s="108"/>
      <c r="C597" s="108"/>
      <c r="D597" s="108"/>
      <c r="E597" s="108"/>
      <c r="F597" s="108"/>
      <c r="G597" s="108"/>
      <c r="H597" s="108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  <c r="AD597" s="108"/>
      <c r="AE597" s="108"/>
      <c r="AF597" s="108"/>
      <c r="AG597" s="108"/>
    </row>
    <row r="598" ht="15.75" customHeight="1">
      <c r="A598" s="108"/>
      <c r="B598" s="108"/>
      <c r="C598" s="108"/>
      <c r="D598" s="108"/>
      <c r="E598" s="108"/>
      <c r="F598" s="108"/>
      <c r="G598" s="108"/>
      <c r="H598" s="10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  <c r="AD598" s="108"/>
      <c r="AE598" s="108"/>
      <c r="AF598" s="108"/>
      <c r="AG598" s="108"/>
    </row>
    <row r="599" ht="15.75" customHeight="1">
      <c r="A599" s="108"/>
      <c r="B599" s="108"/>
      <c r="C599" s="108"/>
      <c r="D599" s="108"/>
      <c r="E599" s="108"/>
      <c r="F599" s="108"/>
      <c r="G599" s="108"/>
      <c r="H599" s="108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  <c r="AD599" s="108"/>
      <c r="AE599" s="108"/>
      <c r="AF599" s="108"/>
      <c r="AG599" s="108"/>
    </row>
    <row r="600" ht="15.75" customHeight="1">
      <c r="A600" s="108"/>
      <c r="B600" s="108"/>
      <c r="C600" s="108"/>
      <c r="D600" s="108"/>
      <c r="E600" s="108"/>
      <c r="F600" s="108"/>
      <c r="G600" s="108"/>
      <c r="H600" s="108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  <c r="AD600" s="108"/>
      <c r="AE600" s="108"/>
      <c r="AF600" s="108"/>
      <c r="AG600" s="108"/>
    </row>
    <row r="601" ht="15.75" customHeight="1">
      <c r="A601" s="108"/>
      <c r="B601" s="108"/>
      <c r="C601" s="108"/>
      <c r="D601" s="108"/>
      <c r="E601" s="108"/>
      <c r="F601" s="108"/>
      <c r="G601" s="108"/>
      <c r="H601" s="108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  <c r="AD601" s="108"/>
      <c r="AE601" s="108"/>
      <c r="AF601" s="108"/>
      <c r="AG601" s="108"/>
    </row>
    <row r="602" ht="15.75" customHeight="1">
      <c r="A602" s="108"/>
      <c r="B602" s="108"/>
      <c r="C602" s="108"/>
      <c r="D602" s="108"/>
      <c r="E602" s="108"/>
      <c r="F602" s="108"/>
      <c r="G602" s="108"/>
      <c r="H602" s="108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  <c r="AD602" s="108"/>
      <c r="AE602" s="108"/>
      <c r="AF602" s="108"/>
      <c r="AG602" s="108"/>
    </row>
    <row r="603" ht="15.75" customHeight="1">
      <c r="A603" s="108"/>
      <c r="B603" s="108"/>
      <c r="C603" s="108"/>
      <c r="D603" s="108"/>
      <c r="E603" s="108"/>
      <c r="F603" s="108"/>
      <c r="G603" s="108"/>
      <c r="H603" s="108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  <c r="AD603" s="108"/>
      <c r="AE603" s="108"/>
      <c r="AF603" s="108"/>
      <c r="AG603" s="108"/>
    </row>
    <row r="604" ht="15.75" customHeight="1">
      <c r="A604" s="108"/>
      <c r="B604" s="108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  <c r="AD604" s="108"/>
      <c r="AE604" s="108"/>
      <c r="AF604" s="108"/>
      <c r="AG604" s="108"/>
    </row>
    <row r="605" ht="15.75" customHeight="1">
      <c r="A605" s="108"/>
      <c r="B605" s="108"/>
      <c r="C605" s="108"/>
      <c r="D605" s="108"/>
      <c r="E605" s="108"/>
      <c r="F605" s="108"/>
      <c r="G605" s="108"/>
      <c r="H605" s="108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  <c r="AD605" s="108"/>
      <c r="AE605" s="108"/>
      <c r="AF605" s="108"/>
      <c r="AG605" s="108"/>
    </row>
    <row r="606" ht="15.75" customHeight="1">
      <c r="A606" s="108"/>
      <c r="B606" s="108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  <c r="AD606" s="108"/>
      <c r="AE606" s="108"/>
      <c r="AF606" s="108"/>
      <c r="AG606" s="108"/>
    </row>
    <row r="607" ht="15.75" customHeight="1">
      <c r="A607" s="108"/>
      <c r="B607" s="108"/>
      <c r="C607" s="108"/>
      <c r="D607" s="108"/>
      <c r="E607" s="108"/>
      <c r="F607" s="108"/>
      <c r="G607" s="108"/>
      <c r="H607" s="108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  <c r="AD607" s="108"/>
      <c r="AE607" s="108"/>
      <c r="AF607" s="108"/>
      <c r="AG607" s="108"/>
    </row>
    <row r="608" ht="15.75" customHeight="1">
      <c r="A608" s="108"/>
      <c r="B608" s="108"/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  <c r="AD608" s="108"/>
      <c r="AE608" s="108"/>
      <c r="AF608" s="108"/>
      <c r="AG608" s="108"/>
    </row>
    <row r="609" ht="15.75" customHeight="1">
      <c r="A609" s="108"/>
      <c r="B609" s="108"/>
      <c r="C609" s="108"/>
      <c r="D609" s="108"/>
      <c r="E609" s="108"/>
      <c r="F609" s="108"/>
      <c r="G609" s="108"/>
      <c r="H609" s="108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  <c r="AD609" s="108"/>
      <c r="AE609" s="108"/>
      <c r="AF609" s="108"/>
      <c r="AG609" s="108"/>
    </row>
    <row r="610" ht="15.75" customHeight="1">
      <c r="A610" s="108"/>
      <c r="B610" s="108"/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  <c r="AD610" s="108"/>
      <c r="AE610" s="108"/>
      <c r="AF610" s="108"/>
      <c r="AG610" s="108"/>
    </row>
    <row r="611" ht="15.75" customHeight="1">
      <c r="A611" s="108"/>
      <c r="B611" s="108"/>
      <c r="C611" s="108"/>
      <c r="D611" s="108"/>
      <c r="E611" s="108"/>
      <c r="F611" s="108"/>
      <c r="G611" s="108"/>
      <c r="H611" s="108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  <c r="AD611" s="108"/>
      <c r="AE611" s="108"/>
      <c r="AF611" s="108"/>
      <c r="AG611" s="108"/>
    </row>
    <row r="612" ht="15.75" customHeight="1">
      <c r="A612" s="108"/>
      <c r="B612" s="108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  <c r="AD612" s="108"/>
      <c r="AE612" s="108"/>
      <c r="AF612" s="108"/>
      <c r="AG612" s="108"/>
    </row>
    <row r="613" ht="15.75" customHeight="1">
      <c r="A613" s="108"/>
      <c r="B613" s="108"/>
      <c r="C613" s="108"/>
      <c r="D613" s="108"/>
      <c r="E613" s="108"/>
      <c r="F613" s="108"/>
      <c r="G613" s="108"/>
      <c r="H613" s="108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  <c r="AD613" s="108"/>
      <c r="AE613" s="108"/>
      <c r="AF613" s="108"/>
      <c r="AG613" s="108"/>
    </row>
    <row r="614" ht="15.75" customHeight="1">
      <c r="A614" s="108"/>
      <c r="B614" s="108"/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  <c r="AD614" s="108"/>
      <c r="AE614" s="108"/>
      <c r="AF614" s="108"/>
      <c r="AG614" s="108"/>
    </row>
    <row r="615" ht="15.75" customHeight="1">
      <c r="A615" s="108"/>
      <c r="B615" s="108"/>
      <c r="C615" s="108"/>
      <c r="D615" s="108"/>
      <c r="E615" s="108"/>
      <c r="F615" s="108"/>
      <c r="G615" s="108"/>
      <c r="H615" s="108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  <c r="AD615" s="108"/>
      <c r="AE615" s="108"/>
      <c r="AF615" s="108"/>
      <c r="AG615" s="108"/>
    </row>
    <row r="616" ht="15.75" customHeight="1">
      <c r="A616" s="108"/>
      <c r="B616" s="108"/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  <c r="AD616" s="108"/>
      <c r="AE616" s="108"/>
      <c r="AF616" s="108"/>
      <c r="AG616" s="108"/>
    </row>
    <row r="617" ht="15.75" customHeight="1">
      <c r="A617" s="108"/>
      <c r="B617" s="108"/>
      <c r="C617" s="108"/>
      <c r="D617" s="108"/>
      <c r="E617" s="108"/>
      <c r="F617" s="108"/>
      <c r="G617" s="108"/>
      <c r="H617" s="108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  <c r="AD617" s="108"/>
      <c r="AE617" s="108"/>
      <c r="AF617" s="108"/>
      <c r="AG617" s="108"/>
    </row>
    <row r="618" ht="15.75" customHeight="1">
      <c r="A618" s="108"/>
      <c r="B618" s="108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  <c r="AD618" s="108"/>
      <c r="AE618" s="108"/>
      <c r="AF618" s="108"/>
      <c r="AG618" s="108"/>
    </row>
    <row r="619" ht="15.75" customHeight="1">
      <c r="A619" s="108"/>
      <c r="B619" s="108"/>
      <c r="C619" s="108"/>
      <c r="D619" s="108"/>
      <c r="E619" s="108"/>
      <c r="F619" s="108"/>
      <c r="G619" s="108"/>
      <c r="H619" s="108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  <c r="AD619" s="108"/>
      <c r="AE619" s="108"/>
      <c r="AF619" s="108"/>
      <c r="AG619" s="108"/>
    </row>
    <row r="620" ht="15.75" customHeight="1">
      <c r="A620" s="108"/>
      <c r="B620" s="108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  <c r="AD620" s="108"/>
      <c r="AE620" s="108"/>
      <c r="AF620" s="108"/>
      <c r="AG620" s="108"/>
    </row>
    <row r="621" ht="15.75" customHeight="1">
      <c r="A621" s="108"/>
      <c r="B621" s="108"/>
      <c r="C621" s="108"/>
      <c r="D621" s="108"/>
      <c r="E621" s="108"/>
      <c r="F621" s="108"/>
      <c r="G621" s="108"/>
      <c r="H621" s="108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  <c r="AD621" s="108"/>
      <c r="AE621" s="108"/>
      <c r="AF621" s="108"/>
      <c r="AG621" s="108"/>
    </row>
    <row r="622" ht="15.75" customHeight="1">
      <c r="A622" s="108"/>
      <c r="B622" s="108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  <c r="AD622" s="108"/>
      <c r="AE622" s="108"/>
      <c r="AF622" s="108"/>
      <c r="AG622" s="108"/>
    </row>
    <row r="623" ht="15.75" customHeight="1">
      <c r="A623" s="108"/>
      <c r="B623" s="108"/>
      <c r="C623" s="108"/>
      <c r="D623" s="108"/>
      <c r="E623" s="108"/>
      <c r="F623" s="108"/>
      <c r="G623" s="108"/>
      <c r="H623" s="108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  <c r="AD623" s="108"/>
      <c r="AE623" s="108"/>
      <c r="AF623" s="108"/>
      <c r="AG623" s="108"/>
    </row>
    <row r="624" ht="15.75" customHeight="1">
      <c r="A624" s="108"/>
      <c r="B624" s="108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  <c r="AD624" s="108"/>
      <c r="AE624" s="108"/>
      <c r="AF624" s="108"/>
      <c r="AG624" s="108"/>
    </row>
    <row r="625" ht="15.75" customHeight="1">
      <c r="A625" s="108"/>
      <c r="B625" s="108"/>
      <c r="C625" s="108"/>
      <c r="D625" s="108"/>
      <c r="E625" s="108"/>
      <c r="F625" s="108"/>
      <c r="G625" s="108"/>
      <c r="H625" s="108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  <c r="AD625" s="108"/>
      <c r="AE625" s="108"/>
      <c r="AF625" s="108"/>
      <c r="AG625" s="108"/>
    </row>
    <row r="626" ht="15.75" customHeight="1">
      <c r="A626" s="108"/>
      <c r="B626" s="108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  <c r="AD626" s="108"/>
      <c r="AE626" s="108"/>
      <c r="AF626" s="108"/>
      <c r="AG626" s="108"/>
    </row>
    <row r="627" ht="15.75" customHeight="1">
      <c r="A627" s="108"/>
      <c r="B627" s="108"/>
      <c r="C627" s="108"/>
      <c r="D627" s="108"/>
      <c r="E627" s="108"/>
      <c r="F627" s="108"/>
      <c r="G627" s="108"/>
      <c r="H627" s="108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  <c r="AD627" s="108"/>
      <c r="AE627" s="108"/>
      <c r="AF627" s="108"/>
      <c r="AG627" s="108"/>
    </row>
    <row r="628" ht="15.75" customHeight="1">
      <c r="A628" s="108"/>
      <c r="B628" s="108"/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  <c r="AD628" s="108"/>
      <c r="AE628" s="108"/>
      <c r="AF628" s="108"/>
      <c r="AG628" s="108"/>
    </row>
    <row r="629" ht="15.75" customHeight="1">
      <c r="A629" s="108"/>
      <c r="B629" s="108"/>
      <c r="C629" s="108"/>
      <c r="D629" s="108"/>
      <c r="E629" s="108"/>
      <c r="F629" s="108"/>
      <c r="G629" s="108"/>
      <c r="H629" s="108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  <c r="AD629" s="108"/>
      <c r="AE629" s="108"/>
      <c r="AF629" s="108"/>
      <c r="AG629" s="108"/>
    </row>
    <row r="630" ht="15.75" customHeight="1">
      <c r="A630" s="108"/>
      <c r="B630" s="108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  <c r="AD630" s="108"/>
      <c r="AE630" s="108"/>
      <c r="AF630" s="108"/>
      <c r="AG630" s="108"/>
    </row>
    <row r="631" ht="15.75" customHeight="1">
      <c r="A631" s="108"/>
      <c r="B631" s="108"/>
      <c r="C631" s="108"/>
      <c r="D631" s="108"/>
      <c r="E631" s="108"/>
      <c r="F631" s="108"/>
      <c r="G631" s="108"/>
      <c r="H631" s="108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  <c r="AD631" s="108"/>
      <c r="AE631" s="108"/>
      <c r="AF631" s="108"/>
      <c r="AG631" s="108"/>
    </row>
    <row r="632" ht="15.75" customHeight="1">
      <c r="A632" s="108"/>
      <c r="B632" s="108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  <c r="AD632" s="108"/>
      <c r="AE632" s="108"/>
      <c r="AF632" s="108"/>
      <c r="AG632" s="108"/>
    </row>
    <row r="633" ht="15.75" customHeight="1">
      <c r="A633" s="108"/>
      <c r="B633" s="108"/>
      <c r="C633" s="108"/>
      <c r="D633" s="108"/>
      <c r="E633" s="108"/>
      <c r="F633" s="108"/>
      <c r="G633" s="108"/>
      <c r="H633" s="108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  <c r="AD633" s="108"/>
      <c r="AE633" s="108"/>
      <c r="AF633" s="108"/>
      <c r="AG633" s="108"/>
    </row>
    <row r="634" ht="15.75" customHeight="1">
      <c r="A634" s="108"/>
      <c r="B634" s="108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  <c r="AD634" s="108"/>
      <c r="AE634" s="108"/>
      <c r="AF634" s="108"/>
      <c r="AG634" s="108"/>
    </row>
    <row r="635" ht="15.75" customHeight="1">
      <c r="A635" s="108"/>
      <c r="B635" s="108"/>
      <c r="C635" s="108"/>
      <c r="D635" s="108"/>
      <c r="E635" s="108"/>
      <c r="F635" s="108"/>
      <c r="G635" s="108"/>
      <c r="H635" s="108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  <c r="AD635" s="108"/>
      <c r="AE635" s="108"/>
      <c r="AF635" s="108"/>
      <c r="AG635" s="108"/>
    </row>
    <row r="636" ht="15.75" customHeight="1">
      <c r="A636" s="108"/>
      <c r="B636" s="108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  <c r="AD636" s="108"/>
      <c r="AE636" s="108"/>
      <c r="AF636" s="108"/>
      <c r="AG636" s="108"/>
    </row>
    <row r="637" ht="15.75" customHeight="1">
      <c r="A637" s="108"/>
      <c r="B637" s="108"/>
      <c r="C637" s="108"/>
      <c r="D637" s="108"/>
      <c r="E637" s="108"/>
      <c r="F637" s="108"/>
      <c r="G637" s="108"/>
      <c r="H637" s="108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  <c r="AD637" s="108"/>
      <c r="AE637" s="108"/>
      <c r="AF637" s="108"/>
      <c r="AG637" s="108"/>
    </row>
    <row r="638" ht="15.75" customHeight="1">
      <c r="A638" s="108"/>
      <c r="B638" s="108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  <c r="AD638" s="108"/>
      <c r="AE638" s="108"/>
      <c r="AF638" s="108"/>
      <c r="AG638" s="108"/>
    </row>
    <row r="639" ht="15.75" customHeight="1">
      <c r="A639" s="108"/>
      <c r="B639" s="108"/>
      <c r="C639" s="108"/>
      <c r="D639" s="108"/>
      <c r="E639" s="108"/>
      <c r="F639" s="108"/>
      <c r="G639" s="108"/>
      <c r="H639" s="108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  <c r="AD639" s="108"/>
      <c r="AE639" s="108"/>
      <c r="AF639" s="108"/>
      <c r="AG639" s="108"/>
    </row>
    <row r="640" ht="15.75" customHeight="1">
      <c r="A640" s="108"/>
      <c r="B640" s="108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  <c r="AD640" s="108"/>
      <c r="AE640" s="108"/>
      <c r="AF640" s="108"/>
      <c r="AG640" s="108"/>
    </row>
    <row r="641" ht="15.75" customHeight="1">
      <c r="A641" s="108"/>
      <c r="B641" s="108"/>
      <c r="C641" s="108"/>
      <c r="D641" s="108"/>
      <c r="E641" s="108"/>
      <c r="F641" s="108"/>
      <c r="G641" s="108"/>
      <c r="H641" s="108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  <c r="AD641" s="108"/>
      <c r="AE641" s="108"/>
      <c r="AF641" s="108"/>
      <c r="AG641" s="108"/>
    </row>
    <row r="642" ht="15.75" customHeight="1">
      <c r="A642" s="108"/>
      <c r="B642" s="108"/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  <c r="AD642" s="108"/>
      <c r="AE642" s="108"/>
      <c r="AF642" s="108"/>
      <c r="AG642" s="108"/>
    </row>
    <row r="643" ht="15.75" customHeight="1">
      <c r="A643" s="108"/>
      <c r="B643" s="108"/>
      <c r="C643" s="108"/>
      <c r="D643" s="108"/>
      <c r="E643" s="108"/>
      <c r="F643" s="108"/>
      <c r="G643" s="108"/>
      <c r="H643" s="108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  <c r="AD643" s="108"/>
      <c r="AE643" s="108"/>
      <c r="AF643" s="108"/>
      <c r="AG643" s="108"/>
    </row>
    <row r="644" ht="15.75" customHeight="1">
      <c r="A644" s="108"/>
      <c r="B644" s="108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  <c r="AD644" s="108"/>
      <c r="AE644" s="108"/>
      <c r="AF644" s="108"/>
      <c r="AG644" s="108"/>
    </row>
    <row r="645" ht="15.75" customHeight="1">
      <c r="A645" s="108"/>
      <c r="B645" s="108"/>
      <c r="C645" s="108"/>
      <c r="D645" s="108"/>
      <c r="E645" s="108"/>
      <c r="F645" s="108"/>
      <c r="G645" s="108"/>
      <c r="H645" s="108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  <c r="AD645" s="108"/>
      <c r="AE645" s="108"/>
      <c r="AF645" s="108"/>
      <c r="AG645" s="108"/>
    </row>
    <row r="646" ht="15.75" customHeight="1">
      <c r="A646" s="108"/>
      <c r="B646" s="108"/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  <c r="AD646" s="108"/>
      <c r="AE646" s="108"/>
      <c r="AF646" s="108"/>
      <c r="AG646" s="108"/>
    </row>
    <row r="647" ht="15.75" customHeight="1">
      <c r="A647" s="108"/>
      <c r="B647" s="108"/>
      <c r="C647" s="108"/>
      <c r="D647" s="108"/>
      <c r="E647" s="108"/>
      <c r="F647" s="108"/>
      <c r="G647" s="108"/>
      <c r="H647" s="108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  <c r="AD647" s="108"/>
      <c r="AE647" s="108"/>
      <c r="AF647" s="108"/>
      <c r="AG647" s="108"/>
    </row>
    <row r="648" ht="15.75" customHeight="1">
      <c r="A648" s="108"/>
      <c r="B648" s="108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  <c r="AD648" s="108"/>
      <c r="AE648" s="108"/>
      <c r="AF648" s="108"/>
      <c r="AG648" s="108"/>
    </row>
    <row r="649" ht="15.75" customHeight="1">
      <c r="A649" s="108"/>
      <c r="B649" s="108"/>
      <c r="C649" s="108"/>
      <c r="D649" s="108"/>
      <c r="E649" s="108"/>
      <c r="F649" s="108"/>
      <c r="G649" s="108"/>
      <c r="H649" s="108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  <c r="AD649" s="108"/>
      <c r="AE649" s="108"/>
      <c r="AF649" s="108"/>
      <c r="AG649" s="108"/>
    </row>
    <row r="650" ht="15.75" customHeight="1">
      <c r="A650" s="108"/>
      <c r="B650" s="108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  <c r="AD650" s="108"/>
      <c r="AE650" s="108"/>
      <c r="AF650" s="108"/>
      <c r="AG650" s="108"/>
    </row>
    <row r="651" ht="15.75" customHeight="1">
      <c r="A651" s="108"/>
      <c r="B651" s="108"/>
      <c r="C651" s="108"/>
      <c r="D651" s="108"/>
      <c r="E651" s="108"/>
      <c r="F651" s="108"/>
      <c r="G651" s="108"/>
      <c r="H651" s="108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  <c r="AD651" s="108"/>
      <c r="AE651" s="108"/>
      <c r="AF651" s="108"/>
      <c r="AG651" s="108"/>
    </row>
    <row r="652" ht="15.75" customHeight="1">
      <c r="A652" s="108"/>
      <c r="B652" s="108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  <c r="AD652" s="108"/>
      <c r="AE652" s="108"/>
      <c r="AF652" s="108"/>
      <c r="AG652" s="108"/>
    </row>
    <row r="653" ht="15.75" customHeight="1">
      <c r="A653" s="108"/>
      <c r="B653" s="108"/>
      <c r="C653" s="108"/>
      <c r="D653" s="108"/>
      <c r="E653" s="108"/>
      <c r="F653" s="108"/>
      <c r="G653" s="108"/>
      <c r="H653" s="108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  <c r="AD653" s="108"/>
      <c r="AE653" s="108"/>
      <c r="AF653" s="108"/>
      <c r="AG653" s="108"/>
    </row>
    <row r="654" ht="15.75" customHeight="1">
      <c r="A654" s="108"/>
      <c r="B654" s="108"/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  <c r="AD654" s="108"/>
      <c r="AE654" s="108"/>
      <c r="AF654" s="108"/>
      <c r="AG654" s="108"/>
    </row>
    <row r="655" ht="15.75" customHeight="1">
      <c r="A655" s="108"/>
      <c r="B655" s="108"/>
      <c r="C655" s="108"/>
      <c r="D655" s="108"/>
      <c r="E655" s="108"/>
      <c r="F655" s="108"/>
      <c r="G655" s="108"/>
      <c r="H655" s="108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  <c r="AD655" s="108"/>
      <c r="AE655" s="108"/>
      <c r="AF655" s="108"/>
      <c r="AG655" s="108"/>
    </row>
    <row r="656" ht="15.75" customHeight="1">
      <c r="A656" s="108"/>
      <c r="B656" s="108"/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  <c r="AD656" s="108"/>
      <c r="AE656" s="108"/>
      <c r="AF656" s="108"/>
      <c r="AG656" s="108"/>
    </row>
    <row r="657" ht="15.75" customHeight="1">
      <c r="A657" s="108"/>
      <c r="B657" s="108"/>
      <c r="C657" s="108"/>
      <c r="D657" s="108"/>
      <c r="E657" s="108"/>
      <c r="F657" s="108"/>
      <c r="G657" s="108"/>
      <c r="H657" s="108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  <c r="AD657" s="108"/>
      <c r="AE657" s="108"/>
      <c r="AF657" s="108"/>
      <c r="AG657" s="108"/>
    </row>
    <row r="658" ht="15.75" customHeight="1">
      <c r="A658" s="108"/>
      <c r="B658" s="108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  <c r="AD658" s="108"/>
      <c r="AE658" s="108"/>
      <c r="AF658" s="108"/>
      <c r="AG658" s="108"/>
    </row>
    <row r="659" ht="15.75" customHeight="1">
      <c r="A659" s="108"/>
      <c r="B659" s="108"/>
      <c r="C659" s="108"/>
      <c r="D659" s="108"/>
      <c r="E659" s="108"/>
      <c r="F659" s="108"/>
      <c r="G659" s="108"/>
      <c r="H659" s="108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  <c r="AD659" s="108"/>
      <c r="AE659" s="108"/>
      <c r="AF659" s="108"/>
      <c r="AG659" s="108"/>
    </row>
    <row r="660" ht="15.75" customHeight="1">
      <c r="A660" s="108"/>
      <c r="B660" s="108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  <c r="AD660" s="108"/>
      <c r="AE660" s="108"/>
      <c r="AF660" s="108"/>
      <c r="AG660" s="108"/>
    </row>
    <row r="661" ht="15.75" customHeight="1">
      <c r="A661" s="108"/>
      <c r="B661" s="108"/>
      <c r="C661" s="108"/>
      <c r="D661" s="108"/>
      <c r="E661" s="108"/>
      <c r="F661" s="108"/>
      <c r="G661" s="108"/>
      <c r="H661" s="108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  <c r="AD661" s="108"/>
      <c r="AE661" s="108"/>
      <c r="AF661" s="108"/>
      <c r="AG661" s="108"/>
    </row>
    <row r="662" ht="15.75" customHeight="1">
      <c r="A662" s="108"/>
      <c r="B662" s="108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  <c r="AD662" s="108"/>
      <c r="AE662" s="108"/>
      <c r="AF662" s="108"/>
      <c r="AG662" s="108"/>
    </row>
    <row r="663" ht="15.75" customHeight="1">
      <c r="A663" s="108"/>
      <c r="B663" s="108"/>
      <c r="C663" s="108"/>
      <c r="D663" s="108"/>
      <c r="E663" s="108"/>
      <c r="F663" s="108"/>
      <c r="G663" s="108"/>
      <c r="H663" s="108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  <c r="AD663" s="108"/>
      <c r="AE663" s="108"/>
      <c r="AF663" s="108"/>
      <c r="AG663" s="108"/>
    </row>
    <row r="664" ht="15.75" customHeight="1">
      <c r="A664" s="108"/>
      <c r="B664" s="108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  <c r="AD664" s="108"/>
      <c r="AE664" s="108"/>
      <c r="AF664" s="108"/>
      <c r="AG664" s="108"/>
    </row>
    <row r="665" ht="15.75" customHeight="1">
      <c r="A665" s="108"/>
      <c r="B665" s="108"/>
      <c r="C665" s="108"/>
      <c r="D665" s="108"/>
      <c r="E665" s="108"/>
      <c r="F665" s="108"/>
      <c r="G665" s="108"/>
      <c r="H665" s="108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  <c r="AD665" s="108"/>
      <c r="AE665" s="108"/>
      <c r="AF665" s="108"/>
      <c r="AG665" s="108"/>
    </row>
    <row r="666" ht="15.75" customHeight="1">
      <c r="A666" s="108"/>
      <c r="B666" s="108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  <c r="AD666" s="108"/>
      <c r="AE666" s="108"/>
      <c r="AF666" s="108"/>
      <c r="AG666" s="108"/>
    </row>
    <row r="667" ht="15.75" customHeight="1">
      <c r="A667" s="108"/>
      <c r="B667" s="108"/>
      <c r="C667" s="108"/>
      <c r="D667" s="108"/>
      <c r="E667" s="108"/>
      <c r="F667" s="108"/>
      <c r="G667" s="108"/>
      <c r="H667" s="108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  <c r="AD667" s="108"/>
      <c r="AE667" s="108"/>
      <c r="AF667" s="108"/>
      <c r="AG667" s="108"/>
    </row>
    <row r="668" ht="15.75" customHeight="1">
      <c r="A668" s="108"/>
      <c r="B668" s="108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  <c r="AD668" s="108"/>
      <c r="AE668" s="108"/>
      <c r="AF668" s="108"/>
      <c r="AG668" s="108"/>
    </row>
    <row r="669" ht="15.75" customHeight="1">
      <c r="A669" s="108"/>
      <c r="B669" s="108"/>
      <c r="C669" s="108"/>
      <c r="D669" s="108"/>
      <c r="E669" s="108"/>
      <c r="F669" s="108"/>
      <c r="G669" s="108"/>
      <c r="H669" s="108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  <c r="AD669" s="108"/>
      <c r="AE669" s="108"/>
      <c r="AF669" s="108"/>
      <c r="AG669" s="108"/>
    </row>
    <row r="670" ht="15.75" customHeight="1">
      <c r="A670" s="108"/>
      <c r="B670" s="108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  <c r="AD670" s="108"/>
      <c r="AE670" s="108"/>
      <c r="AF670" s="108"/>
      <c r="AG670" s="108"/>
    </row>
    <row r="671" ht="15.75" customHeight="1">
      <c r="A671" s="108"/>
      <c r="B671" s="108"/>
      <c r="C671" s="108"/>
      <c r="D671" s="108"/>
      <c r="E671" s="108"/>
      <c r="F671" s="108"/>
      <c r="G671" s="108"/>
      <c r="H671" s="108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  <c r="AD671" s="108"/>
      <c r="AE671" s="108"/>
      <c r="AF671" s="108"/>
      <c r="AG671" s="108"/>
    </row>
    <row r="672" ht="15.75" customHeight="1">
      <c r="A672" s="108"/>
      <c r="B672" s="108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  <c r="AD672" s="108"/>
      <c r="AE672" s="108"/>
      <c r="AF672" s="108"/>
      <c r="AG672" s="108"/>
    </row>
    <row r="673" ht="15.75" customHeight="1">
      <c r="A673" s="108"/>
      <c r="B673" s="108"/>
      <c r="C673" s="108"/>
      <c r="D673" s="108"/>
      <c r="E673" s="108"/>
      <c r="F673" s="108"/>
      <c r="G673" s="108"/>
      <c r="H673" s="108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  <c r="AD673" s="108"/>
      <c r="AE673" s="108"/>
      <c r="AF673" s="108"/>
      <c r="AG673" s="108"/>
    </row>
    <row r="674" ht="15.75" customHeight="1">
      <c r="A674" s="108"/>
      <c r="B674" s="108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  <c r="AD674" s="108"/>
      <c r="AE674" s="108"/>
      <c r="AF674" s="108"/>
      <c r="AG674" s="108"/>
    </row>
    <row r="675" ht="15.75" customHeight="1">
      <c r="A675" s="108"/>
      <c r="B675" s="108"/>
      <c r="C675" s="108"/>
      <c r="D675" s="108"/>
      <c r="E675" s="108"/>
      <c r="F675" s="108"/>
      <c r="G675" s="108"/>
      <c r="H675" s="108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  <c r="AD675" s="108"/>
      <c r="AE675" s="108"/>
      <c r="AF675" s="108"/>
      <c r="AG675" s="108"/>
    </row>
    <row r="676" ht="15.75" customHeight="1">
      <c r="A676" s="108"/>
      <c r="B676" s="108"/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  <c r="AD676" s="108"/>
      <c r="AE676" s="108"/>
      <c r="AF676" s="108"/>
      <c r="AG676" s="108"/>
    </row>
    <row r="677" ht="15.75" customHeight="1">
      <c r="A677" s="108"/>
      <c r="B677" s="108"/>
      <c r="C677" s="108"/>
      <c r="D677" s="108"/>
      <c r="E677" s="108"/>
      <c r="F677" s="108"/>
      <c r="G677" s="108"/>
      <c r="H677" s="108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  <c r="AD677" s="108"/>
      <c r="AE677" s="108"/>
      <c r="AF677" s="108"/>
      <c r="AG677" s="108"/>
    </row>
    <row r="678" ht="15.75" customHeight="1">
      <c r="A678" s="108"/>
      <c r="B678" s="108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  <c r="AD678" s="108"/>
      <c r="AE678" s="108"/>
      <c r="AF678" s="108"/>
      <c r="AG678" s="108"/>
    </row>
    <row r="679" ht="15.75" customHeight="1">
      <c r="A679" s="108"/>
      <c r="B679" s="108"/>
      <c r="C679" s="108"/>
      <c r="D679" s="108"/>
      <c r="E679" s="108"/>
      <c r="F679" s="108"/>
      <c r="G679" s="108"/>
      <c r="H679" s="108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  <c r="AD679" s="108"/>
      <c r="AE679" s="108"/>
      <c r="AF679" s="108"/>
      <c r="AG679" s="108"/>
    </row>
    <row r="680" ht="15.75" customHeight="1">
      <c r="A680" s="108"/>
      <c r="B680" s="108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  <c r="AD680" s="108"/>
      <c r="AE680" s="108"/>
      <c r="AF680" s="108"/>
      <c r="AG680" s="108"/>
    </row>
    <row r="681" ht="15.75" customHeight="1">
      <c r="A681" s="108"/>
      <c r="B681" s="108"/>
      <c r="C681" s="108"/>
      <c r="D681" s="108"/>
      <c r="E681" s="108"/>
      <c r="F681" s="108"/>
      <c r="G681" s="108"/>
      <c r="H681" s="108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  <c r="AD681" s="108"/>
      <c r="AE681" s="108"/>
      <c r="AF681" s="108"/>
      <c r="AG681" s="108"/>
    </row>
    <row r="682" ht="15.75" customHeight="1">
      <c r="A682" s="108"/>
      <c r="B682" s="108"/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  <c r="AD682" s="108"/>
      <c r="AE682" s="108"/>
      <c r="AF682" s="108"/>
      <c r="AG682" s="108"/>
    </row>
    <row r="683" ht="15.75" customHeight="1">
      <c r="A683" s="108"/>
      <c r="B683" s="108"/>
      <c r="C683" s="108"/>
      <c r="D683" s="108"/>
      <c r="E683" s="108"/>
      <c r="F683" s="108"/>
      <c r="G683" s="108"/>
      <c r="H683" s="108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  <c r="AD683" s="108"/>
      <c r="AE683" s="108"/>
      <c r="AF683" s="108"/>
      <c r="AG683" s="108"/>
    </row>
    <row r="684" ht="15.75" customHeight="1">
      <c r="A684" s="108"/>
      <c r="B684" s="108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  <c r="AD684" s="108"/>
      <c r="AE684" s="108"/>
      <c r="AF684" s="108"/>
      <c r="AG684" s="108"/>
    </row>
    <row r="685" ht="15.75" customHeight="1">
      <c r="A685" s="108"/>
      <c r="B685" s="108"/>
      <c r="C685" s="108"/>
      <c r="D685" s="108"/>
      <c r="E685" s="108"/>
      <c r="F685" s="108"/>
      <c r="G685" s="108"/>
      <c r="H685" s="108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  <c r="AD685" s="108"/>
      <c r="AE685" s="108"/>
      <c r="AF685" s="108"/>
      <c r="AG685" s="108"/>
    </row>
    <row r="686" ht="15.75" customHeight="1">
      <c r="A686" s="108"/>
      <c r="B686" s="108"/>
      <c r="C686" s="108"/>
      <c r="D686" s="108"/>
      <c r="E686" s="108"/>
      <c r="F686" s="108"/>
      <c r="G686" s="108"/>
      <c r="H686" s="108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  <c r="AD686" s="108"/>
      <c r="AE686" s="108"/>
      <c r="AF686" s="108"/>
      <c r="AG686" s="108"/>
    </row>
    <row r="687" ht="15.75" customHeight="1">
      <c r="A687" s="108"/>
      <c r="B687" s="108"/>
      <c r="C687" s="108"/>
      <c r="D687" s="108"/>
      <c r="E687" s="108"/>
      <c r="F687" s="108"/>
      <c r="G687" s="108"/>
      <c r="H687" s="108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  <c r="AD687" s="108"/>
      <c r="AE687" s="108"/>
      <c r="AF687" s="108"/>
      <c r="AG687" s="108"/>
    </row>
    <row r="688" ht="15.75" customHeight="1">
      <c r="A688" s="108"/>
      <c r="B688" s="108"/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  <c r="AD688" s="108"/>
      <c r="AE688" s="108"/>
      <c r="AF688" s="108"/>
      <c r="AG688" s="108"/>
    </row>
    <row r="689" ht="15.75" customHeight="1">
      <c r="A689" s="108"/>
      <c r="B689" s="108"/>
      <c r="C689" s="108"/>
      <c r="D689" s="108"/>
      <c r="E689" s="108"/>
      <c r="F689" s="108"/>
      <c r="G689" s="108"/>
      <c r="H689" s="108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  <c r="AD689" s="108"/>
      <c r="AE689" s="108"/>
      <c r="AF689" s="108"/>
      <c r="AG689" s="108"/>
    </row>
    <row r="690" ht="15.75" customHeight="1">
      <c r="A690" s="108"/>
      <c r="B690" s="108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  <c r="AD690" s="108"/>
      <c r="AE690" s="108"/>
      <c r="AF690" s="108"/>
      <c r="AG690" s="108"/>
    </row>
    <row r="691" ht="15.75" customHeight="1">
      <c r="A691" s="108"/>
      <c r="B691" s="108"/>
      <c r="C691" s="108"/>
      <c r="D691" s="108"/>
      <c r="E691" s="108"/>
      <c r="F691" s="108"/>
      <c r="G691" s="108"/>
      <c r="H691" s="108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  <c r="AD691" s="108"/>
      <c r="AE691" s="108"/>
      <c r="AF691" s="108"/>
      <c r="AG691" s="108"/>
    </row>
    <row r="692" ht="15.75" customHeight="1">
      <c r="A692" s="108"/>
      <c r="B692" s="108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  <c r="AD692" s="108"/>
      <c r="AE692" s="108"/>
      <c r="AF692" s="108"/>
      <c r="AG692" s="108"/>
    </row>
    <row r="693" ht="15.75" customHeight="1">
      <c r="A693" s="108"/>
      <c r="B693" s="108"/>
      <c r="C693" s="108"/>
      <c r="D693" s="108"/>
      <c r="E693" s="108"/>
      <c r="F693" s="108"/>
      <c r="G693" s="108"/>
      <c r="H693" s="108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  <c r="AD693" s="108"/>
      <c r="AE693" s="108"/>
      <c r="AF693" s="108"/>
      <c r="AG693" s="108"/>
    </row>
    <row r="694" ht="15.75" customHeight="1">
      <c r="A694" s="108"/>
      <c r="B694" s="108"/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  <c r="AD694" s="108"/>
      <c r="AE694" s="108"/>
      <c r="AF694" s="108"/>
      <c r="AG694" s="108"/>
    </row>
    <row r="695" ht="15.75" customHeight="1">
      <c r="A695" s="108"/>
      <c r="B695" s="108"/>
      <c r="C695" s="108"/>
      <c r="D695" s="108"/>
      <c r="E695" s="108"/>
      <c r="F695" s="108"/>
      <c r="G695" s="108"/>
      <c r="H695" s="108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  <c r="AD695" s="108"/>
      <c r="AE695" s="108"/>
      <c r="AF695" s="108"/>
      <c r="AG695" s="108"/>
    </row>
    <row r="696" ht="15.75" customHeight="1">
      <c r="A696" s="108"/>
      <c r="B696" s="108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  <c r="AD696" s="108"/>
      <c r="AE696" s="108"/>
      <c r="AF696" s="108"/>
      <c r="AG696" s="108"/>
    </row>
    <row r="697" ht="15.75" customHeight="1">
      <c r="A697" s="108"/>
      <c r="B697" s="108"/>
      <c r="C697" s="108"/>
      <c r="D697" s="108"/>
      <c r="E697" s="108"/>
      <c r="F697" s="108"/>
      <c r="G697" s="108"/>
      <c r="H697" s="108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  <c r="AD697" s="108"/>
      <c r="AE697" s="108"/>
      <c r="AF697" s="108"/>
      <c r="AG697" s="108"/>
    </row>
    <row r="698" ht="15.75" customHeight="1">
      <c r="A698" s="108"/>
      <c r="B698" s="108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  <c r="AD698" s="108"/>
      <c r="AE698" s="108"/>
      <c r="AF698" s="108"/>
      <c r="AG698" s="108"/>
    </row>
    <row r="699" ht="15.75" customHeight="1">
      <c r="A699" s="108"/>
      <c r="B699" s="108"/>
      <c r="C699" s="108"/>
      <c r="D699" s="108"/>
      <c r="E699" s="108"/>
      <c r="F699" s="108"/>
      <c r="G699" s="108"/>
      <c r="H699" s="108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  <c r="AD699" s="108"/>
      <c r="AE699" s="108"/>
      <c r="AF699" s="108"/>
      <c r="AG699" s="108"/>
    </row>
    <row r="700" ht="15.75" customHeight="1">
      <c r="A700" s="108"/>
      <c r="B700" s="108"/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  <c r="AD700" s="108"/>
      <c r="AE700" s="108"/>
      <c r="AF700" s="108"/>
      <c r="AG700" s="108"/>
    </row>
    <row r="701" ht="15.75" customHeight="1">
      <c r="A701" s="108"/>
      <c r="B701" s="108"/>
      <c r="C701" s="108"/>
      <c r="D701" s="108"/>
      <c r="E701" s="108"/>
      <c r="F701" s="108"/>
      <c r="G701" s="108"/>
      <c r="H701" s="108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  <c r="AD701" s="108"/>
      <c r="AE701" s="108"/>
      <c r="AF701" s="108"/>
      <c r="AG701" s="108"/>
    </row>
    <row r="702" ht="15.75" customHeight="1">
      <c r="A702" s="108"/>
      <c r="B702" s="108"/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  <c r="AD702" s="108"/>
      <c r="AE702" s="108"/>
      <c r="AF702" s="108"/>
      <c r="AG702" s="108"/>
    </row>
    <row r="703" ht="15.75" customHeight="1">
      <c r="A703" s="108"/>
      <c r="B703" s="108"/>
      <c r="C703" s="108"/>
      <c r="D703" s="108"/>
      <c r="E703" s="108"/>
      <c r="F703" s="108"/>
      <c r="G703" s="108"/>
      <c r="H703" s="108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  <c r="AD703" s="108"/>
      <c r="AE703" s="108"/>
      <c r="AF703" s="108"/>
      <c r="AG703" s="108"/>
    </row>
    <row r="704" ht="15.75" customHeight="1">
      <c r="A704" s="108"/>
      <c r="B704" s="108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  <c r="AD704" s="108"/>
      <c r="AE704" s="108"/>
      <c r="AF704" s="108"/>
      <c r="AG704" s="108"/>
    </row>
    <row r="705" ht="15.75" customHeight="1">
      <c r="A705" s="108"/>
      <c r="B705" s="108"/>
      <c r="C705" s="108"/>
      <c r="D705" s="108"/>
      <c r="E705" s="108"/>
      <c r="F705" s="108"/>
      <c r="G705" s="108"/>
      <c r="H705" s="108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  <c r="AD705" s="108"/>
      <c r="AE705" s="108"/>
      <c r="AF705" s="108"/>
      <c r="AG705" s="108"/>
    </row>
    <row r="706" ht="15.75" customHeight="1">
      <c r="A706" s="108"/>
      <c r="B706" s="108"/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  <c r="AD706" s="108"/>
      <c r="AE706" s="108"/>
      <c r="AF706" s="108"/>
      <c r="AG706" s="108"/>
    </row>
    <row r="707" ht="15.75" customHeight="1">
      <c r="A707" s="108"/>
      <c r="B707" s="108"/>
      <c r="C707" s="108"/>
      <c r="D707" s="108"/>
      <c r="E707" s="108"/>
      <c r="F707" s="108"/>
      <c r="G707" s="108"/>
      <c r="H707" s="108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  <c r="AD707" s="108"/>
      <c r="AE707" s="108"/>
      <c r="AF707" s="108"/>
      <c r="AG707" s="108"/>
    </row>
    <row r="708" ht="15.75" customHeight="1">
      <c r="A708" s="108"/>
      <c r="B708" s="108"/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  <c r="AD708" s="108"/>
      <c r="AE708" s="108"/>
      <c r="AF708" s="108"/>
      <c r="AG708" s="108"/>
    </row>
    <row r="709" ht="15.75" customHeight="1">
      <c r="A709" s="108"/>
      <c r="B709" s="108"/>
      <c r="C709" s="108"/>
      <c r="D709" s="108"/>
      <c r="E709" s="108"/>
      <c r="F709" s="108"/>
      <c r="G709" s="108"/>
      <c r="H709" s="108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  <c r="AD709" s="108"/>
      <c r="AE709" s="108"/>
      <c r="AF709" s="108"/>
      <c r="AG709" s="108"/>
    </row>
    <row r="710" ht="15.75" customHeight="1">
      <c r="A710" s="108"/>
      <c r="B710" s="108"/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  <c r="AD710" s="108"/>
      <c r="AE710" s="108"/>
      <c r="AF710" s="108"/>
      <c r="AG710" s="108"/>
    </row>
    <row r="711" ht="15.75" customHeight="1">
      <c r="A711" s="108"/>
      <c r="B711" s="108"/>
      <c r="C711" s="108"/>
      <c r="D711" s="108"/>
      <c r="E711" s="108"/>
      <c r="F711" s="108"/>
      <c r="G711" s="108"/>
      <c r="H711" s="108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  <c r="AD711" s="108"/>
      <c r="AE711" s="108"/>
      <c r="AF711" s="108"/>
      <c r="AG711" s="108"/>
    </row>
    <row r="712" ht="15.75" customHeight="1">
      <c r="A712" s="108"/>
      <c r="B712" s="108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  <c r="AD712" s="108"/>
      <c r="AE712" s="108"/>
      <c r="AF712" s="108"/>
      <c r="AG712" s="108"/>
    </row>
    <row r="713" ht="15.75" customHeight="1">
      <c r="A713" s="108"/>
      <c r="B713" s="108"/>
      <c r="C713" s="108"/>
      <c r="D713" s="108"/>
      <c r="E713" s="108"/>
      <c r="F713" s="108"/>
      <c r="G713" s="108"/>
      <c r="H713" s="108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  <c r="AD713" s="108"/>
      <c r="AE713" s="108"/>
      <c r="AF713" s="108"/>
      <c r="AG713" s="108"/>
    </row>
    <row r="714" ht="15.75" customHeight="1">
      <c r="A714" s="108"/>
      <c r="B714" s="108"/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  <c r="AD714" s="108"/>
      <c r="AE714" s="108"/>
      <c r="AF714" s="108"/>
      <c r="AG714" s="108"/>
    </row>
    <row r="715" ht="15.75" customHeight="1">
      <c r="A715" s="108"/>
      <c r="B715" s="108"/>
      <c r="C715" s="108"/>
      <c r="D715" s="108"/>
      <c r="E715" s="108"/>
      <c r="F715" s="108"/>
      <c r="G715" s="108"/>
      <c r="H715" s="108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  <c r="AD715" s="108"/>
      <c r="AE715" s="108"/>
      <c r="AF715" s="108"/>
      <c r="AG715" s="108"/>
    </row>
    <row r="716" ht="15.75" customHeight="1">
      <c r="A716" s="108"/>
      <c r="B716" s="108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  <c r="AD716" s="108"/>
      <c r="AE716" s="108"/>
      <c r="AF716" s="108"/>
      <c r="AG716" s="108"/>
    </row>
    <row r="717" ht="15.75" customHeight="1">
      <c r="A717" s="108"/>
      <c r="B717" s="108"/>
      <c r="C717" s="108"/>
      <c r="D717" s="108"/>
      <c r="E717" s="108"/>
      <c r="F717" s="108"/>
      <c r="G717" s="108"/>
      <c r="H717" s="108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  <c r="AD717" s="108"/>
      <c r="AE717" s="108"/>
      <c r="AF717" s="108"/>
      <c r="AG717" s="108"/>
    </row>
    <row r="718" ht="15.75" customHeight="1">
      <c r="A718" s="108"/>
      <c r="B718" s="108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  <c r="AD718" s="108"/>
      <c r="AE718" s="108"/>
      <c r="AF718" s="108"/>
      <c r="AG718" s="108"/>
    </row>
    <row r="719" ht="15.75" customHeight="1">
      <c r="A719" s="108"/>
      <c r="B719" s="108"/>
      <c r="C719" s="108"/>
      <c r="D719" s="108"/>
      <c r="E719" s="108"/>
      <c r="F719" s="108"/>
      <c r="G719" s="108"/>
      <c r="H719" s="108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  <c r="AD719" s="108"/>
      <c r="AE719" s="108"/>
      <c r="AF719" s="108"/>
      <c r="AG719" s="108"/>
    </row>
    <row r="720" ht="15.75" customHeight="1">
      <c r="A720" s="108"/>
      <c r="B720" s="108"/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  <c r="AD720" s="108"/>
      <c r="AE720" s="108"/>
      <c r="AF720" s="108"/>
      <c r="AG720" s="108"/>
    </row>
    <row r="721" ht="15.75" customHeight="1">
      <c r="A721" s="108"/>
      <c r="B721" s="108"/>
      <c r="C721" s="108"/>
      <c r="D721" s="108"/>
      <c r="E721" s="108"/>
      <c r="F721" s="108"/>
      <c r="G721" s="108"/>
      <c r="H721" s="108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  <c r="AD721" s="108"/>
      <c r="AE721" s="108"/>
      <c r="AF721" s="108"/>
      <c r="AG721" s="108"/>
    </row>
    <row r="722" ht="15.75" customHeight="1">
      <c r="A722" s="108"/>
      <c r="B722" s="108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  <c r="AD722" s="108"/>
      <c r="AE722" s="108"/>
      <c r="AF722" s="108"/>
      <c r="AG722" s="108"/>
    </row>
    <row r="723" ht="15.75" customHeight="1">
      <c r="A723" s="108"/>
      <c r="B723" s="108"/>
      <c r="C723" s="108"/>
      <c r="D723" s="108"/>
      <c r="E723" s="108"/>
      <c r="F723" s="108"/>
      <c r="G723" s="108"/>
      <c r="H723" s="108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  <c r="AD723" s="108"/>
      <c r="AE723" s="108"/>
      <c r="AF723" s="108"/>
      <c r="AG723" s="108"/>
    </row>
    <row r="724" ht="15.75" customHeight="1">
      <c r="A724" s="108"/>
      <c r="B724" s="108"/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  <c r="AD724" s="108"/>
      <c r="AE724" s="108"/>
      <c r="AF724" s="108"/>
      <c r="AG724" s="108"/>
    </row>
    <row r="725" ht="15.75" customHeight="1">
      <c r="A725" s="108"/>
      <c r="B725" s="108"/>
      <c r="C725" s="108"/>
      <c r="D725" s="108"/>
      <c r="E725" s="108"/>
      <c r="F725" s="108"/>
      <c r="G725" s="108"/>
      <c r="H725" s="108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  <c r="AD725" s="108"/>
      <c r="AE725" s="108"/>
      <c r="AF725" s="108"/>
      <c r="AG725" s="108"/>
    </row>
    <row r="726" ht="15.75" customHeight="1">
      <c r="A726" s="108"/>
      <c r="B726" s="108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  <c r="AD726" s="108"/>
      <c r="AE726" s="108"/>
      <c r="AF726" s="108"/>
      <c r="AG726" s="108"/>
    </row>
    <row r="727" ht="15.75" customHeight="1">
      <c r="A727" s="108"/>
      <c r="B727" s="108"/>
      <c r="C727" s="108"/>
      <c r="D727" s="108"/>
      <c r="E727" s="108"/>
      <c r="F727" s="108"/>
      <c r="G727" s="108"/>
      <c r="H727" s="108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  <c r="AD727" s="108"/>
      <c r="AE727" s="108"/>
      <c r="AF727" s="108"/>
      <c r="AG727" s="108"/>
    </row>
    <row r="728" ht="15.75" customHeight="1">
      <c r="A728" s="108"/>
      <c r="B728" s="108"/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  <c r="AD728" s="108"/>
      <c r="AE728" s="108"/>
      <c r="AF728" s="108"/>
      <c r="AG728" s="108"/>
    </row>
    <row r="729" ht="15.75" customHeight="1">
      <c r="A729" s="108"/>
      <c r="B729" s="108"/>
      <c r="C729" s="108"/>
      <c r="D729" s="108"/>
      <c r="E729" s="108"/>
      <c r="F729" s="108"/>
      <c r="G729" s="108"/>
      <c r="H729" s="108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  <c r="AD729" s="108"/>
      <c r="AE729" s="108"/>
      <c r="AF729" s="108"/>
      <c r="AG729" s="108"/>
    </row>
    <row r="730" ht="15.75" customHeight="1">
      <c r="A730" s="108"/>
      <c r="B730" s="108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  <c r="AD730" s="108"/>
      <c r="AE730" s="108"/>
      <c r="AF730" s="108"/>
      <c r="AG730" s="108"/>
    </row>
    <row r="731" ht="15.75" customHeight="1">
      <c r="A731" s="108"/>
      <c r="B731" s="108"/>
      <c r="C731" s="108"/>
      <c r="D731" s="108"/>
      <c r="E731" s="108"/>
      <c r="F731" s="108"/>
      <c r="G731" s="108"/>
      <c r="H731" s="108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  <c r="AD731" s="108"/>
      <c r="AE731" s="108"/>
      <c r="AF731" s="108"/>
      <c r="AG731" s="108"/>
    </row>
    <row r="732" ht="15.75" customHeight="1">
      <c r="A732" s="108"/>
      <c r="B732" s="108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  <c r="AD732" s="108"/>
      <c r="AE732" s="108"/>
      <c r="AF732" s="108"/>
      <c r="AG732" s="108"/>
    </row>
    <row r="733" ht="15.75" customHeight="1">
      <c r="A733" s="108"/>
      <c r="B733" s="108"/>
      <c r="C733" s="108"/>
      <c r="D733" s="108"/>
      <c r="E733" s="108"/>
      <c r="F733" s="108"/>
      <c r="G733" s="108"/>
      <c r="H733" s="108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  <c r="AD733" s="108"/>
      <c r="AE733" s="108"/>
      <c r="AF733" s="108"/>
      <c r="AG733" s="108"/>
    </row>
    <row r="734" ht="15.75" customHeight="1">
      <c r="A734" s="108"/>
      <c r="B734" s="108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  <c r="AD734" s="108"/>
      <c r="AE734" s="108"/>
      <c r="AF734" s="108"/>
      <c r="AG734" s="108"/>
    </row>
    <row r="735" ht="15.75" customHeight="1">
      <c r="A735" s="108"/>
      <c r="B735" s="108"/>
      <c r="C735" s="108"/>
      <c r="D735" s="108"/>
      <c r="E735" s="108"/>
      <c r="F735" s="108"/>
      <c r="G735" s="108"/>
      <c r="H735" s="108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  <c r="AD735" s="108"/>
      <c r="AE735" s="108"/>
      <c r="AF735" s="108"/>
      <c r="AG735" s="108"/>
    </row>
    <row r="736" ht="15.75" customHeight="1">
      <c r="A736" s="108"/>
      <c r="B736" s="108"/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  <c r="AD736" s="108"/>
      <c r="AE736" s="108"/>
      <c r="AF736" s="108"/>
      <c r="AG736" s="108"/>
    </row>
    <row r="737" ht="15.75" customHeight="1">
      <c r="A737" s="108"/>
      <c r="B737" s="108"/>
      <c r="C737" s="108"/>
      <c r="D737" s="108"/>
      <c r="E737" s="108"/>
      <c r="F737" s="108"/>
      <c r="G737" s="108"/>
      <c r="H737" s="108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  <c r="AD737" s="108"/>
      <c r="AE737" s="108"/>
      <c r="AF737" s="108"/>
      <c r="AG737" s="108"/>
    </row>
    <row r="738" ht="15.75" customHeight="1">
      <c r="A738" s="108"/>
      <c r="B738" s="108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  <c r="AD738" s="108"/>
      <c r="AE738" s="108"/>
      <c r="AF738" s="108"/>
      <c r="AG738" s="108"/>
    </row>
    <row r="739" ht="15.75" customHeight="1">
      <c r="A739" s="108"/>
      <c r="B739" s="108"/>
      <c r="C739" s="108"/>
      <c r="D739" s="108"/>
      <c r="E739" s="108"/>
      <c r="F739" s="108"/>
      <c r="G739" s="108"/>
      <c r="H739" s="108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  <c r="AD739" s="108"/>
      <c r="AE739" s="108"/>
      <c r="AF739" s="108"/>
      <c r="AG739" s="108"/>
    </row>
    <row r="740" ht="15.75" customHeight="1">
      <c r="A740" s="108"/>
      <c r="B740" s="108"/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  <c r="AD740" s="108"/>
      <c r="AE740" s="108"/>
      <c r="AF740" s="108"/>
      <c r="AG740" s="108"/>
    </row>
    <row r="741" ht="15.75" customHeight="1">
      <c r="A741" s="108"/>
      <c r="B741" s="108"/>
      <c r="C741" s="108"/>
      <c r="D741" s="108"/>
      <c r="E741" s="108"/>
      <c r="F741" s="108"/>
      <c r="G741" s="108"/>
      <c r="H741" s="108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  <c r="AD741" s="108"/>
      <c r="AE741" s="108"/>
      <c r="AF741" s="108"/>
      <c r="AG741" s="108"/>
    </row>
    <row r="742" ht="15.75" customHeight="1">
      <c r="A742" s="108"/>
      <c r="B742" s="108"/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  <c r="AD742" s="108"/>
      <c r="AE742" s="108"/>
      <c r="AF742" s="108"/>
      <c r="AG742" s="108"/>
    </row>
    <row r="743" ht="15.75" customHeight="1">
      <c r="A743" s="108"/>
      <c r="B743" s="108"/>
      <c r="C743" s="108"/>
      <c r="D743" s="108"/>
      <c r="E743" s="108"/>
      <c r="F743" s="108"/>
      <c r="G743" s="108"/>
      <c r="H743" s="108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  <c r="AD743" s="108"/>
      <c r="AE743" s="108"/>
      <c r="AF743" s="108"/>
      <c r="AG743" s="108"/>
    </row>
    <row r="744" ht="15.75" customHeight="1">
      <c r="A744" s="108"/>
      <c r="B744" s="108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  <c r="AD744" s="108"/>
      <c r="AE744" s="108"/>
      <c r="AF744" s="108"/>
      <c r="AG744" s="108"/>
    </row>
    <row r="745" ht="15.75" customHeight="1">
      <c r="A745" s="108"/>
      <c r="B745" s="108"/>
      <c r="C745" s="108"/>
      <c r="D745" s="108"/>
      <c r="E745" s="108"/>
      <c r="F745" s="108"/>
      <c r="G745" s="108"/>
      <c r="H745" s="108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  <c r="AD745" s="108"/>
      <c r="AE745" s="108"/>
      <c r="AF745" s="108"/>
      <c r="AG745" s="108"/>
    </row>
    <row r="746" ht="15.75" customHeight="1">
      <c r="A746" s="108"/>
      <c r="B746" s="108"/>
      <c r="C746" s="108"/>
      <c r="D746" s="108"/>
      <c r="E746" s="108"/>
      <c r="F746" s="108"/>
      <c r="G746" s="108"/>
      <c r="H746" s="108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  <c r="AD746" s="108"/>
      <c r="AE746" s="108"/>
      <c r="AF746" s="108"/>
      <c r="AG746" s="108"/>
    </row>
    <row r="747" ht="15.75" customHeight="1">
      <c r="A747" s="108"/>
      <c r="B747" s="108"/>
      <c r="C747" s="108"/>
      <c r="D747" s="108"/>
      <c r="E747" s="108"/>
      <c r="F747" s="108"/>
      <c r="G747" s="108"/>
      <c r="H747" s="108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  <c r="AD747" s="108"/>
      <c r="AE747" s="108"/>
      <c r="AF747" s="108"/>
      <c r="AG747" s="108"/>
    </row>
    <row r="748" ht="15.75" customHeight="1">
      <c r="A748" s="108"/>
      <c r="B748" s="108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  <c r="AD748" s="108"/>
      <c r="AE748" s="108"/>
      <c r="AF748" s="108"/>
      <c r="AG748" s="108"/>
    </row>
    <row r="749" ht="15.75" customHeight="1">
      <c r="A749" s="108"/>
      <c r="B749" s="108"/>
      <c r="C749" s="108"/>
      <c r="D749" s="108"/>
      <c r="E749" s="108"/>
      <c r="F749" s="108"/>
      <c r="G749" s="108"/>
      <c r="H749" s="108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  <c r="AD749" s="108"/>
      <c r="AE749" s="108"/>
      <c r="AF749" s="108"/>
      <c r="AG749" s="108"/>
    </row>
    <row r="750" ht="15.75" customHeight="1">
      <c r="A750" s="108"/>
      <c r="B750" s="108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  <c r="AD750" s="108"/>
      <c r="AE750" s="108"/>
      <c r="AF750" s="108"/>
      <c r="AG750" s="108"/>
    </row>
    <row r="751" ht="15.75" customHeight="1">
      <c r="A751" s="108"/>
      <c r="B751" s="108"/>
      <c r="C751" s="108"/>
      <c r="D751" s="108"/>
      <c r="E751" s="108"/>
      <c r="F751" s="108"/>
      <c r="G751" s="108"/>
      <c r="H751" s="108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  <c r="AD751" s="108"/>
      <c r="AE751" s="108"/>
      <c r="AF751" s="108"/>
      <c r="AG751" s="108"/>
    </row>
    <row r="752" ht="15.75" customHeight="1">
      <c r="A752" s="108"/>
      <c r="B752" s="108"/>
      <c r="C752" s="108"/>
      <c r="D752" s="108"/>
      <c r="E752" s="108"/>
      <c r="F752" s="108"/>
      <c r="G752" s="108"/>
      <c r="H752" s="108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  <c r="AD752" s="108"/>
      <c r="AE752" s="108"/>
      <c r="AF752" s="108"/>
      <c r="AG752" s="108"/>
    </row>
    <row r="753" ht="15.75" customHeight="1">
      <c r="A753" s="108"/>
      <c r="B753" s="108"/>
      <c r="C753" s="108"/>
      <c r="D753" s="108"/>
      <c r="E753" s="108"/>
      <c r="F753" s="108"/>
      <c r="G753" s="108"/>
      <c r="H753" s="108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  <c r="AD753" s="108"/>
      <c r="AE753" s="108"/>
      <c r="AF753" s="108"/>
      <c r="AG753" s="108"/>
    </row>
    <row r="754" ht="15.75" customHeight="1">
      <c r="A754" s="108"/>
      <c r="B754" s="108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  <c r="AD754" s="108"/>
      <c r="AE754" s="108"/>
      <c r="AF754" s="108"/>
      <c r="AG754" s="108"/>
    </row>
    <row r="755" ht="15.75" customHeight="1">
      <c r="A755" s="108"/>
      <c r="B755" s="108"/>
      <c r="C755" s="108"/>
      <c r="D755" s="108"/>
      <c r="E755" s="108"/>
      <c r="F755" s="108"/>
      <c r="G755" s="108"/>
      <c r="H755" s="108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  <c r="AD755" s="108"/>
      <c r="AE755" s="108"/>
      <c r="AF755" s="108"/>
      <c r="AG755" s="108"/>
    </row>
    <row r="756" ht="15.75" customHeight="1">
      <c r="A756" s="108"/>
      <c r="B756" s="108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  <c r="AD756" s="108"/>
      <c r="AE756" s="108"/>
      <c r="AF756" s="108"/>
      <c r="AG756" s="108"/>
    </row>
    <row r="757" ht="15.75" customHeight="1">
      <c r="A757" s="108"/>
      <c r="B757" s="108"/>
      <c r="C757" s="108"/>
      <c r="D757" s="108"/>
      <c r="E757" s="108"/>
      <c r="F757" s="108"/>
      <c r="G757" s="108"/>
      <c r="H757" s="108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  <c r="AD757" s="108"/>
      <c r="AE757" s="108"/>
      <c r="AF757" s="108"/>
      <c r="AG757" s="108"/>
    </row>
    <row r="758" ht="15.75" customHeight="1">
      <c r="A758" s="108"/>
      <c r="B758" s="108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  <c r="AD758" s="108"/>
      <c r="AE758" s="108"/>
      <c r="AF758" s="108"/>
      <c r="AG758" s="108"/>
    </row>
    <row r="759" ht="15.75" customHeight="1">
      <c r="A759" s="108"/>
      <c r="B759" s="108"/>
      <c r="C759" s="108"/>
      <c r="D759" s="108"/>
      <c r="E759" s="108"/>
      <c r="F759" s="108"/>
      <c r="G759" s="108"/>
      <c r="H759" s="108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  <c r="AD759" s="108"/>
      <c r="AE759" s="108"/>
      <c r="AF759" s="108"/>
      <c r="AG759" s="108"/>
    </row>
    <row r="760" ht="15.75" customHeight="1">
      <c r="A760" s="108"/>
      <c r="B760" s="108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  <c r="AD760" s="108"/>
      <c r="AE760" s="108"/>
      <c r="AF760" s="108"/>
      <c r="AG760" s="108"/>
    </row>
    <row r="761" ht="15.75" customHeight="1">
      <c r="A761" s="108"/>
      <c r="B761" s="108"/>
      <c r="C761" s="108"/>
      <c r="D761" s="108"/>
      <c r="E761" s="108"/>
      <c r="F761" s="108"/>
      <c r="G761" s="108"/>
      <c r="H761" s="108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  <c r="AD761" s="108"/>
      <c r="AE761" s="108"/>
      <c r="AF761" s="108"/>
      <c r="AG761" s="108"/>
    </row>
    <row r="762" ht="15.75" customHeight="1">
      <c r="A762" s="108"/>
      <c r="B762" s="108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  <c r="AD762" s="108"/>
      <c r="AE762" s="108"/>
      <c r="AF762" s="108"/>
      <c r="AG762" s="108"/>
    </row>
    <row r="763" ht="15.75" customHeight="1">
      <c r="A763" s="108"/>
      <c r="B763" s="108"/>
      <c r="C763" s="108"/>
      <c r="D763" s="108"/>
      <c r="E763" s="108"/>
      <c r="F763" s="108"/>
      <c r="G763" s="108"/>
      <c r="H763" s="108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  <c r="AD763" s="108"/>
      <c r="AE763" s="108"/>
      <c r="AF763" s="108"/>
      <c r="AG763" s="108"/>
    </row>
    <row r="764" ht="15.75" customHeight="1">
      <c r="A764" s="108"/>
      <c r="B764" s="108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  <c r="AD764" s="108"/>
      <c r="AE764" s="108"/>
      <c r="AF764" s="108"/>
      <c r="AG764" s="108"/>
    </row>
    <row r="765" ht="15.75" customHeight="1">
      <c r="A765" s="108"/>
      <c r="B765" s="108"/>
      <c r="C765" s="108"/>
      <c r="D765" s="108"/>
      <c r="E765" s="108"/>
      <c r="F765" s="108"/>
      <c r="G765" s="108"/>
      <c r="H765" s="108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  <c r="AD765" s="108"/>
      <c r="AE765" s="108"/>
      <c r="AF765" s="108"/>
      <c r="AG765" s="108"/>
    </row>
    <row r="766" ht="15.75" customHeight="1">
      <c r="A766" s="108"/>
      <c r="B766" s="108"/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  <c r="AD766" s="108"/>
      <c r="AE766" s="108"/>
      <c r="AF766" s="108"/>
      <c r="AG766" s="108"/>
    </row>
    <row r="767" ht="15.75" customHeight="1">
      <c r="A767" s="108"/>
      <c r="B767" s="108"/>
      <c r="C767" s="108"/>
      <c r="D767" s="108"/>
      <c r="E767" s="108"/>
      <c r="F767" s="108"/>
      <c r="G767" s="108"/>
      <c r="H767" s="108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  <c r="AD767" s="108"/>
      <c r="AE767" s="108"/>
      <c r="AF767" s="108"/>
      <c r="AG767" s="108"/>
    </row>
    <row r="768" ht="15.75" customHeight="1">
      <c r="A768" s="108"/>
      <c r="B768" s="108"/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  <c r="AD768" s="108"/>
      <c r="AE768" s="108"/>
      <c r="AF768" s="108"/>
      <c r="AG768" s="108"/>
    </row>
    <row r="769" ht="15.75" customHeight="1">
      <c r="A769" s="108"/>
      <c r="B769" s="108"/>
      <c r="C769" s="108"/>
      <c r="D769" s="108"/>
      <c r="E769" s="108"/>
      <c r="F769" s="108"/>
      <c r="G769" s="108"/>
      <c r="H769" s="108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  <c r="AD769" s="108"/>
      <c r="AE769" s="108"/>
      <c r="AF769" s="108"/>
      <c r="AG769" s="108"/>
    </row>
    <row r="770" ht="15.75" customHeight="1">
      <c r="A770" s="108"/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  <c r="AD770" s="108"/>
      <c r="AE770" s="108"/>
      <c r="AF770" s="108"/>
      <c r="AG770" s="108"/>
    </row>
    <row r="771" ht="15.75" customHeight="1">
      <c r="A771" s="108"/>
      <c r="B771" s="108"/>
      <c r="C771" s="108"/>
      <c r="D771" s="108"/>
      <c r="E771" s="108"/>
      <c r="F771" s="108"/>
      <c r="G771" s="108"/>
      <c r="H771" s="108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  <c r="AD771" s="108"/>
      <c r="AE771" s="108"/>
      <c r="AF771" s="108"/>
      <c r="AG771" s="108"/>
    </row>
    <row r="772" ht="15.75" customHeight="1">
      <c r="A772" s="108"/>
      <c r="B772" s="108"/>
      <c r="C772" s="108"/>
      <c r="D772" s="108"/>
      <c r="E772" s="108"/>
      <c r="F772" s="108"/>
      <c r="G772" s="108"/>
      <c r="H772" s="108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  <c r="AD772" s="108"/>
      <c r="AE772" s="108"/>
      <c r="AF772" s="108"/>
      <c r="AG772" s="108"/>
    </row>
    <row r="773" ht="15.75" customHeight="1">
      <c r="A773" s="108"/>
      <c r="B773" s="108"/>
      <c r="C773" s="108"/>
      <c r="D773" s="108"/>
      <c r="E773" s="108"/>
      <c r="F773" s="108"/>
      <c r="G773" s="108"/>
      <c r="H773" s="108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  <c r="AD773" s="108"/>
      <c r="AE773" s="108"/>
      <c r="AF773" s="108"/>
      <c r="AG773" s="108"/>
    </row>
    <row r="774" ht="15.75" customHeight="1">
      <c r="A774" s="108"/>
      <c r="B774" s="108"/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  <c r="AD774" s="108"/>
      <c r="AE774" s="108"/>
      <c r="AF774" s="108"/>
      <c r="AG774" s="108"/>
    </row>
    <row r="775" ht="15.75" customHeight="1">
      <c r="A775" s="108"/>
      <c r="B775" s="108"/>
      <c r="C775" s="108"/>
      <c r="D775" s="108"/>
      <c r="E775" s="108"/>
      <c r="F775" s="108"/>
      <c r="G775" s="108"/>
      <c r="H775" s="108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  <c r="AD775" s="108"/>
      <c r="AE775" s="108"/>
      <c r="AF775" s="108"/>
      <c r="AG775" s="108"/>
    </row>
    <row r="776" ht="15.75" customHeight="1">
      <c r="A776" s="108"/>
      <c r="B776" s="108"/>
      <c r="C776" s="108"/>
      <c r="D776" s="108"/>
      <c r="E776" s="108"/>
      <c r="F776" s="108"/>
      <c r="G776" s="108"/>
      <c r="H776" s="108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  <c r="AD776" s="108"/>
      <c r="AE776" s="108"/>
      <c r="AF776" s="108"/>
      <c r="AG776" s="108"/>
    </row>
    <row r="777" ht="15.75" customHeight="1">
      <c r="A777" s="108"/>
      <c r="B777" s="108"/>
      <c r="C777" s="108"/>
      <c r="D777" s="108"/>
      <c r="E777" s="108"/>
      <c r="F777" s="108"/>
      <c r="G777" s="108"/>
      <c r="H777" s="108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  <c r="AD777" s="108"/>
      <c r="AE777" s="108"/>
      <c r="AF777" s="108"/>
      <c r="AG777" s="108"/>
    </row>
    <row r="778" ht="15.75" customHeight="1">
      <c r="A778" s="108"/>
      <c r="B778" s="108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  <c r="AD778" s="108"/>
      <c r="AE778" s="108"/>
      <c r="AF778" s="108"/>
      <c r="AG778" s="108"/>
    </row>
    <row r="779" ht="15.75" customHeight="1">
      <c r="A779" s="108"/>
      <c r="B779" s="108"/>
      <c r="C779" s="108"/>
      <c r="D779" s="108"/>
      <c r="E779" s="108"/>
      <c r="F779" s="108"/>
      <c r="G779" s="108"/>
      <c r="H779" s="108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  <c r="AD779" s="108"/>
      <c r="AE779" s="108"/>
      <c r="AF779" s="108"/>
      <c r="AG779" s="108"/>
    </row>
    <row r="780" ht="15.75" customHeight="1">
      <c r="A780" s="108"/>
      <c r="B780" s="108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  <c r="AD780" s="108"/>
      <c r="AE780" s="108"/>
      <c r="AF780" s="108"/>
      <c r="AG780" s="108"/>
    </row>
    <row r="781" ht="15.75" customHeight="1">
      <c r="A781" s="108"/>
      <c r="B781" s="108"/>
      <c r="C781" s="108"/>
      <c r="D781" s="108"/>
      <c r="E781" s="108"/>
      <c r="F781" s="108"/>
      <c r="G781" s="108"/>
      <c r="H781" s="108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  <c r="AD781" s="108"/>
      <c r="AE781" s="108"/>
      <c r="AF781" s="108"/>
      <c r="AG781" s="108"/>
    </row>
    <row r="782" ht="15.75" customHeight="1">
      <c r="A782" s="108"/>
      <c r="B782" s="108"/>
      <c r="C782" s="108"/>
      <c r="D782" s="108"/>
      <c r="E782" s="108"/>
      <c r="F782" s="108"/>
      <c r="G782" s="108"/>
      <c r="H782" s="108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  <c r="AD782" s="108"/>
      <c r="AE782" s="108"/>
      <c r="AF782" s="108"/>
      <c r="AG782" s="108"/>
    </row>
    <row r="783" ht="15.75" customHeight="1">
      <c r="A783" s="108"/>
      <c r="B783" s="108"/>
      <c r="C783" s="108"/>
      <c r="D783" s="108"/>
      <c r="E783" s="108"/>
      <c r="F783" s="108"/>
      <c r="G783" s="108"/>
      <c r="H783" s="108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  <c r="AD783" s="108"/>
      <c r="AE783" s="108"/>
      <c r="AF783" s="108"/>
      <c r="AG783" s="108"/>
    </row>
    <row r="784" ht="15.75" customHeight="1">
      <c r="A784" s="108"/>
      <c r="B784" s="108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  <c r="AD784" s="108"/>
      <c r="AE784" s="108"/>
      <c r="AF784" s="108"/>
      <c r="AG784" s="108"/>
    </row>
    <row r="785" ht="15.75" customHeight="1">
      <c r="A785" s="108"/>
      <c r="B785" s="108"/>
      <c r="C785" s="108"/>
      <c r="D785" s="108"/>
      <c r="E785" s="108"/>
      <c r="F785" s="108"/>
      <c r="G785" s="108"/>
      <c r="H785" s="108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  <c r="AD785" s="108"/>
      <c r="AE785" s="108"/>
      <c r="AF785" s="108"/>
      <c r="AG785" s="108"/>
    </row>
    <row r="786" ht="15.75" customHeight="1">
      <c r="A786" s="108"/>
      <c r="B786" s="108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  <c r="AD786" s="108"/>
      <c r="AE786" s="108"/>
      <c r="AF786" s="108"/>
      <c r="AG786" s="108"/>
    </row>
    <row r="787" ht="15.75" customHeight="1">
      <c r="A787" s="108"/>
      <c r="B787" s="108"/>
      <c r="C787" s="108"/>
      <c r="D787" s="108"/>
      <c r="E787" s="108"/>
      <c r="F787" s="108"/>
      <c r="G787" s="108"/>
      <c r="H787" s="108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  <c r="AD787" s="108"/>
      <c r="AE787" s="108"/>
      <c r="AF787" s="108"/>
      <c r="AG787" s="108"/>
    </row>
    <row r="788" ht="15.75" customHeight="1">
      <c r="A788" s="108"/>
      <c r="B788" s="108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  <c r="AD788" s="108"/>
      <c r="AE788" s="108"/>
      <c r="AF788" s="108"/>
      <c r="AG788" s="108"/>
    </row>
    <row r="789" ht="15.75" customHeight="1">
      <c r="A789" s="108"/>
      <c r="B789" s="108"/>
      <c r="C789" s="108"/>
      <c r="D789" s="108"/>
      <c r="E789" s="108"/>
      <c r="F789" s="108"/>
      <c r="G789" s="108"/>
      <c r="H789" s="108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  <c r="AD789" s="108"/>
      <c r="AE789" s="108"/>
      <c r="AF789" s="108"/>
      <c r="AG789" s="108"/>
    </row>
    <row r="790" ht="15.75" customHeight="1">
      <c r="A790" s="108"/>
      <c r="B790" s="108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  <c r="AD790" s="108"/>
      <c r="AE790" s="108"/>
      <c r="AF790" s="108"/>
      <c r="AG790" s="108"/>
    </row>
    <row r="791" ht="15.75" customHeight="1">
      <c r="A791" s="108"/>
      <c r="B791" s="108"/>
      <c r="C791" s="108"/>
      <c r="D791" s="108"/>
      <c r="E791" s="108"/>
      <c r="F791" s="108"/>
      <c r="G791" s="108"/>
      <c r="H791" s="108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  <c r="AD791" s="108"/>
      <c r="AE791" s="108"/>
      <c r="AF791" s="108"/>
      <c r="AG791" s="108"/>
    </row>
    <row r="792" ht="15.75" customHeight="1">
      <c r="A792" s="108"/>
      <c r="B792" s="108"/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  <c r="AD792" s="108"/>
      <c r="AE792" s="108"/>
      <c r="AF792" s="108"/>
      <c r="AG792" s="108"/>
    </row>
    <row r="793" ht="15.75" customHeight="1">
      <c r="A793" s="108"/>
      <c r="B793" s="108"/>
      <c r="C793" s="108"/>
      <c r="D793" s="108"/>
      <c r="E793" s="108"/>
      <c r="F793" s="108"/>
      <c r="G793" s="108"/>
      <c r="H793" s="108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  <c r="AD793" s="108"/>
      <c r="AE793" s="108"/>
      <c r="AF793" s="108"/>
      <c r="AG793" s="108"/>
    </row>
    <row r="794" ht="15.75" customHeight="1">
      <c r="A794" s="108"/>
      <c r="B794" s="108"/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  <c r="AD794" s="108"/>
      <c r="AE794" s="108"/>
      <c r="AF794" s="108"/>
      <c r="AG794" s="108"/>
    </row>
    <row r="795" ht="15.75" customHeight="1">
      <c r="A795" s="108"/>
      <c r="B795" s="108"/>
      <c r="C795" s="108"/>
      <c r="D795" s="108"/>
      <c r="E795" s="108"/>
      <c r="F795" s="108"/>
      <c r="G795" s="108"/>
      <c r="H795" s="108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  <c r="AD795" s="108"/>
      <c r="AE795" s="108"/>
      <c r="AF795" s="108"/>
      <c r="AG795" s="108"/>
    </row>
    <row r="796" ht="15.75" customHeight="1">
      <c r="A796" s="108"/>
      <c r="B796" s="108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  <c r="AD796" s="108"/>
      <c r="AE796" s="108"/>
      <c r="AF796" s="108"/>
      <c r="AG796" s="108"/>
    </row>
    <row r="797" ht="15.75" customHeight="1">
      <c r="A797" s="108"/>
      <c r="B797" s="108"/>
      <c r="C797" s="108"/>
      <c r="D797" s="108"/>
      <c r="E797" s="108"/>
      <c r="F797" s="108"/>
      <c r="G797" s="108"/>
      <c r="H797" s="108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  <c r="AD797" s="108"/>
      <c r="AE797" s="108"/>
      <c r="AF797" s="108"/>
      <c r="AG797" s="108"/>
    </row>
    <row r="798" ht="15.75" customHeight="1">
      <c r="A798" s="108"/>
      <c r="B798" s="108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  <c r="AD798" s="108"/>
      <c r="AE798" s="108"/>
      <c r="AF798" s="108"/>
      <c r="AG798" s="108"/>
    </row>
    <row r="799" ht="15.75" customHeight="1">
      <c r="A799" s="108"/>
      <c r="B799" s="108"/>
      <c r="C799" s="108"/>
      <c r="D799" s="108"/>
      <c r="E799" s="108"/>
      <c r="F799" s="108"/>
      <c r="G799" s="108"/>
      <c r="H799" s="108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  <c r="AD799" s="108"/>
      <c r="AE799" s="108"/>
      <c r="AF799" s="108"/>
      <c r="AG799" s="108"/>
    </row>
    <row r="800" ht="15.75" customHeight="1">
      <c r="A800" s="108"/>
      <c r="B800" s="108"/>
      <c r="C800" s="108"/>
      <c r="D800" s="108"/>
      <c r="E800" s="108"/>
      <c r="F800" s="108"/>
      <c r="G800" s="108"/>
      <c r="H800" s="108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  <c r="AD800" s="108"/>
      <c r="AE800" s="108"/>
      <c r="AF800" s="108"/>
      <c r="AG800" s="108"/>
    </row>
    <row r="801" ht="15.75" customHeight="1">
      <c r="A801" s="108"/>
      <c r="B801" s="108"/>
      <c r="C801" s="108"/>
      <c r="D801" s="108"/>
      <c r="E801" s="108"/>
      <c r="F801" s="108"/>
      <c r="G801" s="108"/>
      <c r="H801" s="108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  <c r="AD801" s="108"/>
      <c r="AE801" s="108"/>
      <c r="AF801" s="108"/>
      <c r="AG801" s="108"/>
    </row>
    <row r="802" ht="15.75" customHeight="1">
      <c r="A802" s="108"/>
      <c r="B802" s="108"/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  <c r="AD802" s="108"/>
      <c r="AE802" s="108"/>
      <c r="AF802" s="108"/>
      <c r="AG802" s="108"/>
    </row>
    <row r="803" ht="15.75" customHeight="1">
      <c r="A803" s="108"/>
      <c r="B803" s="108"/>
      <c r="C803" s="108"/>
      <c r="D803" s="108"/>
      <c r="E803" s="108"/>
      <c r="F803" s="108"/>
      <c r="G803" s="108"/>
      <c r="H803" s="108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  <c r="AD803" s="108"/>
      <c r="AE803" s="108"/>
      <c r="AF803" s="108"/>
      <c r="AG803" s="108"/>
    </row>
    <row r="804" ht="15.75" customHeight="1">
      <c r="A804" s="108"/>
      <c r="B804" s="108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  <c r="AD804" s="108"/>
      <c r="AE804" s="108"/>
      <c r="AF804" s="108"/>
      <c r="AG804" s="108"/>
    </row>
    <row r="805" ht="15.75" customHeight="1">
      <c r="A805" s="108"/>
      <c r="B805" s="108"/>
      <c r="C805" s="108"/>
      <c r="D805" s="108"/>
      <c r="E805" s="108"/>
      <c r="F805" s="108"/>
      <c r="G805" s="108"/>
      <c r="H805" s="108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  <c r="AD805" s="108"/>
      <c r="AE805" s="108"/>
      <c r="AF805" s="108"/>
      <c r="AG805" s="108"/>
    </row>
    <row r="806" ht="15.75" customHeight="1">
      <c r="A806" s="108"/>
      <c r="B806" s="108"/>
      <c r="C806" s="108"/>
      <c r="D806" s="108"/>
      <c r="E806" s="108"/>
      <c r="F806" s="108"/>
      <c r="G806" s="108"/>
      <c r="H806" s="108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  <c r="AD806" s="108"/>
      <c r="AE806" s="108"/>
      <c r="AF806" s="108"/>
      <c r="AG806" s="108"/>
    </row>
    <row r="807" ht="15.75" customHeight="1">
      <c r="A807" s="108"/>
      <c r="B807" s="108"/>
      <c r="C807" s="108"/>
      <c r="D807" s="108"/>
      <c r="E807" s="108"/>
      <c r="F807" s="108"/>
      <c r="G807" s="108"/>
      <c r="H807" s="108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  <c r="AD807" s="108"/>
      <c r="AE807" s="108"/>
      <c r="AF807" s="108"/>
      <c r="AG807" s="108"/>
    </row>
    <row r="808" ht="15.75" customHeight="1">
      <c r="A808" s="108"/>
      <c r="B808" s="108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  <c r="AD808" s="108"/>
      <c r="AE808" s="108"/>
      <c r="AF808" s="108"/>
      <c r="AG808" s="108"/>
    </row>
    <row r="809" ht="15.75" customHeight="1">
      <c r="A809" s="108"/>
      <c r="B809" s="108"/>
      <c r="C809" s="108"/>
      <c r="D809" s="108"/>
      <c r="E809" s="108"/>
      <c r="F809" s="108"/>
      <c r="G809" s="108"/>
      <c r="H809" s="108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  <c r="AD809" s="108"/>
      <c r="AE809" s="108"/>
      <c r="AF809" s="108"/>
      <c r="AG809" s="108"/>
    </row>
    <row r="810" ht="15.75" customHeight="1">
      <c r="A810" s="108"/>
      <c r="B810" s="108"/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  <c r="AD810" s="108"/>
      <c r="AE810" s="108"/>
      <c r="AF810" s="108"/>
      <c r="AG810" s="108"/>
    </row>
    <row r="811" ht="15.75" customHeight="1">
      <c r="A811" s="108"/>
      <c r="B811" s="108"/>
      <c r="C811" s="108"/>
      <c r="D811" s="108"/>
      <c r="E811" s="108"/>
      <c r="F811" s="108"/>
      <c r="G811" s="108"/>
      <c r="H811" s="108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  <c r="AD811" s="108"/>
      <c r="AE811" s="108"/>
      <c r="AF811" s="108"/>
      <c r="AG811" s="108"/>
    </row>
    <row r="812" ht="15.75" customHeight="1">
      <c r="A812" s="108"/>
      <c r="B812" s="108"/>
      <c r="C812" s="108"/>
      <c r="D812" s="108"/>
      <c r="E812" s="108"/>
      <c r="F812" s="108"/>
      <c r="G812" s="108"/>
      <c r="H812" s="108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  <c r="AD812" s="108"/>
      <c r="AE812" s="108"/>
      <c r="AF812" s="108"/>
      <c r="AG812" s="108"/>
    </row>
    <row r="813" ht="15.75" customHeight="1">
      <c r="A813" s="108"/>
      <c r="B813" s="108"/>
      <c r="C813" s="108"/>
      <c r="D813" s="108"/>
      <c r="E813" s="108"/>
      <c r="F813" s="108"/>
      <c r="G813" s="108"/>
      <c r="H813" s="108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  <c r="AD813" s="108"/>
      <c r="AE813" s="108"/>
      <c r="AF813" s="108"/>
      <c r="AG813" s="108"/>
    </row>
    <row r="814" ht="15.75" customHeight="1">
      <c r="A814" s="108"/>
      <c r="B814" s="108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  <c r="AD814" s="108"/>
      <c r="AE814" s="108"/>
      <c r="AF814" s="108"/>
      <c r="AG814" s="108"/>
    </row>
    <row r="815" ht="15.75" customHeight="1">
      <c r="A815" s="108"/>
      <c r="B815" s="108"/>
      <c r="C815" s="108"/>
      <c r="D815" s="108"/>
      <c r="E815" s="108"/>
      <c r="F815" s="108"/>
      <c r="G815" s="108"/>
      <c r="H815" s="108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  <c r="AD815" s="108"/>
      <c r="AE815" s="108"/>
      <c r="AF815" s="108"/>
      <c r="AG815" s="108"/>
    </row>
    <row r="816" ht="15.75" customHeight="1">
      <c r="A816" s="108"/>
      <c r="B816" s="108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  <c r="AD816" s="108"/>
      <c r="AE816" s="108"/>
      <c r="AF816" s="108"/>
      <c r="AG816" s="108"/>
    </row>
    <row r="817" ht="15.75" customHeight="1">
      <c r="A817" s="108"/>
      <c r="B817" s="108"/>
      <c r="C817" s="108"/>
      <c r="D817" s="108"/>
      <c r="E817" s="108"/>
      <c r="F817" s="108"/>
      <c r="G817" s="108"/>
      <c r="H817" s="108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  <c r="AD817" s="108"/>
      <c r="AE817" s="108"/>
      <c r="AF817" s="108"/>
      <c r="AG817" s="108"/>
    </row>
    <row r="818" ht="15.75" customHeight="1">
      <c r="A818" s="108"/>
      <c r="B818" s="108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  <c r="AD818" s="108"/>
      <c r="AE818" s="108"/>
      <c r="AF818" s="108"/>
      <c r="AG818" s="108"/>
    </row>
    <row r="819" ht="15.75" customHeight="1">
      <c r="A819" s="108"/>
      <c r="B819" s="108"/>
      <c r="C819" s="108"/>
      <c r="D819" s="108"/>
      <c r="E819" s="108"/>
      <c r="F819" s="108"/>
      <c r="G819" s="108"/>
      <c r="H819" s="108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  <c r="AD819" s="108"/>
      <c r="AE819" s="108"/>
      <c r="AF819" s="108"/>
      <c r="AG819" s="108"/>
    </row>
    <row r="820" ht="15.75" customHeight="1">
      <c r="A820" s="108"/>
      <c r="B820" s="108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  <c r="AD820" s="108"/>
      <c r="AE820" s="108"/>
      <c r="AF820" s="108"/>
      <c r="AG820" s="108"/>
    </row>
    <row r="821" ht="15.75" customHeight="1">
      <c r="A821" s="108"/>
      <c r="B821" s="108"/>
      <c r="C821" s="108"/>
      <c r="D821" s="108"/>
      <c r="E821" s="108"/>
      <c r="F821" s="108"/>
      <c r="G821" s="108"/>
      <c r="H821" s="108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  <c r="AD821" s="108"/>
      <c r="AE821" s="108"/>
      <c r="AF821" s="108"/>
      <c r="AG821" s="108"/>
    </row>
    <row r="822" ht="15.75" customHeight="1">
      <c r="A822" s="108"/>
      <c r="B822" s="108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  <c r="AD822" s="108"/>
      <c r="AE822" s="108"/>
      <c r="AF822" s="108"/>
      <c r="AG822" s="108"/>
    </row>
    <row r="823" ht="15.75" customHeight="1">
      <c r="A823" s="108"/>
      <c r="B823" s="108"/>
      <c r="C823" s="108"/>
      <c r="D823" s="108"/>
      <c r="E823" s="108"/>
      <c r="F823" s="108"/>
      <c r="G823" s="108"/>
      <c r="H823" s="108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  <c r="AD823" s="108"/>
      <c r="AE823" s="108"/>
      <c r="AF823" s="108"/>
      <c r="AG823" s="108"/>
    </row>
    <row r="824" ht="15.75" customHeight="1">
      <c r="A824" s="108"/>
      <c r="B824" s="108"/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  <c r="AD824" s="108"/>
      <c r="AE824" s="108"/>
      <c r="AF824" s="108"/>
      <c r="AG824" s="108"/>
    </row>
    <row r="825" ht="15.75" customHeight="1">
      <c r="A825" s="108"/>
      <c r="B825" s="108"/>
      <c r="C825" s="108"/>
      <c r="D825" s="108"/>
      <c r="E825" s="108"/>
      <c r="F825" s="108"/>
      <c r="G825" s="108"/>
      <c r="H825" s="108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  <c r="AD825" s="108"/>
      <c r="AE825" s="108"/>
      <c r="AF825" s="108"/>
      <c r="AG825" s="108"/>
    </row>
    <row r="826" ht="15.75" customHeight="1">
      <c r="A826" s="108"/>
      <c r="B826" s="108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  <c r="AD826" s="108"/>
      <c r="AE826" s="108"/>
      <c r="AF826" s="108"/>
      <c r="AG826" s="108"/>
    </row>
    <row r="827" ht="15.75" customHeight="1">
      <c r="A827" s="108"/>
      <c r="B827" s="108"/>
      <c r="C827" s="108"/>
      <c r="D827" s="108"/>
      <c r="E827" s="108"/>
      <c r="F827" s="108"/>
      <c r="G827" s="108"/>
      <c r="H827" s="108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  <c r="AD827" s="108"/>
      <c r="AE827" s="108"/>
      <c r="AF827" s="108"/>
      <c r="AG827" s="108"/>
    </row>
    <row r="828" ht="15.75" customHeight="1">
      <c r="A828" s="108"/>
      <c r="B828" s="108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  <c r="AD828" s="108"/>
      <c r="AE828" s="108"/>
      <c r="AF828" s="108"/>
      <c r="AG828" s="108"/>
    </row>
    <row r="829" ht="15.75" customHeight="1">
      <c r="A829" s="108"/>
      <c r="B829" s="108"/>
      <c r="C829" s="108"/>
      <c r="D829" s="108"/>
      <c r="E829" s="108"/>
      <c r="F829" s="108"/>
      <c r="G829" s="108"/>
      <c r="H829" s="108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  <c r="AD829" s="108"/>
      <c r="AE829" s="108"/>
      <c r="AF829" s="108"/>
      <c r="AG829" s="108"/>
    </row>
    <row r="830" ht="15.75" customHeight="1">
      <c r="A830" s="108"/>
      <c r="B830" s="108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  <c r="AD830" s="108"/>
      <c r="AE830" s="108"/>
      <c r="AF830" s="108"/>
      <c r="AG830" s="108"/>
    </row>
    <row r="831" ht="15.75" customHeight="1">
      <c r="A831" s="108"/>
      <c r="B831" s="108"/>
      <c r="C831" s="108"/>
      <c r="D831" s="108"/>
      <c r="E831" s="108"/>
      <c r="F831" s="108"/>
      <c r="G831" s="108"/>
      <c r="H831" s="108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  <c r="AD831" s="108"/>
      <c r="AE831" s="108"/>
      <c r="AF831" s="108"/>
      <c r="AG831" s="108"/>
    </row>
    <row r="832" ht="15.75" customHeight="1">
      <c r="A832" s="108"/>
      <c r="B832" s="108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  <c r="AD832" s="108"/>
      <c r="AE832" s="108"/>
      <c r="AF832" s="108"/>
      <c r="AG832" s="108"/>
    </row>
    <row r="833" ht="15.75" customHeight="1">
      <c r="A833" s="108"/>
      <c r="B833" s="108"/>
      <c r="C833" s="108"/>
      <c r="D833" s="108"/>
      <c r="E833" s="108"/>
      <c r="F833" s="108"/>
      <c r="G833" s="108"/>
      <c r="H833" s="108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  <c r="AD833" s="108"/>
      <c r="AE833" s="108"/>
      <c r="AF833" s="108"/>
      <c r="AG833" s="108"/>
    </row>
    <row r="834" ht="15.75" customHeight="1">
      <c r="A834" s="108"/>
      <c r="B834" s="108"/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  <c r="AD834" s="108"/>
      <c r="AE834" s="108"/>
      <c r="AF834" s="108"/>
      <c r="AG834" s="108"/>
    </row>
    <row r="835" ht="15.75" customHeight="1">
      <c r="A835" s="108"/>
      <c r="B835" s="108"/>
      <c r="C835" s="108"/>
      <c r="D835" s="108"/>
      <c r="E835" s="108"/>
      <c r="F835" s="108"/>
      <c r="G835" s="108"/>
      <c r="H835" s="108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  <c r="AD835" s="108"/>
      <c r="AE835" s="108"/>
      <c r="AF835" s="108"/>
      <c r="AG835" s="108"/>
    </row>
    <row r="836" ht="15.75" customHeight="1">
      <c r="A836" s="108"/>
      <c r="B836" s="108"/>
      <c r="C836" s="108"/>
      <c r="D836" s="108"/>
      <c r="E836" s="108"/>
      <c r="F836" s="108"/>
      <c r="G836" s="108"/>
      <c r="H836" s="108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  <c r="AD836" s="108"/>
      <c r="AE836" s="108"/>
      <c r="AF836" s="108"/>
      <c r="AG836" s="108"/>
    </row>
    <row r="837" ht="15.75" customHeight="1">
      <c r="A837" s="108"/>
      <c r="B837" s="108"/>
      <c r="C837" s="108"/>
      <c r="D837" s="108"/>
      <c r="E837" s="108"/>
      <c r="F837" s="108"/>
      <c r="G837" s="108"/>
      <c r="H837" s="108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  <c r="AD837" s="108"/>
      <c r="AE837" s="108"/>
      <c r="AF837" s="108"/>
      <c r="AG837" s="108"/>
    </row>
    <row r="838" ht="15.75" customHeight="1">
      <c r="A838" s="108"/>
      <c r="B838" s="108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  <c r="AD838" s="108"/>
      <c r="AE838" s="108"/>
      <c r="AF838" s="108"/>
      <c r="AG838" s="108"/>
    </row>
    <row r="839" ht="15.75" customHeight="1">
      <c r="A839" s="108"/>
      <c r="B839" s="108"/>
      <c r="C839" s="108"/>
      <c r="D839" s="108"/>
      <c r="E839" s="108"/>
      <c r="F839" s="108"/>
      <c r="G839" s="108"/>
      <c r="H839" s="108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  <c r="AD839" s="108"/>
      <c r="AE839" s="108"/>
      <c r="AF839" s="108"/>
      <c r="AG839" s="108"/>
    </row>
    <row r="840" ht="15.75" customHeight="1">
      <c r="A840" s="108"/>
      <c r="B840" s="108"/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  <c r="AD840" s="108"/>
      <c r="AE840" s="108"/>
      <c r="AF840" s="108"/>
      <c r="AG840" s="108"/>
    </row>
    <row r="841" ht="15.75" customHeight="1">
      <c r="A841" s="108"/>
      <c r="B841" s="108"/>
      <c r="C841" s="108"/>
      <c r="D841" s="108"/>
      <c r="E841" s="108"/>
      <c r="F841" s="108"/>
      <c r="G841" s="108"/>
      <c r="H841" s="108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  <c r="AD841" s="108"/>
      <c r="AE841" s="108"/>
      <c r="AF841" s="108"/>
      <c r="AG841" s="108"/>
    </row>
    <row r="842" ht="15.75" customHeight="1">
      <c r="A842" s="108"/>
      <c r="B842" s="108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  <c r="AD842" s="108"/>
      <c r="AE842" s="108"/>
      <c r="AF842" s="108"/>
      <c r="AG842" s="108"/>
    </row>
    <row r="843" ht="15.75" customHeight="1">
      <c r="A843" s="108"/>
      <c r="B843" s="108"/>
      <c r="C843" s="108"/>
      <c r="D843" s="108"/>
      <c r="E843" s="108"/>
      <c r="F843" s="108"/>
      <c r="G843" s="108"/>
      <c r="H843" s="108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  <c r="AD843" s="108"/>
      <c r="AE843" s="108"/>
      <c r="AF843" s="108"/>
      <c r="AG843" s="108"/>
    </row>
    <row r="844" ht="15.75" customHeight="1">
      <c r="A844" s="108"/>
      <c r="B844" s="108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  <c r="AD844" s="108"/>
      <c r="AE844" s="108"/>
      <c r="AF844" s="108"/>
      <c r="AG844" s="108"/>
    </row>
    <row r="845" ht="15.75" customHeight="1">
      <c r="A845" s="108"/>
      <c r="B845" s="108"/>
      <c r="C845" s="108"/>
      <c r="D845" s="108"/>
      <c r="E845" s="108"/>
      <c r="F845" s="108"/>
      <c r="G845" s="108"/>
      <c r="H845" s="108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  <c r="AD845" s="108"/>
      <c r="AE845" s="108"/>
      <c r="AF845" s="108"/>
      <c r="AG845" s="108"/>
    </row>
    <row r="846" ht="15.75" customHeight="1">
      <c r="A846" s="108"/>
      <c r="B846" s="108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  <c r="AD846" s="108"/>
      <c r="AE846" s="108"/>
      <c r="AF846" s="108"/>
      <c r="AG846" s="108"/>
    </row>
    <row r="847" ht="15.75" customHeight="1">
      <c r="A847" s="108"/>
      <c r="B847" s="108"/>
      <c r="C847" s="108"/>
      <c r="D847" s="108"/>
      <c r="E847" s="108"/>
      <c r="F847" s="108"/>
      <c r="G847" s="108"/>
      <c r="H847" s="108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  <c r="AD847" s="108"/>
      <c r="AE847" s="108"/>
      <c r="AF847" s="108"/>
      <c r="AG847" s="108"/>
    </row>
    <row r="848" ht="15.75" customHeight="1">
      <c r="A848" s="108"/>
      <c r="B848" s="108"/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  <c r="AD848" s="108"/>
      <c r="AE848" s="108"/>
      <c r="AF848" s="108"/>
      <c r="AG848" s="108"/>
    </row>
    <row r="849" ht="15.75" customHeight="1">
      <c r="A849" s="108"/>
      <c r="B849" s="108"/>
      <c r="C849" s="108"/>
      <c r="D849" s="108"/>
      <c r="E849" s="108"/>
      <c r="F849" s="108"/>
      <c r="G849" s="108"/>
      <c r="H849" s="108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  <c r="AD849" s="108"/>
      <c r="AE849" s="108"/>
      <c r="AF849" s="108"/>
      <c r="AG849" s="108"/>
    </row>
    <row r="850" ht="15.75" customHeight="1">
      <c r="A850" s="108"/>
      <c r="B850" s="108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  <c r="AD850" s="108"/>
      <c r="AE850" s="108"/>
      <c r="AF850" s="108"/>
      <c r="AG850" s="108"/>
    </row>
    <row r="851" ht="15.75" customHeight="1">
      <c r="A851" s="108"/>
      <c r="B851" s="108"/>
      <c r="C851" s="108"/>
      <c r="D851" s="108"/>
      <c r="E851" s="108"/>
      <c r="F851" s="108"/>
      <c r="G851" s="108"/>
      <c r="H851" s="108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  <c r="AD851" s="108"/>
      <c r="AE851" s="108"/>
      <c r="AF851" s="108"/>
      <c r="AG851" s="108"/>
    </row>
    <row r="852" ht="15.75" customHeight="1">
      <c r="A852" s="108"/>
      <c r="B852" s="108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  <c r="AD852" s="108"/>
      <c r="AE852" s="108"/>
      <c r="AF852" s="108"/>
      <c r="AG852" s="108"/>
    </row>
    <row r="853" ht="15.75" customHeight="1">
      <c r="A853" s="108"/>
      <c r="B853" s="108"/>
      <c r="C853" s="108"/>
      <c r="D853" s="108"/>
      <c r="E853" s="108"/>
      <c r="F853" s="108"/>
      <c r="G853" s="108"/>
      <c r="H853" s="108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  <c r="AD853" s="108"/>
      <c r="AE853" s="108"/>
      <c r="AF853" s="108"/>
      <c r="AG853" s="108"/>
    </row>
    <row r="854" ht="15.75" customHeight="1">
      <c r="A854" s="108"/>
      <c r="B854" s="108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  <c r="AD854" s="108"/>
      <c r="AE854" s="108"/>
      <c r="AF854" s="108"/>
      <c r="AG854" s="108"/>
    </row>
    <row r="855" ht="15.75" customHeight="1">
      <c r="A855" s="108"/>
      <c r="B855" s="108"/>
      <c r="C855" s="108"/>
      <c r="D855" s="108"/>
      <c r="E855" s="108"/>
      <c r="F855" s="108"/>
      <c r="G855" s="108"/>
      <c r="H855" s="108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  <c r="AD855" s="108"/>
      <c r="AE855" s="108"/>
      <c r="AF855" s="108"/>
      <c r="AG855" s="108"/>
    </row>
    <row r="856" ht="15.75" customHeight="1">
      <c r="A856" s="108"/>
      <c r="B856" s="108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  <c r="AD856" s="108"/>
      <c r="AE856" s="108"/>
      <c r="AF856" s="108"/>
      <c r="AG856" s="108"/>
    </row>
    <row r="857" ht="15.75" customHeight="1">
      <c r="A857" s="108"/>
      <c r="B857" s="108"/>
      <c r="C857" s="108"/>
      <c r="D857" s="108"/>
      <c r="E857" s="108"/>
      <c r="F857" s="108"/>
      <c r="G857" s="108"/>
      <c r="H857" s="108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  <c r="AD857" s="108"/>
      <c r="AE857" s="108"/>
      <c r="AF857" s="108"/>
      <c r="AG857" s="108"/>
    </row>
    <row r="858" ht="15.75" customHeight="1">
      <c r="A858" s="108"/>
      <c r="B858" s="108"/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  <c r="AD858" s="108"/>
      <c r="AE858" s="108"/>
      <c r="AF858" s="108"/>
      <c r="AG858" s="108"/>
    </row>
    <row r="859" ht="15.75" customHeight="1">
      <c r="A859" s="108"/>
      <c r="B859" s="108"/>
      <c r="C859" s="108"/>
      <c r="D859" s="108"/>
      <c r="E859" s="108"/>
      <c r="F859" s="108"/>
      <c r="G859" s="108"/>
      <c r="H859" s="108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  <c r="AD859" s="108"/>
      <c r="AE859" s="108"/>
      <c r="AF859" s="108"/>
      <c r="AG859" s="108"/>
    </row>
    <row r="860" ht="15.75" customHeight="1">
      <c r="A860" s="108"/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  <c r="AD860" s="108"/>
      <c r="AE860" s="108"/>
      <c r="AF860" s="108"/>
      <c r="AG860" s="108"/>
    </row>
    <row r="861" ht="15.75" customHeight="1">
      <c r="A861" s="108"/>
      <c r="B861" s="108"/>
      <c r="C861" s="108"/>
      <c r="D861" s="108"/>
      <c r="E861" s="108"/>
      <c r="F861" s="108"/>
      <c r="G861" s="108"/>
      <c r="H861" s="108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  <c r="AD861" s="108"/>
      <c r="AE861" s="108"/>
      <c r="AF861" s="108"/>
      <c r="AG861" s="108"/>
    </row>
    <row r="862" ht="15.75" customHeight="1">
      <c r="A862" s="108"/>
      <c r="B862" s="108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  <c r="AD862" s="108"/>
      <c r="AE862" s="108"/>
      <c r="AF862" s="108"/>
      <c r="AG862" s="108"/>
    </row>
    <row r="863" ht="15.75" customHeight="1">
      <c r="A863" s="108"/>
      <c r="B863" s="108"/>
      <c r="C863" s="108"/>
      <c r="D863" s="108"/>
      <c r="E863" s="108"/>
      <c r="F863" s="108"/>
      <c r="G863" s="108"/>
      <c r="H863" s="108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  <c r="AD863" s="108"/>
      <c r="AE863" s="108"/>
      <c r="AF863" s="108"/>
      <c r="AG863" s="108"/>
    </row>
    <row r="864" ht="15.75" customHeight="1">
      <c r="A864" s="108"/>
      <c r="B864" s="108"/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  <c r="AD864" s="108"/>
      <c r="AE864" s="108"/>
      <c r="AF864" s="108"/>
      <c r="AG864" s="108"/>
    </row>
    <row r="865" ht="15.75" customHeight="1">
      <c r="A865" s="108"/>
      <c r="B865" s="108"/>
      <c r="C865" s="108"/>
      <c r="D865" s="108"/>
      <c r="E865" s="108"/>
      <c r="F865" s="108"/>
      <c r="G865" s="108"/>
      <c r="H865" s="108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  <c r="AD865" s="108"/>
      <c r="AE865" s="108"/>
      <c r="AF865" s="108"/>
      <c r="AG865" s="108"/>
    </row>
    <row r="866" ht="15.75" customHeight="1">
      <c r="A866" s="108"/>
      <c r="B866" s="108"/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  <c r="AD866" s="108"/>
      <c r="AE866" s="108"/>
      <c r="AF866" s="108"/>
      <c r="AG866" s="108"/>
    </row>
    <row r="867" ht="15.75" customHeight="1">
      <c r="A867" s="108"/>
      <c r="B867" s="108"/>
      <c r="C867" s="108"/>
      <c r="D867" s="108"/>
      <c r="E867" s="108"/>
      <c r="F867" s="108"/>
      <c r="G867" s="108"/>
      <c r="H867" s="108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  <c r="AD867" s="108"/>
      <c r="AE867" s="108"/>
      <c r="AF867" s="108"/>
      <c r="AG867" s="108"/>
    </row>
    <row r="868" ht="15.75" customHeight="1">
      <c r="A868" s="108"/>
      <c r="B868" s="108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  <c r="AD868" s="108"/>
      <c r="AE868" s="108"/>
      <c r="AF868" s="108"/>
      <c r="AG868" s="108"/>
    </row>
    <row r="869" ht="15.75" customHeight="1">
      <c r="A869" s="108"/>
      <c r="B869" s="108"/>
      <c r="C869" s="108"/>
      <c r="D869" s="108"/>
      <c r="E869" s="108"/>
      <c r="F869" s="108"/>
      <c r="G869" s="108"/>
      <c r="H869" s="108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  <c r="AD869" s="108"/>
      <c r="AE869" s="108"/>
      <c r="AF869" s="108"/>
      <c r="AG869" s="108"/>
    </row>
    <row r="870" ht="15.75" customHeight="1">
      <c r="A870" s="108"/>
      <c r="B870" s="108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  <c r="AD870" s="108"/>
      <c r="AE870" s="108"/>
      <c r="AF870" s="108"/>
      <c r="AG870" s="108"/>
    </row>
    <row r="871" ht="15.75" customHeight="1">
      <c r="A871" s="108"/>
      <c r="B871" s="108"/>
      <c r="C871" s="108"/>
      <c r="D871" s="108"/>
      <c r="E871" s="108"/>
      <c r="F871" s="108"/>
      <c r="G871" s="108"/>
      <c r="H871" s="108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  <c r="AD871" s="108"/>
      <c r="AE871" s="108"/>
      <c r="AF871" s="108"/>
      <c r="AG871" s="108"/>
    </row>
    <row r="872" ht="15.75" customHeight="1">
      <c r="A872" s="108"/>
      <c r="B872" s="108"/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  <c r="AD872" s="108"/>
      <c r="AE872" s="108"/>
      <c r="AF872" s="108"/>
      <c r="AG872" s="108"/>
    </row>
    <row r="873" ht="15.75" customHeight="1">
      <c r="A873" s="108"/>
      <c r="B873" s="108"/>
      <c r="C873" s="108"/>
      <c r="D873" s="108"/>
      <c r="E873" s="108"/>
      <c r="F873" s="108"/>
      <c r="G873" s="108"/>
      <c r="H873" s="108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  <c r="AD873" s="108"/>
      <c r="AE873" s="108"/>
      <c r="AF873" s="108"/>
      <c r="AG873" s="108"/>
    </row>
    <row r="874" ht="15.75" customHeight="1">
      <c r="A874" s="108"/>
      <c r="B874" s="108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  <c r="AD874" s="108"/>
      <c r="AE874" s="108"/>
      <c r="AF874" s="108"/>
      <c r="AG874" s="108"/>
    </row>
    <row r="875" ht="15.75" customHeight="1">
      <c r="A875" s="108"/>
      <c r="B875" s="108"/>
      <c r="C875" s="108"/>
      <c r="D875" s="108"/>
      <c r="E875" s="108"/>
      <c r="F875" s="108"/>
      <c r="G875" s="108"/>
      <c r="H875" s="108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  <c r="AD875" s="108"/>
      <c r="AE875" s="108"/>
      <c r="AF875" s="108"/>
      <c r="AG875" s="108"/>
    </row>
    <row r="876" ht="15.75" customHeight="1">
      <c r="A876" s="108"/>
      <c r="B876" s="108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  <c r="AD876" s="108"/>
      <c r="AE876" s="108"/>
      <c r="AF876" s="108"/>
      <c r="AG876" s="108"/>
    </row>
    <row r="877" ht="15.75" customHeight="1">
      <c r="A877" s="108"/>
      <c r="B877" s="108"/>
      <c r="C877" s="108"/>
      <c r="D877" s="108"/>
      <c r="E877" s="108"/>
      <c r="F877" s="108"/>
      <c r="G877" s="108"/>
      <c r="H877" s="108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  <c r="AD877" s="108"/>
      <c r="AE877" s="108"/>
      <c r="AF877" s="108"/>
      <c r="AG877" s="108"/>
    </row>
    <row r="878" ht="15.75" customHeight="1">
      <c r="A878" s="108"/>
      <c r="B878" s="108"/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  <c r="AD878" s="108"/>
      <c r="AE878" s="108"/>
      <c r="AF878" s="108"/>
      <c r="AG878" s="108"/>
    </row>
    <row r="879" ht="15.75" customHeight="1">
      <c r="A879" s="108"/>
      <c r="B879" s="108"/>
      <c r="C879" s="108"/>
      <c r="D879" s="108"/>
      <c r="E879" s="108"/>
      <c r="F879" s="108"/>
      <c r="G879" s="108"/>
      <c r="H879" s="108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  <c r="AD879" s="108"/>
      <c r="AE879" s="108"/>
      <c r="AF879" s="108"/>
      <c r="AG879" s="108"/>
    </row>
    <row r="880" ht="15.75" customHeight="1">
      <c r="A880" s="108"/>
      <c r="B880" s="108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  <c r="AD880" s="108"/>
      <c r="AE880" s="108"/>
      <c r="AF880" s="108"/>
      <c r="AG880" s="108"/>
    </row>
    <row r="881" ht="15.75" customHeight="1">
      <c r="A881" s="108"/>
      <c r="B881" s="108"/>
      <c r="C881" s="108"/>
      <c r="D881" s="108"/>
      <c r="E881" s="108"/>
      <c r="F881" s="108"/>
      <c r="G881" s="108"/>
      <c r="H881" s="108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  <c r="AD881" s="108"/>
      <c r="AE881" s="108"/>
      <c r="AF881" s="108"/>
      <c r="AG881" s="108"/>
    </row>
    <row r="882" ht="15.75" customHeight="1">
      <c r="A882" s="108"/>
      <c r="B882" s="108"/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  <c r="AD882" s="108"/>
      <c r="AE882" s="108"/>
      <c r="AF882" s="108"/>
      <c r="AG882" s="108"/>
    </row>
    <row r="883" ht="15.75" customHeight="1">
      <c r="A883" s="108"/>
      <c r="B883" s="108"/>
      <c r="C883" s="108"/>
      <c r="D883" s="108"/>
      <c r="E883" s="108"/>
      <c r="F883" s="108"/>
      <c r="G883" s="108"/>
      <c r="H883" s="108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  <c r="AD883" s="108"/>
      <c r="AE883" s="108"/>
      <c r="AF883" s="108"/>
      <c r="AG883" s="108"/>
    </row>
    <row r="884" ht="15.75" customHeight="1">
      <c r="A884" s="108"/>
      <c r="B884" s="108"/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  <c r="AD884" s="108"/>
      <c r="AE884" s="108"/>
      <c r="AF884" s="108"/>
      <c r="AG884" s="108"/>
    </row>
    <row r="885" ht="15.75" customHeight="1">
      <c r="A885" s="108"/>
      <c r="B885" s="108"/>
      <c r="C885" s="108"/>
      <c r="D885" s="108"/>
      <c r="E885" s="108"/>
      <c r="F885" s="108"/>
      <c r="G885" s="108"/>
      <c r="H885" s="108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  <c r="AD885" s="108"/>
      <c r="AE885" s="108"/>
      <c r="AF885" s="108"/>
      <c r="AG885" s="108"/>
    </row>
    <row r="886" ht="15.75" customHeight="1">
      <c r="A886" s="108"/>
      <c r="B886" s="108"/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  <c r="AD886" s="108"/>
      <c r="AE886" s="108"/>
      <c r="AF886" s="108"/>
      <c r="AG886" s="108"/>
    </row>
    <row r="887" ht="15.75" customHeight="1">
      <c r="A887" s="108"/>
      <c r="B887" s="108"/>
      <c r="C887" s="108"/>
      <c r="D887" s="108"/>
      <c r="E887" s="108"/>
      <c r="F887" s="108"/>
      <c r="G887" s="108"/>
      <c r="H887" s="108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  <c r="AD887" s="108"/>
      <c r="AE887" s="108"/>
      <c r="AF887" s="108"/>
      <c r="AG887" s="108"/>
    </row>
    <row r="888" ht="15.75" customHeight="1">
      <c r="A888" s="108"/>
      <c r="B888" s="108"/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  <c r="AD888" s="108"/>
      <c r="AE888" s="108"/>
      <c r="AF888" s="108"/>
      <c r="AG888" s="108"/>
    </row>
    <row r="889" ht="15.75" customHeight="1">
      <c r="A889" s="108"/>
      <c r="B889" s="108"/>
      <c r="C889" s="108"/>
      <c r="D889" s="108"/>
      <c r="E889" s="108"/>
      <c r="F889" s="108"/>
      <c r="G889" s="108"/>
      <c r="H889" s="108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  <c r="AD889" s="108"/>
      <c r="AE889" s="108"/>
      <c r="AF889" s="108"/>
      <c r="AG889" s="108"/>
    </row>
    <row r="890" ht="15.75" customHeight="1">
      <c r="A890" s="108"/>
      <c r="B890" s="108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  <c r="AD890" s="108"/>
      <c r="AE890" s="108"/>
      <c r="AF890" s="108"/>
      <c r="AG890" s="108"/>
    </row>
    <row r="891" ht="15.75" customHeight="1">
      <c r="A891" s="108"/>
      <c r="B891" s="108"/>
      <c r="C891" s="108"/>
      <c r="D891" s="108"/>
      <c r="E891" s="108"/>
      <c r="F891" s="108"/>
      <c r="G891" s="108"/>
      <c r="H891" s="108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  <c r="AD891" s="108"/>
      <c r="AE891" s="108"/>
      <c r="AF891" s="108"/>
      <c r="AG891" s="108"/>
    </row>
    <row r="892" ht="15.75" customHeight="1">
      <c r="A892" s="108"/>
      <c r="B892" s="108"/>
      <c r="C892" s="108"/>
      <c r="D892" s="108"/>
      <c r="E892" s="108"/>
      <c r="F892" s="108"/>
      <c r="G892" s="108"/>
      <c r="H892" s="108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  <c r="AD892" s="108"/>
      <c r="AE892" s="108"/>
      <c r="AF892" s="108"/>
      <c r="AG892" s="108"/>
    </row>
    <row r="893" ht="15.75" customHeight="1">
      <c r="A893" s="108"/>
      <c r="B893" s="108"/>
      <c r="C893" s="108"/>
      <c r="D893" s="108"/>
      <c r="E893" s="108"/>
      <c r="F893" s="108"/>
      <c r="G893" s="108"/>
      <c r="H893" s="108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  <c r="AD893" s="108"/>
      <c r="AE893" s="108"/>
      <c r="AF893" s="108"/>
      <c r="AG893" s="108"/>
    </row>
    <row r="894" ht="15.75" customHeight="1">
      <c r="A894" s="108"/>
      <c r="B894" s="108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  <c r="AD894" s="108"/>
      <c r="AE894" s="108"/>
      <c r="AF894" s="108"/>
      <c r="AG894" s="108"/>
    </row>
    <row r="895" ht="15.75" customHeight="1">
      <c r="A895" s="108"/>
      <c r="B895" s="108"/>
      <c r="C895" s="108"/>
      <c r="D895" s="108"/>
      <c r="E895" s="108"/>
      <c r="F895" s="108"/>
      <c r="G895" s="108"/>
      <c r="H895" s="108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  <c r="AD895" s="108"/>
      <c r="AE895" s="108"/>
      <c r="AF895" s="108"/>
      <c r="AG895" s="108"/>
    </row>
    <row r="896" ht="15.75" customHeight="1">
      <c r="A896" s="108"/>
      <c r="B896" s="108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  <c r="AD896" s="108"/>
      <c r="AE896" s="108"/>
      <c r="AF896" s="108"/>
      <c r="AG896" s="108"/>
    </row>
    <row r="897" ht="15.75" customHeight="1">
      <c r="A897" s="108"/>
      <c r="B897" s="108"/>
      <c r="C897" s="108"/>
      <c r="D897" s="108"/>
      <c r="E897" s="108"/>
      <c r="F897" s="108"/>
      <c r="G897" s="108"/>
      <c r="H897" s="108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  <c r="AD897" s="108"/>
      <c r="AE897" s="108"/>
      <c r="AF897" s="108"/>
      <c r="AG897" s="108"/>
    </row>
    <row r="898" ht="15.75" customHeight="1">
      <c r="A898" s="108"/>
      <c r="B898" s="108"/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  <c r="AD898" s="108"/>
      <c r="AE898" s="108"/>
      <c r="AF898" s="108"/>
      <c r="AG898" s="108"/>
    </row>
    <row r="899" ht="15.75" customHeight="1">
      <c r="A899" s="108"/>
      <c r="B899" s="108"/>
      <c r="C899" s="108"/>
      <c r="D899" s="108"/>
      <c r="E899" s="108"/>
      <c r="F899" s="108"/>
      <c r="G899" s="108"/>
      <c r="H899" s="108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  <c r="AD899" s="108"/>
      <c r="AE899" s="108"/>
      <c r="AF899" s="108"/>
      <c r="AG899" s="108"/>
    </row>
    <row r="900" ht="15.75" customHeight="1">
      <c r="A900" s="108"/>
      <c r="B900" s="108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  <c r="AD900" s="108"/>
      <c r="AE900" s="108"/>
      <c r="AF900" s="108"/>
      <c r="AG900" s="108"/>
    </row>
    <row r="901" ht="15.75" customHeight="1">
      <c r="A901" s="108"/>
      <c r="B901" s="108"/>
      <c r="C901" s="108"/>
      <c r="D901" s="108"/>
      <c r="E901" s="108"/>
      <c r="F901" s="108"/>
      <c r="G901" s="108"/>
      <c r="H901" s="108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  <c r="AD901" s="108"/>
      <c r="AE901" s="108"/>
      <c r="AF901" s="108"/>
      <c r="AG901" s="108"/>
    </row>
    <row r="902" ht="15.75" customHeight="1">
      <c r="A902" s="108"/>
      <c r="B902" s="108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  <c r="AD902" s="108"/>
      <c r="AE902" s="108"/>
      <c r="AF902" s="108"/>
      <c r="AG902" s="108"/>
    </row>
    <row r="903" ht="15.75" customHeight="1">
      <c r="A903" s="108"/>
      <c r="B903" s="108"/>
      <c r="C903" s="108"/>
      <c r="D903" s="108"/>
      <c r="E903" s="108"/>
      <c r="F903" s="108"/>
      <c r="G903" s="108"/>
      <c r="H903" s="108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  <c r="AD903" s="108"/>
      <c r="AE903" s="108"/>
      <c r="AF903" s="108"/>
      <c r="AG903" s="108"/>
    </row>
    <row r="904" ht="15.75" customHeight="1">
      <c r="A904" s="108"/>
      <c r="B904" s="108"/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  <c r="AD904" s="108"/>
      <c r="AE904" s="108"/>
      <c r="AF904" s="108"/>
      <c r="AG904" s="108"/>
    </row>
    <row r="905" ht="15.75" customHeight="1">
      <c r="A905" s="108"/>
      <c r="B905" s="108"/>
      <c r="C905" s="108"/>
      <c r="D905" s="108"/>
      <c r="E905" s="108"/>
      <c r="F905" s="108"/>
      <c r="G905" s="108"/>
      <c r="H905" s="108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  <c r="AD905" s="108"/>
      <c r="AE905" s="108"/>
      <c r="AF905" s="108"/>
      <c r="AG905" s="108"/>
    </row>
    <row r="906" ht="15.75" customHeight="1">
      <c r="A906" s="108"/>
      <c r="B906" s="108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  <c r="AD906" s="108"/>
      <c r="AE906" s="108"/>
      <c r="AF906" s="108"/>
      <c r="AG906" s="108"/>
    </row>
    <row r="907" ht="15.75" customHeight="1">
      <c r="A907" s="108"/>
      <c r="B907" s="108"/>
      <c r="C907" s="108"/>
      <c r="D907" s="108"/>
      <c r="E907" s="108"/>
      <c r="F907" s="108"/>
      <c r="G907" s="108"/>
      <c r="H907" s="108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  <c r="AD907" s="108"/>
      <c r="AE907" s="108"/>
      <c r="AF907" s="108"/>
      <c r="AG907" s="108"/>
    </row>
    <row r="908" ht="15.75" customHeight="1">
      <c r="A908" s="108"/>
      <c r="B908" s="108"/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  <c r="AD908" s="108"/>
      <c r="AE908" s="108"/>
      <c r="AF908" s="108"/>
      <c r="AG908" s="108"/>
    </row>
    <row r="909" ht="15.75" customHeight="1">
      <c r="A909" s="108"/>
      <c r="B909" s="108"/>
      <c r="C909" s="108"/>
      <c r="D909" s="108"/>
      <c r="E909" s="108"/>
      <c r="F909" s="108"/>
      <c r="G909" s="108"/>
      <c r="H909" s="108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  <c r="AD909" s="108"/>
      <c r="AE909" s="108"/>
      <c r="AF909" s="108"/>
      <c r="AG909" s="108"/>
    </row>
    <row r="910" ht="15.75" customHeight="1">
      <c r="A910" s="108"/>
      <c r="B910" s="108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  <c r="AD910" s="108"/>
      <c r="AE910" s="108"/>
      <c r="AF910" s="108"/>
      <c r="AG910" s="108"/>
    </row>
    <row r="911" ht="15.75" customHeight="1">
      <c r="A911" s="108"/>
      <c r="B911" s="108"/>
      <c r="C911" s="108"/>
      <c r="D911" s="108"/>
      <c r="E911" s="108"/>
      <c r="F911" s="108"/>
      <c r="G911" s="108"/>
      <c r="H911" s="108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  <c r="AD911" s="108"/>
      <c r="AE911" s="108"/>
      <c r="AF911" s="108"/>
      <c r="AG911" s="108"/>
    </row>
    <row r="912" ht="15.75" customHeight="1">
      <c r="A912" s="108"/>
      <c r="B912" s="108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  <c r="AD912" s="108"/>
      <c r="AE912" s="108"/>
      <c r="AF912" s="108"/>
      <c r="AG912" s="108"/>
    </row>
    <row r="913" ht="15.75" customHeight="1">
      <c r="A913" s="108"/>
      <c r="B913" s="108"/>
      <c r="C913" s="108"/>
      <c r="D913" s="108"/>
      <c r="E913" s="108"/>
      <c r="F913" s="108"/>
      <c r="G913" s="108"/>
      <c r="H913" s="108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  <c r="AD913" s="108"/>
      <c r="AE913" s="108"/>
      <c r="AF913" s="108"/>
      <c r="AG913" s="108"/>
    </row>
    <row r="914" ht="15.75" customHeight="1">
      <c r="A914" s="108"/>
      <c r="B914" s="108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  <c r="AD914" s="108"/>
      <c r="AE914" s="108"/>
      <c r="AF914" s="108"/>
      <c r="AG914" s="108"/>
    </row>
    <row r="915" ht="15.75" customHeight="1">
      <c r="A915" s="108"/>
      <c r="B915" s="108"/>
      <c r="C915" s="108"/>
      <c r="D915" s="108"/>
      <c r="E915" s="108"/>
      <c r="F915" s="108"/>
      <c r="G915" s="108"/>
      <c r="H915" s="108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  <c r="AD915" s="108"/>
      <c r="AE915" s="108"/>
      <c r="AF915" s="108"/>
      <c r="AG915" s="108"/>
    </row>
    <row r="916" ht="15.75" customHeight="1">
      <c r="A916" s="108"/>
      <c r="B916" s="108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  <c r="AD916" s="108"/>
      <c r="AE916" s="108"/>
      <c r="AF916" s="108"/>
      <c r="AG916" s="108"/>
    </row>
    <row r="917" ht="15.75" customHeight="1">
      <c r="A917" s="108"/>
      <c r="B917" s="108"/>
      <c r="C917" s="108"/>
      <c r="D917" s="108"/>
      <c r="E917" s="108"/>
      <c r="F917" s="108"/>
      <c r="G917" s="108"/>
      <c r="H917" s="108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  <c r="AD917" s="108"/>
      <c r="AE917" s="108"/>
      <c r="AF917" s="108"/>
      <c r="AG917" s="108"/>
    </row>
    <row r="918" ht="15.75" customHeight="1">
      <c r="A918" s="108"/>
      <c r="B918" s="108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  <c r="AD918" s="108"/>
      <c r="AE918" s="108"/>
      <c r="AF918" s="108"/>
      <c r="AG918" s="108"/>
    </row>
    <row r="919" ht="15.75" customHeight="1">
      <c r="A919" s="108"/>
      <c r="B919" s="108"/>
      <c r="C919" s="108"/>
      <c r="D919" s="108"/>
      <c r="E919" s="108"/>
      <c r="F919" s="108"/>
      <c r="G919" s="108"/>
      <c r="H919" s="108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  <c r="AD919" s="108"/>
      <c r="AE919" s="108"/>
      <c r="AF919" s="108"/>
      <c r="AG919" s="108"/>
    </row>
    <row r="920" ht="15.75" customHeight="1">
      <c r="A920" s="108"/>
      <c r="B920" s="108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  <c r="AD920" s="108"/>
      <c r="AE920" s="108"/>
      <c r="AF920" s="108"/>
      <c r="AG920" s="108"/>
    </row>
    <row r="921" ht="15.75" customHeight="1">
      <c r="A921" s="108"/>
      <c r="B921" s="108"/>
      <c r="C921" s="108"/>
      <c r="D921" s="108"/>
      <c r="E921" s="108"/>
      <c r="F921" s="108"/>
      <c r="G921" s="108"/>
      <c r="H921" s="108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  <c r="AD921" s="108"/>
      <c r="AE921" s="108"/>
      <c r="AF921" s="108"/>
      <c r="AG921" s="108"/>
    </row>
    <row r="922" ht="15.75" customHeight="1">
      <c r="A922" s="108"/>
      <c r="B922" s="108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  <c r="AD922" s="108"/>
      <c r="AE922" s="108"/>
      <c r="AF922" s="108"/>
      <c r="AG922" s="108"/>
    </row>
    <row r="923" ht="15.75" customHeight="1">
      <c r="A923" s="108"/>
      <c r="B923" s="108"/>
      <c r="C923" s="108"/>
      <c r="D923" s="108"/>
      <c r="E923" s="108"/>
      <c r="F923" s="108"/>
      <c r="G923" s="108"/>
      <c r="H923" s="108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  <c r="AD923" s="108"/>
      <c r="AE923" s="108"/>
      <c r="AF923" s="108"/>
      <c r="AG923" s="108"/>
    </row>
    <row r="924" ht="15.75" customHeight="1">
      <c r="A924" s="108"/>
      <c r="B924" s="108"/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  <c r="AD924" s="108"/>
      <c r="AE924" s="108"/>
      <c r="AF924" s="108"/>
      <c r="AG924" s="108"/>
    </row>
    <row r="925" ht="15.75" customHeight="1">
      <c r="A925" s="108"/>
      <c r="B925" s="108"/>
      <c r="C925" s="108"/>
      <c r="D925" s="108"/>
      <c r="E925" s="108"/>
      <c r="F925" s="108"/>
      <c r="G925" s="108"/>
      <c r="H925" s="108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  <c r="AD925" s="108"/>
      <c r="AE925" s="108"/>
      <c r="AF925" s="108"/>
      <c r="AG925" s="108"/>
    </row>
    <row r="926" ht="15.75" customHeight="1">
      <c r="A926" s="108"/>
      <c r="B926" s="108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  <c r="AD926" s="108"/>
      <c r="AE926" s="108"/>
      <c r="AF926" s="108"/>
      <c r="AG926" s="108"/>
    </row>
    <row r="927" ht="15.75" customHeight="1">
      <c r="A927" s="108"/>
      <c r="B927" s="108"/>
      <c r="C927" s="108"/>
      <c r="D927" s="108"/>
      <c r="E927" s="108"/>
      <c r="F927" s="108"/>
      <c r="G927" s="108"/>
      <c r="H927" s="108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  <c r="AD927" s="108"/>
      <c r="AE927" s="108"/>
      <c r="AF927" s="108"/>
      <c r="AG927" s="108"/>
    </row>
    <row r="928" ht="15.75" customHeight="1">
      <c r="A928" s="108"/>
      <c r="B928" s="108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  <c r="AD928" s="108"/>
      <c r="AE928" s="108"/>
      <c r="AF928" s="108"/>
      <c r="AG928" s="108"/>
    </row>
    <row r="929" ht="15.75" customHeight="1">
      <c r="A929" s="108"/>
      <c r="B929" s="108"/>
      <c r="C929" s="108"/>
      <c r="D929" s="108"/>
      <c r="E929" s="108"/>
      <c r="F929" s="108"/>
      <c r="G929" s="108"/>
      <c r="H929" s="108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  <c r="AD929" s="108"/>
      <c r="AE929" s="108"/>
      <c r="AF929" s="108"/>
      <c r="AG929" s="108"/>
    </row>
    <row r="930" ht="15.75" customHeight="1">
      <c r="A930" s="108"/>
      <c r="B930" s="108"/>
      <c r="C930" s="108"/>
      <c r="D930" s="108"/>
      <c r="E930" s="108"/>
      <c r="F930" s="108"/>
      <c r="G930" s="108"/>
      <c r="H930" s="108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  <c r="AD930" s="108"/>
      <c r="AE930" s="108"/>
      <c r="AF930" s="108"/>
      <c r="AG930" s="108"/>
    </row>
    <row r="931" ht="15.75" customHeight="1">
      <c r="A931" s="108"/>
      <c r="B931" s="108"/>
      <c r="C931" s="108"/>
      <c r="D931" s="108"/>
      <c r="E931" s="108"/>
      <c r="F931" s="108"/>
      <c r="G931" s="108"/>
      <c r="H931" s="108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  <c r="AD931" s="108"/>
      <c r="AE931" s="108"/>
      <c r="AF931" s="108"/>
      <c r="AG931" s="108"/>
    </row>
    <row r="932" ht="15.75" customHeight="1">
      <c r="A932" s="108"/>
      <c r="B932" s="108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  <c r="AD932" s="108"/>
      <c r="AE932" s="108"/>
      <c r="AF932" s="108"/>
      <c r="AG932" s="108"/>
    </row>
    <row r="933" ht="15.75" customHeight="1">
      <c r="A933" s="108"/>
      <c r="B933" s="108"/>
      <c r="C933" s="108"/>
      <c r="D933" s="108"/>
      <c r="E933" s="108"/>
      <c r="F933" s="108"/>
      <c r="G933" s="108"/>
      <c r="H933" s="108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  <c r="AD933" s="108"/>
      <c r="AE933" s="108"/>
      <c r="AF933" s="108"/>
      <c r="AG933" s="108"/>
    </row>
    <row r="934" ht="15.75" customHeight="1">
      <c r="A934" s="108"/>
      <c r="B934" s="108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  <c r="AD934" s="108"/>
      <c r="AE934" s="108"/>
      <c r="AF934" s="108"/>
      <c r="AG934" s="108"/>
    </row>
    <row r="935" ht="15.75" customHeight="1">
      <c r="A935" s="108"/>
      <c r="B935" s="108"/>
      <c r="C935" s="108"/>
      <c r="D935" s="108"/>
      <c r="E935" s="108"/>
      <c r="F935" s="108"/>
      <c r="G935" s="108"/>
      <c r="H935" s="108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  <c r="AD935" s="108"/>
      <c r="AE935" s="108"/>
      <c r="AF935" s="108"/>
      <c r="AG935" s="108"/>
    </row>
    <row r="936" ht="15.75" customHeight="1">
      <c r="A936" s="108"/>
      <c r="B936" s="108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  <c r="AD936" s="108"/>
      <c r="AE936" s="108"/>
      <c r="AF936" s="108"/>
      <c r="AG936" s="108"/>
    </row>
    <row r="937" ht="15.75" customHeight="1">
      <c r="A937" s="108"/>
      <c r="B937" s="108"/>
      <c r="C937" s="108"/>
      <c r="D937" s="108"/>
      <c r="E937" s="108"/>
      <c r="F937" s="108"/>
      <c r="G937" s="108"/>
      <c r="H937" s="108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  <c r="AD937" s="108"/>
      <c r="AE937" s="108"/>
      <c r="AF937" s="108"/>
      <c r="AG937" s="108"/>
    </row>
    <row r="938" ht="15.75" customHeight="1">
      <c r="A938" s="108"/>
      <c r="B938" s="108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  <c r="AD938" s="108"/>
      <c r="AE938" s="108"/>
      <c r="AF938" s="108"/>
      <c r="AG938" s="108"/>
    </row>
    <row r="939" ht="15.75" customHeight="1">
      <c r="A939" s="108"/>
      <c r="B939" s="108"/>
      <c r="C939" s="108"/>
      <c r="D939" s="108"/>
      <c r="E939" s="108"/>
      <c r="F939" s="108"/>
      <c r="G939" s="108"/>
      <c r="H939" s="108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  <c r="AD939" s="108"/>
      <c r="AE939" s="108"/>
      <c r="AF939" s="108"/>
      <c r="AG939" s="108"/>
    </row>
    <row r="940" ht="15.75" customHeight="1">
      <c r="A940" s="108"/>
      <c r="B940" s="108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  <c r="AD940" s="108"/>
      <c r="AE940" s="108"/>
      <c r="AF940" s="108"/>
      <c r="AG940" s="108"/>
    </row>
    <row r="941" ht="15.75" customHeight="1">
      <c r="A941" s="108"/>
      <c r="B941" s="108"/>
      <c r="C941" s="108"/>
      <c r="D941" s="108"/>
      <c r="E941" s="108"/>
      <c r="F941" s="108"/>
      <c r="G941" s="108"/>
      <c r="H941" s="108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  <c r="AD941" s="108"/>
      <c r="AE941" s="108"/>
      <c r="AF941" s="108"/>
      <c r="AG941" s="108"/>
    </row>
    <row r="942" ht="15.75" customHeight="1">
      <c r="A942" s="108"/>
      <c r="B942" s="108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  <c r="AD942" s="108"/>
      <c r="AE942" s="108"/>
      <c r="AF942" s="108"/>
      <c r="AG942" s="108"/>
    </row>
    <row r="943" ht="15.75" customHeight="1">
      <c r="A943" s="108"/>
      <c r="B943" s="108"/>
      <c r="C943" s="108"/>
      <c r="D943" s="108"/>
      <c r="E943" s="108"/>
      <c r="F943" s="108"/>
      <c r="G943" s="108"/>
      <c r="H943" s="108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  <c r="AD943" s="108"/>
      <c r="AE943" s="108"/>
      <c r="AF943" s="108"/>
      <c r="AG943" s="108"/>
    </row>
    <row r="944" ht="15.75" customHeight="1">
      <c r="A944" s="108"/>
      <c r="B944" s="108"/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  <c r="AD944" s="108"/>
      <c r="AE944" s="108"/>
      <c r="AF944" s="108"/>
      <c r="AG944" s="108"/>
    </row>
    <row r="945" ht="15.75" customHeight="1">
      <c r="A945" s="108"/>
      <c r="B945" s="108"/>
      <c r="C945" s="108"/>
      <c r="D945" s="108"/>
      <c r="E945" s="108"/>
      <c r="F945" s="108"/>
      <c r="G945" s="108"/>
      <c r="H945" s="108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  <c r="AD945" s="108"/>
      <c r="AE945" s="108"/>
      <c r="AF945" s="108"/>
      <c r="AG945" s="108"/>
    </row>
    <row r="946" ht="15.75" customHeight="1">
      <c r="A946" s="108"/>
      <c r="B946" s="108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  <c r="AD946" s="108"/>
      <c r="AE946" s="108"/>
      <c r="AF946" s="108"/>
      <c r="AG946" s="108"/>
    </row>
    <row r="947" ht="15.75" customHeight="1">
      <c r="A947" s="108"/>
      <c r="B947" s="108"/>
      <c r="C947" s="108"/>
      <c r="D947" s="108"/>
      <c r="E947" s="108"/>
      <c r="F947" s="108"/>
      <c r="G947" s="108"/>
      <c r="H947" s="108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  <c r="AD947" s="108"/>
      <c r="AE947" s="108"/>
      <c r="AF947" s="108"/>
      <c r="AG947" s="108"/>
    </row>
    <row r="948" ht="15.75" customHeight="1">
      <c r="A948" s="108"/>
      <c r="B948" s="108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  <c r="AD948" s="108"/>
      <c r="AE948" s="108"/>
      <c r="AF948" s="108"/>
      <c r="AG948" s="108"/>
    </row>
    <row r="949" ht="15.75" customHeight="1">
      <c r="A949" s="108"/>
      <c r="B949" s="108"/>
      <c r="C949" s="108"/>
      <c r="D949" s="108"/>
      <c r="E949" s="108"/>
      <c r="F949" s="108"/>
      <c r="G949" s="108"/>
      <c r="H949" s="108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  <c r="AD949" s="108"/>
      <c r="AE949" s="108"/>
      <c r="AF949" s="108"/>
      <c r="AG949" s="108"/>
    </row>
    <row r="950" ht="15.75" customHeight="1">
      <c r="A950" s="108"/>
      <c r="B950" s="108"/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  <c r="AD950" s="108"/>
      <c r="AE950" s="108"/>
      <c r="AF950" s="108"/>
      <c r="AG950" s="108"/>
    </row>
    <row r="951" ht="15.75" customHeight="1">
      <c r="A951" s="108"/>
      <c r="B951" s="108"/>
      <c r="C951" s="108"/>
      <c r="D951" s="108"/>
      <c r="E951" s="108"/>
      <c r="F951" s="108"/>
      <c r="G951" s="108"/>
      <c r="H951" s="108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  <c r="AD951" s="108"/>
      <c r="AE951" s="108"/>
      <c r="AF951" s="108"/>
      <c r="AG951" s="108"/>
    </row>
    <row r="952" ht="15.75" customHeight="1">
      <c r="A952" s="108"/>
      <c r="B952" s="108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  <c r="AD952" s="108"/>
      <c r="AE952" s="108"/>
      <c r="AF952" s="108"/>
      <c r="AG952" s="108"/>
    </row>
    <row r="953" ht="15.75" customHeight="1">
      <c r="A953" s="108"/>
      <c r="B953" s="108"/>
      <c r="C953" s="108"/>
      <c r="D953" s="108"/>
      <c r="E953" s="108"/>
      <c r="F953" s="108"/>
      <c r="G953" s="108"/>
      <c r="H953" s="108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  <c r="AD953" s="108"/>
      <c r="AE953" s="108"/>
      <c r="AF953" s="108"/>
      <c r="AG953" s="108"/>
    </row>
    <row r="954" ht="15.75" customHeight="1">
      <c r="A954" s="108"/>
      <c r="B954" s="108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  <c r="AD954" s="108"/>
      <c r="AE954" s="108"/>
      <c r="AF954" s="108"/>
      <c r="AG954" s="108"/>
    </row>
    <row r="955" ht="15.75" customHeight="1">
      <c r="A955" s="108"/>
      <c r="B955" s="108"/>
      <c r="C955" s="108"/>
      <c r="D955" s="108"/>
      <c r="E955" s="108"/>
      <c r="F955" s="108"/>
      <c r="G955" s="108"/>
      <c r="H955" s="108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  <c r="AD955" s="108"/>
      <c r="AE955" s="108"/>
      <c r="AF955" s="108"/>
      <c r="AG955" s="108"/>
    </row>
    <row r="956" ht="15.75" customHeight="1">
      <c r="A956" s="108"/>
      <c r="B956" s="108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  <c r="AD956" s="108"/>
      <c r="AE956" s="108"/>
      <c r="AF956" s="108"/>
      <c r="AG956" s="108"/>
    </row>
    <row r="957" ht="15.75" customHeight="1">
      <c r="A957" s="108"/>
      <c r="B957" s="108"/>
      <c r="C957" s="108"/>
      <c r="D957" s="108"/>
      <c r="E957" s="108"/>
      <c r="F957" s="108"/>
      <c r="G957" s="108"/>
      <c r="H957" s="108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  <c r="AD957" s="108"/>
      <c r="AE957" s="108"/>
      <c r="AF957" s="108"/>
      <c r="AG957" s="108"/>
    </row>
    <row r="958" ht="15.75" customHeight="1">
      <c r="A958" s="108"/>
      <c r="B958" s="108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  <c r="AD958" s="108"/>
      <c r="AE958" s="108"/>
      <c r="AF958" s="108"/>
      <c r="AG958" s="108"/>
    </row>
    <row r="959" ht="15.75" customHeight="1">
      <c r="A959" s="108"/>
      <c r="B959" s="108"/>
      <c r="C959" s="108"/>
      <c r="D959" s="108"/>
      <c r="E959" s="108"/>
      <c r="F959" s="108"/>
      <c r="G959" s="108"/>
      <c r="H959" s="108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  <c r="AD959" s="108"/>
      <c r="AE959" s="108"/>
      <c r="AF959" s="108"/>
      <c r="AG959" s="108"/>
    </row>
    <row r="960" ht="15.75" customHeight="1">
      <c r="A960" s="108"/>
      <c r="B960" s="108"/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  <c r="AD960" s="108"/>
      <c r="AE960" s="108"/>
      <c r="AF960" s="108"/>
      <c r="AG960" s="108"/>
    </row>
    <row r="961" ht="15.75" customHeight="1">
      <c r="A961" s="108"/>
      <c r="B961" s="108"/>
      <c r="C961" s="108"/>
      <c r="D961" s="108"/>
      <c r="E961" s="108"/>
      <c r="F961" s="108"/>
      <c r="G961" s="108"/>
      <c r="H961" s="108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  <c r="AD961" s="108"/>
      <c r="AE961" s="108"/>
      <c r="AF961" s="108"/>
      <c r="AG961" s="108"/>
    </row>
    <row r="962" ht="15.75" customHeight="1">
      <c r="A962" s="108"/>
      <c r="B962" s="108"/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  <c r="AD962" s="108"/>
      <c r="AE962" s="108"/>
      <c r="AF962" s="108"/>
      <c r="AG962" s="108"/>
    </row>
    <row r="963" ht="15.75" customHeight="1">
      <c r="A963" s="108"/>
      <c r="B963" s="108"/>
      <c r="C963" s="108"/>
      <c r="D963" s="108"/>
      <c r="E963" s="108"/>
      <c r="F963" s="108"/>
      <c r="G963" s="108"/>
      <c r="H963" s="108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  <c r="AD963" s="108"/>
      <c r="AE963" s="108"/>
      <c r="AF963" s="108"/>
      <c r="AG963" s="108"/>
    </row>
    <row r="964" ht="15.75" customHeight="1">
      <c r="A964" s="108"/>
      <c r="B964" s="108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  <c r="AD964" s="108"/>
      <c r="AE964" s="108"/>
      <c r="AF964" s="108"/>
      <c r="AG964" s="108"/>
    </row>
    <row r="965" ht="15.75" customHeight="1">
      <c r="A965" s="108"/>
      <c r="B965" s="108"/>
      <c r="C965" s="108"/>
      <c r="D965" s="108"/>
      <c r="E965" s="108"/>
      <c r="F965" s="108"/>
      <c r="G965" s="108"/>
      <c r="H965" s="108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  <c r="AD965" s="108"/>
      <c r="AE965" s="108"/>
      <c r="AF965" s="108"/>
      <c r="AG965" s="108"/>
    </row>
    <row r="966" ht="15.75" customHeight="1">
      <c r="A966" s="108"/>
      <c r="B966" s="108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  <c r="AD966" s="108"/>
      <c r="AE966" s="108"/>
      <c r="AF966" s="108"/>
      <c r="AG966" s="108"/>
    </row>
    <row r="967" ht="15.75" customHeight="1">
      <c r="A967" s="108"/>
      <c r="B967" s="108"/>
      <c r="C967" s="108"/>
      <c r="D967" s="108"/>
      <c r="E967" s="108"/>
      <c r="F967" s="108"/>
      <c r="G967" s="108"/>
      <c r="H967" s="108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  <c r="AD967" s="108"/>
      <c r="AE967" s="108"/>
      <c r="AF967" s="108"/>
      <c r="AG967" s="108"/>
    </row>
    <row r="968" ht="15.75" customHeight="1">
      <c r="A968" s="108"/>
      <c r="B968" s="108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  <c r="AD968" s="108"/>
      <c r="AE968" s="108"/>
      <c r="AF968" s="108"/>
      <c r="AG968" s="108"/>
    </row>
    <row r="969" ht="15.75" customHeight="1">
      <c r="A969" s="108"/>
      <c r="B969" s="108"/>
      <c r="C969" s="108"/>
      <c r="D969" s="108"/>
      <c r="E969" s="108"/>
      <c r="F969" s="108"/>
      <c r="G969" s="108"/>
      <c r="H969" s="108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  <c r="AD969" s="108"/>
      <c r="AE969" s="108"/>
      <c r="AF969" s="108"/>
      <c r="AG969" s="108"/>
    </row>
    <row r="970" ht="15.75" customHeight="1">
      <c r="A970" s="108"/>
      <c r="B970" s="108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  <c r="AD970" s="108"/>
      <c r="AE970" s="108"/>
      <c r="AF970" s="108"/>
      <c r="AG970" s="108"/>
    </row>
    <row r="971" ht="15.75" customHeight="1">
      <c r="A971" s="108"/>
      <c r="B971" s="108"/>
      <c r="C971" s="108"/>
      <c r="D971" s="108"/>
      <c r="E971" s="108"/>
      <c r="F971" s="108"/>
      <c r="G971" s="108"/>
      <c r="H971" s="108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  <c r="AD971" s="108"/>
      <c r="AE971" s="108"/>
      <c r="AF971" s="108"/>
      <c r="AG971" s="108"/>
    </row>
    <row r="972" ht="15.75" customHeight="1">
      <c r="A972" s="108"/>
      <c r="B972" s="108"/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  <c r="AD972" s="108"/>
      <c r="AE972" s="108"/>
      <c r="AF972" s="108"/>
      <c r="AG972" s="108"/>
    </row>
    <row r="973" ht="15.75" customHeight="1">
      <c r="A973" s="108"/>
      <c r="B973" s="108"/>
      <c r="C973" s="108"/>
      <c r="D973" s="108"/>
      <c r="E973" s="108"/>
      <c r="F973" s="108"/>
      <c r="G973" s="108"/>
      <c r="H973" s="108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  <c r="AD973" s="108"/>
      <c r="AE973" s="108"/>
      <c r="AF973" s="108"/>
      <c r="AG973" s="108"/>
    </row>
    <row r="974" ht="15.75" customHeight="1">
      <c r="A974" s="108"/>
      <c r="B974" s="108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  <c r="AD974" s="108"/>
      <c r="AE974" s="108"/>
      <c r="AF974" s="108"/>
      <c r="AG974" s="108"/>
    </row>
    <row r="975" ht="15.75" customHeight="1">
      <c r="A975" s="108"/>
      <c r="B975" s="108"/>
      <c r="C975" s="108"/>
      <c r="D975" s="108"/>
      <c r="E975" s="108"/>
      <c r="F975" s="108"/>
      <c r="G975" s="108"/>
      <c r="H975" s="108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  <c r="AD975" s="108"/>
      <c r="AE975" s="108"/>
      <c r="AF975" s="108"/>
      <c r="AG975" s="108"/>
    </row>
    <row r="976" ht="15.75" customHeight="1">
      <c r="A976" s="108"/>
      <c r="B976" s="108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  <c r="AD976" s="108"/>
      <c r="AE976" s="108"/>
      <c r="AF976" s="108"/>
      <c r="AG976" s="108"/>
    </row>
    <row r="977" ht="15.75" customHeight="1">
      <c r="A977" s="108"/>
      <c r="B977" s="108"/>
      <c r="C977" s="108"/>
      <c r="D977" s="108"/>
      <c r="E977" s="108"/>
      <c r="F977" s="108"/>
      <c r="G977" s="108"/>
      <c r="H977" s="108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  <c r="AD977" s="108"/>
      <c r="AE977" s="108"/>
      <c r="AF977" s="108"/>
      <c r="AG977" s="108"/>
    </row>
    <row r="978" ht="15.75" customHeight="1">
      <c r="A978" s="108"/>
      <c r="B978" s="108"/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  <c r="AD978" s="108"/>
      <c r="AE978" s="108"/>
      <c r="AF978" s="108"/>
      <c r="AG978" s="108"/>
    </row>
    <row r="979" ht="15.75" customHeight="1">
      <c r="A979" s="108"/>
      <c r="B979" s="108"/>
      <c r="C979" s="108"/>
      <c r="D979" s="108"/>
      <c r="E979" s="108"/>
      <c r="F979" s="108"/>
      <c r="G979" s="108"/>
      <c r="H979" s="108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  <c r="AD979" s="108"/>
      <c r="AE979" s="108"/>
      <c r="AF979" s="108"/>
      <c r="AG979" s="108"/>
    </row>
    <row r="980" ht="15.75" customHeight="1">
      <c r="A980" s="108"/>
      <c r="B980" s="108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  <c r="AD980" s="108"/>
      <c r="AE980" s="108"/>
      <c r="AF980" s="108"/>
      <c r="AG980" s="108"/>
    </row>
    <row r="981" ht="15.75" customHeight="1">
      <c r="A981" s="108"/>
      <c r="B981" s="108"/>
      <c r="C981" s="108"/>
      <c r="D981" s="108"/>
      <c r="E981" s="108"/>
      <c r="F981" s="108"/>
      <c r="G981" s="108"/>
      <c r="H981" s="108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  <c r="AD981" s="108"/>
      <c r="AE981" s="108"/>
      <c r="AF981" s="108"/>
      <c r="AG981" s="108"/>
    </row>
    <row r="982" ht="15.75" customHeight="1">
      <c r="A982" s="108"/>
      <c r="B982" s="108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  <c r="AD982" s="108"/>
      <c r="AE982" s="108"/>
      <c r="AF982" s="108"/>
      <c r="AG982" s="108"/>
    </row>
    <row r="983" ht="15.75" customHeight="1">
      <c r="A983" s="108"/>
      <c r="B983" s="108"/>
      <c r="C983" s="108"/>
      <c r="D983" s="108"/>
      <c r="E983" s="108"/>
      <c r="F983" s="108"/>
      <c r="G983" s="108"/>
      <c r="H983" s="108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  <c r="AD983" s="108"/>
      <c r="AE983" s="108"/>
      <c r="AF983" s="108"/>
      <c r="AG983" s="108"/>
    </row>
    <row r="984" ht="15.75" customHeight="1">
      <c r="A984" s="108"/>
      <c r="B984" s="108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  <c r="AD984" s="108"/>
      <c r="AE984" s="108"/>
      <c r="AF984" s="108"/>
      <c r="AG984" s="108"/>
    </row>
    <row r="985" ht="15.75" customHeight="1">
      <c r="A985" s="108"/>
      <c r="B985" s="108"/>
      <c r="C985" s="108"/>
      <c r="D985" s="108"/>
      <c r="E985" s="108"/>
      <c r="F985" s="108"/>
      <c r="G985" s="108"/>
      <c r="H985" s="108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  <c r="AD985" s="108"/>
      <c r="AE985" s="108"/>
      <c r="AF985" s="108"/>
      <c r="AG985" s="108"/>
    </row>
    <row r="986" ht="15.75" customHeight="1">
      <c r="A986" s="108"/>
      <c r="B986" s="108"/>
      <c r="C986" s="108"/>
      <c r="D986" s="108"/>
      <c r="E986" s="108"/>
      <c r="F986" s="108"/>
      <c r="G986" s="108"/>
      <c r="H986" s="108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  <c r="AD986" s="108"/>
      <c r="AE986" s="108"/>
      <c r="AF986" s="108"/>
      <c r="AG986" s="108"/>
    </row>
    <row r="987" ht="15.75" customHeight="1">
      <c r="A987" s="108"/>
      <c r="B987" s="108"/>
      <c r="C987" s="108"/>
      <c r="D987" s="108"/>
      <c r="E987" s="108"/>
      <c r="F987" s="108"/>
      <c r="G987" s="108"/>
      <c r="H987" s="108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  <c r="AD987" s="108"/>
      <c r="AE987" s="108"/>
      <c r="AF987" s="108"/>
      <c r="AG987" s="108"/>
    </row>
    <row r="988" ht="15.75" customHeight="1">
      <c r="A988" s="108"/>
      <c r="B988" s="108"/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  <c r="AD988" s="108"/>
      <c r="AE988" s="108"/>
      <c r="AF988" s="108"/>
      <c r="AG988" s="108"/>
    </row>
    <row r="989" ht="15.75" customHeight="1">
      <c r="A989" s="108"/>
      <c r="B989" s="108"/>
      <c r="C989" s="108"/>
      <c r="D989" s="108"/>
      <c r="E989" s="108"/>
      <c r="F989" s="108"/>
      <c r="G989" s="108"/>
      <c r="H989" s="108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  <c r="AD989" s="108"/>
      <c r="AE989" s="108"/>
      <c r="AF989" s="108"/>
      <c r="AG989" s="108"/>
    </row>
    <row r="990" ht="15.75" customHeight="1">
      <c r="A990" s="108"/>
      <c r="B990" s="108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  <c r="AD990" s="108"/>
      <c r="AE990" s="108"/>
      <c r="AF990" s="108"/>
      <c r="AG990" s="108"/>
    </row>
    <row r="991" ht="15.75" customHeight="1">
      <c r="A991" s="108"/>
      <c r="B991" s="108"/>
      <c r="C991" s="108"/>
      <c r="D991" s="108"/>
      <c r="E991" s="108"/>
      <c r="F991" s="108"/>
      <c r="G991" s="108"/>
      <c r="H991" s="108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  <c r="AD991" s="108"/>
      <c r="AE991" s="108"/>
      <c r="AF991" s="108"/>
      <c r="AG991" s="108"/>
    </row>
    <row r="992" ht="15.75" customHeight="1">
      <c r="A992" s="108"/>
      <c r="B992" s="108"/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  <c r="AD992" s="108"/>
      <c r="AE992" s="108"/>
      <c r="AF992" s="108"/>
      <c r="AG992" s="108"/>
    </row>
    <row r="993" ht="15.75" customHeight="1">
      <c r="A993" s="108"/>
      <c r="B993" s="108"/>
      <c r="C993" s="108"/>
      <c r="D993" s="108"/>
      <c r="E993" s="108"/>
      <c r="F993" s="108"/>
      <c r="G993" s="108"/>
      <c r="H993" s="108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  <c r="AD993" s="108"/>
      <c r="AE993" s="108"/>
      <c r="AF993" s="108"/>
      <c r="AG993" s="108"/>
    </row>
    <row r="994" ht="15.75" customHeight="1">
      <c r="A994" s="108"/>
      <c r="B994" s="108"/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  <c r="AD994" s="108"/>
      <c r="AE994" s="108"/>
      <c r="AF994" s="108"/>
      <c r="AG994" s="10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4"/>
      <c r="F4" s="15"/>
      <c r="G4" s="28"/>
      <c r="H4" s="31"/>
      <c r="I4" s="15"/>
      <c r="J4" s="33"/>
      <c r="K4" s="33"/>
      <c r="L4" s="15"/>
      <c r="M4" s="33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8"/>
      <c r="D5" s="21"/>
      <c r="E5" s="24"/>
      <c r="F5" s="15"/>
      <c r="G5" s="28"/>
      <c r="H5" s="31"/>
      <c r="I5" s="15"/>
      <c r="J5" s="33"/>
      <c r="K5" s="33"/>
      <c r="L5" s="15"/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8"/>
      <c r="D6" s="21"/>
      <c r="E6" s="24"/>
      <c r="F6" s="15"/>
      <c r="G6" s="28"/>
      <c r="H6" s="31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51"/>
      <c r="D7" s="21"/>
      <c r="E7" s="24"/>
      <c r="F7" s="15"/>
      <c r="G7" s="42"/>
      <c r="H7" s="45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8"/>
      <c r="D8" s="21"/>
      <c r="E8" s="24"/>
      <c r="F8" s="46"/>
      <c r="G8" s="28"/>
      <c r="H8" s="31"/>
      <c r="I8" s="15"/>
      <c r="J8" s="33"/>
      <c r="K8" s="33"/>
      <c r="L8" s="15"/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8"/>
      <c r="D9" s="21"/>
      <c r="E9" s="24"/>
      <c r="F9" s="15"/>
      <c r="G9" s="42"/>
      <c r="H9" s="45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8"/>
      <c r="D10" s="21"/>
      <c r="E10" s="25"/>
      <c r="F10" s="15"/>
      <c r="G10" s="42"/>
      <c r="H10" s="45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14"/>
      <c r="G11" s="47"/>
      <c r="H11" s="22"/>
      <c r="I11" s="14"/>
      <c r="J11" s="14"/>
      <c r="K11" s="14"/>
      <c r="L11" s="15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14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14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70"/>
      <c r="D19" s="72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74"/>
      <c r="D20" s="75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4"/>
      <c r="F4" s="15"/>
      <c r="G4" s="28"/>
      <c r="H4" s="31"/>
      <c r="I4" s="15"/>
      <c r="J4" s="33"/>
      <c r="K4" s="33"/>
      <c r="L4" s="15"/>
      <c r="M4" s="33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8"/>
      <c r="D5" s="21"/>
      <c r="E5" s="24"/>
      <c r="F5" s="15"/>
      <c r="G5" s="28"/>
      <c r="H5" s="31"/>
      <c r="I5" s="15"/>
      <c r="J5" s="33"/>
      <c r="K5" s="33"/>
      <c r="L5" s="15"/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8"/>
      <c r="D6" s="21"/>
      <c r="E6" s="50"/>
      <c r="F6" s="15"/>
      <c r="G6" s="42"/>
      <c r="H6" s="31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8"/>
      <c r="D7" s="21"/>
      <c r="E7" s="24"/>
      <c r="F7" s="15"/>
      <c r="G7" s="28"/>
      <c r="H7" s="31"/>
      <c r="I7" s="15"/>
      <c r="J7" s="33"/>
      <c r="K7" s="33"/>
      <c r="L7" s="15"/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8"/>
      <c r="D8" s="21"/>
      <c r="E8" s="24"/>
      <c r="F8" s="35"/>
      <c r="G8" s="28"/>
      <c r="H8" s="31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8"/>
      <c r="D9" s="21"/>
      <c r="E9" s="24"/>
      <c r="F9" s="35"/>
      <c r="G9" s="28"/>
      <c r="H9" s="31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8"/>
      <c r="D10" s="21"/>
      <c r="E10" s="40"/>
      <c r="F10" s="35"/>
      <c r="G10" s="28"/>
      <c r="H10" s="31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8"/>
      <c r="D11" s="21"/>
      <c r="E11" s="25"/>
      <c r="F11" s="35"/>
      <c r="G11" s="28"/>
      <c r="H11" s="31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8"/>
      <c r="D12" s="21"/>
      <c r="E12" s="24"/>
      <c r="F12" s="35"/>
      <c r="G12" s="28"/>
      <c r="H12" s="31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8"/>
      <c r="D13" s="21"/>
      <c r="E13" s="24"/>
      <c r="F13" s="35"/>
      <c r="G13" s="28"/>
      <c r="H13" s="31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8"/>
      <c r="D14" s="21"/>
      <c r="E14" s="24"/>
      <c r="F14" s="35"/>
      <c r="G14" s="28"/>
      <c r="H14" s="31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8"/>
      <c r="D15" s="21"/>
      <c r="E15" s="24"/>
      <c r="F15" s="35"/>
      <c r="G15" s="28"/>
      <c r="H15" s="31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8"/>
      <c r="D16" s="21"/>
      <c r="E16" s="24"/>
      <c r="F16" s="35"/>
      <c r="G16" s="28"/>
      <c r="H16" s="31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8"/>
      <c r="D17" s="21"/>
      <c r="E17" s="25"/>
      <c r="F17" s="35"/>
      <c r="G17" s="42"/>
      <c r="H17" s="45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6"/>
      <c r="D18" s="18"/>
      <c r="E18" s="15"/>
      <c r="F18" s="14"/>
      <c r="G18" s="47"/>
      <c r="H18" s="22"/>
      <c r="I18" s="14"/>
      <c r="J18" s="14"/>
      <c r="K18" s="14"/>
      <c r="L18" s="14"/>
      <c r="M18" s="14"/>
      <c r="N18" s="73"/>
      <c r="O18" s="73"/>
      <c r="P18" s="73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4">
        <f t="shared" ref="G19:H19" si="1">SUM(G4:G18)</f>
        <v>0</v>
      </c>
      <c r="H19" s="56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8" t="s">
        <v>0</v>
      </c>
      <c r="C22" s="59" t="s">
        <v>6</v>
      </c>
      <c r="D22" s="59" t="s">
        <v>48</v>
      </c>
      <c r="E22" s="1"/>
      <c r="F22" s="1"/>
      <c r="G22" s="1"/>
      <c r="H22" s="1"/>
      <c r="I22" s="1"/>
      <c r="J22" s="1"/>
      <c r="K22" s="1"/>
      <c r="L22" s="1"/>
      <c r="M22" s="1"/>
      <c r="N22" s="59" t="s">
        <v>51</v>
      </c>
      <c r="O22" s="59" t="s">
        <v>1</v>
      </c>
      <c r="P22" s="1"/>
      <c r="Q22" s="1"/>
      <c r="R22" s="1"/>
    </row>
    <row r="23" ht="15.75" customHeight="1">
      <c r="A23" s="1"/>
      <c r="B23" s="62">
        <v>1.0</v>
      </c>
      <c r="C23" s="63" t="s">
        <v>53</v>
      </c>
      <c r="D23" s="64">
        <f>SUM(G19)</f>
        <v>0</v>
      </c>
      <c r="E23" s="65"/>
      <c r="F23" s="1"/>
      <c r="G23" s="1"/>
      <c r="H23" s="1"/>
      <c r="I23" s="1"/>
      <c r="J23" s="1"/>
      <c r="K23" s="1"/>
      <c r="L23" s="1"/>
      <c r="M23" s="1"/>
      <c r="N23" s="66" t="s">
        <v>54</v>
      </c>
      <c r="O23" s="26"/>
      <c r="P23" s="1"/>
      <c r="Q23" s="1"/>
      <c r="R23" s="1"/>
    </row>
    <row r="24" ht="15.75" customHeight="1">
      <c r="A24" s="1"/>
      <c r="B24" s="67">
        <v>2.0</v>
      </c>
      <c r="C24" s="70"/>
      <c r="D24" s="72"/>
      <c r="E24" s="65"/>
      <c r="F24" s="1"/>
      <c r="G24" s="1"/>
      <c r="H24" s="1"/>
      <c r="I24" s="1"/>
      <c r="J24" s="1"/>
      <c r="K24" s="1"/>
      <c r="L24" s="1"/>
      <c r="M24" s="1"/>
      <c r="N24" s="71" t="s">
        <v>55</v>
      </c>
      <c r="O24" s="73"/>
      <c r="P24" s="1"/>
      <c r="Q24" s="1"/>
      <c r="R24" s="1"/>
    </row>
    <row r="25" ht="15.75" customHeight="1">
      <c r="A25" s="1"/>
      <c r="B25" s="62">
        <v>3.0</v>
      </c>
      <c r="C25" s="74"/>
      <c r="D25" s="75"/>
      <c r="E25" s="65"/>
      <c r="F25" s="1"/>
      <c r="G25" s="1"/>
      <c r="H25" s="1"/>
      <c r="I25" s="1"/>
      <c r="J25" s="1"/>
      <c r="K25" s="1"/>
      <c r="L25" s="1"/>
      <c r="M25" s="1"/>
      <c r="N25" s="76" t="s">
        <v>56</v>
      </c>
      <c r="O25" s="34"/>
      <c r="P25" s="1"/>
      <c r="Q25" s="1"/>
      <c r="R25" s="1"/>
    </row>
    <row r="26" ht="15.75" customHeight="1">
      <c r="A26" s="1"/>
      <c r="B26" s="67">
        <v>4.0</v>
      </c>
      <c r="C26" s="68"/>
      <c r="D26" s="69"/>
      <c r="E26" s="65"/>
      <c r="F26" s="1"/>
      <c r="G26" s="1"/>
      <c r="H26" s="1"/>
      <c r="I26" s="1"/>
      <c r="J26" s="1"/>
      <c r="K26" s="1"/>
      <c r="L26" s="1"/>
      <c r="M26" s="1"/>
      <c r="N26" s="77" t="s">
        <v>57</v>
      </c>
      <c r="O26" s="73"/>
      <c r="P26" s="1"/>
      <c r="Q26" s="1"/>
      <c r="R26" s="1"/>
    </row>
    <row r="27" ht="15.75" customHeight="1">
      <c r="A27" s="1"/>
      <c r="B27" s="62">
        <v>5.0</v>
      </c>
      <c r="C27" s="63"/>
      <c r="D27" s="64"/>
      <c r="E27" s="65"/>
      <c r="F27" s="79"/>
      <c r="G27" s="2"/>
      <c r="H27" s="1"/>
      <c r="I27" s="1"/>
      <c r="J27" s="1"/>
      <c r="K27" s="1"/>
      <c r="L27" s="1"/>
      <c r="M27" s="1"/>
      <c r="N27" s="78"/>
      <c r="O27" s="1"/>
      <c r="P27" s="1"/>
      <c r="Q27" s="1"/>
      <c r="R27" s="1"/>
    </row>
    <row r="28" ht="15.75" customHeight="1">
      <c r="A28" s="1"/>
      <c r="B28" s="67">
        <v>6.0</v>
      </c>
      <c r="C28" s="68"/>
      <c r="D28" s="69"/>
      <c r="E28" s="65"/>
      <c r="F28" s="1"/>
      <c r="G28" s="1"/>
      <c r="H28" s="1"/>
      <c r="I28" s="1"/>
      <c r="J28" s="1"/>
      <c r="K28" s="80" t="s">
        <v>58</v>
      </c>
      <c r="Q28" s="1"/>
      <c r="R28" s="1"/>
    </row>
    <row r="29" ht="15.75" customHeight="1">
      <c r="A29" s="1"/>
      <c r="B29" s="62">
        <v>7.0</v>
      </c>
      <c r="C29" s="63"/>
      <c r="D29" s="64"/>
      <c r="E29" s="65"/>
      <c r="F29" s="1"/>
      <c r="G29" s="1"/>
      <c r="H29" s="1"/>
      <c r="I29" s="1"/>
      <c r="J29" s="1"/>
      <c r="K29" s="82" t="s">
        <v>1</v>
      </c>
      <c r="L29" s="82" t="s">
        <v>59</v>
      </c>
      <c r="M29" s="82" t="s">
        <v>60</v>
      </c>
      <c r="N29" s="82" t="s">
        <v>61</v>
      </c>
      <c r="O29" s="82" t="s">
        <v>62</v>
      </c>
      <c r="P29" s="82" t="s">
        <v>63</v>
      </c>
      <c r="Q29" s="1"/>
      <c r="R29" s="1"/>
      <c r="AC29" s="83" t="s">
        <v>64</v>
      </c>
      <c r="AD29" s="83" t="s">
        <v>65</v>
      </c>
      <c r="AE29" s="83" t="s">
        <v>66</v>
      </c>
      <c r="AF29" s="83" t="s">
        <v>67</v>
      </c>
      <c r="AG29" s="83" t="s">
        <v>68</v>
      </c>
    </row>
    <row r="30" ht="15.75" customHeight="1">
      <c r="A30" s="1"/>
      <c r="B30" s="67">
        <v>8.0</v>
      </c>
      <c r="C30" s="68"/>
      <c r="D30" s="69"/>
      <c r="E30" s="65"/>
      <c r="F30" s="1"/>
      <c r="G30" s="1"/>
      <c r="H30" s="1"/>
      <c r="I30" s="1"/>
      <c r="J30" s="1"/>
      <c r="K30" s="86" t="str">
        <f t="shared" ref="K30:K33" si="2">IF(O23="","",O23)</f>
        <v/>
      </c>
      <c r="L30" s="87"/>
      <c r="M30" s="87"/>
      <c r="N30" s="87"/>
      <c r="O30" s="87"/>
      <c r="P30" s="87"/>
      <c r="Q30" s="1"/>
      <c r="R30" s="1"/>
      <c r="AC30" s="83" t="str">
        <f t="shared" ref="AC30:AC35" si="3">IF(AG30="","",IF(COUNT(L30:P30)&lt;5,"",L30/5*20+M30/5*25+N30/5*25+O30/5*15+P30/5*15))</f>
        <v/>
      </c>
      <c r="AD30" s="83" t="str">
        <f t="shared" ref="AD30:AD35" si="4">IF(AC30="","",IF(AC30&gt;=90,"Sangat Baik",IF(AC30&gt;=80,"Baik",IF(AC30&gt;=70,"Coaching","Underperform"))))</f>
        <v/>
      </c>
      <c r="AE30" s="83" t="str">
        <f t="shared" ref="AE30:AE35" si="5">IF(AG30="","",IF(OR(AG30="INDAH",AG30="ADDEL",AG30="AMEL",AG30="PENTIL",AG30="JIJANG"),"Admin/CS","Fotografer"))</f>
        <v/>
      </c>
      <c r="AF30" s="83" t="str">
        <f t="shared" ref="AF30:AF35" si="6">IF(OR(AG30="",COUNT(L30:P30)&lt;5),"",1)</f>
        <v/>
      </c>
      <c r="AG30" s="83" t="str">
        <f t="shared" ref="AG30:AG35" si="7">IFERROR(K30,"")</f>
        <v/>
      </c>
    </row>
    <row r="31" ht="15.75" customHeight="1">
      <c r="A31" s="1"/>
      <c r="B31" s="62">
        <v>9.0</v>
      </c>
      <c r="C31" s="63"/>
      <c r="D31" s="64"/>
      <c r="E31" s="65"/>
      <c r="F31" s="1"/>
      <c r="G31" s="1"/>
      <c r="H31" s="1"/>
      <c r="I31" s="1"/>
      <c r="J31" s="1"/>
      <c r="K31" s="86" t="str">
        <f t="shared" si="2"/>
        <v/>
      </c>
      <c r="L31" s="87"/>
      <c r="M31" s="87"/>
      <c r="N31" s="87"/>
      <c r="O31" s="87"/>
      <c r="P31" s="87"/>
      <c r="Q31" s="1"/>
      <c r="R31" s="1"/>
      <c r="AC31" s="83" t="str">
        <f t="shared" si="3"/>
        <v/>
      </c>
      <c r="AD31" s="83" t="str">
        <f t="shared" si="4"/>
        <v/>
      </c>
      <c r="AE31" s="83" t="str">
        <f t="shared" si="5"/>
        <v/>
      </c>
      <c r="AF31" s="83" t="str">
        <f t="shared" si="6"/>
        <v/>
      </c>
      <c r="AG31" s="83" t="str">
        <f t="shared" si="7"/>
        <v/>
      </c>
    </row>
    <row r="32" ht="15.75" customHeight="1">
      <c r="A32" s="1"/>
      <c r="B32" s="67">
        <v>10.0</v>
      </c>
      <c r="C32" s="68"/>
      <c r="D32" s="69"/>
      <c r="E32" s="65"/>
      <c r="F32" s="1"/>
      <c r="G32" s="1"/>
      <c r="H32" s="1"/>
      <c r="I32" s="1"/>
      <c r="J32" s="1"/>
      <c r="K32" s="86" t="str">
        <f t="shared" si="2"/>
        <v/>
      </c>
      <c r="L32" s="87"/>
      <c r="M32" s="87"/>
      <c r="N32" s="87"/>
      <c r="O32" s="87"/>
      <c r="P32" s="87"/>
      <c r="Q32" s="1"/>
      <c r="R32" s="1"/>
      <c r="AC32" s="83" t="str">
        <f t="shared" si="3"/>
        <v/>
      </c>
      <c r="AD32" s="83" t="str">
        <f t="shared" si="4"/>
        <v/>
      </c>
      <c r="AE32" s="83" t="str">
        <f t="shared" si="5"/>
        <v/>
      </c>
      <c r="AF32" s="83" t="str">
        <f t="shared" si="6"/>
        <v/>
      </c>
      <c r="AG32" s="83" t="str">
        <f t="shared" si="7"/>
        <v/>
      </c>
    </row>
    <row r="33" ht="15.75" customHeight="1">
      <c r="A33" s="1"/>
      <c r="B33" s="88">
        <v>11.0</v>
      </c>
      <c r="C33" s="89"/>
      <c r="D33" s="90"/>
      <c r="E33" s="65"/>
      <c r="F33" s="1"/>
      <c r="G33" s="1"/>
      <c r="H33" s="1"/>
      <c r="I33" s="1"/>
      <c r="J33" s="1"/>
      <c r="K33" s="86" t="str">
        <f t="shared" si="2"/>
        <v/>
      </c>
      <c r="L33" s="87"/>
      <c r="M33" s="87"/>
      <c r="N33" s="87"/>
      <c r="O33" s="87"/>
      <c r="P33" s="87"/>
      <c r="Q33" s="1"/>
      <c r="R33" s="1"/>
      <c r="AC33" s="83" t="str">
        <f t="shared" si="3"/>
        <v/>
      </c>
      <c r="AD33" s="83" t="str">
        <f t="shared" si="4"/>
        <v/>
      </c>
      <c r="AE33" s="83" t="str">
        <f t="shared" si="5"/>
        <v/>
      </c>
      <c r="AF33" s="83" t="str">
        <f t="shared" si="6"/>
        <v/>
      </c>
      <c r="AG33" s="83" t="str">
        <f t="shared" si="7"/>
        <v/>
      </c>
    </row>
    <row r="34" ht="15.75" customHeight="1">
      <c r="A34" s="1"/>
      <c r="B34" s="1"/>
      <c r="C34" s="2"/>
      <c r="D34" s="91">
        <f>SUM(D23:D33)</f>
        <v>0</v>
      </c>
      <c r="E34" s="1"/>
      <c r="F34" s="1"/>
      <c r="G34" s="1"/>
      <c r="H34" s="1"/>
      <c r="I34" s="1"/>
      <c r="J34" s="1"/>
      <c r="K34" s="86"/>
      <c r="L34" s="87"/>
      <c r="M34" s="87"/>
      <c r="N34" s="87"/>
      <c r="O34" s="87"/>
      <c r="P34" s="87"/>
      <c r="Q34" s="1"/>
      <c r="R34" s="1"/>
      <c r="AC34" s="83" t="str">
        <f t="shared" si="3"/>
        <v/>
      </c>
      <c r="AD34" s="83" t="str">
        <f t="shared" si="4"/>
        <v/>
      </c>
      <c r="AE34" s="83" t="str">
        <f t="shared" si="5"/>
        <v/>
      </c>
      <c r="AF34" s="83" t="str">
        <f t="shared" si="6"/>
        <v/>
      </c>
      <c r="AG34" s="83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6"/>
      <c r="L35" s="87"/>
      <c r="M35" s="87"/>
      <c r="N35" s="87"/>
      <c r="O35" s="87"/>
      <c r="P35" s="87"/>
      <c r="Q35" s="1"/>
      <c r="R35" s="1"/>
      <c r="AC35" s="83" t="str">
        <f t="shared" si="3"/>
        <v/>
      </c>
      <c r="AD35" s="83" t="str">
        <f t="shared" si="4"/>
        <v/>
      </c>
      <c r="AE35" s="83" t="str">
        <f t="shared" si="5"/>
        <v/>
      </c>
      <c r="AF35" s="83" t="str">
        <f t="shared" si="6"/>
        <v/>
      </c>
      <c r="AG35" s="83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2" t="s">
        <v>69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 t="s">
        <v>70</v>
      </c>
      <c r="N38" s="1"/>
      <c r="O38" s="1"/>
      <c r="P38" s="1"/>
      <c r="Q38" s="1"/>
      <c r="R38" s="1"/>
    </row>
    <row r="39" ht="15.75" customHeight="1">
      <c r="K39" s="94" t="s">
        <v>7</v>
      </c>
      <c r="L39" s="94" t="s">
        <v>71</v>
      </c>
      <c r="M39" s="94" t="s">
        <v>72</v>
      </c>
    </row>
    <row r="40" ht="15.75" customHeight="1">
      <c r="K40" s="95" t="str">
        <f t="shared" ref="K40:K41" si="8">IF(O23="","",O23)</f>
        <v/>
      </c>
      <c r="L40" s="97"/>
      <c r="M40" s="97"/>
    </row>
    <row r="41" ht="15.75" customHeight="1">
      <c r="K41" s="95" t="str">
        <f t="shared" si="8"/>
        <v/>
      </c>
      <c r="L41" s="97">
        <v>4.0</v>
      </c>
      <c r="M41" s="97"/>
    </row>
    <row r="42" ht="15.75" customHeight="1"/>
    <row r="43" ht="19.5" customHeight="1">
      <c r="K43" s="99" t="s">
        <v>74</v>
      </c>
    </row>
    <row r="44" ht="19.5" customHeight="1">
      <c r="K44" s="100" t="s">
        <v>75</v>
      </c>
      <c r="M44" s="97">
        <v>49.0</v>
      </c>
    </row>
    <row r="45" ht="19.5" customHeight="1">
      <c r="K45" s="103" t="s">
        <v>77</v>
      </c>
      <c r="M45" s="105">
        <f>COUNTIF($I$4:$I$21,"DP")</f>
        <v>0</v>
      </c>
    </row>
    <row r="46" ht="19.5" customHeight="1">
      <c r="K46" s="103" t="s">
        <v>78</v>
      </c>
      <c r="M46" s="105">
        <f>COUNTIFS($I$4:$I$21,"&lt;&gt;DP",$I$4:$I$21,"&lt;&gt;")</f>
        <v>0</v>
      </c>
    </row>
    <row r="47" ht="19.5" customHeight="1">
      <c r="K47" s="106" t="s">
        <v>79</v>
      </c>
      <c r="M47" s="105">
        <f>M45+M46</f>
        <v>0</v>
      </c>
    </row>
    <row r="48" ht="19.5" customHeight="1">
      <c r="K48" s="100" t="s">
        <v>80</v>
      </c>
      <c r="M48" s="10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5"/>
      <c r="F4" s="114"/>
      <c r="G4" s="29"/>
      <c r="H4" s="115"/>
      <c r="I4" s="15"/>
      <c r="J4" s="15"/>
      <c r="K4" s="15"/>
      <c r="L4" s="15"/>
      <c r="M4" s="15"/>
      <c r="N4" s="14"/>
      <c r="O4" s="14"/>
      <c r="P4" s="19"/>
      <c r="Q4" s="1"/>
      <c r="R4" s="1"/>
    </row>
    <row r="5" ht="15.75" customHeight="1">
      <c r="A5" s="1"/>
      <c r="B5" s="14">
        <v>2.0</v>
      </c>
      <c r="C5" s="18"/>
      <c r="D5" s="21"/>
      <c r="E5" s="25"/>
      <c r="F5" s="114"/>
      <c r="G5" s="29"/>
      <c r="H5" s="115"/>
      <c r="I5" s="15"/>
      <c r="J5" s="15"/>
      <c r="K5" s="15"/>
      <c r="L5" s="15"/>
      <c r="M5" s="15"/>
      <c r="N5" s="14"/>
      <c r="O5" s="14"/>
      <c r="P5" s="14"/>
      <c r="Q5" s="1"/>
      <c r="R5" s="1"/>
    </row>
    <row r="6" ht="15.75" customHeight="1">
      <c r="A6" s="1"/>
      <c r="B6" s="14">
        <v>3.0</v>
      </c>
      <c r="C6" s="18"/>
      <c r="D6" s="21"/>
      <c r="E6" s="25"/>
      <c r="F6" s="35"/>
      <c r="G6" s="29"/>
      <c r="H6" s="115"/>
      <c r="I6" s="15"/>
      <c r="J6" s="15"/>
      <c r="K6" s="15"/>
      <c r="L6" s="15"/>
      <c r="M6" s="15"/>
      <c r="N6" s="14"/>
      <c r="O6" s="14"/>
      <c r="P6" s="14"/>
      <c r="Q6" s="1"/>
      <c r="R6" s="1"/>
    </row>
    <row r="7" ht="15.75" customHeight="1">
      <c r="A7" s="1"/>
      <c r="B7" s="14">
        <v>4.0</v>
      </c>
      <c r="C7" s="18"/>
      <c r="D7" s="21"/>
      <c r="E7" s="25"/>
      <c r="F7" s="35"/>
      <c r="G7" s="29"/>
      <c r="H7" s="115"/>
      <c r="I7" s="15"/>
      <c r="J7" s="15"/>
      <c r="K7" s="15"/>
      <c r="L7" s="15"/>
      <c r="M7" s="15"/>
      <c r="N7" s="14"/>
      <c r="O7" s="14"/>
      <c r="P7" s="14"/>
      <c r="Q7" s="1"/>
      <c r="R7" s="1"/>
    </row>
    <row r="8" ht="15.75" customHeight="1">
      <c r="A8" s="1"/>
      <c r="B8" s="14">
        <v>5.0</v>
      </c>
      <c r="C8" s="18"/>
      <c r="D8" s="21"/>
      <c r="E8" s="25"/>
      <c r="F8" s="15"/>
      <c r="G8" s="38"/>
      <c r="H8" s="116"/>
      <c r="I8" s="15"/>
      <c r="J8" s="15"/>
      <c r="K8" s="15"/>
      <c r="L8" s="15"/>
      <c r="M8" s="15"/>
      <c r="N8" s="14"/>
      <c r="O8" s="14"/>
      <c r="P8" s="14"/>
      <c r="Q8" s="1"/>
      <c r="R8" s="1"/>
      <c r="S8" s="39"/>
    </row>
    <row r="9" ht="15.75" customHeight="1">
      <c r="A9" s="1"/>
      <c r="B9" s="14">
        <v>6.0</v>
      </c>
      <c r="C9" s="18"/>
      <c r="D9" s="21"/>
      <c r="E9" s="50"/>
      <c r="F9" s="15"/>
      <c r="G9" s="29"/>
      <c r="H9" s="115"/>
      <c r="I9" s="15"/>
      <c r="J9" s="15"/>
      <c r="K9" s="15"/>
      <c r="L9" s="15"/>
      <c r="M9" s="15"/>
      <c r="N9" s="14"/>
      <c r="O9" s="14"/>
      <c r="P9" s="14"/>
      <c r="Q9" s="1"/>
      <c r="R9" s="1"/>
      <c r="S9" s="39"/>
    </row>
    <row r="10" ht="15.75" customHeight="1">
      <c r="A10" s="1"/>
      <c r="B10" s="14">
        <v>7.0</v>
      </c>
      <c r="C10" s="18"/>
      <c r="D10" s="21"/>
      <c r="E10" s="50"/>
      <c r="F10" s="15"/>
      <c r="G10" s="29"/>
      <c r="H10" s="115"/>
      <c r="I10" s="15"/>
      <c r="J10" s="15"/>
      <c r="K10" s="15"/>
      <c r="L10" s="15"/>
      <c r="M10" s="15"/>
      <c r="N10" s="14"/>
      <c r="O10" s="14"/>
      <c r="P10" s="14"/>
      <c r="Q10" s="1"/>
      <c r="R10" s="1"/>
      <c r="S10" s="39"/>
      <c r="U10" s="39"/>
    </row>
    <row r="11" ht="15.75" customHeight="1">
      <c r="A11" s="1"/>
      <c r="B11" s="14">
        <v>8.0</v>
      </c>
      <c r="C11" s="18"/>
      <c r="D11" s="21"/>
      <c r="E11" s="25"/>
      <c r="F11" s="15"/>
      <c r="G11" s="29"/>
      <c r="H11" s="115"/>
      <c r="I11" s="15"/>
      <c r="J11" s="15"/>
      <c r="K11" s="15"/>
      <c r="L11" s="15"/>
      <c r="M11" s="15"/>
      <c r="N11" s="14"/>
      <c r="O11" s="14"/>
      <c r="P11" s="14"/>
      <c r="Q11" s="1"/>
      <c r="R11" s="1"/>
      <c r="S11" s="39"/>
      <c r="U11" s="39"/>
    </row>
    <row r="12" ht="15.75" customHeight="1">
      <c r="A12" s="1"/>
      <c r="B12" s="14">
        <v>9.0</v>
      </c>
      <c r="C12" s="18"/>
      <c r="D12" s="21"/>
      <c r="E12" s="25"/>
      <c r="F12" s="15"/>
      <c r="G12" s="29"/>
      <c r="H12" s="115"/>
      <c r="I12" s="15"/>
      <c r="J12" s="15"/>
      <c r="K12" s="15"/>
      <c r="L12" s="15"/>
      <c r="M12" s="15"/>
      <c r="N12" s="14"/>
      <c r="O12" s="14"/>
      <c r="P12" s="14"/>
      <c r="Q12" s="1"/>
      <c r="R12" s="1"/>
      <c r="S12" s="39"/>
      <c r="U12" s="39"/>
    </row>
    <row r="13" ht="15.75" customHeight="1">
      <c r="A13" s="1"/>
      <c r="B13" s="14">
        <v>10.0</v>
      </c>
      <c r="C13" s="15"/>
      <c r="D13" s="21"/>
      <c r="E13" s="25"/>
      <c r="F13" s="15"/>
      <c r="G13" s="29"/>
      <c r="H13" s="115"/>
      <c r="I13" s="15"/>
      <c r="J13" s="15"/>
      <c r="K13" s="15"/>
      <c r="L13" s="15"/>
      <c r="M13" s="15"/>
      <c r="N13" s="14"/>
      <c r="O13" s="14"/>
      <c r="P13" s="14"/>
      <c r="Q13" s="1"/>
      <c r="R13" s="1"/>
      <c r="S13" s="39"/>
      <c r="U13" s="39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70"/>
      <c r="D19" s="72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74"/>
      <c r="D20" s="75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5"/>
      <c r="F4" s="15"/>
      <c r="G4" s="29"/>
      <c r="H4" s="115"/>
      <c r="I4" s="15"/>
      <c r="J4" s="15"/>
      <c r="K4" s="15"/>
      <c r="L4" s="15"/>
      <c r="M4" s="15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8"/>
      <c r="D5" s="21"/>
      <c r="E5" s="50"/>
      <c r="F5" s="15"/>
      <c r="G5" s="29"/>
      <c r="H5" s="115"/>
      <c r="I5" s="15"/>
      <c r="J5" s="15"/>
      <c r="K5" s="15"/>
      <c r="L5" s="15"/>
      <c r="M5" s="15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8"/>
      <c r="D6" s="21"/>
      <c r="E6" s="25"/>
      <c r="F6" s="15"/>
      <c r="G6" s="29"/>
      <c r="H6" s="115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8"/>
      <c r="D7" s="21"/>
      <c r="E7" s="25"/>
      <c r="F7" s="15"/>
      <c r="G7" s="29"/>
      <c r="H7" s="115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8"/>
      <c r="D8" s="21"/>
      <c r="E8" s="25"/>
      <c r="F8" s="15"/>
      <c r="G8" s="29"/>
      <c r="H8" s="115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8"/>
      <c r="D9" s="21"/>
      <c r="E9" s="25"/>
      <c r="F9" s="15"/>
      <c r="G9" s="29"/>
      <c r="H9" s="115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8"/>
      <c r="D10" s="21"/>
      <c r="E10" s="25"/>
      <c r="F10" s="15"/>
      <c r="G10" s="38"/>
      <c r="H10" s="116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8"/>
      <c r="D11" s="21"/>
      <c r="E11" s="25"/>
      <c r="F11" s="15"/>
      <c r="G11" s="38"/>
      <c r="H11" s="116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8"/>
      <c r="D12" s="21"/>
      <c r="E12" s="25"/>
      <c r="F12" s="15"/>
      <c r="G12" s="38"/>
      <c r="H12" s="116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8"/>
      <c r="D13" s="21"/>
      <c r="E13" s="25"/>
      <c r="F13" s="15"/>
      <c r="G13" s="29"/>
      <c r="H13" s="115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70"/>
      <c r="D19" s="72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74"/>
      <c r="D20" s="75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4"/>
      <c r="F4" s="15"/>
      <c r="G4" s="28"/>
      <c r="H4" s="31"/>
      <c r="I4" s="15"/>
      <c r="J4" s="33"/>
      <c r="K4" s="33"/>
      <c r="L4" s="15"/>
      <c r="M4" s="33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8"/>
      <c r="D5" s="21"/>
      <c r="E5" s="24"/>
      <c r="F5" s="15"/>
      <c r="G5" s="28"/>
      <c r="H5" s="31"/>
      <c r="I5" s="15"/>
      <c r="J5" s="33"/>
      <c r="K5" s="33"/>
      <c r="L5" s="15"/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8"/>
      <c r="D6" s="21"/>
      <c r="E6" s="24"/>
      <c r="F6" s="15"/>
      <c r="G6" s="42"/>
      <c r="H6" s="31"/>
      <c r="I6" s="15"/>
      <c r="J6" s="15"/>
      <c r="K6" s="15"/>
      <c r="L6" s="15"/>
      <c r="M6" s="15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8"/>
      <c r="D7" s="21"/>
      <c r="E7" s="25"/>
      <c r="F7" s="15"/>
      <c r="G7" s="28"/>
      <c r="H7" s="31"/>
      <c r="I7" s="15"/>
      <c r="J7" s="33"/>
      <c r="K7" s="33"/>
      <c r="L7" s="15"/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8"/>
      <c r="D8" s="21"/>
      <c r="E8" s="24"/>
      <c r="F8" s="15"/>
      <c r="G8" s="28"/>
      <c r="H8" s="31"/>
      <c r="I8" s="15"/>
      <c r="J8" s="33"/>
      <c r="K8" s="33"/>
      <c r="L8" s="15"/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8"/>
      <c r="D9" s="21"/>
      <c r="E9" s="24"/>
      <c r="F9" s="15"/>
      <c r="G9" s="28"/>
      <c r="H9" s="31"/>
      <c r="I9" s="15"/>
      <c r="J9" s="33"/>
      <c r="K9" s="33"/>
      <c r="L9" s="15"/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8"/>
      <c r="D10" s="21"/>
      <c r="E10" s="25"/>
      <c r="F10" s="15"/>
      <c r="G10" s="42"/>
      <c r="H10" s="45"/>
      <c r="I10" s="15"/>
      <c r="J10" s="33"/>
      <c r="K10" s="33"/>
      <c r="L10" s="15"/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8"/>
      <c r="D11" s="21"/>
      <c r="E11" s="24"/>
      <c r="F11" s="15"/>
      <c r="G11" s="42"/>
      <c r="H11" s="45"/>
      <c r="I11" s="15"/>
      <c r="J11" s="33"/>
      <c r="K11" s="33"/>
      <c r="L11" s="15"/>
      <c r="M11" s="33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8"/>
      <c r="D12" s="21"/>
      <c r="E12" s="24"/>
      <c r="F12" s="15"/>
      <c r="G12" s="28"/>
      <c r="H12" s="31"/>
      <c r="I12" s="15"/>
      <c r="J12" s="15"/>
      <c r="K12" s="15"/>
      <c r="L12" s="15"/>
      <c r="M12" s="15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8"/>
      <c r="D13" s="21"/>
      <c r="E13" s="25"/>
      <c r="F13" s="46"/>
      <c r="G13" s="28"/>
      <c r="H13" s="31"/>
      <c r="I13" s="15"/>
      <c r="J13" s="15"/>
      <c r="K13" s="15"/>
      <c r="L13" s="15"/>
      <c r="M13" s="15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70"/>
      <c r="D19" s="72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74"/>
      <c r="D20" s="75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70"/>
      <c r="D21" s="72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74"/>
      <c r="D22" s="75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4"/>
      <c r="F4" s="15"/>
      <c r="G4" s="28"/>
      <c r="H4" s="31"/>
      <c r="I4" s="15"/>
      <c r="J4" s="33"/>
      <c r="K4" s="33"/>
      <c r="L4" s="15"/>
      <c r="M4" s="15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8"/>
      <c r="D5" s="21"/>
      <c r="E5" s="24"/>
      <c r="F5" s="15"/>
      <c r="G5" s="28"/>
      <c r="H5" s="31"/>
      <c r="I5" s="15"/>
      <c r="J5" s="33"/>
      <c r="K5" s="33"/>
      <c r="L5" s="15"/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8"/>
      <c r="D6" s="21"/>
      <c r="E6" s="24"/>
      <c r="F6" s="15"/>
      <c r="G6" s="28"/>
      <c r="H6" s="31"/>
      <c r="I6" s="15"/>
      <c r="J6" s="33"/>
      <c r="K6" s="33"/>
      <c r="L6" s="15"/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8"/>
      <c r="D7" s="21"/>
      <c r="E7" s="25"/>
      <c r="F7" s="15"/>
      <c r="G7" s="28"/>
      <c r="H7" s="31"/>
      <c r="I7" s="15"/>
      <c r="J7" s="15"/>
      <c r="K7" s="15"/>
      <c r="L7" s="15"/>
      <c r="M7" s="15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8"/>
      <c r="D8" s="21"/>
      <c r="E8" s="24"/>
      <c r="F8" s="15"/>
      <c r="G8" s="28"/>
      <c r="H8" s="31"/>
      <c r="I8" s="15"/>
      <c r="J8" s="33"/>
      <c r="K8" s="33"/>
      <c r="L8" s="15"/>
      <c r="M8" s="33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8"/>
      <c r="D9" s="21"/>
      <c r="E9" s="24"/>
      <c r="F9" s="15"/>
      <c r="G9" s="28"/>
      <c r="H9" s="31"/>
      <c r="I9" s="15"/>
      <c r="J9" s="33"/>
      <c r="K9" s="33"/>
      <c r="L9" s="15"/>
      <c r="M9" s="33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8"/>
      <c r="D10" s="21"/>
      <c r="E10" s="24"/>
      <c r="F10" s="15"/>
      <c r="G10" s="28"/>
      <c r="H10" s="31"/>
      <c r="I10" s="15"/>
      <c r="J10" s="33"/>
      <c r="K10" s="33"/>
      <c r="L10" s="15"/>
      <c r="M10" s="33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8"/>
      <c r="D11" s="21"/>
      <c r="E11" s="24"/>
      <c r="F11" s="35"/>
      <c r="G11" s="28"/>
      <c r="H11" s="31"/>
      <c r="I11" s="15"/>
      <c r="J11" s="33"/>
      <c r="K11" s="33"/>
      <c r="L11" s="15"/>
      <c r="M11" s="33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8"/>
      <c r="D12" s="21"/>
      <c r="E12" s="24"/>
      <c r="F12" s="35"/>
      <c r="G12" s="28"/>
      <c r="H12" s="31"/>
      <c r="I12" s="15"/>
      <c r="J12" s="33"/>
      <c r="K12" s="33"/>
      <c r="L12" s="15"/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8"/>
      <c r="D13" s="21"/>
      <c r="E13" s="24"/>
      <c r="F13" s="35"/>
      <c r="G13" s="28"/>
      <c r="H13" s="31"/>
      <c r="I13" s="15"/>
      <c r="J13" s="15"/>
      <c r="K13" s="15"/>
      <c r="L13" s="15"/>
      <c r="M13" s="33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70"/>
      <c r="D19" s="72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74"/>
      <c r="D20" s="75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/>
    </row>
    <row r="41" ht="19.5" customHeight="1">
      <c r="K41" s="103" t="s">
        <v>78</v>
      </c>
      <c r="M41" s="105"/>
    </row>
    <row r="42" ht="19.5" customHeight="1">
      <c r="K42" s="106" t="s">
        <v>79</v>
      </c>
      <c r="M42" s="105"/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9"/>
      <c r="D4" s="21"/>
      <c r="E4" s="24"/>
      <c r="F4" s="15"/>
      <c r="G4" s="28"/>
      <c r="H4" s="31"/>
      <c r="I4" s="15"/>
      <c r="J4" s="15"/>
      <c r="K4" s="15"/>
      <c r="L4" s="15"/>
      <c r="M4" s="33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5"/>
      <c r="D5" s="21"/>
      <c r="E5" s="24"/>
      <c r="F5" s="15"/>
      <c r="G5" s="28"/>
      <c r="H5" s="31"/>
      <c r="I5" s="15"/>
      <c r="J5" s="15"/>
      <c r="K5" s="15"/>
      <c r="L5" s="15"/>
      <c r="M5" s="33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9"/>
      <c r="D6" s="21"/>
      <c r="E6" s="24"/>
      <c r="F6" s="15"/>
      <c r="G6" s="28"/>
      <c r="H6" s="31"/>
      <c r="I6" s="15"/>
      <c r="J6" s="15"/>
      <c r="K6" s="15"/>
      <c r="L6" s="118"/>
      <c r="M6" s="33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8"/>
      <c r="D7" s="21"/>
      <c r="E7" s="25"/>
      <c r="F7" s="15"/>
      <c r="G7" s="28"/>
      <c r="H7" s="31"/>
      <c r="I7" s="15"/>
      <c r="J7" s="15"/>
      <c r="K7" s="15"/>
      <c r="L7" s="15"/>
      <c r="M7" s="33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8"/>
      <c r="D8" s="21"/>
      <c r="E8" s="24"/>
      <c r="F8" s="15"/>
      <c r="G8" s="28"/>
      <c r="H8" s="31"/>
      <c r="I8" s="15"/>
      <c r="J8" s="15"/>
      <c r="K8" s="15"/>
      <c r="L8" s="15"/>
      <c r="M8" s="15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8"/>
      <c r="D9" s="21"/>
      <c r="E9" s="24"/>
      <c r="F9" s="15"/>
      <c r="G9" s="28"/>
      <c r="H9" s="31"/>
      <c r="I9" s="15"/>
      <c r="J9" s="15"/>
      <c r="K9" s="15"/>
      <c r="L9" s="15"/>
      <c r="M9" s="15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8"/>
      <c r="D10" s="21"/>
      <c r="E10" s="24"/>
      <c r="F10" s="15"/>
      <c r="G10" s="28"/>
      <c r="H10" s="31"/>
      <c r="I10" s="15"/>
      <c r="J10" s="15"/>
      <c r="K10" s="15"/>
      <c r="L10" s="15"/>
      <c r="M10" s="15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8"/>
      <c r="D11" s="21"/>
      <c r="E11" s="24"/>
      <c r="F11" s="15"/>
      <c r="G11" s="42"/>
      <c r="H11" s="45"/>
      <c r="I11" s="15"/>
      <c r="J11" s="15"/>
      <c r="K11" s="15"/>
      <c r="L11" s="15"/>
      <c r="M11" s="15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8"/>
      <c r="D12" s="21"/>
      <c r="E12" s="24"/>
      <c r="F12" s="15"/>
      <c r="G12" s="28"/>
      <c r="H12" s="31"/>
      <c r="I12" s="15"/>
      <c r="J12" s="15"/>
      <c r="K12" s="15"/>
      <c r="L12" s="15"/>
      <c r="M12" s="33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8"/>
      <c r="D13" s="21"/>
      <c r="E13" s="24"/>
      <c r="F13" s="15"/>
      <c r="G13" s="28"/>
      <c r="H13" s="31"/>
      <c r="I13" s="15"/>
      <c r="J13" s="15"/>
      <c r="K13" s="15"/>
      <c r="L13" s="15"/>
      <c r="M13" s="33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70"/>
      <c r="D19" s="72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74"/>
      <c r="D20" s="75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4"/>
      <c r="F4" s="35"/>
      <c r="G4" s="28"/>
      <c r="H4" s="31"/>
      <c r="I4" s="15"/>
      <c r="J4" s="15"/>
      <c r="K4" s="15"/>
      <c r="L4" s="15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9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41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41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14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14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14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8"/>
      <c r="E10" s="15"/>
      <c r="F10" s="14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36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1"/>
      <c r="D12" s="18"/>
      <c r="E12" s="15"/>
      <c r="F12" s="14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14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/>
    </row>
    <row r="41" ht="19.5" customHeight="1">
      <c r="K41" s="103" t="s">
        <v>78</v>
      </c>
      <c r="M41" s="105"/>
    </row>
    <row r="42" ht="19.5" customHeight="1">
      <c r="K42" s="106" t="s">
        <v>79</v>
      </c>
      <c r="M42" s="105"/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9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41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51"/>
      <c r="D6" s="18"/>
      <c r="E6" s="15"/>
      <c r="F6" s="36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36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19"/>
      <c r="D8" s="18"/>
      <c r="E8" s="15"/>
      <c r="F8" s="36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36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36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51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41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41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41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36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36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36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36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">
        <v>81</v>
      </c>
      <c r="L35" s="97"/>
      <c r="M35" s="97"/>
      <c r="N35" s="123"/>
    </row>
    <row r="36" ht="15.75" customHeight="1">
      <c r="K36" s="95" t="s">
        <v>81</v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20"/>
      <c r="D7" s="18"/>
      <c r="E7" s="15"/>
      <c r="F7" s="14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14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14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14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14"/>
      <c r="G11" s="22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14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14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79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79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14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8"/>
      <c r="E8" s="15"/>
      <c r="F8" s="14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36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36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36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36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41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41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41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36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36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36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36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9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9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41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41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14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36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25"/>
    </row>
    <row r="41" ht="19.5" customHeight="1">
      <c r="K41" s="103" t="s">
        <v>78</v>
      </c>
      <c r="M41" s="105"/>
    </row>
    <row r="42" ht="19.5" customHeight="1">
      <c r="K42" s="106" t="s">
        <v>79</v>
      </c>
      <c r="M42" s="105"/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9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9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41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41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12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20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14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14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14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41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87"/>
      <c r="M25" s="87"/>
      <c r="N25" s="87"/>
      <c r="O25" s="87"/>
      <c r="P25" s="8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87"/>
      <c r="M26" s="87"/>
      <c r="N26" s="87"/>
      <c r="O26" s="87"/>
      <c r="P26" s="8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87"/>
      <c r="M27" s="87"/>
      <c r="N27" s="87"/>
      <c r="O27" s="87"/>
      <c r="P27" s="8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87"/>
      <c r="M28" s="87"/>
      <c r="N28" s="87"/>
      <c r="O28" s="87"/>
      <c r="P28" s="8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41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51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14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14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14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14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14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14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14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41"/>
      <c r="G4" s="47"/>
      <c r="H4" s="22"/>
      <c r="I4" s="14"/>
      <c r="J4" s="14"/>
      <c r="K4" s="14"/>
      <c r="L4" s="14"/>
      <c r="M4" s="14"/>
      <c r="N4" s="26"/>
      <c r="O4" s="26"/>
      <c r="P4" s="26"/>
      <c r="Q4" s="1"/>
      <c r="R4" s="1"/>
    </row>
    <row r="5" ht="15.75" customHeight="1">
      <c r="A5" s="1"/>
      <c r="B5" s="14">
        <v>2.0</v>
      </c>
      <c r="C5" s="16"/>
      <c r="D5" s="18"/>
      <c r="E5" s="15"/>
      <c r="F5" s="41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41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36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9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36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14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14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14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14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14"/>
      <c r="G11" s="22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14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14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9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9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36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36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36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14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14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14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36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79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4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4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41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26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</row>
    <row r="35" ht="15.75" customHeight="1">
      <c r="K35" s="95" t="str">
        <f t="shared" ref="K35:K36" si="8">IF(O18="","",O18)</f>
        <v/>
      </c>
      <c r="L35" s="97"/>
      <c r="M35" s="97"/>
    </row>
    <row r="36" ht="15.75" customHeight="1">
      <c r="K36" s="95" t="str">
        <f t="shared" si="8"/>
        <v/>
      </c>
      <c r="L36" s="97"/>
      <c r="M36" s="97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21"/>
      <c r="E4" s="24"/>
      <c r="F4" s="46"/>
      <c r="G4" s="28"/>
      <c r="H4" s="31"/>
      <c r="I4" s="15"/>
      <c r="J4" s="33"/>
      <c r="K4" s="33"/>
      <c r="L4" s="15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9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41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41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41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51"/>
      <c r="D9" s="18"/>
      <c r="E9" s="15"/>
      <c r="F9" s="41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41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41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41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41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8" t="s">
        <v>0</v>
      </c>
      <c r="C17" s="59" t="s">
        <v>6</v>
      </c>
      <c r="D17" s="59" t="s">
        <v>48</v>
      </c>
      <c r="E17" s="1"/>
      <c r="F17" s="1"/>
      <c r="G17" s="1"/>
      <c r="H17" s="1"/>
      <c r="I17" s="1"/>
      <c r="J17" s="1"/>
      <c r="K17" s="1"/>
      <c r="L17" s="1"/>
      <c r="M17" s="1"/>
      <c r="N17" s="59" t="s">
        <v>51</v>
      </c>
      <c r="O17" s="59" t="s">
        <v>1</v>
      </c>
      <c r="P17" s="1"/>
      <c r="Q17" s="1"/>
      <c r="R17" s="1"/>
    </row>
    <row r="18" ht="15.75" customHeight="1">
      <c r="A18" s="1"/>
      <c r="B18" s="62">
        <v>1.0</v>
      </c>
      <c r="C18" s="63" t="s">
        <v>53</v>
      </c>
      <c r="D18" s="64">
        <f>SUM(G14)</f>
        <v>0</v>
      </c>
      <c r="E18" s="65"/>
      <c r="F18" s="1"/>
      <c r="G18" s="1"/>
      <c r="H18" s="1"/>
      <c r="I18" s="1"/>
      <c r="J18" s="1"/>
      <c r="K18" s="1"/>
      <c r="L18" s="1"/>
      <c r="M18" s="1"/>
      <c r="N18" s="66" t="s">
        <v>54</v>
      </c>
      <c r="O18" s="26"/>
      <c r="P18" s="1"/>
      <c r="Q18" s="1"/>
      <c r="R18" s="1"/>
    </row>
    <row r="19" ht="15.75" customHeight="1">
      <c r="A19" s="1"/>
      <c r="B19" s="67">
        <v>2.0</v>
      </c>
      <c r="C19" s="68"/>
      <c r="D19" s="69"/>
      <c r="E19" s="65"/>
      <c r="F19" s="1"/>
      <c r="G19" s="1"/>
      <c r="H19" s="1"/>
      <c r="I19" s="1"/>
      <c r="J19" s="1"/>
      <c r="K19" s="1"/>
      <c r="L19" s="1"/>
      <c r="M19" s="1"/>
      <c r="N19" s="71" t="s">
        <v>55</v>
      </c>
      <c r="O19" s="73"/>
      <c r="P19" s="1"/>
      <c r="Q19" s="1"/>
      <c r="R19" s="1"/>
    </row>
    <row r="20" ht="15.75" customHeight="1">
      <c r="A20" s="1"/>
      <c r="B20" s="62">
        <v>3.0</v>
      </c>
      <c r="C20" s="63"/>
      <c r="D20" s="64"/>
      <c r="E20" s="65"/>
      <c r="F20" s="1"/>
      <c r="G20" s="1"/>
      <c r="H20" s="1"/>
      <c r="I20" s="1"/>
      <c r="J20" s="1"/>
      <c r="K20" s="1"/>
      <c r="L20" s="1"/>
      <c r="M20" s="1"/>
      <c r="N20" s="76" t="s">
        <v>56</v>
      </c>
      <c r="O20" s="34"/>
      <c r="P20" s="1"/>
      <c r="Q20" s="1"/>
      <c r="R20" s="1"/>
    </row>
    <row r="21" ht="15.75" customHeight="1">
      <c r="A21" s="1"/>
      <c r="B21" s="67">
        <v>4.0</v>
      </c>
      <c r="C21" s="68"/>
      <c r="D21" s="69"/>
      <c r="E21" s="65"/>
      <c r="F21" s="1"/>
      <c r="G21" s="1"/>
      <c r="H21" s="1"/>
      <c r="I21" s="1"/>
      <c r="J21" s="1"/>
      <c r="K21" s="1"/>
      <c r="L21" s="1"/>
      <c r="M21" s="1"/>
      <c r="N21" s="77" t="s">
        <v>57</v>
      </c>
      <c r="O21" s="73"/>
      <c r="P21" s="1"/>
      <c r="Q21" s="1"/>
      <c r="R21" s="1"/>
    </row>
    <row r="22" ht="15.75" customHeight="1">
      <c r="A22" s="1"/>
      <c r="B22" s="62">
        <v>5.0</v>
      </c>
      <c r="C22" s="63"/>
      <c r="D22" s="64"/>
      <c r="E22" s="65"/>
      <c r="F22" s="1"/>
      <c r="G22" s="1"/>
      <c r="H22" s="1"/>
      <c r="I22" s="1"/>
      <c r="J22" s="1"/>
      <c r="K22" s="1"/>
      <c r="L22" s="1"/>
      <c r="M22" s="1"/>
      <c r="N22" s="78"/>
      <c r="O22" s="1"/>
      <c r="P22" s="1"/>
      <c r="Q22" s="1"/>
      <c r="R22" s="1"/>
    </row>
    <row r="23" ht="15.75" customHeight="1">
      <c r="A23" s="1"/>
      <c r="B23" s="67">
        <v>6.0</v>
      </c>
      <c r="C23" s="68"/>
      <c r="D23" s="69"/>
      <c r="E23" s="65"/>
      <c r="F23" s="1"/>
      <c r="G23" s="1"/>
      <c r="H23" s="1"/>
      <c r="I23" s="1"/>
      <c r="J23" s="1"/>
      <c r="K23" s="80" t="s">
        <v>58</v>
      </c>
      <c r="Q23" s="1"/>
      <c r="R23" s="1"/>
    </row>
    <row r="24" ht="15.75" customHeight="1">
      <c r="A24" s="1"/>
      <c r="B24" s="62">
        <v>7.0</v>
      </c>
      <c r="C24" s="63"/>
      <c r="D24" s="64"/>
      <c r="E24" s="65"/>
      <c r="F24" s="1"/>
      <c r="G24" s="1"/>
      <c r="H24" s="1"/>
      <c r="I24" s="1"/>
      <c r="J24" s="1"/>
      <c r="K24" s="82" t="s">
        <v>1</v>
      </c>
      <c r="L24" s="82" t="s">
        <v>59</v>
      </c>
      <c r="M24" s="82" t="s">
        <v>60</v>
      </c>
      <c r="N24" s="82" t="s">
        <v>61</v>
      </c>
      <c r="O24" s="82" t="s">
        <v>62</v>
      </c>
      <c r="P24" s="82" t="s">
        <v>63</v>
      </c>
      <c r="Q24" s="1"/>
      <c r="R24" s="1"/>
      <c r="AC24" s="83" t="s">
        <v>64</v>
      </c>
      <c r="AD24" s="83" t="s">
        <v>65</v>
      </c>
      <c r="AE24" s="83" t="s">
        <v>66</v>
      </c>
      <c r="AF24" s="83" t="s">
        <v>67</v>
      </c>
      <c r="AG24" s="83" t="s">
        <v>68</v>
      </c>
    </row>
    <row r="25" ht="15.75" customHeight="1">
      <c r="A25" s="1"/>
      <c r="B25" s="67">
        <v>8.0</v>
      </c>
      <c r="C25" s="68"/>
      <c r="D25" s="69"/>
      <c r="E25" s="65"/>
      <c r="F25" s="1"/>
      <c r="G25" s="1"/>
      <c r="H25" s="1"/>
      <c r="I25" s="1"/>
      <c r="J25" s="1"/>
      <c r="K25" s="86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83" t="str">
        <f t="shared" ref="AC25:AC30" si="3">IF(AG25="","",IF(COUNT(L25:P25)&lt;5,"",L25/5*20+M25/5*25+N25/5*25+O25/5*15+P25/5*15))</f>
        <v/>
      </c>
      <c r="AD25" s="83" t="str">
        <f t="shared" ref="AD25:AD30" si="4">IF(AC25="","",IF(AC25&gt;=90,"Sangat Baik",IF(AC25&gt;=80,"Baik",IF(AC25&gt;=70,"Coaching","Underperform"))))</f>
        <v/>
      </c>
      <c r="AE25" s="83" t="str">
        <f t="shared" ref="AE25:AE30" si="5">IF(AG25="","",IF(OR(AG25="INDAH",AG25="ADDEL",AG25="AMEL",AG25="PENTIL",AG25="JIJANG"),"Admin/CS","Fotografer"))</f>
        <v/>
      </c>
      <c r="AF25" s="83" t="str">
        <f t="shared" ref="AF25:AF30" si="6">IF(OR(AG25="",COUNT(L25:P25)&lt;5),"",1)</f>
        <v/>
      </c>
      <c r="AG25" s="83" t="str">
        <f t="shared" ref="AG25:AG30" si="7">IFERROR(K25,"")</f>
        <v/>
      </c>
    </row>
    <row r="26" ht="15.75" customHeight="1">
      <c r="A26" s="1"/>
      <c r="B26" s="62">
        <v>9.0</v>
      </c>
      <c r="C26" s="63"/>
      <c r="D26" s="64"/>
      <c r="E26" s="65"/>
      <c r="F26" s="1"/>
      <c r="G26" s="1"/>
      <c r="H26" s="1"/>
      <c r="I26" s="1"/>
      <c r="J26" s="1"/>
      <c r="K26" s="86" t="str">
        <f t="shared" si="2"/>
        <v/>
      </c>
      <c r="L26" s="117"/>
      <c r="M26" s="117"/>
      <c r="N26" s="117"/>
      <c r="O26" s="117"/>
      <c r="P26" s="117"/>
      <c r="Q26" s="1"/>
      <c r="R26" s="1"/>
      <c r="AC26" s="83" t="str">
        <f t="shared" si="3"/>
        <v/>
      </c>
      <c r="AD26" s="83" t="str">
        <f t="shared" si="4"/>
        <v/>
      </c>
      <c r="AE26" s="83" t="str">
        <f t="shared" si="5"/>
        <v/>
      </c>
      <c r="AF26" s="83" t="str">
        <f t="shared" si="6"/>
        <v/>
      </c>
      <c r="AG26" s="83" t="str">
        <f t="shared" si="7"/>
        <v/>
      </c>
    </row>
    <row r="27" ht="15.75" customHeight="1">
      <c r="A27" s="1"/>
      <c r="B27" s="67">
        <v>10.0</v>
      </c>
      <c r="C27" s="68"/>
      <c r="D27" s="69"/>
      <c r="E27" s="65"/>
      <c r="F27" s="1"/>
      <c r="G27" s="1"/>
      <c r="H27" s="1"/>
      <c r="I27" s="1"/>
      <c r="J27" s="1"/>
      <c r="K27" s="86" t="str">
        <f t="shared" si="2"/>
        <v/>
      </c>
      <c r="L27" s="117"/>
      <c r="M27" s="117"/>
      <c r="N27" s="117"/>
      <c r="O27" s="117"/>
      <c r="P27" s="117"/>
      <c r="Q27" s="1"/>
      <c r="R27" s="1"/>
      <c r="AC27" s="83" t="str">
        <f t="shared" si="3"/>
        <v/>
      </c>
      <c r="AD27" s="83" t="str">
        <f t="shared" si="4"/>
        <v/>
      </c>
      <c r="AE27" s="83" t="str">
        <f t="shared" si="5"/>
        <v/>
      </c>
      <c r="AF27" s="83" t="str">
        <f t="shared" si="6"/>
        <v/>
      </c>
      <c r="AG27" s="83" t="str">
        <f t="shared" si="7"/>
        <v/>
      </c>
    </row>
    <row r="28" ht="15.75" customHeight="1">
      <c r="A28" s="1"/>
      <c r="B28" s="88">
        <v>11.0</v>
      </c>
      <c r="C28" s="89"/>
      <c r="D28" s="90"/>
      <c r="E28" s="65"/>
      <c r="F28" s="1"/>
      <c r="G28" s="1"/>
      <c r="H28" s="1"/>
      <c r="I28" s="1"/>
      <c r="J28" s="1"/>
      <c r="K28" s="86" t="str">
        <f t="shared" si="2"/>
        <v/>
      </c>
      <c r="L28" s="117"/>
      <c r="M28" s="117"/>
      <c r="N28" s="117"/>
      <c r="O28" s="117"/>
      <c r="P28" s="117"/>
      <c r="Q28" s="1"/>
      <c r="R28" s="1"/>
      <c r="AC28" s="83" t="str">
        <f t="shared" si="3"/>
        <v/>
      </c>
      <c r="AD28" s="83" t="str">
        <f t="shared" si="4"/>
        <v/>
      </c>
      <c r="AE28" s="83" t="str">
        <f t="shared" si="5"/>
        <v/>
      </c>
      <c r="AF28" s="83" t="str">
        <f t="shared" si="6"/>
        <v/>
      </c>
      <c r="AG28" s="83" t="str">
        <f t="shared" si="7"/>
        <v/>
      </c>
    </row>
    <row r="29" ht="15.75" customHeight="1">
      <c r="A29" s="1"/>
      <c r="B29" s="1"/>
      <c r="C29" s="2"/>
      <c r="D29" s="91">
        <f>SUM(D18:D28)</f>
        <v>0</v>
      </c>
      <c r="E29" s="1"/>
      <c r="F29" s="1"/>
      <c r="G29" s="1"/>
      <c r="H29" s="1"/>
      <c r="I29" s="1"/>
      <c r="J29" s="1"/>
      <c r="K29" s="86"/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6"/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2" t="s">
        <v>69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3" t="s">
        <v>70</v>
      </c>
      <c r="N33" s="121"/>
      <c r="O33" s="1"/>
      <c r="P33" s="1"/>
      <c r="Q33" s="1"/>
      <c r="R33" s="1"/>
    </row>
    <row r="34" ht="15.75" customHeight="1">
      <c r="K34" s="94" t="s">
        <v>7</v>
      </c>
      <c r="L34" s="94" t="s">
        <v>71</v>
      </c>
      <c r="M34" s="94" t="s">
        <v>72</v>
      </c>
      <c r="N34" s="122" t="s">
        <v>73</v>
      </c>
    </row>
    <row r="35" ht="15.75" customHeight="1">
      <c r="K35" s="95" t="str">
        <f t="shared" ref="K35:K36" si="8">IF(O18="","",O18)</f>
        <v/>
      </c>
      <c r="L35" s="97"/>
      <c r="M35" s="97"/>
      <c r="N35" s="123"/>
    </row>
    <row r="36" ht="15.75" customHeight="1">
      <c r="K36" s="95" t="str">
        <f t="shared" si="8"/>
        <v/>
      </c>
      <c r="L36" s="97"/>
      <c r="M36" s="97"/>
      <c r="N36" s="123"/>
    </row>
    <row r="37" ht="15.75" customHeight="1"/>
    <row r="38" ht="19.5" customHeight="1">
      <c r="K38" s="99" t="s">
        <v>74</v>
      </c>
    </row>
    <row r="39" ht="19.5" customHeight="1">
      <c r="K39" s="100" t="s">
        <v>75</v>
      </c>
      <c r="M39" s="97"/>
    </row>
    <row r="40" ht="19.5" customHeight="1">
      <c r="K40" s="103" t="s">
        <v>77</v>
      </c>
      <c r="M40" s="105">
        <f>COUNTIF($I$4:$I$16,"DP")</f>
        <v>0</v>
      </c>
    </row>
    <row r="41" ht="19.5" customHeight="1">
      <c r="K41" s="103" t="s">
        <v>78</v>
      </c>
      <c r="M41" s="105">
        <f>COUNTIFS($I$4:$I$16,"&lt;&gt;DP",$I$4:$I$16,"&lt;&gt;")</f>
        <v>0</v>
      </c>
    </row>
    <row r="42" ht="19.5" customHeight="1">
      <c r="K42" s="106" t="s">
        <v>79</v>
      </c>
      <c r="M42" s="105">
        <f>M40+M41</f>
        <v>0</v>
      </c>
    </row>
    <row r="43" ht="19.5" customHeight="1">
      <c r="K43" s="100" t="s">
        <v>80</v>
      </c>
      <c r="M43" s="10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41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36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41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14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36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36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36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36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36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36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4">
        <f t="shared" ref="G14:H14" si="1">SUM(G4:G13)</f>
        <v>0</v>
      </c>
      <c r="H14" s="5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8" t="s">
        <v>0</v>
      </c>
      <c r="C18" s="59" t="s">
        <v>6</v>
      </c>
      <c r="D18" s="59" t="s">
        <v>48</v>
      </c>
      <c r="E18" s="1"/>
      <c r="F18" s="1"/>
      <c r="G18" s="1"/>
      <c r="H18" s="1"/>
      <c r="I18" s="1"/>
      <c r="J18" s="1"/>
      <c r="K18" s="1"/>
      <c r="L18" s="1"/>
      <c r="M18" s="1"/>
      <c r="N18" s="59" t="s">
        <v>51</v>
      </c>
      <c r="O18" s="59" t="s">
        <v>1</v>
      </c>
      <c r="P18" s="1"/>
      <c r="Q18" s="1"/>
      <c r="R18" s="1"/>
    </row>
    <row r="19" ht="15.75" customHeight="1">
      <c r="A19" s="1"/>
      <c r="B19" s="62">
        <v>1.0</v>
      </c>
      <c r="C19" s="63" t="s">
        <v>53</v>
      </c>
      <c r="D19" s="64">
        <f>SUM(G14)</f>
        <v>0</v>
      </c>
      <c r="E19" s="65"/>
      <c r="F19" s="1"/>
      <c r="G19" s="1"/>
      <c r="H19" s="1"/>
      <c r="I19" s="1"/>
      <c r="J19" s="1"/>
      <c r="K19" s="1"/>
      <c r="L19" s="1"/>
      <c r="M19" s="1"/>
      <c r="N19" s="66" t="s">
        <v>54</v>
      </c>
      <c r="O19" s="26"/>
      <c r="P19" s="1"/>
      <c r="Q19" s="1"/>
      <c r="R19" s="1"/>
    </row>
    <row r="20" ht="15.75" customHeight="1">
      <c r="A20" s="1"/>
      <c r="B20" s="67">
        <v>2.0</v>
      </c>
      <c r="C20" s="68"/>
      <c r="D20" s="69"/>
      <c r="E20" s="65"/>
      <c r="F20" s="1"/>
      <c r="G20" s="79"/>
      <c r="H20" s="1"/>
      <c r="I20" s="1"/>
      <c r="J20" s="1"/>
      <c r="K20" s="1"/>
      <c r="L20" s="1"/>
      <c r="M20" s="1"/>
      <c r="N20" s="71" t="s">
        <v>55</v>
      </c>
      <c r="O20" s="73"/>
      <c r="P20" s="1"/>
      <c r="Q20" s="1"/>
      <c r="R20" s="1"/>
    </row>
    <row r="21" ht="15.75" customHeight="1">
      <c r="A21" s="1"/>
      <c r="B21" s="62">
        <v>3.0</v>
      </c>
      <c r="C21" s="63"/>
      <c r="D21" s="64"/>
      <c r="E21" s="65"/>
      <c r="F21" s="1"/>
      <c r="G21" s="79"/>
      <c r="H21" s="1"/>
      <c r="I21" s="1"/>
      <c r="J21" s="1"/>
      <c r="K21" s="1"/>
      <c r="L21" s="1"/>
      <c r="M21" s="1"/>
      <c r="N21" s="76" t="s">
        <v>56</v>
      </c>
      <c r="O21" s="34"/>
      <c r="P21" s="1"/>
      <c r="Q21" s="1"/>
      <c r="R21" s="1"/>
    </row>
    <row r="22" ht="15.75" customHeight="1">
      <c r="A22" s="1"/>
      <c r="B22" s="67">
        <v>4.0</v>
      </c>
      <c r="C22" s="68"/>
      <c r="D22" s="69"/>
      <c r="E22" s="65"/>
      <c r="F22" s="1"/>
      <c r="G22" s="1"/>
      <c r="H22" s="1"/>
      <c r="I22" s="1"/>
      <c r="J22" s="1"/>
      <c r="K22" s="1"/>
      <c r="L22" s="1"/>
      <c r="M22" s="1"/>
      <c r="N22" s="77" t="s">
        <v>57</v>
      </c>
      <c r="O22" s="73"/>
      <c r="P22" s="1"/>
      <c r="Q22" s="1"/>
      <c r="R22" s="1"/>
    </row>
    <row r="23" ht="15.75" customHeight="1">
      <c r="A23" s="1"/>
      <c r="B23" s="62">
        <v>5.0</v>
      </c>
      <c r="C23" s="63"/>
      <c r="D23" s="64"/>
      <c r="E23" s="65"/>
      <c r="F23" s="1"/>
      <c r="G23" s="1"/>
      <c r="H23" s="1"/>
      <c r="I23" s="1"/>
      <c r="J23" s="1"/>
      <c r="K23" s="1"/>
      <c r="L23" s="1"/>
      <c r="M23" s="1"/>
      <c r="N23" s="78"/>
      <c r="O23" s="1"/>
      <c r="P23" s="1"/>
      <c r="Q23" s="1"/>
      <c r="R23" s="1"/>
    </row>
    <row r="24" ht="15.75" customHeight="1">
      <c r="A24" s="1"/>
      <c r="B24" s="67">
        <v>6.0</v>
      </c>
      <c r="C24" s="68"/>
      <c r="D24" s="69"/>
      <c r="E24" s="6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2">
        <v>7.0</v>
      </c>
      <c r="C25" s="63"/>
      <c r="D25" s="64"/>
      <c r="E25" s="65"/>
      <c r="F25" s="7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7">
        <v>8.0</v>
      </c>
      <c r="C26" s="68"/>
      <c r="D26" s="69"/>
      <c r="E26" s="65"/>
      <c r="F26" s="1"/>
      <c r="G26" s="1"/>
      <c r="H26" s="1"/>
      <c r="I26" s="1"/>
      <c r="J26" s="1"/>
      <c r="K26" s="80" t="s">
        <v>58</v>
      </c>
      <c r="Q26" s="1"/>
      <c r="R26" s="1"/>
    </row>
    <row r="27" ht="15.75" customHeight="1">
      <c r="A27" s="1"/>
      <c r="B27" s="62">
        <v>9.0</v>
      </c>
      <c r="C27" s="63"/>
      <c r="D27" s="64"/>
      <c r="E27" s="65"/>
      <c r="F27" s="1"/>
      <c r="G27" s="1"/>
      <c r="H27" s="1"/>
      <c r="I27" s="1"/>
      <c r="J27" s="1"/>
      <c r="K27" s="82" t="s">
        <v>1</v>
      </c>
      <c r="L27" s="82" t="s">
        <v>59</v>
      </c>
      <c r="M27" s="82" t="s">
        <v>60</v>
      </c>
      <c r="N27" s="82" t="s">
        <v>61</v>
      </c>
      <c r="O27" s="82" t="s">
        <v>62</v>
      </c>
      <c r="P27" s="82" t="s">
        <v>63</v>
      </c>
      <c r="Q27" s="1"/>
      <c r="R27" s="1"/>
      <c r="AC27" s="83" t="s">
        <v>64</v>
      </c>
      <c r="AD27" s="83" t="s">
        <v>65</v>
      </c>
      <c r="AE27" s="83" t="s">
        <v>66</v>
      </c>
      <c r="AF27" s="83" t="s">
        <v>67</v>
      </c>
      <c r="AG27" s="83" t="s">
        <v>68</v>
      </c>
    </row>
    <row r="28" ht="15.75" customHeight="1">
      <c r="A28" s="1"/>
      <c r="B28" s="67">
        <v>10.0</v>
      </c>
      <c r="C28" s="68"/>
      <c r="D28" s="69"/>
      <c r="E28" s="65"/>
      <c r="F28" s="1"/>
      <c r="G28" s="1"/>
      <c r="H28" s="1"/>
      <c r="I28" s="1"/>
      <c r="J28" s="1"/>
      <c r="K28" s="86" t="str">
        <f t="shared" ref="K28:K31" si="2">IF(O19="","",O19)</f>
        <v/>
      </c>
      <c r="L28" s="87"/>
      <c r="M28" s="87"/>
      <c r="N28" s="87"/>
      <c r="O28" s="87"/>
      <c r="P28" s="87"/>
      <c r="Q28" s="1"/>
      <c r="R28" s="1"/>
      <c r="AC28" s="83" t="str">
        <f t="shared" ref="AC28:AC33" si="3">IF(AG28="","",IF(COUNT(L28:P28)&lt;5,"",L28/5*20+M28/5*25+N28/5*25+O28/5*15+P28/5*15))</f>
        <v/>
      </c>
      <c r="AD28" s="83" t="str">
        <f t="shared" ref="AD28:AD33" si="4">IF(AC28="","",IF(AC28&gt;=90,"Sangat Baik",IF(AC28&gt;=80,"Baik",IF(AC28&gt;=70,"Coaching","Underperform"))))</f>
        <v/>
      </c>
      <c r="AE28" s="83" t="str">
        <f t="shared" ref="AE28:AE33" si="5">IF(AG28="","",IF(OR(AG28="INDAH",AG28="ADDEL",AG28="AMEL",AG28="PENTIL",AG28="JIJANG"),"Admin/CS","Fotografer"))</f>
        <v/>
      </c>
      <c r="AF28" s="83" t="str">
        <f t="shared" ref="AF28:AF33" si="6">IF(OR(AG28="",COUNT(L28:P28)&lt;5),"",1)</f>
        <v/>
      </c>
      <c r="AG28" s="83" t="str">
        <f t="shared" ref="AG28:AG33" si="7">IFERROR(K28,"")</f>
        <v/>
      </c>
    </row>
    <row r="29" ht="15.75" customHeight="1">
      <c r="A29" s="1"/>
      <c r="B29" s="88">
        <v>11.0</v>
      </c>
      <c r="C29" s="89"/>
      <c r="D29" s="90"/>
      <c r="E29" s="65"/>
      <c r="F29" s="1"/>
      <c r="G29" s="1"/>
      <c r="H29" s="1"/>
      <c r="I29" s="1"/>
      <c r="J29" s="1"/>
      <c r="K29" s="86" t="str">
        <f t="shared" si="2"/>
        <v/>
      </c>
      <c r="L29" s="87"/>
      <c r="M29" s="87"/>
      <c r="N29" s="87"/>
      <c r="O29" s="87"/>
      <c r="P29" s="87"/>
      <c r="Q29" s="1"/>
      <c r="R29" s="1"/>
      <c r="AC29" s="83" t="str">
        <f t="shared" si="3"/>
        <v/>
      </c>
      <c r="AD29" s="83" t="str">
        <f t="shared" si="4"/>
        <v/>
      </c>
      <c r="AE29" s="83" t="str">
        <f t="shared" si="5"/>
        <v/>
      </c>
      <c r="AF29" s="83" t="str">
        <f t="shared" si="6"/>
        <v/>
      </c>
      <c r="AG29" s="83" t="str">
        <f t="shared" si="7"/>
        <v/>
      </c>
    </row>
    <row r="30" ht="15.75" customHeight="1">
      <c r="A30" s="1"/>
      <c r="B30" s="1"/>
      <c r="C30" s="2"/>
      <c r="D30" s="91">
        <f>SUM(D19:D29)</f>
        <v>0</v>
      </c>
      <c r="E30" s="1"/>
      <c r="F30" s="1"/>
      <c r="G30" s="1"/>
      <c r="H30" s="1"/>
      <c r="I30" s="1"/>
      <c r="J30" s="1"/>
      <c r="K30" s="86" t="str">
        <f t="shared" si="2"/>
        <v/>
      </c>
      <c r="L30" s="87"/>
      <c r="M30" s="87"/>
      <c r="N30" s="87"/>
      <c r="O30" s="87"/>
      <c r="P30" s="87"/>
      <c r="Q30" s="1"/>
      <c r="R30" s="1"/>
      <c r="AC30" s="83" t="str">
        <f t="shared" si="3"/>
        <v/>
      </c>
      <c r="AD30" s="83" t="str">
        <f t="shared" si="4"/>
        <v/>
      </c>
      <c r="AE30" s="83" t="str">
        <f t="shared" si="5"/>
        <v/>
      </c>
      <c r="AF30" s="83" t="str">
        <f t="shared" si="6"/>
        <v/>
      </c>
      <c r="AG30" s="83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6" t="str">
        <f t="shared" si="2"/>
        <v/>
      </c>
      <c r="L31" s="87"/>
      <c r="M31" s="87"/>
      <c r="N31" s="87"/>
      <c r="O31" s="87"/>
      <c r="P31" s="87"/>
      <c r="Q31" s="1"/>
      <c r="R31" s="1"/>
      <c r="AC31" s="83" t="str">
        <f t="shared" si="3"/>
        <v/>
      </c>
      <c r="AD31" s="83" t="str">
        <f t="shared" si="4"/>
        <v/>
      </c>
      <c r="AE31" s="83" t="str">
        <f t="shared" si="5"/>
        <v/>
      </c>
      <c r="AF31" s="83" t="str">
        <f t="shared" si="6"/>
        <v/>
      </c>
      <c r="AG31" s="8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6"/>
      <c r="L32" s="87"/>
      <c r="M32" s="87"/>
      <c r="N32" s="87"/>
      <c r="O32" s="87"/>
      <c r="P32" s="87"/>
      <c r="Q32" s="1"/>
      <c r="R32" s="1"/>
      <c r="AC32" s="83" t="str">
        <f t="shared" si="3"/>
        <v/>
      </c>
      <c r="AD32" s="83" t="str">
        <f t="shared" si="4"/>
        <v/>
      </c>
      <c r="AE32" s="83" t="str">
        <f t="shared" si="5"/>
        <v/>
      </c>
      <c r="AF32" s="83" t="str">
        <f t="shared" si="6"/>
        <v/>
      </c>
      <c r="AG32" s="8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6"/>
      <c r="L33" s="87"/>
      <c r="M33" s="87"/>
      <c r="N33" s="87"/>
      <c r="O33" s="87"/>
      <c r="P33" s="87"/>
      <c r="Q33" s="1"/>
      <c r="R33" s="1"/>
      <c r="AC33" s="83" t="str">
        <f t="shared" si="3"/>
        <v/>
      </c>
      <c r="AD33" s="83" t="str">
        <f t="shared" si="4"/>
        <v/>
      </c>
      <c r="AE33" s="83" t="str">
        <f t="shared" si="5"/>
        <v/>
      </c>
      <c r="AF33" s="83" t="str">
        <f t="shared" si="6"/>
        <v/>
      </c>
      <c r="AG33" s="83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2" t="s">
        <v>69</v>
      </c>
      <c r="Q34" s="1"/>
      <c r="R34" s="1"/>
    </row>
    <row r="35" ht="15.75" customHeight="1"/>
    <row r="36" ht="15.75" customHeight="1">
      <c r="K36" s="127" t="s">
        <v>70</v>
      </c>
    </row>
    <row r="37" ht="15.75" customHeight="1">
      <c r="K37" s="94" t="s">
        <v>7</v>
      </c>
      <c r="L37" s="94" t="s">
        <v>71</v>
      </c>
      <c r="M37" s="94" t="s">
        <v>72</v>
      </c>
    </row>
    <row r="38" ht="15.75" customHeight="1">
      <c r="K38" s="95" t="str">
        <f t="shared" ref="K38:K39" si="8">IF(O19="","",O19)</f>
        <v/>
      </c>
      <c r="L38" s="97"/>
      <c r="M38" s="97"/>
    </row>
    <row r="39" ht="15.75" customHeight="1">
      <c r="K39" s="95" t="str">
        <f t="shared" si="8"/>
        <v/>
      </c>
      <c r="L39" s="97"/>
      <c r="M39" s="97"/>
    </row>
    <row r="40" ht="15.75" customHeight="1"/>
    <row r="41" ht="19.5" customHeight="1">
      <c r="K41" s="99" t="s">
        <v>74</v>
      </c>
    </row>
    <row r="42" ht="19.5" customHeight="1">
      <c r="K42" s="100" t="s">
        <v>75</v>
      </c>
      <c r="M42" s="97"/>
    </row>
    <row r="43" ht="19.5" customHeight="1">
      <c r="K43" s="103" t="s">
        <v>77</v>
      </c>
      <c r="M43" s="105">
        <f>COUNTIF($I$4:$I$17,"DP")</f>
        <v>0</v>
      </c>
    </row>
    <row r="44" ht="19.5" customHeight="1">
      <c r="K44" s="103" t="s">
        <v>78</v>
      </c>
      <c r="M44" s="105">
        <f>COUNTIFS($I$4:$I$17,"&lt;&gt;DP",$I$4:$I$17,"&lt;&gt;")</f>
        <v>0</v>
      </c>
    </row>
    <row r="45" ht="19.5" customHeight="1">
      <c r="K45" s="106" t="s">
        <v>79</v>
      </c>
      <c r="M45" s="105">
        <f>M43+M44</f>
        <v>0</v>
      </c>
    </row>
    <row r="46" ht="19.5" customHeight="1">
      <c r="K46" s="100" t="s">
        <v>80</v>
      </c>
      <c r="M46" s="107" t="str">
        <f>IF(OR(M42="",M42=0),"",M43/M42)</f>
        <v/>
      </c>
    </row>
    <row r="47" ht="15.75" customHeight="1">
      <c r="A47" s="12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29" t="s">
        <v>82</v>
      </c>
      <c r="E49" s="129" t="s">
        <v>83</v>
      </c>
      <c r="I49" s="129" t="s">
        <v>84</v>
      </c>
      <c r="M49" s="129" t="s">
        <v>85</v>
      </c>
    </row>
    <row r="50" ht="15.75" customHeight="1">
      <c r="A50" s="130">
        <f>IFERROR(SUMIFS($D$56:$D$68,$C$56:$C$68,"&gt;0")/COUNTIFS($C$56:$C$68,"&gt;0"),0)</f>
        <v>0</v>
      </c>
      <c r="E50" s="130">
        <f>IFERROR(SUMIFS($D$56:$D$68,$B$56:$B$68,"Admin/CS",$C$56:$C$68,"&gt;0")/COUNTIFS($B$56:$B$68,"Admin/CS",$C$56:$C$68,"&gt;0"),0)</f>
        <v>0</v>
      </c>
      <c r="I50" s="130">
        <f>IFERROR(SUMIFS($D$56:$D$68,$B$56:$B$68,"Fotografer",$C$56:$C$68,"&gt;0")/COUNTIFS($B$56:$B$68,"Fotografer",$C$56:$C$68,"&gt;0"),0)</f>
        <v>0</v>
      </c>
      <c r="M50" s="13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31" t="s">
        <v>1</v>
      </c>
      <c r="B55" s="131" t="s">
        <v>86</v>
      </c>
      <c r="C55" s="131" t="s">
        <v>87</v>
      </c>
      <c r="D55" s="131" t="s">
        <v>88</v>
      </c>
      <c r="E55" s="131" t="s">
        <v>89</v>
      </c>
      <c r="F55" s="131" t="s">
        <v>90</v>
      </c>
      <c r="G55" s="131" t="s">
        <v>91</v>
      </c>
    </row>
    <row r="56" ht="15.75" customHeight="1">
      <c r="A56" s="132" t="str">
        <f>IF($A$78="","",$A$78)</f>
        <v>INDAH</v>
      </c>
      <c r="B56" s="132" t="str">
        <f>IF(A56="","",$B$78)</f>
        <v>Admin/CS</v>
      </c>
      <c r="C56" s="133">
        <f>IF(A56="","",SUMIF('1'!$AG$29:$AG$34,A56,'1'!$AF$29:$AF$34)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34" t="str">
        <f>IF(OR(A56="",C56=0),"",(SUMIF('1'!$AG$29:$AG$34,A56,'1'!$AC$29:$AC$34)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33">
        <f>IF(A56="","",COUNTIFS('1'!$AG$29:$AG$34,A56,'1'!$AD$29:$AD$34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32" t="str">
        <f t="shared" ref="F56:F68" si="9">IF(D56="","",IF(D56&gt;=90,"Sangat Baik",IF(D56&gt;=80,"Baik",IF(D56&gt;=70,"Coaching","Underperform"))))</f>
        <v/>
      </c>
      <c r="G56" s="139"/>
    </row>
    <row r="57" ht="15.75" customHeight="1">
      <c r="A57" s="132" t="str">
        <f>IF($A$79="","",$A$79)</f>
        <v>ADDEL</v>
      </c>
      <c r="B57" s="132" t="str">
        <f>IF(A57="","",$B$79)</f>
        <v>Admin/CS</v>
      </c>
      <c r="C57" s="133">
        <f>IF(A57="","",SUMIF('1'!$AG$29:$AG$34,A57,'1'!$AF$29:$AF$34)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34" t="str">
        <f>IF(OR(A57="",C57=0),"",(SUMIF('1'!$AG$29:$AG$34,A57,'1'!$AC$29:$AC$34)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33">
        <f>IF(A57="","",COUNTIFS('1'!$AG$29:$AG$34,A57,'1'!$AD$29:$AD$34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32" t="str">
        <f t="shared" si="9"/>
        <v/>
      </c>
      <c r="G57" s="139"/>
    </row>
    <row r="58" ht="15.75" customHeight="1">
      <c r="A58" s="132" t="str">
        <f>IF($A$80="","",$A$80)</f>
        <v>AMEL</v>
      </c>
      <c r="B58" s="132" t="str">
        <f>IF(A58="","",$B$80)</f>
        <v>Admin/CS</v>
      </c>
      <c r="C58" s="133">
        <f>IF(A58="","",SUMIF('1'!$AG$29:$AG$34,A58,'1'!$AF$29:$AF$34)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0</v>
      </c>
      <c r="D58" s="134" t="str">
        <f>IF(OR(A58="",C58=0),"",(SUMIF('1'!$AG$29:$AG$34,A58,'1'!$AC$29:$AC$34)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/>
      </c>
      <c r="E58" s="133">
        <f>IF(A58="","",COUNTIFS('1'!$AG$29:$AG$34,A58,'1'!$AD$29:$AD$34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32" t="str">
        <f t="shared" si="9"/>
        <v/>
      </c>
      <c r="G58" s="139"/>
    </row>
    <row r="59" ht="15.75" customHeight="1">
      <c r="A59" s="132" t="str">
        <f>IF($A$81="","",$A$81)</f>
        <v>PENTIL</v>
      </c>
      <c r="B59" s="132" t="str">
        <f>IF(A59="","",$B$81)</f>
        <v>Admin/CS</v>
      </c>
      <c r="C59" s="133">
        <f>IF(A59="","",SUMIF('1'!$AG$29:$AG$34,A59,'1'!$AF$29:$AF$34)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34" t="str">
        <f>IF(OR(A59="",C59=0),"",(SUMIF('1'!$AG$29:$AG$34,A59,'1'!$AC$29:$AC$34)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33">
        <f>IF(A59="","",COUNTIFS('1'!$AG$29:$AG$34,A59,'1'!$AD$29:$AD$34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32" t="str">
        <f t="shared" si="9"/>
        <v/>
      </c>
      <c r="G59" s="139"/>
    </row>
    <row r="60" ht="15.75" customHeight="1">
      <c r="A60" s="132" t="str">
        <f>IF($A$82="","",$A$82)</f>
        <v>JIJANG</v>
      </c>
      <c r="B60" s="132" t="str">
        <f>IF(A60="","",$B$82)</f>
        <v>Admin/CS</v>
      </c>
      <c r="C60" s="133">
        <f>IF(A60="","",SUMIF('1'!$AG$29:$AG$34,A60,'1'!$AF$29:$AF$34)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34" t="str">
        <f>IF(OR(A60="",C60=0),"",(SUMIF('1'!$AG$29:$AG$34,A60,'1'!$AC$29:$AC$34)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33">
        <f>IF(A60="","",COUNTIFS('1'!$AG$29:$AG$34,A60,'1'!$AD$29:$AD$34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32" t="str">
        <f t="shared" si="9"/>
        <v/>
      </c>
      <c r="G60" s="139"/>
    </row>
    <row r="61" ht="15.75" customHeight="1">
      <c r="A61" s="132" t="str">
        <f>IF($A$83="","",$A$83)</f>
        <v>HANIF</v>
      </c>
      <c r="B61" s="132" t="str">
        <f>IF(A61="","",$B$83)</f>
        <v>Fotografer</v>
      </c>
      <c r="C61" s="133">
        <f>IF(A61="","",SUMIF('1'!$AG$29:$AG$34,A61,'1'!$AF$29:$AF$34)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34" t="str">
        <f>IF(OR(A61="",C61=0),"",(SUMIF('1'!$AG$29:$AG$34,A61,'1'!$AC$29:$AC$34)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33">
        <f>IF(A61="","",COUNTIFS('1'!$AG$29:$AG$34,A61,'1'!$AD$29:$AD$34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32" t="str">
        <f t="shared" si="9"/>
        <v/>
      </c>
      <c r="G61" s="139"/>
    </row>
    <row r="62" ht="15.75" customHeight="1">
      <c r="A62" s="132" t="str">
        <f>IF($A$84="","",$A$84)</f>
        <v>FAHME</v>
      </c>
      <c r="B62" s="132" t="str">
        <f>IF(A62="","",$B$84)</f>
        <v>Fotografer</v>
      </c>
      <c r="C62" s="133">
        <f>IF(A62="","",SUMIF('1'!$AG$29:$AG$34,A62,'1'!$AF$29:$AF$34)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34" t="str">
        <f>IF(OR(A62="",C62=0),"",(SUMIF('1'!$AG$29:$AG$34,A62,'1'!$AC$29:$AC$34)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33">
        <f>IF(A62="","",COUNTIFS('1'!$AG$29:$AG$34,A62,'1'!$AD$29:$AD$34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32" t="str">
        <f t="shared" si="9"/>
        <v/>
      </c>
      <c r="G62" s="139"/>
    </row>
    <row r="63" ht="15.75" customHeight="1">
      <c r="A63" s="132" t="str">
        <f>IF($A$85="","",$A$85)</f>
        <v>ADIF</v>
      </c>
      <c r="B63" s="132" t="str">
        <f>IF(A63="","",$B$85)</f>
        <v>Fotografer</v>
      </c>
      <c r="C63" s="133">
        <f>IF(A63="","",SUMIF('1'!$AG$29:$AG$34,A63,'1'!$AF$29:$AF$34)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0</v>
      </c>
      <c r="D63" s="134" t="str">
        <f>IF(OR(A63="",C63=0),"",(SUMIF('1'!$AG$29:$AG$34,A63,'1'!$AC$29:$AC$34)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/>
      </c>
      <c r="E63" s="133">
        <f>IF(A63="","",COUNTIFS('1'!$AG$29:$AG$34,A63,'1'!$AD$29:$AD$34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32" t="str">
        <f t="shared" si="9"/>
        <v/>
      </c>
      <c r="G63" s="139"/>
    </row>
    <row r="64" ht="15.75" customHeight="1">
      <c r="A64" s="132" t="str">
        <f>IF($A$86="","",$A$86)</f>
        <v>ABROR</v>
      </c>
      <c r="B64" s="132" t="str">
        <f>IF(A64="","",$B$86)</f>
        <v>Fotografer</v>
      </c>
      <c r="C64" s="133">
        <f>IF(A64="","",SUMIF('1'!$AG$29:$AG$34,A64,'1'!$AF$29:$AF$34)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34" t="str">
        <f>IF(OR(A64="",C64=0),"",(SUMIF('1'!$AG$29:$AG$34,A64,'1'!$AC$29:$AC$34)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33">
        <f>IF(A64="","",COUNTIFS('1'!$AG$29:$AG$34,A64,'1'!$AD$29:$AD$34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32" t="str">
        <f t="shared" si="9"/>
        <v/>
      </c>
      <c r="G64" s="139"/>
    </row>
    <row r="65" ht="15.75" customHeight="1">
      <c r="A65" s="132" t="str">
        <f>IF($A$87="","",$A$87)</f>
        <v>FADEL</v>
      </c>
      <c r="B65" s="132" t="str">
        <f>IF(A65="","",$B$87)</f>
        <v>Fotografer</v>
      </c>
      <c r="C65" s="133">
        <f>IF(A65="","",SUMIF('1'!$AG$29:$AG$34,A65,'1'!$AF$29:$AF$34)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34" t="str">
        <f>IF(OR(A65="",C65=0),"",(SUMIF('1'!$AG$29:$AG$34,A65,'1'!$AC$29:$AC$34)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33">
        <f>IF(A65="","",COUNTIFS('1'!$AG$29:$AG$34,A65,'1'!$AD$29:$AD$34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32" t="str">
        <f t="shared" si="9"/>
        <v/>
      </c>
      <c r="G65" s="139"/>
    </row>
    <row r="66" ht="15.75" customHeight="1">
      <c r="A66" s="132" t="str">
        <f>IF($A$88="","",$A$88)</f>
        <v>SAKA</v>
      </c>
      <c r="B66" s="132" t="str">
        <f>IF(A66="","",$B$88)</f>
        <v>Fotografer</v>
      </c>
      <c r="C66" s="133">
        <f>IF(A66="","",SUMIF('1'!$AG$29:$AG$34,A66,'1'!$AF$29:$AF$34)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34" t="str">
        <f>IF(OR(A66="",C66=0),"",(SUMIF('1'!$AG$29:$AG$34,A66,'1'!$AC$29:$AC$34)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33">
        <f>IF(A66="","",COUNTIFS('1'!$AG$29:$AG$34,A66,'1'!$AD$29:$AD$34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32" t="str">
        <f t="shared" si="9"/>
        <v/>
      </c>
      <c r="G66" s="139"/>
    </row>
    <row r="67" ht="15.75" customHeight="1">
      <c r="A67" s="132" t="str">
        <f>IF($A$89="","",$A$89)</f>
        <v/>
      </c>
      <c r="B67" s="132" t="str">
        <f>IF(A67="","",$B$89)</f>
        <v/>
      </c>
      <c r="C67" s="133" t="str">
        <f>IF(A67="","",SUMIF('1'!$K$29:$K$34,A67,'1'!$AF$29:$AF$34)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34" t="str">
        <f>IF(OR(A67="",C67=0),"",(SUMIF('1'!$K$29:$K$34,A67,'1'!$AC$29:$AC$34)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33" t="str">
        <f>IF(A67="","",COUNTIFS('1'!$K$29:$K$34,A67,'1'!$AD$29:$AD$34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32" t="str">
        <f t="shared" si="9"/>
        <v/>
      </c>
      <c r="G67" s="139"/>
    </row>
    <row r="68" ht="15.75" customHeight="1">
      <c r="A68" s="132" t="str">
        <f>IF($A$90="","",$A$90)</f>
        <v/>
      </c>
      <c r="B68" s="132" t="str">
        <f>IF(A68="","",$B$90)</f>
        <v/>
      </c>
      <c r="C68" s="133" t="str">
        <f>IF(A68="","",SUMIF('1'!$K$29:$K$34,A68,'1'!$AF$29:$AF$34)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34" t="str">
        <f>IF(OR(A68="",C68=0),"",(SUMIF('1'!$K$29:$K$34,A68,'1'!$AC$29:$AC$34)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33" t="str">
        <f>IF(A68="","",COUNTIFS('1'!$K$29:$K$34,A68,'1'!$AD$29:$AD$34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32" t="str">
        <f t="shared" si="9"/>
        <v/>
      </c>
      <c r="G68" s="139"/>
    </row>
    <row r="69" ht="15.75" customHeight="1"/>
    <row r="70" ht="15.75" customHeight="1">
      <c r="A70" s="142" t="s">
        <v>108</v>
      </c>
    </row>
    <row r="71" ht="15.75" customHeight="1">
      <c r="A71" s="14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44" t="s">
        <v>109</v>
      </c>
      <c r="B77" s="144" t="s">
        <v>110</v>
      </c>
      <c r="D77" s="127" t="s">
        <v>111</v>
      </c>
    </row>
    <row r="78" ht="15.75" customHeight="1">
      <c r="A78" s="140" t="s">
        <v>81</v>
      </c>
      <c r="B78" s="140" t="s">
        <v>102</v>
      </c>
      <c r="D78" s="145" t="s">
        <v>71</v>
      </c>
      <c r="E78" s="105">
        <f>SUM('1'!$L$39:$L$40)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</v>
      </c>
    </row>
    <row r="79" ht="15.75" customHeight="1">
      <c r="A79" s="140" t="s">
        <v>105</v>
      </c>
      <c r="B79" s="140" t="s">
        <v>102</v>
      </c>
      <c r="D79" s="145" t="s">
        <v>72</v>
      </c>
      <c r="E79" s="105">
        <f>SUM('1'!$M$39:$M$40)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0" t="s">
        <v>22</v>
      </c>
      <c r="B80" s="140" t="s">
        <v>102</v>
      </c>
      <c r="D80" s="145" t="s">
        <v>75</v>
      </c>
      <c r="E80" s="105">
        <f>SUM('1'!$M$43)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83</v>
      </c>
    </row>
    <row r="81" ht="15.75" customHeight="1">
      <c r="A81" s="140" t="s">
        <v>112</v>
      </c>
      <c r="B81" s="140" t="s">
        <v>102</v>
      </c>
      <c r="D81" s="145" t="s">
        <v>77</v>
      </c>
      <c r="E81" s="105">
        <f>SUM('1'!$M$44)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</v>
      </c>
    </row>
    <row r="82" ht="15.75" customHeight="1">
      <c r="A82" s="140" t="s">
        <v>113</v>
      </c>
      <c r="B82" s="140" t="s">
        <v>102</v>
      </c>
      <c r="D82" s="145" t="s">
        <v>78</v>
      </c>
      <c r="E82" s="105">
        <f>SUM('1'!$M$45)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9</v>
      </c>
    </row>
    <row r="83" ht="15.75" customHeight="1">
      <c r="A83" s="140" t="s">
        <v>103</v>
      </c>
      <c r="B83" s="140" t="s">
        <v>114</v>
      </c>
      <c r="D83" s="145" t="s">
        <v>79</v>
      </c>
      <c r="E83" s="105">
        <f>SUM('1'!$M$46)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13</v>
      </c>
    </row>
    <row r="84" ht="15.75" customHeight="1">
      <c r="A84" s="140" t="s">
        <v>106</v>
      </c>
      <c r="B84" s="140" t="s">
        <v>114</v>
      </c>
      <c r="D84" s="145" t="s">
        <v>80</v>
      </c>
      <c r="E84" s="107">
        <f>IFERROR(E81/E80,0)</f>
        <v>0.04819277108</v>
      </c>
    </row>
    <row r="85" ht="15.75" customHeight="1">
      <c r="A85" s="140" t="s">
        <v>29</v>
      </c>
      <c r="B85" s="140" t="s">
        <v>114</v>
      </c>
    </row>
    <row r="86" ht="15.75" customHeight="1">
      <c r="A86" s="140" t="s">
        <v>115</v>
      </c>
      <c r="B86" s="140" t="s">
        <v>114</v>
      </c>
    </row>
    <row r="87" ht="15.75" customHeight="1">
      <c r="A87" s="140" t="s">
        <v>116</v>
      </c>
      <c r="B87" s="140" t="s">
        <v>114</v>
      </c>
    </row>
    <row r="88" ht="15.75" customHeight="1">
      <c r="A88" s="140" t="s">
        <v>117</v>
      </c>
      <c r="B88" s="140" t="s">
        <v>114</v>
      </c>
    </row>
    <row r="89" ht="15.75" customHeight="1">
      <c r="A89" s="140"/>
      <c r="B89" s="140"/>
    </row>
    <row r="90" ht="15.75" customHeight="1">
      <c r="A90" s="140"/>
      <c r="B90" s="14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/>
      <c r="D4" s="18"/>
      <c r="E4" s="15"/>
      <c r="F4" s="19"/>
      <c r="G4" s="47"/>
      <c r="H4" s="22"/>
      <c r="I4" s="14"/>
      <c r="J4" s="14"/>
      <c r="K4" s="14"/>
      <c r="L4" s="14"/>
      <c r="M4" s="14"/>
      <c r="N4" s="26"/>
      <c r="O4" s="26"/>
      <c r="P4" s="30"/>
      <c r="Q4" s="1"/>
      <c r="R4" s="1"/>
    </row>
    <row r="5" ht="15.75" customHeight="1">
      <c r="A5" s="1"/>
      <c r="B5" s="14">
        <v>2.0</v>
      </c>
      <c r="C5" s="16"/>
      <c r="D5" s="18"/>
      <c r="E5" s="15"/>
      <c r="F5" s="19"/>
      <c r="G5" s="47"/>
      <c r="H5" s="22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6"/>
      <c r="D6" s="18"/>
      <c r="E6" s="15"/>
      <c r="F6" s="14"/>
      <c r="G6" s="47"/>
      <c r="H6" s="22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6"/>
      <c r="D7" s="18"/>
      <c r="E7" s="15"/>
      <c r="F7" s="14"/>
      <c r="G7" s="47"/>
      <c r="H7" s="22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8"/>
      <c r="E8" s="15"/>
      <c r="F8" s="14"/>
      <c r="G8" s="47"/>
      <c r="H8" s="22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6"/>
      <c r="D9" s="18"/>
      <c r="E9" s="15"/>
      <c r="F9" s="14"/>
      <c r="G9" s="47"/>
      <c r="H9" s="22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8"/>
      <c r="E10" s="15"/>
      <c r="F10" s="14"/>
      <c r="G10" s="47"/>
      <c r="H10" s="22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6"/>
      <c r="D11" s="18"/>
      <c r="E11" s="15"/>
      <c r="F11" s="14"/>
      <c r="G11" s="47"/>
      <c r="H11" s="22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6"/>
      <c r="D12" s="18"/>
      <c r="E12" s="15"/>
      <c r="F12" s="14"/>
      <c r="G12" s="47"/>
      <c r="H12" s="22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18"/>
      <c r="E13" s="15"/>
      <c r="F13" s="14"/>
      <c r="G13" s="47"/>
      <c r="H13" s="22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16"/>
      <c r="D14" s="18"/>
      <c r="E14" s="15"/>
      <c r="F14" s="14"/>
      <c r="G14" s="47"/>
      <c r="H14" s="22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16"/>
      <c r="D15" s="18"/>
      <c r="E15" s="15"/>
      <c r="F15" s="14"/>
      <c r="G15" s="47"/>
      <c r="H15" s="22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16"/>
      <c r="D16" s="18"/>
      <c r="E16" s="15"/>
      <c r="F16" s="14"/>
      <c r="G16" s="47"/>
      <c r="H16" s="22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16"/>
      <c r="D17" s="18"/>
      <c r="E17" s="15"/>
      <c r="F17" s="14"/>
      <c r="G17" s="47"/>
      <c r="H17" s="22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16"/>
      <c r="D18" s="18"/>
      <c r="E18" s="15"/>
      <c r="F18" s="14"/>
      <c r="G18" s="47"/>
      <c r="H18" s="22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6"/>
      <c r="D19" s="18"/>
      <c r="E19" s="15"/>
      <c r="F19" s="14"/>
      <c r="G19" s="47"/>
      <c r="H19" s="22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16"/>
      <c r="D20" s="18"/>
      <c r="E20" s="15"/>
      <c r="F20" s="14"/>
      <c r="G20" s="47"/>
      <c r="H20" s="22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6"/>
      <c r="D21" s="18"/>
      <c r="E21" s="15"/>
      <c r="F21" s="14"/>
      <c r="G21" s="47"/>
      <c r="H21" s="22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6"/>
      <c r="D22" s="18"/>
      <c r="E22" s="15"/>
      <c r="F22" s="14"/>
      <c r="G22" s="47"/>
      <c r="H22" s="22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6"/>
      <c r="D23" s="18"/>
      <c r="E23" s="15"/>
      <c r="F23" s="14"/>
      <c r="G23" s="47"/>
      <c r="H23" s="22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16"/>
      <c r="D24" s="18"/>
      <c r="E24" s="15"/>
      <c r="F24" s="14"/>
      <c r="G24" s="47"/>
      <c r="H24" s="22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6"/>
      <c r="D25" s="18"/>
      <c r="E25" s="15"/>
      <c r="F25" s="14"/>
      <c r="G25" s="47"/>
      <c r="H25" s="22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6"/>
      <c r="D26" s="18"/>
      <c r="E26" s="15"/>
      <c r="F26" s="14"/>
      <c r="G26" s="47"/>
      <c r="H26" s="22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16"/>
      <c r="D27" s="18"/>
      <c r="E27" s="15"/>
      <c r="F27" s="14"/>
      <c r="G27" s="47"/>
      <c r="H27" s="22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16"/>
      <c r="D28" s="18"/>
      <c r="E28" s="15"/>
      <c r="F28" s="14"/>
      <c r="G28" s="47"/>
      <c r="H28" s="22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16"/>
      <c r="D29" s="18"/>
      <c r="E29" s="15"/>
      <c r="F29" s="14"/>
      <c r="G29" s="47"/>
      <c r="H29" s="22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16"/>
      <c r="D30" s="18"/>
      <c r="E30" s="15"/>
      <c r="F30" s="14"/>
      <c r="G30" s="47"/>
      <c r="H30" s="22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16"/>
      <c r="D31" s="18"/>
      <c r="E31" s="15"/>
      <c r="F31" s="14"/>
      <c r="G31" s="47"/>
      <c r="H31" s="22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16"/>
      <c r="D32" s="18"/>
      <c r="E32" s="15"/>
      <c r="F32" s="14"/>
      <c r="G32" s="47"/>
      <c r="H32" s="22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16"/>
      <c r="D33" s="18"/>
      <c r="E33" s="15"/>
      <c r="F33" s="14"/>
      <c r="G33" s="47"/>
      <c r="H33" s="22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16"/>
      <c r="D34" s="18"/>
      <c r="E34" s="15"/>
      <c r="F34" s="14"/>
      <c r="G34" s="47"/>
      <c r="H34" s="22"/>
      <c r="I34" s="14"/>
      <c r="J34" s="14"/>
      <c r="K34" s="14"/>
      <c r="L34" s="14"/>
      <c r="M34" s="14"/>
      <c r="N34" s="73"/>
      <c r="O34" s="73"/>
      <c r="P34" s="73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4">
        <f t="shared" ref="G35:H35" si="1">SUM(G4:G34)</f>
        <v>0</v>
      </c>
      <c r="H35" s="5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8" t="s">
        <v>0</v>
      </c>
      <c r="C38" s="59" t="s">
        <v>6</v>
      </c>
      <c r="D38" s="59" t="s">
        <v>48</v>
      </c>
      <c r="E38" s="1"/>
      <c r="F38" s="1"/>
      <c r="G38" s="1"/>
      <c r="H38" s="1"/>
      <c r="I38" s="1"/>
      <c r="J38" s="1"/>
      <c r="K38" s="1"/>
      <c r="L38" s="1"/>
      <c r="M38" s="1"/>
      <c r="N38" s="59" t="s">
        <v>51</v>
      </c>
      <c r="O38" s="59" t="s">
        <v>1</v>
      </c>
      <c r="P38" s="1"/>
      <c r="Q38" s="1"/>
      <c r="R38" s="1"/>
    </row>
    <row r="39" ht="15.75" customHeight="1">
      <c r="A39" s="1"/>
      <c r="B39" s="62">
        <v>1.0</v>
      </c>
      <c r="C39" s="63" t="s">
        <v>53</v>
      </c>
      <c r="D39" s="64">
        <f>SUM(G35)</f>
        <v>0</v>
      </c>
      <c r="E39" s="65"/>
      <c r="F39" s="1"/>
      <c r="G39" s="1"/>
      <c r="H39" s="1"/>
      <c r="I39" s="1"/>
      <c r="J39" s="1"/>
      <c r="K39" s="1"/>
      <c r="L39" s="1"/>
      <c r="M39" s="1"/>
      <c r="N39" s="66" t="s">
        <v>54</v>
      </c>
      <c r="O39" s="26"/>
      <c r="P39" s="1"/>
      <c r="Q39" s="1"/>
      <c r="R39" s="1"/>
    </row>
    <row r="40" ht="15.75" customHeight="1">
      <c r="A40" s="1"/>
      <c r="B40" s="67">
        <v>2.0</v>
      </c>
      <c r="C40" s="68"/>
      <c r="D40" s="69"/>
      <c r="E40" s="65"/>
      <c r="F40" s="1"/>
      <c r="G40" s="1"/>
      <c r="H40" s="1"/>
      <c r="I40" s="1"/>
      <c r="J40" s="1"/>
      <c r="K40" s="1"/>
      <c r="L40" s="1"/>
      <c r="M40" s="1"/>
      <c r="N40" s="71" t="s">
        <v>55</v>
      </c>
      <c r="O40" s="73"/>
      <c r="P40" s="1"/>
      <c r="Q40" s="1"/>
      <c r="R40" s="1"/>
    </row>
    <row r="41" ht="15.75" customHeight="1">
      <c r="A41" s="1"/>
      <c r="B41" s="62">
        <v>3.0</v>
      </c>
      <c r="C41" s="63"/>
      <c r="D41" s="64"/>
      <c r="E41" s="65"/>
      <c r="F41" s="1"/>
      <c r="G41" s="1"/>
      <c r="H41" s="1"/>
      <c r="I41" s="1"/>
      <c r="J41" s="1"/>
      <c r="K41" s="1"/>
      <c r="L41" s="1"/>
      <c r="M41" s="1"/>
      <c r="N41" s="76" t="s">
        <v>56</v>
      </c>
      <c r="O41" s="34"/>
      <c r="P41" s="1"/>
      <c r="Q41" s="1"/>
      <c r="R41" s="1"/>
    </row>
    <row r="42" ht="15.75" customHeight="1">
      <c r="A42" s="1"/>
      <c r="B42" s="67">
        <v>4.0</v>
      </c>
      <c r="C42" s="68"/>
      <c r="D42" s="69"/>
      <c r="E42" s="65"/>
      <c r="F42" s="1"/>
      <c r="G42" s="1"/>
      <c r="H42" s="1"/>
      <c r="I42" s="1"/>
      <c r="J42" s="1"/>
      <c r="K42" s="1"/>
      <c r="L42" s="1"/>
      <c r="M42" s="1"/>
      <c r="N42" s="77" t="s">
        <v>57</v>
      </c>
      <c r="O42" s="73"/>
      <c r="P42" s="1"/>
      <c r="Q42" s="1"/>
      <c r="R42" s="1"/>
    </row>
    <row r="43" ht="15.75" customHeight="1">
      <c r="A43" s="1"/>
      <c r="B43" s="62"/>
      <c r="C43" s="63"/>
      <c r="D43" s="64"/>
      <c r="E43" s="65"/>
      <c r="F43" s="1"/>
      <c r="G43" s="1"/>
      <c r="H43" s="1"/>
      <c r="I43" s="1"/>
      <c r="J43" s="1"/>
      <c r="K43" s="1"/>
      <c r="L43" s="1"/>
      <c r="M43" s="1"/>
      <c r="N43" s="78"/>
      <c r="O43" s="1"/>
      <c r="P43" s="1"/>
      <c r="Q43" s="1"/>
      <c r="R43" s="1"/>
    </row>
    <row r="44" ht="15.75" customHeight="1">
      <c r="A44" s="1"/>
      <c r="B44" s="67"/>
      <c r="C44" s="68"/>
      <c r="D44" s="69"/>
      <c r="E44" s="6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2"/>
      <c r="C45" s="63"/>
      <c r="D45" s="64"/>
      <c r="E45" s="6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7"/>
      <c r="C46" s="68"/>
      <c r="D46" s="69"/>
      <c r="E46" s="6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2"/>
      <c r="C47" s="63"/>
      <c r="D47" s="64"/>
      <c r="E47" s="6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7"/>
      <c r="C48" s="68"/>
      <c r="D48" s="69"/>
      <c r="E48" s="6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88"/>
      <c r="C49" s="89"/>
      <c r="D49" s="90"/>
      <c r="E49" s="6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5" t="s">
        <v>92</v>
      </c>
      <c r="AU1" s="83" t="s">
        <v>93</v>
      </c>
    </row>
    <row r="2">
      <c r="A2" s="136" t="s">
        <v>94</v>
      </c>
      <c r="AU2" s="83">
        <v>1.0</v>
      </c>
    </row>
    <row r="3">
      <c r="AU3" s="83">
        <v>2.0</v>
      </c>
    </row>
    <row r="4">
      <c r="A4" s="137" t="s">
        <v>95</v>
      </c>
      <c r="AU4" s="83">
        <v>3.0</v>
      </c>
      <c r="AV4" s="83">
        <v>1.0</v>
      </c>
      <c r="AW4" s="83">
        <v>2.0</v>
      </c>
      <c r="AX4" s="83">
        <v>3.0</v>
      </c>
      <c r="AY4" s="83">
        <v>4.0</v>
      </c>
      <c r="AZ4" s="83">
        <v>5.0</v>
      </c>
      <c r="BA4" s="83">
        <v>6.0</v>
      </c>
      <c r="BB4" s="83">
        <v>7.0</v>
      </c>
      <c r="BC4" s="83">
        <v>8.0</v>
      </c>
      <c r="BD4" s="83">
        <v>9.0</v>
      </c>
      <c r="BE4" s="83">
        <v>10.0</v>
      </c>
      <c r="BF4" s="83">
        <v>11.0</v>
      </c>
      <c r="BG4" s="83">
        <v>12.0</v>
      </c>
      <c r="BH4" s="83">
        <v>13.0</v>
      </c>
      <c r="BI4" s="83">
        <v>14.0</v>
      </c>
      <c r="BJ4" s="83">
        <v>15.0</v>
      </c>
      <c r="BK4" s="83">
        <v>16.0</v>
      </c>
      <c r="BL4" s="83">
        <v>17.0</v>
      </c>
      <c r="BM4" s="83">
        <v>18.0</v>
      </c>
      <c r="BN4" s="83">
        <v>19.0</v>
      </c>
      <c r="BO4" s="83">
        <v>20.0</v>
      </c>
      <c r="BP4" s="83">
        <v>21.0</v>
      </c>
      <c r="BQ4" s="83">
        <v>22.0</v>
      </c>
      <c r="BR4" s="83">
        <v>23.0</v>
      </c>
      <c r="BS4" s="83">
        <v>24.0</v>
      </c>
      <c r="BT4" s="83">
        <v>25.0</v>
      </c>
      <c r="BU4" s="83">
        <v>26.0</v>
      </c>
      <c r="BV4" s="83">
        <v>27.0</v>
      </c>
      <c r="BW4" s="83">
        <v>28.0</v>
      </c>
      <c r="BX4" s="83">
        <v>29.0</v>
      </c>
      <c r="BY4" s="83">
        <v>30.0</v>
      </c>
      <c r="BZ4" s="83">
        <v>31.0</v>
      </c>
      <c r="CA4" s="83" t="s">
        <v>96</v>
      </c>
      <c r="CB4" s="83" t="s">
        <v>97</v>
      </c>
    </row>
    <row r="5">
      <c r="A5" s="138" t="s">
        <v>98</v>
      </c>
      <c r="B5" s="138" t="s">
        <v>2</v>
      </c>
      <c r="C5" s="138" t="s">
        <v>99</v>
      </c>
      <c r="D5" s="138" t="s">
        <v>100</v>
      </c>
      <c r="E5" s="138" t="s">
        <v>101</v>
      </c>
      <c r="X5" s="83" t="s">
        <v>33</v>
      </c>
      <c r="Y5" s="83">
        <f>COUNTIF('1'!$D$4:$D$20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</v>
      </c>
      <c r="Z5" s="83">
        <f t="shared" ref="Z5:Z17" si="1">Y5+(18-ROW())/100000</f>
        <v>3.00013</v>
      </c>
      <c r="AA5" s="83" t="s">
        <v>81</v>
      </c>
      <c r="AB5" s="83" t="s">
        <v>102</v>
      </c>
      <c r="AC5" s="83">
        <f>COUNTIF('1'!$O$22:$O$25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83">
        <f t="shared" ref="AD5:AD15" si="2">AC5+(16-ROW())/100000</f>
        <v>0.00011</v>
      </c>
      <c r="AE5" s="83" t="s">
        <v>81</v>
      </c>
      <c r="AF5" s="83">
        <f>COUNTIF('1'!$L$4:$L$20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83">
        <f t="shared" ref="AG5:AG9" si="3">AF5+(10-ROW())/100000</f>
        <v>0.00005</v>
      </c>
      <c r="AH5" s="83" t="s">
        <v>103</v>
      </c>
      <c r="AI5" s="83">
        <f>COUNTIF('1'!$M$4:$M$20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3">
        <f t="shared" ref="AJ5:AJ10" si="4">AI5+(11-ROW())/100000</f>
        <v>0.00006</v>
      </c>
      <c r="AK5" s="83" t="s">
        <v>81</v>
      </c>
      <c r="AL5" s="83" t="s">
        <v>102</v>
      </c>
      <c r="AM5" s="83">
        <f>COUNTIFS('1'!$AG$29:$AG$34,AK5,'1'!$AF$29:$AF$34,1)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83" t="str">
        <f t="shared" ref="AN5:AN15" si="5">IF(AM5=0,"",AO5/5*20+AP5/5*25+AQ5/5*25+AR5/5*15+AS5/5*15)</f>
        <v/>
      </c>
      <c r="AO5" s="83" t="str">
        <f>IF(AM5=0,"",(SUMIFS('1'!$L$29:$L$34,'1'!$AG$29:$AG$34,AK5,'1'!$AF$29:$AF$34,1)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83" t="str">
        <f>IF(AM5=0,"",(SUMIFS('1'!$M$29:$M$34,'1'!$AG$29:$AG$34,AK5,'1'!$AF$29:$AF$34,1)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83" t="str">
        <f>IF(AM5=0,"",(SUMIFS('1'!$N$29:$N$34,'1'!$AG$29:$AG$34,AK5,'1'!$AF$29:$AF$34,1)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83" t="str">
        <f>IF(AM5=0,"",(SUMIFS('1'!$O$29:$O$34,'1'!$AG$29:$AG$34,AK5,'1'!$AF$29:$AF$34,1)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83" t="str">
        <f>IF(AM5=0,"",(SUMIFS('1'!$P$29:$P$34,'1'!$AG$29:$AG$34,AK5,'1'!$AF$29:$AF$34,1)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83">
        <v>4.0</v>
      </c>
      <c r="AV5" s="83" t="str">
        <f>IF(COUNTIFS('1'!$AG$29:$AG$34,$AK5,'1'!$AF$29:$AF$34,1)=0,"",SUMIFS('1'!$AC$29:$AC$34,'1'!$AG$29:$AG$34,$AK5,'1'!$AF$29:$AF$34,1)/COUNTIFS('1'!$AG$29:$AG$34,$AK5,'1'!$AF$29:$AF$34,1))</f>
        <v/>
      </c>
      <c r="AW5" s="83" t="str">
        <f>IF(COUNTIFS('2'!$AG$25:$AG$30,$AK5,'2'!$AF$25:$AF$30,1)=0,"",SUMIFS('2'!$AC$25:$AC$30,'2'!$AG$25:$AG$30,$AK5,'2'!$AF$25:$AF$30,1)/COUNTIFS('2'!$AG$25:$AG$30,$AK5,'2'!$AF$25:$AF$30,1))</f>
        <v/>
      </c>
      <c r="AX5" s="83" t="str">
        <f>IF(COUNTIFS('3'!$AG$24:$AG$29,$AK5,'3'!$AF$24:$AF$29,1)=0,"",SUMIFS('3'!$AC$24:$AC$29,'3'!$AG$24:$AG$29,$AK5,'3'!$AF$24:$AF$29,1)/COUNTIFS('3'!$AG$24:$AG$29,$AK5,'3'!$AF$24:$AF$29,1))</f>
        <v/>
      </c>
      <c r="AY5" s="83" t="str">
        <f>IF(COUNTIFS('4'!$AG$25:$AG$30,$AK5,'4'!$AF$25:$AF$30,1)=0,"",SUMIFS('4'!$AC$25:$AC$30,'4'!$AG$25:$AG$30,$AK5,'4'!$AF$25:$AF$30,1)/COUNTIFS('4'!$AG$25:$AG$30,$AK5,'4'!$AF$25:$AF$30,1))</f>
        <v/>
      </c>
      <c r="AZ5" s="83" t="str">
        <f>IF(COUNTIFS('5'!$AG$25:$AG$30,$AK5,'5'!$AF$25:$AF$30,1)=0,"",SUMIFS('5'!$AC$25:$AC$30,'5'!$AG$25:$AG$30,$AK5,'5'!$AF$25:$AF$30,1)/COUNTIFS('5'!$AG$25:$AG$30,$AK5,'5'!$AF$25:$AF$30,1))</f>
        <v/>
      </c>
      <c r="BA5" s="83" t="str">
        <f>IF(COUNTIFS('6'!$AG$25:$AG$30,$AK5,'6'!$AF$25:$AF$30,1)=0,"",SUMIFS('6'!$AC$25:$AC$30,'6'!$AG$25:$AG$30,$AK5,'6'!$AF$25:$AF$30,1)/COUNTIFS('6'!$AG$25:$AG$30,$AK5,'6'!$AF$25:$AF$30,1))</f>
        <v/>
      </c>
      <c r="BB5" s="83" t="str">
        <f>IF(COUNTIFS('7'!$AG$30:$AG$35,$AK5,'7'!$AF$30:$AF$35,1)=0,"",SUMIFS('7'!$AC$30:$AC$35,'7'!$AG$30:$AG$35,$AK5,'7'!$AF$30:$AF$35,1)/COUNTIFS('7'!$AG$30:$AG$35,$AK5,'7'!$AF$30:$AF$35,1))</f>
        <v/>
      </c>
      <c r="BC5" s="83" t="str">
        <f>IF(COUNTIFS('8'!$AG$25:$AG$30,$AK5,'8'!$AF$25:$AF$30,1)=0,"",SUMIFS('8'!$AC$25:$AC$30,'8'!$AG$25:$AG$30,$AK5,'8'!$AF$25:$AF$30,1)/COUNTIFS('8'!$AG$25:$AG$30,$AK5,'8'!$AF$25:$AF$30,1))</f>
        <v/>
      </c>
      <c r="BD5" s="83" t="str">
        <f>IF(COUNTIFS('9'!$AG$25:$AG$30,$AK5,'9'!$AF$25:$AF$30,1)=0,"",SUMIFS('9'!$AC$25:$AC$30,'9'!$AG$25:$AG$30,$AK5,'9'!$AF$25:$AF$30,1)/COUNTIFS('9'!$AG$25:$AG$30,$AK5,'9'!$AF$25:$AF$30,1))</f>
        <v/>
      </c>
      <c r="BE5" s="83" t="str">
        <f>IF(COUNTIFS('10'!$AG$25:$AG$30,$AK5,'10'!$AF$25:$AF$30,1)=0,"",SUMIFS('10'!$AC$25:$AC$30,'10'!$AG$25:$AG$30,$AK5,'10'!$AF$25:$AF$30,1)/COUNTIFS('10'!$AG$25:$AG$30,$AK5,'10'!$AF$25:$AF$30,1))</f>
        <v/>
      </c>
      <c r="BF5" s="83" t="str">
        <f>IF(COUNTIFS('11'!$AG$25:$AG$30,$AK5,'11'!$AF$25:$AF$30,1)=0,"",SUMIFS('11'!$AC$25:$AC$30,'11'!$AG$25:$AG$30,$AK5,'11'!$AF$25:$AF$30,1)/COUNTIFS('11'!$AG$25:$AG$30,$AK5,'11'!$AF$25:$AF$30,1))</f>
        <v/>
      </c>
      <c r="BG5" s="83" t="str">
        <f>IF(COUNTIFS('12'!$AG$25:$AG$30,$AK5,'12'!$AF$25:$AF$30,1)=0,"",SUMIFS('12'!$AC$25:$AC$30,'12'!$AG$25:$AG$30,$AK5,'12'!$AF$25:$AF$30,1)/COUNTIFS('12'!$AG$25:$AG$30,$AK5,'12'!$AF$25:$AF$30,1))</f>
        <v/>
      </c>
      <c r="BH5" s="83" t="str">
        <f>IF(COUNTIFS('13'!$AG$25:$AG$30,$AK5,'13'!$AF$25:$AF$30,1)=0,"",SUMIFS('13'!$AC$25:$AC$30,'13'!$AG$25:$AG$30,$AK5,'13'!$AF$25:$AF$30,1)/COUNTIFS('13'!$AG$25:$AG$30,$AK5,'13'!$AF$25:$AF$30,1))</f>
        <v/>
      </c>
      <c r="BI5" s="83" t="str">
        <f>IF(COUNTIFS('14'!$AG$25:$AG$30,$AK5,'14'!$AF$25:$AF$30,1)=0,"",SUMIFS('14'!$AC$25:$AC$30,'14'!$AG$25:$AG$30,$AK5,'14'!$AF$25:$AF$30,1)/COUNTIFS('14'!$AG$25:$AG$30,$AK5,'14'!$AF$25:$AF$30,1))</f>
        <v/>
      </c>
      <c r="BJ5" s="83" t="str">
        <f>IF(COUNTIFS('15'!$AG$25:$AG$30,$AK5,'15'!$AF$25:$AF$30,1)=0,"",SUMIFS('15'!$AC$25:$AC$30,'15'!$AG$25:$AG$30,$AK5,'15'!$AF$25:$AF$30,1)/COUNTIFS('15'!$AG$25:$AG$30,$AK5,'15'!$AF$25:$AF$30,1))</f>
        <v/>
      </c>
      <c r="BK5" s="83" t="str">
        <f>IF(COUNTIFS('16'!$AG$25:$AG$30,$AK5,'16'!$AF$25:$AF$30,1)=0,"",SUMIFS('16'!$AC$25:$AC$30,'16'!$AG$25:$AG$30,$AK5,'16'!$AF$25:$AF$30,1)/COUNTIFS('16'!$AG$25:$AG$30,$AK5,'16'!$AF$25:$AF$30,1))</f>
        <v/>
      </c>
      <c r="BL5" s="83" t="str">
        <f>IF(COUNTIFS('17'!$AG$25:$AG$30,$AK5,'17'!$AF$25:$AF$30,1)=0,"",SUMIFS('17'!$AC$25:$AC$30,'17'!$AG$25:$AG$30,$AK5,'17'!$AF$25:$AF$30,1)/COUNTIFS('17'!$AG$25:$AG$30,$AK5,'17'!$AF$25:$AF$30,1))</f>
        <v/>
      </c>
      <c r="BM5" s="83" t="str">
        <f>IF(COUNTIFS('18'!$AG$25:$AG$30,$AK5,'18'!$AF$25:$AF$30,1)=0,"",SUMIFS('18'!$AC$25:$AC$30,'18'!$AG$25:$AG$30,$AK5,'18'!$AF$25:$AF$30,1)/COUNTIFS('18'!$AG$25:$AG$30,$AK5,'18'!$AF$25:$AF$30,1))</f>
        <v/>
      </c>
      <c r="BN5" s="83" t="str">
        <f>IF(COUNTIFS('19'!$AG$25:$AG$30,$AK5,'19'!$AF$25:$AF$30,1)=0,"",SUMIFS('19'!$AC$25:$AC$30,'19'!$AG$25:$AG$30,$AK5,'19'!$AF$25:$AF$30,1)/COUNTIFS('19'!$AG$25:$AG$30,$AK5,'19'!$AF$25:$AF$30,1))</f>
        <v/>
      </c>
      <c r="BO5" s="83" t="str">
        <f>IF(COUNTIFS('20'!$AG$25:$AG$30,$AK5,'20'!$AF$25:$AF$30,1)=0,"",SUMIFS('20'!$AC$25:$AC$30,'20'!$AG$25:$AG$30,$AK5,'20'!$AF$25:$AF$30,1)/COUNTIFS('20'!$AG$25:$AG$30,$AK5,'20'!$AF$25:$AF$30,1))</f>
        <v/>
      </c>
      <c r="BP5" s="83" t="str">
        <f>IF(COUNTIFS('21'!$AG$25:$AG$30,$AK5,'21'!$AF$25:$AF$30,1)=0,"",SUMIFS('21'!$AC$25:$AC$30,'21'!$AG$25:$AG$30,$AK5,'21'!$AF$25:$AF$30,1)/COUNTIFS('21'!$AG$25:$AG$30,$AK5,'21'!$AF$25:$AF$30,1))</f>
        <v/>
      </c>
      <c r="BQ5" s="83" t="str">
        <f>IF(COUNTIFS('22'!$AG$25:$AG$30,$AK5,'22'!$AF$25:$AF$30,1)=0,"",SUMIFS('22'!$AC$25:$AC$30,'22'!$AG$25:$AG$30,$AK5,'22'!$AF$25:$AF$30,1)/COUNTIFS('22'!$AG$25:$AG$30,$AK5,'22'!$AF$25:$AF$30,1))</f>
        <v/>
      </c>
      <c r="BR5" s="83" t="str">
        <f>IF(COUNTIFS('23'!$AG$25:$AG$30,$AK5,'23'!$AF$25:$AF$30,1)=0,"",SUMIFS('23'!$AC$25:$AC$30,'23'!$AG$25:$AG$30,$AK5,'23'!$AF$25:$AF$30,1)/COUNTIFS('23'!$AG$25:$AG$30,$AK5,'23'!$AF$25:$AF$30,1))</f>
        <v/>
      </c>
      <c r="BS5" s="83" t="str">
        <f>IF(COUNTIFS('24'!$AG$25:$AG$30,$AK5,'24'!$AF$25:$AF$30,1)=0,"",SUMIFS('24'!$AC$25:$AC$30,'24'!$AG$25:$AG$30,$AK5,'24'!$AF$25:$AF$30,1)/COUNTIFS('24'!$AG$25:$AG$30,$AK5,'24'!$AF$25:$AF$30,1))</f>
        <v/>
      </c>
      <c r="BT5" s="83" t="str">
        <f>IF(COUNTIFS('25'!$AG$25:$AG$30,$AK5,'25'!$AF$25:$AF$30,1)=0,"",SUMIFS('25'!$AC$25:$AC$30,'25'!$AG$25:$AG$30,$AK5,'25'!$AF$25:$AF$30,1)/COUNTIFS('25'!$AG$25:$AG$30,$AK5,'25'!$AF$25:$AF$30,1))</f>
        <v/>
      </c>
      <c r="BU5" s="83" t="str">
        <f>IF(COUNTIFS('26'!$AG$25:$AG$30,$AK5,'26'!$AF$25:$AF$30,1)=0,"",SUMIFS('26'!$AC$25:$AC$30,'26'!$AG$25:$AG$30,$AK5,'26'!$AF$25:$AF$30,1)/COUNTIFS('26'!$AG$25:$AG$30,$AK5,'26'!$AF$25:$AF$30,1))</f>
        <v/>
      </c>
      <c r="BV5" s="83" t="str">
        <f>IF(COUNTIFS('27'!$AG$25:$AG$30,$AK5,'27'!$AF$25:$AF$30,1)=0,"",SUMIFS('27'!$AC$25:$AC$30,'27'!$AG$25:$AG$30,$AK5,'27'!$AF$25:$AF$30,1)/COUNTIFS('27'!$AG$25:$AG$30,$AK5,'27'!$AF$25:$AF$30,1))</f>
        <v/>
      </c>
      <c r="BW5" s="83" t="str">
        <f>IF(COUNTIFS('28'!$AG$25:$AG$30,$AK5,'28'!$AF$25:$AF$30,1)=0,"",SUMIFS('28'!$AC$25:$AC$30,'28'!$AG$25:$AG$30,$AK5,'28'!$AF$25:$AF$30,1)/COUNTIFS('28'!$AG$25:$AG$30,$AK5,'28'!$AF$25:$AF$30,1))</f>
        <v/>
      </c>
      <c r="BX5" s="83" t="str">
        <f>IF(COUNTIFS('29'!$AG$25:$AG$30,$AK5,'29'!$AF$25:$AF$30,1)=0,"",SUMIFS('29'!$AC$25:$AC$30,'29'!$AG$25:$AG$30,$AK5,'29'!$AF$25:$AF$30,1)/COUNTIFS('29'!$AG$25:$AG$30,$AK5,'29'!$AF$25:$AF$30,1))</f>
        <v/>
      </c>
      <c r="BY5" s="83" t="str">
        <f>IF(COUNTIFS('30'!$AG$25:$AG$30,$AK5,'30'!$AF$25:$AF$30,1)=0,"",SUMIFS('30'!$AC$25:$AC$30,'30'!$AG$25:$AG$30,$AK5,'30'!$AF$25:$AF$30,1)/COUNTIFS('30'!$AG$25:$AG$30,$AK5,'30'!$AF$25:$AF$30,1))</f>
        <v/>
      </c>
      <c r="BZ5" s="83" t="str">
        <f>IF(COUNTIFS('31'!$AG$28:$AG$33,$AK5,'31'!$AF$28:$AF$33,1)=0,"",SUMIFS('31'!$AC$28:$AC$33,'31'!$AG$28:$AG$33,$AK5,'31'!$AF$28:$AF$33,1)/COUNTIFS('31'!$AG$28:$AG$33,$AK5,'31'!$AF$28:$AF$33,1))</f>
        <v/>
      </c>
      <c r="CA5" s="83" t="s">
        <v>104</v>
      </c>
      <c r="CB5" s="83">
        <f t="shared" ref="CB5:CB8" si="6">COUNTIF($J$51:$J$61,CA5)</f>
        <v>0</v>
      </c>
    </row>
    <row r="6">
      <c r="A6" s="140">
        <f>IF(LARGE($Y$5:$Y$17,1)=0,"",1)</f>
        <v>1</v>
      </c>
      <c r="B6" s="140" t="str">
        <f t="shared" ref="B6:B18" si="7">IF(A6="","",INDEX($X$5:$X$17,MATCH(LARGE($Z$5:$Z$17,A6),$Z$5:$Z$17,0)))</f>
        <v>Large Group</v>
      </c>
      <c r="C6" s="140">
        <f t="shared" ref="C6:C18" si="8">IF(B6="","",INDEX($Y$5:$Y$17,MATCH(B6,$X$5:$X$17,0)))</f>
        <v>3</v>
      </c>
      <c r="D6" s="141">
        <f t="shared" ref="D6:D18" si="9">IF(C6="","",C6/$C$19)</f>
        <v>0.2727272727</v>
      </c>
      <c r="E6" s="141">
        <f t="shared" ref="E6:E18" si="10">IF(D6="","",SUM($D$6:D6))</f>
        <v>0.2727272727</v>
      </c>
      <c r="X6" s="83" t="s">
        <v>19</v>
      </c>
      <c r="Y6" s="83">
        <f>COUNTIF('1'!$D$4:$D$20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3</v>
      </c>
      <c r="Z6" s="83">
        <f t="shared" si="1"/>
        <v>3.00012</v>
      </c>
      <c r="AA6" s="83" t="s">
        <v>105</v>
      </c>
      <c r="AB6" s="83" t="s">
        <v>102</v>
      </c>
      <c r="AC6" s="83">
        <f>COUNTIF('1'!$O$22:$O$25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3">
        <f t="shared" si="2"/>
        <v>0.0001</v>
      </c>
      <c r="AE6" s="83" t="s">
        <v>105</v>
      </c>
      <c r="AF6" s="83">
        <f>COUNTIF('1'!$L$4:$L$20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3">
        <f t="shared" si="3"/>
        <v>0.00004</v>
      </c>
      <c r="AH6" s="83" t="s">
        <v>106</v>
      </c>
      <c r="AI6" s="83">
        <f>COUNTIF('1'!$M$4:$M$20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3">
        <f t="shared" si="4"/>
        <v>0.00005</v>
      </c>
      <c r="AK6" s="83" t="s">
        <v>105</v>
      </c>
      <c r="AL6" s="83" t="s">
        <v>102</v>
      </c>
      <c r="AM6" s="83">
        <f>COUNTIFS('1'!$AG$29:$AG$34,AK6,'1'!$AF$29:$AF$34,1)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3" t="str">
        <f t="shared" si="5"/>
        <v/>
      </c>
      <c r="AO6" s="83" t="str">
        <f>IF(AM6=0,"",(SUMIFS('1'!$L$29:$L$34,'1'!$AG$29:$AG$34,AK6,'1'!$AF$29:$AF$34,1)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3" t="str">
        <f>IF(AM6=0,"",(SUMIFS('1'!$M$29:$M$34,'1'!$AG$29:$AG$34,AK6,'1'!$AF$29:$AF$34,1)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3" t="str">
        <f>IF(AM6=0,"",(SUMIFS('1'!$N$29:$N$34,'1'!$AG$29:$AG$34,AK6,'1'!$AF$29:$AF$34,1)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3" t="str">
        <f>IF(AM6=0,"",(SUMIFS('1'!$O$29:$O$34,'1'!$AG$29:$AG$34,AK6,'1'!$AF$29:$AF$34,1)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3" t="str">
        <f>IF(AM6=0,"",(SUMIFS('1'!$P$29:$P$34,'1'!$AG$29:$AG$34,AK6,'1'!$AF$29:$AF$34,1)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3">
        <v>5.0</v>
      </c>
      <c r="AV6" s="83" t="str">
        <f>IF(COUNTIFS('1'!$AG$29:$AG$34,$AK6,'1'!$AF$29:$AF$34,1)=0,"",SUMIFS('1'!$AC$29:$AC$34,'1'!$AG$29:$AG$34,$AK6,'1'!$AF$29:$AF$34,1)/COUNTIFS('1'!$AG$29:$AG$34,$AK6,'1'!$AF$29:$AF$34,1))</f>
        <v/>
      </c>
      <c r="AW6" s="83" t="str">
        <f>IF(COUNTIFS('2'!$AG$25:$AG$30,$AK6,'2'!$AF$25:$AF$30,1)=0,"",SUMIFS('2'!$AC$25:$AC$30,'2'!$AG$25:$AG$30,$AK6,'2'!$AF$25:$AF$30,1)/COUNTIFS('2'!$AG$25:$AG$30,$AK6,'2'!$AF$25:$AF$30,1))</f>
        <v/>
      </c>
      <c r="AX6" s="83" t="str">
        <f>IF(COUNTIFS('3'!$AG$24:$AG$29,$AK6,'3'!$AF$24:$AF$29,1)=0,"",SUMIFS('3'!$AC$24:$AC$29,'3'!$AG$24:$AG$29,$AK6,'3'!$AF$24:$AF$29,1)/COUNTIFS('3'!$AG$24:$AG$29,$AK6,'3'!$AF$24:$AF$29,1))</f>
        <v/>
      </c>
      <c r="AY6" s="83" t="str">
        <f>IF(COUNTIFS('4'!$AG$25:$AG$30,$AK6,'4'!$AF$25:$AF$30,1)=0,"",SUMIFS('4'!$AC$25:$AC$30,'4'!$AG$25:$AG$30,$AK6,'4'!$AF$25:$AF$30,1)/COUNTIFS('4'!$AG$25:$AG$30,$AK6,'4'!$AF$25:$AF$30,1))</f>
        <v/>
      </c>
      <c r="AZ6" s="83" t="str">
        <f>IF(COUNTIFS('5'!$AG$25:$AG$30,$AK6,'5'!$AF$25:$AF$30,1)=0,"",SUMIFS('5'!$AC$25:$AC$30,'5'!$AG$25:$AG$30,$AK6,'5'!$AF$25:$AF$30,1)/COUNTIFS('5'!$AG$25:$AG$30,$AK6,'5'!$AF$25:$AF$30,1))</f>
        <v/>
      </c>
      <c r="BA6" s="83" t="str">
        <f>IF(COUNTIFS('6'!$AG$25:$AG$30,$AK6,'6'!$AF$25:$AF$30,1)=0,"",SUMIFS('6'!$AC$25:$AC$30,'6'!$AG$25:$AG$30,$AK6,'6'!$AF$25:$AF$30,1)/COUNTIFS('6'!$AG$25:$AG$30,$AK6,'6'!$AF$25:$AF$30,1))</f>
        <v/>
      </c>
      <c r="BB6" s="83" t="str">
        <f>IF(COUNTIFS('7'!$AG$30:$AG$35,$AK6,'7'!$AF$30:$AF$35,1)=0,"",SUMIFS('7'!$AC$30:$AC$35,'7'!$AG$30:$AG$35,$AK6,'7'!$AF$30:$AF$35,1)/COUNTIFS('7'!$AG$30:$AG$35,$AK6,'7'!$AF$30:$AF$35,1))</f>
        <v/>
      </c>
      <c r="BC6" s="83" t="str">
        <f>IF(COUNTIFS('8'!$AG$25:$AG$30,$AK6,'8'!$AF$25:$AF$30,1)=0,"",SUMIFS('8'!$AC$25:$AC$30,'8'!$AG$25:$AG$30,$AK6,'8'!$AF$25:$AF$30,1)/COUNTIFS('8'!$AG$25:$AG$30,$AK6,'8'!$AF$25:$AF$30,1))</f>
        <v/>
      </c>
      <c r="BD6" s="83" t="str">
        <f>IF(COUNTIFS('9'!$AG$25:$AG$30,$AK6,'9'!$AF$25:$AF$30,1)=0,"",SUMIFS('9'!$AC$25:$AC$30,'9'!$AG$25:$AG$30,$AK6,'9'!$AF$25:$AF$30,1)/COUNTIFS('9'!$AG$25:$AG$30,$AK6,'9'!$AF$25:$AF$30,1))</f>
        <v/>
      </c>
      <c r="BE6" s="83" t="str">
        <f>IF(COUNTIFS('10'!$AG$25:$AG$30,$AK6,'10'!$AF$25:$AF$30,1)=0,"",SUMIFS('10'!$AC$25:$AC$30,'10'!$AG$25:$AG$30,$AK6,'10'!$AF$25:$AF$30,1)/COUNTIFS('10'!$AG$25:$AG$30,$AK6,'10'!$AF$25:$AF$30,1))</f>
        <v/>
      </c>
      <c r="BF6" s="83" t="str">
        <f>IF(COUNTIFS('11'!$AG$25:$AG$30,$AK6,'11'!$AF$25:$AF$30,1)=0,"",SUMIFS('11'!$AC$25:$AC$30,'11'!$AG$25:$AG$30,$AK6,'11'!$AF$25:$AF$30,1)/COUNTIFS('11'!$AG$25:$AG$30,$AK6,'11'!$AF$25:$AF$30,1))</f>
        <v/>
      </c>
      <c r="BG6" s="83" t="str">
        <f>IF(COUNTIFS('12'!$AG$25:$AG$30,$AK6,'12'!$AF$25:$AF$30,1)=0,"",SUMIFS('12'!$AC$25:$AC$30,'12'!$AG$25:$AG$30,$AK6,'12'!$AF$25:$AF$30,1)/COUNTIFS('12'!$AG$25:$AG$30,$AK6,'12'!$AF$25:$AF$30,1))</f>
        <v/>
      </c>
      <c r="BH6" s="83" t="str">
        <f>IF(COUNTIFS('13'!$AG$25:$AG$30,$AK6,'13'!$AF$25:$AF$30,1)=0,"",SUMIFS('13'!$AC$25:$AC$30,'13'!$AG$25:$AG$30,$AK6,'13'!$AF$25:$AF$30,1)/COUNTIFS('13'!$AG$25:$AG$30,$AK6,'13'!$AF$25:$AF$30,1))</f>
        <v/>
      </c>
      <c r="BI6" s="83" t="str">
        <f>IF(COUNTIFS('14'!$AG$25:$AG$30,$AK6,'14'!$AF$25:$AF$30,1)=0,"",SUMIFS('14'!$AC$25:$AC$30,'14'!$AG$25:$AG$30,$AK6,'14'!$AF$25:$AF$30,1)/COUNTIFS('14'!$AG$25:$AG$30,$AK6,'14'!$AF$25:$AF$30,1))</f>
        <v/>
      </c>
      <c r="BJ6" s="83" t="str">
        <f>IF(COUNTIFS('15'!$AG$25:$AG$30,$AK6,'15'!$AF$25:$AF$30,1)=0,"",SUMIFS('15'!$AC$25:$AC$30,'15'!$AG$25:$AG$30,$AK6,'15'!$AF$25:$AF$30,1)/COUNTIFS('15'!$AG$25:$AG$30,$AK6,'15'!$AF$25:$AF$30,1))</f>
        <v/>
      </c>
      <c r="BK6" s="83" t="str">
        <f>IF(COUNTIFS('16'!$AG$25:$AG$30,$AK6,'16'!$AF$25:$AF$30,1)=0,"",SUMIFS('16'!$AC$25:$AC$30,'16'!$AG$25:$AG$30,$AK6,'16'!$AF$25:$AF$30,1)/COUNTIFS('16'!$AG$25:$AG$30,$AK6,'16'!$AF$25:$AF$30,1))</f>
        <v/>
      </c>
      <c r="BL6" s="83" t="str">
        <f>IF(COUNTIFS('17'!$AG$25:$AG$30,$AK6,'17'!$AF$25:$AF$30,1)=0,"",SUMIFS('17'!$AC$25:$AC$30,'17'!$AG$25:$AG$30,$AK6,'17'!$AF$25:$AF$30,1)/COUNTIFS('17'!$AG$25:$AG$30,$AK6,'17'!$AF$25:$AF$30,1))</f>
        <v/>
      </c>
      <c r="BM6" s="83" t="str">
        <f>IF(COUNTIFS('18'!$AG$25:$AG$30,$AK6,'18'!$AF$25:$AF$30,1)=0,"",SUMIFS('18'!$AC$25:$AC$30,'18'!$AG$25:$AG$30,$AK6,'18'!$AF$25:$AF$30,1)/COUNTIFS('18'!$AG$25:$AG$30,$AK6,'18'!$AF$25:$AF$30,1))</f>
        <v/>
      </c>
      <c r="BN6" s="83" t="str">
        <f>IF(COUNTIFS('19'!$AG$25:$AG$30,$AK6,'19'!$AF$25:$AF$30,1)=0,"",SUMIFS('19'!$AC$25:$AC$30,'19'!$AG$25:$AG$30,$AK6,'19'!$AF$25:$AF$30,1)/COUNTIFS('19'!$AG$25:$AG$30,$AK6,'19'!$AF$25:$AF$30,1))</f>
        <v/>
      </c>
      <c r="BO6" s="83" t="str">
        <f>IF(COUNTIFS('20'!$AG$25:$AG$30,$AK6,'20'!$AF$25:$AF$30,1)=0,"",SUMIFS('20'!$AC$25:$AC$30,'20'!$AG$25:$AG$30,$AK6,'20'!$AF$25:$AF$30,1)/COUNTIFS('20'!$AG$25:$AG$30,$AK6,'20'!$AF$25:$AF$30,1))</f>
        <v/>
      </c>
      <c r="BP6" s="83" t="str">
        <f>IF(COUNTIFS('21'!$AG$25:$AG$30,$AK6,'21'!$AF$25:$AF$30,1)=0,"",SUMIFS('21'!$AC$25:$AC$30,'21'!$AG$25:$AG$30,$AK6,'21'!$AF$25:$AF$30,1)/COUNTIFS('21'!$AG$25:$AG$30,$AK6,'21'!$AF$25:$AF$30,1))</f>
        <v/>
      </c>
      <c r="BQ6" s="83" t="str">
        <f>IF(COUNTIFS('22'!$AG$25:$AG$30,$AK6,'22'!$AF$25:$AF$30,1)=0,"",SUMIFS('22'!$AC$25:$AC$30,'22'!$AG$25:$AG$30,$AK6,'22'!$AF$25:$AF$30,1)/COUNTIFS('22'!$AG$25:$AG$30,$AK6,'22'!$AF$25:$AF$30,1))</f>
        <v/>
      </c>
      <c r="BR6" s="83" t="str">
        <f>IF(COUNTIFS('23'!$AG$25:$AG$30,$AK6,'23'!$AF$25:$AF$30,1)=0,"",SUMIFS('23'!$AC$25:$AC$30,'23'!$AG$25:$AG$30,$AK6,'23'!$AF$25:$AF$30,1)/COUNTIFS('23'!$AG$25:$AG$30,$AK6,'23'!$AF$25:$AF$30,1))</f>
        <v/>
      </c>
      <c r="BS6" s="83" t="str">
        <f>IF(COUNTIFS('24'!$AG$25:$AG$30,$AK6,'24'!$AF$25:$AF$30,1)=0,"",SUMIFS('24'!$AC$25:$AC$30,'24'!$AG$25:$AG$30,$AK6,'24'!$AF$25:$AF$30,1)/COUNTIFS('24'!$AG$25:$AG$30,$AK6,'24'!$AF$25:$AF$30,1))</f>
        <v/>
      </c>
      <c r="BT6" s="83" t="str">
        <f>IF(COUNTIFS('25'!$AG$25:$AG$30,$AK6,'25'!$AF$25:$AF$30,1)=0,"",SUMIFS('25'!$AC$25:$AC$30,'25'!$AG$25:$AG$30,$AK6,'25'!$AF$25:$AF$30,1)/COUNTIFS('25'!$AG$25:$AG$30,$AK6,'25'!$AF$25:$AF$30,1))</f>
        <v/>
      </c>
      <c r="BU6" s="83" t="str">
        <f>IF(COUNTIFS('26'!$AG$25:$AG$30,$AK6,'26'!$AF$25:$AF$30,1)=0,"",SUMIFS('26'!$AC$25:$AC$30,'26'!$AG$25:$AG$30,$AK6,'26'!$AF$25:$AF$30,1)/COUNTIFS('26'!$AG$25:$AG$30,$AK6,'26'!$AF$25:$AF$30,1))</f>
        <v/>
      </c>
      <c r="BV6" s="83" t="str">
        <f>IF(COUNTIFS('27'!$AG$25:$AG$30,$AK6,'27'!$AF$25:$AF$30,1)=0,"",SUMIFS('27'!$AC$25:$AC$30,'27'!$AG$25:$AG$30,$AK6,'27'!$AF$25:$AF$30,1)/COUNTIFS('27'!$AG$25:$AG$30,$AK6,'27'!$AF$25:$AF$30,1))</f>
        <v/>
      </c>
      <c r="BW6" s="83" t="str">
        <f>IF(COUNTIFS('28'!$AG$25:$AG$30,$AK6,'28'!$AF$25:$AF$30,1)=0,"",SUMIFS('28'!$AC$25:$AC$30,'28'!$AG$25:$AG$30,$AK6,'28'!$AF$25:$AF$30,1)/COUNTIFS('28'!$AG$25:$AG$30,$AK6,'28'!$AF$25:$AF$30,1))</f>
        <v/>
      </c>
      <c r="BX6" s="83" t="str">
        <f>IF(COUNTIFS('29'!$AG$25:$AG$30,$AK6,'29'!$AF$25:$AF$30,1)=0,"",SUMIFS('29'!$AC$25:$AC$30,'29'!$AG$25:$AG$30,$AK6,'29'!$AF$25:$AF$30,1)/COUNTIFS('29'!$AG$25:$AG$30,$AK6,'29'!$AF$25:$AF$30,1))</f>
        <v/>
      </c>
      <c r="BY6" s="83" t="str">
        <f>IF(COUNTIFS('30'!$AG$25:$AG$30,$AK6,'30'!$AF$25:$AF$30,1)=0,"",SUMIFS('30'!$AC$25:$AC$30,'30'!$AG$25:$AG$30,$AK6,'30'!$AF$25:$AF$30,1)/COUNTIFS('30'!$AG$25:$AG$30,$AK6,'30'!$AF$25:$AF$30,1))</f>
        <v/>
      </c>
      <c r="BZ6" s="83" t="str">
        <f>IF(COUNTIFS('31'!$AG$28:$AG$33,$AK6,'31'!$AF$28:$AF$33,1)=0,"",SUMIFS('31'!$AC$28:$AC$33,'31'!$AG$28:$AG$33,$AK6,'31'!$AF$28:$AF$33,1)/COUNTIFS('31'!$AG$28:$AG$33,$AK6,'31'!$AF$28:$AF$33,1))</f>
        <v/>
      </c>
      <c r="CA6" s="83" t="s">
        <v>107</v>
      </c>
      <c r="CB6" s="83">
        <f t="shared" si="6"/>
        <v>0</v>
      </c>
    </row>
    <row r="7">
      <c r="A7" s="140">
        <f>IF(LARGE($Y$5:$Y$17,2)=0,"",2)</f>
        <v>2</v>
      </c>
      <c r="B7" s="140" t="str">
        <f t="shared" si="7"/>
        <v>Graduation</v>
      </c>
      <c r="C7" s="140">
        <f t="shared" si="8"/>
        <v>3</v>
      </c>
      <c r="D7" s="141">
        <f t="shared" si="9"/>
        <v>0.2727272727</v>
      </c>
      <c r="E7" s="141">
        <f t="shared" si="10"/>
        <v>0.5454545455</v>
      </c>
      <c r="X7" s="83" t="s">
        <v>43</v>
      </c>
      <c r="Y7" s="83">
        <f>COUNTIF('1'!$D$4:$D$20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</v>
      </c>
      <c r="Z7" s="83">
        <f t="shared" si="1"/>
        <v>1.00011</v>
      </c>
      <c r="AA7" s="83" t="s">
        <v>22</v>
      </c>
      <c r="AB7" s="83" t="s">
        <v>102</v>
      </c>
      <c r="AC7" s="83">
        <f>COUNTIF('1'!$O$22:$O$25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</v>
      </c>
      <c r="AD7" s="83">
        <f t="shared" si="2"/>
        <v>2.00009</v>
      </c>
      <c r="AE7" s="83" t="s">
        <v>22</v>
      </c>
      <c r="AF7" s="83">
        <f>COUNTIF('1'!$L$4:$L$20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</v>
      </c>
      <c r="AG7" s="83">
        <f t="shared" si="3"/>
        <v>13.00003</v>
      </c>
      <c r="AH7" s="83" t="s">
        <v>29</v>
      </c>
      <c r="AI7" s="83">
        <f>COUNTIF('1'!$M$4:$M$20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</v>
      </c>
      <c r="AJ7" s="83">
        <f t="shared" si="4"/>
        <v>7.00004</v>
      </c>
      <c r="AK7" s="83" t="s">
        <v>22</v>
      </c>
      <c r="AL7" s="83" t="s">
        <v>102</v>
      </c>
      <c r="AM7" s="83">
        <f>COUNTIFS('1'!$AG$29:$AG$34,AK7,'1'!$AF$29:$AF$34,1)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0</v>
      </c>
      <c r="AN7" s="83" t="str">
        <f t="shared" si="5"/>
        <v/>
      </c>
      <c r="AO7" s="83" t="str">
        <f>IF(AM7=0,"",(SUMIFS('1'!$L$29:$L$34,'1'!$AG$29:$AG$34,AK7,'1'!$AF$29:$AF$34,1)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/>
      </c>
      <c r="AP7" s="83" t="str">
        <f>IF(AM7=0,"",(SUMIFS('1'!$M$29:$M$34,'1'!$AG$29:$AG$34,AK7,'1'!$AF$29:$AF$34,1)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/>
      </c>
      <c r="AQ7" s="83" t="str">
        <f>IF(AM7=0,"",(SUMIFS('1'!$N$29:$N$34,'1'!$AG$29:$AG$34,AK7,'1'!$AF$29:$AF$34,1)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/>
      </c>
      <c r="AR7" s="83" t="str">
        <f>IF(AM7=0,"",(SUMIFS('1'!$O$29:$O$34,'1'!$AG$29:$AG$34,AK7,'1'!$AF$29:$AF$34,1)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/>
      </c>
      <c r="AS7" s="83" t="str">
        <f>IF(AM7=0,"",(SUMIFS('1'!$P$29:$P$34,'1'!$AG$29:$AG$34,AK7,'1'!$AF$29:$AF$34,1)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/>
      </c>
      <c r="AV7" s="83" t="str">
        <f>IF(COUNTIFS('1'!$AG$29:$AG$34,$AK7,'1'!$AF$29:$AF$34,1)=0,"",SUMIFS('1'!$AC$29:$AC$34,'1'!$AG$29:$AG$34,$AK7,'1'!$AF$29:$AF$34,1)/COUNTIFS('1'!$AG$29:$AG$34,$AK7,'1'!$AF$29:$AF$34,1))</f>
        <v/>
      </c>
      <c r="AW7" s="83" t="str">
        <f>IF(COUNTIFS('2'!$AG$25:$AG$30,$AK7,'2'!$AF$25:$AF$30,1)=0,"",SUMIFS('2'!$AC$25:$AC$30,'2'!$AG$25:$AG$30,$AK7,'2'!$AF$25:$AF$30,1)/COUNTIFS('2'!$AG$25:$AG$30,$AK7,'2'!$AF$25:$AF$30,1))</f>
        <v/>
      </c>
      <c r="AX7" s="83" t="str">
        <f>IF(COUNTIFS('3'!$AG$24:$AG$29,$AK7,'3'!$AF$24:$AF$29,1)=0,"",SUMIFS('3'!$AC$24:$AC$29,'3'!$AG$24:$AG$29,$AK7,'3'!$AF$24:$AF$29,1)/COUNTIFS('3'!$AG$24:$AG$29,$AK7,'3'!$AF$24:$AF$29,1))</f>
        <v/>
      </c>
      <c r="AY7" s="83" t="str">
        <f>IF(COUNTIFS('4'!$AG$25:$AG$30,$AK7,'4'!$AF$25:$AF$30,1)=0,"",SUMIFS('4'!$AC$25:$AC$30,'4'!$AG$25:$AG$30,$AK7,'4'!$AF$25:$AF$30,1)/COUNTIFS('4'!$AG$25:$AG$30,$AK7,'4'!$AF$25:$AF$30,1))</f>
        <v/>
      </c>
      <c r="AZ7" s="83" t="str">
        <f>IF(COUNTIFS('5'!$AG$25:$AG$30,$AK7,'5'!$AF$25:$AF$30,1)=0,"",SUMIFS('5'!$AC$25:$AC$30,'5'!$AG$25:$AG$30,$AK7,'5'!$AF$25:$AF$30,1)/COUNTIFS('5'!$AG$25:$AG$30,$AK7,'5'!$AF$25:$AF$30,1))</f>
        <v/>
      </c>
      <c r="BA7" s="83" t="str">
        <f>IF(COUNTIFS('6'!$AG$25:$AG$30,$AK7,'6'!$AF$25:$AF$30,1)=0,"",SUMIFS('6'!$AC$25:$AC$30,'6'!$AG$25:$AG$30,$AK7,'6'!$AF$25:$AF$30,1)/COUNTIFS('6'!$AG$25:$AG$30,$AK7,'6'!$AF$25:$AF$30,1))</f>
        <v/>
      </c>
      <c r="BB7" s="83" t="str">
        <f>IF(COUNTIFS('7'!$AG$30:$AG$35,$AK7,'7'!$AF$30:$AF$35,1)=0,"",SUMIFS('7'!$AC$30:$AC$35,'7'!$AG$30:$AG$35,$AK7,'7'!$AF$30:$AF$35,1)/COUNTIFS('7'!$AG$30:$AG$35,$AK7,'7'!$AF$30:$AF$35,1))</f>
        <v/>
      </c>
      <c r="BC7" s="83" t="str">
        <f>IF(COUNTIFS('8'!$AG$25:$AG$30,$AK7,'8'!$AF$25:$AF$30,1)=0,"",SUMIFS('8'!$AC$25:$AC$30,'8'!$AG$25:$AG$30,$AK7,'8'!$AF$25:$AF$30,1)/COUNTIFS('8'!$AG$25:$AG$30,$AK7,'8'!$AF$25:$AF$30,1))</f>
        <v/>
      </c>
      <c r="BD7" s="83" t="str">
        <f>IF(COUNTIFS('9'!$AG$25:$AG$30,$AK7,'9'!$AF$25:$AF$30,1)=0,"",SUMIFS('9'!$AC$25:$AC$30,'9'!$AG$25:$AG$30,$AK7,'9'!$AF$25:$AF$30,1)/COUNTIFS('9'!$AG$25:$AG$30,$AK7,'9'!$AF$25:$AF$30,1))</f>
        <v/>
      </c>
      <c r="BE7" s="83" t="str">
        <f>IF(COUNTIFS('10'!$AG$25:$AG$30,$AK7,'10'!$AF$25:$AF$30,1)=0,"",SUMIFS('10'!$AC$25:$AC$30,'10'!$AG$25:$AG$30,$AK7,'10'!$AF$25:$AF$30,1)/COUNTIFS('10'!$AG$25:$AG$30,$AK7,'10'!$AF$25:$AF$30,1))</f>
        <v/>
      </c>
      <c r="BF7" s="83" t="str">
        <f>IF(COUNTIFS('11'!$AG$25:$AG$30,$AK7,'11'!$AF$25:$AF$30,1)=0,"",SUMIFS('11'!$AC$25:$AC$30,'11'!$AG$25:$AG$30,$AK7,'11'!$AF$25:$AF$30,1)/COUNTIFS('11'!$AG$25:$AG$30,$AK7,'11'!$AF$25:$AF$30,1))</f>
        <v/>
      </c>
      <c r="BG7" s="83" t="str">
        <f>IF(COUNTIFS('12'!$AG$25:$AG$30,$AK7,'12'!$AF$25:$AF$30,1)=0,"",SUMIFS('12'!$AC$25:$AC$30,'12'!$AG$25:$AG$30,$AK7,'12'!$AF$25:$AF$30,1)/COUNTIFS('12'!$AG$25:$AG$30,$AK7,'12'!$AF$25:$AF$30,1))</f>
        <v/>
      </c>
      <c r="BH7" s="83" t="str">
        <f>IF(COUNTIFS('13'!$AG$25:$AG$30,$AK7,'13'!$AF$25:$AF$30,1)=0,"",SUMIFS('13'!$AC$25:$AC$30,'13'!$AG$25:$AG$30,$AK7,'13'!$AF$25:$AF$30,1)/COUNTIFS('13'!$AG$25:$AG$30,$AK7,'13'!$AF$25:$AF$30,1))</f>
        <v/>
      </c>
      <c r="BI7" s="83" t="str">
        <f>IF(COUNTIFS('14'!$AG$25:$AG$30,$AK7,'14'!$AF$25:$AF$30,1)=0,"",SUMIFS('14'!$AC$25:$AC$30,'14'!$AG$25:$AG$30,$AK7,'14'!$AF$25:$AF$30,1)/COUNTIFS('14'!$AG$25:$AG$30,$AK7,'14'!$AF$25:$AF$30,1))</f>
        <v/>
      </c>
      <c r="BJ7" s="83" t="str">
        <f>IF(COUNTIFS('15'!$AG$25:$AG$30,$AK7,'15'!$AF$25:$AF$30,1)=0,"",SUMIFS('15'!$AC$25:$AC$30,'15'!$AG$25:$AG$30,$AK7,'15'!$AF$25:$AF$30,1)/COUNTIFS('15'!$AG$25:$AG$30,$AK7,'15'!$AF$25:$AF$30,1))</f>
        <v/>
      </c>
      <c r="BK7" s="83" t="str">
        <f>IF(COUNTIFS('16'!$AG$25:$AG$30,$AK7,'16'!$AF$25:$AF$30,1)=0,"",SUMIFS('16'!$AC$25:$AC$30,'16'!$AG$25:$AG$30,$AK7,'16'!$AF$25:$AF$30,1)/COUNTIFS('16'!$AG$25:$AG$30,$AK7,'16'!$AF$25:$AF$30,1))</f>
        <v/>
      </c>
      <c r="BL7" s="83" t="str">
        <f>IF(COUNTIFS('17'!$AG$25:$AG$30,$AK7,'17'!$AF$25:$AF$30,1)=0,"",SUMIFS('17'!$AC$25:$AC$30,'17'!$AG$25:$AG$30,$AK7,'17'!$AF$25:$AF$30,1)/COUNTIFS('17'!$AG$25:$AG$30,$AK7,'17'!$AF$25:$AF$30,1))</f>
        <v/>
      </c>
      <c r="BM7" s="83" t="str">
        <f>IF(COUNTIFS('18'!$AG$25:$AG$30,$AK7,'18'!$AF$25:$AF$30,1)=0,"",SUMIFS('18'!$AC$25:$AC$30,'18'!$AG$25:$AG$30,$AK7,'18'!$AF$25:$AF$30,1)/COUNTIFS('18'!$AG$25:$AG$30,$AK7,'18'!$AF$25:$AF$30,1))</f>
        <v/>
      </c>
      <c r="BN7" s="83" t="str">
        <f>IF(COUNTIFS('19'!$AG$25:$AG$30,$AK7,'19'!$AF$25:$AF$30,1)=0,"",SUMIFS('19'!$AC$25:$AC$30,'19'!$AG$25:$AG$30,$AK7,'19'!$AF$25:$AF$30,1)/COUNTIFS('19'!$AG$25:$AG$30,$AK7,'19'!$AF$25:$AF$30,1))</f>
        <v/>
      </c>
      <c r="BO7" s="83" t="str">
        <f>IF(COUNTIFS('20'!$AG$25:$AG$30,$AK7,'20'!$AF$25:$AF$30,1)=0,"",SUMIFS('20'!$AC$25:$AC$30,'20'!$AG$25:$AG$30,$AK7,'20'!$AF$25:$AF$30,1)/COUNTIFS('20'!$AG$25:$AG$30,$AK7,'20'!$AF$25:$AF$30,1))</f>
        <v/>
      </c>
      <c r="BP7" s="83" t="str">
        <f>IF(COUNTIFS('21'!$AG$25:$AG$30,$AK7,'21'!$AF$25:$AF$30,1)=0,"",SUMIFS('21'!$AC$25:$AC$30,'21'!$AG$25:$AG$30,$AK7,'21'!$AF$25:$AF$30,1)/COUNTIFS('21'!$AG$25:$AG$30,$AK7,'21'!$AF$25:$AF$30,1))</f>
        <v/>
      </c>
      <c r="BQ7" s="83" t="str">
        <f>IF(COUNTIFS('22'!$AG$25:$AG$30,$AK7,'22'!$AF$25:$AF$30,1)=0,"",SUMIFS('22'!$AC$25:$AC$30,'22'!$AG$25:$AG$30,$AK7,'22'!$AF$25:$AF$30,1)/COUNTIFS('22'!$AG$25:$AG$30,$AK7,'22'!$AF$25:$AF$30,1))</f>
        <v/>
      </c>
      <c r="BR7" s="83" t="str">
        <f>IF(COUNTIFS('23'!$AG$25:$AG$30,$AK7,'23'!$AF$25:$AF$30,1)=0,"",SUMIFS('23'!$AC$25:$AC$30,'23'!$AG$25:$AG$30,$AK7,'23'!$AF$25:$AF$30,1)/COUNTIFS('23'!$AG$25:$AG$30,$AK7,'23'!$AF$25:$AF$30,1))</f>
        <v/>
      </c>
      <c r="BS7" s="83" t="str">
        <f>IF(COUNTIFS('24'!$AG$25:$AG$30,$AK7,'24'!$AF$25:$AF$30,1)=0,"",SUMIFS('24'!$AC$25:$AC$30,'24'!$AG$25:$AG$30,$AK7,'24'!$AF$25:$AF$30,1)/COUNTIFS('24'!$AG$25:$AG$30,$AK7,'24'!$AF$25:$AF$30,1))</f>
        <v/>
      </c>
      <c r="BT7" s="83" t="str">
        <f>IF(COUNTIFS('25'!$AG$25:$AG$30,$AK7,'25'!$AF$25:$AF$30,1)=0,"",SUMIFS('25'!$AC$25:$AC$30,'25'!$AG$25:$AG$30,$AK7,'25'!$AF$25:$AF$30,1)/COUNTIFS('25'!$AG$25:$AG$30,$AK7,'25'!$AF$25:$AF$30,1))</f>
        <v/>
      </c>
      <c r="BU7" s="83" t="str">
        <f>IF(COUNTIFS('26'!$AG$25:$AG$30,$AK7,'26'!$AF$25:$AF$30,1)=0,"",SUMIFS('26'!$AC$25:$AC$30,'26'!$AG$25:$AG$30,$AK7,'26'!$AF$25:$AF$30,1)/COUNTIFS('26'!$AG$25:$AG$30,$AK7,'26'!$AF$25:$AF$30,1))</f>
        <v/>
      </c>
      <c r="BV7" s="83" t="str">
        <f>IF(COUNTIFS('27'!$AG$25:$AG$30,$AK7,'27'!$AF$25:$AF$30,1)=0,"",SUMIFS('27'!$AC$25:$AC$30,'27'!$AG$25:$AG$30,$AK7,'27'!$AF$25:$AF$30,1)/COUNTIFS('27'!$AG$25:$AG$30,$AK7,'27'!$AF$25:$AF$30,1))</f>
        <v/>
      </c>
      <c r="BW7" s="83" t="str">
        <f>IF(COUNTIFS('28'!$AG$25:$AG$30,$AK7,'28'!$AF$25:$AF$30,1)=0,"",SUMIFS('28'!$AC$25:$AC$30,'28'!$AG$25:$AG$30,$AK7,'28'!$AF$25:$AF$30,1)/COUNTIFS('28'!$AG$25:$AG$30,$AK7,'28'!$AF$25:$AF$30,1))</f>
        <v/>
      </c>
      <c r="BX7" s="83" t="str">
        <f>IF(COUNTIFS('29'!$AG$25:$AG$30,$AK7,'29'!$AF$25:$AF$30,1)=0,"",SUMIFS('29'!$AC$25:$AC$30,'29'!$AG$25:$AG$30,$AK7,'29'!$AF$25:$AF$30,1)/COUNTIFS('29'!$AG$25:$AG$30,$AK7,'29'!$AF$25:$AF$30,1))</f>
        <v/>
      </c>
      <c r="BY7" s="83" t="str">
        <f>IF(COUNTIFS('30'!$AG$25:$AG$30,$AK7,'30'!$AF$25:$AF$30,1)=0,"",SUMIFS('30'!$AC$25:$AC$30,'30'!$AG$25:$AG$30,$AK7,'30'!$AF$25:$AF$30,1)/COUNTIFS('30'!$AG$25:$AG$30,$AK7,'30'!$AF$25:$AF$30,1))</f>
        <v/>
      </c>
      <c r="BZ7" s="83" t="str">
        <f>IF(COUNTIFS('31'!$AG$28:$AG$33,$AK7,'31'!$AF$28:$AF$33,1)=0,"",SUMIFS('31'!$AC$28:$AC$33,'31'!$AG$28:$AG$33,$AK7,'31'!$AF$28:$AF$33,1)/COUNTIFS('31'!$AG$28:$AG$33,$AK7,'31'!$AF$28:$AF$33,1))</f>
        <v/>
      </c>
      <c r="CA7" s="83" t="s">
        <v>118</v>
      </c>
      <c r="CB7" s="83">
        <f t="shared" si="6"/>
        <v>0</v>
      </c>
    </row>
    <row r="8">
      <c r="A8" s="140">
        <f>IF(LARGE($Y$5:$Y$17,3)=0,"",3)</f>
        <v>3</v>
      </c>
      <c r="B8" s="140" t="str">
        <f t="shared" si="7"/>
        <v>Photofox</v>
      </c>
      <c r="C8" s="140">
        <f t="shared" si="8"/>
        <v>2</v>
      </c>
      <c r="D8" s="141">
        <f t="shared" si="9"/>
        <v>0.1818181818</v>
      </c>
      <c r="E8" s="141">
        <f t="shared" si="10"/>
        <v>0.7272727273</v>
      </c>
      <c r="X8" s="83" t="s">
        <v>41</v>
      </c>
      <c r="Y8" s="83">
        <f>COUNTIF('1'!$D$4:$D$20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3">
        <f t="shared" si="1"/>
        <v>1.0001</v>
      </c>
      <c r="AA8" s="83" t="s">
        <v>112</v>
      </c>
      <c r="AB8" s="83" t="s">
        <v>102</v>
      </c>
      <c r="AC8" s="83">
        <f>COUNTIF('1'!$O$22:$O$25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3">
        <f t="shared" si="2"/>
        <v>0.00008</v>
      </c>
      <c r="AE8" s="83" t="s">
        <v>112</v>
      </c>
      <c r="AF8" s="83">
        <f>COUNTIF('1'!$L$4:$L$20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3">
        <f t="shared" si="3"/>
        <v>0.00002</v>
      </c>
      <c r="AH8" s="83" t="s">
        <v>115</v>
      </c>
      <c r="AI8" s="83">
        <f>COUNTIF('1'!$M$4:$M$20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3">
        <f t="shared" si="4"/>
        <v>0.00003</v>
      </c>
      <c r="AK8" s="83" t="s">
        <v>112</v>
      </c>
      <c r="AL8" s="83" t="s">
        <v>102</v>
      </c>
      <c r="AM8" s="83">
        <f>COUNTIFS('1'!$AG$29:$AG$34,AK8,'1'!$AF$29:$AF$34,1)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3" t="str">
        <f t="shared" si="5"/>
        <v/>
      </c>
      <c r="AO8" s="83" t="str">
        <f>IF(AM8=0,"",(SUMIFS('1'!$L$29:$L$34,'1'!$AG$29:$AG$34,AK8,'1'!$AF$29:$AF$34,1)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3" t="str">
        <f>IF(AM8=0,"",(SUMIFS('1'!$M$29:$M$34,'1'!$AG$29:$AG$34,AK8,'1'!$AF$29:$AF$34,1)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3" t="str">
        <f>IF(AM8=0,"",(SUMIFS('1'!$N$29:$N$34,'1'!$AG$29:$AG$34,AK8,'1'!$AF$29:$AF$34,1)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3" t="str">
        <f>IF(AM8=0,"",(SUMIFS('1'!$O$29:$O$34,'1'!$AG$29:$AG$34,AK8,'1'!$AF$29:$AF$34,1)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3" t="str">
        <f>IF(AM8=0,"",(SUMIFS('1'!$P$29:$P$34,'1'!$AG$29:$AG$34,AK8,'1'!$AF$29:$AF$34,1)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3" t="str">
        <f>IF(COUNTIFS('1'!$AG$29:$AG$34,$AK8,'1'!$AF$29:$AF$34,1)=0,"",SUMIFS('1'!$AC$29:$AC$34,'1'!$AG$29:$AG$34,$AK8,'1'!$AF$29:$AF$34,1)/COUNTIFS('1'!$AG$29:$AG$34,$AK8,'1'!$AF$29:$AF$34,1))</f>
        <v/>
      </c>
      <c r="AW8" s="83" t="str">
        <f>IF(COUNTIFS('2'!$AG$25:$AG$30,$AK8,'2'!$AF$25:$AF$30,1)=0,"",SUMIFS('2'!$AC$25:$AC$30,'2'!$AG$25:$AG$30,$AK8,'2'!$AF$25:$AF$30,1)/COUNTIFS('2'!$AG$25:$AG$30,$AK8,'2'!$AF$25:$AF$30,1))</f>
        <v/>
      </c>
      <c r="AX8" s="83" t="str">
        <f>IF(COUNTIFS('3'!$AG$24:$AG$29,$AK8,'3'!$AF$24:$AF$29,1)=0,"",SUMIFS('3'!$AC$24:$AC$29,'3'!$AG$24:$AG$29,$AK8,'3'!$AF$24:$AF$29,1)/COUNTIFS('3'!$AG$24:$AG$29,$AK8,'3'!$AF$24:$AF$29,1))</f>
        <v/>
      </c>
      <c r="AY8" s="83" t="str">
        <f>IF(COUNTIFS('4'!$AG$25:$AG$30,$AK8,'4'!$AF$25:$AF$30,1)=0,"",SUMIFS('4'!$AC$25:$AC$30,'4'!$AG$25:$AG$30,$AK8,'4'!$AF$25:$AF$30,1)/COUNTIFS('4'!$AG$25:$AG$30,$AK8,'4'!$AF$25:$AF$30,1))</f>
        <v/>
      </c>
      <c r="AZ8" s="83" t="str">
        <f>IF(COUNTIFS('5'!$AG$25:$AG$30,$AK8,'5'!$AF$25:$AF$30,1)=0,"",SUMIFS('5'!$AC$25:$AC$30,'5'!$AG$25:$AG$30,$AK8,'5'!$AF$25:$AF$30,1)/COUNTIFS('5'!$AG$25:$AG$30,$AK8,'5'!$AF$25:$AF$30,1))</f>
        <v/>
      </c>
      <c r="BA8" s="83" t="str">
        <f>IF(COUNTIFS('6'!$AG$25:$AG$30,$AK8,'6'!$AF$25:$AF$30,1)=0,"",SUMIFS('6'!$AC$25:$AC$30,'6'!$AG$25:$AG$30,$AK8,'6'!$AF$25:$AF$30,1)/COUNTIFS('6'!$AG$25:$AG$30,$AK8,'6'!$AF$25:$AF$30,1))</f>
        <v/>
      </c>
      <c r="BB8" s="83" t="str">
        <f>IF(COUNTIFS('7'!$AG$30:$AG$35,$AK8,'7'!$AF$30:$AF$35,1)=0,"",SUMIFS('7'!$AC$30:$AC$35,'7'!$AG$30:$AG$35,$AK8,'7'!$AF$30:$AF$35,1)/COUNTIFS('7'!$AG$30:$AG$35,$AK8,'7'!$AF$30:$AF$35,1))</f>
        <v/>
      </c>
      <c r="BC8" s="83" t="str">
        <f>IF(COUNTIFS('8'!$AG$25:$AG$30,$AK8,'8'!$AF$25:$AF$30,1)=0,"",SUMIFS('8'!$AC$25:$AC$30,'8'!$AG$25:$AG$30,$AK8,'8'!$AF$25:$AF$30,1)/COUNTIFS('8'!$AG$25:$AG$30,$AK8,'8'!$AF$25:$AF$30,1))</f>
        <v/>
      </c>
      <c r="BD8" s="83" t="str">
        <f>IF(COUNTIFS('9'!$AG$25:$AG$30,$AK8,'9'!$AF$25:$AF$30,1)=0,"",SUMIFS('9'!$AC$25:$AC$30,'9'!$AG$25:$AG$30,$AK8,'9'!$AF$25:$AF$30,1)/COUNTIFS('9'!$AG$25:$AG$30,$AK8,'9'!$AF$25:$AF$30,1))</f>
        <v/>
      </c>
      <c r="BE8" s="83" t="str">
        <f>IF(COUNTIFS('10'!$AG$25:$AG$30,$AK8,'10'!$AF$25:$AF$30,1)=0,"",SUMIFS('10'!$AC$25:$AC$30,'10'!$AG$25:$AG$30,$AK8,'10'!$AF$25:$AF$30,1)/COUNTIFS('10'!$AG$25:$AG$30,$AK8,'10'!$AF$25:$AF$30,1))</f>
        <v/>
      </c>
      <c r="BF8" s="83" t="str">
        <f>IF(COUNTIFS('11'!$AG$25:$AG$30,$AK8,'11'!$AF$25:$AF$30,1)=0,"",SUMIFS('11'!$AC$25:$AC$30,'11'!$AG$25:$AG$30,$AK8,'11'!$AF$25:$AF$30,1)/COUNTIFS('11'!$AG$25:$AG$30,$AK8,'11'!$AF$25:$AF$30,1))</f>
        <v/>
      </c>
      <c r="BG8" s="83" t="str">
        <f>IF(COUNTIFS('12'!$AG$25:$AG$30,$AK8,'12'!$AF$25:$AF$30,1)=0,"",SUMIFS('12'!$AC$25:$AC$30,'12'!$AG$25:$AG$30,$AK8,'12'!$AF$25:$AF$30,1)/COUNTIFS('12'!$AG$25:$AG$30,$AK8,'12'!$AF$25:$AF$30,1))</f>
        <v/>
      </c>
      <c r="BH8" s="83" t="str">
        <f>IF(COUNTIFS('13'!$AG$25:$AG$30,$AK8,'13'!$AF$25:$AF$30,1)=0,"",SUMIFS('13'!$AC$25:$AC$30,'13'!$AG$25:$AG$30,$AK8,'13'!$AF$25:$AF$30,1)/COUNTIFS('13'!$AG$25:$AG$30,$AK8,'13'!$AF$25:$AF$30,1))</f>
        <v/>
      </c>
      <c r="BI8" s="83" t="str">
        <f>IF(COUNTIFS('14'!$AG$25:$AG$30,$AK8,'14'!$AF$25:$AF$30,1)=0,"",SUMIFS('14'!$AC$25:$AC$30,'14'!$AG$25:$AG$30,$AK8,'14'!$AF$25:$AF$30,1)/COUNTIFS('14'!$AG$25:$AG$30,$AK8,'14'!$AF$25:$AF$30,1))</f>
        <v/>
      </c>
      <c r="BJ8" s="83" t="str">
        <f>IF(COUNTIFS('15'!$AG$25:$AG$30,$AK8,'15'!$AF$25:$AF$30,1)=0,"",SUMIFS('15'!$AC$25:$AC$30,'15'!$AG$25:$AG$30,$AK8,'15'!$AF$25:$AF$30,1)/COUNTIFS('15'!$AG$25:$AG$30,$AK8,'15'!$AF$25:$AF$30,1))</f>
        <v/>
      </c>
      <c r="BK8" s="83" t="str">
        <f>IF(COUNTIFS('16'!$AG$25:$AG$30,$AK8,'16'!$AF$25:$AF$30,1)=0,"",SUMIFS('16'!$AC$25:$AC$30,'16'!$AG$25:$AG$30,$AK8,'16'!$AF$25:$AF$30,1)/COUNTIFS('16'!$AG$25:$AG$30,$AK8,'16'!$AF$25:$AF$30,1))</f>
        <v/>
      </c>
      <c r="BL8" s="83" t="str">
        <f>IF(COUNTIFS('17'!$AG$25:$AG$30,$AK8,'17'!$AF$25:$AF$30,1)=0,"",SUMIFS('17'!$AC$25:$AC$30,'17'!$AG$25:$AG$30,$AK8,'17'!$AF$25:$AF$30,1)/COUNTIFS('17'!$AG$25:$AG$30,$AK8,'17'!$AF$25:$AF$30,1))</f>
        <v/>
      </c>
      <c r="BM8" s="83" t="str">
        <f>IF(COUNTIFS('18'!$AG$25:$AG$30,$AK8,'18'!$AF$25:$AF$30,1)=0,"",SUMIFS('18'!$AC$25:$AC$30,'18'!$AG$25:$AG$30,$AK8,'18'!$AF$25:$AF$30,1)/COUNTIFS('18'!$AG$25:$AG$30,$AK8,'18'!$AF$25:$AF$30,1))</f>
        <v/>
      </c>
      <c r="BN8" s="83" t="str">
        <f>IF(COUNTIFS('19'!$AG$25:$AG$30,$AK8,'19'!$AF$25:$AF$30,1)=0,"",SUMIFS('19'!$AC$25:$AC$30,'19'!$AG$25:$AG$30,$AK8,'19'!$AF$25:$AF$30,1)/COUNTIFS('19'!$AG$25:$AG$30,$AK8,'19'!$AF$25:$AF$30,1))</f>
        <v/>
      </c>
      <c r="BO8" s="83" t="str">
        <f>IF(COUNTIFS('20'!$AG$25:$AG$30,$AK8,'20'!$AF$25:$AF$30,1)=0,"",SUMIFS('20'!$AC$25:$AC$30,'20'!$AG$25:$AG$30,$AK8,'20'!$AF$25:$AF$30,1)/COUNTIFS('20'!$AG$25:$AG$30,$AK8,'20'!$AF$25:$AF$30,1))</f>
        <v/>
      </c>
      <c r="BP8" s="83" t="str">
        <f>IF(COUNTIFS('21'!$AG$25:$AG$30,$AK8,'21'!$AF$25:$AF$30,1)=0,"",SUMIFS('21'!$AC$25:$AC$30,'21'!$AG$25:$AG$30,$AK8,'21'!$AF$25:$AF$30,1)/COUNTIFS('21'!$AG$25:$AG$30,$AK8,'21'!$AF$25:$AF$30,1))</f>
        <v/>
      </c>
      <c r="BQ8" s="83" t="str">
        <f>IF(COUNTIFS('22'!$AG$25:$AG$30,$AK8,'22'!$AF$25:$AF$30,1)=0,"",SUMIFS('22'!$AC$25:$AC$30,'22'!$AG$25:$AG$30,$AK8,'22'!$AF$25:$AF$30,1)/COUNTIFS('22'!$AG$25:$AG$30,$AK8,'22'!$AF$25:$AF$30,1))</f>
        <v/>
      </c>
      <c r="BR8" s="83" t="str">
        <f>IF(COUNTIFS('23'!$AG$25:$AG$30,$AK8,'23'!$AF$25:$AF$30,1)=0,"",SUMIFS('23'!$AC$25:$AC$30,'23'!$AG$25:$AG$30,$AK8,'23'!$AF$25:$AF$30,1)/COUNTIFS('23'!$AG$25:$AG$30,$AK8,'23'!$AF$25:$AF$30,1))</f>
        <v/>
      </c>
      <c r="BS8" s="83" t="str">
        <f>IF(COUNTIFS('24'!$AG$25:$AG$30,$AK8,'24'!$AF$25:$AF$30,1)=0,"",SUMIFS('24'!$AC$25:$AC$30,'24'!$AG$25:$AG$30,$AK8,'24'!$AF$25:$AF$30,1)/COUNTIFS('24'!$AG$25:$AG$30,$AK8,'24'!$AF$25:$AF$30,1))</f>
        <v/>
      </c>
      <c r="BT8" s="83" t="str">
        <f>IF(COUNTIFS('25'!$AG$25:$AG$30,$AK8,'25'!$AF$25:$AF$30,1)=0,"",SUMIFS('25'!$AC$25:$AC$30,'25'!$AG$25:$AG$30,$AK8,'25'!$AF$25:$AF$30,1)/COUNTIFS('25'!$AG$25:$AG$30,$AK8,'25'!$AF$25:$AF$30,1))</f>
        <v/>
      </c>
      <c r="BU8" s="83" t="str">
        <f>IF(COUNTIFS('26'!$AG$25:$AG$30,$AK8,'26'!$AF$25:$AF$30,1)=0,"",SUMIFS('26'!$AC$25:$AC$30,'26'!$AG$25:$AG$30,$AK8,'26'!$AF$25:$AF$30,1)/COUNTIFS('26'!$AG$25:$AG$30,$AK8,'26'!$AF$25:$AF$30,1))</f>
        <v/>
      </c>
      <c r="BV8" s="83" t="str">
        <f>IF(COUNTIFS('27'!$AG$25:$AG$30,$AK8,'27'!$AF$25:$AF$30,1)=0,"",SUMIFS('27'!$AC$25:$AC$30,'27'!$AG$25:$AG$30,$AK8,'27'!$AF$25:$AF$30,1)/COUNTIFS('27'!$AG$25:$AG$30,$AK8,'27'!$AF$25:$AF$30,1))</f>
        <v/>
      </c>
      <c r="BW8" s="83" t="str">
        <f>IF(COUNTIFS('28'!$AG$25:$AG$30,$AK8,'28'!$AF$25:$AF$30,1)=0,"",SUMIFS('28'!$AC$25:$AC$30,'28'!$AG$25:$AG$30,$AK8,'28'!$AF$25:$AF$30,1)/COUNTIFS('28'!$AG$25:$AG$30,$AK8,'28'!$AF$25:$AF$30,1))</f>
        <v/>
      </c>
      <c r="BX8" s="83" t="str">
        <f>IF(COUNTIFS('29'!$AG$25:$AG$30,$AK8,'29'!$AF$25:$AF$30,1)=0,"",SUMIFS('29'!$AC$25:$AC$30,'29'!$AG$25:$AG$30,$AK8,'29'!$AF$25:$AF$30,1)/COUNTIFS('29'!$AG$25:$AG$30,$AK8,'29'!$AF$25:$AF$30,1))</f>
        <v/>
      </c>
      <c r="BY8" s="83" t="str">
        <f>IF(COUNTIFS('30'!$AG$25:$AG$30,$AK8,'30'!$AF$25:$AF$30,1)=0,"",SUMIFS('30'!$AC$25:$AC$30,'30'!$AG$25:$AG$30,$AK8,'30'!$AF$25:$AF$30,1)/COUNTIFS('30'!$AG$25:$AG$30,$AK8,'30'!$AF$25:$AF$30,1))</f>
        <v/>
      </c>
      <c r="BZ8" s="83" t="str">
        <f>IF(COUNTIFS('31'!$AG$28:$AG$33,$AK8,'31'!$AF$28:$AF$33,1)=0,"",SUMIFS('31'!$AC$28:$AC$33,'31'!$AG$28:$AG$33,$AK8,'31'!$AF$28:$AF$33,1)/COUNTIFS('31'!$AG$28:$AG$33,$AK8,'31'!$AF$28:$AF$33,1))</f>
        <v/>
      </c>
      <c r="CA8" s="83" t="s">
        <v>119</v>
      </c>
      <c r="CB8" s="83">
        <f t="shared" si="6"/>
        <v>0</v>
      </c>
    </row>
    <row r="9">
      <c r="A9" s="140">
        <f>IF(LARGE($Y$5:$Y$17,4)=0,"",4)</f>
        <v>4</v>
      </c>
      <c r="B9" s="140" t="str">
        <f t="shared" si="7"/>
        <v>Single</v>
      </c>
      <c r="C9" s="140">
        <f t="shared" si="8"/>
        <v>1</v>
      </c>
      <c r="D9" s="141">
        <f t="shared" si="9"/>
        <v>0.09090909091</v>
      </c>
      <c r="E9" s="141">
        <f t="shared" si="10"/>
        <v>0.8181818182</v>
      </c>
      <c r="X9" s="83" t="s">
        <v>120</v>
      </c>
      <c r="Y9" s="83">
        <f>COUNTIF('1'!$D$4:$D$20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3">
        <f t="shared" si="1"/>
        <v>0.00009</v>
      </c>
      <c r="AA9" s="83" t="s">
        <v>113</v>
      </c>
      <c r="AB9" s="83" t="s">
        <v>102</v>
      </c>
      <c r="AC9" s="83">
        <f>COUNTIF('1'!$O$22:$O$25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3">
        <f t="shared" si="2"/>
        <v>0.00007</v>
      </c>
      <c r="AE9" s="83" t="s">
        <v>113</v>
      </c>
      <c r="AF9" s="83">
        <f>COUNTIF('1'!$L$4:$L$20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3">
        <f t="shared" si="3"/>
        <v>0.00001</v>
      </c>
      <c r="AH9" s="83" t="s">
        <v>116</v>
      </c>
      <c r="AI9" s="83">
        <f>COUNTIF('1'!$M$4:$M$20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3">
        <f t="shared" si="4"/>
        <v>0.00002</v>
      </c>
      <c r="AK9" s="83" t="s">
        <v>113</v>
      </c>
      <c r="AL9" s="83" t="s">
        <v>102</v>
      </c>
      <c r="AM9" s="83">
        <f>COUNTIFS('1'!$AG$29:$AG$34,AK9,'1'!$AF$29:$AF$34,1)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3" t="str">
        <f t="shared" si="5"/>
        <v/>
      </c>
      <c r="AO9" s="83" t="str">
        <f>IF(AM9=0,"",(SUMIFS('1'!$L$29:$L$34,'1'!$AG$29:$AG$34,AK9,'1'!$AF$29:$AF$34,1)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3" t="str">
        <f>IF(AM9=0,"",(SUMIFS('1'!$M$29:$M$34,'1'!$AG$29:$AG$34,AK9,'1'!$AF$29:$AF$34,1)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3" t="str">
        <f>IF(AM9=0,"",(SUMIFS('1'!$N$29:$N$34,'1'!$AG$29:$AG$34,AK9,'1'!$AF$29:$AF$34,1)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3" t="str">
        <f>IF(AM9=0,"",(SUMIFS('1'!$O$29:$O$34,'1'!$AG$29:$AG$34,AK9,'1'!$AF$29:$AF$34,1)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3" t="str">
        <f>IF(AM9=0,"",(SUMIFS('1'!$P$29:$P$34,'1'!$AG$29:$AG$34,AK9,'1'!$AF$29:$AF$34,1)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3" t="str">
        <f>IF(COUNTIFS('1'!$AG$29:$AG$34,$AK9,'1'!$AF$29:$AF$34,1)=0,"",SUMIFS('1'!$AC$29:$AC$34,'1'!$AG$29:$AG$34,$AK9,'1'!$AF$29:$AF$34,1)/COUNTIFS('1'!$AG$29:$AG$34,$AK9,'1'!$AF$29:$AF$34,1))</f>
        <v/>
      </c>
      <c r="AW9" s="83" t="str">
        <f>IF(COUNTIFS('2'!$AG$25:$AG$30,$AK9,'2'!$AF$25:$AF$30,1)=0,"",SUMIFS('2'!$AC$25:$AC$30,'2'!$AG$25:$AG$30,$AK9,'2'!$AF$25:$AF$30,1)/COUNTIFS('2'!$AG$25:$AG$30,$AK9,'2'!$AF$25:$AF$30,1))</f>
        <v/>
      </c>
      <c r="AX9" s="83" t="str">
        <f>IF(COUNTIFS('3'!$AG$24:$AG$29,$AK9,'3'!$AF$24:$AF$29,1)=0,"",SUMIFS('3'!$AC$24:$AC$29,'3'!$AG$24:$AG$29,$AK9,'3'!$AF$24:$AF$29,1)/COUNTIFS('3'!$AG$24:$AG$29,$AK9,'3'!$AF$24:$AF$29,1))</f>
        <v/>
      </c>
      <c r="AY9" s="83" t="str">
        <f>IF(COUNTIFS('4'!$AG$25:$AG$30,$AK9,'4'!$AF$25:$AF$30,1)=0,"",SUMIFS('4'!$AC$25:$AC$30,'4'!$AG$25:$AG$30,$AK9,'4'!$AF$25:$AF$30,1)/COUNTIFS('4'!$AG$25:$AG$30,$AK9,'4'!$AF$25:$AF$30,1))</f>
        <v/>
      </c>
      <c r="AZ9" s="83" t="str">
        <f>IF(COUNTIFS('5'!$AG$25:$AG$30,$AK9,'5'!$AF$25:$AF$30,1)=0,"",SUMIFS('5'!$AC$25:$AC$30,'5'!$AG$25:$AG$30,$AK9,'5'!$AF$25:$AF$30,1)/COUNTIFS('5'!$AG$25:$AG$30,$AK9,'5'!$AF$25:$AF$30,1))</f>
        <v/>
      </c>
      <c r="BA9" s="83" t="str">
        <f>IF(COUNTIFS('6'!$AG$25:$AG$30,$AK9,'6'!$AF$25:$AF$30,1)=0,"",SUMIFS('6'!$AC$25:$AC$30,'6'!$AG$25:$AG$30,$AK9,'6'!$AF$25:$AF$30,1)/COUNTIFS('6'!$AG$25:$AG$30,$AK9,'6'!$AF$25:$AF$30,1))</f>
        <v/>
      </c>
      <c r="BB9" s="83" t="str">
        <f>IF(COUNTIFS('7'!$AG$30:$AG$35,$AK9,'7'!$AF$30:$AF$35,1)=0,"",SUMIFS('7'!$AC$30:$AC$35,'7'!$AG$30:$AG$35,$AK9,'7'!$AF$30:$AF$35,1)/COUNTIFS('7'!$AG$30:$AG$35,$AK9,'7'!$AF$30:$AF$35,1))</f>
        <v/>
      </c>
      <c r="BC9" s="83" t="str">
        <f>IF(COUNTIFS('8'!$AG$25:$AG$30,$AK9,'8'!$AF$25:$AF$30,1)=0,"",SUMIFS('8'!$AC$25:$AC$30,'8'!$AG$25:$AG$30,$AK9,'8'!$AF$25:$AF$30,1)/COUNTIFS('8'!$AG$25:$AG$30,$AK9,'8'!$AF$25:$AF$30,1))</f>
        <v/>
      </c>
      <c r="BD9" s="83" t="str">
        <f>IF(COUNTIFS('9'!$AG$25:$AG$30,$AK9,'9'!$AF$25:$AF$30,1)=0,"",SUMIFS('9'!$AC$25:$AC$30,'9'!$AG$25:$AG$30,$AK9,'9'!$AF$25:$AF$30,1)/COUNTIFS('9'!$AG$25:$AG$30,$AK9,'9'!$AF$25:$AF$30,1))</f>
        <v/>
      </c>
      <c r="BE9" s="83" t="str">
        <f>IF(COUNTIFS('10'!$AG$25:$AG$30,$AK9,'10'!$AF$25:$AF$30,1)=0,"",SUMIFS('10'!$AC$25:$AC$30,'10'!$AG$25:$AG$30,$AK9,'10'!$AF$25:$AF$30,1)/COUNTIFS('10'!$AG$25:$AG$30,$AK9,'10'!$AF$25:$AF$30,1))</f>
        <v/>
      </c>
      <c r="BF9" s="83" t="str">
        <f>IF(COUNTIFS('11'!$AG$25:$AG$30,$AK9,'11'!$AF$25:$AF$30,1)=0,"",SUMIFS('11'!$AC$25:$AC$30,'11'!$AG$25:$AG$30,$AK9,'11'!$AF$25:$AF$30,1)/COUNTIFS('11'!$AG$25:$AG$30,$AK9,'11'!$AF$25:$AF$30,1))</f>
        <v/>
      </c>
      <c r="BG9" s="83" t="str">
        <f>IF(COUNTIFS('12'!$AG$25:$AG$30,$AK9,'12'!$AF$25:$AF$30,1)=0,"",SUMIFS('12'!$AC$25:$AC$30,'12'!$AG$25:$AG$30,$AK9,'12'!$AF$25:$AF$30,1)/COUNTIFS('12'!$AG$25:$AG$30,$AK9,'12'!$AF$25:$AF$30,1))</f>
        <v/>
      </c>
      <c r="BH9" s="83" t="str">
        <f>IF(COUNTIFS('13'!$AG$25:$AG$30,$AK9,'13'!$AF$25:$AF$30,1)=0,"",SUMIFS('13'!$AC$25:$AC$30,'13'!$AG$25:$AG$30,$AK9,'13'!$AF$25:$AF$30,1)/COUNTIFS('13'!$AG$25:$AG$30,$AK9,'13'!$AF$25:$AF$30,1))</f>
        <v/>
      </c>
      <c r="BI9" s="83" t="str">
        <f>IF(COUNTIFS('14'!$AG$25:$AG$30,$AK9,'14'!$AF$25:$AF$30,1)=0,"",SUMIFS('14'!$AC$25:$AC$30,'14'!$AG$25:$AG$30,$AK9,'14'!$AF$25:$AF$30,1)/COUNTIFS('14'!$AG$25:$AG$30,$AK9,'14'!$AF$25:$AF$30,1))</f>
        <v/>
      </c>
      <c r="BJ9" s="83" t="str">
        <f>IF(COUNTIFS('15'!$AG$25:$AG$30,$AK9,'15'!$AF$25:$AF$30,1)=0,"",SUMIFS('15'!$AC$25:$AC$30,'15'!$AG$25:$AG$30,$AK9,'15'!$AF$25:$AF$30,1)/COUNTIFS('15'!$AG$25:$AG$30,$AK9,'15'!$AF$25:$AF$30,1))</f>
        <v/>
      </c>
      <c r="BK9" s="83" t="str">
        <f>IF(COUNTIFS('16'!$AG$25:$AG$30,$AK9,'16'!$AF$25:$AF$30,1)=0,"",SUMIFS('16'!$AC$25:$AC$30,'16'!$AG$25:$AG$30,$AK9,'16'!$AF$25:$AF$30,1)/COUNTIFS('16'!$AG$25:$AG$30,$AK9,'16'!$AF$25:$AF$30,1))</f>
        <v/>
      </c>
      <c r="BL9" s="83" t="str">
        <f>IF(COUNTIFS('17'!$AG$25:$AG$30,$AK9,'17'!$AF$25:$AF$30,1)=0,"",SUMIFS('17'!$AC$25:$AC$30,'17'!$AG$25:$AG$30,$AK9,'17'!$AF$25:$AF$30,1)/COUNTIFS('17'!$AG$25:$AG$30,$AK9,'17'!$AF$25:$AF$30,1))</f>
        <v/>
      </c>
      <c r="BM9" s="83" t="str">
        <f>IF(COUNTIFS('18'!$AG$25:$AG$30,$AK9,'18'!$AF$25:$AF$30,1)=0,"",SUMIFS('18'!$AC$25:$AC$30,'18'!$AG$25:$AG$30,$AK9,'18'!$AF$25:$AF$30,1)/COUNTIFS('18'!$AG$25:$AG$30,$AK9,'18'!$AF$25:$AF$30,1))</f>
        <v/>
      </c>
      <c r="BN9" s="83" t="str">
        <f>IF(COUNTIFS('19'!$AG$25:$AG$30,$AK9,'19'!$AF$25:$AF$30,1)=0,"",SUMIFS('19'!$AC$25:$AC$30,'19'!$AG$25:$AG$30,$AK9,'19'!$AF$25:$AF$30,1)/COUNTIFS('19'!$AG$25:$AG$30,$AK9,'19'!$AF$25:$AF$30,1))</f>
        <v/>
      </c>
      <c r="BO9" s="83" t="str">
        <f>IF(COUNTIFS('20'!$AG$25:$AG$30,$AK9,'20'!$AF$25:$AF$30,1)=0,"",SUMIFS('20'!$AC$25:$AC$30,'20'!$AG$25:$AG$30,$AK9,'20'!$AF$25:$AF$30,1)/COUNTIFS('20'!$AG$25:$AG$30,$AK9,'20'!$AF$25:$AF$30,1))</f>
        <v/>
      </c>
      <c r="BP9" s="83" t="str">
        <f>IF(COUNTIFS('21'!$AG$25:$AG$30,$AK9,'21'!$AF$25:$AF$30,1)=0,"",SUMIFS('21'!$AC$25:$AC$30,'21'!$AG$25:$AG$30,$AK9,'21'!$AF$25:$AF$30,1)/COUNTIFS('21'!$AG$25:$AG$30,$AK9,'21'!$AF$25:$AF$30,1))</f>
        <v/>
      </c>
      <c r="BQ9" s="83" t="str">
        <f>IF(COUNTIFS('22'!$AG$25:$AG$30,$AK9,'22'!$AF$25:$AF$30,1)=0,"",SUMIFS('22'!$AC$25:$AC$30,'22'!$AG$25:$AG$30,$AK9,'22'!$AF$25:$AF$30,1)/COUNTIFS('22'!$AG$25:$AG$30,$AK9,'22'!$AF$25:$AF$30,1))</f>
        <v/>
      </c>
      <c r="BR9" s="83" t="str">
        <f>IF(COUNTIFS('23'!$AG$25:$AG$30,$AK9,'23'!$AF$25:$AF$30,1)=0,"",SUMIFS('23'!$AC$25:$AC$30,'23'!$AG$25:$AG$30,$AK9,'23'!$AF$25:$AF$30,1)/COUNTIFS('23'!$AG$25:$AG$30,$AK9,'23'!$AF$25:$AF$30,1))</f>
        <v/>
      </c>
      <c r="BS9" s="83" t="str">
        <f>IF(COUNTIFS('24'!$AG$25:$AG$30,$AK9,'24'!$AF$25:$AF$30,1)=0,"",SUMIFS('24'!$AC$25:$AC$30,'24'!$AG$25:$AG$30,$AK9,'24'!$AF$25:$AF$30,1)/COUNTIFS('24'!$AG$25:$AG$30,$AK9,'24'!$AF$25:$AF$30,1))</f>
        <v/>
      </c>
      <c r="BT9" s="83" t="str">
        <f>IF(COUNTIFS('25'!$AG$25:$AG$30,$AK9,'25'!$AF$25:$AF$30,1)=0,"",SUMIFS('25'!$AC$25:$AC$30,'25'!$AG$25:$AG$30,$AK9,'25'!$AF$25:$AF$30,1)/COUNTIFS('25'!$AG$25:$AG$30,$AK9,'25'!$AF$25:$AF$30,1))</f>
        <v/>
      </c>
      <c r="BU9" s="83" t="str">
        <f>IF(COUNTIFS('26'!$AG$25:$AG$30,$AK9,'26'!$AF$25:$AF$30,1)=0,"",SUMIFS('26'!$AC$25:$AC$30,'26'!$AG$25:$AG$30,$AK9,'26'!$AF$25:$AF$30,1)/COUNTIFS('26'!$AG$25:$AG$30,$AK9,'26'!$AF$25:$AF$30,1))</f>
        <v/>
      </c>
      <c r="BV9" s="83" t="str">
        <f>IF(COUNTIFS('27'!$AG$25:$AG$30,$AK9,'27'!$AF$25:$AF$30,1)=0,"",SUMIFS('27'!$AC$25:$AC$30,'27'!$AG$25:$AG$30,$AK9,'27'!$AF$25:$AF$30,1)/COUNTIFS('27'!$AG$25:$AG$30,$AK9,'27'!$AF$25:$AF$30,1))</f>
        <v/>
      </c>
      <c r="BW9" s="83" t="str">
        <f>IF(COUNTIFS('28'!$AG$25:$AG$30,$AK9,'28'!$AF$25:$AF$30,1)=0,"",SUMIFS('28'!$AC$25:$AC$30,'28'!$AG$25:$AG$30,$AK9,'28'!$AF$25:$AF$30,1)/COUNTIFS('28'!$AG$25:$AG$30,$AK9,'28'!$AF$25:$AF$30,1))</f>
        <v/>
      </c>
      <c r="BX9" s="83" t="str">
        <f>IF(COUNTIFS('29'!$AG$25:$AG$30,$AK9,'29'!$AF$25:$AF$30,1)=0,"",SUMIFS('29'!$AC$25:$AC$30,'29'!$AG$25:$AG$30,$AK9,'29'!$AF$25:$AF$30,1)/COUNTIFS('29'!$AG$25:$AG$30,$AK9,'29'!$AF$25:$AF$30,1))</f>
        <v/>
      </c>
      <c r="BY9" s="83" t="str">
        <f>IF(COUNTIFS('30'!$AG$25:$AG$30,$AK9,'30'!$AF$25:$AF$30,1)=0,"",SUMIFS('30'!$AC$25:$AC$30,'30'!$AG$25:$AG$30,$AK9,'30'!$AF$25:$AF$30,1)/COUNTIFS('30'!$AG$25:$AG$30,$AK9,'30'!$AF$25:$AF$30,1))</f>
        <v/>
      </c>
      <c r="BZ9" s="83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0">
        <f>IF(LARGE($Y$5:$Y$17,5)=0,"",5)</f>
        <v>5</v>
      </c>
      <c r="B10" s="140" t="str">
        <f t="shared" si="7"/>
        <v>Couple A</v>
      </c>
      <c r="C10" s="140">
        <f t="shared" si="8"/>
        <v>1</v>
      </c>
      <c r="D10" s="141">
        <f t="shared" si="9"/>
        <v>0.09090909091</v>
      </c>
      <c r="E10" s="141">
        <f t="shared" si="10"/>
        <v>0.9090909091</v>
      </c>
      <c r="X10" s="83" t="s">
        <v>24</v>
      </c>
      <c r="Y10" s="83">
        <f>COUNTIF('1'!$D$4:$D$20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3">
        <f t="shared" si="1"/>
        <v>2.00008</v>
      </c>
      <c r="AA10" s="83" t="s">
        <v>103</v>
      </c>
      <c r="AB10" s="83" t="s">
        <v>114</v>
      </c>
      <c r="AC10" s="83">
        <f>COUNTIF('1'!$O$22:$O$25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3">
        <f t="shared" si="2"/>
        <v>0.00006</v>
      </c>
      <c r="AH10" s="83" t="s">
        <v>117</v>
      </c>
      <c r="AI10" s="83">
        <f>COUNTIF('1'!$M$4:$M$20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83">
        <f t="shared" si="4"/>
        <v>0.00001</v>
      </c>
      <c r="AK10" s="83" t="s">
        <v>103</v>
      </c>
      <c r="AL10" s="83" t="s">
        <v>114</v>
      </c>
      <c r="AM10" s="83">
        <f>COUNTIFS('1'!$AG$29:$AG$34,AK10,'1'!$AF$29:$AF$34,1)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3" t="str">
        <f t="shared" si="5"/>
        <v/>
      </c>
      <c r="AO10" s="83" t="str">
        <f>IF(AM10=0,"",(SUMIFS('1'!$L$29:$L$34,'1'!$AG$29:$AG$34,AK10,'1'!$AF$29:$AF$34,1)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3" t="str">
        <f>IF(AM10=0,"",(SUMIFS('1'!$M$29:$M$34,'1'!$AG$29:$AG$34,AK10,'1'!$AF$29:$AF$34,1)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3" t="str">
        <f>IF(AM10=0,"",(SUMIFS('1'!$N$29:$N$34,'1'!$AG$29:$AG$34,AK10,'1'!$AF$29:$AF$34,1)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3" t="str">
        <f>IF(AM10=0,"",(SUMIFS('1'!$O$29:$O$34,'1'!$AG$29:$AG$34,AK10,'1'!$AF$29:$AF$34,1)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3" t="str">
        <f>IF(AM10=0,"",(SUMIFS('1'!$P$29:$P$34,'1'!$AG$29:$AG$34,AK10,'1'!$AF$29:$AF$34,1)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3" t="str">
        <f>IF(COUNTIFS('1'!$AG$29:$AG$34,$AK10,'1'!$AF$29:$AF$34,1)=0,"",SUMIFS('1'!$AC$29:$AC$34,'1'!$AG$29:$AG$34,$AK10,'1'!$AF$29:$AF$34,1)/COUNTIFS('1'!$AG$29:$AG$34,$AK10,'1'!$AF$29:$AF$34,1))</f>
        <v/>
      </c>
      <c r="AW10" s="83" t="str">
        <f>IF(COUNTIFS('2'!$AG$25:$AG$30,$AK10,'2'!$AF$25:$AF$30,1)=0,"",SUMIFS('2'!$AC$25:$AC$30,'2'!$AG$25:$AG$30,$AK10,'2'!$AF$25:$AF$30,1)/COUNTIFS('2'!$AG$25:$AG$30,$AK10,'2'!$AF$25:$AF$30,1))</f>
        <v/>
      </c>
      <c r="AX10" s="83" t="str">
        <f>IF(COUNTIFS('3'!$AG$24:$AG$29,$AK10,'3'!$AF$24:$AF$29,1)=0,"",SUMIFS('3'!$AC$24:$AC$29,'3'!$AG$24:$AG$29,$AK10,'3'!$AF$24:$AF$29,1)/COUNTIFS('3'!$AG$24:$AG$29,$AK10,'3'!$AF$24:$AF$29,1))</f>
        <v/>
      </c>
      <c r="AY10" s="83" t="str">
        <f>IF(COUNTIFS('4'!$AG$25:$AG$30,$AK10,'4'!$AF$25:$AF$30,1)=0,"",SUMIFS('4'!$AC$25:$AC$30,'4'!$AG$25:$AG$30,$AK10,'4'!$AF$25:$AF$30,1)/COUNTIFS('4'!$AG$25:$AG$30,$AK10,'4'!$AF$25:$AF$30,1))</f>
        <v/>
      </c>
      <c r="AZ10" s="83" t="str">
        <f>IF(COUNTIFS('5'!$AG$25:$AG$30,$AK10,'5'!$AF$25:$AF$30,1)=0,"",SUMIFS('5'!$AC$25:$AC$30,'5'!$AG$25:$AG$30,$AK10,'5'!$AF$25:$AF$30,1)/COUNTIFS('5'!$AG$25:$AG$30,$AK10,'5'!$AF$25:$AF$30,1))</f>
        <v/>
      </c>
      <c r="BA10" s="83" t="str">
        <f>IF(COUNTIFS('6'!$AG$25:$AG$30,$AK10,'6'!$AF$25:$AF$30,1)=0,"",SUMIFS('6'!$AC$25:$AC$30,'6'!$AG$25:$AG$30,$AK10,'6'!$AF$25:$AF$30,1)/COUNTIFS('6'!$AG$25:$AG$30,$AK10,'6'!$AF$25:$AF$30,1))</f>
        <v/>
      </c>
      <c r="BB10" s="83" t="str">
        <f>IF(COUNTIFS('7'!$AG$30:$AG$35,$AK10,'7'!$AF$30:$AF$35,1)=0,"",SUMIFS('7'!$AC$30:$AC$35,'7'!$AG$30:$AG$35,$AK10,'7'!$AF$30:$AF$35,1)/COUNTIFS('7'!$AG$30:$AG$35,$AK10,'7'!$AF$30:$AF$35,1))</f>
        <v/>
      </c>
      <c r="BC10" s="83" t="str">
        <f>IF(COUNTIFS('8'!$AG$25:$AG$30,$AK10,'8'!$AF$25:$AF$30,1)=0,"",SUMIFS('8'!$AC$25:$AC$30,'8'!$AG$25:$AG$30,$AK10,'8'!$AF$25:$AF$30,1)/COUNTIFS('8'!$AG$25:$AG$30,$AK10,'8'!$AF$25:$AF$30,1))</f>
        <v/>
      </c>
      <c r="BD10" s="83" t="str">
        <f>IF(COUNTIFS('9'!$AG$25:$AG$30,$AK10,'9'!$AF$25:$AF$30,1)=0,"",SUMIFS('9'!$AC$25:$AC$30,'9'!$AG$25:$AG$30,$AK10,'9'!$AF$25:$AF$30,1)/COUNTIFS('9'!$AG$25:$AG$30,$AK10,'9'!$AF$25:$AF$30,1))</f>
        <v/>
      </c>
      <c r="BE10" s="83" t="str">
        <f>IF(COUNTIFS('10'!$AG$25:$AG$30,$AK10,'10'!$AF$25:$AF$30,1)=0,"",SUMIFS('10'!$AC$25:$AC$30,'10'!$AG$25:$AG$30,$AK10,'10'!$AF$25:$AF$30,1)/COUNTIFS('10'!$AG$25:$AG$30,$AK10,'10'!$AF$25:$AF$30,1))</f>
        <v/>
      </c>
      <c r="BF10" s="83" t="str">
        <f>IF(COUNTIFS('11'!$AG$25:$AG$30,$AK10,'11'!$AF$25:$AF$30,1)=0,"",SUMIFS('11'!$AC$25:$AC$30,'11'!$AG$25:$AG$30,$AK10,'11'!$AF$25:$AF$30,1)/COUNTIFS('11'!$AG$25:$AG$30,$AK10,'11'!$AF$25:$AF$30,1))</f>
        <v/>
      </c>
      <c r="BG10" s="83" t="str">
        <f>IF(COUNTIFS('12'!$AG$25:$AG$30,$AK10,'12'!$AF$25:$AF$30,1)=0,"",SUMIFS('12'!$AC$25:$AC$30,'12'!$AG$25:$AG$30,$AK10,'12'!$AF$25:$AF$30,1)/COUNTIFS('12'!$AG$25:$AG$30,$AK10,'12'!$AF$25:$AF$30,1))</f>
        <v/>
      </c>
      <c r="BH10" s="83" t="str">
        <f>IF(COUNTIFS('13'!$AG$25:$AG$30,$AK10,'13'!$AF$25:$AF$30,1)=0,"",SUMIFS('13'!$AC$25:$AC$30,'13'!$AG$25:$AG$30,$AK10,'13'!$AF$25:$AF$30,1)/COUNTIFS('13'!$AG$25:$AG$30,$AK10,'13'!$AF$25:$AF$30,1))</f>
        <v/>
      </c>
      <c r="BI10" s="83" t="str">
        <f>IF(COUNTIFS('14'!$AG$25:$AG$30,$AK10,'14'!$AF$25:$AF$30,1)=0,"",SUMIFS('14'!$AC$25:$AC$30,'14'!$AG$25:$AG$30,$AK10,'14'!$AF$25:$AF$30,1)/COUNTIFS('14'!$AG$25:$AG$30,$AK10,'14'!$AF$25:$AF$30,1))</f>
        <v/>
      </c>
      <c r="BJ10" s="83" t="str">
        <f>IF(COUNTIFS('15'!$AG$25:$AG$30,$AK10,'15'!$AF$25:$AF$30,1)=0,"",SUMIFS('15'!$AC$25:$AC$30,'15'!$AG$25:$AG$30,$AK10,'15'!$AF$25:$AF$30,1)/COUNTIFS('15'!$AG$25:$AG$30,$AK10,'15'!$AF$25:$AF$30,1))</f>
        <v/>
      </c>
      <c r="BK10" s="83" t="str">
        <f>IF(COUNTIFS('16'!$AG$25:$AG$30,$AK10,'16'!$AF$25:$AF$30,1)=0,"",SUMIFS('16'!$AC$25:$AC$30,'16'!$AG$25:$AG$30,$AK10,'16'!$AF$25:$AF$30,1)/COUNTIFS('16'!$AG$25:$AG$30,$AK10,'16'!$AF$25:$AF$30,1))</f>
        <v/>
      </c>
      <c r="BL10" s="83" t="str">
        <f>IF(COUNTIFS('17'!$AG$25:$AG$30,$AK10,'17'!$AF$25:$AF$30,1)=0,"",SUMIFS('17'!$AC$25:$AC$30,'17'!$AG$25:$AG$30,$AK10,'17'!$AF$25:$AF$30,1)/COUNTIFS('17'!$AG$25:$AG$30,$AK10,'17'!$AF$25:$AF$30,1))</f>
        <v/>
      </c>
      <c r="BM10" s="83" t="str">
        <f>IF(COUNTIFS('18'!$AG$25:$AG$30,$AK10,'18'!$AF$25:$AF$30,1)=0,"",SUMIFS('18'!$AC$25:$AC$30,'18'!$AG$25:$AG$30,$AK10,'18'!$AF$25:$AF$30,1)/COUNTIFS('18'!$AG$25:$AG$30,$AK10,'18'!$AF$25:$AF$30,1))</f>
        <v/>
      </c>
      <c r="BN10" s="83" t="str">
        <f>IF(COUNTIFS('19'!$AG$25:$AG$30,$AK10,'19'!$AF$25:$AF$30,1)=0,"",SUMIFS('19'!$AC$25:$AC$30,'19'!$AG$25:$AG$30,$AK10,'19'!$AF$25:$AF$30,1)/COUNTIFS('19'!$AG$25:$AG$30,$AK10,'19'!$AF$25:$AF$30,1))</f>
        <v/>
      </c>
      <c r="BO10" s="83" t="str">
        <f>IF(COUNTIFS('20'!$AG$25:$AG$30,$AK10,'20'!$AF$25:$AF$30,1)=0,"",SUMIFS('20'!$AC$25:$AC$30,'20'!$AG$25:$AG$30,$AK10,'20'!$AF$25:$AF$30,1)/COUNTIFS('20'!$AG$25:$AG$30,$AK10,'20'!$AF$25:$AF$30,1))</f>
        <v/>
      </c>
      <c r="BP10" s="83" t="str">
        <f>IF(COUNTIFS('21'!$AG$25:$AG$30,$AK10,'21'!$AF$25:$AF$30,1)=0,"",SUMIFS('21'!$AC$25:$AC$30,'21'!$AG$25:$AG$30,$AK10,'21'!$AF$25:$AF$30,1)/COUNTIFS('21'!$AG$25:$AG$30,$AK10,'21'!$AF$25:$AF$30,1))</f>
        <v/>
      </c>
      <c r="BQ10" s="83" t="str">
        <f>IF(COUNTIFS('22'!$AG$25:$AG$30,$AK10,'22'!$AF$25:$AF$30,1)=0,"",SUMIFS('22'!$AC$25:$AC$30,'22'!$AG$25:$AG$30,$AK10,'22'!$AF$25:$AF$30,1)/COUNTIFS('22'!$AG$25:$AG$30,$AK10,'22'!$AF$25:$AF$30,1))</f>
        <v/>
      </c>
      <c r="BR10" s="83" t="str">
        <f>IF(COUNTIFS('23'!$AG$25:$AG$30,$AK10,'23'!$AF$25:$AF$30,1)=0,"",SUMIFS('23'!$AC$25:$AC$30,'23'!$AG$25:$AG$30,$AK10,'23'!$AF$25:$AF$30,1)/COUNTIFS('23'!$AG$25:$AG$30,$AK10,'23'!$AF$25:$AF$30,1))</f>
        <v/>
      </c>
      <c r="BS10" s="83" t="str">
        <f>IF(COUNTIFS('24'!$AG$25:$AG$30,$AK10,'24'!$AF$25:$AF$30,1)=0,"",SUMIFS('24'!$AC$25:$AC$30,'24'!$AG$25:$AG$30,$AK10,'24'!$AF$25:$AF$30,1)/COUNTIFS('24'!$AG$25:$AG$30,$AK10,'24'!$AF$25:$AF$30,1))</f>
        <v/>
      </c>
      <c r="BT10" s="83" t="str">
        <f>IF(COUNTIFS('25'!$AG$25:$AG$30,$AK10,'25'!$AF$25:$AF$30,1)=0,"",SUMIFS('25'!$AC$25:$AC$30,'25'!$AG$25:$AG$30,$AK10,'25'!$AF$25:$AF$30,1)/COUNTIFS('25'!$AG$25:$AG$30,$AK10,'25'!$AF$25:$AF$30,1))</f>
        <v/>
      </c>
      <c r="BU10" s="83" t="str">
        <f>IF(COUNTIFS('26'!$AG$25:$AG$30,$AK10,'26'!$AF$25:$AF$30,1)=0,"",SUMIFS('26'!$AC$25:$AC$30,'26'!$AG$25:$AG$30,$AK10,'26'!$AF$25:$AF$30,1)/COUNTIFS('26'!$AG$25:$AG$30,$AK10,'26'!$AF$25:$AF$30,1))</f>
        <v/>
      </c>
      <c r="BV10" s="83" t="str">
        <f>IF(COUNTIFS('27'!$AG$25:$AG$30,$AK10,'27'!$AF$25:$AF$30,1)=0,"",SUMIFS('27'!$AC$25:$AC$30,'27'!$AG$25:$AG$30,$AK10,'27'!$AF$25:$AF$30,1)/COUNTIFS('27'!$AG$25:$AG$30,$AK10,'27'!$AF$25:$AF$30,1))</f>
        <v/>
      </c>
      <c r="BW10" s="83" t="str">
        <f>IF(COUNTIFS('28'!$AG$25:$AG$30,$AK10,'28'!$AF$25:$AF$30,1)=0,"",SUMIFS('28'!$AC$25:$AC$30,'28'!$AG$25:$AG$30,$AK10,'28'!$AF$25:$AF$30,1)/COUNTIFS('28'!$AG$25:$AG$30,$AK10,'28'!$AF$25:$AF$30,1))</f>
        <v/>
      </c>
      <c r="BX10" s="83" t="str">
        <f>IF(COUNTIFS('29'!$AG$25:$AG$30,$AK10,'29'!$AF$25:$AF$30,1)=0,"",SUMIFS('29'!$AC$25:$AC$30,'29'!$AG$25:$AG$30,$AK10,'29'!$AF$25:$AF$30,1)/COUNTIFS('29'!$AG$25:$AG$30,$AK10,'29'!$AF$25:$AF$30,1))</f>
        <v/>
      </c>
      <c r="BY10" s="83" t="str">
        <f>IF(COUNTIFS('30'!$AG$25:$AG$30,$AK10,'30'!$AF$25:$AF$30,1)=0,"",SUMIFS('30'!$AC$25:$AC$30,'30'!$AG$25:$AG$30,$AK10,'30'!$AF$25:$AF$30,1)/COUNTIFS('30'!$AG$25:$AG$30,$AK10,'30'!$AF$25:$AF$30,1))</f>
        <v/>
      </c>
      <c r="BZ10" s="83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0">
        <f>IF(LARGE($Y$5:$Y$17,6)=0,"",6)</f>
        <v>6</v>
      </c>
      <c r="B11" s="140" t="str">
        <f t="shared" si="7"/>
        <v>Studio Rent</v>
      </c>
      <c r="C11" s="140">
        <f t="shared" si="8"/>
        <v>1</v>
      </c>
      <c r="D11" s="141">
        <f t="shared" si="9"/>
        <v>0.09090909091</v>
      </c>
      <c r="E11" s="141">
        <f t="shared" si="10"/>
        <v>1</v>
      </c>
      <c r="X11" s="83" t="s">
        <v>121</v>
      </c>
      <c r="Y11" s="83">
        <f>COUNTIF('1'!$D$4:$D$20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3">
        <f t="shared" si="1"/>
        <v>0.00007</v>
      </c>
      <c r="AA11" s="83" t="s">
        <v>106</v>
      </c>
      <c r="AB11" s="83" t="s">
        <v>114</v>
      </c>
      <c r="AC11" s="83">
        <f>COUNTIF('1'!$O$22:$O$25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3">
        <f t="shared" si="2"/>
        <v>0.00005</v>
      </c>
      <c r="AK11" s="83" t="s">
        <v>106</v>
      </c>
      <c r="AL11" s="83" t="s">
        <v>114</v>
      </c>
      <c r="AM11" s="83">
        <f>COUNTIFS('1'!$AG$29:$AG$34,AK11,'1'!$AF$29:$AF$34,1)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3" t="str">
        <f t="shared" si="5"/>
        <v/>
      </c>
      <c r="AO11" s="83" t="str">
        <f>IF(AM11=0,"",(SUMIFS('1'!$L$29:$L$34,'1'!$AG$29:$AG$34,AK11,'1'!$AF$29:$AF$34,1)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3" t="str">
        <f>IF(AM11=0,"",(SUMIFS('1'!$M$29:$M$34,'1'!$AG$29:$AG$34,AK11,'1'!$AF$29:$AF$34,1)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3" t="str">
        <f>IF(AM11=0,"",(SUMIFS('1'!$N$29:$N$34,'1'!$AG$29:$AG$34,AK11,'1'!$AF$29:$AF$34,1)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3" t="str">
        <f>IF(AM11=0,"",(SUMIFS('1'!$O$29:$O$34,'1'!$AG$29:$AG$34,AK11,'1'!$AF$29:$AF$34,1)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3" t="str">
        <f>IF(AM11=0,"",(SUMIFS('1'!$P$29:$P$34,'1'!$AG$29:$AG$34,AK11,'1'!$AF$29:$AF$34,1)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3" t="str">
        <f>IF(COUNTIFS('1'!$AG$29:$AG$34,$AK11,'1'!$AF$29:$AF$34,1)=0,"",SUMIFS('1'!$AC$29:$AC$34,'1'!$AG$29:$AG$34,$AK11,'1'!$AF$29:$AF$34,1)/COUNTIFS('1'!$AG$29:$AG$34,$AK11,'1'!$AF$29:$AF$34,1))</f>
        <v/>
      </c>
      <c r="AW11" s="83" t="str">
        <f>IF(COUNTIFS('2'!$AG$25:$AG$30,$AK11,'2'!$AF$25:$AF$30,1)=0,"",SUMIFS('2'!$AC$25:$AC$30,'2'!$AG$25:$AG$30,$AK11,'2'!$AF$25:$AF$30,1)/COUNTIFS('2'!$AG$25:$AG$30,$AK11,'2'!$AF$25:$AF$30,1))</f>
        <v/>
      </c>
      <c r="AX11" s="83" t="str">
        <f>IF(COUNTIFS('3'!$AG$24:$AG$29,$AK11,'3'!$AF$24:$AF$29,1)=0,"",SUMIFS('3'!$AC$24:$AC$29,'3'!$AG$24:$AG$29,$AK11,'3'!$AF$24:$AF$29,1)/COUNTIFS('3'!$AG$24:$AG$29,$AK11,'3'!$AF$24:$AF$29,1))</f>
        <v/>
      </c>
      <c r="AY11" s="83" t="str">
        <f>IF(COUNTIFS('4'!$AG$25:$AG$30,$AK11,'4'!$AF$25:$AF$30,1)=0,"",SUMIFS('4'!$AC$25:$AC$30,'4'!$AG$25:$AG$30,$AK11,'4'!$AF$25:$AF$30,1)/COUNTIFS('4'!$AG$25:$AG$30,$AK11,'4'!$AF$25:$AF$30,1))</f>
        <v/>
      </c>
      <c r="AZ11" s="83" t="str">
        <f>IF(COUNTIFS('5'!$AG$25:$AG$30,$AK11,'5'!$AF$25:$AF$30,1)=0,"",SUMIFS('5'!$AC$25:$AC$30,'5'!$AG$25:$AG$30,$AK11,'5'!$AF$25:$AF$30,1)/COUNTIFS('5'!$AG$25:$AG$30,$AK11,'5'!$AF$25:$AF$30,1))</f>
        <v/>
      </c>
      <c r="BA11" s="83" t="str">
        <f>IF(COUNTIFS('6'!$AG$25:$AG$30,$AK11,'6'!$AF$25:$AF$30,1)=0,"",SUMIFS('6'!$AC$25:$AC$30,'6'!$AG$25:$AG$30,$AK11,'6'!$AF$25:$AF$30,1)/COUNTIFS('6'!$AG$25:$AG$30,$AK11,'6'!$AF$25:$AF$30,1))</f>
        <v/>
      </c>
      <c r="BB11" s="83" t="str">
        <f>IF(COUNTIFS('7'!$AG$30:$AG$35,$AK11,'7'!$AF$30:$AF$35,1)=0,"",SUMIFS('7'!$AC$30:$AC$35,'7'!$AG$30:$AG$35,$AK11,'7'!$AF$30:$AF$35,1)/COUNTIFS('7'!$AG$30:$AG$35,$AK11,'7'!$AF$30:$AF$35,1))</f>
        <v/>
      </c>
      <c r="BC11" s="83" t="str">
        <f>IF(COUNTIFS('8'!$AG$25:$AG$30,$AK11,'8'!$AF$25:$AF$30,1)=0,"",SUMIFS('8'!$AC$25:$AC$30,'8'!$AG$25:$AG$30,$AK11,'8'!$AF$25:$AF$30,1)/COUNTIFS('8'!$AG$25:$AG$30,$AK11,'8'!$AF$25:$AF$30,1))</f>
        <v/>
      </c>
      <c r="BD11" s="83" t="str">
        <f>IF(COUNTIFS('9'!$AG$25:$AG$30,$AK11,'9'!$AF$25:$AF$30,1)=0,"",SUMIFS('9'!$AC$25:$AC$30,'9'!$AG$25:$AG$30,$AK11,'9'!$AF$25:$AF$30,1)/COUNTIFS('9'!$AG$25:$AG$30,$AK11,'9'!$AF$25:$AF$30,1))</f>
        <v/>
      </c>
      <c r="BE11" s="83" t="str">
        <f>IF(COUNTIFS('10'!$AG$25:$AG$30,$AK11,'10'!$AF$25:$AF$30,1)=0,"",SUMIFS('10'!$AC$25:$AC$30,'10'!$AG$25:$AG$30,$AK11,'10'!$AF$25:$AF$30,1)/COUNTIFS('10'!$AG$25:$AG$30,$AK11,'10'!$AF$25:$AF$30,1))</f>
        <v/>
      </c>
      <c r="BF11" s="83" t="str">
        <f>IF(COUNTIFS('11'!$AG$25:$AG$30,$AK11,'11'!$AF$25:$AF$30,1)=0,"",SUMIFS('11'!$AC$25:$AC$30,'11'!$AG$25:$AG$30,$AK11,'11'!$AF$25:$AF$30,1)/COUNTIFS('11'!$AG$25:$AG$30,$AK11,'11'!$AF$25:$AF$30,1))</f>
        <v/>
      </c>
      <c r="BG11" s="83" t="str">
        <f>IF(COUNTIFS('12'!$AG$25:$AG$30,$AK11,'12'!$AF$25:$AF$30,1)=0,"",SUMIFS('12'!$AC$25:$AC$30,'12'!$AG$25:$AG$30,$AK11,'12'!$AF$25:$AF$30,1)/COUNTIFS('12'!$AG$25:$AG$30,$AK11,'12'!$AF$25:$AF$30,1))</f>
        <v/>
      </c>
      <c r="BH11" s="83" t="str">
        <f>IF(COUNTIFS('13'!$AG$25:$AG$30,$AK11,'13'!$AF$25:$AF$30,1)=0,"",SUMIFS('13'!$AC$25:$AC$30,'13'!$AG$25:$AG$30,$AK11,'13'!$AF$25:$AF$30,1)/COUNTIFS('13'!$AG$25:$AG$30,$AK11,'13'!$AF$25:$AF$30,1))</f>
        <v/>
      </c>
      <c r="BI11" s="83" t="str">
        <f>IF(COUNTIFS('14'!$AG$25:$AG$30,$AK11,'14'!$AF$25:$AF$30,1)=0,"",SUMIFS('14'!$AC$25:$AC$30,'14'!$AG$25:$AG$30,$AK11,'14'!$AF$25:$AF$30,1)/COUNTIFS('14'!$AG$25:$AG$30,$AK11,'14'!$AF$25:$AF$30,1))</f>
        <v/>
      </c>
      <c r="BJ11" s="83" t="str">
        <f>IF(COUNTIFS('15'!$AG$25:$AG$30,$AK11,'15'!$AF$25:$AF$30,1)=0,"",SUMIFS('15'!$AC$25:$AC$30,'15'!$AG$25:$AG$30,$AK11,'15'!$AF$25:$AF$30,1)/COUNTIFS('15'!$AG$25:$AG$30,$AK11,'15'!$AF$25:$AF$30,1))</f>
        <v/>
      </c>
      <c r="BK11" s="83" t="str">
        <f>IF(COUNTIFS('16'!$AG$25:$AG$30,$AK11,'16'!$AF$25:$AF$30,1)=0,"",SUMIFS('16'!$AC$25:$AC$30,'16'!$AG$25:$AG$30,$AK11,'16'!$AF$25:$AF$30,1)/COUNTIFS('16'!$AG$25:$AG$30,$AK11,'16'!$AF$25:$AF$30,1))</f>
        <v/>
      </c>
      <c r="BL11" s="83" t="str">
        <f>IF(COUNTIFS('17'!$AG$25:$AG$30,$AK11,'17'!$AF$25:$AF$30,1)=0,"",SUMIFS('17'!$AC$25:$AC$30,'17'!$AG$25:$AG$30,$AK11,'17'!$AF$25:$AF$30,1)/COUNTIFS('17'!$AG$25:$AG$30,$AK11,'17'!$AF$25:$AF$30,1))</f>
        <v/>
      </c>
      <c r="BM11" s="83" t="str">
        <f>IF(COUNTIFS('18'!$AG$25:$AG$30,$AK11,'18'!$AF$25:$AF$30,1)=0,"",SUMIFS('18'!$AC$25:$AC$30,'18'!$AG$25:$AG$30,$AK11,'18'!$AF$25:$AF$30,1)/COUNTIFS('18'!$AG$25:$AG$30,$AK11,'18'!$AF$25:$AF$30,1))</f>
        <v/>
      </c>
      <c r="BN11" s="83" t="str">
        <f>IF(COUNTIFS('19'!$AG$25:$AG$30,$AK11,'19'!$AF$25:$AF$30,1)=0,"",SUMIFS('19'!$AC$25:$AC$30,'19'!$AG$25:$AG$30,$AK11,'19'!$AF$25:$AF$30,1)/COUNTIFS('19'!$AG$25:$AG$30,$AK11,'19'!$AF$25:$AF$30,1))</f>
        <v/>
      </c>
      <c r="BO11" s="83" t="str">
        <f>IF(COUNTIFS('20'!$AG$25:$AG$30,$AK11,'20'!$AF$25:$AF$30,1)=0,"",SUMIFS('20'!$AC$25:$AC$30,'20'!$AG$25:$AG$30,$AK11,'20'!$AF$25:$AF$30,1)/COUNTIFS('20'!$AG$25:$AG$30,$AK11,'20'!$AF$25:$AF$30,1))</f>
        <v/>
      </c>
      <c r="BP11" s="83" t="str">
        <f>IF(COUNTIFS('21'!$AG$25:$AG$30,$AK11,'21'!$AF$25:$AF$30,1)=0,"",SUMIFS('21'!$AC$25:$AC$30,'21'!$AG$25:$AG$30,$AK11,'21'!$AF$25:$AF$30,1)/COUNTIFS('21'!$AG$25:$AG$30,$AK11,'21'!$AF$25:$AF$30,1))</f>
        <v/>
      </c>
      <c r="BQ11" s="83" t="str">
        <f>IF(COUNTIFS('22'!$AG$25:$AG$30,$AK11,'22'!$AF$25:$AF$30,1)=0,"",SUMIFS('22'!$AC$25:$AC$30,'22'!$AG$25:$AG$30,$AK11,'22'!$AF$25:$AF$30,1)/COUNTIFS('22'!$AG$25:$AG$30,$AK11,'22'!$AF$25:$AF$30,1))</f>
        <v/>
      </c>
      <c r="BR11" s="83" t="str">
        <f>IF(COUNTIFS('23'!$AG$25:$AG$30,$AK11,'23'!$AF$25:$AF$30,1)=0,"",SUMIFS('23'!$AC$25:$AC$30,'23'!$AG$25:$AG$30,$AK11,'23'!$AF$25:$AF$30,1)/COUNTIFS('23'!$AG$25:$AG$30,$AK11,'23'!$AF$25:$AF$30,1))</f>
        <v/>
      </c>
      <c r="BS11" s="83" t="str">
        <f>IF(COUNTIFS('24'!$AG$25:$AG$30,$AK11,'24'!$AF$25:$AF$30,1)=0,"",SUMIFS('24'!$AC$25:$AC$30,'24'!$AG$25:$AG$30,$AK11,'24'!$AF$25:$AF$30,1)/COUNTIFS('24'!$AG$25:$AG$30,$AK11,'24'!$AF$25:$AF$30,1))</f>
        <v/>
      </c>
      <c r="BT11" s="83" t="str">
        <f>IF(COUNTIFS('25'!$AG$25:$AG$30,$AK11,'25'!$AF$25:$AF$30,1)=0,"",SUMIFS('25'!$AC$25:$AC$30,'25'!$AG$25:$AG$30,$AK11,'25'!$AF$25:$AF$30,1)/COUNTIFS('25'!$AG$25:$AG$30,$AK11,'25'!$AF$25:$AF$30,1))</f>
        <v/>
      </c>
      <c r="BU11" s="83" t="str">
        <f>IF(COUNTIFS('26'!$AG$25:$AG$30,$AK11,'26'!$AF$25:$AF$30,1)=0,"",SUMIFS('26'!$AC$25:$AC$30,'26'!$AG$25:$AG$30,$AK11,'26'!$AF$25:$AF$30,1)/COUNTIFS('26'!$AG$25:$AG$30,$AK11,'26'!$AF$25:$AF$30,1))</f>
        <v/>
      </c>
      <c r="BV11" s="83" t="str">
        <f>IF(COUNTIFS('27'!$AG$25:$AG$30,$AK11,'27'!$AF$25:$AF$30,1)=0,"",SUMIFS('27'!$AC$25:$AC$30,'27'!$AG$25:$AG$30,$AK11,'27'!$AF$25:$AF$30,1)/COUNTIFS('27'!$AG$25:$AG$30,$AK11,'27'!$AF$25:$AF$30,1))</f>
        <v/>
      </c>
      <c r="BW11" s="83" t="str">
        <f>IF(COUNTIFS('28'!$AG$25:$AG$30,$AK11,'28'!$AF$25:$AF$30,1)=0,"",SUMIFS('28'!$AC$25:$AC$30,'28'!$AG$25:$AG$30,$AK11,'28'!$AF$25:$AF$30,1)/COUNTIFS('28'!$AG$25:$AG$30,$AK11,'28'!$AF$25:$AF$30,1))</f>
        <v/>
      </c>
      <c r="BX11" s="83" t="str">
        <f>IF(COUNTIFS('29'!$AG$25:$AG$30,$AK11,'29'!$AF$25:$AF$30,1)=0,"",SUMIFS('29'!$AC$25:$AC$30,'29'!$AG$25:$AG$30,$AK11,'29'!$AF$25:$AF$30,1)/COUNTIFS('29'!$AG$25:$AG$30,$AK11,'29'!$AF$25:$AF$30,1))</f>
        <v/>
      </c>
      <c r="BY11" s="83" t="str">
        <f>IF(COUNTIFS('30'!$AG$25:$AG$30,$AK11,'30'!$AF$25:$AF$30,1)=0,"",SUMIFS('30'!$AC$25:$AC$30,'30'!$AG$25:$AG$30,$AK11,'30'!$AF$25:$AF$30,1)/COUNTIFS('30'!$AG$25:$AG$30,$AK11,'30'!$AF$25:$AF$30,1))</f>
        <v/>
      </c>
      <c r="BZ11" s="83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0" t="str">
        <f>IF(LARGE($Y$5:$Y$17,7)=0,"",7)</f>
        <v/>
      </c>
      <c r="B12" s="140" t="str">
        <f t="shared" si="7"/>
        <v/>
      </c>
      <c r="C12" s="140" t="str">
        <f t="shared" si="8"/>
        <v/>
      </c>
      <c r="D12" s="141" t="str">
        <f t="shared" si="9"/>
        <v/>
      </c>
      <c r="E12" s="141" t="str">
        <f t="shared" si="10"/>
        <v/>
      </c>
      <c r="X12" s="83" t="s">
        <v>122</v>
      </c>
      <c r="Y12" s="83">
        <f>COUNTIF('1'!$D$4:$D$20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3">
        <f t="shared" si="1"/>
        <v>0.00006</v>
      </c>
      <c r="AA12" s="83" t="s">
        <v>29</v>
      </c>
      <c r="AB12" s="83" t="s">
        <v>114</v>
      </c>
      <c r="AC12" s="83">
        <f>COUNTIF('1'!$O$22:$O$25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</v>
      </c>
      <c r="AD12" s="83">
        <f t="shared" si="2"/>
        <v>2.00004</v>
      </c>
      <c r="AK12" s="83" t="s">
        <v>29</v>
      </c>
      <c r="AL12" s="83" t="s">
        <v>114</v>
      </c>
      <c r="AM12" s="83">
        <f>COUNTIFS('1'!$AG$29:$AG$34,AK12,'1'!$AF$29:$AF$34,1)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0</v>
      </c>
      <c r="AN12" s="83" t="str">
        <f t="shared" si="5"/>
        <v/>
      </c>
      <c r="AO12" s="83" t="str">
        <f>IF(AM12=0,"",(SUMIFS('1'!$L$29:$L$34,'1'!$AG$29:$AG$34,AK12,'1'!$AF$29:$AF$34,1)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/>
      </c>
      <c r="AP12" s="83" t="str">
        <f>IF(AM12=0,"",(SUMIFS('1'!$M$29:$M$34,'1'!$AG$29:$AG$34,AK12,'1'!$AF$29:$AF$34,1)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/>
      </c>
      <c r="AQ12" s="83" t="str">
        <f>IF(AM12=0,"",(SUMIFS('1'!$N$29:$N$34,'1'!$AG$29:$AG$34,AK12,'1'!$AF$29:$AF$34,1)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/>
      </c>
      <c r="AR12" s="83" t="str">
        <f>IF(AM12=0,"",(SUMIFS('1'!$O$29:$O$34,'1'!$AG$29:$AG$34,AK12,'1'!$AF$29:$AF$34,1)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/>
      </c>
      <c r="AS12" s="83" t="str">
        <f>IF(AM12=0,"",(SUMIFS('1'!$P$29:$P$34,'1'!$AG$29:$AG$34,AK12,'1'!$AF$29:$AF$34,1)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/>
      </c>
      <c r="AV12" s="83" t="str">
        <f>IF(COUNTIFS('1'!$AG$29:$AG$34,$AK12,'1'!$AF$29:$AF$34,1)=0,"",SUMIFS('1'!$AC$29:$AC$34,'1'!$AG$29:$AG$34,$AK12,'1'!$AF$29:$AF$34,1)/COUNTIFS('1'!$AG$29:$AG$34,$AK12,'1'!$AF$29:$AF$34,1))</f>
        <v/>
      </c>
      <c r="AW12" s="83" t="str">
        <f>IF(COUNTIFS('2'!$AG$25:$AG$30,$AK12,'2'!$AF$25:$AF$30,1)=0,"",SUMIFS('2'!$AC$25:$AC$30,'2'!$AG$25:$AG$30,$AK12,'2'!$AF$25:$AF$30,1)/COUNTIFS('2'!$AG$25:$AG$30,$AK12,'2'!$AF$25:$AF$30,1))</f>
        <v/>
      </c>
      <c r="AX12" s="83" t="str">
        <f>IF(COUNTIFS('3'!$AG$24:$AG$29,$AK12,'3'!$AF$24:$AF$29,1)=0,"",SUMIFS('3'!$AC$24:$AC$29,'3'!$AG$24:$AG$29,$AK12,'3'!$AF$24:$AF$29,1)/COUNTIFS('3'!$AG$24:$AG$29,$AK12,'3'!$AF$24:$AF$29,1))</f>
        <v/>
      </c>
      <c r="AY12" s="83" t="str">
        <f>IF(COUNTIFS('4'!$AG$25:$AG$30,$AK12,'4'!$AF$25:$AF$30,1)=0,"",SUMIFS('4'!$AC$25:$AC$30,'4'!$AG$25:$AG$30,$AK12,'4'!$AF$25:$AF$30,1)/COUNTIFS('4'!$AG$25:$AG$30,$AK12,'4'!$AF$25:$AF$30,1))</f>
        <v/>
      </c>
      <c r="AZ12" s="83" t="str">
        <f>IF(COUNTIFS('5'!$AG$25:$AG$30,$AK12,'5'!$AF$25:$AF$30,1)=0,"",SUMIFS('5'!$AC$25:$AC$30,'5'!$AG$25:$AG$30,$AK12,'5'!$AF$25:$AF$30,1)/COUNTIFS('5'!$AG$25:$AG$30,$AK12,'5'!$AF$25:$AF$30,1))</f>
        <v/>
      </c>
      <c r="BA12" s="83" t="str">
        <f>IF(COUNTIFS('6'!$AG$25:$AG$30,$AK12,'6'!$AF$25:$AF$30,1)=0,"",SUMIFS('6'!$AC$25:$AC$30,'6'!$AG$25:$AG$30,$AK12,'6'!$AF$25:$AF$30,1)/COUNTIFS('6'!$AG$25:$AG$30,$AK12,'6'!$AF$25:$AF$30,1))</f>
        <v/>
      </c>
      <c r="BB12" s="83" t="str">
        <f>IF(COUNTIFS('7'!$AG$30:$AG$35,$AK12,'7'!$AF$30:$AF$35,1)=0,"",SUMIFS('7'!$AC$30:$AC$35,'7'!$AG$30:$AG$35,$AK12,'7'!$AF$30:$AF$35,1)/COUNTIFS('7'!$AG$30:$AG$35,$AK12,'7'!$AF$30:$AF$35,1))</f>
        <v/>
      </c>
      <c r="BC12" s="83" t="str">
        <f>IF(COUNTIFS('8'!$AG$25:$AG$30,$AK12,'8'!$AF$25:$AF$30,1)=0,"",SUMIFS('8'!$AC$25:$AC$30,'8'!$AG$25:$AG$30,$AK12,'8'!$AF$25:$AF$30,1)/COUNTIFS('8'!$AG$25:$AG$30,$AK12,'8'!$AF$25:$AF$30,1))</f>
        <v/>
      </c>
      <c r="BD12" s="83" t="str">
        <f>IF(COUNTIFS('9'!$AG$25:$AG$30,$AK12,'9'!$AF$25:$AF$30,1)=0,"",SUMIFS('9'!$AC$25:$AC$30,'9'!$AG$25:$AG$30,$AK12,'9'!$AF$25:$AF$30,1)/COUNTIFS('9'!$AG$25:$AG$30,$AK12,'9'!$AF$25:$AF$30,1))</f>
        <v/>
      </c>
      <c r="BE12" s="83" t="str">
        <f>IF(COUNTIFS('10'!$AG$25:$AG$30,$AK12,'10'!$AF$25:$AF$30,1)=0,"",SUMIFS('10'!$AC$25:$AC$30,'10'!$AG$25:$AG$30,$AK12,'10'!$AF$25:$AF$30,1)/COUNTIFS('10'!$AG$25:$AG$30,$AK12,'10'!$AF$25:$AF$30,1))</f>
        <v/>
      </c>
      <c r="BF12" s="83" t="str">
        <f>IF(COUNTIFS('11'!$AG$25:$AG$30,$AK12,'11'!$AF$25:$AF$30,1)=0,"",SUMIFS('11'!$AC$25:$AC$30,'11'!$AG$25:$AG$30,$AK12,'11'!$AF$25:$AF$30,1)/COUNTIFS('11'!$AG$25:$AG$30,$AK12,'11'!$AF$25:$AF$30,1))</f>
        <v/>
      </c>
      <c r="BG12" s="83" t="str">
        <f>IF(COUNTIFS('12'!$AG$25:$AG$30,$AK12,'12'!$AF$25:$AF$30,1)=0,"",SUMIFS('12'!$AC$25:$AC$30,'12'!$AG$25:$AG$30,$AK12,'12'!$AF$25:$AF$30,1)/COUNTIFS('12'!$AG$25:$AG$30,$AK12,'12'!$AF$25:$AF$30,1))</f>
        <v/>
      </c>
      <c r="BH12" s="83" t="str">
        <f>IF(COUNTIFS('13'!$AG$25:$AG$30,$AK12,'13'!$AF$25:$AF$30,1)=0,"",SUMIFS('13'!$AC$25:$AC$30,'13'!$AG$25:$AG$30,$AK12,'13'!$AF$25:$AF$30,1)/COUNTIFS('13'!$AG$25:$AG$30,$AK12,'13'!$AF$25:$AF$30,1))</f>
        <v/>
      </c>
      <c r="BI12" s="83" t="str">
        <f>IF(COUNTIFS('14'!$AG$25:$AG$30,$AK12,'14'!$AF$25:$AF$30,1)=0,"",SUMIFS('14'!$AC$25:$AC$30,'14'!$AG$25:$AG$30,$AK12,'14'!$AF$25:$AF$30,1)/COUNTIFS('14'!$AG$25:$AG$30,$AK12,'14'!$AF$25:$AF$30,1))</f>
        <v/>
      </c>
      <c r="BJ12" s="83" t="str">
        <f>IF(COUNTIFS('15'!$AG$25:$AG$30,$AK12,'15'!$AF$25:$AF$30,1)=0,"",SUMIFS('15'!$AC$25:$AC$30,'15'!$AG$25:$AG$30,$AK12,'15'!$AF$25:$AF$30,1)/COUNTIFS('15'!$AG$25:$AG$30,$AK12,'15'!$AF$25:$AF$30,1))</f>
        <v/>
      </c>
      <c r="BK12" s="83" t="str">
        <f>IF(COUNTIFS('16'!$AG$25:$AG$30,$AK12,'16'!$AF$25:$AF$30,1)=0,"",SUMIFS('16'!$AC$25:$AC$30,'16'!$AG$25:$AG$30,$AK12,'16'!$AF$25:$AF$30,1)/COUNTIFS('16'!$AG$25:$AG$30,$AK12,'16'!$AF$25:$AF$30,1))</f>
        <v/>
      </c>
      <c r="BL12" s="83" t="str">
        <f>IF(COUNTIFS('17'!$AG$25:$AG$30,$AK12,'17'!$AF$25:$AF$30,1)=0,"",SUMIFS('17'!$AC$25:$AC$30,'17'!$AG$25:$AG$30,$AK12,'17'!$AF$25:$AF$30,1)/COUNTIFS('17'!$AG$25:$AG$30,$AK12,'17'!$AF$25:$AF$30,1))</f>
        <v/>
      </c>
      <c r="BM12" s="83" t="str">
        <f>IF(COUNTIFS('18'!$AG$25:$AG$30,$AK12,'18'!$AF$25:$AF$30,1)=0,"",SUMIFS('18'!$AC$25:$AC$30,'18'!$AG$25:$AG$30,$AK12,'18'!$AF$25:$AF$30,1)/COUNTIFS('18'!$AG$25:$AG$30,$AK12,'18'!$AF$25:$AF$30,1))</f>
        <v/>
      </c>
      <c r="BN12" s="83" t="str">
        <f>IF(COUNTIFS('19'!$AG$25:$AG$30,$AK12,'19'!$AF$25:$AF$30,1)=0,"",SUMIFS('19'!$AC$25:$AC$30,'19'!$AG$25:$AG$30,$AK12,'19'!$AF$25:$AF$30,1)/COUNTIFS('19'!$AG$25:$AG$30,$AK12,'19'!$AF$25:$AF$30,1))</f>
        <v/>
      </c>
      <c r="BO12" s="83" t="str">
        <f>IF(COUNTIFS('20'!$AG$25:$AG$30,$AK12,'20'!$AF$25:$AF$30,1)=0,"",SUMIFS('20'!$AC$25:$AC$30,'20'!$AG$25:$AG$30,$AK12,'20'!$AF$25:$AF$30,1)/COUNTIFS('20'!$AG$25:$AG$30,$AK12,'20'!$AF$25:$AF$30,1))</f>
        <v/>
      </c>
      <c r="BP12" s="83" t="str">
        <f>IF(COUNTIFS('21'!$AG$25:$AG$30,$AK12,'21'!$AF$25:$AF$30,1)=0,"",SUMIFS('21'!$AC$25:$AC$30,'21'!$AG$25:$AG$30,$AK12,'21'!$AF$25:$AF$30,1)/COUNTIFS('21'!$AG$25:$AG$30,$AK12,'21'!$AF$25:$AF$30,1))</f>
        <v/>
      </c>
      <c r="BQ12" s="83" t="str">
        <f>IF(COUNTIFS('22'!$AG$25:$AG$30,$AK12,'22'!$AF$25:$AF$30,1)=0,"",SUMIFS('22'!$AC$25:$AC$30,'22'!$AG$25:$AG$30,$AK12,'22'!$AF$25:$AF$30,1)/COUNTIFS('22'!$AG$25:$AG$30,$AK12,'22'!$AF$25:$AF$30,1))</f>
        <v/>
      </c>
      <c r="BR12" s="83" t="str">
        <f>IF(COUNTIFS('23'!$AG$25:$AG$30,$AK12,'23'!$AF$25:$AF$30,1)=0,"",SUMIFS('23'!$AC$25:$AC$30,'23'!$AG$25:$AG$30,$AK12,'23'!$AF$25:$AF$30,1)/COUNTIFS('23'!$AG$25:$AG$30,$AK12,'23'!$AF$25:$AF$30,1))</f>
        <v/>
      </c>
      <c r="BS12" s="83" t="str">
        <f>IF(COUNTIFS('24'!$AG$25:$AG$30,$AK12,'24'!$AF$25:$AF$30,1)=0,"",SUMIFS('24'!$AC$25:$AC$30,'24'!$AG$25:$AG$30,$AK12,'24'!$AF$25:$AF$30,1)/COUNTIFS('24'!$AG$25:$AG$30,$AK12,'24'!$AF$25:$AF$30,1))</f>
        <v/>
      </c>
      <c r="BT12" s="83" t="str">
        <f>IF(COUNTIFS('25'!$AG$25:$AG$30,$AK12,'25'!$AF$25:$AF$30,1)=0,"",SUMIFS('25'!$AC$25:$AC$30,'25'!$AG$25:$AG$30,$AK12,'25'!$AF$25:$AF$30,1)/COUNTIFS('25'!$AG$25:$AG$30,$AK12,'25'!$AF$25:$AF$30,1))</f>
        <v/>
      </c>
      <c r="BU12" s="83" t="str">
        <f>IF(COUNTIFS('26'!$AG$25:$AG$30,$AK12,'26'!$AF$25:$AF$30,1)=0,"",SUMIFS('26'!$AC$25:$AC$30,'26'!$AG$25:$AG$30,$AK12,'26'!$AF$25:$AF$30,1)/COUNTIFS('26'!$AG$25:$AG$30,$AK12,'26'!$AF$25:$AF$30,1))</f>
        <v/>
      </c>
      <c r="BV12" s="83" t="str">
        <f>IF(COUNTIFS('27'!$AG$25:$AG$30,$AK12,'27'!$AF$25:$AF$30,1)=0,"",SUMIFS('27'!$AC$25:$AC$30,'27'!$AG$25:$AG$30,$AK12,'27'!$AF$25:$AF$30,1)/COUNTIFS('27'!$AG$25:$AG$30,$AK12,'27'!$AF$25:$AF$30,1))</f>
        <v/>
      </c>
      <c r="BW12" s="83" t="str">
        <f>IF(COUNTIFS('28'!$AG$25:$AG$30,$AK12,'28'!$AF$25:$AF$30,1)=0,"",SUMIFS('28'!$AC$25:$AC$30,'28'!$AG$25:$AG$30,$AK12,'28'!$AF$25:$AF$30,1)/COUNTIFS('28'!$AG$25:$AG$30,$AK12,'28'!$AF$25:$AF$30,1))</f>
        <v/>
      </c>
      <c r="BX12" s="83" t="str">
        <f>IF(COUNTIFS('29'!$AG$25:$AG$30,$AK12,'29'!$AF$25:$AF$30,1)=0,"",SUMIFS('29'!$AC$25:$AC$30,'29'!$AG$25:$AG$30,$AK12,'29'!$AF$25:$AF$30,1)/COUNTIFS('29'!$AG$25:$AG$30,$AK12,'29'!$AF$25:$AF$30,1))</f>
        <v/>
      </c>
      <c r="BY12" s="83" t="str">
        <f>IF(COUNTIFS('30'!$AG$25:$AG$30,$AK12,'30'!$AF$25:$AF$30,1)=0,"",SUMIFS('30'!$AC$25:$AC$30,'30'!$AG$25:$AG$30,$AK12,'30'!$AF$25:$AF$30,1)/COUNTIFS('30'!$AG$25:$AG$30,$AK12,'30'!$AF$25:$AF$30,1))</f>
        <v/>
      </c>
      <c r="BZ12" s="83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0" t="str">
        <f>IF(LARGE($Y$5:$Y$17,8)=0,"",8)</f>
        <v/>
      </c>
      <c r="B13" s="140" t="str">
        <f t="shared" si="7"/>
        <v/>
      </c>
      <c r="C13" s="140" t="str">
        <f t="shared" si="8"/>
        <v/>
      </c>
      <c r="D13" s="141" t="str">
        <f t="shared" si="9"/>
        <v/>
      </c>
      <c r="E13" s="141" t="str">
        <f t="shared" si="10"/>
        <v/>
      </c>
      <c r="X13" s="83" t="s">
        <v>123</v>
      </c>
      <c r="Y13" s="83">
        <f>COUNTIF('1'!$D$4:$D$20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3">
        <f t="shared" si="1"/>
        <v>0.00005</v>
      </c>
      <c r="AA13" s="83" t="s">
        <v>115</v>
      </c>
      <c r="AB13" s="83" t="s">
        <v>114</v>
      </c>
      <c r="AC13" s="83">
        <f>COUNTIF('1'!$O$22:$O$25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3">
        <f t="shared" si="2"/>
        <v>0.00003</v>
      </c>
      <c r="AK13" s="83" t="s">
        <v>115</v>
      </c>
      <c r="AL13" s="83" t="s">
        <v>114</v>
      </c>
      <c r="AM13" s="83">
        <f>COUNTIFS('1'!$AG$29:$AG$34,AK13,'1'!$AF$29:$AF$34,1)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3" t="str">
        <f t="shared" si="5"/>
        <v/>
      </c>
      <c r="AO13" s="83" t="str">
        <f>IF(AM13=0,"",(SUMIFS('1'!$L$29:$L$34,'1'!$AG$29:$AG$34,AK13,'1'!$AF$29:$AF$34,1)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3" t="str">
        <f>IF(AM13=0,"",(SUMIFS('1'!$M$29:$M$34,'1'!$AG$29:$AG$34,AK13,'1'!$AF$29:$AF$34,1)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3" t="str">
        <f>IF(AM13=0,"",(SUMIFS('1'!$N$29:$N$34,'1'!$AG$29:$AG$34,AK13,'1'!$AF$29:$AF$34,1)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3" t="str">
        <f>IF(AM13=0,"",(SUMIFS('1'!$O$29:$O$34,'1'!$AG$29:$AG$34,AK13,'1'!$AF$29:$AF$34,1)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3" t="str">
        <f>IF(AM13=0,"",(SUMIFS('1'!$P$29:$P$34,'1'!$AG$29:$AG$34,AK13,'1'!$AF$29:$AF$34,1)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3" t="str">
        <f>IF(COUNTIFS('1'!$AG$29:$AG$34,$AK13,'1'!$AF$29:$AF$34,1)=0,"",SUMIFS('1'!$AC$29:$AC$34,'1'!$AG$29:$AG$34,$AK13,'1'!$AF$29:$AF$34,1)/COUNTIFS('1'!$AG$29:$AG$34,$AK13,'1'!$AF$29:$AF$34,1))</f>
        <v/>
      </c>
      <c r="AW13" s="83" t="str">
        <f>IF(COUNTIFS('2'!$AG$25:$AG$30,$AK13,'2'!$AF$25:$AF$30,1)=0,"",SUMIFS('2'!$AC$25:$AC$30,'2'!$AG$25:$AG$30,$AK13,'2'!$AF$25:$AF$30,1)/COUNTIFS('2'!$AG$25:$AG$30,$AK13,'2'!$AF$25:$AF$30,1))</f>
        <v/>
      </c>
      <c r="AX13" s="83" t="str">
        <f>IF(COUNTIFS('3'!$AG$24:$AG$29,$AK13,'3'!$AF$24:$AF$29,1)=0,"",SUMIFS('3'!$AC$24:$AC$29,'3'!$AG$24:$AG$29,$AK13,'3'!$AF$24:$AF$29,1)/COUNTIFS('3'!$AG$24:$AG$29,$AK13,'3'!$AF$24:$AF$29,1))</f>
        <v/>
      </c>
      <c r="AY13" s="83" t="str">
        <f>IF(COUNTIFS('4'!$AG$25:$AG$30,$AK13,'4'!$AF$25:$AF$30,1)=0,"",SUMIFS('4'!$AC$25:$AC$30,'4'!$AG$25:$AG$30,$AK13,'4'!$AF$25:$AF$30,1)/COUNTIFS('4'!$AG$25:$AG$30,$AK13,'4'!$AF$25:$AF$30,1))</f>
        <v/>
      </c>
      <c r="AZ13" s="83" t="str">
        <f>IF(COUNTIFS('5'!$AG$25:$AG$30,$AK13,'5'!$AF$25:$AF$30,1)=0,"",SUMIFS('5'!$AC$25:$AC$30,'5'!$AG$25:$AG$30,$AK13,'5'!$AF$25:$AF$30,1)/COUNTIFS('5'!$AG$25:$AG$30,$AK13,'5'!$AF$25:$AF$30,1))</f>
        <v/>
      </c>
      <c r="BA13" s="83" t="str">
        <f>IF(COUNTIFS('6'!$AG$25:$AG$30,$AK13,'6'!$AF$25:$AF$30,1)=0,"",SUMIFS('6'!$AC$25:$AC$30,'6'!$AG$25:$AG$30,$AK13,'6'!$AF$25:$AF$30,1)/COUNTIFS('6'!$AG$25:$AG$30,$AK13,'6'!$AF$25:$AF$30,1))</f>
        <v/>
      </c>
      <c r="BB13" s="83" t="str">
        <f>IF(COUNTIFS('7'!$AG$30:$AG$35,$AK13,'7'!$AF$30:$AF$35,1)=0,"",SUMIFS('7'!$AC$30:$AC$35,'7'!$AG$30:$AG$35,$AK13,'7'!$AF$30:$AF$35,1)/COUNTIFS('7'!$AG$30:$AG$35,$AK13,'7'!$AF$30:$AF$35,1))</f>
        <v/>
      </c>
      <c r="BC13" s="83" t="str">
        <f>IF(COUNTIFS('8'!$AG$25:$AG$30,$AK13,'8'!$AF$25:$AF$30,1)=0,"",SUMIFS('8'!$AC$25:$AC$30,'8'!$AG$25:$AG$30,$AK13,'8'!$AF$25:$AF$30,1)/COUNTIFS('8'!$AG$25:$AG$30,$AK13,'8'!$AF$25:$AF$30,1))</f>
        <v/>
      </c>
      <c r="BD13" s="83" t="str">
        <f>IF(COUNTIFS('9'!$AG$25:$AG$30,$AK13,'9'!$AF$25:$AF$30,1)=0,"",SUMIFS('9'!$AC$25:$AC$30,'9'!$AG$25:$AG$30,$AK13,'9'!$AF$25:$AF$30,1)/COUNTIFS('9'!$AG$25:$AG$30,$AK13,'9'!$AF$25:$AF$30,1))</f>
        <v/>
      </c>
      <c r="BE13" s="83" t="str">
        <f>IF(COUNTIFS('10'!$AG$25:$AG$30,$AK13,'10'!$AF$25:$AF$30,1)=0,"",SUMIFS('10'!$AC$25:$AC$30,'10'!$AG$25:$AG$30,$AK13,'10'!$AF$25:$AF$30,1)/COUNTIFS('10'!$AG$25:$AG$30,$AK13,'10'!$AF$25:$AF$30,1))</f>
        <v/>
      </c>
      <c r="BF13" s="83" t="str">
        <f>IF(COUNTIFS('11'!$AG$25:$AG$30,$AK13,'11'!$AF$25:$AF$30,1)=0,"",SUMIFS('11'!$AC$25:$AC$30,'11'!$AG$25:$AG$30,$AK13,'11'!$AF$25:$AF$30,1)/COUNTIFS('11'!$AG$25:$AG$30,$AK13,'11'!$AF$25:$AF$30,1))</f>
        <v/>
      </c>
      <c r="BG13" s="83" t="str">
        <f>IF(COUNTIFS('12'!$AG$25:$AG$30,$AK13,'12'!$AF$25:$AF$30,1)=0,"",SUMIFS('12'!$AC$25:$AC$30,'12'!$AG$25:$AG$30,$AK13,'12'!$AF$25:$AF$30,1)/COUNTIFS('12'!$AG$25:$AG$30,$AK13,'12'!$AF$25:$AF$30,1))</f>
        <v/>
      </c>
      <c r="BH13" s="83" t="str">
        <f>IF(COUNTIFS('13'!$AG$25:$AG$30,$AK13,'13'!$AF$25:$AF$30,1)=0,"",SUMIFS('13'!$AC$25:$AC$30,'13'!$AG$25:$AG$30,$AK13,'13'!$AF$25:$AF$30,1)/COUNTIFS('13'!$AG$25:$AG$30,$AK13,'13'!$AF$25:$AF$30,1))</f>
        <v/>
      </c>
      <c r="BI13" s="83" t="str">
        <f>IF(COUNTIFS('14'!$AG$25:$AG$30,$AK13,'14'!$AF$25:$AF$30,1)=0,"",SUMIFS('14'!$AC$25:$AC$30,'14'!$AG$25:$AG$30,$AK13,'14'!$AF$25:$AF$30,1)/COUNTIFS('14'!$AG$25:$AG$30,$AK13,'14'!$AF$25:$AF$30,1))</f>
        <v/>
      </c>
      <c r="BJ13" s="83" t="str">
        <f>IF(COUNTIFS('15'!$AG$25:$AG$30,$AK13,'15'!$AF$25:$AF$30,1)=0,"",SUMIFS('15'!$AC$25:$AC$30,'15'!$AG$25:$AG$30,$AK13,'15'!$AF$25:$AF$30,1)/COUNTIFS('15'!$AG$25:$AG$30,$AK13,'15'!$AF$25:$AF$30,1))</f>
        <v/>
      </c>
      <c r="BK13" s="83" t="str">
        <f>IF(COUNTIFS('16'!$AG$25:$AG$30,$AK13,'16'!$AF$25:$AF$30,1)=0,"",SUMIFS('16'!$AC$25:$AC$30,'16'!$AG$25:$AG$30,$AK13,'16'!$AF$25:$AF$30,1)/COUNTIFS('16'!$AG$25:$AG$30,$AK13,'16'!$AF$25:$AF$30,1))</f>
        <v/>
      </c>
      <c r="BL13" s="83" t="str">
        <f>IF(COUNTIFS('17'!$AG$25:$AG$30,$AK13,'17'!$AF$25:$AF$30,1)=0,"",SUMIFS('17'!$AC$25:$AC$30,'17'!$AG$25:$AG$30,$AK13,'17'!$AF$25:$AF$30,1)/COUNTIFS('17'!$AG$25:$AG$30,$AK13,'17'!$AF$25:$AF$30,1))</f>
        <v/>
      </c>
      <c r="BM13" s="83" t="str">
        <f>IF(COUNTIFS('18'!$AG$25:$AG$30,$AK13,'18'!$AF$25:$AF$30,1)=0,"",SUMIFS('18'!$AC$25:$AC$30,'18'!$AG$25:$AG$30,$AK13,'18'!$AF$25:$AF$30,1)/COUNTIFS('18'!$AG$25:$AG$30,$AK13,'18'!$AF$25:$AF$30,1))</f>
        <v/>
      </c>
      <c r="BN13" s="83" t="str">
        <f>IF(COUNTIFS('19'!$AG$25:$AG$30,$AK13,'19'!$AF$25:$AF$30,1)=0,"",SUMIFS('19'!$AC$25:$AC$30,'19'!$AG$25:$AG$30,$AK13,'19'!$AF$25:$AF$30,1)/COUNTIFS('19'!$AG$25:$AG$30,$AK13,'19'!$AF$25:$AF$30,1))</f>
        <v/>
      </c>
      <c r="BO13" s="83" t="str">
        <f>IF(COUNTIFS('20'!$AG$25:$AG$30,$AK13,'20'!$AF$25:$AF$30,1)=0,"",SUMIFS('20'!$AC$25:$AC$30,'20'!$AG$25:$AG$30,$AK13,'20'!$AF$25:$AF$30,1)/COUNTIFS('20'!$AG$25:$AG$30,$AK13,'20'!$AF$25:$AF$30,1))</f>
        <v/>
      </c>
      <c r="BP13" s="83" t="str">
        <f>IF(COUNTIFS('21'!$AG$25:$AG$30,$AK13,'21'!$AF$25:$AF$30,1)=0,"",SUMIFS('21'!$AC$25:$AC$30,'21'!$AG$25:$AG$30,$AK13,'21'!$AF$25:$AF$30,1)/COUNTIFS('21'!$AG$25:$AG$30,$AK13,'21'!$AF$25:$AF$30,1))</f>
        <v/>
      </c>
      <c r="BQ13" s="83" t="str">
        <f>IF(COUNTIFS('22'!$AG$25:$AG$30,$AK13,'22'!$AF$25:$AF$30,1)=0,"",SUMIFS('22'!$AC$25:$AC$30,'22'!$AG$25:$AG$30,$AK13,'22'!$AF$25:$AF$30,1)/COUNTIFS('22'!$AG$25:$AG$30,$AK13,'22'!$AF$25:$AF$30,1))</f>
        <v/>
      </c>
      <c r="BR13" s="83" t="str">
        <f>IF(COUNTIFS('23'!$AG$25:$AG$30,$AK13,'23'!$AF$25:$AF$30,1)=0,"",SUMIFS('23'!$AC$25:$AC$30,'23'!$AG$25:$AG$30,$AK13,'23'!$AF$25:$AF$30,1)/COUNTIFS('23'!$AG$25:$AG$30,$AK13,'23'!$AF$25:$AF$30,1))</f>
        <v/>
      </c>
      <c r="BS13" s="83" t="str">
        <f>IF(COUNTIFS('24'!$AG$25:$AG$30,$AK13,'24'!$AF$25:$AF$30,1)=0,"",SUMIFS('24'!$AC$25:$AC$30,'24'!$AG$25:$AG$30,$AK13,'24'!$AF$25:$AF$30,1)/COUNTIFS('24'!$AG$25:$AG$30,$AK13,'24'!$AF$25:$AF$30,1))</f>
        <v/>
      </c>
      <c r="BT13" s="83" t="str">
        <f>IF(COUNTIFS('25'!$AG$25:$AG$30,$AK13,'25'!$AF$25:$AF$30,1)=0,"",SUMIFS('25'!$AC$25:$AC$30,'25'!$AG$25:$AG$30,$AK13,'25'!$AF$25:$AF$30,1)/COUNTIFS('25'!$AG$25:$AG$30,$AK13,'25'!$AF$25:$AF$30,1))</f>
        <v/>
      </c>
      <c r="BU13" s="83" t="str">
        <f>IF(COUNTIFS('26'!$AG$25:$AG$30,$AK13,'26'!$AF$25:$AF$30,1)=0,"",SUMIFS('26'!$AC$25:$AC$30,'26'!$AG$25:$AG$30,$AK13,'26'!$AF$25:$AF$30,1)/COUNTIFS('26'!$AG$25:$AG$30,$AK13,'26'!$AF$25:$AF$30,1))</f>
        <v/>
      </c>
      <c r="BV13" s="83" t="str">
        <f>IF(COUNTIFS('27'!$AG$25:$AG$30,$AK13,'27'!$AF$25:$AF$30,1)=0,"",SUMIFS('27'!$AC$25:$AC$30,'27'!$AG$25:$AG$30,$AK13,'27'!$AF$25:$AF$30,1)/COUNTIFS('27'!$AG$25:$AG$30,$AK13,'27'!$AF$25:$AF$30,1))</f>
        <v/>
      </c>
      <c r="BW13" s="83" t="str">
        <f>IF(COUNTIFS('28'!$AG$25:$AG$30,$AK13,'28'!$AF$25:$AF$30,1)=0,"",SUMIFS('28'!$AC$25:$AC$30,'28'!$AG$25:$AG$30,$AK13,'28'!$AF$25:$AF$30,1)/COUNTIFS('28'!$AG$25:$AG$30,$AK13,'28'!$AF$25:$AF$30,1))</f>
        <v/>
      </c>
      <c r="BX13" s="83" t="str">
        <f>IF(COUNTIFS('29'!$AG$25:$AG$30,$AK13,'29'!$AF$25:$AF$30,1)=0,"",SUMIFS('29'!$AC$25:$AC$30,'29'!$AG$25:$AG$30,$AK13,'29'!$AF$25:$AF$30,1)/COUNTIFS('29'!$AG$25:$AG$30,$AK13,'29'!$AF$25:$AF$30,1))</f>
        <v/>
      </c>
      <c r="BY13" s="83" t="str">
        <f>IF(COUNTIFS('30'!$AG$25:$AG$30,$AK13,'30'!$AF$25:$AF$30,1)=0,"",SUMIFS('30'!$AC$25:$AC$30,'30'!$AG$25:$AG$30,$AK13,'30'!$AF$25:$AF$30,1)/COUNTIFS('30'!$AG$25:$AG$30,$AK13,'30'!$AF$25:$AF$30,1))</f>
        <v/>
      </c>
      <c r="BZ13" s="83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0" t="str">
        <f>IF(LARGE($Y$5:$Y$17,9)=0,"",9)</f>
        <v/>
      </c>
      <c r="B14" s="140" t="str">
        <f t="shared" si="7"/>
        <v/>
      </c>
      <c r="C14" s="140" t="str">
        <f t="shared" si="8"/>
        <v/>
      </c>
      <c r="D14" s="141" t="str">
        <f t="shared" si="9"/>
        <v/>
      </c>
      <c r="E14" s="141" t="str">
        <f t="shared" si="10"/>
        <v/>
      </c>
      <c r="X14" s="83" t="s">
        <v>124</v>
      </c>
      <c r="Y14" s="83">
        <f>COUNTIF('1'!$D$4:$D$20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0</v>
      </c>
      <c r="Z14" s="83">
        <f t="shared" si="1"/>
        <v>0.00004</v>
      </c>
      <c r="AA14" s="83" t="s">
        <v>116</v>
      </c>
      <c r="AB14" s="83" t="s">
        <v>114</v>
      </c>
      <c r="AC14" s="83">
        <f>COUNTIF('1'!$O$22:$O$25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3">
        <f t="shared" si="2"/>
        <v>0.00002</v>
      </c>
      <c r="AK14" s="83" t="s">
        <v>116</v>
      </c>
      <c r="AL14" s="83" t="s">
        <v>114</v>
      </c>
      <c r="AM14" s="83">
        <f>COUNTIFS('1'!$AG$29:$AG$34,AK14,'1'!$AF$29:$AF$34,1)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3" t="str">
        <f t="shared" si="5"/>
        <v/>
      </c>
      <c r="AO14" s="83" t="str">
        <f>IF(AM14=0,"",(SUMIFS('1'!$L$29:$L$34,'1'!$AG$29:$AG$34,AK14,'1'!$AF$29:$AF$34,1)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3" t="str">
        <f>IF(AM14=0,"",(SUMIFS('1'!$M$29:$M$34,'1'!$AG$29:$AG$34,AK14,'1'!$AF$29:$AF$34,1)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3" t="str">
        <f>IF(AM14=0,"",(SUMIFS('1'!$N$29:$N$34,'1'!$AG$29:$AG$34,AK14,'1'!$AF$29:$AF$34,1)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3" t="str">
        <f>IF(AM14=0,"",(SUMIFS('1'!$O$29:$O$34,'1'!$AG$29:$AG$34,AK14,'1'!$AF$29:$AF$34,1)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3" t="str">
        <f>IF(AM14=0,"",(SUMIFS('1'!$P$29:$P$34,'1'!$AG$29:$AG$34,AK14,'1'!$AF$29:$AF$34,1)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3" t="str">
        <f>IF(COUNTIFS('1'!$AG$29:$AG$34,$AK14,'1'!$AF$29:$AF$34,1)=0,"",SUMIFS('1'!$AC$29:$AC$34,'1'!$AG$29:$AG$34,$AK14,'1'!$AF$29:$AF$34,1)/COUNTIFS('1'!$AG$29:$AG$34,$AK14,'1'!$AF$29:$AF$34,1))</f>
        <v/>
      </c>
      <c r="AW14" s="83" t="str">
        <f>IF(COUNTIFS('2'!$AG$25:$AG$30,$AK14,'2'!$AF$25:$AF$30,1)=0,"",SUMIFS('2'!$AC$25:$AC$30,'2'!$AG$25:$AG$30,$AK14,'2'!$AF$25:$AF$30,1)/COUNTIFS('2'!$AG$25:$AG$30,$AK14,'2'!$AF$25:$AF$30,1))</f>
        <v/>
      </c>
      <c r="AX14" s="83" t="str">
        <f>IF(COUNTIFS('3'!$AG$24:$AG$29,$AK14,'3'!$AF$24:$AF$29,1)=0,"",SUMIFS('3'!$AC$24:$AC$29,'3'!$AG$24:$AG$29,$AK14,'3'!$AF$24:$AF$29,1)/COUNTIFS('3'!$AG$24:$AG$29,$AK14,'3'!$AF$24:$AF$29,1))</f>
        <v/>
      </c>
      <c r="AY14" s="83" t="str">
        <f>IF(COUNTIFS('4'!$AG$25:$AG$30,$AK14,'4'!$AF$25:$AF$30,1)=0,"",SUMIFS('4'!$AC$25:$AC$30,'4'!$AG$25:$AG$30,$AK14,'4'!$AF$25:$AF$30,1)/COUNTIFS('4'!$AG$25:$AG$30,$AK14,'4'!$AF$25:$AF$30,1))</f>
        <v/>
      </c>
      <c r="AZ14" s="83" t="str">
        <f>IF(COUNTIFS('5'!$AG$25:$AG$30,$AK14,'5'!$AF$25:$AF$30,1)=0,"",SUMIFS('5'!$AC$25:$AC$30,'5'!$AG$25:$AG$30,$AK14,'5'!$AF$25:$AF$30,1)/COUNTIFS('5'!$AG$25:$AG$30,$AK14,'5'!$AF$25:$AF$30,1))</f>
        <v/>
      </c>
      <c r="BA14" s="83" t="str">
        <f>IF(COUNTIFS('6'!$AG$25:$AG$30,$AK14,'6'!$AF$25:$AF$30,1)=0,"",SUMIFS('6'!$AC$25:$AC$30,'6'!$AG$25:$AG$30,$AK14,'6'!$AF$25:$AF$30,1)/COUNTIFS('6'!$AG$25:$AG$30,$AK14,'6'!$AF$25:$AF$30,1))</f>
        <v/>
      </c>
      <c r="BB14" s="83" t="str">
        <f>IF(COUNTIFS('7'!$AG$30:$AG$35,$AK14,'7'!$AF$30:$AF$35,1)=0,"",SUMIFS('7'!$AC$30:$AC$35,'7'!$AG$30:$AG$35,$AK14,'7'!$AF$30:$AF$35,1)/COUNTIFS('7'!$AG$30:$AG$35,$AK14,'7'!$AF$30:$AF$35,1))</f>
        <v/>
      </c>
      <c r="BC14" s="83" t="str">
        <f>IF(COUNTIFS('8'!$AG$25:$AG$30,$AK14,'8'!$AF$25:$AF$30,1)=0,"",SUMIFS('8'!$AC$25:$AC$30,'8'!$AG$25:$AG$30,$AK14,'8'!$AF$25:$AF$30,1)/COUNTIFS('8'!$AG$25:$AG$30,$AK14,'8'!$AF$25:$AF$30,1))</f>
        <v/>
      </c>
      <c r="BD14" s="83" t="str">
        <f>IF(COUNTIFS('9'!$AG$25:$AG$30,$AK14,'9'!$AF$25:$AF$30,1)=0,"",SUMIFS('9'!$AC$25:$AC$30,'9'!$AG$25:$AG$30,$AK14,'9'!$AF$25:$AF$30,1)/COUNTIFS('9'!$AG$25:$AG$30,$AK14,'9'!$AF$25:$AF$30,1))</f>
        <v/>
      </c>
      <c r="BE14" s="83" t="str">
        <f>IF(COUNTIFS('10'!$AG$25:$AG$30,$AK14,'10'!$AF$25:$AF$30,1)=0,"",SUMIFS('10'!$AC$25:$AC$30,'10'!$AG$25:$AG$30,$AK14,'10'!$AF$25:$AF$30,1)/COUNTIFS('10'!$AG$25:$AG$30,$AK14,'10'!$AF$25:$AF$30,1))</f>
        <v/>
      </c>
      <c r="BF14" s="83" t="str">
        <f>IF(COUNTIFS('11'!$AG$25:$AG$30,$AK14,'11'!$AF$25:$AF$30,1)=0,"",SUMIFS('11'!$AC$25:$AC$30,'11'!$AG$25:$AG$30,$AK14,'11'!$AF$25:$AF$30,1)/COUNTIFS('11'!$AG$25:$AG$30,$AK14,'11'!$AF$25:$AF$30,1))</f>
        <v/>
      </c>
      <c r="BG14" s="83" t="str">
        <f>IF(COUNTIFS('12'!$AG$25:$AG$30,$AK14,'12'!$AF$25:$AF$30,1)=0,"",SUMIFS('12'!$AC$25:$AC$30,'12'!$AG$25:$AG$30,$AK14,'12'!$AF$25:$AF$30,1)/COUNTIFS('12'!$AG$25:$AG$30,$AK14,'12'!$AF$25:$AF$30,1))</f>
        <v/>
      </c>
      <c r="BH14" s="83" t="str">
        <f>IF(COUNTIFS('13'!$AG$25:$AG$30,$AK14,'13'!$AF$25:$AF$30,1)=0,"",SUMIFS('13'!$AC$25:$AC$30,'13'!$AG$25:$AG$30,$AK14,'13'!$AF$25:$AF$30,1)/COUNTIFS('13'!$AG$25:$AG$30,$AK14,'13'!$AF$25:$AF$30,1))</f>
        <v/>
      </c>
      <c r="BI14" s="83" t="str">
        <f>IF(COUNTIFS('14'!$AG$25:$AG$30,$AK14,'14'!$AF$25:$AF$30,1)=0,"",SUMIFS('14'!$AC$25:$AC$30,'14'!$AG$25:$AG$30,$AK14,'14'!$AF$25:$AF$30,1)/COUNTIFS('14'!$AG$25:$AG$30,$AK14,'14'!$AF$25:$AF$30,1))</f>
        <v/>
      </c>
      <c r="BJ14" s="83" t="str">
        <f>IF(COUNTIFS('15'!$AG$25:$AG$30,$AK14,'15'!$AF$25:$AF$30,1)=0,"",SUMIFS('15'!$AC$25:$AC$30,'15'!$AG$25:$AG$30,$AK14,'15'!$AF$25:$AF$30,1)/COUNTIFS('15'!$AG$25:$AG$30,$AK14,'15'!$AF$25:$AF$30,1))</f>
        <v/>
      </c>
      <c r="BK14" s="83" t="str">
        <f>IF(COUNTIFS('16'!$AG$25:$AG$30,$AK14,'16'!$AF$25:$AF$30,1)=0,"",SUMIFS('16'!$AC$25:$AC$30,'16'!$AG$25:$AG$30,$AK14,'16'!$AF$25:$AF$30,1)/COUNTIFS('16'!$AG$25:$AG$30,$AK14,'16'!$AF$25:$AF$30,1))</f>
        <v/>
      </c>
      <c r="BL14" s="83" t="str">
        <f>IF(COUNTIFS('17'!$AG$25:$AG$30,$AK14,'17'!$AF$25:$AF$30,1)=0,"",SUMIFS('17'!$AC$25:$AC$30,'17'!$AG$25:$AG$30,$AK14,'17'!$AF$25:$AF$30,1)/COUNTIFS('17'!$AG$25:$AG$30,$AK14,'17'!$AF$25:$AF$30,1))</f>
        <v/>
      </c>
      <c r="BM14" s="83" t="str">
        <f>IF(COUNTIFS('18'!$AG$25:$AG$30,$AK14,'18'!$AF$25:$AF$30,1)=0,"",SUMIFS('18'!$AC$25:$AC$30,'18'!$AG$25:$AG$30,$AK14,'18'!$AF$25:$AF$30,1)/COUNTIFS('18'!$AG$25:$AG$30,$AK14,'18'!$AF$25:$AF$30,1))</f>
        <v/>
      </c>
      <c r="BN14" s="83" t="str">
        <f>IF(COUNTIFS('19'!$AG$25:$AG$30,$AK14,'19'!$AF$25:$AF$30,1)=0,"",SUMIFS('19'!$AC$25:$AC$30,'19'!$AG$25:$AG$30,$AK14,'19'!$AF$25:$AF$30,1)/COUNTIFS('19'!$AG$25:$AG$30,$AK14,'19'!$AF$25:$AF$30,1))</f>
        <v/>
      </c>
      <c r="BO14" s="83" t="str">
        <f>IF(COUNTIFS('20'!$AG$25:$AG$30,$AK14,'20'!$AF$25:$AF$30,1)=0,"",SUMIFS('20'!$AC$25:$AC$30,'20'!$AG$25:$AG$30,$AK14,'20'!$AF$25:$AF$30,1)/COUNTIFS('20'!$AG$25:$AG$30,$AK14,'20'!$AF$25:$AF$30,1))</f>
        <v/>
      </c>
      <c r="BP14" s="83" t="str">
        <f>IF(COUNTIFS('21'!$AG$25:$AG$30,$AK14,'21'!$AF$25:$AF$30,1)=0,"",SUMIFS('21'!$AC$25:$AC$30,'21'!$AG$25:$AG$30,$AK14,'21'!$AF$25:$AF$30,1)/COUNTIFS('21'!$AG$25:$AG$30,$AK14,'21'!$AF$25:$AF$30,1))</f>
        <v/>
      </c>
      <c r="BQ14" s="83" t="str">
        <f>IF(COUNTIFS('22'!$AG$25:$AG$30,$AK14,'22'!$AF$25:$AF$30,1)=0,"",SUMIFS('22'!$AC$25:$AC$30,'22'!$AG$25:$AG$30,$AK14,'22'!$AF$25:$AF$30,1)/COUNTIFS('22'!$AG$25:$AG$30,$AK14,'22'!$AF$25:$AF$30,1))</f>
        <v/>
      </c>
      <c r="BR14" s="83" t="str">
        <f>IF(COUNTIFS('23'!$AG$25:$AG$30,$AK14,'23'!$AF$25:$AF$30,1)=0,"",SUMIFS('23'!$AC$25:$AC$30,'23'!$AG$25:$AG$30,$AK14,'23'!$AF$25:$AF$30,1)/COUNTIFS('23'!$AG$25:$AG$30,$AK14,'23'!$AF$25:$AF$30,1))</f>
        <v/>
      </c>
      <c r="BS14" s="83" t="str">
        <f>IF(COUNTIFS('24'!$AG$25:$AG$30,$AK14,'24'!$AF$25:$AF$30,1)=0,"",SUMIFS('24'!$AC$25:$AC$30,'24'!$AG$25:$AG$30,$AK14,'24'!$AF$25:$AF$30,1)/COUNTIFS('24'!$AG$25:$AG$30,$AK14,'24'!$AF$25:$AF$30,1))</f>
        <v/>
      </c>
      <c r="BT14" s="83" t="str">
        <f>IF(COUNTIFS('25'!$AG$25:$AG$30,$AK14,'25'!$AF$25:$AF$30,1)=0,"",SUMIFS('25'!$AC$25:$AC$30,'25'!$AG$25:$AG$30,$AK14,'25'!$AF$25:$AF$30,1)/COUNTIFS('25'!$AG$25:$AG$30,$AK14,'25'!$AF$25:$AF$30,1))</f>
        <v/>
      </c>
      <c r="BU14" s="83" t="str">
        <f>IF(COUNTIFS('26'!$AG$25:$AG$30,$AK14,'26'!$AF$25:$AF$30,1)=0,"",SUMIFS('26'!$AC$25:$AC$30,'26'!$AG$25:$AG$30,$AK14,'26'!$AF$25:$AF$30,1)/COUNTIFS('26'!$AG$25:$AG$30,$AK14,'26'!$AF$25:$AF$30,1))</f>
        <v/>
      </c>
      <c r="BV14" s="83" t="str">
        <f>IF(COUNTIFS('27'!$AG$25:$AG$30,$AK14,'27'!$AF$25:$AF$30,1)=0,"",SUMIFS('27'!$AC$25:$AC$30,'27'!$AG$25:$AG$30,$AK14,'27'!$AF$25:$AF$30,1)/COUNTIFS('27'!$AG$25:$AG$30,$AK14,'27'!$AF$25:$AF$30,1))</f>
        <v/>
      </c>
      <c r="BW14" s="83" t="str">
        <f>IF(COUNTIFS('28'!$AG$25:$AG$30,$AK14,'28'!$AF$25:$AF$30,1)=0,"",SUMIFS('28'!$AC$25:$AC$30,'28'!$AG$25:$AG$30,$AK14,'28'!$AF$25:$AF$30,1)/COUNTIFS('28'!$AG$25:$AG$30,$AK14,'28'!$AF$25:$AF$30,1))</f>
        <v/>
      </c>
      <c r="BX14" s="83" t="str">
        <f>IF(COUNTIFS('29'!$AG$25:$AG$30,$AK14,'29'!$AF$25:$AF$30,1)=0,"",SUMIFS('29'!$AC$25:$AC$30,'29'!$AG$25:$AG$30,$AK14,'29'!$AF$25:$AF$30,1)/COUNTIFS('29'!$AG$25:$AG$30,$AK14,'29'!$AF$25:$AF$30,1))</f>
        <v/>
      </c>
      <c r="BY14" s="83" t="str">
        <f>IF(COUNTIFS('30'!$AG$25:$AG$30,$AK14,'30'!$AF$25:$AF$30,1)=0,"",SUMIFS('30'!$AC$25:$AC$30,'30'!$AG$25:$AG$30,$AK14,'30'!$AF$25:$AF$30,1)/COUNTIFS('30'!$AG$25:$AG$30,$AK14,'30'!$AF$25:$AF$30,1))</f>
        <v/>
      </c>
      <c r="BZ14" s="83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0" t="str">
        <f>IF(LARGE($Y$5:$Y$17,10)=0,"",10)</f>
        <v/>
      </c>
      <c r="B15" s="140" t="str">
        <f t="shared" si="7"/>
        <v/>
      </c>
      <c r="C15" s="140" t="str">
        <f t="shared" si="8"/>
        <v/>
      </c>
      <c r="D15" s="141" t="str">
        <f t="shared" si="9"/>
        <v/>
      </c>
      <c r="E15" s="141" t="str">
        <f t="shared" si="10"/>
        <v/>
      </c>
      <c r="X15" s="83" t="s">
        <v>37</v>
      </c>
      <c r="Y15" s="83">
        <f>COUNTIF('1'!$D$4:$D$20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3">
        <f t="shared" si="1"/>
        <v>1.00003</v>
      </c>
      <c r="AA15" s="83" t="s">
        <v>117</v>
      </c>
      <c r="AB15" s="83" t="s">
        <v>114</v>
      </c>
      <c r="AC15" s="83">
        <f>COUNTIF('1'!$O$22:$O$25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83">
        <f t="shared" si="2"/>
        <v>0.00001</v>
      </c>
      <c r="AK15" s="83" t="s">
        <v>117</v>
      </c>
      <c r="AL15" s="83" t="s">
        <v>114</v>
      </c>
      <c r="AM15" s="83">
        <f>COUNTIFS('1'!$AG$29:$AG$34,AK15,'1'!$AF$29:$AF$34,1)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83" t="str">
        <f t="shared" si="5"/>
        <v/>
      </c>
      <c r="AO15" s="83" t="str">
        <f>IF(AM15=0,"",(SUMIFS('1'!$L$29:$L$34,'1'!$AG$29:$AG$34,AK15,'1'!$AF$29:$AF$34,1)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83" t="str">
        <f>IF(AM15=0,"",(SUMIFS('1'!$M$29:$M$34,'1'!$AG$29:$AG$34,AK15,'1'!$AF$29:$AF$34,1)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83" t="str">
        <f>IF(AM15=0,"",(SUMIFS('1'!$N$29:$N$34,'1'!$AG$29:$AG$34,AK15,'1'!$AF$29:$AF$34,1)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83" t="str">
        <f>IF(AM15=0,"",(SUMIFS('1'!$O$29:$O$34,'1'!$AG$29:$AG$34,AK15,'1'!$AF$29:$AF$34,1)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83" t="str">
        <f>IF(AM15=0,"",(SUMIFS('1'!$P$29:$P$34,'1'!$AG$29:$AG$34,AK15,'1'!$AF$29:$AF$34,1)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83" t="str">
        <f>IF(COUNTIFS('1'!$AG$29:$AG$34,$AK15,'1'!$AF$29:$AF$34,1)=0,"",SUMIFS('1'!$AC$29:$AC$34,'1'!$AG$29:$AG$34,$AK15,'1'!$AF$29:$AF$34,1)/COUNTIFS('1'!$AG$29:$AG$34,$AK15,'1'!$AF$29:$AF$34,1))</f>
        <v/>
      </c>
      <c r="AW15" s="83" t="str">
        <f>IF(COUNTIFS('2'!$AG$25:$AG$30,$AK15,'2'!$AF$25:$AF$30,1)=0,"",SUMIFS('2'!$AC$25:$AC$30,'2'!$AG$25:$AG$30,$AK15,'2'!$AF$25:$AF$30,1)/COUNTIFS('2'!$AG$25:$AG$30,$AK15,'2'!$AF$25:$AF$30,1))</f>
        <v/>
      </c>
      <c r="AX15" s="83" t="str">
        <f>IF(COUNTIFS('3'!$AG$24:$AG$29,$AK15,'3'!$AF$24:$AF$29,1)=0,"",SUMIFS('3'!$AC$24:$AC$29,'3'!$AG$24:$AG$29,$AK15,'3'!$AF$24:$AF$29,1)/COUNTIFS('3'!$AG$24:$AG$29,$AK15,'3'!$AF$24:$AF$29,1))</f>
        <v/>
      </c>
      <c r="AY15" s="83" t="str">
        <f>IF(COUNTIFS('4'!$AG$25:$AG$30,$AK15,'4'!$AF$25:$AF$30,1)=0,"",SUMIFS('4'!$AC$25:$AC$30,'4'!$AG$25:$AG$30,$AK15,'4'!$AF$25:$AF$30,1)/COUNTIFS('4'!$AG$25:$AG$30,$AK15,'4'!$AF$25:$AF$30,1))</f>
        <v/>
      </c>
      <c r="AZ15" s="83" t="str">
        <f>IF(COUNTIFS('5'!$AG$25:$AG$30,$AK15,'5'!$AF$25:$AF$30,1)=0,"",SUMIFS('5'!$AC$25:$AC$30,'5'!$AG$25:$AG$30,$AK15,'5'!$AF$25:$AF$30,1)/COUNTIFS('5'!$AG$25:$AG$30,$AK15,'5'!$AF$25:$AF$30,1))</f>
        <v/>
      </c>
      <c r="BA15" s="83" t="str">
        <f>IF(COUNTIFS('6'!$AG$25:$AG$30,$AK15,'6'!$AF$25:$AF$30,1)=0,"",SUMIFS('6'!$AC$25:$AC$30,'6'!$AG$25:$AG$30,$AK15,'6'!$AF$25:$AF$30,1)/COUNTIFS('6'!$AG$25:$AG$30,$AK15,'6'!$AF$25:$AF$30,1))</f>
        <v/>
      </c>
      <c r="BB15" s="83" t="str">
        <f>IF(COUNTIFS('7'!$AG$30:$AG$35,$AK15,'7'!$AF$30:$AF$35,1)=0,"",SUMIFS('7'!$AC$30:$AC$35,'7'!$AG$30:$AG$35,$AK15,'7'!$AF$30:$AF$35,1)/COUNTIFS('7'!$AG$30:$AG$35,$AK15,'7'!$AF$30:$AF$35,1))</f>
        <v/>
      </c>
      <c r="BC15" s="83" t="str">
        <f>IF(COUNTIFS('8'!$AG$25:$AG$30,$AK15,'8'!$AF$25:$AF$30,1)=0,"",SUMIFS('8'!$AC$25:$AC$30,'8'!$AG$25:$AG$30,$AK15,'8'!$AF$25:$AF$30,1)/COUNTIFS('8'!$AG$25:$AG$30,$AK15,'8'!$AF$25:$AF$30,1))</f>
        <v/>
      </c>
      <c r="BD15" s="83" t="str">
        <f>IF(COUNTIFS('9'!$AG$25:$AG$30,$AK15,'9'!$AF$25:$AF$30,1)=0,"",SUMIFS('9'!$AC$25:$AC$30,'9'!$AG$25:$AG$30,$AK15,'9'!$AF$25:$AF$30,1)/COUNTIFS('9'!$AG$25:$AG$30,$AK15,'9'!$AF$25:$AF$30,1))</f>
        <v/>
      </c>
      <c r="BE15" s="83" t="str">
        <f>IF(COUNTIFS('10'!$AG$25:$AG$30,$AK15,'10'!$AF$25:$AF$30,1)=0,"",SUMIFS('10'!$AC$25:$AC$30,'10'!$AG$25:$AG$30,$AK15,'10'!$AF$25:$AF$30,1)/COUNTIFS('10'!$AG$25:$AG$30,$AK15,'10'!$AF$25:$AF$30,1))</f>
        <v/>
      </c>
      <c r="BF15" s="83" t="str">
        <f>IF(COUNTIFS('11'!$AG$25:$AG$30,$AK15,'11'!$AF$25:$AF$30,1)=0,"",SUMIFS('11'!$AC$25:$AC$30,'11'!$AG$25:$AG$30,$AK15,'11'!$AF$25:$AF$30,1)/COUNTIFS('11'!$AG$25:$AG$30,$AK15,'11'!$AF$25:$AF$30,1))</f>
        <v/>
      </c>
      <c r="BG15" s="83" t="str">
        <f>IF(COUNTIFS('12'!$AG$25:$AG$30,$AK15,'12'!$AF$25:$AF$30,1)=0,"",SUMIFS('12'!$AC$25:$AC$30,'12'!$AG$25:$AG$30,$AK15,'12'!$AF$25:$AF$30,1)/COUNTIFS('12'!$AG$25:$AG$30,$AK15,'12'!$AF$25:$AF$30,1))</f>
        <v/>
      </c>
      <c r="BH15" s="83" t="str">
        <f>IF(COUNTIFS('13'!$AG$25:$AG$30,$AK15,'13'!$AF$25:$AF$30,1)=0,"",SUMIFS('13'!$AC$25:$AC$30,'13'!$AG$25:$AG$30,$AK15,'13'!$AF$25:$AF$30,1)/COUNTIFS('13'!$AG$25:$AG$30,$AK15,'13'!$AF$25:$AF$30,1))</f>
        <v/>
      </c>
      <c r="BI15" s="83" t="str">
        <f>IF(COUNTIFS('14'!$AG$25:$AG$30,$AK15,'14'!$AF$25:$AF$30,1)=0,"",SUMIFS('14'!$AC$25:$AC$30,'14'!$AG$25:$AG$30,$AK15,'14'!$AF$25:$AF$30,1)/COUNTIFS('14'!$AG$25:$AG$30,$AK15,'14'!$AF$25:$AF$30,1))</f>
        <v/>
      </c>
      <c r="BJ15" s="83" t="str">
        <f>IF(COUNTIFS('15'!$AG$25:$AG$30,$AK15,'15'!$AF$25:$AF$30,1)=0,"",SUMIFS('15'!$AC$25:$AC$30,'15'!$AG$25:$AG$30,$AK15,'15'!$AF$25:$AF$30,1)/COUNTIFS('15'!$AG$25:$AG$30,$AK15,'15'!$AF$25:$AF$30,1))</f>
        <v/>
      </c>
      <c r="BK15" s="83" t="str">
        <f>IF(COUNTIFS('16'!$AG$25:$AG$30,$AK15,'16'!$AF$25:$AF$30,1)=0,"",SUMIFS('16'!$AC$25:$AC$30,'16'!$AG$25:$AG$30,$AK15,'16'!$AF$25:$AF$30,1)/COUNTIFS('16'!$AG$25:$AG$30,$AK15,'16'!$AF$25:$AF$30,1))</f>
        <v/>
      </c>
      <c r="BL15" s="83" t="str">
        <f>IF(COUNTIFS('17'!$AG$25:$AG$30,$AK15,'17'!$AF$25:$AF$30,1)=0,"",SUMIFS('17'!$AC$25:$AC$30,'17'!$AG$25:$AG$30,$AK15,'17'!$AF$25:$AF$30,1)/COUNTIFS('17'!$AG$25:$AG$30,$AK15,'17'!$AF$25:$AF$30,1))</f>
        <v/>
      </c>
      <c r="BM15" s="83" t="str">
        <f>IF(COUNTIFS('18'!$AG$25:$AG$30,$AK15,'18'!$AF$25:$AF$30,1)=0,"",SUMIFS('18'!$AC$25:$AC$30,'18'!$AG$25:$AG$30,$AK15,'18'!$AF$25:$AF$30,1)/COUNTIFS('18'!$AG$25:$AG$30,$AK15,'18'!$AF$25:$AF$30,1))</f>
        <v/>
      </c>
      <c r="BN15" s="83" t="str">
        <f>IF(COUNTIFS('19'!$AG$25:$AG$30,$AK15,'19'!$AF$25:$AF$30,1)=0,"",SUMIFS('19'!$AC$25:$AC$30,'19'!$AG$25:$AG$30,$AK15,'19'!$AF$25:$AF$30,1)/COUNTIFS('19'!$AG$25:$AG$30,$AK15,'19'!$AF$25:$AF$30,1))</f>
        <v/>
      </c>
      <c r="BO15" s="83" t="str">
        <f>IF(COUNTIFS('20'!$AG$25:$AG$30,$AK15,'20'!$AF$25:$AF$30,1)=0,"",SUMIFS('20'!$AC$25:$AC$30,'20'!$AG$25:$AG$30,$AK15,'20'!$AF$25:$AF$30,1)/COUNTIFS('20'!$AG$25:$AG$30,$AK15,'20'!$AF$25:$AF$30,1))</f>
        <v/>
      </c>
      <c r="BP15" s="83" t="str">
        <f>IF(COUNTIFS('21'!$AG$25:$AG$30,$AK15,'21'!$AF$25:$AF$30,1)=0,"",SUMIFS('21'!$AC$25:$AC$30,'21'!$AG$25:$AG$30,$AK15,'21'!$AF$25:$AF$30,1)/COUNTIFS('21'!$AG$25:$AG$30,$AK15,'21'!$AF$25:$AF$30,1))</f>
        <v/>
      </c>
      <c r="BQ15" s="83" t="str">
        <f>IF(COUNTIFS('22'!$AG$25:$AG$30,$AK15,'22'!$AF$25:$AF$30,1)=0,"",SUMIFS('22'!$AC$25:$AC$30,'22'!$AG$25:$AG$30,$AK15,'22'!$AF$25:$AF$30,1)/COUNTIFS('22'!$AG$25:$AG$30,$AK15,'22'!$AF$25:$AF$30,1))</f>
        <v/>
      </c>
      <c r="BR15" s="83" t="str">
        <f>IF(COUNTIFS('23'!$AG$25:$AG$30,$AK15,'23'!$AF$25:$AF$30,1)=0,"",SUMIFS('23'!$AC$25:$AC$30,'23'!$AG$25:$AG$30,$AK15,'23'!$AF$25:$AF$30,1)/COUNTIFS('23'!$AG$25:$AG$30,$AK15,'23'!$AF$25:$AF$30,1))</f>
        <v/>
      </c>
      <c r="BS15" s="83" t="str">
        <f>IF(COUNTIFS('24'!$AG$25:$AG$30,$AK15,'24'!$AF$25:$AF$30,1)=0,"",SUMIFS('24'!$AC$25:$AC$30,'24'!$AG$25:$AG$30,$AK15,'24'!$AF$25:$AF$30,1)/COUNTIFS('24'!$AG$25:$AG$30,$AK15,'24'!$AF$25:$AF$30,1))</f>
        <v/>
      </c>
      <c r="BT15" s="83" t="str">
        <f>IF(COUNTIFS('25'!$AG$25:$AG$30,$AK15,'25'!$AF$25:$AF$30,1)=0,"",SUMIFS('25'!$AC$25:$AC$30,'25'!$AG$25:$AG$30,$AK15,'25'!$AF$25:$AF$30,1)/COUNTIFS('25'!$AG$25:$AG$30,$AK15,'25'!$AF$25:$AF$30,1))</f>
        <v/>
      </c>
      <c r="BU15" s="83" t="str">
        <f>IF(COUNTIFS('26'!$AG$25:$AG$30,$AK15,'26'!$AF$25:$AF$30,1)=0,"",SUMIFS('26'!$AC$25:$AC$30,'26'!$AG$25:$AG$30,$AK15,'26'!$AF$25:$AF$30,1)/COUNTIFS('26'!$AG$25:$AG$30,$AK15,'26'!$AF$25:$AF$30,1))</f>
        <v/>
      </c>
      <c r="BV15" s="83" t="str">
        <f>IF(COUNTIFS('27'!$AG$25:$AG$30,$AK15,'27'!$AF$25:$AF$30,1)=0,"",SUMIFS('27'!$AC$25:$AC$30,'27'!$AG$25:$AG$30,$AK15,'27'!$AF$25:$AF$30,1)/COUNTIFS('27'!$AG$25:$AG$30,$AK15,'27'!$AF$25:$AF$30,1))</f>
        <v/>
      </c>
      <c r="BW15" s="83" t="str">
        <f>IF(COUNTIFS('28'!$AG$25:$AG$30,$AK15,'28'!$AF$25:$AF$30,1)=0,"",SUMIFS('28'!$AC$25:$AC$30,'28'!$AG$25:$AG$30,$AK15,'28'!$AF$25:$AF$30,1)/COUNTIFS('28'!$AG$25:$AG$30,$AK15,'28'!$AF$25:$AF$30,1))</f>
        <v/>
      </c>
      <c r="BX15" s="83" t="str">
        <f>IF(COUNTIFS('29'!$AG$25:$AG$30,$AK15,'29'!$AF$25:$AF$30,1)=0,"",SUMIFS('29'!$AC$25:$AC$30,'29'!$AG$25:$AG$30,$AK15,'29'!$AF$25:$AF$30,1)/COUNTIFS('29'!$AG$25:$AG$30,$AK15,'29'!$AF$25:$AF$30,1))</f>
        <v/>
      </c>
      <c r="BY15" s="83" t="str">
        <f>IF(COUNTIFS('30'!$AG$25:$AG$30,$AK15,'30'!$AF$25:$AF$30,1)=0,"",SUMIFS('30'!$AC$25:$AC$30,'30'!$AG$25:$AG$30,$AK15,'30'!$AF$25:$AF$30,1)/COUNTIFS('30'!$AG$25:$AG$30,$AK15,'30'!$AF$25:$AF$30,1))</f>
        <v/>
      </c>
      <c r="BZ15" s="83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0" t="str">
        <f>IF(LARGE($Y$5:$Y$17,11)=0,"",11)</f>
        <v/>
      </c>
      <c r="B16" s="140" t="str">
        <f t="shared" si="7"/>
        <v/>
      </c>
      <c r="C16" s="140" t="str">
        <f t="shared" si="8"/>
        <v/>
      </c>
      <c r="D16" s="141" t="str">
        <f t="shared" si="9"/>
        <v/>
      </c>
      <c r="E16" s="141" t="str">
        <f t="shared" si="10"/>
        <v/>
      </c>
      <c r="X16" s="83" t="s">
        <v>125</v>
      </c>
      <c r="Y16" s="83">
        <f>COUNTIF('1'!$D$4:$D$20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3">
        <f t="shared" si="1"/>
        <v>0.00002</v>
      </c>
    </row>
    <row r="17">
      <c r="A17" s="140" t="str">
        <f>IF(LARGE($Y$5:$Y$17,12)=0,"",12)</f>
        <v/>
      </c>
      <c r="B17" s="140" t="str">
        <f t="shared" si="7"/>
        <v/>
      </c>
      <c r="C17" s="140" t="str">
        <f t="shared" si="8"/>
        <v/>
      </c>
      <c r="D17" s="141" t="str">
        <f t="shared" si="9"/>
        <v/>
      </c>
      <c r="E17" s="141" t="str">
        <f t="shared" si="10"/>
        <v/>
      </c>
      <c r="X17" s="83" t="s">
        <v>126</v>
      </c>
      <c r="Y17" s="83">
        <f>COUNTIF('1'!$D$4:$D$20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0</v>
      </c>
      <c r="Z17" s="83">
        <f t="shared" si="1"/>
        <v>0.00001</v>
      </c>
    </row>
    <row r="18">
      <c r="A18" s="140" t="str">
        <f>IF(LARGE($Y$5:$Y$17,13)=0,"",13)</f>
        <v/>
      </c>
      <c r="B18" s="140" t="str">
        <f t="shared" si="7"/>
        <v/>
      </c>
      <c r="C18" s="140" t="str">
        <f t="shared" si="8"/>
        <v/>
      </c>
      <c r="D18" s="141" t="str">
        <f t="shared" si="9"/>
        <v/>
      </c>
      <c r="E18" s="141" t="str">
        <f t="shared" si="10"/>
        <v/>
      </c>
      <c r="AV18" s="83" t="str">
        <f t="shared" ref="AV18:BZ18" si="11">IF(COUNT(AV5:AV15)=0,"",AVERAGE(AV5:AV15))</f>
        <v/>
      </c>
      <c r="AW18" s="83" t="str">
        <f t="shared" si="11"/>
        <v/>
      </c>
      <c r="AX18" s="83" t="str">
        <f t="shared" si="11"/>
        <v/>
      </c>
      <c r="AY18" s="83" t="str">
        <f t="shared" si="11"/>
        <v/>
      </c>
      <c r="AZ18" s="83" t="str">
        <f t="shared" si="11"/>
        <v/>
      </c>
      <c r="BA18" s="83" t="str">
        <f t="shared" si="11"/>
        <v/>
      </c>
      <c r="BB18" s="83" t="str">
        <f t="shared" si="11"/>
        <v/>
      </c>
      <c r="BC18" s="83" t="str">
        <f t="shared" si="11"/>
        <v/>
      </c>
      <c r="BD18" s="83" t="str">
        <f t="shared" si="11"/>
        <v/>
      </c>
      <c r="BE18" s="83" t="str">
        <f t="shared" si="11"/>
        <v/>
      </c>
      <c r="BF18" s="83" t="str">
        <f t="shared" si="11"/>
        <v/>
      </c>
      <c r="BG18" s="83" t="str">
        <f t="shared" si="11"/>
        <v/>
      </c>
      <c r="BH18" s="83" t="str">
        <f t="shared" si="11"/>
        <v/>
      </c>
      <c r="BI18" s="83" t="str">
        <f t="shared" si="11"/>
        <v/>
      </c>
      <c r="BJ18" s="83" t="str">
        <f t="shared" si="11"/>
        <v/>
      </c>
      <c r="BK18" s="83" t="str">
        <f t="shared" si="11"/>
        <v/>
      </c>
      <c r="BL18" s="83" t="str">
        <f t="shared" si="11"/>
        <v/>
      </c>
      <c r="BM18" s="83" t="str">
        <f t="shared" si="11"/>
        <v/>
      </c>
      <c r="BN18" s="83" t="str">
        <f t="shared" si="11"/>
        <v/>
      </c>
      <c r="BO18" s="83" t="str">
        <f t="shared" si="11"/>
        <v/>
      </c>
      <c r="BP18" s="83" t="str">
        <f t="shared" si="11"/>
        <v/>
      </c>
      <c r="BQ18" s="83" t="str">
        <f t="shared" si="11"/>
        <v/>
      </c>
      <c r="BR18" s="83" t="str">
        <f t="shared" si="11"/>
        <v/>
      </c>
      <c r="BS18" s="83" t="str">
        <f t="shared" si="11"/>
        <v/>
      </c>
      <c r="BT18" s="83" t="str">
        <f t="shared" si="11"/>
        <v/>
      </c>
      <c r="BU18" s="83" t="str">
        <f t="shared" si="11"/>
        <v/>
      </c>
      <c r="BV18" s="83" t="str">
        <f t="shared" si="11"/>
        <v/>
      </c>
      <c r="BW18" s="83" t="str">
        <f t="shared" si="11"/>
        <v/>
      </c>
      <c r="BX18" s="83" t="str">
        <f t="shared" si="11"/>
        <v/>
      </c>
      <c r="BY18" s="83" t="str">
        <f t="shared" si="11"/>
        <v/>
      </c>
      <c r="BZ18" s="83" t="str">
        <f t="shared" si="11"/>
        <v/>
      </c>
    </row>
    <row r="19">
      <c r="A19" s="140" t="s">
        <v>127</v>
      </c>
      <c r="C19" s="140">
        <f>SUM(C6:C18)</f>
        <v>11</v>
      </c>
      <c r="D19" s="141"/>
      <c r="E19" s="141">
        <f>SUM(D6:D18)</f>
        <v>1</v>
      </c>
    </row>
    <row r="21" ht="15.75" customHeight="1"/>
    <row r="22" ht="15.75" customHeight="1"/>
    <row r="23" ht="15.75" customHeight="1">
      <c r="A23" s="137" t="s">
        <v>128</v>
      </c>
      <c r="F23" s="137" t="s">
        <v>129</v>
      </c>
    </row>
    <row r="24" ht="15.75" customHeight="1">
      <c r="A24" s="138" t="s">
        <v>1</v>
      </c>
      <c r="B24" s="138" t="s">
        <v>130</v>
      </c>
      <c r="C24" s="138" t="s">
        <v>131</v>
      </c>
      <c r="D24" s="138" t="s">
        <v>132</v>
      </c>
      <c r="F24" s="138" t="s">
        <v>98</v>
      </c>
      <c r="G24" s="138" t="s">
        <v>7</v>
      </c>
      <c r="H24" s="138" t="s">
        <v>133</v>
      </c>
      <c r="I24" s="138" t="s">
        <v>134</v>
      </c>
    </row>
    <row r="25" ht="15.75" customHeight="1">
      <c r="A25" s="140" t="str">
        <f t="array" ref="A25">IF(LARGE($AC$5:$AC$15,1)=0,"",INDEX($AA$5:$AA$15,MATCH(LARGE($AD$5:$AD$15,1),$AD$5:$AD$15,0)))</f>
        <v>AMEL</v>
      </c>
      <c r="B25" s="140" t="str">
        <f t="shared" ref="B25:B35" si="12">IF(A25="","",INDEX($AB$5:$AB$15,MATCH(A25,$AA$5:$AA$15,0)))</f>
        <v>Admin/CS</v>
      </c>
      <c r="C25" s="140">
        <f t="shared" ref="C25:C35" si="13">IF(A25="","",INDEX($AC$5:$AC$15,MATCH(A25,$AA$5:$AA$15,0)))</f>
        <v>2</v>
      </c>
      <c r="D25" s="141">
        <f t="shared" ref="D25:D35" si="14">IF(A25="","",IFERROR(C25/SUM($C$25:$C$35),0))</f>
        <v>0.5</v>
      </c>
      <c r="F25" s="140">
        <f>IF(LARGE($AF$5:$AF$9,1)=0,"",1)</f>
        <v>1</v>
      </c>
      <c r="G25" s="140" t="str">
        <f t="shared" ref="G25:G29" si="15">IF(F25="","",INDEX($AE$5:$AE$9,MATCH(LARGE($AG$5:$AG$9,F25),$AG$5:$AG$9,0)))</f>
        <v>AMEL</v>
      </c>
      <c r="H25" s="140">
        <f t="shared" ref="H25:H29" si="16">IF(G25="","",INDEX($AF$5:$AF$9,MATCH(G25,$AE$5:$AE$9,0)))</f>
        <v>13</v>
      </c>
      <c r="I25" s="141">
        <f t="shared" ref="I25:I29" si="17">IF(H25="","",IFERROR(H25/SUM($H$25:$H$29),0))</f>
        <v>1</v>
      </c>
    </row>
    <row r="26" ht="15.75" customHeight="1">
      <c r="A26" s="140" t="str">
        <f t="array" ref="A26">IF(LARGE($AC$5:$AC$15,2)=0,"",INDEX($AA$5:$AA$15,MATCH(LARGE($AD$5:$AD$15,2),$AD$5:$AD$15,0)))</f>
        <v>ADIF</v>
      </c>
      <c r="B26" s="140" t="str">
        <f t="shared" si="12"/>
        <v>Fotografer</v>
      </c>
      <c r="C26" s="140">
        <f t="shared" si="13"/>
        <v>2</v>
      </c>
      <c r="D26" s="141">
        <f t="shared" si="14"/>
        <v>0.5</v>
      </c>
      <c r="F26" s="140" t="str">
        <f>IF(LARGE($AF$5:$AF$9,2)=0,"",2)</f>
        <v/>
      </c>
      <c r="G26" s="140" t="str">
        <f t="shared" si="15"/>
        <v/>
      </c>
      <c r="H26" s="140" t="str">
        <f t="shared" si="16"/>
        <v/>
      </c>
      <c r="I26" s="141" t="str">
        <f t="shared" si="17"/>
        <v/>
      </c>
    </row>
    <row r="27" ht="15.75" customHeight="1">
      <c r="A27" s="140" t="str">
        <f t="array" ref="A27">IF(LARGE($AC$5:$AC$15,3)=0,"",INDEX($AA$5:$AA$15,MATCH(LARGE($AD$5:$AD$15,3),$AD$5:$AD$15,0)))</f>
        <v/>
      </c>
      <c r="B27" s="140" t="str">
        <f t="shared" si="12"/>
        <v/>
      </c>
      <c r="C27" s="140" t="str">
        <f t="shared" si="13"/>
        <v/>
      </c>
      <c r="D27" s="141" t="str">
        <f t="shared" si="14"/>
        <v/>
      </c>
      <c r="F27" s="140" t="str">
        <f>IF(LARGE($AF$5:$AF$9,3)=0,"",3)</f>
        <v/>
      </c>
      <c r="G27" s="140" t="str">
        <f t="shared" si="15"/>
        <v/>
      </c>
      <c r="H27" s="140" t="str">
        <f t="shared" si="16"/>
        <v/>
      </c>
      <c r="I27" s="141" t="str">
        <f t="shared" si="17"/>
        <v/>
      </c>
    </row>
    <row r="28" ht="15.75" customHeight="1">
      <c r="A28" s="140" t="str">
        <f t="array" ref="A28">IF(LARGE($AC$5:$AC$15,4)=0,"",INDEX($AA$5:$AA$15,MATCH(LARGE($AD$5:$AD$15,4),$AD$5:$AD$15,0)))</f>
        <v/>
      </c>
      <c r="B28" s="140" t="str">
        <f t="shared" si="12"/>
        <v/>
      </c>
      <c r="C28" s="140" t="str">
        <f t="shared" si="13"/>
        <v/>
      </c>
      <c r="D28" s="141" t="str">
        <f t="shared" si="14"/>
        <v/>
      </c>
      <c r="F28" s="140" t="str">
        <f>IF(LARGE($AF$5:$AF$9,4)=0,"",4)</f>
        <v/>
      </c>
      <c r="G28" s="140" t="str">
        <f t="shared" si="15"/>
        <v/>
      </c>
      <c r="H28" s="140" t="str">
        <f t="shared" si="16"/>
        <v/>
      </c>
      <c r="I28" s="141" t="str">
        <f t="shared" si="17"/>
        <v/>
      </c>
    </row>
    <row r="29" ht="15.75" customHeight="1">
      <c r="A29" s="140" t="str">
        <f t="array" ref="A29">IF(LARGE($AC$5:$AC$15,5)=0,"",INDEX($AA$5:$AA$15,MATCH(LARGE($AD$5:$AD$15,5),$AD$5:$AD$15,0)))</f>
        <v/>
      </c>
      <c r="B29" s="140" t="str">
        <f t="shared" si="12"/>
        <v/>
      </c>
      <c r="C29" s="140" t="str">
        <f t="shared" si="13"/>
        <v/>
      </c>
      <c r="D29" s="141" t="str">
        <f t="shared" si="14"/>
        <v/>
      </c>
      <c r="F29" s="140" t="str">
        <f>IF(LARGE($AF$5:$AF$9,5)=0,"",5)</f>
        <v/>
      </c>
      <c r="G29" s="140" t="str">
        <f t="shared" si="15"/>
        <v/>
      </c>
      <c r="H29" s="140" t="str">
        <f t="shared" si="16"/>
        <v/>
      </c>
      <c r="I29" s="141" t="str">
        <f t="shared" si="17"/>
        <v/>
      </c>
    </row>
    <row r="30" ht="15.75" customHeight="1">
      <c r="A30" s="140" t="str">
        <f t="array" ref="A30">IF(LARGE($AC$5:$AC$15,6)=0,"",INDEX($AA$5:$AA$15,MATCH(LARGE($AD$5:$AD$15,6),$AD$5:$AD$15,0)))</f>
        <v/>
      </c>
      <c r="B30" s="140" t="str">
        <f t="shared" si="12"/>
        <v/>
      </c>
      <c r="C30" s="140" t="str">
        <f t="shared" si="13"/>
        <v/>
      </c>
      <c r="D30" s="141" t="str">
        <f t="shared" si="14"/>
        <v/>
      </c>
    </row>
    <row r="31" ht="15.75" customHeight="1">
      <c r="A31" s="140" t="str">
        <f t="array" ref="A31">IF(LARGE($AC$5:$AC$15,7)=0,"",INDEX($AA$5:$AA$15,MATCH(LARGE($AD$5:$AD$15,7),$AD$5:$AD$15,0)))</f>
        <v/>
      </c>
      <c r="B31" s="140" t="str">
        <f t="shared" si="12"/>
        <v/>
      </c>
      <c r="C31" s="140" t="str">
        <f t="shared" si="13"/>
        <v/>
      </c>
      <c r="D31" s="141" t="str">
        <f t="shared" si="14"/>
        <v/>
      </c>
      <c r="F31" s="137" t="s">
        <v>135</v>
      </c>
    </row>
    <row r="32" ht="15.75" customHeight="1">
      <c r="A32" s="140" t="str">
        <f t="array" ref="A32">IF(LARGE($AC$5:$AC$15,8)=0,"",INDEX($AA$5:$AA$15,MATCH(LARGE($AD$5:$AD$15,8),$AD$5:$AD$15,0)))</f>
        <v/>
      </c>
      <c r="B32" s="140" t="str">
        <f t="shared" si="12"/>
        <v/>
      </c>
      <c r="C32" s="140" t="str">
        <f t="shared" si="13"/>
        <v/>
      </c>
      <c r="D32" s="141" t="str">
        <f t="shared" si="14"/>
        <v/>
      </c>
      <c r="F32" s="138" t="s">
        <v>98</v>
      </c>
      <c r="G32" s="138" t="s">
        <v>114</v>
      </c>
      <c r="H32" s="138" t="s">
        <v>133</v>
      </c>
      <c r="I32" s="138" t="s">
        <v>134</v>
      </c>
    </row>
    <row r="33" ht="15.75" customHeight="1">
      <c r="A33" s="140" t="str">
        <f t="array" ref="A33">IF(LARGE($AC$5:$AC$15,9)=0,"",INDEX($AA$5:$AA$15,MATCH(LARGE($AD$5:$AD$15,9),$AD$5:$AD$15,0)))</f>
        <v/>
      </c>
      <c r="B33" s="140" t="str">
        <f t="shared" si="12"/>
        <v/>
      </c>
      <c r="C33" s="140" t="str">
        <f t="shared" si="13"/>
        <v/>
      </c>
      <c r="D33" s="141" t="str">
        <f t="shared" si="14"/>
        <v/>
      </c>
      <c r="F33" s="140">
        <f>IF(LARGE($AI$5:$AI$10,1)=0,"",1)</f>
        <v>1</v>
      </c>
      <c r="G33" s="140" t="str">
        <f t="shared" ref="G33:G38" si="18">IF(F33="","",INDEX($AH$5:$AH$10,MATCH(LARGE($AJ$5:$AJ$10,F33),$AJ$5:$AJ$10,0)))</f>
        <v>ADIF</v>
      </c>
      <c r="H33" s="140">
        <f t="shared" ref="H33:H38" si="19">IF(G33="","",INDEX($AI$5:$AI$10,MATCH(G33,$AH$5:$AH$10,0)))</f>
        <v>7</v>
      </c>
      <c r="I33" s="141">
        <f t="shared" ref="I33:I38" si="20">IF(H33="","",IFERROR(H33/SUM($H$33:$H$38),0))</f>
        <v>1</v>
      </c>
    </row>
    <row r="34" ht="15.75" customHeight="1">
      <c r="A34" s="140" t="str">
        <f t="array" ref="A34">IF(LARGE($AC$5:$AC$15,10)=0,"",INDEX($AA$5:$AA$15,MATCH(LARGE($AD$5:$AD$15,10),$AD$5:$AD$15,0)))</f>
        <v/>
      </c>
      <c r="B34" s="140" t="str">
        <f t="shared" si="12"/>
        <v/>
      </c>
      <c r="C34" s="140" t="str">
        <f t="shared" si="13"/>
        <v/>
      </c>
      <c r="D34" s="141" t="str">
        <f t="shared" si="14"/>
        <v/>
      </c>
      <c r="F34" s="140" t="str">
        <f>IF(LARGE($AI$5:$AI$10,2)=0,"",2)</f>
        <v/>
      </c>
      <c r="G34" s="140" t="str">
        <f t="shared" si="18"/>
        <v/>
      </c>
      <c r="H34" s="140" t="str">
        <f t="shared" si="19"/>
        <v/>
      </c>
      <c r="I34" s="141" t="str">
        <f t="shared" si="20"/>
        <v/>
      </c>
    </row>
    <row r="35" ht="15.75" customHeight="1">
      <c r="A35" s="140" t="str">
        <f t="array" ref="A35">IF(LARGE($AC$5:$AC$15,11)=0,"",INDEX($AA$5:$AA$15,MATCH(LARGE($AD$5:$AD$15,11),$AD$5:$AD$15,0)))</f>
        <v/>
      </c>
      <c r="B35" s="140" t="str">
        <f t="shared" si="12"/>
        <v/>
      </c>
      <c r="C35" s="140" t="str">
        <f t="shared" si="13"/>
        <v/>
      </c>
      <c r="D35" s="141" t="str">
        <f t="shared" si="14"/>
        <v/>
      </c>
      <c r="F35" s="140" t="str">
        <f>IF(LARGE($AI$5:$AI$10,3)=0,"",3)</f>
        <v/>
      </c>
      <c r="G35" s="140" t="str">
        <f t="shared" si="18"/>
        <v/>
      </c>
      <c r="H35" s="140" t="str">
        <f t="shared" si="19"/>
        <v/>
      </c>
      <c r="I35" s="141" t="str">
        <f t="shared" si="20"/>
        <v/>
      </c>
    </row>
    <row r="36" ht="15.75" customHeight="1">
      <c r="F36" s="140" t="str">
        <f>IF(LARGE($AI$5:$AI$10,4)=0,"",4)</f>
        <v/>
      </c>
      <c r="G36" s="140" t="str">
        <f t="shared" si="18"/>
        <v/>
      </c>
      <c r="H36" s="140" t="str">
        <f t="shared" si="19"/>
        <v/>
      </c>
      <c r="I36" s="141" t="str">
        <f t="shared" si="20"/>
        <v/>
      </c>
    </row>
    <row r="37" ht="15.75" customHeight="1">
      <c r="F37" s="140" t="str">
        <f>IF(LARGE($AI$5:$AI$10,5)=0,"",5)</f>
        <v/>
      </c>
      <c r="G37" s="140" t="str">
        <f t="shared" si="18"/>
        <v/>
      </c>
      <c r="H37" s="140" t="str">
        <f t="shared" si="19"/>
        <v/>
      </c>
      <c r="I37" s="141" t="str">
        <f t="shared" si="20"/>
        <v/>
      </c>
    </row>
    <row r="38" ht="15.75" customHeight="1">
      <c r="F38" s="140" t="str">
        <f>IF(LARGE($AI$5:$AI$10,6)=0,"",6)</f>
        <v/>
      </c>
      <c r="G38" s="140" t="str">
        <f t="shared" si="18"/>
        <v/>
      </c>
      <c r="H38" s="140" t="str">
        <f t="shared" si="19"/>
        <v/>
      </c>
      <c r="I38" s="14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7" t="s">
        <v>136</v>
      </c>
    </row>
    <row r="44" ht="15.75" customHeight="1"/>
    <row r="45" ht="15.75" customHeight="1">
      <c r="A45" s="138" t="s">
        <v>82</v>
      </c>
      <c r="D45" s="138" t="s">
        <v>137</v>
      </c>
      <c r="G45" s="138" t="s">
        <v>138</v>
      </c>
      <c r="J45" s="138" t="s">
        <v>139</v>
      </c>
    </row>
    <row r="46" ht="15.75" customHeight="1">
      <c r="A46" s="146" t="str">
        <f>IF(COUNTIF($C$51:$C$61,"&gt;0")=0,"",AVERAGEIF($D$51:$D$61,"&gt;0",$D$51:$D$61))</f>
        <v/>
      </c>
      <c r="D46" s="146" t="str">
        <f>IF(COUNTIFS($B$51:$B$61,"Admin/CS",$C$51:$C$61,"&gt;0")=0,"",SUMIFS($D$51:$D$61,$B$51:$B$61,"Admin/CS",$C$51:$C$61,"&gt;0")/COUNTIFS($B$51:$B$61,"Admin/CS",$C$51:$C$61,"&gt;0"))</f>
        <v/>
      </c>
      <c r="G46" s="146" t="str">
        <f>IF(COUNTIFS($B$51:$B$61,"Fotografer",$C$51:$C$61,"&gt;0")=0,"",SUMIFS($D$51:$D$61,$B$51:$B$61,"Fotografer",$C$51:$C$61,"&gt;0")/COUNTIFS($B$51:$B$61,"Fotografer",$C$51:$C$61,"&gt;0"))</f>
        <v/>
      </c>
      <c r="J46" s="147" t="str">
        <f t="array" ref="J46">IF(COUNTIF($C$51:$C$61,"&gt;0")=0,"-",INDEX($A$51:$A$61,MATCH(MAX($D$51:$D$61),$D$51:$D$61,0))&amp;" | "&amp;TEXT(MAX($D$51:$D$61),"0.0%"))</f>
        <v>-</v>
      </c>
    </row>
    <row r="47" ht="15.75" customHeight="1"/>
    <row r="48" ht="15.75" customHeight="1"/>
    <row r="49" ht="15.75" customHeight="1"/>
    <row r="50" ht="15.75" customHeight="1">
      <c r="A50" s="138" t="s">
        <v>1</v>
      </c>
      <c r="B50" s="138" t="s">
        <v>130</v>
      </c>
      <c r="C50" s="138" t="s">
        <v>87</v>
      </c>
      <c r="D50" s="138" t="s">
        <v>88</v>
      </c>
      <c r="E50" s="138" t="s">
        <v>59</v>
      </c>
      <c r="F50" s="138" t="s">
        <v>60</v>
      </c>
      <c r="G50" s="138" t="s">
        <v>61</v>
      </c>
      <c r="H50" s="138" t="s">
        <v>62</v>
      </c>
      <c r="I50" s="138" t="s">
        <v>63</v>
      </c>
      <c r="J50" s="138" t="s">
        <v>140</v>
      </c>
      <c r="K50" s="138" t="s">
        <v>141</v>
      </c>
    </row>
    <row r="51" ht="15.75" customHeight="1">
      <c r="A51" s="140" t="str">
        <f t="shared" ref="A51:C51" si="21">AK5</f>
        <v>INDAH</v>
      </c>
      <c r="B51" s="140" t="str">
        <f t="shared" si="21"/>
        <v>Admin/CS</v>
      </c>
      <c r="C51" s="148">
        <f t="shared" si="21"/>
        <v>0</v>
      </c>
      <c r="D51" s="141" t="str">
        <f t="shared" ref="D51:D61" si="23">IF(C51=0,"",AN5/100)</f>
        <v/>
      </c>
      <c r="E51" s="149" t="str">
        <f t="shared" ref="E51:E61" si="24">IF(C51=0,"",AO5)</f>
        <v/>
      </c>
      <c r="F51" s="149" t="str">
        <f t="shared" ref="F51:F61" si="25">IF(C51=0,"",AP5)</f>
        <v/>
      </c>
      <c r="G51" s="149" t="str">
        <f t="shared" ref="G51:G61" si="26">IF(C51=0,"",AQ5)</f>
        <v/>
      </c>
      <c r="H51" s="149" t="str">
        <f t="shared" ref="H51:H61" si="27">IF(C51=0,"",AR5)</f>
        <v/>
      </c>
      <c r="I51" s="149" t="str">
        <f t="shared" ref="I51:I61" si="28">IF(C51=0,"",AS5)</f>
        <v/>
      </c>
      <c r="J51" s="140" t="str">
        <f t="shared" ref="J51:J61" si="29">IF(D51="","Belum Dinilai",IF(D51&gt;=0.9,"Sangat Baik",IF(D51&gt;=0.8,"Baik",IF(D51&gt;=0.7,"Coaching","Underperform"))))</f>
        <v>Belum Dinilai</v>
      </c>
      <c r="K51" s="9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40" t="str">
        <f t="shared" ref="A52:C52" si="22">AK6</f>
        <v>ADDEL</v>
      </c>
      <c r="B52" s="140" t="str">
        <f t="shared" si="22"/>
        <v>Admin/CS</v>
      </c>
      <c r="C52" s="148">
        <f t="shared" si="22"/>
        <v>0</v>
      </c>
      <c r="D52" s="141" t="str">
        <f t="shared" si="23"/>
        <v/>
      </c>
      <c r="E52" s="149" t="str">
        <f t="shared" si="24"/>
        <v/>
      </c>
      <c r="F52" s="149" t="str">
        <f t="shared" si="25"/>
        <v/>
      </c>
      <c r="G52" s="149" t="str">
        <f t="shared" si="26"/>
        <v/>
      </c>
      <c r="H52" s="149" t="str">
        <f t="shared" si="27"/>
        <v/>
      </c>
      <c r="I52" s="149" t="str">
        <f t="shared" si="28"/>
        <v/>
      </c>
      <c r="J52" s="140" t="str">
        <f t="shared" si="29"/>
        <v>Belum Dinilai</v>
      </c>
      <c r="K52" s="95" t="str">
        <f t="shared" si="30"/>
        <v>Belum Ada</v>
      </c>
    </row>
    <row r="53" ht="15.75" customHeight="1">
      <c r="A53" s="140" t="str">
        <f t="shared" ref="A53:C53" si="31">AK7</f>
        <v>AMEL</v>
      </c>
      <c r="B53" s="140" t="str">
        <f t="shared" si="31"/>
        <v>Admin/CS</v>
      </c>
      <c r="C53" s="148">
        <f t="shared" si="31"/>
        <v>0</v>
      </c>
      <c r="D53" s="141" t="str">
        <f t="shared" si="23"/>
        <v/>
      </c>
      <c r="E53" s="149" t="str">
        <f t="shared" si="24"/>
        <v/>
      </c>
      <c r="F53" s="149" t="str">
        <f t="shared" si="25"/>
        <v/>
      </c>
      <c r="G53" s="149" t="str">
        <f t="shared" si="26"/>
        <v/>
      </c>
      <c r="H53" s="149" t="str">
        <f t="shared" si="27"/>
        <v/>
      </c>
      <c r="I53" s="149" t="str">
        <f t="shared" si="28"/>
        <v/>
      </c>
      <c r="J53" s="140" t="str">
        <f t="shared" si="29"/>
        <v>Belum Dinilai</v>
      </c>
      <c r="K53" s="95" t="str">
        <f t="shared" si="30"/>
        <v>Belum Ada</v>
      </c>
    </row>
    <row r="54" ht="15.75" customHeight="1">
      <c r="A54" s="140" t="str">
        <f t="shared" ref="A54:C54" si="32">AK8</f>
        <v>PENTIL</v>
      </c>
      <c r="B54" s="140" t="str">
        <f t="shared" si="32"/>
        <v>Admin/CS</v>
      </c>
      <c r="C54" s="148">
        <f t="shared" si="32"/>
        <v>0</v>
      </c>
      <c r="D54" s="141" t="str">
        <f t="shared" si="23"/>
        <v/>
      </c>
      <c r="E54" s="149" t="str">
        <f t="shared" si="24"/>
        <v/>
      </c>
      <c r="F54" s="149" t="str">
        <f t="shared" si="25"/>
        <v/>
      </c>
      <c r="G54" s="149" t="str">
        <f t="shared" si="26"/>
        <v/>
      </c>
      <c r="H54" s="149" t="str">
        <f t="shared" si="27"/>
        <v/>
      </c>
      <c r="I54" s="149" t="str">
        <f t="shared" si="28"/>
        <v/>
      </c>
      <c r="J54" s="140" t="str">
        <f t="shared" si="29"/>
        <v>Belum Dinilai</v>
      </c>
      <c r="K54" s="95" t="str">
        <f t="shared" si="30"/>
        <v>Belum Ada</v>
      </c>
    </row>
    <row r="55" ht="15.75" customHeight="1">
      <c r="A55" s="140" t="str">
        <f t="shared" ref="A55:C55" si="33">AK9</f>
        <v>JIJANG</v>
      </c>
      <c r="B55" s="140" t="str">
        <f t="shared" si="33"/>
        <v>Admin/CS</v>
      </c>
      <c r="C55" s="148">
        <f t="shared" si="33"/>
        <v>0</v>
      </c>
      <c r="D55" s="141" t="str">
        <f t="shared" si="23"/>
        <v/>
      </c>
      <c r="E55" s="149" t="str">
        <f t="shared" si="24"/>
        <v/>
      </c>
      <c r="F55" s="149" t="str">
        <f t="shared" si="25"/>
        <v/>
      </c>
      <c r="G55" s="149" t="str">
        <f t="shared" si="26"/>
        <v/>
      </c>
      <c r="H55" s="149" t="str">
        <f t="shared" si="27"/>
        <v/>
      </c>
      <c r="I55" s="149" t="str">
        <f t="shared" si="28"/>
        <v/>
      </c>
      <c r="J55" s="140" t="str">
        <f t="shared" si="29"/>
        <v>Belum Dinilai</v>
      </c>
      <c r="K55" s="95" t="str">
        <f t="shared" si="30"/>
        <v>Belum Ada</v>
      </c>
    </row>
    <row r="56" ht="15.75" customHeight="1">
      <c r="A56" s="140" t="str">
        <f t="shared" ref="A56:C56" si="34">AK10</f>
        <v>HANIF</v>
      </c>
      <c r="B56" s="140" t="str">
        <f t="shared" si="34"/>
        <v>Fotografer</v>
      </c>
      <c r="C56" s="148">
        <f t="shared" si="34"/>
        <v>0</v>
      </c>
      <c r="D56" s="141" t="str">
        <f t="shared" si="23"/>
        <v/>
      </c>
      <c r="E56" s="149" t="str">
        <f t="shared" si="24"/>
        <v/>
      </c>
      <c r="F56" s="149" t="str">
        <f t="shared" si="25"/>
        <v/>
      </c>
      <c r="G56" s="149" t="str">
        <f t="shared" si="26"/>
        <v/>
      </c>
      <c r="H56" s="149" t="str">
        <f t="shared" si="27"/>
        <v/>
      </c>
      <c r="I56" s="149" t="str">
        <f t="shared" si="28"/>
        <v/>
      </c>
      <c r="J56" s="140" t="str">
        <f t="shared" si="29"/>
        <v>Belum Dinilai</v>
      </c>
      <c r="K56" s="95" t="str">
        <f t="shared" si="30"/>
        <v>Belum Ada</v>
      </c>
    </row>
    <row r="57" ht="15.75" customHeight="1">
      <c r="A57" s="140" t="str">
        <f t="shared" ref="A57:C57" si="35">AK11</f>
        <v>FAHME</v>
      </c>
      <c r="B57" s="140" t="str">
        <f t="shared" si="35"/>
        <v>Fotografer</v>
      </c>
      <c r="C57" s="148">
        <f t="shared" si="35"/>
        <v>0</v>
      </c>
      <c r="D57" s="141" t="str">
        <f t="shared" si="23"/>
        <v/>
      </c>
      <c r="E57" s="149" t="str">
        <f t="shared" si="24"/>
        <v/>
      </c>
      <c r="F57" s="149" t="str">
        <f t="shared" si="25"/>
        <v/>
      </c>
      <c r="G57" s="149" t="str">
        <f t="shared" si="26"/>
        <v/>
      </c>
      <c r="H57" s="149" t="str">
        <f t="shared" si="27"/>
        <v/>
      </c>
      <c r="I57" s="149" t="str">
        <f t="shared" si="28"/>
        <v/>
      </c>
      <c r="J57" s="140" t="str">
        <f t="shared" si="29"/>
        <v>Belum Dinilai</v>
      </c>
      <c r="K57" s="95" t="str">
        <f t="shared" si="30"/>
        <v>Belum Ada</v>
      </c>
    </row>
    <row r="58" ht="15.75" customHeight="1">
      <c r="A58" s="140" t="str">
        <f t="shared" ref="A58:C58" si="36">AK12</f>
        <v>ADIF</v>
      </c>
      <c r="B58" s="140" t="str">
        <f t="shared" si="36"/>
        <v>Fotografer</v>
      </c>
      <c r="C58" s="148">
        <f t="shared" si="36"/>
        <v>0</v>
      </c>
      <c r="D58" s="141" t="str">
        <f t="shared" si="23"/>
        <v/>
      </c>
      <c r="E58" s="149" t="str">
        <f t="shared" si="24"/>
        <v/>
      </c>
      <c r="F58" s="149" t="str">
        <f t="shared" si="25"/>
        <v/>
      </c>
      <c r="G58" s="149" t="str">
        <f t="shared" si="26"/>
        <v/>
      </c>
      <c r="H58" s="149" t="str">
        <f t="shared" si="27"/>
        <v/>
      </c>
      <c r="I58" s="149" t="str">
        <f t="shared" si="28"/>
        <v/>
      </c>
      <c r="J58" s="140" t="str">
        <f t="shared" si="29"/>
        <v>Belum Dinilai</v>
      </c>
      <c r="K58" s="95" t="str">
        <f t="shared" si="30"/>
        <v>Belum Ada</v>
      </c>
    </row>
    <row r="59" ht="15.75" customHeight="1">
      <c r="A59" s="140" t="str">
        <f t="shared" ref="A59:C59" si="37">AK13</f>
        <v>ABROR</v>
      </c>
      <c r="B59" s="140" t="str">
        <f t="shared" si="37"/>
        <v>Fotografer</v>
      </c>
      <c r="C59" s="148">
        <f t="shared" si="37"/>
        <v>0</v>
      </c>
      <c r="D59" s="141" t="str">
        <f t="shared" si="23"/>
        <v/>
      </c>
      <c r="E59" s="149" t="str">
        <f t="shared" si="24"/>
        <v/>
      </c>
      <c r="F59" s="149" t="str">
        <f t="shared" si="25"/>
        <v/>
      </c>
      <c r="G59" s="149" t="str">
        <f t="shared" si="26"/>
        <v/>
      </c>
      <c r="H59" s="149" t="str">
        <f t="shared" si="27"/>
        <v/>
      </c>
      <c r="I59" s="149" t="str">
        <f t="shared" si="28"/>
        <v/>
      </c>
      <c r="J59" s="140" t="str">
        <f t="shared" si="29"/>
        <v>Belum Dinilai</v>
      </c>
      <c r="K59" s="95" t="str">
        <f t="shared" si="30"/>
        <v>Belum Ada</v>
      </c>
    </row>
    <row r="60" ht="15.75" customHeight="1">
      <c r="A60" s="140" t="str">
        <f t="shared" ref="A60:C60" si="38">AK14</f>
        <v>FADEL</v>
      </c>
      <c r="B60" s="140" t="str">
        <f t="shared" si="38"/>
        <v>Fotografer</v>
      </c>
      <c r="C60" s="148">
        <f t="shared" si="38"/>
        <v>0</v>
      </c>
      <c r="D60" s="141" t="str">
        <f t="shared" si="23"/>
        <v/>
      </c>
      <c r="E60" s="149" t="str">
        <f t="shared" si="24"/>
        <v/>
      </c>
      <c r="F60" s="149" t="str">
        <f t="shared" si="25"/>
        <v/>
      </c>
      <c r="G60" s="149" t="str">
        <f t="shared" si="26"/>
        <v/>
      </c>
      <c r="H60" s="149" t="str">
        <f t="shared" si="27"/>
        <v/>
      </c>
      <c r="I60" s="149" t="str">
        <f t="shared" si="28"/>
        <v/>
      </c>
      <c r="J60" s="140" t="str">
        <f t="shared" si="29"/>
        <v>Belum Dinilai</v>
      </c>
      <c r="K60" s="95" t="str">
        <f t="shared" si="30"/>
        <v>Belum Ada</v>
      </c>
    </row>
    <row r="61" ht="15.75" customHeight="1">
      <c r="A61" s="140" t="str">
        <f t="shared" ref="A61:C61" si="39">AK15</f>
        <v>SAKA</v>
      </c>
      <c r="B61" s="140" t="str">
        <f t="shared" si="39"/>
        <v>Fotografer</v>
      </c>
      <c r="C61" s="148">
        <f t="shared" si="39"/>
        <v>0</v>
      </c>
      <c r="D61" s="141" t="str">
        <f t="shared" si="23"/>
        <v/>
      </c>
      <c r="E61" s="149" t="str">
        <f t="shared" si="24"/>
        <v/>
      </c>
      <c r="F61" s="149" t="str">
        <f t="shared" si="25"/>
        <v/>
      </c>
      <c r="G61" s="149" t="str">
        <f t="shared" si="26"/>
        <v/>
      </c>
      <c r="H61" s="149" t="str">
        <f t="shared" si="27"/>
        <v/>
      </c>
      <c r="I61" s="149" t="str">
        <f t="shared" si="28"/>
        <v/>
      </c>
      <c r="J61" s="140" t="str">
        <f t="shared" si="29"/>
        <v>Belum Dinilai</v>
      </c>
      <c r="K61" s="95" t="str">
        <f t="shared" si="30"/>
        <v>Belum Ada</v>
      </c>
    </row>
    <row r="62" ht="15.75" customHeight="1"/>
    <row r="63" ht="15.75" customHeight="1"/>
    <row r="64" ht="15.75" customHeight="1">
      <c r="A64" s="150" t="s">
        <v>142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